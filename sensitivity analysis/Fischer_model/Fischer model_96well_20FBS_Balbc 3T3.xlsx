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96well_1um\"/>
    </mc:Choice>
  </mc:AlternateContent>
  <xr:revisionPtr revIDLastSave="0" documentId="13_ncr:1_{C1EA455D-A4C7-4D16-9F5D-1C58260507DF}" xr6:coauthVersionLast="47" xr6:coauthVersionMax="47" xr10:uidLastSave="{00000000-0000-0000-0000-000000000000}"/>
  <bookViews>
    <workbookView xWindow="43080" yWindow="-120" windowWidth="29040" windowHeight="15720" firstSheet="1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43" i="4" l="1"/>
  <c r="R142" i="4"/>
  <c r="R141" i="4"/>
  <c r="R140" i="4"/>
  <c r="V139" i="4"/>
  <c r="R139" i="4"/>
  <c r="R138" i="4"/>
  <c r="T138" i="4" s="1"/>
  <c r="V137" i="4"/>
  <c r="R137" i="4"/>
  <c r="U137" i="4" s="1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I135" i="4"/>
  <c r="J135" i="4"/>
  <c r="K135" i="4"/>
  <c r="I136" i="4"/>
  <c r="J136" i="4"/>
  <c r="K136" i="4"/>
  <c r="O136" i="4" s="1"/>
  <c r="P136" i="4" s="1"/>
  <c r="I137" i="4"/>
  <c r="J137" i="4"/>
  <c r="K137" i="4"/>
  <c r="O137" i="4" s="1"/>
  <c r="P137" i="4" s="1"/>
  <c r="L137" i="4"/>
  <c r="M137" i="4"/>
  <c r="N137" i="4"/>
  <c r="Q137" i="4" s="1"/>
  <c r="I138" i="4"/>
  <c r="N138" i="4" s="1"/>
  <c r="J138" i="4"/>
  <c r="K138" i="4" s="1"/>
  <c r="L138" i="4"/>
  <c r="M138" i="4" s="1"/>
  <c r="Q138" i="4"/>
  <c r="I139" i="4"/>
  <c r="L139" i="4" s="1"/>
  <c r="M139" i="4" s="1"/>
  <c r="U139" i="4" s="1"/>
  <c r="J139" i="4"/>
  <c r="K139" i="4"/>
  <c r="O139" i="4" s="1"/>
  <c r="P139" i="4" s="1"/>
  <c r="I140" i="4"/>
  <c r="J140" i="4"/>
  <c r="K140" i="4" s="1"/>
  <c r="I141" i="4"/>
  <c r="J141" i="4"/>
  <c r="K141" i="4"/>
  <c r="O141" i="4" s="1"/>
  <c r="P141" i="4" s="1"/>
  <c r="N141" i="4"/>
  <c r="Q141" i="4" s="1"/>
  <c r="I142" i="4"/>
  <c r="L142" i="4" s="1"/>
  <c r="M142" i="4" s="1"/>
  <c r="V142" i="4" s="1"/>
  <c r="J142" i="4"/>
  <c r="K142" i="4" s="1"/>
  <c r="O142" i="4" s="1"/>
  <c r="P142" i="4" s="1"/>
  <c r="N142" i="4"/>
  <c r="Q142" i="4"/>
  <c r="I143" i="4"/>
  <c r="J143" i="4"/>
  <c r="K143" i="4" s="1"/>
  <c r="O143" i="4" l="1"/>
  <c r="P143" i="4" s="1"/>
  <c r="O140" i="4"/>
  <c r="P140" i="4" s="1"/>
  <c r="V140" i="4"/>
  <c r="L143" i="4"/>
  <c r="L135" i="4"/>
  <c r="M135" i="4" s="1"/>
  <c r="U135" i="4" s="1"/>
  <c r="T141" i="4"/>
  <c r="O135" i="4"/>
  <c r="P135" i="4" s="1"/>
  <c r="V135" i="4"/>
  <c r="O138" i="4"/>
  <c r="P138" i="4" s="1"/>
  <c r="V138" i="4"/>
  <c r="L141" i="4"/>
  <c r="M141" i="4" s="1"/>
  <c r="U141" i="4" s="1"/>
  <c r="L136" i="4"/>
  <c r="M136" i="4" s="1"/>
  <c r="V136" i="4" s="1"/>
  <c r="U136" i="4"/>
  <c r="L140" i="4"/>
  <c r="M140" i="4" s="1"/>
  <c r="S139" i="4"/>
  <c r="T139" i="4"/>
  <c r="S140" i="4"/>
  <c r="T140" i="4"/>
  <c r="U140" i="4"/>
  <c r="U142" i="4"/>
  <c r="T142" i="4"/>
  <c r="S137" i="4"/>
  <c r="T137" i="4"/>
  <c r="T135" i="4"/>
  <c r="S142" i="4"/>
  <c r="S135" i="4"/>
  <c r="S138" i="4"/>
  <c r="S136" i="4"/>
  <c r="U138" i="4"/>
  <c r="T143" i="4"/>
  <c r="T136" i="4"/>
  <c r="N143" i="4"/>
  <c r="Q143" i="4" s="1"/>
  <c r="N139" i="4"/>
  <c r="Q139" i="4" s="1"/>
  <c r="N135" i="4"/>
  <c r="Q135" i="4" s="1"/>
  <c r="N140" i="4"/>
  <c r="Q140" i="4" s="1"/>
  <c r="N136" i="4"/>
  <c r="Q136" i="4" s="1"/>
  <c r="M143" i="4" l="1"/>
  <c r="S143" i="4"/>
  <c r="S141" i="4"/>
  <c r="V141" i="4"/>
  <c r="U143" i="4" l="1"/>
  <c r="V143" i="4"/>
  <c r="I128" i="4" l="1"/>
  <c r="N128" i="4" s="1"/>
  <c r="Q128" i="4" s="1"/>
  <c r="J128" i="4"/>
  <c r="K128" i="4" s="1"/>
  <c r="I129" i="4"/>
  <c r="N129" i="4" s="1"/>
  <c r="Q129" i="4" s="1"/>
  <c r="J129" i="4"/>
  <c r="K129" i="4"/>
  <c r="L129" i="4"/>
  <c r="S129" i="4" s="1"/>
  <c r="M129" i="4"/>
  <c r="U129" i="4" s="1"/>
  <c r="I130" i="4"/>
  <c r="J130" i="4"/>
  <c r="K130" i="4" s="1"/>
  <c r="N130" i="4"/>
  <c r="Q130" i="4" s="1"/>
  <c r="I131" i="4"/>
  <c r="N131" i="4" s="1"/>
  <c r="Q131" i="4" s="1"/>
  <c r="J131" i="4"/>
  <c r="K131" i="4"/>
  <c r="I132" i="4"/>
  <c r="J132" i="4"/>
  <c r="K132" i="4"/>
  <c r="L132" i="4"/>
  <c r="S132" i="4" s="1"/>
  <c r="M132" i="4"/>
  <c r="U132" i="4" s="1"/>
  <c r="N132" i="4"/>
  <c r="Q132" i="4" s="1"/>
  <c r="I133" i="4"/>
  <c r="J133" i="4"/>
  <c r="K133" i="4" s="1"/>
  <c r="N133" i="4"/>
  <c r="Q133" i="4" s="1"/>
  <c r="I134" i="4"/>
  <c r="J134" i="4"/>
  <c r="K134" i="4" s="1"/>
  <c r="O133" i="4" l="1"/>
  <c r="P133" i="4" s="1"/>
  <c r="T133" i="4"/>
  <c r="O130" i="4"/>
  <c r="P130" i="4" s="1"/>
  <c r="T130" i="4"/>
  <c r="L133" i="4"/>
  <c r="L130" i="4"/>
  <c r="O128" i="4"/>
  <c r="P128" i="4" s="1"/>
  <c r="T128" i="4"/>
  <c r="L134" i="4"/>
  <c r="O129" i="4"/>
  <c r="P129" i="4" s="1"/>
  <c r="V129" i="4"/>
  <c r="T129" i="4"/>
  <c r="O132" i="4"/>
  <c r="P132" i="4" s="1"/>
  <c r="V132" i="4"/>
  <c r="T132" i="4"/>
  <c r="O134" i="4"/>
  <c r="P134" i="4" s="1"/>
  <c r="T134" i="4"/>
  <c r="O131" i="4"/>
  <c r="P131" i="4" s="1"/>
  <c r="T131" i="4"/>
  <c r="L128" i="4"/>
  <c r="L131" i="4"/>
  <c r="N134" i="4"/>
  <c r="Q134" i="4" s="1"/>
  <c r="M134" i="4" l="1"/>
  <c r="S134" i="4"/>
  <c r="M130" i="4"/>
  <c r="S130" i="4"/>
  <c r="M133" i="4"/>
  <c r="S133" i="4"/>
  <c r="M131" i="4"/>
  <c r="S131" i="4"/>
  <c r="M128" i="4"/>
  <c r="S128" i="4"/>
  <c r="O15" i="1"/>
  <c r="L15" i="1"/>
  <c r="N15" i="1"/>
  <c r="J16" i="4"/>
  <c r="J15" i="4"/>
  <c r="J87" i="4"/>
  <c r="K87" i="4" s="1"/>
  <c r="J122" i="4"/>
  <c r="K122" i="4"/>
  <c r="J117" i="4"/>
  <c r="L117" i="4" s="1"/>
  <c r="K117" i="4"/>
  <c r="J120" i="4"/>
  <c r="K120" i="4"/>
  <c r="J101" i="4"/>
  <c r="K101" i="4" s="1"/>
  <c r="J86" i="4"/>
  <c r="K86" i="4" s="1"/>
  <c r="J85" i="4"/>
  <c r="K85" i="4" s="1"/>
  <c r="J88" i="4"/>
  <c r="K88" i="4" s="1"/>
  <c r="J119" i="4"/>
  <c r="K119" i="4"/>
  <c r="J72" i="4"/>
  <c r="K72" i="4"/>
  <c r="J103" i="4"/>
  <c r="K103" i="4" s="1"/>
  <c r="J118" i="4"/>
  <c r="K118" i="4" s="1"/>
  <c r="J104" i="4"/>
  <c r="K104" i="4" s="1"/>
  <c r="J90" i="4"/>
  <c r="K90" i="4" s="1"/>
  <c r="J71" i="4"/>
  <c r="K71" i="4" s="1"/>
  <c r="J110" i="4"/>
  <c r="K110" i="4"/>
  <c r="J82" i="4"/>
  <c r="K82" i="4" s="1"/>
  <c r="J113" i="4"/>
  <c r="K113" i="4"/>
  <c r="J97" i="4"/>
  <c r="K97" i="4" s="1"/>
  <c r="J81" i="4"/>
  <c r="K81" i="4" s="1"/>
  <c r="J116" i="4"/>
  <c r="K116" i="4" s="1"/>
  <c r="J100" i="4"/>
  <c r="K100" i="4" s="1"/>
  <c r="O100" i="4" s="1"/>
  <c r="P100" i="4" s="1"/>
  <c r="J84" i="4"/>
  <c r="K84" i="4" s="1"/>
  <c r="J114" i="4"/>
  <c r="K114" i="4"/>
  <c r="J78" i="4"/>
  <c r="K78" i="4"/>
  <c r="J115" i="4"/>
  <c r="L115" i="4" s="1"/>
  <c r="S115" i="4" s="1"/>
  <c r="K115" i="4"/>
  <c r="J99" i="4"/>
  <c r="K99" i="4" s="1"/>
  <c r="J83" i="4"/>
  <c r="K83" i="4" s="1"/>
  <c r="J102" i="4"/>
  <c r="K102" i="4" s="1"/>
  <c r="J74" i="4"/>
  <c r="K74" i="4"/>
  <c r="J125" i="4"/>
  <c r="K125" i="4" s="1"/>
  <c r="J109" i="4"/>
  <c r="K109" i="4"/>
  <c r="J93" i="4"/>
  <c r="K93" i="4"/>
  <c r="J77" i="4"/>
  <c r="K77" i="4" s="1"/>
  <c r="J112" i="4"/>
  <c r="K112" i="4" s="1"/>
  <c r="J96" i="4"/>
  <c r="K96" i="4" s="1"/>
  <c r="J80" i="4"/>
  <c r="K80" i="4" s="1"/>
  <c r="J106" i="4"/>
  <c r="K106" i="4"/>
  <c r="J127" i="4"/>
  <c r="K127" i="4" s="1"/>
  <c r="J111" i="4"/>
  <c r="K111" i="4"/>
  <c r="J95" i="4"/>
  <c r="K95" i="4" s="1"/>
  <c r="J79" i="4"/>
  <c r="K79" i="4" s="1"/>
  <c r="J126" i="4"/>
  <c r="K126" i="4"/>
  <c r="J94" i="4"/>
  <c r="K94" i="4" s="1"/>
  <c r="J121" i="4"/>
  <c r="K121" i="4"/>
  <c r="J105" i="4"/>
  <c r="K105" i="4"/>
  <c r="J89" i="4"/>
  <c r="K89" i="4" s="1"/>
  <c r="J73" i="4"/>
  <c r="K73" i="4" s="1"/>
  <c r="J124" i="4"/>
  <c r="K124" i="4" s="1"/>
  <c r="J108" i="4"/>
  <c r="K108" i="4" s="1"/>
  <c r="J92" i="4"/>
  <c r="K92" i="4" s="1"/>
  <c r="J76" i="4"/>
  <c r="K76" i="4"/>
  <c r="J98" i="4"/>
  <c r="L98" i="4" s="1"/>
  <c r="K98" i="4"/>
  <c r="J123" i="4"/>
  <c r="K123" i="4" s="1"/>
  <c r="J107" i="4"/>
  <c r="J91" i="4"/>
  <c r="K91" i="4" s="1"/>
  <c r="J75" i="4"/>
  <c r="K75" i="4"/>
  <c r="O126" i="4"/>
  <c r="P126" i="4" s="1"/>
  <c r="O110" i="4"/>
  <c r="P110" i="4"/>
  <c r="O122" i="4"/>
  <c r="P122" i="4" s="1"/>
  <c r="I76" i="4"/>
  <c r="I77" i="4"/>
  <c r="N77" i="4" s="1"/>
  <c r="Q77" i="4" s="1"/>
  <c r="I81" i="4"/>
  <c r="N81" i="4" s="1"/>
  <c r="Q81" i="4" s="1"/>
  <c r="I89" i="4"/>
  <c r="N89" i="4" s="1"/>
  <c r="Q89" i="4" s="1"/>
  <c r="I90" i="4"/>
  <c r="L90" i="4" s="1"/>
  <c r="S90" i="4" s="1"/>
  <c r="I96" i="4"/>
  <c r="I99" i="4"/>
  <c r="I102" i="4"/>
  <c r="I104" i="4"/>
  <c r="I108" i="4"/>
  <c r="N108" i="4" s="1"/>
  <c r="Q108" i="4" s="1"/>
  <c r="I111" i="4"/>
  <c r="L111" i="4" s="1"/>
  <c r="I113" i="4"/>
  <c r="N113" i="4" s="1"/>
  <c r="Q113" i="4" s="1"/>
  <c r="I115" i="4"/>
  <c r="N115" i="4" s="1"/>
  <c r="Q115" i="4" s="1"/>
  <c r="I119" i="4"/>
  <c r="N119" i="4" s="1"/>
  <c r="Q119" i="4" s="1"/>
  <c r="I120" i="4"/>
  <c r="N120" i="4" s="1"/>
  <c r="Q120" i="4" s="1"/>
  <c r="I123" i="4"/>
  <c r="I125" i="4"/>
  <c r="N125" i="4" s="1"/>
  <c r="Q125" i="4" s="1"/>
  <c r="I79" i="4"/>
  <c r="N79" i="4" s="1"/>
  <c r="Q79" i="4" s="1"/>
  <c r="I92" i="4"/>
  <c r="I100" i="4"/>
  <c r="I103" i="4"/>
  <c r="N103" i="4" s="1"/>
  <c r="Q103" i="4" s="1"/>
  <c r="I107" i="4"/>
  <c r="N107" i="4" s="1"/>
  <c r="Q107" i="4" s="1"/>
  <c r="I109" i="4"/>
  <c r="N109" i="4" s="1"/>
  <c r="Q109" i="4" s="1"/>
  <c r="I110" i="4"/>
  <c r="L110" i="4" s="1"/>
  <c r="I117" i="4"/>
  <c r="N117" i="4" s="1"/>
  <c r="Q117" i="4" s="1"/>
  <c r="I124" i="4"/>
  <c r="I72" i="4"/>
  <c r="N72" i="4" s="1"/>
  <c r="Q72" i="4" s="1"/>
  <c r="I106" i="4"/>
  <c r="N106" i="4" s="1"/>
  <c r="Q106" i="4" s="1"/>
  <c r="I71" i="4"/>
  <c r="N71" i="4" s="1"/>
  <c r="Q71" i="4" s="1"/>
  <c r="I75" i="4"/>
  <c r="N75" i="4" s="1"/>
  <c r="Q75" i="4" s="1"/>
  <c r="I80" i="4"/>
  <c r="I83" i="4"/>
  <c r="I86" i="4"/>
  <c r="L86" i="4" s="1"/>
  <c r="S86" i="4" s="1"/>
  <c r="I88" i="4"/>
  <c r="N88" i="4" s="1"/>
  <c r="Q88" i="4" s="1"/>
  <c r="I94" i="4"/>
  <c r="L94" i="4" s="1"/>
  <c r="S94" i="4" s="1"/>
  <c r="I95" i="4"/>
  <c r="N95" i="4" s="1"/>
  <c r="Q95" i="4" s="1"/>
  <c r="I98" i="4"/>
  <c r="I101" i="4"/>
  <c r="N101" i="4" s="1"/>
  <c r="Q101" i="4" s="1"/>
  <c r="I118" i="4"/>
  <c r="N118" i="4" s="1"/>
  <c r="Q118" i="4" s="1"/>
  <c r="I127" i="4"/>
  <c r="I73" i="4"/>
  <c r="N73" i="4" s="1"/>
  <c r="Q73" i="4" s="1"/>
  <c r="I74" i="4"/>
  <c r="N74" i="4" s="1"/>
  <c r="Q74" i="4" s="1"/>
  <c r="I78" i="4"/>
  <c r="N78" i="4" s="1"/>
  <c r="Q78" i="4" s="1"/>
  <c r="I82" i="4"/>
  <c r="I85" i="4"/>
  <c r="N85" i="4" s="1"/>
  <c r="Q85" i="4" s="1"/>
  <c r="I93" i="4"/>
  <c r="N93" i="4" s="1"/>
  <c r="Q93" i="4" s="1"/>
  <c r="I112" i="4"/>
  <c r="N112" i="4" s="1"/>
  <c r="Q112" i="4" s="1"/>
  <c r="I114" i="4"/>
  <c r="N114" i="4" s="1"/>
  <c r="Q114" i="4" s="1"/>
  <c r="I121" i="4"/>
  <c r="I122" i="4"/>
  <c r="N122" i="4" s="1"/>
  <c r="Q122" i="4" s="1"/>
  <c r="I84" i="4"/>
  <c r="I87" i="4"/>
  <c r="N87" i="4" s="1"/>
  <c r="Q87" i="4" s="1"/>
  <c r="I91" i="4"/>
  <c r="N91" i="4" s="1"/>
  <c r="Q91" i="4" s="1"/>
  <c r="I97" i="4"/>
  <c r="N97" i="4" s="1"/>
  <c r="Q97" i="4" s="1"/>
  <c r="I105" i="4"/>
  <c r="I116" i="4"/>
  <c r="L116" i="4" s="1"/>
  <c r="S116" i="4" s="1"/>
  <c r="I126" i="4"/>
  <c r="N126" i="4" s="1"/>
  <c r="Q126" i="4" s="1"/>
  <c r="N105" i="4"/>
  <c r="Q105" i="4"/>
  <c r="N121" i="4"/>
  <c r="Q121" i="4" s="1"/>
  <c r="L73" i="4"/>
  <c r="S73" i="4" s="1"/>
  <c r="L124" i="4"/>
  <c r="S124" i="4" s="1"/>
  <c r="N124" i="4"/>
  <c r="Q124" i="4" s="1"/>
  <c r="N98" i="4"/>
  <c r="Q98" i="4" s="1"/>
  <c r="N104" i="4"/>
  <c r="Q104" i="4"/>
  <c r="N76" i="4"/>
  <c r="Q76" i="4" s="1"/>
  <c r="N100" i="4"/>
  <c r="Q100" i="4" s="1"/>
  <c r="L102" i="4"/>
  <c r="S102" i="4" s="1"/>
  <c r="N102" i="4"/>
  <c r="Q102" i="4" s="1"/>
  <c r="N99" i="4"/>
  <c r="Q99" i="4"/>
  <c r="L99" i="4"/>
  <c r="M111" i="4" l="1"/>
  <c r="U111" i="4" s="1"/>
  <c r="S111" i="4"/>
  <c r="T101" i="4"/>
  <c r="O101" i="4"/>
  <c r="P101" i="4" s="1"/>
  <c r="O125" i="4"/>
  <c r="P125" i="4" s="1"/>
  <c r="T125" i="4"/>
  <c r="O91" i="4"/>
  <c r="P91" i="4" s="1"/>
  <c r="T91" i="4"/>
  <c r="O103" i="4"/>
  <c r="P103" i="4" s="1"/>
  <c r="T103" i="4"/>
  <c r="M117" i="4"/>
  <c r="U117" i="4" s="1"/>
  <c r="S117" i="4"/>
  <c r="O123" i="4"/>
  <c r="P123" i="4" s="1"/>
  <c r="T123" i="4"/>
  <c r="M98" i="4"/>
  <c r="U98" i="4" s="1"/>
  <c r="S98" i="4"/>
  <c r="M110" i="4"/>
  <c r="U110" i="4" s="1"/>
  <c r="S110" i="4"/>
  <c r="L105" i="4"/>
  <c r="T116" i="4"/>
  <c r="M99" i="4"/>
  <c r="U99" i="4" s="1"/>
  <c r="S99" i="4"/>
  <c r="T89" i="4"/>
  <c r="T127" i="4"/>
  <c r="T84" i="4"/>
  <c r="O104" i="4"/>
  <c r="P104" i="4" s="1"/>
  <c r="T104" i="4"/>
  <c r="L114" i="4"/>
  <c r="S114" i="4" s="1"/>
  <c r="L107" i="4"/>
  <c r="O118" i="4"/>
  <c r="P118" i="4" s="1"/>
  <c r="T118" i="4"/>
  <c r="T120" i="4"/>
  <c r="L113" i="4"/>
  <c r="N111" i="4"/>
  <c r="Q111" i="4" s="1"/>
  <c r="L80" i="4"/>
  <c r="S80" i="4" s="1"/>
  <c r="V94" i="4"/>
  <c r="T94" i="4"/>
  <c r="O112" i="4"/>
  <c r="P112" i="4" s="1"/>
  <c r="T112" i="4"/>
  <c r="O99" i="4"/>
  <c r="P99" i="4" s="1"/>
  <c r="T99" i="4"/>
  <c r="V99" i="4"/>
  <c r="O113" i="4"/>
  <c r="P113" i="4" s="1"/>
  <c r="T113" i="4"/>
  <c r="T122" i="4"/>
  <c r="U131" i="4"/>
  <c r="V131" i="4"/>
  <c r="N80" i="4"/>
  <c r="Q80" i="4" s="1"/>
  <c r="N110" i="4"/>
  <c r="Q110" i="4" s="1"/>
  <c r="L96" i="4"/>
  <c r="S96" i="4" s="1"/>
  <c r="V126" i="4"/>
  <c r="T126" i="4"/>
  <c r="T119" i="4"/>
  <c r="L112" i="4"/>
  <c r="T82" i="4"/>
  <c r="L123" i="4"/>
  <c r="T88" i="4"/>
  <c r="T105" i="4"/>
  <c r="O106" i="4"/>
  <c r="P106" i="4" s="1"/>
  <c r="T106" i="4"/>
  <c r="T74" i="4"/>
  <c r="L104" i="4"/>
  <c r="T121" i="4"/>
  <c r="T80" i="4"/>
  <c r="O102" i="4"/>
  <c r="P102" i="4" s="1"/>
  <c r="T102" i="4"/>
  <c r="T81" i="4"/>
  <c r="L103" i="4"/>
  <c r="O117" i="4"/>
  <c r="P117" i="4" s="1"/>
  <c r="T117" i="4"/>
  <c r="V117" i="4"/>
  <c r="U128" i="4"/>
  <c r="V128" i="4"/>
  <c r="L125" i="4"/>
  <c r="O98" i="4"/>
  <c r="P98" i="4" s="1"/>
  <c r="T98" i="4"/>
  <c r="T96" i="4"/>
  <c r="V83" i="4"/>
  <c r="T83" i="4"/>
  <c r="T72" i="4"/>
  <c r="T76" i="4"/>
  <c r="T77" i="4"/>
  <c r="T115" i="4"/>
  <c r="N94" i="4"/>
  <c r="Q94" i="4" s="1"/>
  <c r="T93" i="4"/>
  <c r="T87" i="4"/>
  <c r="U133" i="4"/>
  <c r="V133" i="4"/>
  <c r="L71" i="4"/>
  <c r="S71" i="4" s="1"/>
  <c r="L85" i="4"/>
  <c r="S85" i="4" s="1"/>
  <c r="L127" i="4"/>
  <c r="S127" i="4" s="1"/>
  <c r="O105" i="4"/>
  <c r="P105" i="4" s="1"/>
  <c r="T92" i="4"/>
  <c r="T79" i="4"/>
  <c r="L93" i="4"/>
  <c r="S93" i="4" s="1"/>
  <c r="T78" i="4"/>
  <c r="T110" i="4"/>
  <c r="L126" i="4"/>
  <c r="S126" i="4" s="1"/>
  <c r="L84" i="4"/>
  <c r="S84" i="4" s="1"/>
  <c r="T75" i="4"/>
  <c r="T108" i="4"/>
  <c r="T95" i="4"/>
  <c r="O109" i="4"/>
  <c r="P109" i="4" s="1"/>
  <c r="T109" i="4"/>
  <c r="T85" i="4"/>
  <c r="U130" i="4"/>
  <c r="V130" i="4"/>
  <c r="L87" i="4"/>
  <c r="N86" i="4"/>
  <c r="Q86" i="4" s="1"/>
  <c r="V124" i="4"/>
  <c r="T124" i="4"/>
  <c r="O111" i="4"/>
  <c r="P111" i="4" s="1"/>
  <c r="V111" i="4"/>
  <c r="T111" i="4"/>
  <c r="T114" i="4"/>
  <c r="V71" i="4"/>
  <c r="T71" i="4"/>
  <c r="T86" i="4"/>
  <c r="M102" i="4"/>
  <c r="U102" i="4" s="1"/>
  <c r="V73" i="4"/>
  <c r="T73" i="4"/>
  <c r="V90" i="4"/>
  <c r="T90" i="4"/>
  <c r="U134" i="4"/>
  <c r="V134" i="4"/>
  <c r="O108" i="4"/>
  <c r="P108" i="4" s="1"/>
  <c r="M124" i="4"/>
  <c r="U124" i="4" s="1"/>
  <c r="L100" i="4"/>
  <c r="M100" i="4" s="1"/>
  <c r="L91" i="4"/>
  <c r="S91" i="4" s="1"/>
  <c r="O116" i="4"/>
  <c r="P116" i="4" s="1"/>
  <c r="L81" i="4"/>
  <c r="S81" i="4" s="1"/>
  <c r="O115" i="4"/>
  <c r="P115" i="4" s="1"/>
  <c r="L106" i="4"/>
  <c r="O127" i="4"/>
  <c r="P127" i="4" s="1"/>
  <c r="O121" i="4"/>
  <c r="P121" i="4" s="1"/>
  <c r="M127" i="4"/>
  <c r="U127" i="4" s="1"/>
  <c r="O120" i="4"/>
  <c r="P120" i="4" s="1"/>
  <c r="O124" i="4"/>
  <c r="P124" i="4" s="1"/>
  <c r="M107" i="4"/>
  <c r="L122" i="4"/>
  <c r="N123" i="4"/>
  <c r="Q123" i="4" s="1"/>
  <c r="N127" i="4"/>
  <c r="Q127" i="4" s="1"/>
  <c r="L108" i="4"/>
  <c r="S108" i="4" s="1"/>
  <c r="L101" i="4"/>
  <c r="L121" i="4"/>
  <c r="S121" i="4" s="1"/>
  <c r="O71" i="4"/>
  <c r="P71" i="4" s="1"/>
  <c r="L77" i="4"/>
  <c r="S77" i="4" s="1"/>
  <c r="L109" i="4"/>
  <c r="M71" i="4"/>
  <c r="U71" i="4" s="1"/>
  <c r="L76" i="4"/>
  <c r="S76" i="4" s="1"/>
  <c r="M126" i="4"/>
  <c r="U126" i="4" s="1"/>
  <c r="M114" i="4"/>
  <c r="U114" i="4" s="1"/>
  <c r="L120" i="4"/>
  <c r="S120" i="4" s="1"/>
  <c r="L118" i="4"/>
  <c r="M115" i="4"/>
  <c r="U115" i="4" s="1"/>
  <c r="L95" i="4"/>
  <c r="S95" i="4" s="1"/>
  <c r="L72" i="4"/>
  <c r="S72" i="4" s="1"/>
  <c r="O114" i="4"/>
  <c r="P114" i="4" s="1"/>
  <c r="O119" i="4"/>
  <c r="P119" i="4" s="1"/>
  <c r="M116" i="4"/>
  <c r="U116" i="4" s="1"/>
  <c r="L82" i="4"/>
  <c r="S82" i="4" s="1"/>
  <c r="L83" i="4"/>
  <c r="S83" i="4" s="1"/>
  <c r="L92" i="4"/>
  <c r="S92" i="4" s="1"/>
  <c r="O77" i="4"/>
  <c r="P77" i="4" s="1"/>
  <c r="O83" i="4"/>
  <c r="P83" i="4" s="1"/>
  <c r="M76" i="4"/>
  <c r="U76" i="4" s="1"/>
  <c r="O97" i="4"/>
  <c r="P97" i="4" s="1"/>
  <c r="O75" i="4"/>
  <c r="P75" i="4" s="1"/>
  <c r="O94" i="4"/>
  <c r="P94" i="4" s="1"/>
  <c r="O82" i="4"/>
  <c r="P82" i="4" s="1"/>
  <c r="M84" i="4"/>
  <c r="U84" i="4" s="1"/>
  <c r="N116" i="4"/>
  <c r="Q116" i="4" s="1"/>
  <c r="L78" i="4"/>
  <c r="S78" i="4" s="1"/>
  <c r="O84" i="4"/>
  <c r="P84" i="4" s="1"/>
  <c r="O81" i="4"/>
  <c r="P81" i="4" s="1"/>
  <c r="O76" i="4"/>
  <c r="P76" i="4" s="1"/>
  <c r="O78" i="4"/>
  <c r="P78" i="4" s="1"/>
  <c r="N90" i="4"/>
  <c r="Q90" i="4" s="1"/>
  <c r="N92" i="4"/>
  <c r="Q92" i="4" s="1"/>
  <c r="L89" i="4"/>
  <c r="S89" i="4" s="1"/>
  <c r="L119" i="4"/>
  <c r="S119" i="4" s="1"/>
  <c r="L88" i="4"/>
  <c r="S88" i="4" s="1"/>
  <c r="K107" i="4"/>
  <c r="O79" i="4"/>
  <c r="P79" i="4" s="1"/>
  <c r="O87" i="4"/>
  <c r="P87" i="4" s="1"/>
  <c r="M73" i="4"/>
  <c r="U73" i="4" s="1"/>
  <c r="M90" i="4"/>
  <c r="U90" i="4" s="1"/>
  <c r="O92" i="4"/>
  <c r="P92" i="4" s="1"/>
  <c r="O72" i="4"/>
  <c r="P72" i="4" s="1"/>
  <c r="O95" i="4"/>
  <c r="P95" i="4" s="1"/>
  <c r="O88" i="4"/>
  <c r="P88" i="4" s="1"/>
  <c r="O73" i="4"/>
  <c r="P73" i="4" s="1"/>
  <c r="O93" i="4"/>
  <c r="P93" i="4" s="1"/>
  <c r="O90" i="4"/>
  <c r="P90" i="4" s="1"/>
  <c r="O85" i="4"/>
  <c r="P85" i="4" s="1"/>
  <c r="O80" i="4"/>
  <c r="P80" i="4" s="1"/>
  <c r="M94" i="4"/>
  <c r="U94" i="4" s="1"/>
  <c r="O89" i="4"/>
  <c r="P89" i="4" s="1"/>
  <c r="O86" i="4"/>
  <c r="P86" i="4" s="1"/>
  <c r="M83" i="4"/>
  <c r="U83" i="4" s="1"/>
  <c r="M85" i="4"/>
  <c r="U85" i="4" s="1"/>
  <c r="M96" i="4"/>
  <c r="U96" i="4" s="1"/>
  <c r="O96" i="4"/>
  <c r="P96" i="4" s="1"/>
  <c r="O74" i="4"/>
  <c r="P74" i="4" s="1"/>
  <c r="M86" i="4"/>
  <c r="U86" i="4" s="1"/>
  <c r="L97" i="4"/>
  <c r="N83" i="4"/>
  <c r="Q83" i="4" s="1"/>
  <c r="L74" i="4"/>
  <c r="S74" i="4" s="1"/>
  <c r="L79" i="4"/>
  <c r="S79" i="4" s="1"/>
  <c r="L75" i="4"/>
  <c r="S75" i="4" s="1"/>
  <c r="N82" i="4"/>
  <c r="Q82" i="4" s="1"/>
  <c r="N96" i="4"/>
  <c r="Q96" i="4" s="1"/>
  <c r="N84" i="4"/>
  <c r="Q84" i="4" s="1"/>
  <c r="J14" i="4"/>
  <c r="J13" i="4" s="1"/>
  <c r="K16" i="4" s="1"/>
  <c r="M109" i="4" l="1"/>
  <c r="S109" i="4"/>
  <c r="M103" i="4"/>
  <c r="S103" i="4"/>
  <c r="V84" i="4"/>
  <c r="V96" i="4"/>
  <c r="M95" i="4"/>
  <c r="M87" i="4"/>
  <c r="S87" i="4"/>
  <c r="V86" i="4"/>
  <c r="V98" i="4"/>
  <c r="M122" i="4"/>
  <c r="S122" i="4"/>
  <c r="M93" i="4"/>
  <c r="M125" i="4"/>
  <c r="S125" i="4"/>
  <c r="V85" i="4"/>
  <c r="V110" i="4"/>
  <c r="M105" i="4"/>
  <c r="S105" i="4"/>
  <c r="M104" i="4"/>
  <c r="S104" i="4"/>
  <c r="M112" i="4"/>
  <c r="S112" i="4"/>
  <c r="M106" i="4"/>
  <c r="S106" i="4"/>
  <c r="M113" i="4"/>
  <c r="S113" i="4"/>
  <c r="M101" i="4"/>
  <c r="S101" i="4"/>
  <c r="V127" i="4"/>
  <c r="M118" i="4"/>
  <c r="S118" i="4"/>
  <c r="M80" i="4"/>
  <c r="V115" i="4"/>
  <c r="V102" i="4"/>
  <c r="V114" i="4"/>
  <c r="V76" i="4"/>
  <c r="M123" i="4"/>
  <c r="S123" i="4"/>
  <c r="V116" i="4"/>
  <c r="M119" i="4"/>
  <c r="M82" i="4"/>
  <c r="M81" i="4"/>
  <c r="M121" i="4"/>
  <c r="M77" i="4"/>
  <c r="M72" i="4"/>
  <c r="M120" i="4"/>
  <c r="M92" i="4"/>
  <c r="M108" i="4"/>
  <c r="M91" i="4"/>
  <c r="O107" i="4"/>
  <c r="P107" i="4" s="1"/>
  <c r="M78" i="4"/>
  <c r="M97" i="4"/>
  <c r="M79" i="4"/>
  <c r="M74" i="4"/>
  <c r="M88" i="4"/>
  <c r="M75" i="4"/>
  <c r="M89" i="4"/>
  <c r="K14" i="4"/>
  <c r="K13" i="4"/>
  <c r="K15" i="4"/>
  <c r="U120" i="4" l="1"/>
  <c r="V120" i="4"/>
  <c r="U122" i="4"/>
  <c r="V122" i="4"/>
  <c r="U72" i="4"/>
  <c r="V72" i="4"/>
  <c r="U75" i="4"/>
  <c r="V75" i="4"/>
  <c r="U80" i="4"/>
  <c r="V80" i="4"/>
  <c r="U88" i="4"/>
  <c r="V88" i="4"/>
  <c r="U89" i="4"/>
  <c r="V89" i="4"/>
  <c r="U112" i="4"/>
  <c r="V112" i="4"/>
  <c r="U77" i="4"/>
  <c r="V77" i="4"/>
  <c r="U121" i="4"/>
  <c r="V121" i="4"/>
  <c r="U104" i="4"/>
  <c r="V104" i="4"/>
  <c r="U74" i="4"/>
  <c r="V74" i="4"/>
  <c r="U81" i="4"/>
  <c r="V81" i="4"/>
  <c r="U118" i="4"/>
  <c r="V118" i="4"/>
  <c r="U87" i="4"/>
  <c r="V87" i="4"/>
  <c r="U79" i="4"/>
  <c r="V79" i="4"/>
  <c r="U82" i="4"/>
  <c r="V82" i="4"/>
  <c r="U105" i="4"/>
  <c r="V105" i="4"/>
  <c r="U95" i="4"/>
  <c r="V95" i="4"/>
  <c r="U119" i="4"/>
  <c r="V119" i="4"/>
  <c r="U78" i="4"/>
  <c r="V78" i="4"/>
  <c r="U101" i="4"/>
  <c r="V101" i="4"/>
  <c r="U91" i="4"/>
  <c r="V91" i="4"/>
  <c r="U123" i="4"/>
  <c r="V123" i="4"/>
  <c r="U113" i="4"/>
  <c r="V113" i="4"/>
  <c r="U125" i="4"/>
  <c r="V125" i="4"/>
  <c r="U103" i="4"/>
  <c r="V103" i="4"/>
  <c r="U108" i="4"/>
  <c r="V108" i="4"/>
  <c r="U93" i="4"/>
  <c r="V93" i="4"/>
  <c r="U92" i="4"/>
  <c r="V92" i="4"/>
  <c r="U106" i="4"/>
  <c r="V106" i="4"/>
  <c r="U109" i="4"/>
  <c r="V109" i="4"/>
  <c r="I63" i="4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J58" i="4"/>
  <c r="K58" i="4" s="1"/>
  <c r="J55" i="4"/>
  <c r="K55" i="4" s="1"/>
  <c r="J61" i="4"/>
  <c r="K61" i="4" s="1"/>
  <c r="J57" i="4"/>
  <c r="K57" i="4" s="1"/>
  <c r="J59" i="4"/>
  <c r="K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5" i="4" l="1"/>
  <c r="P55" i="4" s="1"/>
  <c r="T55" i="4"/>
  <c r="T63" i="4"/>
  <c r="T58" i="4"/>
  <c r="O56" i="4"/>
  <c r="P56" i="4" s="1"/>
  <c r="T56" i="4"/>
  <c r="T60" i="4"/>
  <c r="T62" i="4"/>
  <c r="O59" i="4"/>
  <c r="P59" i="4" s="1"/>
  <c r="T59" i="4"/>
  <c r="T57" i="4"/>
  <c r="T61" i="4"/>
  <c r="O61" i="4"/>
  <c r="P61" i="4" s="1"/>
  <c r="O60" i="4"/>
  <c r="P60" i="4" s="1"/>
  <c r="O62" i="4"/>
  <c r="P62" i="4" s="1"/>
  <c r="O58" i="4"/>
  <c r="P58" i="4" s="1"/>
  <c r="O57" i="4"/>
  <c r="P57" i="4" s="1"/>
  <c r="L66" i="4"/>
  <c r="S66" i="4" s="1"/>
  <c r="K66" i="4"/>
  <c r="K70" i="4"/>
  <c r="L70" i="4"/>
  <c r="S70" i="4" s="1"/>
  <c r="K64" i="4"/>
  <c r="L64" i="4"/>
  <c r="S64" i="4" s="1"/>
  <c r="O63" i="4"/>
  <c r="P63" i="4" s="1"/>
  <c r="L63" i="4"/>
  <c r="S63" i="4" s="1"/>
  <c r="K68" i="4"/>
  <c r="L68" i="4"/>
  <c r="S68" i="4" s="1"/>
  <c r="L67" i="4"/>
  <c r="S67" i="4" s="1"/>
  <c r="K67" i="4"/>
  <c r="L65" i="4"/>
  <c r="S65" i="4" s="1"/>
  <c r="K65" i="4"/>
  <c r="K69" i="4"/>
  <c r="L69" i="4"/>
  <c r="S69" i="4" s="1"/>
  <c r="N62" i="4"/>
  <c r="Q62" i="4" s="1"/>
  <c r="L62" i="4"/>
  <c r="S62" i="4" s="1"/>
  <c r="N55" i="4"/>
  <c r="Q55" i="4" s="1"/>
  <c r="L55" i="4"/>
  <c r="L56" i="4"/>
  <c r="N56" i="4"/>
  <c r="Q56" i="4" s="1"/>
  <c r="N59" i="4"/>
  <c r="Q59" i="4" s="1"/>
  <c r="L59" i="4"/>
  <c r="N57" i="4"/>
  <c r="Q57" i="4" s="1"/>
  <c r="L57" i="4"/>
  <c r="S57" i="4" s="1"/>
  <c r="L58" i="4"/>
  <c r="S58" i="4" s="1"/>
  <c r="N58" i="4"/>
  <c r="Q58" i="4" s="1"/>
  <c r="N61" i="4"/>
  <c r="Q61" i="4" s="1"/>
  <c r="L61" i="4"/>
  <c r="S61" i="4" s="1"/>
  <c r="L60" i="4"/>
  <c r="S60" i="4" s="1"/>
  <c r="N60" i="4"/>
  <c r="Q60" i="4" s="1"/>
  <c r="M56" i="4" l="1"/>
  <c r="S56" i="4"/>
  <c r="V68" i="4"/>
  <c r="T68" i="4"/>
  <c r="M55" i="4"/>
  <c r="S55" i="4"/>
  <c r="V64" i="4"/>
  <c r="T64" i="4"/>
  <c r="V69" i="4"/>
  <c r="T69" i="4"/>
  <c r="V70" i="4"/>
  <c r="T70" i="4"/>
  <c r="T65" i="4"/>
  <c r="T66" i="4"/>
  <c r="M59" i="4"/>
  <c r="S59" i="4"/>
  <c r="T67" i="4"/>
  <c r="V67" i="4"/>
  <c r="M62" i="4"/>
  <c r="M70" i="4"/>
  <c r="U70" i="4" s="1"/>
  <c r="M61" i="4"/>
  <c r="M60" i="4"/>
  <c r="M63" i="4"/>
  <c r="M64" i="4"/>
  <c r="U64" i="4" s="1"/>
  <c r="O64" i="4"/>
  <c r="P64" i="4" s="1"/>
  <c r="O69" i="4"/>
  <c r="P69" i="4" s="1"/>
  <c r="O66" i="4"/>
  <c r="P66" i="4" s="1"/>
  <c r="M69" i="4"/>
  <c r="U69" i="4" s="1"/>
  <c r="M58" i="4"/>
  <c r="M57" i="4"/>
  <c r="O65" i="4"/>
  <c r="P65" i="4" s="1"/>
  <c r="M65" i="4"/>
  <c r="U65" i="4" s="1"/>
  <c r="M66" i="4"/>
  <c r="U66" i="4" s="1"/>
  <c r="O67" i="4"/>
  <c r="P67" i="4" s="1"/>
  <c r="M67" i="4"/>
  <c r="U67" i="4" s="1"/>
  <c r="M68" i="4"/>
  <c r="U68" i="4" s="1"/>
  <c r="O68" i="4"/>
  <c r="P68" i="4" s="1"/>
  <c r="O70" i="4"/>
  <c r="P70" i="4" s="1"/>
  <c r="U61" i="4" l="1"/>
  <c r="V61" i="4"/>
  <c r="U62" i="4"/>
  <c r="V62" i="4"/>
  <c r="U57" i="4"/>
  <c r="V57" i="4"/>
  <c r="U58" i="4"/>
  <c r="V58" i="4"/>
  <c r="U59" i="4"/>
  <c r="V59" i="4"/>
  <c r="U55" i="4"/>
  <c r="V55" i="4"/>
  <c r="V66" i="4"/>
  <c r="V65" i="4"/>
  <c r="U60" i="4"/>
  <c r="V60" i="4"/>
  <c r="U63" i="4"/>
  <c r="V63" i="4"/>
  <c r="U56" i="4"/>
  <c r="V56" i="4"/>
  <c r="J21" i="4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J39" i="4" s="1"/>
  <c r="Q50" i="4"/>
  <c r="Q52" i="4"/>
  <c r="J52" i="4"/>
  <c r="J49" i="4"/>
  <c r="J53" i="4"/>
  <c r="J54" i="4"/>
  <c r="J50" i="4"/>
  <c r="J48" i="4"/>
  <c r="J51" i="4"/>
  <c r="Q54" i="4"/>
  <c r="Q51" i="4"/>
  <c r="Q49" i="4"/>
  <c r="J45" i="4" l="1"/>
  <c r="J30" i="4"/>
  <c r="L30" i="4" s="1"/>
  <c r="S30" i="4" s="1"/>
  <c r="J43" i="4"/>
  <c r="K43" i="4" s="1"/>
  <c r="J31" i="4"/>
  <c r="K31" i="4" s="1"/>
  <c r="J44" i="4"/>
  <c r="L44" i="4" s="1"/>
  <c r="S44" i="4" s="1"/>
  <c r="J36" i="4"/>
  <c r="L36" i="4" s="1"/>
  <c r="S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S34" i="4" s="1"/>
  <c r="J41" i="4"/>
  <c r="K41" i="4" s="1"/>
  <c r="J42" i="4"/>
  <c r="L42" i="4" s="1"/>
  <c r="S42" i="4" s="1"/>
  <c r="J32" i="4"/>
  <c r="L32" i="4" s="1"/>
  <c r="S32" i="4" s="1"/>
  <c r="J37" i="4"/>
  <c r="L37" i="4" s="1"/>
  <c r="S37" i="4" s="1"/>
  <c r="J40" i="4"/>
  <c r="L40" i="4" s="1"/>
  <c r="S40" i="4" s="1"/>
  <c r="J38" i="4"/>
  <c r="L38" i="4" s="1"/>
  <c r="S38" i="4" s="1"/>
  <c r="J29" i="4"/>
  <c r="L29" i="4" s="1"/>
  <c r="S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L45" i="4"/>
  <c r="S45" i="4" s="1"/>
  <c r="K45" i="4"/>
  <c r="L47" i="4"/>
  <c r="S47" i="4" s="1"/>
  <c r="K52" i="4"/>
  <c r="L52" i="4"/>
  <c r="L43" i="4"/>
  <c r="S43" i="4" s="1"/>
  <c r="L54" i="4"/>
  <c r="K54" i="4"/>
  <c r="L51" i="4"/>
  <c r="K51" i="4"/>
  <c r="L53" i="4"/>
  <c r="K53" i="4"/>
  <c r="L48" i="4"/>
  <c r="S48" i="4" s="1"/>
  <c r="K48" i="4"/>
  <c r="L39" i="4"/>
  <c r="S39" i="4" s="1"/>
  <c r="K39" i="4"/>
  <c r="L50" i="4"/>
  <c r="K50" i="4"/>
  <c r="L49" i="4"/>
  <c r="S49" i="4" s="1"/>
  <c r="K49" i="4"/>
  <c r="K30" i="4"/>
  <c r="T43" i="4" l="1"/>
  <c r="M52" i="4"/>
  <c r="U52" i="4" s="1"/>
  <c r="S52" i="4"/>
  <c r="O52" i="4"/>
  <c r="P52" i="4" s="1"/>
  <c r="V52" i="4"/>
  <c r="T52" i="4"/>
  <c r="V45" i="4"/>
  <c r="T45" i="4"/>
  <c r="V47" i="4"/>
  <c r="T47" i="4"/>
  <c r="O53" i="4"/>
  <c r="P53" i="4" s="1"/>
  <c r="T53" i="4"/>
  <c r="T33" i="4"/>
  <c r="T35" i="4"/>
  <c r="M53" i="4"/>
  <c r="U53" i="4" s="1"/>
  <c r="S53" i="4"/>
  <c r="T46" i="4"/>
  <c r="V30" i="4"/>
  <c r="T30" i="4"/>
  <c r="M51" i="4"/>
  <c r="U51" i="4" s="1"/>
  <c r="S51" i="4"/>
  <c r="T49" i="4"/>
  <c r="O54" i="4"/>
  <c r="P54" i="4" s="1"/>
  <c r="T54" i="4"/>
  <c r="T31" i="4"/>
  <c r="M54" i="4"/>
  <c r="U54" i="4" s="1"/>
  <c r="S54" i="4"/>
  <c r="O50" i="4"/>
  <c r="P50" i="4" s="1"/>
  <c r="V50" i="4"/>
  <c r="T50" i="4"/>
  <c r="T41" i="4"/>
  <c r="T39" i="4"/>
  <c r="T48" i="4"/>
  <c r="T28" i="4"/>
  <c r="O51" i="4"/>
  <c r="P51" i="4" s="1"/>
  <c r="V51" i="4"/>
  <c r="T51" i="4"/>
  <c r="M50" i="4"/>
  <c r="U50" i="4" s="1"/>
  <c r="S50" i="4"/>
  <c r="L31" i="4"/>
  <c r="S31" i="4" s="1"/>
  <c r="O49" i="4"/>
  <c r="P49" i="4" s="1"/>
  <c r="O48" i="4"/>
  <c r="P48" i="4" s="1"/>
  <c r="M48" i="4"/>
  <c r="U48" i="4" s="1"/>
  <c r="M49" i="4"/>
  <c r="U49" i="4" s="1"/>
  <c r="L35" i="4"/>
  <c r="S35" i="4" s="1"/>
  <c r="O30" i="4"/>
  <c r="P30" i="4" s="1"/>
  <c r="O35" i="4"/>
  <c r="P35" i="4" s="1"/>
  <c r="O43" i="4"/>
  <c r="P43" i="4" s="1"/>
  <c r="O39" i="4"/>
  <c r="P39" i="4" s="1"/>
  <c r="M44" i="4"/>
  <c r="U44" i="4" s="1"/>
  <c r="M47" i="4"/>
  <c r="U47" i="4" s="1"/>
  <c r="O45" i="4"/>
  <c r="P45" i="4" s="1"/>
  <c r="M45" i="4"/>
  <c r="U45" i="4" s="1"/>
  <c r="O47" i="4"/>
  <c r="P47" i="4" s="1"/>
  <c r="O31" i="4"/>
  <c r="P31" i="4" s="1"/>
  <c r="O33" i="4"/>
  <c r="P33" i="4" s="1"/>
  <c r="O28" i="4"/>
  <c r="P28" i="4" s="1"/>
  <c r="O46" i="4"/>
  <c r="P46" i="4" s="1"/>
  <c r="M43" i="4"/>
  <c r="U43" i="4" s="1"/>
  <c r="M39" i="4"/>
  <c r="U39" i="4" s="1"/>
  <c r="K36" i="4"/>
  <c r="O41" i="4"/>
  <c r="P41" i="4" s="1"/>
  <c r="K44" i="4"/>
  <c r="L46" i="4"/>
  <c r="S46" i="4" s="1"/>
  <c r="K37" i="4"/>
  <c r="L41" i="4"/>
  <c r="S41" i="4" s="1"/>
  <c r="K42" i="4"/>
  <c r="K34" i="4"/>
  <c r="L33" i="4"/>
  <c r="S33" i="4" s="1"/>
  <c r="K38" i="4"/>
  <c r="K29" i="4"/>
  <c r="M32" i="4"/>
  <c r="U32" i="4" s="1"/>
  <c r="M40" i="4"/>
  <c r="U40" i="4" s="1"/>
  <c r="M34" i="4"/>
  <c r="U34" i="4" s="1"/>
  <c r="M29" i="4"/>
  <c r="U29" i="4" s="1"/>
  <c r="M37" i="4"/>
  <c r="U37" i="4" s="1"/>
  <c r="M42" i="4"/>
  <c r="U42" i="4" s="1"/>
  <c r="M38" i="4"/>
  <c r="U38" i="4" s="1"/>
  <c r="M30" i="4"/>
  <c r="U30" i="4" s="1"/>
  <c r="M36" i="4"/>
  <c r="U36" i="4" s="1"/>
  <c r="K40" i="4"/>
  <c r="K32" i="4"/>
  <c r="L28" i="4"/>
  <c r="S28" i="4" s="1"/>
  <c r="V29" i="4" l="1"/>
  <c r="T29" i="4"/>
  <c r="V32" i="4"/>
  <c r="T32" i="4"/>
  <c r="T38" i="4"/>
  <c r="V38" i="4"/>
  <c r="V40" i="4"/>
  <c r="T40" i="4"/>
  <c r="V34" i="4"/>
  <c r="T34" i="4"/>
  <c r="V42" i="4"/>
  <c r="T42" i="4"/>
  <c r="V48" i="4"/>
  <c r="V54" i="4"/>
  <c r="V37" i="4"/>
  <c r="T37" i="4"/>
  <c r="V39" i="4"/>
  <c r="V44" i="4"/>
  <c r="T44" i="4"/>
  <c r="V49" i="4"/>
  <c r="V36" i="4"/>
  <c r="T36" i="4"/>
  <c r="V53" i="4"/>
  <c r="V43" i="4"/>
  <c r="M35" i="4"/>
  <c r="M31" i="4"/>
  <c r="O36" i="4"/>
  <c r="P36" i="4" s="1"/>
  <c r="O38" i="4"/>
  <c r="P38" i="4" s="1"/>
  <c r="M33" i="4"/>
  <c r="O34" i="4"/>
  <c r="P34" i="4" s="1"/>
  <c r="O42" i="4"/>
  <c r="P42" i="4" s="1"/>
  <c r="M41" i="4"/>
  <c r="M46" i="4"/>
  <c r="O29" i="4"/>
  <c r="P29" i="4" s="1"/>
  <c r="O32" i="4"/>
  <c r="P32" i="4" s="1"/>
  <c r="O40" i="4"/>
  <c r="P40" i="4" s="1"/>
  <c r="O37" i="4"/>
  <c r="P37" i="4" s="1"/>
  <c r="O44" i="4"/>
  <c r="P44" i="4" s="1"/>
  <c r="M28" i="4"/>
  <c r="U46" i="4" l="1"/>
  <c r="V46" i="4"/>
  <c r="U41" i="4"/>
  <c r="V41" i="4"/>
  <c r="U33" i="4"/>
  <c r="V33" i="4"/>
  <c r="U31" i="4"/>
  <c r="V31" i="4"/>
  <c r="U28" i="4"/>
  <c r="V28" i="4"/>
  <c r="U35" i="4"/>
  <c r="V3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<sst xmlns="http://schemas.openxmlformats.org/spreadsheetml/2006/main" count="340" uniqueCount="315">
  <si>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</si>
  <si>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</si>
  <si>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</si>
  <si>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</si>
  <si>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</si>
  <si>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</si>
  <si>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</si>
  <si>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</si>
  <si>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</si>
  <si>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</si>
  <si>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</si>
  <si>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</si>
  <si>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</si>
  <si>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</si>
  <si>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</si>
  <si>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</si>
  <si>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</si>
  <si>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</si>
  <si>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</si>
  <si>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</si>
  <si>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</si>
  <si>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</si>
  <si>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</si>
  <si>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</si>
  <si>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</si>
  <si>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</si>
  <si>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</si>
  <si>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</si>
  <si>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</si>
  <si>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</si>
  <si>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</si>
  <si>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</si>
  <si>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</si>
  <si>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</si>
  <si>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</si>
  <si>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</si>
  <si>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</si>
  <si>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</si>
  <si>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</si>
  <si>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</si>
  <si>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</si>
  <si>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</si>
  <si>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</si>
  <si>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</si>
  <si>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</si>
  <si>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</si>
  <si>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</si>
  <si>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</si>
  <si>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</si>
  <si>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</si>
  <si>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</si>
  <si>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</si>
  <si>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</si>
  <si>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</si>
  <si>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</si>
  <si>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</si>
  <si>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</si>
  <si>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</si>
  <si>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</si>
  <si>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</si>
  <si>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</si>
  <si>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</si>
  <si>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</si>
  <si>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</si>
  <si>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</si>
  <si>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</si>
  <si>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</si>
  <si>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</si>
  <si>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</si>
  <si>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</si>
  <si>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</si>
  <si>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</si>
  <si>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</si>
  <si>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</si>
  <si>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</si>
  <si>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</si>
  <si>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</si>
  <si>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</si>
  <si>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</si>
  <si>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</si>
  <si>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</si>
  <si>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</si>
  <si>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</si>
  <si>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</si>
  <si>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</si>
  <si>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</si>
  <si>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</si>
  <si>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</si>
  <si>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</si>
  <si>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</si>
  <si>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</si>
  <si>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</si>
  <si>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</si>
  <si>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</si>
  <si>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</si>
  <si>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</si>
  <si>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</si>
  <si>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</si>
  <si>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</si>
  <si>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</si>
  <si>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</si>
  <si>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</si>
  <si>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</si>
  <si>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</si>
  <si>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</si>
  <si>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</si>
  <si>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</si>
  <si>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</si>
  <si>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</si>
  <si>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</si>
  <si>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</si>
  <si>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</si>
  <si>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Balb/c 3T3</t>
    <phoneticPr fontId="22" type="noConversion"/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</si>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</sst>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3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  <font>
      <sz val="9"/>
      <name val="新細明體"/>
      <family val="2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112</v>
      </c>
      <c r="K17" s="31" t="s">
        <v>80</v>
      </c>
      <c r="L17" s="80">
        <v>1.4831999999999998E-3</v>
      </c>
      <c r="M17" s="80">
        <v>5.7599999999999991E-4</v>
      </c>
      <c r="N17" s="80">
        <v>3.4079999999999994E-4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99" zoomScale="70" zoomScaleNormal="70" workbookViewId="0">
      <selection activeCell="D28" sqref="D28:E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68"/>
      <c r="H1" s="16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68"/>
      <c r="H2" s="168"/>
      <c r="I2" s="113" t="s">
        <v>19</v>
      </c>
      <c r="J2" s="114"/>
      <c r="K2" s="114"/>
      <c r="L2" s="114"/>
      <c r="M2" s="114"/>
      <c r="N2" s="114"/>
      <c r="O2" s="114"/>
      <c r="P2" s="114"/>
      <c r="Q2" s="11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68"/>
      <c r="H3" s="168"/>
      <c r="I3" s="116"/>
      <c r="J3" s="117"/>
      <c r="K3" s="117"/>
      <c r="L3" s="117"/>
      <c r="M3" s="117"/>
      <c r="N3" s="117"/>
      <c r="O3" s="117"/>
      <c r="P3" s="117"/>
      <c r="Q3" s="11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68"/>
      <c r="H4" s="168"/>
      <c r="I4" s="119"/>
      <c r="J4" s="120"/>
      <c r="K4" s="120"/>
      <c r="L4" s="120"/>
      <c r="M4" s="120"/>
      <c r="N4" s="120"/>
      <c r="O4" s="120"/>
      <c r="P4" s="120"/>
      <c r="Q4" s="12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68"/>
      <c r="H5" s="168"/>
      <c r="I5" s="122" t="s">
        <v>38</v>
      </c>
      <c r="J5" s="123"/>
      <c r="K5" s="123"/>
      <c r="L5" s="123"/>
      <c r="M5" s="123"/>
      <c r="N5" s="123"/>
      <c r="O5" s="123"/>
      <c r="P5" s="123"/>
      <c r="Q5" s="12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68"/>
      <c r="H6" s="168"/>
      <c r="I6" s="49" t="s">
        <v>49</v>
      </c>
      <c r="J6" s="49" t="s">
        <v>50</v>
      </c>
      <c r="K6" s="49" t="s">
        <v>46</v>
      </c>
      <c r="L6" s="165" t="s">
        <v>39</v>
      </c>
      <c r="M6" s="166"/>
      <c r="N6" s="166"/>
      <c r="O6" s="166"/>
      <c r="P6" s="166"/>
      <c r="Q6" s="16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68"/>
      <c r="H7" s="168"/>
      <c r="I7" s="50" t="s">
        <v>20</v>
      </c>
      <c r="J7" s="37">
        <f>SUM(J13,J19)</f>
        <v>150.048</v>
      </c>
      <c r="K7" s="38">
        <f>J7/J7</f>
        <v>1</v>
      </c>
      <c r="L7" s="159" t="s">
        <v>68</v>
      </c>
      <c r="M7" s="160"/>
      <c r="N7" s="160"/>
      <c r="O7" s="160"/>
      <c r="P7" s="160"/>
      <c r="Q7" s="161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0" t="s">
        <v>3</v>
      </c>
      <c r="C8" s="141"/>
      <c r="D8" s="141"/>
      <c r="E8" s="141"/>
      <c r="F8" s="142"/>
      <c r="G8" s="168"/>
      <c r="H8" s="168"/>
      <c r="I8" s="51" t="s">
        <v>6</v>
      </c>
      <c r="J8" s="37">
        <f>SUM(J14,J20)</f>
        <v>149.25266400000001</v>
      </c>
      <c r="K8" s="39">
        <f>J8/J7</f>
        <v>0.99469945617402433</v>
      </c>
      <c r="L8" s="159" t="s">
        <v>69</v>
      </c>
      <c r="M8" s="160"/>
      <c r="N8" s="160"/>
      <c r="O8" s="160"/>
      <c r="P8" s="160"/>
      <c r="Q8" s="161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3"/>
      <c r="C9" s="144"/>
      <c r="D9" s="144"/>
      <c r="E9" s="144"/>
      <c r="F9" s="145"/>
      <c r="G9" s="168"/>
      <c r="H9" s="168"/>
      <c r="I9" s="50" t="s">
        <v>8</v>
      </c>
      <c r="J9" s="40">
        <f t="shared" ref="J9:J10" si="0">SUM(J15,J21)</f>
        <v>0.73152000000000006</v>
      </c>
      <c r="K9" s="39">
        <f>J9/J7</f>
        <v>4.8752399232245688E-3</v>
      </c>
      <c r="L9" s="159" t="s">
        <v>69</v>
      </c>
      <c r="M9" s="160"/>
      <c r="N9" s="160"/>
      <c r="O9" s="160"/>
      <c r="P9" s="160"/>
      <c r="Q9" s="161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6"/>
      <c r="C10" s="147"/>
      <c r="D10" s="147"/>
      <c r="E10" s="147"/>
      <c r="F10" s="148"/>
      <c r="G10" s="168"/>
      <c r="H10" s="168"/>
      <c r="I10" s="51" t="s">
        <v>9</v>
      </c>
      <c r="J10" s="40">
        <f t="shared" si="0"/>
        <v>6.3815999999999998E-2</v>
      </c>
      <c r="K10" s="39">
        <f>J10/J7</f>
        <v>4.253039027511196E-4</v>
      </c>
      <c r="L10" s="159" t="s">
        <v>69</v>
      </c>
      <c r="M10" s="160"/>
      <c r="N10" s="160"/>
      <c r="O10" s="160"/>
      <c r="P10" s="160"/>
      <c r="Q10" s="161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9" t="s">
        <v>36</v>
      </c>
      <c r="C11" s="150"/>
      <c r="D11" s="150"/>
      <c r="E11" s="150"/>
      <c r="F11" s="151"/>
      <c r="G11" s="168"/>
      <c r="H11" s="168"/>
      <c r="I11" s="184"/>
      <c r="J11" s="184"/>
      <c r="K11" s="184"/>
      <c r="L11" s="184"/>
      <c r="M11" s="184"/>
      <c r="N11" s="184"/>
      <c r="O11" s="184"/>
      <c r="P11" s="184"/>
      <c r="Q11" s="18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2"/>
      <c r="C12" s="153"/>
      <c r="D12" s="153"/>
      <c r="E12" s="153"/>
      <c r="F12" s="154"/>
      <c r="G12" s="168"/>
      <c r="H12" s="168"/>
      <c r="I12" s="49" t="s">
        <v>51</v>
      </c>
      <c r="J12" s="49" t="s">
        <v>50</v>
      </c>
      <c r="K12" s="49" t="s">
        <v>46</v>
      </c>
      <c r="L12" s="165" t="s">
        <v>39</v>
      </c>
      <c r="M12" s="166"/>
      <c r="N12" s="166"/>
      <c r="O12" s="166"/>
      <c r="P12" s="166"/>
      <c r="Q12" s="16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8" t="s">
        <v>4</v>
      </c>
      <c r="C13" s="139"/>
      <c r="D13" s="128" t="s">
        <v>39</v>
      </c>
      <c r="E13" s="128"/>
      <c r="F13" s="128"/>
      <c r="G13" s="168"/>
      <c r="H13" s="168"/>
      <c r="I13" s="50" t="s">
        <v>5</v>
      </c>
      <c r="J13" s="41">
        <f>SUM(J14:J16)</f>
        <v>150</v>
      </c>
      <c r="K13" s="38">
        <f>J13/J13</f>
        <v>1</v>
      </c>
      <c r="L13" s="159" t="s">
        <v>71</v>
      </c>
      <c r="M13" s="160"/>
      <c r="N13" s="160"/>
      <c r="O13" s="160"/>
      <c r="P13" s="160"/>
      <c r="Q13" s="161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29" t="s">
        <v>17</v>
      </c>
      <c r="E14" s="129"/>
      <c r="F14" s="129"/>
      <c r="G14" s="168"/>
      <c r="H14" s="168"/>
      <c r="I14" s="51" t="s">
        <v>43</v>
      </c>
      <c r="J14" s="41">
        <f>C14-SUM(J15:J16)</f>
        <v>149.22300000000001</v>
      </c>
      <c r="K14" s="39">
        <f>J14/J13</f>
        <v>0.99482000000000004</v>
      </c>
      <c r="L14" s="162" t="s">
        <v>70</v>
      </c>
      <c r="M14" s="163"/>
      <c r="N14" s="163"/>
      <c r="O14" s="163"/>
      <c r="P14" s="163"/>
      <c r="Q14" s="164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0" t="s">
        <v>60</v>
      </c>
      <c r="E15" s="130"/>
      <c r="F15" s="130"/>
      <c r="G15" s="168"/>
      <c r="H15" s="16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0.72000000000000008</v>
      </c>
      <c r="K15" s="39">
        <f>J15/J13</f>
        <v>4.8000000000000004E-3</v>
      </c>
      <c r="L15" s="159" t="s">
        <v>69</v>
      </c>
      <c r="M15" s="160"/>
      <c r="N15" s="160"/>
      <c r="O15" s="160"/>
      <c r="P15" s="160"/>
      <c r="Q15" s="161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31" t="s">
        <v>40</v>
      </c>
      <c r="E16" s="132"/>
      <c r="F16" s="133"/>
      <c r="G16" s="168"/>
      <c r="H16" s="16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5.6999999999999995E-2</v>
      </c>
      <c r="K16" s="39">
        <f>J16/J13</f>
        <v>3.7999999999999997E-4</v>
      </c>
      <c r="L16" s="159" t="s">
        <v>69</v>
      </c>
      <c r="M16" s="160"/>
      <c r="N16" s="160"/>
      <c r="O16" s="160"/>
      <c r="P16" s="160"/>
      <c r="Q16" s="161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34" t="s">
        <v>61</v>
      </c>
      <c r="E17" s="135"/>
      <c r="F17" s="136"/>
      <c r="G17" s="168"/>
      <c r="H17" s="168"/>
      <c r="I17" s="162"/>
      <c r="J17" s="163"/>
      <c r="K17" s="163"/>
      <c r="L17" s="163"/>
      <c r="M17" s="163"/>
      <c r="N17" s="163"/>
      <c r="O17" s="163"/>
      <c r="P17" s="163"/>
      <c r="Q17" s="164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31" t="s">
        <v>41</v>
      </c>
      <c r="E18" s="132"/>
      <c r="F18" s="133"/>
      <c r="G18" s="168"/>
      <c r="H18" s="168"/>
      <c r="I18" s="49" t="s">
        <v>29</v>
      </c>
      <c r="J18" s="49" t="s">
        <v>50</v>
      </c>
      <c r="K18" s="49" t="s">
        <v>46</v>
      </c>
      <c r="L18" s="165" t="s">
        <v>39</v>
      </c>
      <c r="M18" s="166"/>
      <c r="N18" s="166"/>
      <c r="O18" s="166"/>
      <c r="P18" s="166"/>
      <c r="Q18" s="16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0"/>
      <c r="C19" s="130"/>
      <c r="D19" s="130"/>
      <c r="E19" s="130"/>
      <c r="F19" s="130"/>
      <c r="G19" s="168"/>
      <c r="H19" s="168"/>
      <c r="I19" s="50" t="s">
        <v>5</v>
      </c>
      <c r="J19" s="41">
        <f>SUM(J20:J22)</f>
        <v>4.8000000000000001E-2</v>
      </c>
      <c r="K19" s="38">
        <f>J19/J19</f>
        <v>1</v>
      </c>
      <c r="L19" s="159" t="s">
        <v>55</v>
      </c>
      <c r="M19" s="160"/>
      <c r="N19" s="160"/>
      <c r="O19" s="160"/>
      <c r="P19" s="160"/>
      <c r="Q19" s="161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8" t="s">
        <v>7</v>
      </c>
      <c r="C20" s="139"/>
      <c r="D20" s="128" t="s">
        <v>39</v>
      </c>
      <c r="E20" s="128"/>
      <c r="F20" s="128"/>
      <c r="G20" s="168"/>
      <c r="H20" s="16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2.9663999999999996E-2</v>
      </c>
      <c r="K20" s="39">
        <f>J20/J19</f>
        <v>0.61799999999999988</v>
      </c>
      <c r="L20" s="159" t="s">
        <v>69</v>
      </c>
      <c r="M20" s="160"/>
      <c r="N20" s="160"/>
      <c r="O20" s="160"/>
      <c r="P20" s="160"/>
      <c r="Q20" s="161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34" t="s">
        <v>61</v>
      </c>
      <c r="E21" s="135"/>
      <c r="F21" s="136"/>
      <c r="G21" s="168"/>
      <c r="H21" s="16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1.1519999999999999E-2</v>
      </c>
      <c r="K21" s="39">
        <f>J21/J19</f>
        <v>0.23999999999999996</v>
      </c>
      <c r="L21" s="159" t="s">
        <v>69</v>
      </c>
      <c r="M21" s="160"/>
      <c r="N21" s="160"/>
      <c r="O21" s="160"/>
      <c r="P21" s="160"/>
      <c r="Q21" s="161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37" t="s">
        <v>67</v>
      </c>
      <c r="E22" s="137"/>
      <c r="F22" s="137"/>
      <c r="G22" s="168"/>
      <c r="H22" s="16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6.8159999999999991E-3</v>
      </c>
      <c r="K22" s="39">
        <f>J22/J19</f>
        <v>0.14199999999999999</v>
      </c>
      <c r="L22" s="159" t="s">
        <v>69</v>
      </c>
      <c r="M22" s="160"/>
      <c r="N22" s="160"/>
      <c r="O22" s="160"/>
      <c r="P22" s="160"/>
      <c r="Q22" s="161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5"/>
      <c r="C23" s="126"/>
      <c r="D23" s="126"/>
      <c r="E23" s="126"/>
      <c r="F23" s="127"/>
      <c r="G23" s="168"/>
      <c r="H23" s="168"/>
      <c r="I23" s="179"/>
      <c r="J23" s="180"/>
      <c r="K23" s="180"/>
      <c r="L23" s="180"/>
      <c r="M23" s="180"/>
      <c r="N23" s="180"/>
      <c r="O23" s="180"/>
      <c r="P23" s="180"/>
      <c r="Q23" s="18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9" t="s">
        <v>37</v>
      </c>
      <c r="C24" s="150"/>
      <c r="D24" s="150"/>
      <c r="E24" s="150"/>
      <c r="F24" s="151"/>
      <c r="G24" s="168"/>
      <c r="H24" s="168"/>
      <c r="I24" s="173" t="s">
        <v>42</v>
      </c>
      <c r="J24" s="174"/>
      <c r="K24" s="174"/>
      <c r="L24" s="174"/>
      <c r="M24" s="174"/>
      <c r="N24" s="174"/>
      <c r="O24" s="174"/>
      <c r="P24" s="174"/>
      <c r="Q24" s="17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2"/>
      <c r="C25" s="153"/>
      <c r="D25" s="153"/>
      <c r="E25" s="153"/>
      <c r="F25" s="154"/>
      <c r="G25" s="168"/>
      <c r="H25" s="168"/>
      <c r="I25" s="176"/>
      <c r="J25" s="177"/>
      <c r="K25" s="177"/>
      <c r="L25" s="177"/>
      <c r="M25" s="177"/>
      <c r="N25" s="177"/>
      <c r="O25" s="177"/>
      <c r="P25" s="177"/>
      <c r="Q25" s="17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1" t="s">
        <v>11</v>
      </c>
      <c r="C26" s="171" t="s">
        <v>12</v>
      </c>
      <c r="D26" s="155" t="s">
        <v>47</v>
      </c>
      <c r="E26" s="155" t="s">
        <v>48</v>
      </c>
      <c r="F26" s="157" t="s">
        <v>66</v>
      </c>
      <c r="G26" s="168"/>
      <c r="H26" s="168"/>
      <c r="I26" s="182" t="s">
        <v>53</v>
      </c>
      <c r="J26" s="182" t="s">
        <v>54</v>
      </c>
      <c r="K26" s="169" t="s">
        <v>73</v>
      </c>
      <c r="L26" s="169" t="s">
        <v>52</v>
      </c>
      <c r="M26" s="169" t="s">
        <v>59</v>
      </c>
      <c r="N26" s="169" t="s">
        <v>62</v>
      </c>
      <c r="O26" s="169" t="s">
        <v>72</v>
      </c>
      <c r="P26" s="169" t="s">
        <v>64</v>
      </c>
      <c r="Q26" s="169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2"/>
      <c r="C27" s="172"/>
      <c r="D27" s="156"/>
      <c r="E27" s="156"/>
      <c r="F27" s="158"/>
      <c r="G27" s="168"/>
      <c r="H27" s="168"/>
      <c r="I27" s="183"/>
      <c r="J27" s="183"/>
      <c r="K27" s="170"/>
      <c r="L27" s="170"/>
      <c r="M27" s="170"/>
      <c r="N27" s="170"/>
      <c r="O27" s="170"/>
      <c r="P27" s="170"/>
      <c r="Q27" s="170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89</v>
      </c>
      <c r="C28" s="46" t="s">
        <v>90</v>
      </c>
      <c r="D28" s="47">
        <v>6.5247999999999973E-2</v>
      </c>
      <c r="E28" s="47">
        <v>8.2216000000000289E-2</v>
      </c>
      <c r="F28" s="96">
        <v>9.9999999999999995E-7</v>
      </c>
      <c r="G28" s="168"/>
      <c r="H28" s="168"/>
      <c r="I28" s="92">
        <f t="shared" ref="I28:I47" si="1">IF(D28=0,"",LOG($K$15*10^D28+$K$16*10^E28+$K$14))</f>
        <v>3.7217650281818146E-4</v>
      </c>
      <c r="J28" s="92">
        <f t="shared" ref="J28:J47" si="2">IF(D28=0,"",LOG($K$21*10^D28+$K$22*10^E28+$K$20))</f>
        <v>2.8775248633271713E-2</v>
      </c>
      <c r="K28" s="93">
        <f t="shared" ref="K28:K47" si="3">IF(D28=0,"",1/(1+10^D28*$J$15/$J$14+10^E28*$J$16/$J$14+10^J28*$J$19/$J$14))</f>
        <v>0.99362838525887609</v>
      </c>
      <c r="L28" s="93">
        <f t="shared" ref="L28:L47" si="4">IF(D28=0,"",1/(1+10^I28/10^J28*$J$13/$J$19))</f>
        <v>3.4151100942992273E-4</v>
      </c>
      <c r="M28" s="93">
        <f t="shared" ref="M28:M47" si="5">IF(D28=0,"",1-L28)</f>
        <v>0.99965848899057008</v>
      </c>
      <c r="N28" s="93">
        <f t="shared" ref="N28:N47" si="6">IF(D28=0,"",1/(1/10^E28*$J$20/$J$22+10^D28/10^E28*$J$21/$J$22+10^I28/10^E28*$J$13/$J$22+1))</f>
        <v>5.4844591304823273E-5</v>
      </c>
      <c r="O28" s="40">
        <f t="shared" ref="O28:O47" si="7">IF(D28=0,"",F28*K28*$J$7/$J$14)</f>
        <v>9.9912179725192377E-7</v>
      </c>
      <c r="P28" s="40">
        <f t="shared" ref="P28:P47" si="8">IF(D28=0,"",O28*10^J28)</f>
        <v>1.0675634154779382E-6</v>
      </c>
      <c r="Q28" s="40">
        <f t="shared" ref="Q28:Q47" si="9">IF(D28=0,"",F28*N28*$J$7/$J$22)</f>
        <v>1.2073534677385743E-6</v>
      </c>
      <c r="R28" s="9">
        <f>F28*$C$14</f>
        <v>1.4999999999999999E-4</v>
      </c>
      <c r="S28" s="9">
        <f>$R28*L28</f>
        <v>5.1226651414488403E-8</v>
      </c>
      <c r="T28" s="9">
        <f t="shared" ref="T28:T91" si="10">R28*K28</f>
        <v>1.4904425778883141E-4</v>
      </c>
      <c r="U28" s="9">
        <f t="shared" ref="U28:U91" si="11">$R28*M28</f>
        <v>1.4994877334858551E-4</v>
      </c>
      <c r="V28" s="100">
        <f>K28/M28</f>
        <v>0.99396783621796381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163</v>
      </c>
      <c r="C29" s="46" t="s">
        <v>164</v>
      </c>
      <c r="D29" s="47">
        <v>2.31</v>
      </c>
      <c r="E29" s="47">
        <v>2.58</v>
      </c>
      <c r="F29" s="96">
        <v>9.9999999999999995E-7</v>
      </c>
      <c r="G29" s="168"/>
      <c r="H29" s="168"/>
      <c r="I29" s="92">
        <f t="shared" si="1"/>
        <v>0.32619780382173885</v>
      </c>
      <c r="J29" s="92">
        <f t="shared" si="2"/>
        <v>2.015387442684542</v>
      </c>
      <c r="K29" s="93">
        <f t="shared" si="3"/>
        <v>0.46217380065996988</v>
      </c>
      <c r="L29" s="93">
        <f t="shared" si="4"/>
        <v>1.5402748921984632E-2</v>
      </c>
      <c r="M29" s="93">
        <f t="shared" si="5"/>
        <v>0.98459725107801532</v>
      </c>
      <c r="N29" s="93">
        <f t="shared" si="6"/>
        <v>8.0259996748177249E-3</v>
      </c>
      <c r="O29" s="40">
        <f t="shared" si="7"/>
        <v>4.6472899245710885E-7</v>
      </c>
      <c r="P29" s="40">
        <f t="shared" si="8"/>
        <v>4.8148993130123949E-5</v>
      </c>
      <c r="Q29" s="40">
        <f t="shared" si="9"/>
        <v>1.7668503509493105E-4</v>
      </c>
      <c r="R29" s="9">
        <f t="shared" ref="R29:R92" si="12">F29*$C$14</f>
        <v>1.4999999999999999E-4</v>
      </c>
      <c r="S29" s="9">
        <f t="shared" ref="S29:S92" si="13">$R29*L29</f>
        <v>2.3104123382976944E-6</v>
      </c>
      <c r="T29" s="9">
        <f t="shared" si="10"/>
        <v>6.9326070098995476E-5</v>
      </c>
      <c r="U29" s="9">
        <f t="shared" si="11"/>
        <v>1.4768958766170229E-4</v>
      </c>
      <c r="V29" s="100">
        <f t="shared" ref="V29:V92" si="14">K29/M29</f>
        <v>0.46940391124791914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165</v>
      </c>
      <c r="C30" s="46" t="s">
        <v>166</v>
      </c>
      <c r="D30" s="90">
        <v>4.4000000000000004</v>
      </c>
      <c r="E30" s="90">
        <v>2.64</v>
      </c>
      <c r="F30" s="96">
        <v>9.9999999999999995E-7</v>
      </c>
      <c r="G30" s="168"/>
      <c r="H30" s="168"/>
      <c r="I30" s="92">
        <f t="shared" si="1"/>
        <v>2.0854020627961285</v>
      </c>
      <c r="J30" s="92">
        <f t="shared" si="2"/>
        <v>3.7846979172891171</v>
      </c>
      <c r="K30" s="93">
        <f t="shared" si="3"/>
        <v>8.0434729135347056E-3</v>
      </c>
      <c r="L30" s="93">
        <f t="shared" si="4"/>
        <v>1.5759665360311797E-2</v>
      </c>
      <c r="M30" s="93">
        <f t="shared" si="5"/>
        <v>0.98424033463968819</v>
      </c>
      <c r="N30" s="93">
        <f t="shared" si="6"/>
        <v>1.6037527665605514E-4</v>
      </c>
      <c r="O30" s="40">
        <f t="shared" si="7"/>
        <v>8.0879423663245963E-9</v>
      </c>
      <c r="P30" s="40">
        <f t="shared" si="8"/>
        <v>4.9264713916334701E-5</v>
      </c>
      <c r="Q30" s="40">
        <f t="shared" si="9"/>
        <v>3.530514893146679E-6</v>
      </c>
      <c r="R30" s="9">
        <f t="shared" si="12"/>
        <v>1.4999999999999999E-4</v>
      </c>
      <c r="S30" s="9">
        <f t="shared" si="13"/>
        <v>2.3639498040467695E-6</v>
      </c>
      <c r="T30" s="9">
        <f t="shared" si="10"/>
        <v>1.2065209370302057E-6</v>
      </c>
      <c r="U30" s="9">
        <f t="shared" si="11"/>
        <v>1.4763605019595322E-4</v>
      </c>
      <c r="V30" s="100">
        <f t="shared" si="14"/>
        <v>8.1722650763741255E-3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91</v>
      </c>
      <c r="C31" s="46" t="s">
        <v>92</v>
      </c>
      <c r="D31" s="47">
        <v>-0.92190615231165807</v>
      </c>
      <c r="E31" s="47">
        <v>-1.7889087518799642</v>
      </c>
      <c r="F31" s="96">
        <v>9.9999999999999995E-7</v>
      </c>
      <c r="G31" s="168"/>
      <c r="H31" s="168"/>
      <c r="I31" s="92">
        <f t="shared" si="1"/>
        <v>-2.0020416091501053E-3</v>
      </c>
      <c r="J31" s="92">
        <f t="shared" si="2"/>
        <v>-0.18773071557122362</v>
      </c>
      <c r="K31" s="93">
        <f t="shared" si="3"/>
        <v>0.99920809254183407</v>
      </c>
      <c r="L31" s="93">
        <f t="shared" si="4"/>
        <v>2.0860787429475078E-4</v>
      </c>
      <c r="M31" s="93">
        <f t="shared" si="5"/>
        <v>0.99979139212570522</v>
      </c>
      <c r="N31" s="93">
        <f t="shared" si="6"/>
        <v>7.420633895052646E-7</v>
      </c>
      <c r="O31" s="40">
        <f t="shared" si="7"/>
        <v>1.0047323527185293E-6</v>
      </c>
      <c r="P31" s="40">
        <f t="shared" si="8"/>
        <v>6.5210821504539071E-7</v>
      </c>
      <c r="Q31" s="40">
        <f t="shared" si="9"/>
        <v>1.6335846166151106E-8</v>
      </c>
      <c r="R31" s="9">
        <f t="shared" si="12"/>
        <v>1.4999999999999999E-4</v>
      </c>
      <c r="S31" s="9">
        <f t="shared" si="13"/>
        <v>3.1291181144212614E-8</v>
      </c>
      <c r="T31" s="9">
        <f t="shared" si="10"/>
        <v>1.4988121388127509E-4</v>
      </c>
      <c r="U31" s="9">
        <f t="shared" si="11"/>
        <v>1.4996870881885577E-4</v>
      </c>
      <c r="V31" s="100">
        <f t="shared" si="14"/>
        <v>0.99941657870985368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93</v>
      </c>
      <c r="C32" s="46" t="s">
        <v>94</v>
      </c>
      <c r="D32" s="47">
        <v>0.54749180498968375</v>
      </c>
      <c r="E32" s="47">
        <v>0.30136158174588817</v>
      </c>
      <c r="F32" s="96">
        <v>9.9999999999999995E-7</v>
      </c>
      <c r="G32" s="168"/>
      <c r="H32" s="168"/>
      <c r="I32" s="92">
        <f t="shared" si="1"/>
        <v>5.4008424806920542E-3</v>
      </c>
      <c r="J32" s="92">
        <f t="shared" si="2"/>
        <v>0.24275634342667582</v>
      </c>
      <c r="K32" s="93">
        <f t="shared" si="3"/>
        <v>0.9819823642662181</v>
      </c>
      <c r="L32" s="93">
        <f t="shared" si="4"/>
        <v>5.5241505022665921E-4</v>
      </c>
      <c r="M32" s="93">
        <f t="shared" si="5"/>
        <v>0.99944758494977337</v>
      </c>
      <c r="N32" s="93">
        <f t="shared" si="6"/>
        <v>8.9775758867390693E-5</v>
      </c>
      <c r="O32" s="40">
        <f t="shared" si="7"/>
        <v>9.8741138962101997E-7</v>
      </c>
      <c r="P32" s="40">
        <f t="shared" si="8"/>
        <v>1.7268494470085366E-6</v>
      </c>
      <c r="Q32" s="40">
        <f t="shared" si="9"/>
        <v>1.9763311423905869E-6</v>
      </c>
      <c r="R32" s="9">
        <f t="shared" si="12"/>
        <v>1.4999999999999999E-4</v>
      </c>
      <c r="S32" s="9">
        <f t="shared" si="13"/>
        <v>8.2862257533998869E-8</v>
      </c>
      <c r="T32" s="9">
        <f t="shared" si="10"/>
        <v>1.4729735463993269E-4</v>
      </c>
      <c r="U32" s="9">
        <f t="shared" si="11"/>
        <v>1.4991713774246599E-4</v>
      </c>
      <c r="V32" s="100">
        <f t="shared" si="14"/>
        <v>0.98252512593300934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167</v>
      </c>
      <c r="C33" s="94" t="s">
        <v>111</v>
      </c>
      <c r="D33" s="95">
        <v>1.6452318246143236</v>
      </c>
      <c r="E33" s="95">
        <v>1.8629354124795308</v>
      </c>
      <c r="F33" s="96">
        <v>9.9999999999999995E-7</v>
      </c>
      <c r="G33" s="168"/>
      <c r="H33" s="168"/>
      <c r="I33" s="92">
        <f t="shared" si="1"/>
        <v>9.1527063522880606E-2</v>
      </c>
      <c r="J33" s="92">
        <f t="shared" si="2"/>
        <v>1.3340133129861464</v>
      </c>
      <c r="K33" s="93">
        <f t="shared" si="3"/>
        <v>0.8013001988751508</v>
      </c>
      <c r="L33" s="93">
        <f t="shared" si="4"/>
        <v>5.5617829196055197E-3</v>
      </c>
      <c r="M33" s="93">
        <f t="shared" si="5"/>
        <v>0.99443821708039448</v>
      </c>
      <c r="N33" s="93">
        <f t="shared" si="6"/>
        <v>2.6694665171054827E-3</v>
      </c>
      <c r="O33" s="40">
        <f t="shared" si="7"/>
        <v>8.0573029788181855E-7</v>
      </c>
      <c r="P33" s="40">
        <f t="shared" si="8"/>
        <v>1.7386133406686854E-5</v>
      </c>
      <c r="Q33" s="40">
        <f t="shared" si="9"/>
        <v>5.8765861496279856E-5</v>
      </c>
      <c r="R33" s="9">
        <f t="shared" si="12"/>
        <v>1.4999999999999999E-4</v>
      </c>
      <c r="S33" s="9">
        <f t="shared" si="13"/>
        <v>8.3426743794082791E-7</v>
      </c>
      <c r="T33" s="9">
        <f t="shared" si="10"/>
        <v>1.2019502983127261E-4</v>
      </c>
      <c r="U33" s="9">
        <f t="shared" si="11"/>
        <v>1.4916573256205915E-4</v>
      </c>
      <c r="V33" s="100">
        <f t="shared" si="14"/>
        <v>0.8057817822284784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95</v>
      </c>
      <c r="C34" s="46" t="s">
        <v>96</v>
      </c>
      <c r="D34" s="90">
        <v>0.39857726844789648</v>
      </c>
      <c r="E34" s="90">
        <v>8.9525410045599246E-2</v>
      </c>
      <c r="F34" s="96">
        <v>9.9999999999999995E-7</v>
      </c>
      <c r="G34" s="168"/>
      <c r="H34" s="168"/>
      <c r="I34" s="92">
        <f t="shared" si="1"/>
        <v>3.1608226539332684E-3</v>
      </c>
      <c r="J34" s="92">
        <f t="shared" si="2"/>
        <v>0.14407219555289491</v>
      </c>
      <c r="K34" s="93">
        <f t="shared" si="3"/>
        <v>0.98716895012271799</v>
      </c>
      <c r="L34" s="93">
        <f t="shared" si="4"/>
        <v>4.4245504652156049E-4</v>
      </c>
      <c r="M34" s="93">
        <f t="shared" si="5"/>
        <v>0.99955754495347848</v>
      </c>
      <c r="N34" s="93">
        <f t="shared" si="6"/>
        <v>5.5412878627908437E-5</v>
      </c>
      <c r="O34" s="40">
        <f t="shared" si="7"/>
        <v>9.9262665023497428E-7</v>
      </c>
      <c r="P34" s="40">
        <f t="shared" si="8"/>
        <v>1.3831144754263979E-6</v>
      </c>
      <c r="Q34" s="40">
        <f t="shared" si="9"/>
        <v>1.2198637928932521E-6</v>
      </c>
      <c r="R34" s="9">
        <f t="shared" si="12"/>
        <v>1.4999999999999999E-4</v>
      </c>
      <c r="S34" s="9">
        <f t="shared" si="13"/>
        <v>6.6368256978234067E-8</v>
      </c>
      <c r="T34" s="9">
        <f t="shared" si="10"/>
        <v>1.4807534251840769E-4</v>
      </c>
      <c r="U34" s="9">
        <f t="shared" si="11"/>
        <v>1.4993363174302176E-4</v>
      </c>
      <c r="V34" s="100">
        <f t="shared" si="14"/>
        <v>0.98760592134659231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97</v>
      </c>
      <c r="C35" s="46" t="s">
        <v>98</v>
      </c>
      <c r="D35" s="90">
        <v>0.27761205565007074</v>
      </c>
      <c r="E35" s="90">
        <v>-8.2551864497786676E-2</v>
      </c>
      <c r="F35" s="96">
        <v>9.9999999999999995E-7</v>
      </c>
      <c r="G35" s="168"/>
      <c r="H35" s="168"/>
      <c r="I35" s="92">
        <f t="shared" si="1"/>
        <v>1.8333114105419375E-3</v>
      </c>
      <c r="J35" s="92">
        <f t="shared" si="2"/>
        <v>7.5627777349989003E-2</v>
      </c>
      <c r="K35" s="93">
        <f t="shared" si="3"/>
        <v>0.99025379234982203</v>
      </c>
      <c r="L35" s="93">
        <f t="shared" si="4"/>
        <v>3.7912267689615503E-4</v>
      </c>
      <c r="M35" s="93">
        <f t="shared" si="5"/>
        <v>0.9996208773231039</v>
      </c>
      <c r="N35" s="93">
        <f t="shared" si="6"/>
        <v>3.740145216974074E-5</v>
      </c>
      <c r="O35" s="40">
        <f t="shared" si="7"/>
        <v>9.957285474391084E-7</v>
      </c>
      <c r="P35" s="40">
        <f t="shared" si="8"/>
        <v>1.1851374879773805E-6</v>
      </c>
      <c r="Q35" s="40">
        <f t="shared" si="9"/>
        <v>8.233587287507716E-7</v>
      </c>
      <c r="R35" s="9">
        <f t="shared" si="12"/>
        <v>1.4999999999999999E-4</v>
      </c>
      <c r="S35" s="9">
        <f t="shared" si="13"/>
        <v>5.6868401534423251E-8</v>
      </c>
      <c r="T35" s="9">
        <f t="shared" si="10"/>
        <v>1.4853806885247329E-4</v>
      </c>
      <c r="U35" s="9">
        <f t="shared" si="11"/>
        <v>1.4994313159846556E-4</v>
      </c>
      <c r="V35" s="100">
        <f t="shared" si="14"/>
        <v>0.99062936240550903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168</v>
      </c>
      <c r="C36" s="46" t="s">
        <v>169</v>
      </c>
      <c r="D36" s="47">
        <v>3.4409280000000009</v>
      </c>
      <c r="E36" s="47">
        <v>4.1160660000000009</v>
      </c>
      <c r="F36" s="96">
        <v>9.9999999999999995E-7</v>
      </c>
      <c r="G36" s="168"/>
      <c r="H36" s="168"/>
      <c r="I36" s="92">
        <f t="shared" si="1"/>
        <v>1.2834731216469764</v>
      </c>
      <c r="J36" s="92">
        <f t="shared" si="2"/>
        <v>3.4010714909731083</v>
      </c>
      <c r="K36" s="93">
        <f t="shared" si="3"/>
        <v>4.9707720486345419E-2</v>
      </c>
      <c r="L36" s="93">
        <f t="shared" si="4"/>
        <v>4.0262506603900877E-2</v>
      </c>
      <c r="M36" s="93">
        <f t="shared" si="5"/>
        <v>0.95973749339609915</v>
      </c>
      <c r="N36" s="93">
        <f t="shared" si="6"/>
        <v>2.9660854773347914E-2</v>
      </c>
      <c r="O36" s="40">
        <f t="shared" si="7"/>
        <v>4.9982536495950062E-8</v>
      </c>
      <c r="P36" s="40">
        <f t="shared" si="8"/>
        <v>1.2586059564379421E-4</v>
      </c>
      <c r="Q36" s="40">
        <f t="shared" si="9"/>
        <v>6.5295656353158869E-4</v>
      </c>
      <c r="R36" s="9">
        <f t="shared" si="12"/>
        <v>1.4999999999999999E-4</v>
      </c>
      <c r="S36" s="9">
        <f t="shared" si="13"/>
        <v>6.0393759905851309E-6</v>
      </c>
      <c r="T36" s="9">
        <f t="shared" si="10"/>
        <v>7.456158072951812E-6</v>
      </c>
      <c r="U36" s="9">
        <f t="shared" si="11"/>
        <v>1.4396062400941486E-4</v>
      </c>
      <c r="V36" s="100">
        <f t="shared" si="14"/>
        <v>5.179303802173147E-2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170</v>
      </c>
      <c r="C37" s="94" t="s">
        <v>171</v>
      </c>
      <c r="D37" s="95">
        <v>4.9025336133267672</v>
      </c>
      <c r="E37" s="95">
        <v>6.4965619006479365</v>
      </c>
      <c r="F37" s="96">
        <v>9.9999999999999995E-7</v>
      </c>
      <c r="G37" s="168"/>
      <c r="H37" s="168"/>
      <c r="I37" s="92">
        <f t="shared" si="1"/>
        <v>3.1977472098667894</v>
      </c>
      <c r="J37" s="92">
        <f t="shared" si="2"/>
        <v>5.6671527084817406</v>
      </c>
      <c r="K37" s="93">
        <f t="shared" si="3"/>
        <v>5.7657674955370901E-4</v>
      </c>
      <c r="L37" s="93">
        <f t="shared" si="4"/>
        <v>8.6181749185509027E-2</v>
      </c>
      <c r="M37" s="93">
        <f t="shared" si="5"/>
        <v>0.91381825081449097</v>
      </c>
      <c r="N37" s="93">
        <f t="shared" si="6"/>
        <v>8.2625260367288622E-2</v>
      </c>
      <c r="O37" s="40">
        <f t="shared" si="7"/>
        <v>5.7976443388107008E-10</v>
      </c>
      <c r="P37" s="40">
        <f t="shared" si="8"/>
        <v>2.6940414795390152E-4</v>
      </c>
      <c r="Q37" s="40">
        <f t="shared" si="9"/>
        <v>1.8189194641418608E-3</v>
      </c>
      <c r="R37" s="9">
        <f t="shared" si="12"/>
        <v>1.4999999999999999E-4</v>
      </c>
      <c r="S37" s="9">
        <f t="shared" si="13"/>
        <v>1.2927262377826353E-5</v>
      </c>
      <c r="T37" s="9">
        <f t="shared" si="10"/>
        <v>8.6486512433056343E-8</v>
      </c>
      <c r="U37" s="9">
        <f t="shared" si="11"/>
        <v>1.3707273762217365E-4</v>
      </c>
      <c r="V37" s="100">
        <f t="shared" si="14"/>
        <v>6.309534188442868E-4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172</v>
      </c>
      <c r="C38" s="46" t="s">
        <v>173</v>
      </c>
      <c r="D38" s="90">
        <v>-0.51108880646233978</v>
      </c>
      <c r="E38" s="90">
        <v>-1.2045066120098076</v>
      </c>
      <c r="F38" s="96">
        <v>9.9999999999999995E-7</v>
      </c>
      <c r="G38" s="168"/>
      <c r="H38" s="168"/>
      <c r="I38" s="92">
        <f t="shared" si="1"/>
        <v>-1.5996885357091404E-3</v>
      </c>
      <c r="J38" s="92">
        <f t="shared" si="2"/>
        <v>-0.15437586186998237</v>
      </c>
      <c r="K38" s="93">
        <f t="shared" si="3"/>
        <v>0.99826638691752589</v>
      </c>
      <c r="L38" s="93">
        <f t="shared" si="4"/>
        <v>2.250484658343422E-4</v>
      </c>
      <c r="M38" s="93">
        <f t="shared" si="5"/>
        <v>0.99977495153416562</v>
      </c>
      <c r="N38" s="93">
        <f t="shared" si="6"/>
        <v>2.8473027719807191E-6</v>
      </c>
      <c r="O38" s="40">
        <f t="shared" si="7"/>
        <v>1.0037854407443954E-6</v>
      </c>
      <c r="P38" s="40">
        <f t="shared" si="8"/>
        <v>7.035015041981538E-7</v>
      </c>
      <c r="Q38" s="40">
        <f t="shared" si="9"/>
        <v>6.2680763839519214E-8</v>
      </c>
      <c r="R38" s="9">
        <f t="shared" si="12"/>
        <v>1.4999999999999999E-4</v>
      </c>
      <c r="S38" s="9">
        <f t="shared" si="13"/>
        <v>3.375726987515133E-8</v>
      </c>
      <c r="T38" s="9">
        <f t="shared" si="10"/>
        <v>1.4973995803762888E-4</v>
      </c>
      <c r="U38" s="9">
        <f t="shared" si="11"/>
        <v>1.4996624273012484E-4</v>
      </c>
      <c r="V38" s="100">
        <f t="shared" si="14"/>
        <v>0.99849109580678652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99</v>
      </c>
      <c r="C39" s="46" t="s">
        <v>100</v>
      </c>
      <c r="D39" s="90">
        <v>2.3414159999999997</v>
      </c>
      <c r="E39" s="90">
        <v>2.4767320000000002</v>
      </c>
      <c r="F39" s="96">
        <v>9.9999999999999995E-7</v>
      </c>
      <c r="G39" s="168"/>
      <c r="H39" s="168"/>
      <c r="I39" s="92">
        <f t="shared" si="1"/>
        <v>0.33491051106253611</v>
      </c>
      <c r="J39" s="92">
        <f t="shared" si="2"/>
        <v>1.9816264972737885</v>
      </c>
      <c r="K39" s="93">
        <f t="shared" si="3"/>
        <v>0.45364518070123516</v>
      </c>
      <c r="L39" s="93">
        <f t="shared" si="4"/>
        <v>1.3987763129468339E-2</v>
      </c>
      <c r="M39" s="93">
        <f t="shared" si="5"/>
        <v>0.98601223687053163</v>
      </c>
      <c r="N39" s="93">
        <f t="shared" si="6"/>
        <v>6.2107223763557557E-3</v>
      </c>
      <c r="O39" s="40">
        <f t="shared" si="7"/>
        <v>4.5615322084302637E-7</v>
      </c>
      <c r="P39" s="40">
        <f t="shared" si="8"/>
        <v>4.3725747542718027E-5</v>
      </c>
      <c r="Q39" s="40">
        <f t="shared" si="9"/>
        <v>1.3672336724287389E-4</v>
      </c>
      <c r="R39" s="9">
        <f t="shared" si="12"/>
        <v>1.4999999999999999E-4</v>
      </c>
      <c r="S39" s="9">
        <f t="shared" si="13"/>
        <v>2.0981644694202506E-6</v>
      </c>
      <c r="T39" s="9">
        <f t="shared" si="10"/>
        <v>6.8046777105185274E-5</v>
      </c>
      <c r="U39" s="9">
        <f t="shared" si="11"/>
        <v>1.4790183553057973E-4</v>
      </c>
      <c r="V39" s="100">
        <f t="shared" si="14"/>
        <v>0.46008068027740012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174</v>
      </c>
      <c r="C40" s="46" t="s">
        <v>175</v>
      </c>
      <c r="D40" s="47">
        <v>2.349974877229557</v>
      </c>
      <c r="E40" s="47">
        <v>2.8654572197209189</v>
      </c>
      <c r="F40" s="96">
        <v>9.9999999999999995E-7</v>
      </c>
      <c r="G40" s="168"/>
      <c r="H40" s="168"/>
      <c r="I40" s="92">
        <f t="shared" si="1"/>
        <v>0.37071855582347524</v>
      </c>
      <c r="J40" s="92">
        <f t="shared" si="2"/>
        <v>2.2000700770906532</v>
      </c>
      <c r="K40" s="93">
        <f t="shared" si="3"/>
        <v>0.41470957065016234</v>
      </c>
      <c r="L40" s="93">
        <f t="shared" si="4"/>
        <v>2.1145580187524996E-2</v>
      </c>
      <c r="M40" s="93">
        <f t="shared" si="5"/>
        <v>0.97885441981247501</v>
      </c>
      <c r="N40" s="93">
        <f t="shared" si="6"/>
        <v>1.3896169177042802E-2</v>
      </c>
      <c r="O40" s="40">
        <f t="shared" si="7"/>
        <v>4.1700234988517562E-7</v>
      </c>
      <c r="P40" s="40">
        <f t="shared" si="8"/>
        <v>6.6101083666203153E-5</v>
      </c>
      <c r="Q40" s="40">
        <f t="shared" si="9"/>
        <v>3.0591144258757609E-4</v>
      </c>
      <c r="R40" s="9">
        <f t="shared" si="12"/>
        <v>1.4999999999999999E-4</v>
      </c>
      <c r="S40" s="9">
        <f t="shared" si="13"/>
        <v>3.1718370281287493E-6</v>
      </c>
      <c r="T40" s="9">
        <f t="shared" si="10"/>
        <v>6.2206435597524339E-5</v>
      </c>
      <c r="U40" s="9">
        <f t="shared" si="11"/>
        <v>1.4682816297187124E-4</v>
      </c>
      <c r="V40" s="100">
        <f t="shared" si="14"/>
        <v>0.42366828228615522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176</v>
      </c>
      <c r="C41" s="94" t="s">
        <v>177</v>
      </c>
      <c r="D41" s="95">
        <v>1.4854320000000003</v>
      </c>
      <c r="E41" s="95">
        <v>1.5057189999999996</v>
      </c>
      <c r="F41" s="96">
        <v>9.9999999999999995E-7</v>
      </c>
      <c r="G41" s="168"/>
      <c r="H41" s="168"/>
      <c r="I41" s="92">
        <f t="shared" si="1"/>
        <v>6.2122287627494992E-2</v>
      </c>
      <c r="J41" s="92">
        <f t="shared" si="2"/>
        <v>1.0971554041516225</v>
      </c>
      <c r="K41" s="93">
        <f t="shared" si="3"/>
        <v>0.85924761042670394</v>
      </c>
      <c r="L41" s="93">
        <f t="shared" si="4"/>
        <v>3.4568394351567936E-3</v>
      </c>
      <c r="M41" s="93">
        <f t="shared" si="5"/>
        <v>0.99654316056484316</v>
      </c>
      <c r="N41" s="93">
        <f t="shared" si="6"/>
        <v>1.2575670448128479E-3</v>
      </c>
      <c r="O41" s="40">
        <f t="shared" si="7"/>
        <v>8.6399807971496391E-7</v>
      </c>
      <c r="P41" s="40">
        <f t="shared" si="8"/>
        <v>1.0806080074300134E-5</v>
      </c>
      <c r="Q41" s="40">
        <f t="shared" si="9"/>
        <v>2.768418719778143E-5</v>
      </c>
      <c r="R41" s="9">
        <f t="shared" si="12"/>
        <v>1.4999999999999999E-4</v>
      </c>
      <c r="S41" s="9">
        <f t="shared" si="13"/>
        <v>5.1852591527351899E-7</v>
      </c>
      <c r="T41" s="9">
        <f t="shared" si="10"/>
        <v>1.2888714156400558E-4</v>
      </c>
      <c r="U41" s="9">
        <f t="shared" si="11"/>
        <v>1.4948147408472647E-4</v>
      </c>
      <c r="V41" s="100">
        <f t="shared" si="14"/>
        <v>0.86222819485277513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178</v>
      </c>
      <c r="C42" s="46" t="s">
        <v>179</v>
      </c>
      <c r="D42" s="90">
        <v>2.0758240000000003</v>
      </c>
      <c r="E42" s="90">
        <v>2.477398</v>
      </c>
      <c r="F42" s="96">
        <v>9.9999999999999995E-7</v>
      </c>
      <c r="G42" s="168"/>
      <c r="H42" s="168"/>
      <c r="I42" s="92">
        <f t="shared" si="1"/>
        <v>0.22542744412672311</v>
      </c>
      <c r="J42" s="92">
        <f t="shared" si="2"/>
        <v>1.8562658331213004</v>
      </c>
      <c r="K42" s="93">
        <f t="shared" si="3"/>
        <v>0.58400626290180313</v>
      </c>
      <c r="L42" s="93">
        <f t="shared" si="4"/>
        <v>1.3492387579974993E-2</v>
      </c>
      <c r="M42" s="93">
        <f t="shared" si="5"/>
        <v>0.98650761242002505</v>
      </c>
      <c r="N42" s="93">
        <f t="shared" si="6"/>
        <v>8.0077281192253956E-3</v>
      </c>
      <c r="O42" s="40">
        <f t="shared" si="7"/>
        <v>5.8723502232155737E-7</v>
      </c>
      <c r="P42" s="40">
        <f t="shared" si="8"/>
        <v>4.2177203575001833E-5</v>
      </c>
      <c r="Q42" s="40">
        <f t="shared" si="9"/>
        <v>1.7628280352604639E-4</v>
      </c>
      <c r="R42" s="9">
        <f t="shared" si="12"/>
        <v>1.4999999999999999E-4</v>
      </c>
      <c r="S42" s="9">
        <f t="shared" si="13"/>
        <v>2.0238581369962488E-6</v>
      </c>
      <c r="T42" s="9">
        <f t="shared" si="10"/>
        <v>8.7600939435270462E-5</v>
      </c>
      <c r="U42" s="9">
        <f t="shared" si="11"/>
        <v>1.4797614186300373E-4</v>
      </c>
      <c r="V42" s="100">
        <f t="shared" si="14"/>
        <v>0.59199367095522315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180</v>
      </c>
      <c r="C43" s="46" t="s">
        <v>181</v>
      </c>
      <c r="D43" s="90">
        <v>2.3078000000000003</v>
      </c>
      <c r="E43" s="90">
        <v>2.5099249999999995</v>
      </c>
      <c r="F43" s="96">
        <v>9.9999999999999995E-7</v>
      </c>
      <c r="G43" s="168"/>
      <c r="H43" s="168"/>
      <c r="I43" s="92">
        <f t="shared" si="1"/>
        <v>0.32073739190116707</v>
      </c>
      <c r="J43" s="92">
        <f t="shared" si="2"/>
        <v>1.9791588629447154</v>
      </c>
      <c r="K43" s="93">
        <f t="shared" si="3"/>
        <v>0.46851499188856577</v>
      </c>
      <c r="L43" s="93">
        <f t="shared" si="4"/>
        <v>1.4364411097662047E-2</v>
      </c>
      <c r="M43" s="93">
        <f t="shared" si="5"/>
        <v>0.98563558890233793</v>
      </c>
      <c r="N43" s="93">
        <f t="shared" si="6"/>
        <v>6.9237648116931795E-3</v>
      </c>
      <c r="O43" s="40">
        <f t="shared" si="7"/>
        <v>4.7110524183869453E-7</v>
      </c>
      <c r="P43" s="40">
        <f t="shared" si="8"/>
        <v>4.4903149091291572E-5</v>
      </c>
      <c r="Q43" s="40">
        <f t="shared" si="9"/>
        <v>1.5242034367149917E-4</v>
      </c>
      <c r="R43" s="9">
        <f t="shared" si="12"/>
        <v>1.4999999999999999E-4</v>
      </c>
      <c r="S43" s="9">
        <f t="shared" si="13"/>
        <v>2.1546616646493068E-6</v>
      </c>
      <c r="T43" s="9">
        <f t="shared" si="10"/>
        <v>7.0277248783284858E-5</v>
      </c>
      <c r="U43" s="9">
        <f t="shared" si="11"/>
        <v>1.4784533833535067E-4</v>
      </c>
      <c r="V43" s="100">
        <f t="shared" si="14"/>
        <v>0.47534301435922355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182</v>
      </c>
      <c r="C44" s="46" t="s">
        <v>183</v>
      </c>
      <c r="D44" s="90">
        <v>5.676184000000001</v>
      </c>
      <c r="E44" s="90">
        <v>7.0708080000000004</v>
      </c>
      <c r="F44" s="96">
        <v>9.9999999999999995E-7</v>
      </c>
      <c r="G44" s="168"/>
      <c r="H44" s="168"/>
      <c r="I44" s="92">
        <f t="shared" si="1"/>
        <v>3.8293839195374848</v>
      </c>
      <c r="J44" s="92">
        <f t="shared" si="2"/>
        <v>6.2517180889118604</v>
      </c>
      <c r="K44" s="93">
        <f t="shared" si="3"/>
        <v>1.3585702862730281E-4</v>
      </c>
      <c r="L44" s="93">
        <f t="shared" si="4"/>
        <v>7.8019950636067717E-2</v>
      </c>
      <c r="M44" s="93">
        <f t="shared" si="5"/>
        <v>0.9219800493639323</v>
      </c>
      <c r="N44" s="93">
        <f t="shared" si="6"/>
        <v>7.3043895531254691E-2</v>
      </c>
      <c r="O44" s="40">
        <f t="shared" si="7"/>
        <v>1.3660813300543166E-10</v>
      </c>
      <c r="P44" s="40">
        <f t="shared" si="8"/>
        <v>2.4389036568834774E-4</v>
      </c>
      <c r="Q44" s="40">
        <f t="shared" si="9"/>
        <v>1.607994488948607E-3</v>
      </c>
      <c r="R44" s="9">
        <f t="shared" si="12"/>
        <v>1.4999999999999999E-4</v>
      </c>
      <c r="S44" s="9">
        <f t="shared" si="13"/>
        <v>1.1702992595410156E-5</v>
      </c>
      <c r="T44" s="9">
        <f t="shared" si="10"/>
        <v>2.0378554294095421E-8</v>
      </c>
      <c r="U44" s="9">
        <f t="shared" si="11"/>
        <v>1.3829700740458983E-4</v>
      </c>
      <c r="V44" s="100">
        <f t="shared" si="14"/>
        <v>1.4735354492868868E-4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184</v>
      </c>
      <c r="C45" s="46" t="s">
        <v>185</v>
      </c>
      <c r="D45" s="90">
        <v>1.2599279999999999</v>
      </c>
      <c r="E45" s="90">
        <v>1.3925860000000003</v>
      </c>
      <c r="F45" s="96">
        <v>9.9999999999999995E-7</v>
      </c>
      <c r="G45" s="168"/>
      <c r="H45" s="168"/>
      <c r="I45" s="92">
        <f t="shared" si="1"/>
        <v>3.8037572032670899E-2</v>
      </c>
      <c r="J45" s="92">
        <f t="shared" si="2"/>
        <v>0.92896201878272155</v>
      </c>
      <c r="K45" s="93">
        <f t="shared" si="3"/>
        <v>0.90913252824486945</v>
      </c>
      <c r="L45" s="93">
        <f t="shared" si="4"/>
        <v>2.4831027228932848E-3</v>
      </c>
      <c r="M45" s="93">
        <f t="shared" si="5"/>
        <v>0.99751689727710668</v>
      </c>
      <c r="N45" s="93">
        <f t="shared" si="6"/>
        <v>1.0254323439885878E-3</v>
      </c>
      <c r="O45" s="40">
        <f t="shared" si="7"/>
        <v>9.1415879320269762E-7</v>
      </c>
      <c r="P45" s="40">
        <f t="shared" si="8"/>
        <v>7.7621791117644075E-6</v>
      </c>
      <c r="Q45" s="40">
        <f t="shared" si="9"/>
        <v>2.2573954276819192E-5</v>
      </c>
      <c r="R45" s="9">
        <f t="shared" si="12"/>
        <v>1.4999999999999999E-4</v>
      </c>
      <c r="S45" s="9">
        <f t="shared" si="13"/>
        <v>3.724654084339927E-7</v>
      </c>
      <c r="T45" s="9">
        <f t="shared" si="10"/>
        <v>1.3636987923673041E-4</v>
      </c>
      <c r="U45" s="9">
        <f t="shared" si="11"/>
        <v>1.49627534591566E-4</v>
      </c>
      <c r="V45" s="100">
        <f t="shared" si="14"/>
        <v>0.9113956171835309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186</v>
      </c>
      <c r="C46" s="46" t="s">
        <v>187</v>
      </c>
      <c r="D46" s="91">
        <v>1.2889359999999999</v>
      </c>
      <c r="E46" s="91">
        <v>1.371977</v>
      </c>
      <c r="F46" s="96">
        <v>9.9999999999999995E-7</v>
      </c>
      <c r="G46" s="168"/>
      <c r="H46" s="168"/>
      <c r="I46" s="92">
        <f t="shared" si="1"/>
        <v>4.0258976380178252E-2</v>
      </c>
      <c r="J46" s="92">
        <f t="shared" si="2"/>
        <v>0.93601930537447953</v>
      </c>
      <c r="K46" s="93">
        <f t="shared" si="3"/>
        <v>0.90446906507197411</v>
      </c>
      <c r="L46" s="93">
        <f t="shared" si="4"/>
        <v>2.5108368475244155E-3</v>
      </c>
      <c r="M46" s="93">
        <f t="shared" si="5"/>
        <v>0.9974891631524756</v>
      </c>
      <c r="N46" s="93">
        <f t="shared" si="6"/>
        <v>9.7289177650540287E-4</v>
      </c>
      <c r="O46" s="40">
        <f t="shared" si="7"/>
        <v>9.0946954742847649E-7</v>
      </c>
      <c r="P46" s="40">
        <f t="shared" si="8"/>
        <v>7.8488759853613222E-6</v>
      </c>
      <c r="Q46" s="40">
        <f t="shared" si="9"/>
        <v>2.1417321784196404E-5</v>
      </c>
      <c r="R46" s="9">
        <f t="shared" si="12"/>
        <v>1.4999999999999999E-4</v>
      </c>
      <c r="S46" s="9">
        <f t="shared" si="13"/>
        <v>3.7662552712866227E-7</v>
      </c>
      <c r="T46" s="9">
        <f t="shared" si="10"/>
        <v>1.3567035976079611E-4</v>
      </c>
      <c r="U46" s="9">
        <f t="shared" si="11"/>
        <v>1.4962337447287132E-4</v>
      </c>
      <c r="V46" s="100">
        <f t="shared" si="14"/>
        <v>0.90674575572678928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188</v>
      </c>
      <c r="C47" s="46" t="s">
        <v>189</v>
      </c>
      <c r="D47" s="90">
        <v>2.5448008164668257</v>
      </c>
      <c r="E47" s="90">
        <v>3.1426039783542175</v>
      </c>
      <c r="F47" s="96">
        <v>9.9999999999999995E-7</v>
      </c>
      <c r="G47" s="168"/>
      <c r="H47" s="168"/>
      <c r="I47" s="92">
        <f t="shared" si="1"/>
        <v>0.50587648659747519</v>
      </c>
      <c r="J47" s="92">
        <f t="shared" si="2"/>
        <v>2.4501770687994897</v>
      </c>
      <c r="K47" s="93">
        <f t="shared" si="3"/>
        <v>0.30186468182447918</v>
      </c>
      <c r="L47" s="93">
        <f t="shared" si="4"/>
        <v>2.7377566519677796E-2</v>
      </c>
      <c r="M47" s="93">
        <f t="shared" si="5"/>
        <v>0.97262243348032218</v>
      </c>
      <c r="N47" s="93">
        <f t="shared" si="6"/>
        <v>1.9147412642251612E-2</v>
      </c>
      <c r="O47" s="40">
        <f t="shared" si="7"/>
        <v>3.035335824799089E-7</v>
      </c>
      <c r="P47" s="40">
        <f t="shared" si="8"/>
        <v>8.5582272940512796E-5</v>
      </c>
      <c r="Q47" s="40">
        <f t="shared" si="9"/>
        <v>4.2151275999773616E-4</v>
      </c>
      <c r="R47" s="9">
        <f t="shared" si="12"/>
        <v>1.4999999999999999E-4</v>
      </c>
      <c r="S47" s="9">
        <f t="shared" si="13"/>
        <v>4.1066349779516694E-6</v>
      </c>
      <c r="T47" s="9">
        <f t="shared" si="10"/>
        <v>4.5279702273671871E-5</v>
      </c>
      <c r="U47" s="9">
        <f t="shared" si="11"/>
        <v>1.4589336502204831E-4</v>
      </c>
      <c r="V47" s="100">
        <f t="shared" si="14"/>
        <v>0.31036162793852157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101</v>
      </c>
      <c r="C48" s="46" t="s">
        <v>102</v>
      </c>
      <c r="D48" s="90">
        <v>0.29376000000000013</v>
      </c>
      <c r="E48" s="90">
        <v>0.18140000000000034</v>
      </c>
      <c r="F48" s="96">
        <v>9.9999999999999995E-7</v>
      </c>
      <c r="G48" s="168"/>
      <c r="H48" s="168"/>
      <c r="I48" s="92">
        <f t="shared" ref="I48:I50" si="15">IF(D48=0,"",LOG($K$15*10^D48+$K$16*10^E48+$K$14))</f>
        <v>2.0958974367173925E-3</v>
      </c>
      <c r="J48" s="92">
        <f t="shared" ref="J48:J50" si="16">IF(D48=0,"",LOG($K$21*10^D48+$K$22*10^E48+$K$20))</f>
        <v>0.11582725100744901</v>
      </c>
      <c r="K48" s="93">
        <f t="shared" ref="K48:K50" si="17">IF(D48=0,"",1/(1+10^D48*$J$15/$J$14+10^E48*$J$16/$J$14+10^J48*$J$19/$J$14))</f>
        <v>0.98961910187571756</v>
      </c>
      <c r="L48" s="93">
        <f t="shared" ref="L48:L50" si="18">IF(D48=0,"",1/(1+10^I48/10^J48*$J$13/$J$19))</f>
        <v>4.1562416590799694E-4</v>
      </c>
      <c r="M48" s="93">
        <f t="shared" ref="M48:M92" si="19">IF(D48=0,"",1-L48)</f>
        <v>0.99958437583409199</v>
      </c>
      <c r="N48" s="93">
        <f t="shared" ref="N48:N50" si="20">IF(D48=0,"",1/(1/10^E48*$J$20/$J$22+10^D48/10^E48*$J$21/$J$22+10^I48/10^E48*$J$13/$J$22+1))</f>
        <v>6.8637567602563827E-5</v>
      </c>
      <c r="O48" s="40">
        <f t="shared" ref="O48:O92" si="21">IF(D48=0,"",F48*K48*$J$7/$J$14)</f>
        <v>9.9509034799091064E-7</v>
      </c>
      <c r="P48" s="40">
        <f t="shared" ref="P48:P50" si="22">IF(D48=0,"",O48*10^J48)</f>
        <v>1.2992411426283982E-6</v>
      </c>
      <c r="Q48" s="40">
        <f t="shared" ref="Q48:Q50" si="23">IF(D48=0,"",F48*N48*$J$7/$J$22)</f>
        <v>1.5109932135606658E-6</v>
      </c>
      <c r="R48" s="9">
        <f t="shared" si="12"/>
        <v>1.4999999999999999E-4</v>
      </c>
      <c r="S48" s="9">
        <f t="shared" si="13"/>
        <v>6.2343624886199531E-8</v>
      </c>
      <c r="T48" s="9">
        <f t="shared" si="10"/>
        <v>1.4844286528135762E-4</v>
      </c>
      <c r="U48" s="9">
        <f t="shared" si="11"/>
        <v>1.4993765637511379E-4</v>
      </c>
      <c r="V48" s="100">
        <f t="shared" si="14"/>
        <v>0.99003058251079701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190</v>
      </c>
      <c r="C49" s="46" t="s">
        <v>191</v>
      </c>
      <c r="D49" s="90">
        <v>1.6175039999999998</v>
      </c>
      <c r="E49" s="90">
        <v>1.8999029999999997</v>
      </c>
      <c r="F49" s="96">
        <v>9.9999999999999995E-7</v>
      </c>
      <c r="G49" s="168"/>
      <c r="H49" s="168"/>
      <c r="I49" s="92">
        <f t="shared" si="15"/>
        <v>8.7763082204907472E-2</v>
      </c>
      <c r="J49" s="92">
        <f t="shared" si="16"/>
        <v>1.3393017792075548</v>
      </c>
      <c r="K49" s="93">
        <f t="shared" si="17"/>
        <v>0.80818048368266548</v>
      </c>
      <c r="L49" s="93">
        <f t="shared" si="18"/>
        <v>5.678264366939521E-3</v>
      </c>
      <c r="M49" s="93">
        <f t="shared" si="19"/>
        <v>0.99432173563306048</v>
      </c>
      <c r="N49" s="93">
        <f t="shared" si="20"/>
        <v>2.9316031089546622E-3</v>
      </c>
      <c r="O49" s="40">
        <f t="shared" si="21"/>
        <v>8.1264862129575589E-7</v>
      </c>
      <c r="P49" s="40">
        <f t="shared" si="22"/>
        <v>1.7750254411052946E-5</v>
      </c>
      <c r="Q49" s="40">
        <f t="shared" si="23"/>
        <v>6.4536558581635746E-5</v>
      </c>
      <c r="R49" s="9">
        <f t="shared" si="12"/>
        <v>1.4999999999999999E-4</v>
      </c>
      <c r="S49" s="9">
        <f t="shared" si="13"/>
        <v>8.517396550409281E-7</v>
      </c>
      <c r="T49" s="9">
        <f t="shared" si="10"/>
        <v>1.2122707255239981E-4</v>
      </c>
      <c r="U49" s="9">
        <f t="shared" si="11"/>
        <v>1.4914826034495907E-4</v>
      </c>
      <c r="V49" s="100">
        <f t="shared" si="14"/>
        <v>0.81279575284363725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192</v>
      </c>
      <c r="C50" s="46" t="s">
        <v>193</v>
      </c>
      <c r="D50" s="90">
        <v>2.5898400000000001</v>
      </c>
      <c r="E50" s="90">
        <v>2.96393</v>
      </c>
      <c r="F50" s="96">
        <v>9.9999999999999995E-7</v>
      </c>
      <c r="G50" s="168"/>
      <c r="H50" s="168"/>
      <c r="I50" s="92">
        <f t="shared" si="15"/>
        <v>0.50667591684415281</v>
      </c>
      <c r="J50" s="92">
        <f t="shared" si="16"/>
        <v>2.3514817080656072</v>
      </c>
      <c r="K50" s="93">
        <f t="shared" si="17"/>
        <v>0.30300803914967861</v>
      </c>
      <c r="L50" s="93">
        <f t="shared" si="18"/>
        <v>2.1894817500069157E-2</v>
      </c>
      <c r="M50" s="93">
        <f t="shared" si="19"/>
        <v>0.97810518249993084</v>
      </c>
      <c r="N50" s="93">
        <f t="shared" si="20"/>
        <v>1.2737317247399559E-2</v>
      </c>
      <c r="O50" s="40">
        <f t="shared" si="21"/>
        <v>3.046832610142603E-7</v>
      </c>
      <c r="P50" s="40">
        <f t="shared" si="22"/>
        <v>6.8443199505216175E-5</v>
      </c>
      <c r="Q50" s="40">
        <f t="shared" si="23"/>
        <v>2.8040037827726079E-4</v>
      </c>
      <c r="R50" s="9">
        <f t="shared" si="12"/>
        <v>1.4999999999999999E-4</v>
      </c>
      <c r="S50" s="9">
        <f t="shared" si="13"/>
        <v>3.2842226250103732E-6</v>
      </c>
      <c r="T50" s="9">
        <f t="shared" si="10"/>
        <v>4.5451205872451786E-5</v>
      </c>
      <c r="U50" s="9">
        <f t="shared" si="11"/>
        <v>1.4671577737498961E-4</v>
      </c>
      <c r="V50" s="100">
        <f t="shared" si="14"/>
        <v>0.30979085334689965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194</v>
      </c>
      <c r="C51" s="46" t="s">
        <v>195</v>
      </c>
      <c r="D51" s="90">
        <v>5.0487680000000008</v>
      </c>
      <c r="E51" s="90">
        <v>6.0352960000000007</v>
      </c>
      <c r="F51" s="96">
        <v>9.9999999999999995E-7</v>
      </c>
      <c r="G51" s="168"/>
      <c r="H51" s="168"/>
      <c r="I51" s="92">
        <f t="shared" ref="I51:I70" si="24">IF(D51=0,"",LOG($K$15*10^D51+$K$16*10^E51+$K$14))</f>
        <v>2.9778200964006376</v>
      </c>
      <c r="J51" s="92">
        <f t="shared" ref="J51:J70" si="25">IF(D51=0,"",LOG($K$21*10^D51+$K$22*10^E51+$K$20))</f>
        <v>5.2573793638422401</v>
      </c>
      <c r="K51" s="93">
        <f t="shared" ref="K51:K70" si="26">IF(D51=0,"",1/(1+10^D51*$J$15/$J$14+10^E51*$J$16/$J$14+10^J51*$J$19/$J$14))</f>
        <v>9.8683531539045912E-4</v>
      </c>
      <c r="L51" s="93">
        <f t="shared" ref="L51:L70" si="27">IF(D51=0,"",1/(1+10^I51/10^J51*$J$13/$J$19))</f>
        <v>5.7415548403848202E-2</v>
      </c>
      <c r="M51" s="93">
        <f t="shared" ref="M51:M70" si="28">IF(D51=0,"",1-L51)</f>
        <v>0.94258445159615178</v>
      </c>
      <c r="N51" s="93">
        <f t="shared" ref="N51:N70" si="29">IF(D51=0,"",1/(1/10^E51*$J$20/$J$22+10^D51/10^E51*$J$21/$J$22+10^I51/10^E51*$J$13/$J$22+1))</f>
        <v>4.8891627907555732E-2</v>
      </c>
      <c r="O51" s="40">
        <f t="shared" ref="O51:O70" si="30">IF(D51=0,"",F51*K51*$J$7/$J$14)</f>
        <v>9.9229117095694099E-10</v>
      </c>
      <c r="P51" s="40">
        <f t="shared" ref="P51:P70" si="31">IF(D51=0,"",O51*10^J51)</f>
        <v>1.7948100431042943E-4</v>
      </c>
      <c r="Q51" s="40">
        <f t="shared" ref="Q51:Q70" si="32">IF(D51=0,"",F51*N51*$J$7/$J$22)</f>
        <v>1.0763044284437973E-3</v>
      </c>
      <c r="R51" s="9">
        <f t="shared" si="12"/>
        <v>1.4999999999999999E-4</v>
      </c>
      <c r="S51" s="9">
        <f t="shared" si="13"/>
        <v>8.6123322605772295E-6</v>
      </c>
      <c r="T51" s="9">
        <f t="shared" si="10"/>
        <v>1.4802529730856886E-7</v>
      </c>
      <c r="U51" s="9">
        <f t="shared" si="11"/>
        <v>1.4138766773942276E-4</v>
      </c>
      <c r="V51" s="100">
        <f t="shared" si="14"/>
        <v>1.0469463120459646E-3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196</v>
      </c>
      <c r="C52" s="46" t="s">
        <v>197</v>
      </c>
      <c r="D52" s="47">
        <v>2.7330160000000001</v>
      </c>
      <c r="E52" s="47">
        <v>3.3310319999999995</v>
      </c>
      <c r="F52" s="96">
        <v>9.9999999999999995E-7</v>
      </c>
      <c r="G52" s="168"/>
      <c r="H52" s="168"/>
      <c r="I52" s="92">
        <f t="shared" si="24"/>
        <v>0.64393554165863076</v>
      </c>
      <c r="J52" s="92">
        <f t="shared" si="25"/>
        <v>2.638206330325866</v>
      </c>
      <c r="K52" s="93">
        <f t="shared" si="26"/>
        <v>0.21893025758731258</v>
      </c>
      <c r="L52" s="93">
        <f t="shared" si="27"/>
        <v>3.06138245490544E-2</v>
      </c>
      <c r="M52" s="93">
        <f t="shared" si="28"/>
        <v>0.96938617545094563</v>
      </c>
      <c r="N52" s="93">
        <f t="shared" si="29"/>
        <v>2.1430465416501367E-2</v>
      </c>
      <c r="O52" s="40">
        <f t="shared" si="30"/>
        <v>2.2014064380464857E-7</v>
      </c>
      <c r="P52" s="40">
        <f t="shared" si="31"/>
        <v>9.5698815540344083E-5</v>
      </c>
      <c r="Q52" s="40">
        <f t="shared" si="32"/>
        <v>4.7177207670410761E-4</v>
      </c>
      <c r="R52" s="9">
        <f t="shared" si="12"/>
        <v>1.4999999999999999E-4</v>
      </c>
      <c r="S52" s="9">
        <f t="shared" si="13"/>
        <v>4.5920736823581599E-6</v>
      </c>
      <c r="T52" s="9">
        <f t="shared" si="10"/>
        <v>3.2839538638096882E-5</v>
      </c>
      <c r="U52" s="9">
        <f t="shared" si="11"/>
        <v>1.4540792631764183E-4</v>
      </c>
      <c r="V52" s="100">
        <f t="shared" si="14"/>
        <v>0.2258442126900243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198</v>
      </c>
      <c r="C53" s="46" t="s">
        <v>199</v>
      </c>
      <c r="D53" s="47">
        <v>3.4406639999999999</v>
      </c>
      <c r="E53" s="47">
        <v>4.222847999999999</v>
      </c>
      <c r="F53" s="96">
        <v>9.9999999999999995E-7</v>
      </c>
      <c r="G53" s="168"/>
      <c r="H53" s="168"/>
      <c r="I53" s="92">
        <f t="shared" si="24"/>
        <v>1.3135143326183101</v>
      </c>
      <c r="J53" s="92">
        <f t="shared" si="25"/>
        <v>3.4821247233434276</v>
      </c>
      <c r="K53" s="93">
        <f t="shared" si="26"/>
        <v>4.6153934195221034E-2</v>
      </c>
      <c r="L53" s="93">
        <f t="shared" si="27"/>
        <v>4.5054577389972844E-2</v>
      </c>
      <c r="M53" s="93">
        <f t="shared" si="28"/>
        <v>0.95494542261002713</v>
      </c>
      <c r="N53" s="93">
        <f t="shared" si="29"/>
        <v>3.5216852747152763E-2</v>
      </c>
      <c r="O53" s="40">
        <f t="shared" si="30"/>
        <v>4.6409102605660826E-8</v>
      </c>
      <c r="P53" s="40">
        <f t="shared" si="31"/>
        <v>1.4084060892105511E-4</v>
      </c>
      <c r="Q53" s="40">
        <f t="shared" si="32"/>
        <v>7.7526677244788423E-4</v>
      </c>
      <c r="R53" s="9">
        <f t="shared" si="12"/>
        <v>1.4999999999999999E-4</v>
      </c>
      <c r="S53" s="9">
        <f t="shared" si="13"/>
        <v>6.7581866084959264E-6</v>
      </c>
      <c r="T53" s="9">
        <f t="shared" si="10"/>
        <v>6.9230901292831546E-6</v>
      </c>
      <c r="U53" s="9">
        <f t="shared" si="11"/>
        <v>1.4324181339150406E-4</v>
      </c>
      <c r="V53" s="100">
        <f t="shared" si="14"/>
        <v>4.8331489007062349E-2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200</v>
      </c>
      <c r="C54" s="46" t="s">
        <v>201</v>
      </c>
      <c r="D54" s="47">
        <v>2.8976480000000002</v>
      </c>
      <c r="E54" s="47">
        <v>3.5312959999999993</v>
      </c>
      <c r="F54" s="96">
        <v>9.9999999999999995E-7</v>
      </c>
      <c r="G54" s="168"/>
      <c r="H54" s="168"/>
      <c r="I54" s="92">
        <f t="shared" si="24"/>
        <v>0.78379345695532832</v>
      </c>
      <c r="J54" s="92">
        <f t="shared" si="25"/>
        <v>2.8279013612794559</v>
      </c>
      <c r="K54" s="93">
        <f t="shared" si="26"/>
        <v>0.15806444193393632</v>
      </c>
      <c r="L54" s="93">
        <f t="shared" si="27"/>
        <v>3.4209050025673156E-2</v>
      </c>
      <c r="M54" s="93">
        <f t="shared" si="28"/>
        <v>0.9657909499743268</v>
      </c>
      <c r="N54" s="93">
        <f t="shared" si="29"/>
        <v>2.4537143186190373E-2</v>
      </c>
      <c r="O54" s="40">
        <f t="shared" si="30"/>
        <v>1.5893832306885184E-7</v>
      </c>
      <c r="P54" s="40">
        <f t="shared" si="31"/>
        <v>1.0693749038025433E-4</v>
      </c>
      <c r="Q54" s="40">
        <f t="shared" si="32"/>
        <v>5.4016274366219092E-4</v>
      </c>
      <c r="R54" s="9">
        <f t="shared" si="12"/>
        <v>1.4999999999999999E-4</v>
      </c>
      <c r="S54" s="9">
        <f t="shared" si="13"/>
        <v>5.1313575038509727E-6</v>
      </c>
      <c r="T54" s="9">
        <f t="shared" si="10"/>
        <v>2.3709666290090446E-5</v>
      </c>
      <c r="U54" s="9">
        <f t="shared" si="11"/>
        <v>1.4486864249614901E-4</v>
      </c>
      <c r="V54" s="100">
        <f t="shared" si="14"/>
        <v>0.16366320469055759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103</v>
      </c>
      <c r="C55" s="46" t="s">
        <v>104</v>
      </c>
      <c r="D55" s="47">
        <v>1.423632</v>
      </c>
      <c r="E55" s="47">
        <v>1.638849</v>
      </c>
      <c r="F55" s="96">
        <v>9.9999999999999995E-7</v>
      </c>
      <c r="G55" s="168"/>
      <c r="H55" s="168"/>
      <c r="I55" s="54">
        <f t="shared" si="24"/>
        <v>5.6400487609719711E-2</v>
      </c>
      <c r="J55" s="54">
        <f t="shared" si="25"/>
        <v>1.1194464580046877</v>
      </c>
      <c r="K55" s="55">
        <f t="shared" si="26"/>
        <v>0.870442559549224</v>
      </c>
      <c r="L55" s="55">
        <f t="shared" si="27"/>
        <v>3.6863116252051869E-3</v>
      </c>
      <c r="M55" s="55">
        <f t="shared" si="28"/>
        <v>0.99631368837479484</v>
      </c>
      <c r="N55" s="55">
        <f t="shared" si="29"/>
        <v>1.7309436594310575E-3</v>
      </c>
      <c r="O55" s="56">
        <f t="shared" si="30"/>
        <v>8.7525492166249143E-7</v>
      </c>
      <c r="P55" s="56">
        <f t="shared" si="31"/>
        <v>1.1523410140391413E-5</v>
      </c>
      <c r="Q55" s="56">
        <f t="shared" si="32"/>
        <v>3.8105139995644263E-5</v>
      </c>
      <c r="R55" s="9">
        <f t="shared" si="12"/>
        <v>1.4999999999999999E-4</v>
      </c>
      <c r="S55" s="9">
        <f t="shared" si="13"/>
        <v>5.5294674378077801E-7</v>
      </c>
      <c r="T55" s="9">
        <f t="shared" si="10"/>
        <v>1.3056638393238359E-4</v>
      </c>
      <c r="U55" s="9">
        <f t="shared" si="11"/>
        <v>1.4944705325621921E-4</v>
      </c>
      <c r="V55" s="100">
        <f t="shared" si="14"/>
        <v>0.8736631541910318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202</v>
      </c>
      <c r="C56" s="46" t="s">
        <v>203</v>
      </c>
      <c r="D56" s="47">
        <v>2.6912000000000003</v>
      </c>
      <c r="E56" s="47">
        <v>3.3249699999999995</v>
      </c>
      <c r="F56" s="96">
        <v>9.9999999999999995E-7</v>
      </c>
      <c r="G56" s="168"/>
      <c r="H56" s="168"/>
      <c r="I56" s="54">
        <f t="shared" si="24"/>
        <v>0.61860589125383414</v>
      </c>
      <c r="J56" s="54">
        <f t="shared" si="25"/>
        <v>2.6217835296151417</v>
      </c>
      <c r="K56" s="55">
        <f t="shared" si="26"/>
        <v>0.23193166073534471</v>
      </c>
      <c r="L56" s="55">
        <f t="shared" si="27"/>
        <v>3.1228349977570419E-2</v>
      </c>
      <c r="M56" s="55">
        <f t="shared" si="28"/>
        <v>0.9687716500224296</v>
      </c>
      <c r="N56" s="55">
        <f t="shared" si="29"/>
        <v>2.2388440986614088E-2</v>
      </c>
      <c r="O56" s="56">
        <f t="shared" si="30"/>
        <v>2.3321392700868496E-7</v>
      </c>
      <c r="P56" s="56">
        <f t="shared" si="31"/>
        <v>9.7619822029885149E-5</v>
      </c>
      <c r="Q56" s="56">
        <f t="shared" si="32"/>
        <v>4.9286103186025102E-4</v>
      </c>
      <c r="R56" s="9">
        <f t="shared" si="12"/>
        <v>1.4999999999999999E-4</v>
      </c>
      <c r="S56" s="9">
        <f t="shared" si="13"/>
        <v>4.6842524966355625E-6</v>
      </c>
      <c r="T56" s="9">
        <f t="shared" si="10"/>
        <v>3.4789749110301705E-5</v>
      </c>
      <c r="U56" s="9">
        <f t="shared" si="11"/>
        <v>1.4531574750336444E-4</v>
      </c>
      <c r="V56" s="100">
        <f t="shared" si="14"/>
        <v>0.23940797682299528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105</v>
      </c>
      <c r="C57" s="87" t="s">
        <v>106</v>
      </c>
      <c r="D57" s="90">
        <v>2.1493200000000003</v>
      </c>
      <c r="E57" s="90">
        <v>2.6108399999999996</v>
      </c>
      <c r="F57" s="96">
        <v>9.9999999999999995E-7</v>
      </c>
      <c r="G57" s="168"/>
      <c r="H57" s="168"/>
      <c r="I57" s="54">
        <f t="shared" si="24"/>
        <v>0.26171036693668792</v>
      </c>
      <c r="J57" s="54">
        <f t="shared" si="25"/>
        <v>1.9657934893493081</v>
      </c>
      <c r="K57" s="55">
        <f t="shared" si="26"/>
        <v>0.53586999846240302</v>
      </c>
      <c r="L57" s="55">
        <f t="shared" si="27"/>
        <v>1.5931563647184063E-2</v>
      </c>
      <c r="M57" s="55">
        <f t="shared" si="28"/>
        <v>0.98406843635281593</v>
      </c>
      <c r="N57" s="55">
        <f t="shared" si="29"/>
        <v>9.9906388026331505E-3</v>
      </c>
      <c r="O57" s="56">
        <f t="shared" si="30"/>
        <v>5.3883262988471376E-7</v>
      </c>
      <c r="P57" s="56">
        <f t="shared" si="31"/>
        <v>4.9802067961097384E-5</v>
      </c>
      <c r="Q57" s="56">
        <f t="shared" si="32"/>
        <v>2.1993476688050162E-4</v>
      </c>
      <c r="R57" s="9">
        <f t="shared" si="12"/>
        <v>1.4999999999999999E-4</v>
      </c>
      <c r="S57" s="9">
        <f t="shared" si="13"/>
        <v>2.3897345470776092E-6</v>
      </c>
      <c r="T57" s="9">
        <f t="shared" si="10"/>
        <v>8.0380499769360444E-5</v>
      </c>
      <c r="U57" s="9">
        <f t="shared" si="11"/>
        <v>1.4761026545292237E-4</v>
      </c>
      <c r="V57" s="100">
        <f t="shared" si="14"/>
        <v>0.54454545910288576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145</v>
      </c>
      <c r="C58" s="46" t="s">
        <v>146</v>
      </c>
      <c r="D58" s="47">
        <v>2.0184960000000003</v>
      </c>
      <c r="E58" s="47">
        <v>2.3512620000000002</v>
      </c>
      <c r="F58" s="96">
        <v>9.9999999999999995E-7</v>
      </c>
      <c r="G58" s="168"/>
      <c r="H58" s="168"/>
      <c r="I58" s="54">
        <f t="shared" si="24"/>
        <v>0.19893820408979257</v>
      </c>
      <c r="J58" s="54">
        <f t="shared" si="25"/>
        <v>1.7600042430072071</v>
      </c>
      <c r="K58" s="55">
        <f t="shared" si="26"/>
        <v>0.62198123647493886</v>
      </c>
      <c r="L58" s="55">
        <f t="shared" si="27"/>
        <v>1.1512960029801837E-2</v>
      </c>
      <c r="M58" s="55">
        <f t="shared" si="28"/>
        <v>0.98848703997019816</v>
      </c>
      <c r="N58" s="55">
        <f t="shared" si="29"/>
        <v>6.3787135298081681E-3</v>
      </c>
      <c r="O58" s="56">
        <f t="shared" si="30"/>
        <v>6.2541994578980201E-7</v>
      </c>
      <c r="P58" s="56">
        <f t="shared" si="31"/>
        <v>3.5989513053160534E-5</v>
      </c>
      <c r="Q58" s="56">
        <f t="shared" si="32"/>
        <v>1.4042153869141084E-4</v>
      </c>
      <c r="R58" s="9">
        <f t="shared" si="12"/>
        <v>1.4999999999999999E-4</v>
      </c>
      <c r="S58" s="9">
        <f t="shared" si="13"/>
        <v>1.7269440044702753E-6</v>
      </c>
      <c r="T58" s="9">
        <f t="shared" si="10"/>
        <v>9.3297185471240821E-5</v>
      </c>
      <c r="U58" s="9">
        <f t="shared" si="11"/>
        <v>1.482730559955297E-4</v>
      </c>
      <c r="V58" s="100">
        <f t="shared" si="14"/>
        <v>0.62922548432571346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147</v>
      </c>
      <c r="C59" s="46" t="s">
        <v>148</v>
      </c>
      <c r="D59" s="47">
        <v>1.4665360000000003</v>
      </c>
      <c r="E59" s="47">
        <v>1.8522119999999997</v>
      </c>
      <c r="F59" s="96">
        <v>9.9999999999999995E-7</v>
      </c>
      <c r="G59" s="168"/>
      <c r="H59" s="168"/>
      <c r="I59" s="54">
        <f t="shared" si="24"/>
        <v>6.5352597387686409E-2</v>
      </c>
      <c r="J59" s="54">
        <f t="shared" si="25"/>
        <v>1.2491688866071173</v>
      </c>
      <c r="K59" s="55">
        <f t="shared" si="26"/>
        <v>0.85167726160576551</v>
      </c>
      <c r="L59" s="55">
        <f t="shared" si="27"/>
        <v>4.8623857455447053E-3</v>
      </c>
      <c r="M59" s="55">
        <f t="shared" si="28"/>
        <v>0.99513761425445535</v>
      </c>
      <c r="N59" s="55">
        <f t="shared" si="29"/>
        <v>2.7680942127064367E-3</v>
      </c>
      <c r="O59" s="56">
        <f t="shared" si="30"/>
        <v>8.5638587717323664E-7</v>
      </c>
      <c r="P59" s="56">
        <f t="shared" si="31"/>
        <v>1.5199817840572748E-5</v>
      </c>
      <c r="Q59" s="56">
        <f t="shared" si="32"/>
        <v>6.0937059921974097E-5</v>
      </c>
      <c r="R59" s="9">
        <f t="shared" si="12"/>
        <v>1.4999999999999999E-4</v>
      </c>
      <c r="S59" s="9">
        <f t="shared" si="13"/>
        <v>7.2935786183170576E-7</v>
      </c>
      <c r="T59" s="9">
        <f t="shared" si="10"/>
        <v>1.2775158924086482E-4</v>
      </c>
      <c r="U59" s="9">
        <f t="shared" si="11"/>
        <v>1.4927064213816828E-4</v>
      </c>
      <c r="V59" s="100">
        <f t="shared" si="14"/>
        <v>0.85583867940097058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149</v>
      </c>
      <c r="C60" s="46" t="s">
        <v>150</v>
      </c>
      <c r="D60" s="47">
        <v>2.7203999877244023</v>
      </c>
      <c r="E60" s="47">
        <v>3.3923999825375306</v>
      </c>
      <c r="F60" s="96">
        <v>9.9999999999999995E-7</v>
      </c>
      <c r="G60" s="168"/>
      <c r="H60" s="168"/>
      <c r="I60" s="54">
        <f t="shared" si="24"/>
        <v>0.6487673116742505</v>
      </c>
      <c r="J60" s="54">
        <f t="shared" si="25"/>
        <v>2.6786895992598456</v>
      </c>
      <c r="K60" s="55">
        <f t="shared" si="26"/>
        <v>0.21594245122734973</v>
      </c>
      <c r="L60" s="55">
        <f t="shared" si="27"/>
        <v>3.3146150401506959E-2</v>
      </c>
      <c r="M60" s="55">
        <f t="shared" si="28"/>
        <v>0.96685384959849308</v>
      </c>
      <c r="N60" s="55">
        <f t="shared" si="29"/>
        <v>2.4346235819401589E-2</v>
      </c>
      <c r="O60" s="56">
        <f t="shared" si="30"/>
        <v>2.1713631894387172E-7</v>
      </c>
      <c r="P60" s="56">
        <f t="shared" si="31"/>
        <v>1.0361486615511078E-4</v>
      </c>
      <c r="Q60" s="56">
        <f t="shared" si="32"/>
        <v>5.3596009275668573E-4</v>
      </c>
      <c r="R60" s="9">
        <f t="shared" si="12"/>
        <v>1.4999999999999999E-4</v>
      </c>
      <c r="S60" s="9">
        <f t="shared" si="13"/>
        <v>4.9719225602260437E-6</v>
      </c>
      <c r="T60" s="9">
        <f t="shared" si="10"/>
        <v>3.2391367684102459E-5</v>
      </c>
      <c r="U60" s="9">
        <f t="shared" si="11"/>
        <v>1.4502807743977395E-4</v>
      </c>
      <c r="V60" s="100">
        <f t="shared" si="14"/>
        <v>0.22334549458227268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151</v>
      </c>
      <c r="C61" s="46" t="s">
        <v>152</v>
      </c>
      <c r="D61" s="47">
        <v>3.4658999877244021</v>
      </c>
      <c r="E61" s="47">
        <v>4.4528999825375299</v>
      </c>
      <c r="F61" s="96">
        <v>9.9999999999999995E-7</v>
      </c>
      <c r="G61" s="168"/>
      <c r="H61" s="168"/>
      <c r="I61" s="54">
        <f t="shared" si="24"/>
        <v>1.4117733403846819</v>
      </c>
      <c r="J61" s="54">
        <f t="shared" si="25"/>
        <v>3.6749685564755032</v>
      </c>
      <c r="K61" s="55">
        <f t="shared" si="26"/>
        <v>3.6409481098570215E-2</v>
      </c>
      <c r="L61" s="55">
        <f t="shared" si="27"/>
        <v>5.5410046737867952E-2</v>
      </c>
      <c r="M61" s="55">
        <f t="shared" si="28"/>
        <v>0.94458995326213202</v>
      </c>
      <c r="N61" s="55">
        <f t="shared" si="29"/>
        <v>4.7185470179083366E-2</v>
      </c>
      <c r="O61" s="56">
        <f t="shared" si="30"/>
        <v>3.6610775951952867E-8</v>
      </c>
      <c r="P61" s="56">
        <f t="shared" si="31"/>
        <v>1.7321180610257528E-4</v>
      </c>
      <c r="Q61" s="56">
        <f t="shared" si="32"/>
        <v>1.0387449280268636E-3</v>
      </c>
      <c r="R61" s="9">
        <f t="shared" si="12"/>
        <v>1.4999999999999999E-4</v>
      </c>
      <c r="S61" s="9">
        <f t="shared" si="13"/>
        <v>8.3115070106801918E-6</v>
      </c>
      <c r="T61" s="9">
        <f t="shared" si="10"/>
        <v>5.4614221647855319E-6</v>
      </c>
      <c r="U61" s="9">
        <f t="shared" si="11"/>
        <v>1.4168849298931978E-4</v>
      </c>
      <c r="V61" s="100">
        <f t="shared" si="14"/>
        <v>3.8545276680987804E-2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153</v>
      </c>
      <c r="C62" s="46" t="s">
        <v>154</v>
      </c>
      <c r="D62" s="47">
        <v>4.1687999877244026</v>
      </c>
      <c r="E62" s="47">
        <v>5.4527999825375302</v>
      </c>
      <c r="F62" s="96">
        <v>9.9999999999999995E-7</v>
      </c>
      <c r="G62" s="168"/>
      <c r="H62" s="168"/>
      <c r="I62" s="54">
        <f t="shared" si="24"/>
        <v>2.2542758302531842</v>
      </c>
      <c r="J62" s="54">
        <f t="shared" si="25"/>
        <v>4.6416780984884465</v>
      </c>
      <c r="K62" s="55">
        <f t="shared" si="26"/>
        <v>5.1382684120756779E-3</v>
      </c>
      <c r="L62" s="55">
        <f t="shared" si="27"/>
        <v>7.2426976566082754E-2</v>
      </c>
      <c r="M62" s="55">
        <f t="shared" si="28"/>
        <v>0.92757302343391723</v>
      </c>
      <c r="N62" s="55">
        <f t="shared" si="29"/>
        <v>6.6574909473210639E-2</v>
      </c>
      <c r="O62" s="56">
        <f t="shared" si="30"/>
        <v>5.1666760398539848E-9</v>
      </c>
      <c r="P62" s="56">
        <f t="shared" si="31"/>
        <v>2.264067287455748E-4</v>
      </c>
      <c r="Q62" s="56">
        <f t="shared" si="32"/>
        <v>1.4655856831919472E-3</v>
      </c>
      <c r="R62" s="9">
        <f t="shared" si="12"/>
        <v>1.4999999999999999E-4</v>
      </c>
      <c r="S62" s="9">
        <f t="shared" si="13"/>
        <v>1.0864046484912412E-5</v>
      </c>
      <c r="T62" s="9">
        <f t="shared" si="10"/>
        <v>7.707402618113516E-7</v>
      </c>
      <c r="U62" s="9">
        <f t="shared" si="11"/>
        <v>1.3913595351508758E-4</v>
      </c>
      <c r="V62" s="100">
        <f t="shared" si="14"/>
        <v>5.539475903528949E-3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155</v>
      </c>
      <c r="C63" s="46" t="s">
        <v>156</v>
      </c>
      <c r="D63" s="47">
        <v>4.999499987724402</v>
      </c>
      <c r="E63" s="47">
        <v>6.6344999825375304</v>
      </c>
      <c r="F63" s="96">
        <v>9.9999999999999995E-7</v>
      </c>
      <c r="G63" s="168"/>
      <c r="H63" s="168"/>
      <c r="I63" s="54">
        <f t="shared" si="24"/>
        <v>3.3259932392561606</v>
      </c>
      <c r="J63" s="54">
        <f t="shared" si="25"/>
        <v>5.8034741934365162</v>
      </c>
      <c r="K63" s="55">
        <f t="shared" si="26"/>
        <v>4.2845892712124099E-4</v>
      </c>
      <c r="L63" s="55">
        <f t="shared" si="27"/>
        <v>8.7657455503964227E-2</v>
      </c>
      <c r="M63" s="55">
        <f t="shared" si="28"/>
        <v>0.9123425444960358</v>
      </c>
      <c r="N63" s="55">
        <f t="shared" si="29"/>
        <v>8.4353477923178932E-2</v>
      </c>
      <c r="O63" s="56">
        <f t="shared" si="30"/>
        <v>4.3082772157568175E-10</v>
      </c>
      <c r="P63" s="56">
        <f t="shared" si="31"/>
        <v>2.7401720590539239E-4</v>
      </c>
      <c r="Q63" s="56">
        <f t="shared" si="32"/>
        <v>1.8569645914637844E-3</v>
      </c>
      <c r="R63" s="9">
        <f t="shared" si="12"/>
        <v>1.4999999999999999E-4</v>
      </c>
      <c r="S63" s="9">
        <f t="shared" si="13"/>
        <v>1.3148618325594632E-5</v>
      </c>
      <c r="T63" s="9">
        <f t="shared" si="10"/>
        <v>6.4268839068186142E-8</v>
      </c>
      <c r="U63" s="9">
        <f t="shared" si="11"/>
        <v>1.3685138167440536E-4</v>
      </c>
      <c r="V63" s="100">
        <f t="shared" si="14"/>
        <v>4.6962506539461582E-4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157</v>
      </c>
      <c r="C64" s="46" t="s">
        <v>158</v>
      </c>
      <c r="D64" s="47">
        <v>4.4669999877244022</v>
      </c>
      <c r="E64" s="47">
        <v>5.8769999825375301</v>
      </c>
      <c r="F64" s="96">
        <v>9.9999999999999995E-7</v>
      </c>
      <c r="G64" s="168"/>
      <c r="H64" s="168"/>
      <c r="I64" s="54">
        <f t="shared" si="24"/>
        <v>2.6313958666363746</v>
      </c>
      <c r="J64" s="54">
        <f t="shared" si="25"/>
        <v>5.0569476970919887</v>
      </c>
      <c r="K64" s="55">
        <f t="shared" si="26"/>
        <v>2.141994067643272E-3</v>
      </c>
      <c r="L64" s="55">
        <f t="shared" si="27"/>
        <v>7.8554565591787057E-2</v>
      </c>
      <c r="M64" s="55">
        <f t="shared" si="28"/>
        <v>0.92144543440821292</v>
      </c>
      <c r="N64" s="55">
        <f t="shared" si="29"/>
        <v>7.3707564496485925E-2</v>
      </c>
      <c r="O64" s="56">
        <f t="shared" si="30"/>
        <v>2.1538363781839102E-9</v>
      </c>
      <c r="P64" s="56">
        <f t="shared" si="31"/>
        <v>2.4556157203992659E-4</v>
      </c>
      <c r="Q64" s="56">
        <f t="shared" si="32"/>
        <v>1.6226045536339086E-3</v>
      </c>
      <c r="R64" s="9">
        <f t="shared" si="12"/>
        <v>1.4999999999999999E-4</v>
      </c>
      <c r="S64" s="9">
        <f t="shared" si="13"/>
        <v>1.1783184838768058E-5</v>
      </c>
      <c r="T64" s="9">
        <f t="shared" si="10"/>
        <v>3.2129911014649075E-7</v>
      </c>
      <c r="U64" s="9">
        <f t="shared" si="11"/>
        <v>1.3821681516123192E-4</v>
      </c>
      <c r="V64" s="100">
        <f t="shared" si="14"/>
        <v>2.3246021822430989E-3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159</v>
      </c>
      <c r="C65" s="46" t="s">
        <v>160</v>
      </c>
      <c r="D65" s="47">
        <v>4.2539999877244021</v>
      </c>
      <c r="E65" s="47">
        <v>5.5739999825375302</v>
      </c>
      <c r="F65" s="96">
        <v>9.9999999999999995E-7</v>
      </c>
      <c r="G65" s="168"/>
      <c r="H65" s="168"/>
      <c r="I65" s="54">
        <f t="shared" si="24"/>
        <v>2.3610319672695166</v>
      </c>
      <c r="J65" s="54">
        <f t="shared" si="25"/>
        <v>4.7600765897084454</v>
      </c>
      <c r="K65" s="55">
        <f t="shared" si="26"/>
        <v>4.0105770601008691E-3</v>
      </c>
      <c r="L65" s="55">
        <f t="shared" si="27"/>
        <v>7.4248712223460384E-2</v>
      </c>
      <c r="M65" s="55">
        <f t="shared" si="28"/>
        <v>0.92575128777653959</v>
      </c>
      <c r="N65" s="55">
        <f t="shared" si="29"/>
        <v>6.8691130323949245E-2</v>
      </c>
      <c r="O65" s="56">
        <f t="shared" si="30"/>
        <v>4.0327500902274792E-9</v>
      </c>
      <c r="P65" s="56">
        <f t="shared" si="31"/>
        <v>2.3210147441053738E-4</v>
      </c>
      <c r="Q65" s="56">
        <f t="shared" si="32"/>
        <v>1.5121723478356715E-3</v>
      </c>
      <c r="R65" s="9">
        <f t="shared" si="12"/>
        <v>1.4999999999999999E-4</v>
      </c>
      <c r="S65" s="9">
        <f t="shared" si="13"/>
        <v>1.1137306833519057E-5</v>
      </c>
      <c r="T65" s="9">
        <f t="shared" si="10"/>
        <v>6.0158655901513027E-7</v>
      </c>
      <c r="U65" s="9">
        <f t="shared" si="11"/>
        <v>1.3886269316648093E-4</v>
      </c>
      <c r="V65" s="100">
        <f t="shared" si="14"/>
        <v>4.3322403252966935E-3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161</v>
      </c>
      <c r="C66" s="46" t="s">
        <v>162</v>
      </c>
      <c r="D66" s="47">
        <v>4.4669999877244022</v>
      </c>
      <c r="E66" s="47">
        <v>5.8769999825375301</v>
      </c>
      <c r="F66" s="96">
        <v>9.9999999999999995E-7</v>
      </c>
      <c r="G66" s="168"/>
      <c r="H66" s="168"/>
      <c r="I66" s="54">
        <f t="shared" si="24"/>
        <v>2.6313958666363746</v>
      </c>
      <c r="J66" s="54">
        <f t="shared" si="25"/>
        <v>5.0569476970919887</v>
      </c>
      <c r="K66" s="55">
        <f t="shared" si="26"/>
        <v>2.141994067643272E-3</v>
      </c>
      <c r="L66" s="55">
        <f t="shared" si="27"/>
        <v>7.8554565591787057E-2</v>
      </c>
      <c r="M66" s="55">
        <f t="shared" si="28"/>
        <v>0.92144543440821292</v>
      </c>
      <c r="N66" s="55">
        <f t="shared" si="29"/>
        <v>7.3707564496485925E-2</v>
      </c>
      <c r="O66" s="56">
        <f t="shared" si="30"/>
        <v>2.1538363781839102E-9</v>
      </c>
      <c r="P66" s="56">
        <f t="shared" si="31"/>
        <v>2.4556157203992659E-4</v>
      </c>
      <c r="Q66" s="56">
        <f t="shared" si="32"/>
        <v>1.6226045536339086E-3</v>
      </c>
      <c r="R66" s="9">
        <f t="shared" si="12"/>
        <v>1.4999999999999999E-4</v>
      </c>
      <c r="S66" s="9">
        <f t="shared" si="13"/>
        <v>1.1783184838768058E-5</v>
      </c>
      <c r="T66" s="9">
        <f t="shared" si="10"/>
        <v>3.2129911014649075E-7</v>
      </c>
      <c r="U66" s="9">
        <f t="shared" si="11"/>
        <v>1.3821681516123192E-4</v>
      </c>
      <c r="V66" s="100">
        <f t="shared" si="14"/>
        <v>2.3246021822430989E-3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115</v>
      </c>
      <c r="C67" s="46" t="s">
        <v>116</v>
      </c>
      <c r="D67" s="47">
        <v>-0.73745450190951667</v>
      </c>
      <c r="E67" s="47">
        <v>-1.5265197844064957</v>
      </c>
      <c r="F67" s="96">
        <v>9.9999999999999995E-7</v>
      </c>
      <c r="G67" s="168"/>
      <c r="H67" s="168"/>
      <c r="I67" s="54">
        <f t="shared" si="24"/>
        <v>-1.8671766444063711E-3</v>
      </c>
      <c r="J67" s="54">
        <f t="shared" si="25"/>
        <v>-0.17642537119776217</v>
      </c>
      <c r="K67" s="55">
        <f t="shared" si="26"/>
        <v>0.99889241939704265</v>
      </c>
      <c r="L67" s="55">
        <f t="shared" si="27"/>
        <v>2.1404190943634372E-4</v>
      </c>
      <c r="M67" s="55">
        <f t="shared" si="28"/>
        <v>0.9997859580905637</v>
      </c>
      <c r="N67" s="55">
        <f t="shared" si="29"/>
        <v>1.3573528144445528E-6</v>
      </c>
      <c r="O67" s="56">
        <f t="shared" si="30"/>
        <v>1.0044149343310847E-6</v>
      </c>
      <c r="P67" s="56">
        <f t="shared" si="31"/>
        <v>6.6909500889801054E-7</v>
      </c>
      <c r="Q67" s="56">
        <f t="shared" si="32"/>
        <v>2.9880879563054027E-8</v>
      </c>
      <c r="R67" s="9">
        <f t="shared" si="12"/>
        <v>1.4999999999999999E-4</v>
      </c>
      <c r="S67" s="9">
        <f t="shared" si="13"/>
        <v>3.2106286415451557E-8</v>
      </c>
      <c r="T67" s="9">
        <f t="shared" si="10"/>
        <v>1.4983386290955638E-4</v>
      </c>
      <c r="U67" s="9">
        <f t="shared" si="11"/>
        <v>1.4996789371358454E-4</v>
      </c>
      <c r="V67" s="100">
        <f t="shared" si="14"/>
        <v>0.99910627001080554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117</v>
      </c>
      <c r="C68" s="46" t="s">
        <v>118</v>
      </c>
      <c r="D68" s="47">
        <v>4.7386560000000006</v>
      </c>
      <c r="E68" s="47">
        <v>5.8355820000000005</v>
      </c>
      <c r="F68" s="96">
        <v>9.9999999999999995E-7</v>
      </c>
      <c r="G68" s="168"/>
      <c r="H68" s="168"/>
      <c r="I68" s="54">
        <f t="shared" si="24"/>
        <v>2.7194923137791687</v>
      </c>
      <c r="J68" s="54">
        <f t="shared" si="25"/>
        <v>5.0429475645742867</v>
      </c>
      <c r="K68" s="55">
        <f t="shared" si="26"/>
        <v>1.7779864515540559E-3</v>
      </c>
      <c r="L68" s="55">
        <f t="shared" si="27"/>
        <v>6.3136642390246342E-2</v>
      </c>
      <c r="M68" s="55">
        <f t="shared" si="28"/>
        <v>0.9368633576097537</v>
      </c>
      <c r="N68" s="55">
        <f t="shared" si="29"/>
        <v>5.5616577779592932E-2</v>
      </c>
      <c r="O68" s="56">
        <f t="shared" si="30"/>
        <v>1.7878162956299159E-9</v>
      </c>
      <c r="P68" s="56">
        <f t="shared" si="31"/>
        <v>1.973651441119102E-4</v>
      </c>
      <c r="Q68" s="56">
        <f t="shared" si="32"/>
        <v>1.2243480432324472E-3</v>
      </c>
      <c r="R68" s="9">
        <f t="shared" si="12"/>
        <v>1.4999999999999999E-4</v>
      </c>
      <c r="S68" s="9">
        <f t="shared" si="13"/>
        <v>9.4704963585369502E-6</v>
      </c>
      <c r="T68" s="9">
        <f t="shared" si="10"/>
        <v>2.6669796773310835E-7</v>
      </c>
      <c r="U68" s="9">
        <f t="shared" si="11"/>
        <v>1.4052950364146303E-4</v>
      </c>
      <c r="V68" s="100">
        <f t="shared" si="14"/>
        <v>1.8978076547793304E-3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119</v>
      </c>
      <c r="C69" s="46" t="s">
        <v>120</v>
      </c>
      <c r="D69" s="47">
        <v>2.3724999877244022</v>
      </c>
      <c r="E69" s="47">
        <v>2.8974999825375303</v>
      </c>
      <c r="F69" s="96">
        <v>9.9999999999999995E-7</v>
      </c>
      <c r="G69" s="168"/>
      <c r="H69" s="168"/>
      <c r="I69" s="54">
        <f t="shared" si="24"/>
        <v>0.38500856866688477</v>
      </c>
      <c r="J69" s="54">
        <f t="shared" si="25"/>
        <v>2.2287889533331362</v>
      </c>
      <c r="K69" s="55">
        <f t="shared" si="26"/>
        <v>0.40099958609246827</v>
      </c>
      <c r="L69" s="55">
        <f t="shared" si="27"/>
        <v>2.1844310858568625E-2</v>
      </c>
      <c r="M69" s="55">
        <f t="shared" si="28"/>
        <v>0.97815568914143136</v>
      </c>
      <c r="N69" s="55">
        <f t="shared" si="29"/>
        <v>1.4465642297738274E-2</v>
      </c>
      <c r="O69" s="56">
        <f t="shared" si="30"/>
        <v>4.0321656778112406E-7</v>
      </c>
      <c r="P69" s="56">
        <f t="shared" si="31"/>
        <v>6.8285315743885506E-5</v>
      </c>
      <c r="Q69" s="56">
        <f t="shared" si="32"/>
        <v>3.1844787199105523E-4</v>
      </c>
      <c r="R69" s="9">
        <f t="shared" si="12"/>
        <v>1.4999999999999999E-4</v>
      </c>
      <c r="S69" s="9">
        <f t="shared" si="13"/>
        <v>3.2766466287852934E-6</v>
      </c>
      <c r="T69" s="9">
        <f t="shared" si="10"/>
        <v>6.0149937913870236E-5</v>
      </c>
      <c r="U69" s="9">
        <f t="shared" si="11"/>
        <v>1.4672335337121469E-4</v>
      </c>
      <c r="V69" s="100">
        <f t="shared" si="14"/>
        <v>0.40995476542639403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113</v>
      </c>
      <c r="C70" s="46" t="s">
        <v>114</v>
      </c>
      <c r="D70" s="47">
        <v>3.3511520000000004</v>
      </c>
      <c r="E70" s="47">
        <v>4.2962190000000007</v>
      </c>
      <c r="F70" s="96">
        <v>9.9999999999999995E-7</v>
      </c>
      <c r="G70" s="168"/>
      <c r="H70" s="168"/>
      <c r="I70" s="54">
        <f t="shared" si="24"/>
        <v>1.2852308448323728</v>
      </c>
      <c r="J70" s="54">
        <f t="shared" si="25"/>
        <v>3.5247920710512646</v>
      </c>
      <c r="K70" s="55">
        <f t="shared" si="26"/>
        <v>4.8868996881379946E-2</v>
      </c>
      <c r="L70" s="55">
        <f t="shared" si="27"/>
        <v>5.2629708677272541E-2</v>
      </c>
      <c r="M70" s="55">
        <f t="shared" si="28"/>
        <v>0.94737029132272743</v>
      </c>
      <c r="N70" s="55">
        <f t="shared" si="29"/>
        <v>4.41515789449562E-2</v>
      </c>
      <c r="O70" s="56">
        <f t="shared" si="30"/>
        <v>4.9139175891499947E-8</v>
      </c>
      <c r="P70" s="56">
        <f t="shared" si="31"/>
        <v>1.6452046932515405E-4</v>
      </c>
      <c r="Q70" s="56">
        <f t="shared" si="32"/>
        <v>9.7195659001361333E-4</v>
      </c>
      <c r="R70" s="9">
        <f t="shared" si="12"/>
        <v>1.4999999999999999E-4</v>
      </c>
      <c r="S70" s="9">
        <f t="shared" si="13"/>
        <v>7.8944563015908802E-6</v>
      </c>
      <c r="T70" s="9">
        <f t="shared" si="10"/>
        <v>7.3303495322069916E-6</v>
      </c>
      <c r="U70" s="9">
        <f t="shared" si="11"/>
        <v>1.4210554369840911E-4</v>
      </c>
      <c r="V70" s="100">
        <f t="shared" si="14"/>
        <v>5.1583839317093837E-2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121</v>
      </c>
      <c r="C71" s="46" t="s">
        <v>122</v>
      </c>
      <c r="D71" s="47">
        <v>5.9183200000000005</v>
      </c>
      <c r="E71" s="47">
        <v>7.0401399999999992</v>
      </c>
      <c r="F71" s="96">
        <v>9.9999999999999995E-7</v>
      </c>
      <c r="G71" s="168"/>
      <c r="H71" s="168"/>
      <c r="I71" s="54">
        <f t="shared" ref="I71:I122" si="33">IF(D71=0,"",LOG($K$15*10^D71+$K$16*10^E71+$K$14))</f>
        <v>3.9109447814528924</v>
      </c>
      <c r="J71" s="54">
        <f t="shared" ref="J71:J122" si="34">IF(D71=0,"",LOG($K$21*10^D71+$K$22*10^E71+$K$20))</f>
        <v>6.2446121134706578</v>
      </c>
      <c r="K71" s="55">
        <f t="shared" ref="K71:K122" si="35">IF(D71=0,"",1/(1+10^D71*$J$15/$J$14+10^E71*$J$16/$J$14+10^J71*$J$19/$J$14))</f>
        <v>1.1424154618837859E-4</v>
      </c>
      <c r="L71" s="55">
        <f t="shared" ref="L71:L122" si="36">IF(D71=0,"",1/(1+10^I71/10^J71*$J$13/$J$19))</f>
        <v>6.4541886661132877E-2</v>
      </c>
      <c r="M71" s="55">
        <f t="shared" si="19"/>
        <v>0.93545811333886708</v>
      </c>
      <c r="N71" s="55">
        <f t="shared" ref="N71:N122" si="37">IF(D71=0,"",1/(1/10^E71*$J$20/$J$22+10^D71/10^E71*$J$21/$J$22+10^I71/10^E71*$J$13/$J$22+1))</f>
        <v>5.7234499222287141E-2</v>
      </c>
      <c r="O71" s="56">
        <f t="shared" si="21"/>
        <v>1.1487314638141459E-10</v>
      </c>
      <c r="P71" s="56">
        <f t="shared" ref="P71:P122" si="38">IF(D71=0,"",O71*10^J71)</f>
        <v>2.0175793770270138E-4</v>
      </c>
      <c r="Q71" s="56">
        <f t="shared" ref="Q71:Q122" si="39">IF(D71=0,"",F71*N71*$J$7/$J$22)</f>
        <v>1.2599651025976732E-3</v>
      </c>
      <c r="R71" s="9">
        <f t="shared" si="12"/>
        <v>1.4999999999999999E-4</v>
      </c>
      <c r="S71" s="9">
        <f t="shared" si="13"/>
        <v>9.6812829991699316E-6</v>
      </c>
      <c r="T71" s="9">
        <f t="shared" si="10"/>
        <v>1.7136231928256786E-8</v>
      </c>
      <c r="U71" s="9">
        <f t="shared" si="11"/>
        <v>1.4031871700083005E-4</v>
      </c>
      <c r="V71" s="100">
        <f t="shared" si="14"/>
        <v>1.2212363606599552E-4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123</v>
      </c>
      <c r="C72" s="46" t="s">
        <v>124</v>
      </c>
      <c r="D72" s="47">
        <v>5.5295200000000007</v>
      </c>
      <c r="E72" s="47">
        <v>6.5305900000000001</v>
      </c>
      <c r="F72" s="96">
        <v>9.9999999999999995E-7</v>
      </c>
      <c r="G72" s="168"/>
      <c r="H72" s="168"/>
      <c r="I72" s="54">
        <f t="shared" si="33"/>
        <v>3.4646398062685488</v>
      </c>
      <c r="J72" s="54">
        <f t="shared" si="34"/>
        <v>5.7505440288504071</v>
      </c>
      <c r="K72" s="55">
        <f t="shared" si="35"/>
        <v>3.2140908971869773E-4</v>
      </c>
      <c r="L72" s="55">
        <f t="shared" si="36"/>
        <v>5.8211347708317866E-2</v>
      </c>
      <c r="M72" s="55">
        <f t="shared" si="19"/>
        <v>0.94178865229168218</v>
      </c>
      <c r="N72" s="55">
        <f t="shared" si="37"/>
        <v>4.9812916465405914E-2</v>
      </c>
      <c r="O72" s="56">
        <f t="shared" si="21"/>
        <v>3.2318604433707368E-10</v>
      </c>
      <c r="P72" s="56">
        <f t="shared" si="38"/>
        <v>1.8196867293620171E-4</v>
      </c>
      <c r="Q72" s="56">
        <f t="shared" si="39"/>
        <v>1.0965857526116824E-3</v>
      </c>
      <c r="R72" s="9">
        <f t="shared" si="12"/>
        <v>1.4999999999999999E-4</v>
      </c>
      <c r="S72" s="9">
        <f t="shared" si="13"/>
        <v>8.7317021562476787E-6</v>
      </c>
      <c r="T72" s="9">
        <f t="shared" si="10"/>
        <v>4.8211363457804659E-8</v>
      </c>
      <c r="U72" s="9">
        <f t="shared" si="11"/>
        <v>1.4126829784375232E-4</v>
      </c>
      <c r="V72" s="100">
        <f t="shared" si="14"/>
        <v>3.4127517775522513E-4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125</v>
      </c>
      <c r="C73" s="46" t="s">
        <v>126</v>
      </c>
      <c r="D73" s="47">
        <v>5.4845040000000003</v>
      </c>
      <c r="E73" s="47">
        <v>6.5678879999999999</v>
      </c>
      <c r="F73" s="96">
        <v>9.9999999999999995E-7</v>
      </c>
      <c r="G73" s="168"/>
      <c r="H73" s="168"/>
      <c r="I73" s="54">
        <f t="shared" si="33"/>
        <v>3.4579829545014036</v>
      </c>
      <c r="J73" s="54">
        <f t="shared" si="34"/>
        <v>5.7768867999222078</v>
      </c>
      <c r="K73" s="55">
        <f t="shared" si="35"/>
        <v>3.248805865753529E-4</v>
      </c>
      <c r="L73" s="55">
        <f t="shared" si="36"/>
        <v>6.251957701053551E-2</v>
      </c>
      <c r="M73" s="55">
        <f t="shared" si="19"/>
        <v>0.93748042298946443</v>
      </c>
      <c r="N73" s="55">
        <f t="shared" si="37"/>
        <v>5.4866287580336716E-2</v>
      </c>
      <c r="O73" s="56">
        <f t="shared" si="21"/>
        <v>3.2667673384437087E-10</v>
      </c>
      <c r="P73" s="56">
        <f t="shared" si="38"/>
        <v>1.954361977349342E-4</v>
      </c>
      <c r="Q73" s="56">
        <f t="shared" si="39"/>
        <v>1.2078310913812157E-3</v>
      </c>
      <c r="R73" s="9">
        <f t="shared" si="12"/>
        <v>1.4999999999999999E-4</v>
      </c>
      <c r="S73" s="9">
        <f t="shared" si="13"/>
        <v>9.3779365515803257E-6</v>
      </c>
      <c r="T73" s="9">
        <f t="shared" si="10"/>
        <v>4.8732087986302932E-8</v>
      </c>
      <c r="U73" s="9">
        <f t="shared" si="11"/>
        <v>1.4062206344841966E-4</v>
      </c>
      <c r="V73" s="100">
        <f t="shared" si="14"/>
        <v>3.4654652898176197E-4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127</v>
      </c>
      <c r="C74" s="46" t="s">
        <v>128</v>
      </c>
      <c r="D74" s="47">
        <v>2.7195840000000011</v>
      </c>
      <c r="E74" s="47">
        <v>3.2500779999999994</v>
      </c>
      <c r="F74" s="96">
        <v>9.9999999999999995E-7</v>
      </c>
      <c r="G74" s="168"/>
      <c r="H74" s="168"/>
      <c r="I74" s="54">
        <f t="shared" si="33"/>
        <v>0.62193942428688143</v>
      </c>
      <c r="J74" s="54">
        <f t="shared" si="34"/>
        <v>2.5786532271571372</v>
      </c>
      <c r="K74" s="55">
        <f t="shared" si="35"/>
        <v>0.23088980418888413</v>
      </c>
      <c r="L74" s="55">
        <f t="shared" si="36"/>
        <v>2.8149031244770722E-2</v>
      </c>
      <c r="M74" s="55">
        <f t="shared" si="19"/>
        <v>0.97185096875522925</v>
      </c>
      <c r="N74" s="55">
        <f t="shared" si="37"/>
        <v>1.8757569762079689E-2</v>
      </c>
      <c r="O74" s="56">
        <f t="shared" si="21"/>
        <v>2.3216631041416994E-7</v>
      </c>
      <c r="P74" s="56">
        <f t="shared" si="38"/>
        <v>8.799387167115329E-5</v>
      </c>
      <c r="Q74" s="56">
        <f t="shared" si="39"/>
        <v>4.1293072588916279E-4</v>
      </c>
      <c r="R74" s="9">
        <f t="shared" si="12"/>
        <v>1.4999999999999999E-4</v>
      </c>
      <c r="S74" s="9">
        <f t="shared" si="13"/>
        <v>4.2223546867156079E-6</v>
      </c>
      <c r="T74" s="9">
        <f t="shared" si="10"/>
        <v>3.4633470628332616E-5</v>
      </c>
      <c r="U74" s="9">
        <f t="shared" si="11"/>
        <v>1.4577764531328437E-4</v>
      </c>
      <c r="V74" s="100">
        <f t="shared" si="14"/>
        <v>0.23757737720281691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81</v>
      </c>
      <c r="C75" s="46" t="s">
        <v>82</v>
      </c>
      <c r="D75" s="47">
        <v>3.9841999877244016</v>
      </c>
      <c r="E75" s="47">
        <v>5.1901999825375293</v>
      </c>
      <c r="F75" s="96">
        <v>9.9999999999999995E-7</v>
      </c>
      <c r="G75" s="168"/>
      <c r="H75" s="168"/>
      <c r="I75" s="54">
        <f t="shared" si="33"/>
        <v>2.0259693417507676</v>
      </c>
      <c r="J75" s="54">
        <f t="shared" si="34"/>
        <v>4.3859314040665449</v>
      </c>
      <c r="K75" s="55">
        <f t="shared" si="35"/>
        <v>8.7307888638083805E-3</v>
      </c>
      <c r="L75" s="55">
        <f t="shared" si="36"/>
        <v>6.8295228184876086E-2</v>
      </c>
      <c r="M75" s="55">
        <f t="shared" si="19"/>
        <v>0.9317047718151239</v>
      </c>
      <c r="N75" s="55">
        <f t="shared" si="37"/>
        <v>6.1794138691391623E-2</v>
      </c>
      <c r="O75" s="56">
        <f t="shared" si="21"/>
        <v>8.7790582379172073E-9</v>
      </c>
      <c r="P75" s="56">
        <f t="shared" si="38"/>
        <v>2.1349088330592281E-4</v>
      </c>
      <c r="Q75" s="56">
        <f t="shared" si="39"/>
        <v>1.3603413911921847E-3</v>
      </c>
      <c r="R75" s="9">
        <f t="shared" si="12"/>
        <v>1.4999999999999999E-4</v>
      </c>
      <c r="S75" s="9">
        <f t="shared" si="13"/>
        <v>1.0244284227731412E-5</v>
      </c>
      <c r="T75" s="9">
        <f t="shared" si="10"/>
        <v>1.309618329571257E-6</v>
      </c>
      <c r="U75" s="9">
        <f t="shared" si="11"/>
        <v>1.3975571577226858E-4</v>
      </c>
      <c r="V75" s="100">
        <f t="shared" si="14"/>
        <v>9.3707675735085864E-3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129</v>
      </c>
      <c r="C76" s="46" t="s">
        <v>130</v>
      </c>
      <c r="D76" s="47">
        <v>4.10616</v>
      </c>
      <c r="E76" s="47">
        <v>5.1108449999999994</v>
      </c>
      <c r="F76" s="96">
        <v>9.9999999999999995E-7</v>
      </c>
      <c r="G76" s="168"/>
      <c r="H76" s="168"/>
      <c r="I76" s="54">
        <f t="shared" si="33"/>
        <v>2.0466328175843658</v>
      </c>
      <c r="J76" s="54">
        <f t="shared" si="34"/>
        <v>4.3302914014280267</v>
      </c>
      <c r="K76" s="55">
        <f t="shared" si="35"/>
        <v>8.4177407723229208E-3</v>
      </c>
      <c r="L76" s="55">
        <f t="shared" si="36"/>
        <v>5.7928518175656474E-2</v>
      </c>
      <c r="M76" s="55">
        <f t="shared" si="19"/>
        <v>0.94207148182434353</v>
      </c>
      <c r="N76" s="55">
        <f t="shared" si="37"/>
        <v>4.9628867187748657E-2</v>
      </c>
      <c r="O76" s="56">
        <f t="shared" si="21"/>
        <v>8.4642794167488228E-9</v>
      </c>
      <c r="P76" s="56">
        <f t="shared" si="38"/>
        <v>1.8108454781710237E-4</v>
      </c>
      <c r="Q76" s="56">
        <f t="shared" si="39"/>
        <v>1.0925340762598754E-3</v>
      </c>
      <c r="R76" s="9">
        <f t="shared" si="12"/>
        <v>1.4999999999999999E-4</v>
      </c>
      <c r="S76" s="9">
        <f t="shared" si="13"/>
        <v>8.6892777263484709E-6</v>
      </c>
      <c r="T76" s="9">
        <f t="shared" si="10"/>
        <v>1.262661115848438E-6</v>
      </c>
      <c r="U76" s="9">
        <f t="shared" si="11"/>
        <v>1.4131072227365152E-4</v>
      </c>
      <c r="V76" s="100">
        <f t="shared" si="14"/>
        <v>8.9353525021495916E-3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131</v>
      </c>
      <c r="C77" s="46" t="s">
        <v>132</v>
      </c>
      <c r="D77" s="47">
        <v>2.8295519999999996</v>
      </c>
      <c r="E77" s="47">
        <v>3.5791989999999991</v>
      </c>
      <c r="F77" s="96">
        <v>9.9999999999999995E-7</v>
      </c>
      <c r="G77" s="168"/>
      <c r="H77" s="168"/>
      <c r="I77" s="54">
        <f t="shared" si="33"/>
        <v>0.75425121724867172</v>
      </c>
      <c r="J77" s="54">
        <f t="shared" si="34"/>
        <v>2.8460801477665378</v>
      </c>
      <c r="K77" s="55">
        <f t="shared" si="35"/>
        <v>0.16852109881599417</v>
      </c>
      <c r="L77" s="55">
        <f t="shared" si="36"/>
        <v>3.8031188752446599E-2</v>
      </c>
      <c r="M77" s="55">
        <f t="shared" si="19"/>
        <v>0.9619688112475534</v>
      </c>
      <c r="N77" s="55">
        <f t="shared" si="37"/>
        <v>2.9211045225476063E-2</v>
      </c>
      <c r="O77" s="56">
        <f t="shared" si="21"/>
        <v>1.6945279102512542E-7</v>
      </c>
      <c r="P77" s="56">
        <f t="shared" si="38"/>
        <v>1.1888549604014806E-4</v>
      </c>
      <c r="Q77" s="56">
        <f t="shared" si="39"/>
        <v>6.4305441813266326E-4</v>
      </c>
      <c r="R77" s="9">
        <f t="shared" si="12"/>
        <v>1.4999999999999999E-4</v>
      </c>
      <c r="S77" s="9">
        <f t="shared" si="13"/>
        <v>5.7046783128669889E-6</v>
      </c>
      <c r="T77" s="9">
        <f t="shared" si="10"/>
        <v>2.5278164822399125E-5</v>
      </c>
      <c r="U77" s="9">
        <f t="shared" si="11"/>
        <v>1.44295321687133E-4</v>
      </c>
      <c r="V77" s="100">
        <f t="shared" si="14"/>
        <v>0.17518353697709113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83</v>
      </c>
      <c r="C78" s="46" t="s">
        <v>84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0.98244102051051041</v>
      </c>
      <c r="J78" s="54">
        <f t="shared" si="34"/>
        <v>3.1911261573025951</v>
      </c>
      <c r="K78" s="55">
        <f t="shared" si="35"/>
        <v>9.8490573960446096E-2</v>
      </c>
      <c r="L78" s="55">
        <f t="shared" si="36"/>
        <v>4.9195603904668601E-2</v>
      </c>
      <c r="M78" s="55">
        <f t="shared" si="19"/>
        <v>0.95080439609533141</v>
      </c>
      <c r="N78" s="55">
        <f t="shared" si="37"/>
        <v>4.1028768655994141E-2</v>
      </c>
      <c r="O78" s="56">
        <f t="shared" si="21"/>
        <v>9.9035092724425963E-8</v>
      </c>
      <c r="P78" s="56">
        <f t="shared" si="38"/>
        <v>1.537854578059941E-4</v>
      </c>
      <c r="Q78" s="56">
        <f t="shared" si="39"/>
        <v>9.032107804129414E-4</v>
      </c>
      <c r="R78" s="9">
        <f t="shared" si="12"/>
        <v>1.4999999999999999E-4</v>
      </c>
      <c r="S78" s="9">
        <f t="shared" si="13"/>
        <v>7.3793405857002895E-6</v>
      </c>
      <c r="T78" s="9">
        <f t="shared" si="10"/>
        <v>1.4773586094066912E-5</v>
      </c>
      <c r="U78" s="9">
        <f t="shared" si="11"/>
        <v>1.4262065941429971E-4</v>
      </c>
      <c r="V78" s="100">
        <f t="shared" si="14"/>
        <v>0.10358657823303863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133</v>
      </c>
      <c r="C79" s="46" t="s">
        <v>134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1.0570731161685156</v>
      </c>
      <c r="J79" s="54">
        <f t="shared" si="34"/>
        <v>3.0863447971892604</v>
      </c>
      <c r="K79" s="55">
        <f t="shared" si="35"/>
        <v>8.434391811356784E-2</v>
      </c>
      <c r="L79" s="55">
        <f t="shared" si="36"/>
        <v>3.3098174367456622E-2</v>
      </c>
      <c r="M79" s="55">
        <f t="shared" si="19"/>
        <v>0.96690182563254334</v>
      </c>
      <c r="N79" s="55">
        <f t="shared" si="37"/>
        <v>2.188933595298705E-2</v>
      </c>
      <c r="O79" s="56">
        <f t="shared" si="21"/>
        <v>8.4810225133555985E-8</v>
      </c>
      <c r="P79" s="56">
        <f t="shared" si="38"/>
        <v>1.0346489307266944E-4</v>
      </c>
      <c r="Q79" s="56">
        <f t="shared" si="39"/>
        <v>4.8187369147209525E-4</v>
      </c>
      <c r="R79" s="9">
        <f t="shared" si="12"/>
        <v>1.4999999999999999E-4</v>
      </c>
      <c r="S79" s="9">
        <f t="shared" si="13"/>
        <v>4.9647261551184925E-6</v>
      </c>
      <c r="T79" s="9">
        <f t="shared" si="10"/>
        <v>1.2651587717035174E-5</v>
      </c>
      <c r="U79" s="9">
        <f t="shared" si="11"/>
        <v>1.4503527384488149E-4</v>
      </c>
      <c r="V79" s="100">
        <f t="shared" si="14"/>
        <v>8.7231108554780501E-2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135</v>
      </c>
      <c r="C80" s="46" t="s">
        <v>136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1.1393826628828596</v>
      </c>
      <c r="J80" s="54">
        <f t="shared" si="34"/>
        <v>3.1630398899948347</v>
      </c>
      <c r="K80" s="55">
        <f t="shared" si="35"/>
        <v>6.9811809764919741E-2</v>
      </c>
      <c r="L80" s="55">
        <f t="shared" si="36"/>
        <v>3.2686939340955005E-2</v>
      </c>
      <c r="M80" s="55">
        <f t="shared" si="19"/>
        <v>0.96731306065904499</v>
      </c>
      <c r="N80" s="55">
        <f t="shared" si="37"/>
        <v>2.1141885257890947E-2</v>
      </c>
      <c r="O80" s="56">
        <f t="shared" si="21"/>
        <v>7.0197774013434093E-8</v>
      </c>
      <c r="P80" s="56">
        <f t="shared" si="38"/>
        <v>1.0217937237982541E-4</v>
      </c>
      <c r="Q80" s="56">
        <f t="shared" si="39"/>
        <v>4.654192487054022E-4</v>
      </c>
      <c r="R80" s="9">
        <f t="shared" si="12"/>
        <v>1.4999999999999999E-4</v>
      </c>
      <c r="S80" s="9">
        <f t="shared" si="13"/>
        <v>4.9030409011432506E-6</v>
      </c>
      <c r="T80" s="9">
        <f t="shared" si="10"/>
        <v>1.047177146473796E-5</v>
      </c>
      <c r="U80" s="9">
        <f t="shared" si="11"/>
        <v>1.4509695909885673E-4</v>
      </c>
      <c r="V80" s="100">
        <f t="shared" si="14"/>
        <v>7.2170854094904813E-2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137</v>
      </c>
      <c r="C81" s="46" t="s">
        <v>138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2.466507651261447</v>
      </c>
      <c r="J81" s="54">
        <f t="shared" si="34"/>
        <v>4.8333812334786872</v>
      </c>
      <c r="K81" s="55">
        <f t="shared" si="35"/>
        <v>3.1625662863575361E-3</v>
      </c>
      <c r="L81" s="55">
        <f t="shared" si="36"/>
        <v>6.9314858490989562E-2</v>
      </c>
      <c r="M81" s="55">
        <f t="shared" si="19"/>
        <v>0.93068514150901049</v>
      </c>
      <c r="N81" s="55">
        <f t="shared" si="37"/>
        <v>6.2888531231261299E-2</v>
      </c>
      <c r="O81" s="56">
        <f t="shared" si="21"/>
        <v>3.1800509716020685E-9</v>
      </c>
      <c r="P81" s="56">
        <f t="shared" si="38"/>
        <v>2.1667824764283347E-4</v>
      </c>
      <c r="Q81" s="56">
        <f t="shared" si="39"/>
        <v>1.3844334410487524E-3</v>
      </c>
      <c r="R81" s="9">
        <f t="shared" si="12"/>
        <v>1.4999999999999999E-4</v>
      </c>
      <c r="S81" s="9">
        <f t="shared" si="13"/>
        <v>1.0397228773648433E-5</v>
      </c>
      <c r="T81" s="9">
        <f t="shared" si="10"/>
        <v>4.7438494295363037E-7</v>
      </c>
      <c r="U81" s="9">
        <f t="shared" si="11"/>
        <v>1.3960277122635156E-4</v>
      </c>
      <c r="V81" s="100">
        <f t="shared" si="14"/>
        <v>3.3981054873507052E-3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139</v>
      </c>
      <c r="C82" s="46" t="s">
        <v>140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2.2273249528367836</v>
      </c>
      <c r="J82" s="54">
        <f t="shared" si="34"/>
        <v>4.5239348971579787</v>
      </c>
      <c r="K82" s="55">
        <f t="shared" si="35"/>
        <v>5.542969985959407E-3</v>
      </c>
      <c r="L82" s="55">
        <f t="shared" si="36"/>
        <v>5.957758496087117E-2</v>
      </c>
      <c r="M82" s="55">
        <f t="shared" si="19"/>
        <v>0.94042241503912882</v>
      </c>
      <c r="N82" s="55">
        <f t="shared" si="37"/>
        <v>5.151068697187227E-2</v>
      </c>
      <c r="O82" s="56">
        <f t="shared" si="21"/>
        <v>5.5736150623780305E-9</v>
      </c>
      <c r="P82" s="56">
        <f t="shared" si="38"/>
        <v>1.8623953058768345E-4</v>
      </c>
      <c r="Q82" s="56">
        <f t="shared" si="39"/>
        <v>1.1339606160145968E-3</v>
      </c>
      <c r="R82" s="9">
        <f t="shared" si="12"/>
        <v>1.4999999999999999E-4</v>
      </c>
      <c r="S82" s="9">
        <f t="shared" si="13"/>
        <v>8.936637744130675E-6</v>
      </c>
      <c r="T82" s="9">
        <f t="shared" si="10"/>
        <v>8.31445497893911E-7</v>
      </c>
      <c r="U82" s="9">
        <f t="shared" si="11"/>
        <v>1.4106336225586932E-4</v>
      </c>
      <c r="V82" s="100">
        <f t="shared" si="14"/>
        <v>5.894127891165564E-3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85</v>
      </c>
      <c r="C83" s="46" t="s">
        <v>86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0.70532975413914467</v>
      </c>
      <c r="J83" s="54">
        <f t="shared" si="34"/>
        <v>2.7903744043145644</v>
      </c>
      <c r="K83" s="55">
        <f t="shared" si="35"/>
        <v>0.1887260412829313</v>
      </c>
      <c r="L83" s="55">
        <f t="shared" si="36"/>
        <v>3.7463789542018781E-2</v>
      </c>
      <c r="M83" s="55">
        <f t="shared" si="19"/>
        <v>0.96253621045798121</v>
      </c>
      <c r="N83" s="55">
        <f t="shared" si="37"/>
        <v>2.8914097765456087E-2</v>
      </c>
      <c r="O83" s="56">
        <f t="shared" si="21"/>
        <v>1.8976943931177683E-7</v>
      </c>
      <c r="P83" s="56">
        <f t="shared" si="38"/>
        <v>1.1711180610835068E-4</v>
      </c>
      <c r="Q83" s="56">
        <f t="shared" si="39"/>
        <v>6.3651739165363191E-4</v>
      </c>
      <c r="R83" s="9">
        <f t="shared" si="12"/>
        <v>1.4999999999999999E-4</v>
      </c>
      <c r="S83" s="9">
        <f t="shared" si="13"/>
        <v>5.6195684313028167E-6</v>
      </c>
      <c r="T83" s="9">
        <f t="shared" si="10"/>
        <v>2.8308906192439691E-5</v>
      </c>
      <c r="U83" s="9">
        <f t="shared" si="11"/>
        <v>1.4438043156869717E-4</v>
      </c>
      <c r="V83" s="100">
        <f t="shared" si="14"/>
        <v>0.19607162746961404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141</v>
      </c>
      <c r="C84" s="46" t="s">
        <v>142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2.3272580136650043</v>
      </c>
      <c r="J84" s="54">
        <f t="shared" si="34"/>
        <v>4.522432495717549</v>
      </c>
      <c r="K84" s="55">
        <f t="shared" si="35"/>
        <v>4.4589499879426394E-3</v>
      </c>
      <c r="L84" s="55">
        <f t="shared" si="36"/>
        <v>4.7760687260334375E-2</v>
      </c>
      <c r="M84" s="55">
        <f t="shared" si="19"/>
        <v>0.95223931273966567</v>
      </c>
      <c r="N84" s="55">
        <f t="shared" si="37"/>
        <v>3.7630363731082334E-2</v>
      </c>
      <c r="O84" s="56">
        <f t="shared" si="21"/>
        <v>4.4836019098317086E-9</v>
      </c>
      <c r="P84" s="56">
        <f t="shared" si="38"/>
        <v>1.4929990837580522E-4</v>
      </c>
      <c r="Q84" s="56">
        <f t="shared" si="39"/>
        <v>8.2839800720678426E-4</v>
      </c>
      <c r="R84" s="9">
        <f t="shared" si="12"/>
        <v>1.4999999999999999E-4</v>
      </c>
      <c r="S84" s="9">
        <f t="shared" si="13"/>
        <v>7.1641030890501556E-6</v>
      </c>
      <c r="T84" s="9">
        <f t="shared" si="10"/>
        <v>6.6884249819139584E-7</v>
      </c>
      <c r="U84" s="9">
        <f t="shared" si="11"/>
        <v>1.4283589691094984E-4</v>
      </c>
      <c r="V84" s="100">
        <f t="shared" si="14"/>
        <v>4.6825938903046309E-3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87</v>
      </c>
      <c r="C85" s="46" t="s">
        <v>88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0.64458903464573347</v>
      </c>
      <c r="J85" s="54">
        <f t="shared" si="34"/>
        <v>2.7020905339390611</v>
      </c>
      <c r="K85" s="55">
        <f t="shared" si="35"/>
        <v>0.21755723632927393</v>
      </c>
      <c r="L85" s="55">
        <f t="shared" si="36"/>
        <v>3.5242729594801778E-2</v>
      </c>
      <c r="M85" s="55">
        <f t="shared" si="19"/>
        <v>0.96475727040519821</v>
      </c>
      <c r="N85" s="55">
        <f t="shared" si="37"/>
        <v>2.6834860882359354E-2</v>
      </c>
      <c r="O85" s="56">
        <f t="shared" si="21"/>
        <v>2.1876003160863197E-7</v>
      </c>
      <c r="P85" s="56">
        <f t="shared" si="38"/>
        <v>1.1016877271335037E-4</v>
      </c>
      <c r="Q85" s="56">
        <f t="shared" si="39"/>
        <v>5.9074489519898138E-4</v>
      </c>
      <c r="R85" s="9">
        <f t="shared" si="12"/>
        <v>1.4999999999999999E-4</v>
      </c>
      <c r="S85" s="9">
        <f t="shared" si="13"/>
        <v>5.2864094392202658E-6</v>
      </c>
      <c r="T85" s="9">
        <f t="shared" si="10"/>
        <v>3.2633585449391085E-5</v>
      </c>
      <c r="U85" s="9">
        <f t="shared" si="11"/>
        <v>1.4471359056077973E-4</v>
      </c>
      <c r="V85" s="100">
        <f t="shared" si="14"/>
        <v>0.22550463521036732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143</v>
      </c>
      <c r="C86" s="46" t="s">
        <v>144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1.6299602750984028</v>
      </c>
      <c r="J86" s="54">
        <f t="shared" si="34"/>
        <v>3.6364018134902829</v>
      </c>
      <c r="K86" s="55">
        <f t="shared" si="35"/>
        <v>2.2589330303768067E-2</v>
      </c>
      <c r="L86" s="55">
        <f t="shared" si="36"/>
        <v>3.1456517417758824E-2</v>
      </c>
      <c r="M86" s="55">
        <f t="shared" si="19"/>
        <v>0.96854348258224121</v>
      </c>
      <c r="N86" s="55">
        <f t="shared" si="37"/>
        <v>1.8837235646558152E-2</v>
      </c>
      <c r="O86" s="56">
        <f t="shared" si="21"/>
        <v>2.2714218541510295E-8</v>
      </c>
      <c r="P86" s="56">
        <f t="shared" si="38"/>
        <v>9.8333073447914141E-5</v>
      </c>
      <c r="Q86" s="56">
        <f t="shared" si="39"/>
        <v>4.1468449740239988E-4</v>
      </c>
      <c r="R86" s="9">
        <f t="shared" si="12"/>
        <v>1.4999999999999999E-4</v>
      </c>
      <c r="S86" s="9">
        <f t="shared" si="13"/>
        <v>4.7184776126638234E-6</v>
      </c>
      <c r="T86" s="9">
        <f t="shared" si="10"/>
        <v>3.3883995455652098E-6</v>
      </c>
      <c r="U86" s="9">
        <f t="shared" si="11"/>
        <v>1.4528152238733617E-4</v>
      </c>
      <c r="V86" s="100">
        <f t="shared" si="14"/>
        <v>2.3322990356140213E-2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281</v>
      </c>
      <c r="C87" s="46" t="s">
        <v>282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0.48026857292599601</v>
      </c>
      <c r="J87" s="54">
        <f t="shared" si="34"/>
        <v>2.4059565027875509</v>
      </c>
      <c r="K87" s="55">
        <f t="shared" si="35"/>
        <v>0.32056736541780506</v>
      </c>
      <c r="L87" s="55">
        <f t="shared" si="36"/>
        <v>2.6259187322355045E-2</v>
      </c>
      <c r="M87" s="55">
        <f t="shared" si="19"/>
        <v>0.97374081267764501</v>
      </c>
      <c r="N87" s="55">
        <f t="shared" si="37"/>
        <v>1.8176792736266684E-2</v>
      </c>
      <c r="O87" s="56">
        <f t="shared" si="21"/>
        <v>3.2233966644693378E-7</v>
      </c>
      <c r="P87" s="56">
        <f t="shared" si="38"/>
        <v>8.2086219569681853E-5</v>
      </c>
      <c r="Q87" s="56">
        <f t="shared" si="39"/>
        <v>4.0014545136316659E-4</v>
      </c>
      <c r="R87" s="9">
        <f t="shared" si="12"/>
        <v>1.4999999999999999E-4</v>
      </c>
      <c r="S87" s="9">
        <f t="shared" si="13"/>
        <v>3.9388780983532564E-6</v>
      </c>
      <c r="T87" s="9">
        <f t="shared" si="10"/>
        <v>4.8085104812670754E-5</v>
      </c>
      <c r="U87" s="9">
        <f t="shared" si="11"/>
        <v>1.4606112190164675E-4</v>
      </c>
      <c r="V87" s="100">
        <f t="shared" si="14"/>
        <v>0.32921221052272792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283</v>
      </c>
      <c r="C88" s="46" t="s">
        <v>284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0.14925721804369038</v>
      </c>
      <c r="J88" s="54">
        <f t="shared" si="34"/>
        <v>1.3723682366191232</v>
      </c>
      <c r="K88" s="55">
        <f t="shared" si="35"/>
        <v>0.70173073929768903</v>
      </c>
      <c r="L88" s="55">
        <f t="shared" si="36"/>
        <v>5.320399063474316E-3</v>
      </c>
      <c r="M88" s="55">
        <f t="shared" si="19"/>
        <v>0.99467960093652563</v>
      </c>
      <c r="N88" s="55">
        <f t="shared" si="37"/>
        <v>5.6998616726481569E-4</v>
      </c>
      <c r="O88" s="56">
        <f t="shared" si="21"/>
        <v>7.0561035477198301E-7</v>
      </c>
      <c r="P88" s="56">
        <f t="shared" si="38"/>
        <v>1.6631567472420705E-5</v>
      </c>
      <c r="Q88" s="56">
        <f t="shared" si="39"/>
        <v>1.2547723654012775E-5</v>
      </c>
      <c r="R88" s="9">
        <f t="shared" si="12"/>
        <v>1.4999999999999999E-4</v>
      </c>
      <c r="S88" s="9">
        <f t="shared" si="13"/>
        <v>7.980598595211473E-7</v>
      </c>
      <c r="T88" s="9">
        <f t="shared" si="10"/>
        <v>1.0525961089465335E-4</v>
      </c>
      <c r="U88" s="9">
        <f t="shared" si="11"/>
        <v>1.4920194014047882E-4</v>
      </c>
      <c r="V88" s="100">
        <f t="shared" si="14"/>
        <v>0.70548419675741314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285</v>
      </c>
      <c r="C89" s="46" t="s">
        <v>286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3.7336026484154294E-2</v>
      </c>
      <c r="J89" s="54">
        <f t="shared" si="34"/>
        <v>0.89745442298650757</v>
      </c>
      <c r="K89" s="55">
        <f t="shared" si="35"/>
        <v>0.91075715812122182</v>
      </c>
      <c r="L89" s="55">
        <f t="shared" si="36"/>
        <v>2.3134626202348605E-3</v>
      </c>
      <c r="M89" s="55">
        <f t="shared" si="19"/>
        <v>0.99768653737976509</v>
      </c>
      <c r="N89" s="55">
        <f t="shared" si="37"/>
        <v>8.5609073346708947E-4</v>
      </c>
      <c r="O89" s="56">
        <f t="shared" si="21"/>
        <v>9.1579240507008357E-7</v>
      </c>
      <c r="P89" s="56">
        <f t="shared" si="38"/>
        <v>7.2318841508541739E-6</v>
      </c>
      <c r="Q89" s="56">
        <f t="shared" si="39"/>
        <v>1.8846053752240298E-5</v>
      </c>
      <c r="R89" s="9">
        <f t="shared" si="12"/>
        <v>1.4999999999999999E-4</v>
      </c>
      <c r="S89" s="9">
        <f t="shared" si="13"/>
        <v>3.4701939303522907E-7</v>
      </c>
      <c r="T89" s="9">
        <f t="shared" si="10"/>
        <v>1.3661357371818326E-4</v>
      </c>
      <c r="U89" s="9">
        <f t="shared" si="11"/>
        <v>1.4965298060696475E-4</v>
      </c>
      <c r="V89" s="100">
        <f t="shared" si="14"/>
        <v>0.91286904653755596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287</v>
      </c>
      <c r="C90" s="46" t="s">
        <v>288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1.290009012521746E-3</v>
      </c>
      <c r="J90" s="54">
        <f t="shared" si="34"/>
        <v>4.4904334412288936E-2</v>
      </c>
      <c r="K90" s="55">
        <f t="shared" si="35"/>
        <v>0.99151861071706482</v>
      </c>
      <c r="L90" s="55">
        <f t="shared" si="36"/>
        <v>3.5368014114719445E-4</v>
      </c>
      <c r="M90" s="55">
        <f t="shared" si="19"/>
        <v>0.99964631985885277</v>
      </c>
      <c r="N90" s="55">
        <f t="shared" si="37"/>
        <v>3.0631682581220284E-5</v>
      </c>
      <c r="O90" s="56">
        <f t="shared" si="21"/>
        <v>9.9700035852967783E-7</v>
      </c>
      <c r="P90" s="56">
        <f t="shared" si="38"/>
        <v>1.1056041212261299E-6</v>
      </c>
      <c r="Q90" s="56">
        <f t="shared" si="39"/>
        <v>6.7432844893587761E-7</v>
      </c>
      <c r="R90" s="9">
        <f t="shared" si="12"/>
        <v>1.4999999999999999E-4</v>
      </c>
      <c r="S90" s="9">
        <f t="shared" si="13"/>
        <v>5.3052021172079165E-8</v>
      </c>
      <c r="T90" s="9">
        <f t="shared" si="10"/>
        <v>1.4872779160755972E-4</v>
      </c>
      <c r="U90" s="9">
        <f t="shared" si="11"/>
        <v>1.499469479788279E-4</v>
      </c>
      <c r="V90" s="100">
        <f t="shared" si="14"/>
        <v>0.99186941523184369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289</v>
      </c>
      <c r="C91" s="46" t="s">
        <v>290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-2.2961926676165657E-4</v>
      </c>
      <c r="J91" s="54">
        <f t="shared" si="34"/>
        <v>-5.1413201390364732E-2</v>
      </c>
      <c r="K91" s="55">
        <f t="shared" si="35"/>
        <v>0.99506309828522277</v>
      </c>
      <c r="L91" s="55">
        <f t="shared" si="36"/>
        <v>2.8434322833531029E-4</v>
      </c>
      <c r="M91" s="55">
        <f t="shared" si="19"/>
        <v>0.99971565677166474</v>
      </c>
      <c r="N91" s="55">
        <f t="shared" si="37"/>
        <v>1.3962140890713045E-5</v>
      </c>
      <c r="O91" s="56">
        <f t="shared" si="21"/>
        <v>1.0005644422877244E-6</v>
      </c>
      <c r="P91" s="56">
        <f t="shared" si="38"/>
        <v>8.8885693177617972E-7</v>
      </c>
      <c r="Q91" s="56">
        <f t="shared" si="39"/>
        <v>3.0736374946738718E-7</v>
      </c>
      <c r="R91" s="9">
        <f t="shared" si="12"/>
        <v>1.4999999999999999E-4</v>
      </c>
      <c r="S91" s="9">
        <f t="shared" si="13"/>
        <v>4.265148425029654E-8</v>
      </c>
      <c r="T91" s="9">
        <f t="shared" si="10"/>
        <v>1.492594647427834E-4</v>
      </c>
      <c r="U91" s="9">
        <f t="shared" si="11"/>
        <v>1.4995734851574969E-4</v>
      </c>
      <c r="V91" s="100">
        <f t="shared" si="14"/>
        <v>0.9953461182137866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291</v>
      </c>
      <c r="C92" s="46" t="s">
        <v>292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4.7346378220411142E-2</v>
      </c>
      <c r="J92" s="54">
        <f t="shared" si="34"/>
        <v>1.0060883213991665</v>
      </c>
      <c r="K92" s="55">
        <f t="shared" si="35"/>
        <v>0.88947996642014115</v>
      </c>
      <c r="L92" s="55">
        <f t="shared" si="36"/>
        <v>2.9015493594044366E-3</v>
      </c>
      <c r="M92" s="55">
        <f t="shared" si="19"/>
        <v>0.99709845064059555</v>
      </c>
      <c r="N92" s="55">
        <f t="shared" si="37"/>
        <v>1.1577434657639735E-3</v>
      </c>
      <c r="O92" s="56">
        <f t="shared" si="21"/>
        <v>8.9439757947105553E-7</v>
      </c>
      <c r="P92" s="56">
        <f t="shared" si="38"/>
        <v>9.0702432974982687E-6</v>
      </c>
      <c r="Q92" s="56">
        <f t="shared" si="39"/>
        <v>2.5486662492804094E-5</v>
      </c>
      <c r="R92" s="9">
        <f t="shared" si="12"/>
        <v>1.4999999999999999E-4</v>
      </c>
      <c r="S92" s="9">
        <f t="shared" si="13"/>
        <v>4.3523240391066545E-7</v>
      </c>
      <c r="T92" s="9">
        <f t="shared" ref="T92:T143" si="40">R92*K92</f>
        <v>1.3342199496302117E-4</v>
      </c>
      <c r="U92" s="9">
        <f t="shared" ref="U92:U143" si="41">$R92*M92</f>
        <v>1.4956476759608932E-4</v>
      </c>
      <c r="V92" s="100">
        <f t="shared" si="14"/>
        <v>0.89206834676022828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293</v>
      </c>
      <c r="C93" s="46" t="s">
        <v>294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-1.6947243885858597E-4</v>
      </c>
      <c r="J93" s="54">
        <f t="shared" si="34"/>
        <v>-4.7270856045721246E-2</v>
      </c>
      <c r="K93" s="55">
        <f t="shared" si="35"/>
        <v>0.99492262668392706</v>
      </c>
      <c r="L93" s="55">
        <f t="shared" si="36"/>
        <v>2.8702777356106847E-4</v>
      </c>
      <c r="M93" s="55">
        <f t="shared" ref="M93:M127" si="42">IF(D93=0,"",1-L93)</f>
        <v>0.99971297222643896</v>
      </c>
      <c r="N93" s="55">
        <f t="shared" si="37"/>
        <v>1.4548470020336473E-5</v>
      </c>
      <c r="O93" s="56">
        <f t="shared" ref="O93:O127" si="43">IF(D93=0,"",F93*K93*$J$7/$J$14)</f>
        <v>1.0004231940697471E-6</v>
      </c>
      <c r="P93" s="56">
        <f t="shared" si="38"/>
        <v>8.9724882015189971E-7</v>
      </c>
      <c r="Q93" s="56">
        <f t="shared" si="39"/>
        <v>3.2027124847585789E-7</v>
      </c>
      <c r="R93" s="9">
        <f t="shared" ref="R93:R143" si="44">F93*$C$14</f>
        <v>1.4999999999999999E-4</v>
      </c>
      <c r="S93" s="9">
        <f t="shared" ref="S93:S143" si="45">$R93*L93</f>
        <v>4.3054166034160266E-8</v>
      </c>
      <c r="T93" s="9">
        <f t="shared" si="40"/>
        <v>1.4923839400258904E-4</v>
      </c>
      <c r="U93" s="9">
        <f t="shared" si="41"/>
        <v>1.4995694583396583E-4</v>
      </c>
      <c r="V93" s="100">
        <f t="shared" ref="V93:V143" si="46">K93/M93</f>
        <v>0.9952082791005068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295</v>
      </c>
      <c r="C94" s="46" t="s">
        <v>296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-1.6675027667828724E-3</v>
      </c>
      <c r="J94" s="54">
        <f t="shared" si="34"/>
        <v>-0.15991168988519264</v>
      </c>
      <c r="K94" s="55">
        <f t="shared" si="35"/>
        <v>0.99842508771570371</v>
      </c>
      <c r="L94" s="55">
        <f t="shared" si="36"/>
        <v>2.2223336677096141E-4</v>
      </c>
      <c r="M94" s="55">
        <f t="shared" si="42"/>
        <v>0.99977776663322904</v>
      </c>
      <c r="N94" s="55">
        <f t="shared" si="37"/>
        <v>2.440379298464222E-6</v>
      </c>
      <c r="O94" s="56">
        <f t="shared" si="43"/>
        <v>1.0039450189418916E-6</v>
      </c>
      <c r="P94" s="56">
        <f t="shared" si="38"/>
        <v>6.947015045260253E-7</v>
      </c>
      <c r="Q94" s="56">
        <f t="shared" si="39"/>
        <v>5.372271610562788E-8</v>
      </c>
      <c r="R94" s="9">
        <f t="shared" si="44"/>
        <v>1.4999999999999999E-4</v>
      </c>
      <c r="S94" s="9">
        <f t="shared" si="45"/>
        <v>3.3335005015644208E-8</v>
      </c>
      <c r="T94" s="9">
        <f t="shared" si="40"/>
        <v>1.4976376315735553E-4</v>
      </c>
      <c r="U94" s="9">
        <f t="shared" si="41"/>
        <v>1.4996666499498434E-4</v>
      </c>
      <c r="V94" s="100">
        <f t="shared" si="46"/>
        <v>0.99864702040526421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297</v>
      </c>
      <c r="C95" s="46" t="s">
        <v>298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1.9022995281384409</v>
      </c>
      <c r="J95" s="54">
        <f t="shared" si="34"/>
        <v>4.2457757065517692</v>
      </c>
      <c r="K95" s="55">
        <f t="shared" si="35"/>
        <v>1.1636691270591523E-2</v>
      </c>
      <c r="L95" s="55">
        <f t="shared" si="36"/>
        <v>6.5919011987457615E-2</v>
      </c>
      <c r="M95" s="55">
        <f t="shared" si="42"/>
        <v>0.93408098801254236</v>
      </c>
      <c r="N95" s="55">
        <f t="shared" si="37"/>
        <v>5.9059981933742137E-2</v>
      </c>
      <c r="O95" s="56">
        <f t="shared" si="43"/>
        <v>1.1701026328178073E-8</v>
      </c>
      <c r="P95" s="56">
        <f t="shared" si="38"/>
        <v>2.0606283147279255E-4</v>
      </c>
      <c r="Q95" s="56">
        <f t="shared" si="39"/>
        <v>1.3001514332737882E-3</v>
      </c>
      <c r="R95" s="9">
        <f t="shared" si="44"/>
        <v>1.4999999999999999E-4</v>
      </c>
      <c r="S95" s="9">
        <f t="shared" si="45"/>
        <v>9.887851798118641E-6</v>
      </c>
      <c r="T95" s="9">
        <f t="shared" si="40"/>
        <v>1.7455036905887282E-6</v>
      </c>
      <c r="U95" s="9">
        <f t="shared" si="41"/>
        <v>1.4011214820188134E-4</v>
      </c>
      <c r="V95" s="100">
        <f t="shared" si="46"/>
        <v>1.2457903993261953E-2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299</v>
      </c>
      <c r="C96" s="46" t="s">
        <v>212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-2.2554890834977572E-3</v>
      </c>
      <c r="J96" s="54">
        <f t="shared" si="34"/>
        <v>-0.20901127412599813</v>
      </c>
      <c r="K96" s="55">
        <f t="shared" si="35"/>
        <v>0.99980124249651958</v>
      </c>
      <c r="L96" s="55">
        <f t="shared" si="36"/>
        <v>1.9875033462414882E-4</v>
      </c>
      <c r="M96" s="55">
        <f t="shared" si="42"/>
        <v>0.99980124966537587</v>
      </c>
      <c r="N96" s="55">
        <f t="shared" si="37"/>
        <v>7.7912562271972216E-14</v>
      </c>
      <c r="O96" s="56">
        <f t="shared" si="43"/>
        <v>1.0053287819847997E-6</v>
      </c>
      <c r="P96" s="56">
        <f t="shared" si="38"/>
        <v>6.2129354603508937E-7</v>
      </c>
      <c r="Q96" s="56">
        <f t="shared" si="39"/>
        <v>1.7151737300153884E-15</v>
      </c>
      <c r="R96" s="9">
        <f t="shared" si="44"/>
        <v>1.4999999999999999E-4</v>
      </c>
      <c r="S96" s="9">
        <f t="shared" si="45"/>
        <v>2.9812550193622321E-8</v>
      </c>
      <c r="T96" s="9">
        <f t="shared" si="40"/>
        <v>1.4997018637447792E-4</v>
      </c>
      <c r="U96" s="9">
        <f t="shared" si="41"/>
        <v>1.4997018744980636E-4</v>
      </c>
      <c r="V96" s="100">
        <f t="shared" si="46"/>
        <v>0.99999999282971863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300</v>
      </c>
      <c r="C97" s="46" t="s">
        <v>213</v>
      </c>
      <c r="D97" s="47" t="s">
        <v>301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1.4999999999999999E-4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302</v>
      </c>
      <c r="C98" s="46" t="s">
        <v>214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2.2410131712935462</v>
      </c>
      <c r="J98" s="54">
        <f t="shared" si="34"/>
        <v>4.0353280242380984</v>
      </c>
      <c r="K98" s="55">
        <f t="shared" si="35"/>
        <v>5.599661827863831E-3</v>
      </c>
      <c r="L98" s="55">
        <f t="shared" si="36"/>
        <v>1.9538683359324276E-2</v>
      </c>
      <c r="M98" s="55">
        <f t="shared" si="42"/>
        <v>0.98046131664067571</v>
      </c>
      <c r="N98" s="55">
        <f t="shared" si="37"/>
        <v>4.548368205214386E-3</v>
      </c>
      <c r="O98" s="56">
        <f t="shared" si="43"/>
        <v>5.6306203329735499E-9</v>
      </c>
      <c r="P98" s="56">
        <f t="shared" si="38"/>
        <v>6.107792418124775E-5</v>
      </c>
      <c r="Q98" s="56">
        <f t="shared" si="39"/>
        <v>1.001281620387336E-4</v>
      </c>
      <c r="R98" s="9">
        <f t="shared" si="44"/>
        <v>1.4999999999999999E-4</v>
      </c>
      <c r="S98" s="9">
        <f t="shared" si="45"/>
        <v>2.9308025038986412E-6</v>
      </c>
      <c r="T98" s="9">
        <f t="shared" si="40"/>
        <v>8.399492741795746E-7</v>
      </c>
      <c r="U98" s="9">
        <f t="shared" si="41"/>
        <v>1.4706919749610134E-4</v>
      </c>
      <c r="V98" s="100">
        <f t="shared" si="46"/>
        <v>5.7112521757102866E-3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303</v>
      </c>
      <c r="C99" s="46" t="s">
        <v>215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0.63542458371912058</v>
      </c>
      <c r="J99" s="54">
        <f t="shared" si="34"/>
        <v>2.2845343185523066</v>
      </c>
      <c r="K99" s="55">
        <f t="shared" si="35"/>
        <v>0.22707465055077039</v>
      </c>
      <c r="L99" s="55">
        <f t="shared" si="36"/>
        <v>1.4063986588597225E-2</v>
      </c>
      <c r="M99" s="55">
        <f t="shared" si="42"/>
        <v>0.9859360134114028</v>
      </c>
      <c r="N99" s="55">
        <f t="shared" si="37"/>
        <v>2.1670177539213952E-3</v>
      </c>
      <c r="O99" s="56">
        <f t="shared" si="43"/>
        <v>2.2833006417135421E-7</v>
      </c>
      <c r="P99" s="56">
        <f t="shared" si="38"/>
        <v>4.3964022075954923E-5</v>
      </c>
      <c r="Q99" s="56">
        <f t="shared" si="39"/>
        <v>4.7704911963086498E-5</v>
      </c>
      <c r="R99" s="9">
        <f t="shared" si="44"/>
        <v>1.4999999999999999E-4</v>
      </c>
      <c r="S99" s="9">
        <f t="shared" si="45"/>
        <v>2.1095979882895836E-6</v>
      </c>
      <c r="T99" s="9">
        <f t="shared" si="40"/>
        <v>3.4061197582615557E-5</v>
      </c>
      <c r="U99" s="9">
        <f t="shared" si="41"/>
        <v>1.478904020117104E-4</v>
      </c>
      <c r="V99" s="100">
        <f t="shared" si="46"/>
        <v>0.23031378047047629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304</v>
      </c>
      <c r="C100" s="46" t="s">
        <v>216</v>
      </c>
      <c r="D100" s="47" t="s">
        <v>301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1.4999999999999999E-4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305</v>
      </c>
      <c r="C101" s="46" t="s">
        <v>217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1.8939169904293498</v>
      </c>
      <c r="J101" s="54">
        <f t="shared" si="34"/>
        <v>3.6308922154546468</v>
      </c>
      <c r="K101" s="55">
        <f t="shared" si="35"/>
        <v>1.2482707191037237E-2</v>
      </c>
      <c r="L101" s="55">
        <f t="shared" si="36"/>
        <v>1.7163524302235889E-2</v>
      </c>
      <c r="M101" s="55">
        <f t="shared" si="42"/>
        <v>0.98283647569776411</v>
      </c>
      <c r="N101" s="55">
        <f t="shared" si="37"/>
        <v>1.8880026442430631E-3</v>
      </c>
      <c r="O101" s="56">
        <f t="shared" si="43"/>
        <v>1.2551719564683427E-8</v>
      </c>
      <c r="P101" s="56">
        <f t="shared" si="38"/>
        <v>5.3653176968789398E-5</v>
      </c>
      <c r="Q101" s="56">
        <f t="shared" si="39"/>
        <v>4.1562649759886032E-5</v>
      </c>
      <c r="R101" s="9">
        <f t="shared" si="44"/>
        <v>1.4999999999999999E-4</v>
      </c>
      <c r="S101" s="9">
        <f t="shared" si="45"/>
        <v>2.5745286453353832E-6</v>
      </c>
      <c r="T101" s="9">
        <f t="shared" si="40"/>
        <v>1.8724060786555854E-6</v>
      </c>
      <c r="U101" s="9">
        <f t="shared" si="41"/>
        <v>1.474254713546646E-4</v>
      </c>
      <c r="V101" s="100">
        <f t="shared" si="46"/>
        <v>1.2700695893663436E-2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306</v>
      </c>
      <c r="C102" s="46" t="s">
        <v>218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1.1527504756067957</v>
      </c>
      <c r="J102" s="54">
        <f t="shared" si="34"/>
        <v>2.820617192166893</v>
      </c>
      <c r="K102" s="55">
        <f t="shared" si="35"/>
        <v>6.8956191766392366E-2</v>
      </c>
      <c r="L102" s="55">
        <f t="shared" si="36"/>
        <v>1.4675602209466508E-2</v>
      </c>
      <c r="M102" s="55">
        <f t="shared" si="42"/>
        <v>0.98532439779053349</v>
      </c>
      <c r="N102" s="55">
        <f t="shared" si="37"/>
        <v>3.6138210646273071E-9</v>
      </c>
      <c r="O102" s="56">
        <f t="shared" si="43"/>
        <v>6.9337425612429981E-8</v>
      </c>
      <c r="P102" s="56">
        <f t="shared" si="38"/>
        <v>4.5875932506792301E-5</v>
      </c>
      <c r="Q102" s="56">
        <f t="shared" si="39"/>
        <v>7.9554962310034965E-11</v>
      </c>
      <c r="R102" s="9">
        <f t="shared" si="44"/>
        <v>1.4999999999999999E-4</v>
      </c>
      <c r="S102" s="9">
        <f t="shared" si="45"/>
        <v>2.2013403314199762E-6</v>
      </c>
      <c r="T102" s="9">
        <f t="shared" si="40"/>
        <v>1.0343428764958855E-5</v>
      </c>
      <c r="U102" s="9">
        <f t="shared" si="41"/>
        <v>1.4779865966858E-4</v>
      </c>
      <c r="V102" s="100">
        <f t="shared" si="46"/>
        <v>6.9983237927547501E-2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307</v>
      </c>
      <c r="C103" s="46" t="s">
        <v>219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2.1741441801583692</v>
      </c>
      <c r="J103" s="54">
        <f t="shared" si="34"/>
        <v>3.8702475870342976</v>
      </c>
      <c r="K103" s="55">
        <f t="shared" si="35"/>
        <v>6.5577010847872501E-3</v>
      </c>
      <c r="L103" s="55">
        <f t="shared" si="36"/>
        <v>1.5646048573444395E-2</v>
      </c>
      <c r="M103" s="55">
        <f t="shared" si="42"/>
        <v>0.98435395142655557</v>
      </c>
      <c r="N103" s="55">
        <f t="shared" si="37"/>
        <v>5.7311924611956765E-9</v>
      </c>
      <c r="O103" s="56">
        <f t="shared" si="43"/>
        <v>6.593956242470377E-9</v>
      </c>
      <c r="P103" s="56">
        <f t="shared" si="38"/>
        <v>4.8909547840587181E-5</v>
      </c>
      <c r="Q103" s="56">
        <f t="shared" si="39"/>
        <v>1.2616695516688511E-10</v>
      </c>
      <c r="R103" s="9">
        <f t="shared" si="44"/>
        <v>1.4999999999999999E-4</v>
      </c>
      <c r="S103" s="9">
        <f t="shared" si="45"/>
        <v>2.3469072860166589E-6</v>
      </c>
      <c r="T103" s="9">
        <f t="shared" si="40"/>
        <v>9.8365516271808741E-7</v>
      </c>
      <c r="U103" s="9">
        <f t="shared" si="41"/>
        <v>1.4765309271398333E-4</v>
      </c>
      <c r="V103" s="100">
        <f t="shared" si="46"/>
        <v>6.66193402818532E-3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308</v>
      </c>
      <c r="C104" s="46" t="s">
        <v>220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2.8598242449089666</v>
      </c>
      <c r="J104" s="54">
        <f t="shared" si="34"/>
        <v>4.6066272802174426</v>
      </c>
      <c r="K104" s="55">
        <f t="shared" si="35"/>
        <v>1.3496804569026165E-3</v>
      </c>
      <c r="L104" s="55">
        <f t="shared" si="36"/>
        <v>1.7549458079802554E-2</v>
      </c>
      <c r="M104" s="55">
        <f t="shared" si="42"/>
        <v>0.98245054192019743</v>
      </c>
      <c r="N104" s="55">
        <f t="shared" si="37"/>
        <v>2.1375917976916288E-3</v>
      </c>
      <c r="O104" s="56">
        <f t="shared" si="43"/>
        <v>1.3571423520323528E-9</v>
      </c>
      <c r="P104" s="56">
        <f t="shared" si="38"/>
        <v>5.4859605957462841E-5</v>
      </c>
      <c r="Q104" s="56">
        <f t="shared" si="39"/>
        <v>4.7057126475943888E-5</v>
      </c>
      <c r="R104" s="9">
        <f t="shared" si="44"/>
        <v>1.4999999999999999E-4</v>
      </c>
      <c r="S104" s="9">
        <f t="shared" si="45"/>
        <v>2.6324187119703827E-6</v>
      </c>
      <c r="T104" s="9">
        <f t="shared" si="40"/>
        <v>2.0245206853539245E-7</v>
      </c>
      <c r="U104" s="9">
        <f t="shared" si="41"/>
        <v>1.4736758128802959E-4</v>
      </c>
      <c r="V104" s="100">
        <f t="shared" si="46"/>
        <v>1.3737897220400213E-3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309</v>
      </c>
      <c r="C105" s="46" t="s">
        <v>221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2.4867185626172419</v>
      </c>
      <c r="J105" s="54">
        <f t="shared" si="34"/>
        <v>4.3950446753285686</v>
      </c>
      <c r="K105" s="55">
        <f t="shared" si="35"/>
        <v>3.1616694506223283E-3</v>
      </c>
      <c r="L105" s="55">
        <f t="shared" si="36"/>
        <v>2.5256118627515381E-2</v>
      </c>
      <c r="M105" s="55">
        <f t="shared" si="42"/>
        <v>0.97474388137248458</v>
      </c>
      <c r="N105" s="55">
        <f t="shared" si="37"/>
        <v>1.1210120419245646E-2</v>
      </c>
      <c r="O105" s="56">
        <f t="shared" si="43"/>
        <v>3.1791491775864249E-9</v>
      </c>
      <c r="P105" s="56">
        <f t="shared" si="38"/>
        <v>7.8950626829613139E-5</v>
      </c>
      <c r="Q105" s="56">
        <f t="shared" si="39"/>
        <v>2.4678053824339359E-4</v>
      </c>
      <c r="R105" s="9">
        <f t="shared" si="44"/>
        <v>1.4999999999999999E-4</v>
      </c>
      <c r="S105" s="9">
        <f t="shared" si="45"/>
        <v>3.7884177941273069E-6</v>
      </c>
      <c r="T105" s="9">
        <f t="shared" si="40"/>
        <v>4.7425041759334921E-7</v>
      </c>
      <c r="U105" s="9">
        <f t="shared" si="41"/>
        <v>1.4621158220587266E-4</v>
      </c>
      <c r="V105" s="100">
        <f t="shared" si="46"/>
        <v>3.2435899430017976E-3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310</v>
      </c>
      <c r="C106" s="46" t="s">
        <v>222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1.6248833107371423</v>
      </c>
      <c r="J106" s="54">
        <f t="shared" si="34"/>
        <v>3.3342066205682497</v>
      </c>
      <c r="K106" s="55">
        <f t="shared" si="35"/>
        <v>2.3216808399212734E-2</v>
      </c>
      <c r="L106" s="55">
        <f t="shared" si="36"/>
        <v>1.6121840062119495E-2</v>
      </c>
      <c r="M106" s="55">
        <f t="shared" si="42"/>
        <v>0.98387815993788053</v>
      </c>
      <c r="N106" s="55">
        <f t="shared" si="37"/>
        <v>8.6197829891115733E-4</v>
      </c>
      <c r="O106" s="56">
        <f t="shared" si="43"/>
        <v>2.3345165736415111E-8</v>
      </c>
      <c r="P106" s="56">
        <f t="shared" si="38"/>
        <v>5.0396872034185547E-5</v>
      </c>
      <c r="Q106" s="56">
        <f t="shared" si="39"/>
        <v>1.8975663115466749E-5</v>
      </c>
      <c r="R106" s="9">
        <f t="shared" si="44"/>
        <v>1.4999999999999999E-4</v>
      </c>
      <c r="S106" s="9">
        <f t="shared" si="45"/>
        <v>2.418276009317924E-6</v>
      </c>
      <c r="T106" s="9">
        <f t="shared" si="40"/>
        <v>3.4825212598819098E-6</v>
      </c>
      <c r="U106" s="9">
        <f t="shared" si="41"/>
        <v>1.4758172399068206E-4</v>
      </c>
      <c r="V106" s="100">
        <f t="shared" si="46"/>
        <v>2.3597239317395338E-2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311</v>
      </c>
      <c r="C107" s="46" t="s">
        <v>223</v>
      </c>
      <c r="D107" s="47" t="s">
        <v>301</v>
      </c>
      <c r="E107" s="47" t="s">
        <v>312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1.4999999999999999E-4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313</v>
      </c>
      <c r="C108" s="46" t="s">
        <v>224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2.3046271115114854</v>
      </c>
      <c r="J108" s="54">
        <f t="shared" si="34"/>
        <v>4.0679360505628344</v>
      </c>
      <c r="K108" s="55">
        <f t="shared" si="35"/>
        <v>4.8432060759226424E-3</v>
      </c>
      <c r="L108" s="55">
        <f t="shared" si="36"/>
        <v>1.8216899799164975E-2</v>
      </c>
      <c r="M108" s="55">
        <f t="shared" si="42"/>
        <v>0.98178310020083503</v>
      </c>
      <c r="N108" s="55">
        <f t="shared" si="37"/>
        <v>2.9841920107468939E-3</v>
      </c>
      <c r="O108" s="56">
        <f t="shared" si="43"/>
        <v>4.8699824107546467E-9</v>
      </c>
      <c r="P108" s="56">
        <f t="shared" si="38"/>
        <v>5.6946028772189722E-5</v>
      </c>
      <c r="Q108" s="56">
        <f t="shared" si="39"/>
        <v>6.5694255109822479E-5</v>
      </c>
      <c r="R108" s="9">
        <f t="shared" si="44"/>
        <v>1.4999999999999999E-4</v>
      </c>
      <c r="S108" s="9">
        <f t="shared" si="45"/>
        <v>2.732534969874746E-6</v>
      </c>
      <c r="T108" s="9">
        <f t="shared" si="40"/>
        <v>7.2648091138839632E-7</v>
      </c>
      <c r="U108" s="9">
        <f t="shared" si="41"/>
        <v>1.4726746503012525E-4</v>
      </c>
      <c r="V108" s="100">
        <f t="shared" si="46"/>
        <v>4.9330713422668501E-3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314</v>
      </c>
      <c r="C109" s="46" t="s">
        <v>225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2.5263589248425813</v>
      </c>
      <c r="J109" s="54">
        <f t="shared" si="34"/>
        <v>4.3958183693354318</v>
      </c>
      <c r="K109" s="55">
        <f t="shared" si="35"/>
        <v>2.8921185792852278E-3</v>
      </c>
      <c r="L109" s="55">
        <f t="shared" si="36"/>
        <v>2.3144080716766637E-2</v>
      </c>
      <c r="M109" s="55">
        <f t="shared" si="42"/>
        <v>0.97685591928323334</v>
      </c>
      <c r="N109" s="55">
        <f t="shared" si="37"/>
        <v>8.7279029873837764E-3</v>
      </c>
      <c r="O109" s="56">
        <f t="shared" si="43"/>
        <v>2.9081080569656813E-9</v>
      </c>
      <c r="P109" s="56">
        <f t="shared" si="38"/>
        <v>7.2348396320612497E-5</v>
      </c>
      <c r="Q109" s="56">
        <f t="shared" si="39"/>
        <v>1.9213679393353302E-4</v>
      </c>
      <c r="R109" s="9">
        <f t="shared" si="44"/>
        <v>1.4999999999999999E-4</v>
      </c>
      <c r="S109" s="9">
        <f t="shared" si="45"/>
        <v>3.4716121075149951E-6</v>
      </c>
      <c r="T109" s="9">
        <f t="shared" si="40"/>
        <v>4.3381778689278413E-7</v>
      </c>
      <c r="U109" s="9">
        <f t="shared" si="41"/>
        <v>1.46528387892485E-4</v>
      </c>
      <c r="V109" s="100">
        <f t="shared" si="46"/>
        <v>2.9606398673484168E-3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204</v>
      </c>
      <c r="C110" s="46" t="s">
        <v>205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0.92627477267552383</v>
      </c>
      <c r="J110" s="54">
        <f t="shared" si="34"/>
        <v>2.575073327711408</v>
      </c>
      <c r="K110" s="55">
        <f t="shared" si="35"/>
        <v>0.11623123180868485</v>
      </c>
      <c r="L110" s="55">
        <f t="shared" si="36"/>
        <v>1.4054054672305649E-2</v>
      </c>
      <c r="M110" s="55">
        <f t="shared" si="42"/>
        <v>0.98594594532769431</v>
      </c>
      <c r="N110" s="55">
        <f t="shared" si="37"/>
        <v>1.3335725741548895E-4</v>
      </c>
      <c r="O110" s="56">
        <f t="shared" si="43"/>
        <v>1.16873832253939E-7</v>
      </c>
      <c r="P110" s="56">
        <f t="shared" si="38"/>
        <v>4.3932974905627451E-5</v>
      </c>
      <c r="Q110" s="56">
        <f t="shared" si="39"/>
        <v>2.9357379343719613E-6</v>
      </c>
      <c r="R110" s="9">
        <f t="shared" si="44"/>
        <v>1.4999999999999999E-4</v>
      </c>
      <c r="S110" s="9">
        <f t="shared" si="45"/>
        <v>2.108108200845847E-6</v>
      </c>
      <c r="T110" s="9">
        <f t="shared" si="40"/>
        <v>1.7434684771302724E-5</v>
      </c>
      <c r="U110" s="9">
        <f t="shared" si="41"/>
        <v>1.4789189179915412E-4</v>
      </c>
      <c r="V110" s="100">
        <f t="shared" si="46"/>
        <v>0.11788803672198643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206</v>
      </c>
      <c r="C111" s="46" t="s">
        <v>207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0.75430624695958448</v>
      </c>
      <c r="J111" s="54">
        <f t="shared" si="34"/>
        <v>2.8332513634530265</v>
      </c>
      <c r="K111" s="55">
        <f t="shared" si="35"/>
        <v>0.16868727054805088</v>
      </c>
      <c r="L111" s="55">
        <f t="shared" si="36"/>
        <v>3.6960611268666066E-2</v>
      </c>
      <c r="M111" s="55">
        <f t="shared" si="42"/>
        <v>0.96303938873133399</v>
      </c>
      <c r="N111" s="55">
        <f t="shared" si="37"/>
        <v>2.7958350076825945E-2</v>
      </c>
      <c r="O111" s="56">
        <f t="shared" si="43"/>
        <v>1.6961988146059211E-7</v>
      </c>
      <c r="P111" s="56">
        <f t="shared" si="38"/>
        <v>1.1553887082585014E-4</v>
      </c>
      <c r="Q111" s="56">
        <f t="shared" si="39"/>
        <v>6.1547748126871771E-4</v>
      </c>
      <c r="R111" s="9">
        <f t="shared" si="44"/>
        <v>1.4999999999999999E-4</v>
      </c>
      <c r="S111" s="9">
        <f t="shared" si="45"/>
        <v>5.5440916902999091E-6</v>
      </c>
      <c r="T111" s="9">
        <f t="shared" si="40"/>
        <v>2.530309058220763E-5</v>
      </c>
      <c r="U111" s="9">
        <f t="shared" si="41"/>
        <v>1.4445590830970009E-4</v>
      </c>
      <c r="V111" s="100">
        <f t="shared" si="46"/>
        <v>0.17516134077368542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208</v>
      </c>
      <c r="C112" s="46" t="s">
        <v>209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3.5207953657582807</v>
      </c>
      <c r="J112" s="54">
        <f t="shared" si="34"/>
        <v>5.9198274752242268</v>
      </c>
      <c r="K112" s="55">
        <f t="shared" si="35"/>
        <v>2.7761593832171519E-4</v>
      </c>
      <c r="L112" s="55">
        <f t="shared" si="36"/>
        <v>7.4246731817984024E-2</v>
      </c>
      <c r="M112" s="55">
        <f t="shared" si="42"/>
        <v>0.92575326818201598</v>
      </c>
      <c r="N112" s="55">
        <f t="shared" si="37"/>
        <v>6.8620710566454995E-2</v>
      </c>
      <c r="O112" s="56">
        <f t="shared" si="43"/>
        <v>2.7915077644395781E-10</v>
      </c>
      <c r="P112" s="56">
        <f t="shared" si="38"/>
        <v>2.3209528366301824E-4</v>
      </c>
      <c r="Q112" s="56">
        <f t="shared" si="39"/>
        <v>1.5106221213432277E-3</v>
      </c>
      <c r="R112" s="9">
        <f t="shared" si="44"/>
        <v>1.4999999999999999E-4</v>
      </c>
      <c r="S112" s="9">
        <f t="shared" si="45"/>
        <v>1.1137009772697603E-5</v>
      </c>
      <c r="T112" s="9">
        <f t="shared" si="40"/>
        <v>4.1642390748257274E-8</v>
      </c>
      <c r="U112" s="9">
        <f t="shared" si="41"/>
        <v>1.3886299022730238E-4</v>
      </c>
      <c r="V112" s="100">
        <f t="shared" si="46"/>
        <v>2.9988113233118182E-4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210</v>
      </c>
      <c r="C113" s="46" t="s">
        <v>211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3.8666483056990257</v>
      </c>
      <c r="J113" s="54">
        <f t="shared" si="34"/>
        <v>6.2984912087723171</v>
      </c>
      <c r="K113" s="55">
        <f t="shared" si="35"/>
        <v>1.24471040647583E-4</v>
      </c>
      <c r="L113" s="55">
        <f t="shared" si="36"/>
        <v>7.9609518977061797E-2</v>
      </c>
      <c r="M113" s="55">
        <f t="shared" si="42"/>
        <v>0.92039048102293819</v>
      </c>
      <c r="N113" s="55">
        <f t="shared" si="37"/>
        <v>7.4908161028266723E-2</v>
      </c>
      <c r="O113" s="56">
        <f t="shared" si="43"/>
        <v>1.2515919601595284E-10</v>
      </c>
      <c r="P113" s="56">
        <f t="shared" si="38"/>
        <v>2.4885935632229533E-4</v>
      </c>
      <c r="Q113" s="56">
        <f t="shared" si="39"/>
        <v>1.6490345871433929E-3</v>
      </c>
      <c r="R113" s="9">
        <f t="shared" si="44"/>
        <v>1.4999999999999999E-4</v>
      </c>
      <c r="S113" s="9">
        <f t="shared" si="45"/>
        <v>1.1941427846559269E-5</v>
      </c>
      <c r="T113" s="9">
        <f t="shared" si="40"/>
        <v>1.8670656097137449E-8</v>
      </c>
      <c r="U113" s="9">
        <f t="shared" si="41"/>
        <v>1.3805857215344071E-4</v>
      </c>
      <c r="V113" s="100">
        <f t="shared" si="46"/>
        <v>1.352372098734047E-4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107</v>
      </c>
      <c r="C114" s="46" t="s">
        <v>108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4.2676323009395754</v>
      </c>
      <c r="J114" s="54">
        <f t="shared" si="34"/>
        <v>6.7277753052884339</v>
      </c>
      <c r="K114" s="55">
        <f t="shared" si="35"/>
        <v>4.9177059749137272E-5</v>
      </c>
      <c r="L114" s="55">
        <f t="shared" si="36"/>
        <v>8.4516856360970158E-2</v>
      </c>
      <c r="M114" s="55">
        <f t="shared" si="42"/>
        <v>0.91548314363902983</v>
      </c>
      <c r="N114" s="55">
        <f t="shared" si="37"/>
        <v>8.0662814983842299E-2</v>
      </c>
      <c r="O114" s="56">
        <f t="shared" si="43"/>
        <v>4.9448941927441136E-11</v>
      </c>
      <c r="P114" s="56">
        <f t="shared" si="38"/>
        <v>2.6419969298439281E-4</v>
      </c>
      <c r="Q114" s="56">
        <f t="shared" si="39"/>
        <v>1.7757180256302186E-3</v>
      </c>
      <c r="R114" s="9">
        <f t="shared" si="44"/>
        <v>1.4999999999999999E-4</v>
      </c>
      <c r="S114" s="9">
        <f t="shared" si="45"/>
        <v>1.2677528454145522E-5</v>
      </c>
      <c r="T114" s="9">
        <f t="shared" si="40"/>
        <v>7.37655896237059E-9</v>
      </c>
      <c r="U114" s="9">
        <f t="shared" si="41"/>
        <v>1.3732247154585447E-4</v>
      </c>
      <c r="V114" s="100">
        <f t="shared" si="46"/>
        <v>5.3717056497249418E-5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109</v>
      </c>
      <c r="C115" s="46" t="s">
        <v>110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2.8686693929579801</v>
      </c>
      <c r="J115" s="54">
        <f t="shared" si="34"/>
        <v>5.3143493213259028</v>
      </c>
      <c r="K115" s="55">
        <f t="shared" si="35"/>
        <v>1.2357464684757756E-3</v>
      </c>
      <c r="L115" s="55">
        <f t="shared" si="36"/>
        <v>8.1975518039432371E-2</v>
      </c>
      <c r="M115" s="55">
        <f t="shared" si="42"/>
        <v>0.91802448196056763</v>
      </c>
      <c r="N115" s="55">
        <f t="shared" si="37"/>
        <v>7.7703615217356442E-2</v>
      </c>
      <c r="O115" s="56">
        <f t="shared" si="43"/>
        <v>1.2425784637881102E-9</v>
      </c>
      <c r="P115" s="56">
        <f t="shared" si="38"/>
        <v>2.5625546939126565E-4</v>
      </c>
      <c r="Q115" s="56">
        <f t="shared" si="39"/>
        <v>1.7105739518975792E-3</v>
      </c>
      <c r="R115" s="9">
        <f t="shared" si="44"/>
        <v>1.4999999999999999E-4</v>
      </c>
      <c r="S115" s="9">
        <f t="shared" si="45"/>
        <v>1.2296327705914854E-5</v>
      </c>
      <c r="T115" s="9">
        <f t="shared" si="40"/>
        <v>1.8536197027136631E-7</v>
      </c>
      <c r="U115" s="9">
        <f t="shared" si="41"/>
        <v>1.3770367229408513E-4</v>
      </c>
      <c r="V115" s="100">
        <f t="shared" si="46"/>
        <v>1.3460931519349776E-3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226</v>
      </c>
      <c r="C116" s="46" t="s">
        <v>227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-6.405424315775722E-4</v>
      </c>
      <c r="J116" s="54">
        <f t="shared" si="34"/>
        <v>-8.0530405253931236E-2</v>
      </c>
      <c r="K116" s="55">
        <f t="shared" si="35"/>
        <v>0.99602317286625475</v>
      </c>
      <c r="L116" s="55">
        <f t="shared" si="36"/>
        <v>2.6616105409848416E-4</v>
      </c>
      <c r="M116" s="55">
        <f t="shared" si="42"/>
        <v>0.99973383894590151</v>
      </c>
      <c r="N116" s="55">
        <f t="shared" si="37"/>
        <v>1.0149211502273515E-5</v>
      </c>
      <c r="O116" s="56">
        <f t="shared" si="43"/>
        <v>1.0015298247739006E-6</v>
      </c>
      <c r="P116" s="56">
        <f t="shared" si="38"/>
        <v>8.3201945511186138E-7</v>
      </c>
      <c r="Q116" s="56">
        <f t="shared" si="39"/>
        <v>2.2342559969089442E-7</v>
      </c>
      <c r="R116" s="9">
        <f t="shared" si="44"/>
        <v>1.4999999999999999E-4</v>
      </c>
      <c r="S116" s="9">
        <f t="shared" si="45"/>
        <v>3.9924158114772618E-8</v>
      </c>
      <c r="T116" s="9">
        <f t="shared" si="40"/>
        <v>1.4940347592993819E-4</v>
      </c>
      <c r="U116" s="9">
        <f t="shared" si="41"/>
        <v>1.4996007584188522E-4</v>
      </c>
      <c r="V116" s="100">
        <f t="shared" si="46"/>
        <v>0.99628834602261818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228</v>
      </c>
      <c r="C117" s="46" t="s">
        <v>229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0.13401854480859055</v>
      </c>
      <c r="J117" s="54">
        <f t="shared" si="34"/>
        <v>1.5278597886488654</v>
      </c>
      <c r="K117" s="55">
        <f t="shared" si="35"/>
        <v>0.72493289823135276</v>
      </c>
      <c r="L117" s="55">
        <f t="shared" si="36"/>
        <v>7.8625436248077867E-3</v>
      </c>
      <c r="M117" s="55">
        <f t="shared" si="42"/>
        <v>0.99213745637519224</v>
      </c>
      <c r="N117" s="55">
        <f t="shared" si="37"/>
        <v>3.9750319511520915E-3</v>
      </c>
      <c r="O117" s="56">
        <f t="shared" si="43"/>
        <v>7.2894079005125213E-7</v>
      </c>
      <c r="P117" s="56">
        <f t="shared" si="38"/>
        <v>2.4578311371149144E-5</v>
      </c>
      <c r="Q117" s="56">
        <f t="shared" si="39"/>
        <v>8.7506689290855214E-5</v>
      </c>
      <c r="R117" s="9">
        <f t="shared" si="44"/>
        <v>1.4999999999999999E-4</v>
      </c>
      <c r="S117" s="9">
        <f t="shared" si="45"/>
        <v>1.1793815437211678E-6</v>
      </c>
      <c r="T117" s="9">
        <f t="shared" si="40"/>
        <v>1.0873993473470291E-4</v>
      </c>
      <c r="U117" s="9">
        <f t="shared" si="41"/>
        <v>1.4882061845627881E-4</v>
      </c>
      <c r="V117" s="100">
        <f t="shared" si="46"/>
        <v>0.73067788497767194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230</v>
      </c>
      <c r="C118" s="46" t="s">
        <v>231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0.76376170277705713</v>
      </c>
      <c r="J118" s="54">
        <f t="shared" si="34"/>
        <v>2.8466643436404468</v>
      </c>
      <c r="K118" s="55">
        <f t="shared" si="35"/>
        <v>0.16499847839371365</v>
      </c>
      <c r="L118" s="55">
        <f t="shared" si="36"/>
        <v>3.7286339822182844E-2</v>
      </c>
      <c r="M118" s="55">
        <f t="shared" si="42"/>
        <v>0.96271366017781712</v>
      </c>
      <c r="N118" s="55">
        <f t="shared" si="37"/>
        <v>2.8273120010535124E-2</v>
      </c>
      <c r="O118" s="56">
        <f t="shared" si="43"/>
        <v>1.6591069530849762E-7</v>
      </c>
      <c r="P118" s="56">
        <f t="shared" si="38"/>
        <v>1.1655709828414356E-4</v>
      </c>
      <c r="Q118" s="56">
        <f t="shared" si="39"/>
        <v>6.2240685318966761E-4</v>
      </c>
      <c r="R118" s="9">
        <f t="shared" si="44"/>
        <v>1.4999999999999999E-4</v>
      </c>
      <c r="S118" s="9">
        <f t="shared" si="45"/>
        <v>5.5929509733274261E-6</v>
      </c>
      <c r="T118" s="9">
        <f t="shared" si="40"/>
        <v>2.4749771759057045E-5</v>
      </c>
      <c r="U118" s="9">
        <f t="shared" si="41"/>
        <v>1.4440704902667255E-4</v>
      </c>
      <c r="V118" s="100">
        <f t="shared" si="46"/>
        <v>0.17138894483250375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232</v>
      </c>
      <c r="C119" s="46" t="s">
        <v>233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-2.0389427152517209E-3</v>
      </c>
      <c r="J119" s="54">
        <f t="shared" si="34"/>
        <v>-0.19083877645329253</v>
      </c>
      <c r="K119" s="55">
        <f t="shared" si="35"/>
        <v>0.99929446575093361</v>
      </c>
      <c r="L119" s="55">
        <f t="shared" si="36"/>
        <v>2.0713818965865127E-4</v>
      </c>
      <c r="M119" s="55">
        <f t="shared" si="42"/>
        <v>0.99979286181034133</v>
      </c>
      <c r="N119" s="55">
        <f t="shared" si="37"/>
        <v>5.9383114611626146E-7</v>
      </c>
      <c r="O119" s="56">
        <f t="shared" si="43"/>
        <v>1.0048192034538648E-6</v>
      </c>
      <c r="P119" s="56">
        <f t="shared" si="38"/>
        <v>6.4751398087294362E-7</v>
      </c>
      <c r="Q119" s="56">
        <f t="shared" si="39"/>
        <v>1.3072649033517138E-8</v>
      </c>
      <c r="R119" s="9">
        <f t="shared" si="44"/>
        <v>1.4999999999999999E-4</v>
      </c>
      <c r="S119" s="9">
        <f t="shared" si="45"/>
        <v>3.1070728448797687E-8</v>
      </c>
      <c r="T119" s="9">
        <f t="shared" si="40"/>
        <v>1.4989416986264004E-4</v>
      </c>
      <c r="U119" s="9">
        <f t="shared" si="41"/>
        <v>1.4996892927155117E-4</v>
      </c>
      <c r="V119" s="100">
        <f t="shared" si="46"/>
        <v>0.99950150068234611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234</v>
      </c>
      <c r="C120" s="46" t="s">
        <v>235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-2.255492076189E-3</v>
      </c>
      <c r="J120" s="54">
        <f t="shared" si="34"/>
        <v>-0.20901151514484184</v>
      </c>
      <c r="K120" s="55">
        <f t="shared" si="35"/>
        <v>0.99980124949498461</v>
      </c>
      <c r="L120" s="55">
        <f t="shared" si="36"/>
        <v>1.9875022571564548E-4</v>
      </c>
      <c r="M120" s="55">
        <f t="shared" si="42"/>
        <v>0.99980124977428431</v>
      </c>
      <c r="N120" s="55">
        <f t="shared" si="37"/>
        <v>7.7047311688373812E-16</v>
      </c>
      <c r="O120" s="56">
        <f t="shared" si="43"/>
        <v>1.0053287890219566E-6</v>
      </c>
      <c r="P120" s="56">
        <f t="shared" si="38"/>
        <v>6.2129320558710766E-7</v>
      </c>
      <c r="Q120" s="56">
        <f t="shared" si="39"/>
        <v>1.6961260305482858E-17</v>
      </c>
      <c r="R120" s="9">
        <f t="shared" si="44"/>
        <v>1.4999999999999999E-4</v>
      </c>
      <c r="S120" s="9">
        <f t="shared" si="45"/>
        <v>2.9812533857346821E-8</v>
      </c>
      <c r="T120" s="9">
        <f t="shared" si="40"/>
        <v>1.4997018742424767E-4</v>
      </c>
      <c r="U120" s="9">
        <f t="shared" si="41"/>
        <v>1.4997018746614263E-4</v>
      </c>
      <c r="V120" s="100">
        <f t="shared" si="46"/>
        <v>0.99999999972064479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236</v>
      </c>
      <c r="C121" s="46" t="s">
        <v>237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1.502652106892244E-2</v>
      </c>
      <c r="J121" s="54">
        <f t="shared" si="34"/>
        <v>0.53329394649989259</v>
      </c>
      <c r="K121" s="55">
        <f t="shared" si="35"/>
        <v>0.95997489073832376</v>
      </c>
      <c r="L121" s="55">
        <f t="shared" si="36"/>
        <v>1.0542880664180163E-3</v>
      </c>
      <c r="M121" s="55">
        <f t="shared" si="42"/>
        <v>0.99894571193358195</v>
      </c>
      <c r="N121" s="55">
        <f t="shared" si="37"/>
        <v>2.769828647163769E-4</v>
      </c>
      <c r="O121" s="56">
        <f t="shared" si="43"/>
        <v>9.65282244731067E-7</v>
      </c>
      <c r="P121" s="56">
        <f t="shared" si="38"/>
        <v>3.2957044956227195E-6</v>
      </c>
      <c r="Q121" s="56">
        <f t="shared" si="39"/>
        <v>6.097524190868974E-6</v>
      </c>
      <c r="R121" s="9">
        <f t="shared" si="44"/>
        <v>1.4999999999999999E-4</v>
      </c>
      <c r="S121" s="9">
        <f t="shared" si="45"/>
        <v>1.5814320996270242E-7</v>
      </c>
      <c r="T121" s="9">
        <f t="shared" si="40"/>
        <v>1.4399623361074855E-4</v>
      </c>
      <c r="U121" s="9">
        <f t="shared" si="41"/>
        <v>1.4984185679003728E-4</v>
      </c>
      <c r="V121" s="100">
        <f t="shared" si="46"/>
        <v>0.96098804897032353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238</v>
      </c>
      <c r="C122" s="46" t="s">
        <v>239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3.4865950332654698</v>
      </c>
      <c r="J122" s="54">
        <f t="shared" si="34"/>
        <v>5.9733565938903412</v>
      </c>
      <c r="K122" s="55">
        <f t="shared" si="35"/>
        <v>2.9545130368394021E-4</v>
      </c>
      <c r="L122" s="55">
        <f t="shared" si="36"/>
        <v>8.9381569222821824E-2</v>
      </c>
      <c r="M122" s="55">
        <f t="shared" si="42"/>
        <v>0.91061843077717819</v>
      </c>
      <c r="N122" s="55">
        <f t="shared" si="37"/>
        <v>8.6373338863704047E-2</v>
      </c>
      <c r="O122" s="56">
        <f t="shared" si="43"/>
        <v>2.9708474709105072E-10</v>
      </c>
      <c r="P122" s="56">
        <f t="shared" si="38"/>
        <v>2.7940678539054139E-4</v>
      </c>
      <c r="Q122" s="56">
        <f t="shared" si="39"/>
        <v>1.9014299809009781E-3</v>
      </c>
      <c r="R122" s="9">
        <f t="shared" si="44"/>
        <v>1.4999999999999999E-4</v>
      </c>
      <c r="S122" s="9">
        <f t="shared" si="45"/>
        <v>1.3407235383423272E-5</v>
      </c>
      <c r="T122" s="9">
        <f t="shared" si="40"/>
        <v>4.4317695552591026E-8</v>
      </c>
      <c r="U122" s="9">
        <f t="shared" si="41"/>
        <v>1.3659276461657673E-4</v>
      </c>
      <c r="V122" s="100">
        <f t="shared" si="46"/>
        <v>3.2445126707108678E-4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240</v>
      </c>
      <c r="C123" s="46" t="s">
        <v>241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9.3867444440884892E-2</v>
      </c>
      <c r="J123" s="54">
        <f t="shared" ref="J123:J127" si="48">IF(D123=0,"",LOG($K$21*10^D123+$K$22*10^E123+$K$20))</f>
        <v>1.3877069023096393</v>
      </c>
      <c r="K123" s="55">
        <f t="shared" ref="K123:K127" si="49">IF(D123=0,"",1/(1+10^D123*$J$15/$J$14+10^E123*$J$16/$J$14+10^J123*$J$19/$J$14))</f>
        <v>0.79643766046918896</v>
      </c>
      <c r="L123" s="55">
        <f t="shared" ref="L123:L127" si="50">IF(D123=0,"",1/(1+10^I123/10^J123*$J$13/$J$19))</f>
        <v>6.2555307141103069E-3</v>
      </c>
      <c r="M123" s="55">
        <f t="shared" si="42"/>
        <v>0.99374446928588966</v>
      </c>
      <c r="N123" s="55">
        <f t="shared" ref="N123:N127" si="51">IF(D123=0,"",1/(1/10^E123*$J$20/$J$22+10^D123/10^E123*$J$21/$J$22+10^I123/10^E123*$J$13/$J$22+1))</f>
        <v>3.3944905412839868E-3</v>
      </c>
      <c r="O123" s="56">
        <f t="shared" si="43"/>
        <v>8.0084087625956358E-7</v>
      </c>
      <c r="P123" s="56">
        <f t="shared" ref="P123:P127" si="52">IF(D123=0,"",O123*10^J123)</f>
        <v>1.955478901230882E-5</v>
      </c>
      <c r="Q123" s="56">
        <f t="shared" ref="Q123:Q127" si="53">IF(D123=0,"",F123*N123*$J$7/$J$22)</f>
        <v>7.4726601634181292E-5</v>
      </c>
      <c r="R123" s="9">
        <f t="shared" si="44"/>
        <v>1.4999999999999999E-4</v>
      </c>
      <c r="S123" s="9">
        <f t="shared" si="45"/>
        <v>9.3832960711654593E-7</v>
      </c>
      <c r="T123" s="9">
        <f t="shared" si="40"/>
        <v>1.1946564907037833E-4</v>
      </c>
      <c r="U123" s="9">
        <f t="shared" si="41"/>
        <v>1.4906167039288343E-4</v>
      </c>
      <c r="V123" s="100">
        <f t="shared" si="46"/>
        <v>0.80145116283415752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242</v>
      </c>
      <c r="C124" s="46" t="s">
        <v>243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0.17110445915344094</v>
      </c>
      <c r="J124" s="54">
        <f t="shared" si="48"/>
        <v>1.4994216752369602</v>
      </c>
      <c r="K124" s="55">
        <f t="shared" si="49"/>
        <v>0.66633152743569346</v>
      </c>
      <c r="L124" s="55">
        <f t="shared" si="50"/>
        <v>6.7688908044167021E-3</v>
      </c>
      <c r="M124" s="55">
        <f t="shared" si="42"/>
        <v>0.99323110919558333</v>
      </c>
      <c r="N124" s="55">
        <f t="shared" si="51"/>
        <v>1.6232304361260184E-3</v>
      </c>
      <c r="O124" s="56">
        <f t="shared" si="43"/>
        <v>6.7001543346984655E-7</v>
      </c>
      <c r="P124" s="56">
        <f t="shared" si="52"/>
        <v>2.1159552654606606E-5</v>
      </c>
      <c r="Q124" s="56">
        <f t="shared" si="53"/>
        <v>3.5733931995281221E-5</v>
      </c>
      <c r="R124" s="9">
        <f t="shared" si="44"/>
        <v>1.4999999999999999E-4</v>
      </c>
      <c r="S124" s="9">
        <f t="shared" si="45"/>
        <v>1.0153336206625052E-6</v>
      </c>
      <c r="T124" s="9">
        <f t="shared" si="40"/>
        <v>9.9949729115354004E-5</v>
      </c>
      <c r="U124" s="9">
        <f t="shared" si="41"/>
        <v>1.4898466637933749E-4</v>
      </c>
      <c r="V124" s="100">
        <f t="shared" si="46"/>
        <v>0.67087259074613015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244</v>
      </c>
      <c r="C125" s="46" t="s">
        <v>245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5.8063156695311677E-3</v>
      </c>
      <c r="J125" s="54">
        <f t="shared" si="48"/>
        <v>0.23502720558428331</v>
      </c>
      <c r="K125" s="55">
        <f t="shared" si="49"/>
        <v>0.98107603431854262</v>
      </c>
      <c r="L125" s="55">
        <f t="shared" si="50"/>
        <v>5.4216982523941739E-4</v>
      </c>
      <c r="M125" s="55">
        <f t="shared" si="42"/>
        <v>0.99945783017476053</v>
      </c>
      <c r="N125" s="55">
        <f t="shared" si="51"/>
        <v>6.1225378946898855E-5</v>
      </c>
      <c r="O125" s="56">
        <f t="shared" si="43"/>
        <v>9.8650004890284116E-7</v>
      </c>
      <c r="P125" s="56">
        <f t="shared" si="52"/>
        <v>1.6948228736984184E-6</v>
      </c>
      <c r="Q125" s="56">
        <f t="shared" si="53"/>
        <v>1.347820666112717E-6</v>
      </c>
      <c r="R125" s="9">
        <f t="shared" si="44"/>
        <v>1.4999999999999999E-4</v>
      </c>
      <c r="S125" s="9">
        <f t="shared" si="45"/>
        <v>8.1325473785912602E-8</v>
      </c>
      <c r="T125" s="9">
        <f t="shared" si="40"/>
        <v>1.4716140514778138E-4</v>
      </c>
      <c r="U125" s="9">
        <f t="shared" si="41"/>
        <v>1.4991867452621407E-4</v>
      </c>
      <c r="V125" s="100">
        <f t="shared" si="46"/>
        <v>0.98160823268250974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246</v>
      </c>
      <c r="C126" s="46" t="s">
        <v>247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2.4596069923312118</v>
      </c>
      <c r="J126" s="54">
        <f t="shared" si="48"/>
        <v>4.8687907701634652</v>
      </c>
      <c r="K126" s="55">
        <f t="shared" si="49"/>
        <v>3.1905887657635149E-3</v>
      </c>
      <c r="L126" s="55">
        <f t="shared" si="50"/>
        <v>7.5869473867111042E-2</v>
      </c>
      <c r="M126" s="55">
        <f t="shared" si="42"/>
        <v>0.92413052613288893</v>
      </c>
      <c r="N126" s="55">
        <f t="shared" si="51"/>
        <v>7.057723322796447E-2</v>
      </c>
      <c r="O126" s="56">
        <f t="shared" si="43"/>
        <v>3.2082283771622589E-9</v>
      </c>
      <c r="P126" s="56">
        <f t="shared" si="52"/>
        <v>2.3716797530858928E-4</v>
      </c>
      <c r="Q126" s="56">
        <f t="shared" si="53"/>
        <v>1.5536931765536405E-3</v>
      </c>
      <c r="R126" s="9">
        <f t="shared" si="44"/>
        <v>1.4999999999999999E-4</v>
      </c>
      <c r="S126" s="9">
        <f t="shared" si="45"/>
        <v>1.1380421080066656E-5</v>
      </c>
      <c r="T126" s="9">
        <f t="shared" si="40"/>
        <v>4.7858831486452717E-7</v>
      </c>
      <c r="U126" s="9">
        <f t="shared" si="41"/>
        <v>1.3861957891993332E-4</v>
      </c>
      <c r="V126" s="100">
        <f t="shared" si="46"/>
        <v>3.45253043324392E-3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248</v>
      </c>
      <c r="C127" s="46" t="s">
        <v>249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0.64263545610035988</v>
      </c>
      <c r="J127" s="54">
        <f t="shared" si="48"/>
        <v>2.669397404558385</v>
      </c>
      <c r="K127" s="55">
        <f t="shared" si="49"/>
        <v>0.21906564158893355</v>
      </c>
      <c r="L127" s="55">
        <f t="shared" si="50"/>
        <v>3.2913733087271996E-2</v>
      </c>
      <c r="M127" s="55">
        <f t="shared" si="42"/>
        <v>0.96708626691272803</v>
      </c>
      <c r="N127" s="55">
        <f t="shared" si="51"/>
        <v>2.4130596924132431E-2</v>
      </c>
      <c r="O127" s="56">
        <f t="shared" si="43"/>
        <v>2.2027677629545244E-7</v>
      </c>
      <c r="P127" s="56">
        <f t="shared" si="52"/>
        <v>1.0288832963081228E-4</v>
      </c>
      <c r="Q127" s="56">
        <f t="shared" si="53"/>
        <v>5.3121299989322527E-4</v>
      </c>
      <c r="R127" s="9">
        <f t="shared" si="44"/>
        <v>1.4999999999999999E-4</v>
      </c>
      <c r="S127" s="9">
        <f t="shared" si="45"/>
        <v>4.9370599630907988E-6</v>
      </c>
      <c r="T127" s="9">
        <f t="shared" si="40"/>
        <v>3.2859846238340027E-5</v>
      </c>
      <c r="U127" s="9">
        <f t="shared" si="41"/>
        <v>1.4506294003690918E-4</v>
      </c>
      <c r="V127" s="100">
        <f t="shared" si="46"/>
        <v>0.22652130330447812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250</v>
      </c>
      <c r="C128" s="46" t="s">
        <v>251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1.4450204174697026</v>
      </c>
      <c r="J128" s="54">
        <f t="shared" ref="J128:J134" si="55">IF(D128=0,"",LOG($K$21*10^D128+$K$22*10^E128+$K$20))</f>
        <v>3.5881322653047101</v>
      </c>
      <c r="K128" s="55">
        <f t="shared" ref="K128:K134" si="56">IF(D128=0,"",1/(1+10^D128*$J$15/$J$14+10^E128*$J$16/$J$14+10^J128*$J$19/$J$14))</f>
        <v>3.418375983865813E-2</v>
      </c>
      <c r="L128" s="55">
        <f t="shared" ref="L128:L134" si="57">IF(D128=0,"",1/(1+10^I128/10^J128*$J$13/$J$19))</f>
        <v>4.2594896221515507E-2</v>
      </c>
      <c r="M128" s="55">
        <f t="shared" ref="M128:M134" si="58">IF(D128=0,"",1-L128)</f>
        <v>0.95740510377848453</v>
      </c>
      <c r="N128" s="55">
        <f t="shared" ref="N128:N134" si="59">IF(D128=0,"",1/(1/10^E128*$J$20/$J$22+10^D128/10^E128*$J$21/$J$22+10^I128/10^E128*$J$13/$J$22+1))</f>
        <v>3.2113426227681374E-2</v>
      </c>
      <c r="O128" s="56">
        <f t="shared" ref="O128:O134" si="60">IF(D128=0,"",F128*K128*$J$7/$J$14)</f>
        <v>3.4372749484134316E-8</v>
      </c>
      <c r="P128" s="56">
        <f t="shared" ref="P128:P134" si="61">IF(D128=0,"",O128*10^J128)</f>
        <v>1.3315164558845753E-4</v>
      </c>
      <c r="Q128" s="56">
        <f t="shared" ref="Q128:Q134" si="62">IF(D128=0,"",F128*N128*$J$7/$J$22)</f>
        <v>7.0694767878684496E-4</v>
      </c>
      <c r="R128" s="9">
        <f t="shared" si="44"/>
        <v>1.4999999999999999E-4</v>
      </c>
      <c r="S128" s="9">
        <f t="shared" si="45"/>
        <v>6.3892344332273255E-6</v>
      </c>
      <c r="T128" s="9">
        <f t="shared" si="40"/>
        <v>5.1275639757987192E-6</v>
      </c>
      <c r="U128" s="9">
        <f t="shared" si="41"/>
        <v>1.4361076556677267E-4</v>
      </c>
      <c r="V128" s="100">
        <f t="shared" si="46"/>
        <v>3.5704593284231381E-2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252</v>
      </c>
      <c r="C129" s="46" t="s">
        <v>253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-2.1401866039787642E-3</v>
      </c>
      <c r="J129" s="54">
        <f t="shared" si="55"/>
        <v>-0.19937710602079342</v>
      </c>
      <c r="K129" s="55">
        <f t="shared" si="56"/>
        <v>0.99953143449206783</v>
      </c>
      <c r="L129" s="55">
        <f t="shared" si="57"/>
        <v>2.0315373973024974E-4</v>
      </c>
      <c r="M129" s="55">
        <f t="shared" si="58"/>
        <v>0.99979684626026977</v>
      </c>
      <c r="N129" s="55">
        <f t="shared" si="59"/>
        <v>2.4309319949436903E-7</v>
      </c>
      <c r="O129" s="56">
        <f t="shared" si="60"/>
        <v>1.0050574823094682E-6</v>
      </c>
      <c r="P129" s="56">
        <f t="shared" si="61"/>
        <v>6.350585903967606E-7</v>
      </c>
      <c r="Q129" s="56">
        <f t="shared" si="62"/>
        <v>5.3514742367563214E-9</v>
      </c>
      <c r="R129" s="9">
        <f t="shared" si="44"/>
        <v>1.4999999999999999E-4</v>
      </c>
      <c r="S129" s="9">
        <f t="shared" si="45"/>
        <v>3.0473060959537455E-8</v>
      </c>
      <c r="T129" s="9">
        <f t="shared" si="40"/>
        <v>1.4992971517381015E-4</v>
      </c>
      <c r="U129" s="9">
        <f t="shared" si="41"/>
        <v>1.4996952693904046E-4</v>
      </c>
      <c r="V129" s="100">
        <f t="shared" si="46"/>
        <v>0.99973453430144865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254</v>
      </c>
      <c r="C130" s="46" t="s">
        <v>255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0.26355542441139918</v>
      </c>
      <c r="J130" s="54">
        <f t="shared" si="55"/>
        <v>1.957929354072679</v>
      </c>
      <c r="K130" s="55">
        <f t="shared" si="56"/>
        <v>0.5337862456463186</v>
      </c>
      <c r="L130" s="55">
        <f t="shared" si="57"/>
        <v>1.5584834814152388E-2</v>
      </c>
      <c r="M130" s="55">
        <f t="shared" si="58"/>
        <v>0.9844151651858476</v>
      </c>
      <c r="N130" s="55">
        <f t="shared" si="59"/>
        <v>9.5459336959065454E-3</v>
      </c>
      <c r="O130" s="56">
        <f t="shared" si="60"/>
        <v>5.3673735675290542E-7</v>
      </c>
      <c r="P130" s="56">
        <f t="shared" si="61"/>
        <v>4.871819362904037E-5</v>
      </c>
      <c r="Q130" s="56">
        <f t="shared" si="62"/>
        <v>2.1014499108030888E-4</v>
      </c>
      <c r="R130" s="9">
        <f t="shared" si="44"/>
        <v>1.4999999999999999E-4</v>
      </c>
      <c r="S130" s="9">
        <f t="shared" si="45"/>
        <v>2.3377252221228582E-6</v>
      </c>
      <c r="T130" s="9">
        <f t="shared" si="40"/>
        <v>8.0067936846947788E-5</v>
      </c>
      <c r="U130" s="9">
        <f t="shared" si="41"/>
        <v>1.4766227477787714E-4</v>
      </c>
      <c r="V130" s="100">
        <f t="shared" si="46"/>
        <v>0.5422369184505047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256</v>
      </c>
      <c r="C131" s="46" t="s">
        <v>257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4.79958444939446E-3</v>
      </c>
      <c r="J131" s="54">
        <f t="shared" si="55"/>
        <v>0.21801564157044254</v>
      </c>
      <c r="K131" s="55">
        <f t="shared" si="56"/>
        <v>0.98337217966733692</v>
      </c>
      <c r="L131" s="55">
        <f t="shared" si="57"/>
        <v>5.2256344926922065E-4</v>
      </c>
      <c r="M131" s="55">
        <f t="shared" si="58"/>
        <v>0.99947743655073074</v>
      </c>
      <c r="N131" s="55">
        <f t="shared" si="59"/>
        <v>8.0114608557044057E-5</v>
      </c>
      <c r="O131" s="56">
        <f t="shared" si="60"/>
        <v>9.8880888880886015E-7</v>
      </c>
      <c r="P131" s="56">
        <f t="shared" si="61"/>
        <v>1.6335333424155837E-6</v>
      </c>
      <c r="Q131" s="56">
        <f t="shared" si="62"/>
        <v>1.7636497630233787E-6</v>
      </c>
      <c r="R131" s="9">
        <f t="shared" si="44"/>
        <v>1.4999999999999999E-4</v>
      </c>
      <c r="S131" s="9">
        <f t="shared" si="45"/>
        <v>7.8384517390383091E-8</v>
      </c>
      <c r="T131" s="9">
        <f t="shared" si="40"/>
        <v>1.4750582695010052E-4</v>
      </c>
      <c r="U131" s="9">
        <f t="shared" si="41"/>
        <v>1.4992161548260958E-4</v>
      </c>
      <c r="V131" s="100">
        <f t="shared" si="46"/>
        <v>0.98388632269781473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258</v>
      </c>
      <c r="C132" s="46" t="s">
        <v>259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1.6027626042906213E-2</v>
      </c>
      <c r="J132" s="54">
        <f t="shared" si="55"/>
        <v>0.55608247089775453</v>
      </c>
      <c r="K132" s="55">
        <f t="shared" si="56"/>
        <v>0.95771262654343003</v>
      </c>
      <c r="L132" s="55">
        <f t="shared" si="57"/>
        <v>1.1084679859939494E-3</v>
      </c>
      <c r="M132" s="55">
        <f t="shared" si="58"/>
        <v>0.99889153201400604</v>
      </c>
      <c r="N132" s="55">
        <f t="shared" si="59"/>
        <v>2.9926449577885806E-4</v>
      </c>
      <c r="O132" s="56">
        <f t="shared" si="60"/>
        <v>9.6300747329559505E-7</v>
      </c>
      <c r="P132" s="56">
        <f t="shared" si="61"/>
        <v>3.4650709242170861E-6</v>
      </c>
      <c r="Q132" s="56">
        <f t="shared" si="62"/>
        <v>6.5880339000331724E-6</v>
      </c>
      <c r="R132" s="9">
        <f t="shared" si="44"/>
        <v>1.4999999999999999E-4</v>
      </c>
      <c r="S132" s="9">
        <f t="shared" si="45"/>
        <v>1.6627019789909241E-7</v>
      </c>
      <c r="T132" s="9">
        <f t="shared" si="40"/>
        <v>1.436568939815145E-4</v>
      </c>
      <c r="U132" s="9">
        <f t="shared" si="41"/>
        <v>1.498337298021009E-4</v>
      </c>
      <c r="V132" s="100">
        <f t="shared" si="46"/>
        <v>0.95877539837829096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260</v>
      </c>
      <c r="C133" s="46" t="s">
        <v>261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0.80804902693102654</v>
      </c>
      <c r="J133" s="54">
        <f t="shared" si="55"/>
        <v>2.9086838751373172</v>
      </c>
      <c r="K133" s="55">
        <f t="shared" si="56"/>
        <v>0.14877100142088193</v>
      </c>
      <c r="L133" s="55">
        <f t="shared" si="57"/>
        <v>3.8779984578451748E-2</v>
      </c>
      <c r="M133" s="55">
        <f t="shared" si="58"/>
        <v>0.96122001542154822</v>
      </c>
      <c r="N133" s="55">
        <f t="shared" si="59"/>
        <v>2.9729057897647172E-2</v>
      </c>
      <c r="O133" s="56">
        <f t="shared" si="60"/>
        <v>1.4959350248420477E-7</v>
      </c>
      <c r="P133" s="56">
        <f t="shared" si="61"/>
        <v>1.2122623179224017E-4</v>
      </c>
      <c r="Q133" s="56">
        <f t="shared" si="62"/>
        <v>6.5445799287355681E-4</v>
      </c>
      <c r="R133" s="9">
        <f t="shared" si="44"/>
        <v>1.4999999999999999E-4</v>
      </c>
      <c r="S133" s="9">
        <f t="shared" si="45"/>
        <v>5.8169976867677615E-6</v>
      </c>
      <c r="T133" s="9">
        <f t="shared" si="40"/>
        <v>2.2315650213132287E-5</v>
      </c>
      <c r="U133" s="9">
        <f t="shared" si="41"/>
        <v>1.4418300231323222E-4</v>
      </c>
      <c r="V133" s="100">
        <f t="shared" si="46"/>
        <v>0.15477309984607177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262</v>
      </c>
      <c r="C134" s="46" t="s">
        <v>263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-2.2190435405287081E-3</v>
      </c>
      <c r="J134" s="54">
        <f t="shared" si="55"/>
        <v>-0.20599844026673031</v>
      </c>
      <c r="K134" s="55">
        <f t="shared" si="56"/>
        <v>0.9997159773294364</v>
      </c>
      <c r="L134" s="55">
        <f t="shared" si="57"/>
        <v>2.0011685236414725E-4</v>
      </c>
      <c r="M134" s="55">
        <f t="shared" si="58"/>
        <v>0.9997998831476359</v>
      </c>
      <c r="N134" s="55">
        <f t="shared" si="59"/>
        <v>4.7436378700558104E-8</v>
      </c>
      <c r="O134" s="56">
        <f t="shared" si="60"/>
        <v>1.005243045417444E-6</v>
      </c>
      <c r="P134" s="56">
        <f t="shared" si="61"/>
        <v>6.2556528049032412E-7</v>
      </c>
      <c r="Q134" s="56">
        <f t="shared" si="62"/>
        <v>1.0442684494221454E-9</v>
      </c>
      <c r="R134" s="9">
        <f t="shared" si="44"/>
        <v>1.4999999999999999E-4</v>
      </c>
      <c r="S134" s="9">
        <f t="shared" si="45"/>
        <v>3.0017527854622087E-8</v>
      </c>
      <c r="T134" s="9">
        <f t="shared" si="40"/>
        <v>1.4995739659941546E-4</v>
      </c>
      <c r="U134" s="9">
        <f t="shared" si="41"/>
        <v>1.4996998247214537E-4</v>
      </c>
      <c r="V134" s="100">
        <f t="shared" si="46"/>
        <v>0.99991607738747146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264</v>
      </c>
      <c r="C135" s="46" t="s">
        <v>265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2.7672233265732864E-2</v>
      </c>
      <c r="J135" s="54">
        <f t="shared" ref="J135:J143" si="64">IF(D135=0,"",LOG($K$21*10^D135+$K$22*10^E135+$K$20))</f>
        <v>0.76802960759012895</v>
      </c>
      <c r="K135" s="55">
        <f t="shared" ref="K135:K143" si="65">IF(D135=0,"",1/(1+10^D135*$J$15/$J$14+10^E135*$J$16/$J$14+10^J135*$J$19/$J$14))</f>
        <v>0.93176972963408111</v>
      </c>
      <c r="L135" s="55">
        <f t="shared" ref="L135:L143" si="66">IF(D135=0,"",1/(1+10^I135/10^J135*$J$13/$J$19))</f>
        <v>1.756886377959375E-3</v>
      </c>
      <c r="M135" s="55">
        <f t="shared" ref="M135:M143" si="67">IF(D135=0,"",1-L135)</f>
        <v>0.99824311362204066</v>
      </c>
      <c r="N135" s="55">
        <f t="shared" ref="N135:N143" si="68">IF(D135=0,"",1/(1/10^E135*$J$20/$J$22+10^D135/10^E135*$J$21/$J$22+10^I135/10^E135*$J$13/$J$22+1))</f>
        <v>5.8657080666983739E-4</v>
      </c>
      <c r="O135" s="56">
        <f t="shared" ref="O135:O143" si="69">IF(D135=0,"",F135*K135*$J$7/$J$14)</f>
        <v>9.369211474915702E-7</v>
      </c>
      <c r="P135" s="56">
        <f t="shared" ref="P135:P143" si="70">IF(D135=0,"",O135*10^J135)</f>
        <v>5.492026817501005E-6</v>
      </c>
      <c r="Q135" s="56">
        <f t="shared" ref="Q135:Q143" si="71">IF(D135=0,"",F135*N135*$J$7/$J$22)</f>
        <v>1.2912819307393747E-5</v>
      </c>
      <c r="R135" s="9">
        <f t="shared" si="44"/>
        <v>1.4999999999999999E-4</v>
      </c>
      <c r="S135" s="9">
        <f t="shared" si="45"/>
        <v>2.6353295669390623E-7</v>
      </c>
      <c r="T135" s="9">
        <f t="shared" si="40"/>
        <v>1.3976545944511216E-4</v>
      </c>
      <c r="U135" s="9">
        <f t="shared" si="41"/>
        <v>1.4973646704330608E-4</v>
      </c>
      <c r="V135" s="100">
        <f t="shared" si="46"/>
        <v>0.93340962428804897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266</v>
      </c>
      <c r="C136" s="46" t="s">
        <v>267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-7.9255891896301502E-4</v>
      </c>
      <c r="J136" s="54">
        <f t="shared" si="64"/>
        <v>-9.1674979358172329E-2</v>
      </c>
      <c r="K136" s="55">
        <f t="shared" si="65"/>
        <v>0.9963785010218027</v>
      </c>
      <c r="L136" s="55">
        <f t="shared" si="66"/>
        <v>2.5951044315119793E-4</v>
      </c>
      <c r="M136" s="55">
        <f t="shared" si="67"/>
        <v>0.9997404895568488</v>
      </c>
      <c r="N136" s="55">
        <f t="shared" si="68"/>
        <v>8.830336488177806E-6</v>
      </c>
      <c r="O136" s="56">
        <f t="shared" si="69"/>
        <v>1.0018871174103149E-6</v>
      </c>
      <c r="P136" s="56">
        <f t="shared" si="70"/>
        <v>8.1122964529064467E-7</v>
      </c>
      <c r="Q136" s="56">
        <f t="shared" si="71"/>
        <v>1.9439177367636495E-7</v>
      </c>
      <c r="R136" s="9">
        <f t="shared" si="44"/>
        <v>1.4999999999999999E-4</v>
      </c>
      <c r="S136" s="9">
        <f t="shared" si="45"/>
        <v>3.8926566472679684E-8</v>
      </c>
      <c r="T136" s="9">
        <f t="shared" si="40"/>
        <v>1.4945677515327039E-4</v>
      </c>
      <c r="U136" s="9">
        <f t="shared" si="41"/>
        <v>1.4996107343352729E-4</v>
      </c>
      <c r="V136" s="100">
        <f t="shared" si="46"/>
        <v>0.99663713876734517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268</v>
      </c>
      <c r="C137" s="46" t="s">
        <v>269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-2.2515440087297459E-3</v>
      </c>
      <c r="J137" s="54">
        <f t="shared" si="64"/>
        <v>-0.20869004627707902</v>
      </c>
      <c r="K137" s="55">
        <f t="shared" si="65"/>
        <v>0.99979201524891492</v>
      </c>
      <c r="L137" s="55">
        <f t="shared" si="66"/>
        <v>1.9889555993493494E-4</v>
      </c>
      <c r="M137" s="55">
        <f t="shared" si="67"/>
        <v>0.99980110444006509</v>
      </c>
      <c r="N137" s="55">
        <f t="shared" si="68"/>
        <v>2.0172123314094588E-9</v>
      </c>
      <c r="O137" s="56">
        <f t="shared" si="69"/>
        <v>1.0053195037230801E-6</v>
      </c>
      <c r="P137" s="56">
        <f t="shared" si="70"/>
        <v>6.2174752035660661E-7</v>
      </c>
      <c r="Q137" s="56">
        <f t="shared" si="71"/>
        <v>4.4407082732295559E-11</v>
      </c>
      <c r="R137" s="9">
        <f t="shared" si="44"/>
        <v>1.4999999999999999E-4</v>
      </c>
      <c r="S137" s="9">
        <f t="shared" si="45"/>
        <v>2.9834333990240237E-8</v>
      </c>
      <c r="T137" s="9">
        <f t="shared" si="40"/>
        <v>1.4996880228733723E-4</v>
      </c>
      <c r="U137" s="9">
        <f t="shared" si="41"/>
        <v>1.4997016566600975E-4</v>
      </c>
      <c r="V137" s="100">
        <f t="shared" si="46"/>
        <v>0.99999090900069043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270</v>
      </c>
      <c r="C138" s="46" t="s">
        <v>271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-9.5421953907495261E-4</v>
      </c>
      <c r="J138" s="54">
        <f t="shared" si="64"/>
        <v>-0.103754888158092</v>
      </c>
      <c r="K138" s="55">
        <f t="shared" si="65"/>
        <v>0.9967564614077512</v>
      </c>
      <c r="L138" s="55">
        <f t="shared" si="66"/>
        <v>2.5248736034961747E-4</v>
      </c>
      <c r="M138" s="55">
        <f t="shared" si="67"/>
        <v>0.99974751263965034</v>
      </c>
      <c r="N138" s="55">
        <f t="shared" si="68"/>
        <v>7.4874314114843887E-6</v>
      </c>
      <c r="O138" s="56">
        <f t="shared" si="69"/>
        <v>1.0022671674025468E-6</v>
      </c>
      <c r="P138" s="56">
        <f t="shared" si="70"/>
        <v>7.892754884529041E-7</v>
      </c>
      <c r="Q138" s="56">
        <f t="shared" si="71"/>
        <v>1.6482894783309999E-7</v>
      </c>
      <c r="R138" s="9">
        <f t="shared" si="44"/>
        <v>1.4999999999999999E-4</v>
      </c>
      <c r="S138" s="9">
        <f t="shared" si="45"/>
        <v>3.7873104052442613E-8</v>
      </c>
      <c r="T138" s="9">
        <f t="shared" si="40"/>
        <v>1.4951346921116267E-4</v>
      </c>
      <c r="U138" s="9">
        <f t="shared" si="41"/>
        <v>1.4996212689594754E-4</v>
      </c>
      <c r="V138" s="100">
        <f t="shared" si="46"/>
        <v>0.99700819337474333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272</v>
      </c>
      <c r="C139" s="46" t="s">
        <v>273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2.0637855846763784E-2</v>
      </c>
      <c r="J139" s="54">
        <f t="shared" si="64"/>
        <v>0.60777493199684651</v>
      </c>
      <c r="K139" s="55">
        <f t="shared" si="65"/>
        <v>0.94747959071836707</v>
      </c>
      <c r="L139" s="55">
        <f t="shared" si="66"/>
        <v>1.2352369270406901E-3</v>
      </c>
      <c r="M139" s="55">
        <f t="shared" si="67"/>
        <v>0.99876476307295936</v>
      </c>
      <c r="N139" s="55">
        <f t="shared" si="68"/>
        <v>2.6128572223580495E-4</v>
      </c>
      <c r="O139" s="56">
        <f t="shared" si="69"/>
        <v>9.5271786271626715E-7</v>
      </c>
      <c r="P139" s="56">
        <f t="shared" si="70"/>
        <v>3.8613506339291976E-6</v>
      </c>
      <c r="Q139" s="56">
        <f t="shared" si="71"/>
        <v>5.7519659697825795E-6</v>
      </c>
      <c r="R139" s="9">
        <f t="shared" si="44"/>
        <v>1.4999999999999999E-4</v>
      </c>
      <c r="S139" s="9">
        <f t="shared" si="45"/>
        <v>1.852855390561035E-7</v>
      </c>
      <c r="T139" s="9">
        <f t="shared" si="40"/>
        <v>1.4212193860775504E-4</v>
      </c>
      <c r="U139" s="9">
        <f t="shared" si="41"/>
        <v>1.498147144609439E-4</v>
      </c>
      <c r="V139" s="100">
        <f t="shared" si="46"/>
        <v>0.94865139995848458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274</v>
      </c>
      <c r="C140" s="46" t="s">
        <v>275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-2.2257476801494347E-3</v>
      </c>
      <c r="J140" s="54">
        <f t="shared" si="64"/>
        <v>-0.20655706052874306</v>
      </c>
      <c r="K140" s="55">
        <f t="shared" si="65"/>
        <v>0.99973166400162816</v>
      </c>
      <c r="L140" s="55">
        <f t="shared" si="66"/>
        <v>1.9986274942066458E-4</v>
      </c>
      <c r="M140" s="55">
        <f t="shared" si="67"/>
        <v>0.99980013725057937</v>
      </c>
      <c r="N140" s="55">
        <f t="shared" si="68"/>
        <v>3.5545108384650777E-8</v>
      </c>
      <c r="O140" s="56">
        <f t="shared" si="69"/>
        <v>1.0052588188155731E-6</v>
      </c>
      <c r="P140" s="56">
        <f t="shared" si="70"/>
        <v>6.2477095468899716E-7</v>
      </c>
      <c r="Q140" s="56">
        <f t="shared" si="71"/>
        <v>7.8249301979167846E-10</v>
      </c>
      <c r="R140" s="9">
        <f t="shared" si="44"/>
        <v>1.4999999999999999E-4</v>
      </c>
      <c r="S140" s="9">
        <f t="shared" si="45"/>
        <v>2.9979412413099688E-8</v>
      </c>
      <c r="T140" s="9">
        <f t="shared" si="40"/>
        <v>1.499597496002442E-4</v>
      </c>
      <c r="U140" s="9">
        <f t="shared" si="41"/>
        <v>1.4997002058758689E-4</v>
      </c>
      <c r="V140" s="100">
        <f t="shared" si="46"/>
        <v>0.99993151306306127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276</v>
      </c>
      <c r="C141" s="46" t="s">
        <v>277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-2.1814307177209532E-3</v>
      </c>
      <c r="J141" s="54">
        <f t="shared" si="64"/>
        <v>-0.20284834408497376</v>
      </c>
      <c r="K141" s="55">
        <f t="shared" si="65"/>
        <v>0.99962796014673672</v>
      </c>
      <c r="L141" s="55">
        <f t="shared" si="66"/>
        <v>2.0155590280794317E-4</v>
      </c>
      <c r="M141" s="55">
        <f t="shared" si="67"/>
        <v>0.9997984440971921</v>
      </c>
      <c r="N141" s="55">
        <f t="shared" si="68"/>
        <v>1.2974701321760456E-7</v>
      </c>
      <c r="O141" s="56">
        <f t="shared" si="69"/>
        <v>1.0051545416195729E-6</v>
      </c>
      <c r="P141" s="56">
        <f t="shared" si="70"/>
        <v>6.3006375217763024E-7</v>
      </c>
      <c r="Q141" s="56">
        <f t="shared" si="71"/>
        <v>2.8562617135086754E-9</v>
      </c>
      <c r="R141" s="9">
        <f t="shared" si="44"/>
        <v>1.4999999999999999E-4</v>
      </c>
      <c r="S141" s="9">
        <f t="shared" si="45"/>
        <v>3.0233385421191471E-8</v>
      </c>
      <c r="T141" s="9">
        <f t="shared" si="40"/>
        <v>1.4994419402201051E-4</v>
      </c>
      <c r="U141" s="9">
        <f t="shared" si="41"/>
        <v>1.499697666145788E-4</v>
      </c>
      <c r="V141" s="100">
        <f t="shared" si="46"/>
        <v>0.99982948168057084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278</v>
      </c>
      <c r="C142" s="46" t="s">
        <v>279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0.35101699191808489</v>
      </c>
      <c r="J142" s="54">
        <f t="shared" si="64"/>
        <v>2.159334202365554</v>
      </c>
      <c r="K142" s="55">
        <f t="shared" si="65"/>
        <v>0.43439020371574499</v>
      </c>
      <c r="L142" s="55">
        <f t="shared" si="66"/>
        <v>2.0165996870145364E-2</v>
      </c>
      <c r="M142" s="55">
        <f t="shared" si="67"/>
        <v>0.97983400312985469</v>
      </c>
      <c r="N142" s="55">
        <f t="shared" si="68"/>
        <v>1.3106188740129168E-2</v>
      </c>
      <c r="O142" s="56">
        <f t="shared" si="69"/>
        <v>4.3679179005341069E-7</v>
      </c>
      <c r="P142" s="56">
        <f t="shared" si="70"/>
        <v>6.3038906216074405E-5</v>
      </c>
      <c r="Q142" s="56">
        <f t="shared" si="71"/>
        <v>2.8852074649044922E-4</v>
      </c>
      <c r="R142" s="9">
        <f t="shared" si="44"/>
        <v>1.4999999999999999E-4</v>
      </c>
      <c r="S142" s="9">
        <f t="shared" si="45"/>
        <v>3.0248995305218043E-6</v>
      </c>
      <c r="T142" s="9">
        <f t="shared" si="40"/>
        <v>6.5158530557361745E-5</v>
      </c>
      <c r="U142" s="9">
        <f t="shared" si="41"/>
        <v>1.469751004694782E-4</v>
      </c>
      <c r="V142" s="100">
        <f t="shared" si="46"/>
        <v>0.44333040323992151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97</v>
      </c>
      <c r="C143" s="46" t="s">
        <v>280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1.1760432553236648</v>
      </c>
      <c r="J143" s="54">
        <f t="shared" si="64"/>
        <v>2.8765866563787141</v>
      </c>
      <c r="K143" s="55">
        <f t="shared" si="65"/>
        <v>6.5280387305330895E-2</v>
      </c>
      <c r="L143" s="55">
        <f t="shared" si="66"/>
        <v>1.5804284874396751E-2</v>
      </c>
      <c r="M143" s="55">
        <f t="shared" si="67"/>
        <v>0.98419571512560322</v>
      </c>
      <c r="N143" s="55">
        <f t="shared" si="68"/>
        <v>1.2568299457620803E-3</v>
      </c>
      <c r="O143" s="56">
        <f t="shared" si="69"/>
        <v>6.5641298957870366E-8</v>
      </c>
      <c r="P143" s="56">
        <f t="shared" si="70"/>
        <v>4.9404194517364269E-5</v>
      </c>
      <c r="Q143" s="56">
        <f t="shared" si="71"/>
        <v>2.7667960636987771E-5</v>
      </c>
      <c r="R143" s="9">
        <f t="shared" si="44"/>
        <v>1.4999999999999999E-4</v>
      </c>
      <c r="S143" s="9">
        <f t="shared" si="45"/>
        <v>2.3706427311595123E-6</v>
      </c>
      <c r="T143" s="9">
        <f t="shared" si="40"/>
        <v>9.7920580957996338E-6</v>
      </c>
      <c r="U143" s="9">
        <f t="shared" si="41"/>
        <v>1.4762935726884047E-4</v>
      </c>
      <c r="V143" s="100">
        <f t="shared" si="46"/>
        <v>6.6328664413053046E-2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2025-02-02T14:49:38Z</dcterms:modified>
</cp:coreProperties>
</file>