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DD3E1144-B3B1-40E2-99BF-6CE7F6F8E927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T130" i="4" s="1"/>
  <c r="V127" i="4"/>
  <c r="U127" i="4"/>
  <c r="R127" i="4"/>
  <c r="T127" i="4" s="1"/>
  <c r="V126" i="4"/>
  <c r="R126" i="4"/>
  <c r="S126" i="4" s="1"/>
  <c r="V124" i="4"/>
  <c r="U124" i="4"/>
  <c r="T124" i="4"/>
  <c r="S124" i="4"/>
  <c r="R124" i="4"/>
  <c r="V121" i="4"/>
  <c r="R121" i="4"/>
  <c r="U121" i="4" s="1"/>
  <c r="V120" i="4"/>
  <c r="U120" i="4"/>
  <c r="T120" i="4"/>
  <c r="S120" i="4"/>
  <c r="R120" i="4"/>
  <c r="V119" i="4"/>
  <c r="R119" i="4"/>
  <c r="U119" i="4" s="1"/>
  <c r="V116" i="4"/>
  <c r="R116" i="4"/>
  <c r="S116" i="4" s="1"/>
  <c r="V115" i="4"/>
  <c r="U115" i="4"/>
  <c r="T115" i="4"/>
  <c r="R115" i="4"/>
  <c r="S115" i="4" s="1"/>
  <c r="V114" i="4"/>
  <c r="R114" i="4"/>
  <c r="U114" i="4" s="1"/>
  <c r="V108" i="4"/>
  <c r="U108" i="4"/>
  <c r="T108" i="4"/>
  <c r="R108" i="4"/>
  <c r="S108" i="4" s="1"/>
  <c r="V107" i="4"/>
  <c r="R107" i="4"/>
  <c r="U107" i="4" s="1"/>
  <c r="V93" i="4"/>
  <c r="R93" i="4"/>
  <c r="S93" i="4" s="1"/>
  <c r="V92" i="4"/>
  <c r="U92" i="4"/>
  <c r="R92" i="4"/>
  <c r="T92" i="4" s="1"/>
  <c r="V91" i="4"/>
  <c r="R91" i="4"/>
  <c r="U91" i="4" s="1"/>
  <c r="V90" i="4"/>
  <c r="U90" i="4"/>
  <c r="T90" i="4"/>
  <c r="S90" i="4"/>
  <c r="R90" i="4"/>
  <c r="V89" i="4"/>
  <c r="R89" i="4"/>
  <c r="U89" i="4" s="1"/>
  <c r="V88" i="4"/>
  <c r="U88" i="4"/>
  <c r="T88" i="4"/>
  <c r="S88" i="4"/>
  <c r="R88" i="4"/>
  <c r="V86" i="4"/>
  <c r="R86" i="4"/>
  <c r="U86" i="4" s="1"/>
  <c r="V85" i="4"/>
  <c r="R85" i="4"/>
  <c r="S85" i="4" s="1"/>
  <c r="V84" i="4"/>
  <c r="U84" i="4"/>
  <c r="T84" i="4"/>
  <c r="R84" i="4"/>
  <c r="S84" i="4" s="1"/>
  <c r="V83" i="4"/>
  <c r="R83" i="4"/>
  <c r="U83" i="4" s="1"/>
  <c r="V82" i="4"/>
  <c r="U82" i="4"/>
  <c r="T82" i="4"/>
  <c r="R82" i="4"/>
  <c r="S82" i="4" s="1"/>
  <c r="V81" i="4"/>
  <c r="R81" i="4"/>
  <c r="U81" i="4" s="1"/>
  <c r="V80" i="4"/>
  <c r="R80" i="4"/>
  <c r="U80" i="4" s="1"/>
  <c r="V79" i="4"/>
  <c r="U79" i="4"/>
  <c r="R79" i="4"/>
  <c r="T79" i="4" s="1"/>
  <c r="V78" i="4"/>
  <c r="R78" i="4"/>
  <c r="U78" i="4" s="1"/>
  <c r="V77" i="4"/>
  <c r="U77" i="4"/>
  <c r="T77" i="4"/>
  <c r="S77" i="4"/>
  <c r="R77" i="4"/>
  <c r="V76" i="4"/>
  <c r="R76" i="4"/>
  <c r="U76" i="4" s="1"/>
  <c r="V75" i="4"/>
  <c r="U75" i="4"/>
  <c r="T75" i="4"/>
  <c r="S75" i="4"/>
  <c r="R75" i="4"/>
  <c r="V74" i="4"/>
  <c r="R74" i="4"/>
  <c r="U74" i="4" s="1"/>
  <c r="V73" i="4"/>
  <c r="R73" i="4"/>
  <c r="T73" i="4" s="1"/>
  <c r="V72" i="4"/>
  <c r="U72" i="4"/>
  <c r="T72" i="4"/>
  <c r="R72" i="4"/>
  <c r="S72" i="4" s="1"/>
  <c r="V71" i="4"/>
  <c r="R71" i="4"/>
  <c r="U71" i="4" s="1"/>
  <c r="V70" i="4"/>
  <c r="U70" i="4"/>
  <c r="T70" i="4"/>
  <c r="R70" i="4"/>
  <c r="S70" i="4" s="1"/>
  <c r="V69" i="4"/>
  <c r="R69" i="4"/>
  <c r="U69" i="4" s="1"/>
  <c r="V68" i="4"/>
  <c r="R68" i="4"/>
  <c r="U68" i="4" s="1"/>
  <c r="V65" i="4"/>
  <c r="U65" i="4"/>
  <c r="R65" i="4"/>
  <c r="T65" i="4" s="1"/>
  <c r="V64" i="4"/>
  <c r="R64" i="4"/>
  <c r="S64" i="4" s="1"/>
  <c r="V63" i="4"/>
  <c r="U63" i="4"/>
  <c r="T63" i="4"/>
  <c r="S63" i="4"/>
  <c r="R63" i="4"/>
  <c r="V62" i="4"/>
  <c r="R62" i="4"/>
  <c r="U62" i="4" s="1"/>
  <c r="V61" i="4"/>
  <c r="U61" i="4"/>
  <c r="T61" i="4"/>
  <c r="S61" i="4"/>
  <c r="R61" i="4"/>
  <c r="V60" i="4"/>
  <c r="R60" i="4"/>
  <c r="U60" i="4" s="1"/>
  <c r="V58" i="4"/>
  <c r="R58" i="4"/>
  <c r="S58" i="4" s="1"/>
  <c r="V57" i="4"/>
  <c r="U57" i="4"/>
  <c r="T57" i="4"/>
  <c r="R57" i="4"/>
  <c r="S57" i="4" s="1"/>
  <c r="V49" i="4"/>
  <c r="R49" i="4"/>
  <c r="U49" i="4" s="1"/>
  <c r="V48" i="4"/>
  <c r="U48" i="4"/>
  <c r="T48" i="4"/>
  <c r="R48" i="4"/>
  <c r="S48" i="4" s="1"/>
  <c r="V47" i="4"/>
  <c r="R47" i="4"/>
  <c r="U47" i="4" s="1"/>
  <c r="V46" i="4"/>
  <c r="R46" i="4"/>
  <c r="U46" i="4" s="1"/>
  <c r="V45" i="4"/>
  <c r="U45" i="4"/>
  <c r="R45" i="4"/>
  <c r="T45" i="4" s="1"/>
  <c r="V44" i="4"/>
  <c r="R44" i="4"/>
  <c r="S44" i="4" s="1"/>
  <c r="V43" i="4"/>
  <c r="U43" i="4"/>
  <c r="T43" i="4"/>
  <c r="S43" i="4"/>
  <c r="R43" i="4"/>
  <c r="V42" i="4"/>
  <c r="R42" i="4"/>
  <c r="U42" i="4" s="1"/>
  <c r="V41" i="4"/>
  <c r="U41" i="4"/>
  <c r="T41" i="4"/>
  <c r="S41" i="4"/>
  <c r="R41" i="4"/>
  <c r="V40" i="4"/>
  <c r="R40" i="4"/>
  <c r="U40" i="4" s="1"/>
  <c r="V39" i="4"/>
  <c r="R39" i="4"/>
  <c r="T39" i="4" s="1"/>
  <c r="V38" i="4"/>
  <c r="U38" i="4"/>
  <c r="T38" i="4"/>
  <c r="S38" i="4"/>
  <c r="R38" i="4"/>
  <c r="V37" i="4"/>
  <c r="R37" i="4"/>
  <c r="U37" i="4" s="1"/>
  <c r="V36" i="4"/>
  <c r="U36" i="4"/>
  <c r="T36" i="4"/>
  <c r="R36" i="4"/>
  <c r="S36" i="4" s="1"/>
  <c r="V35" i="4"/>
  <c r="T35" i="4"/>
  <c r="S35" i="4"/>
  <c r="R35" i="4"/>
  <c r="U35" i="4" s="1"/>
  <c r="V34" i="4"/>
  <c r="R34" i="4"/>
  <c r="U34" i="4" s="1"/>
  <c r="V33" i="4"/>
  <c r="U33" i="4"/>
  <c r="R33" i="4"/>
  <c r="T33" i="4" s="1"/>
  <c r="V32" i="4"/>
  <c r="R32" i="4"/>
  <c r="S32" i="4" s="1"/>
  <c r="V31" i="4"/>
  <c r="U31" i="4"/>
  <c r="T31" i="4"/>
  <c r="S31" i="4"/>
  <c r="R31" i="4"/>
  <c r="V30" i="4"/>
  <c r="R30" i="4"/>
  <c r="U30" i="4" s="1"/>
  <c r="V29" i="4"/>
  <c r="U29" i="4"/>
  <c r="T29" i="4"/>
  <c r="S29" i="4"/>
  <c r="R29" i="4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 s="1"/>
  <c r="O130" i="4" s="1"/>
  <c r="P130" i="4" s="1"/>
  <c r="L130" i="4"/>
  <c r="M130" i="4" s="1"/>
  <c r="N130" i="4"/>
  <c r="Q130" i="4" s="1"/>
  <c r="I131" i="4"/>
  <c r="J131" i="4"/>
  <c r="K131" i="4" s="1"/>
  <c r="O131" i="4" s="1"/>
  <c r="P131" i="4" s="1"/>
  <c r="L131" i="4"/>
  <c r="M131" i="4" s="1"/>
  <c r="N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T93" i="4" l="1"/>
  <c r="T58" i="4"/>
  <c r="S78" i="4"/>
  <c r="T85" i="4"/>
  <c r="S91" i="4"/>
  <c r="U130" i="4"/>
  <c r="T32" i="4"/>
  <c r="S37" i="4"/>
  <c r="U39" i="4"/>
  <c r="T44" i="4"/>
  <c r="S49" i="4"/>
  <c r="U58" i="4"/>
  <c r="T64" i="4"/>
  <c r="S71" i="4"/>
  <c r="U73" i="4"/>
  <c r="T78" i="4"/>
  <c r="S83" i="4"/>
  <c r="U85" i="4"/>
  <c r="T91" i="4"/>
  <c r="S114" i="4"/>
  <c r="U116" i="4"/>
  <c r="T126" i="4"/>
  <c r="S34" i="4"/>
  <c r="S46" i="4"/>
  <c r="S68" i="4"/>
  <c r="S80" i="4"/>
  <c r="S130" i="4"/>
  <c r="T34" i="4"/>
  <c r="S39" i="4"/>
  <c r="T46" i="4"/>
  <c r="T68" i="4"/>
  <c r="S73" i="4"/>
  <c r="T80" i="4"/>
  <c r="U93" i="4"/>
  <c r="S30" i="4"/>
  <c r="U32" i="4"/>
  <c r="T37" i="4"/>
  <c r="S42" i="4"/>
  <c r="U44" i="4"/>
  <c r="T49" i="4"/>
  <c r="S62" i="4"/>
  <c r="U64" i="4"/>
  <c r="T71" i="4"/>
  <c r="S76" i="4"/>
  <c r="T83" i="4"/>
  <c r="S89" i="4"/>
  <c r="T114" i="4"/>
  <c r="S121" i="4"/>
  <c r="U126" i="4"/>
  <c r="T30" i="4"/>
  <c r="T42" i="4"/>
  <c r="S47" i="4"/>
  <c r="T62" i="4"/>
  <c r="S69" i="4"/>
  <c r="T76" i="4"/>
  <c r="S81" i="4"/>
  <c r="T89" i="4"/>
  <c r="S107" i="4"/>
  <c r="T121" i="4"/>
  <c r="S131" i="4"/>
  <c r="S28" i="4"/>
  <c r="S40" i="4"/>
  <c r="T47" i="4"/>
  <c r="S60" i="4"/>
  <c r="T69" i="4"/>
  <c r="S74" i="4"/>
  <c r="T81" i="4"/>
  <c r="S86" i="4"/>
  <c r="T107" i="4"/>
  <c r="S119" i="4"/>
  <c r="T131" i="4"/>
  <c r="T116" i="4"/>
  <c r="T28" i="4"/>
  <c r="S33" i="4"/>
  <c r="T40" i="4"/>
  <c r="S45" i="4"/>
  <c r="T60" i="4"/>
  <c r="S65" i="4"/>
  <c r="T74" i="4"/>
  <c r="S79" i="4"/>
  <c r="T86" i="4"/>
  <c r="S92" i="4"/>
  <c r="T119" i="4"/>
  <c r="S127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4" i="4"/>
  <c r="M125" i="4"/>
  <c r="J16" i="4"/>
  <c r="J15" i="4"/>
  <c r="J87" i="4"/>
  <c r="K87" i="4" s="1"/>
  <c r="J122" i="4"/>
  <c r="K122" i="4"/>
  <c r="J117" i="4"/>
  <c r="K117" i="4"/>
  <c r="J120" i="4"/>
  <c r="L120" i="4" s="1"/>
  <c r="M120" i="4" s="1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/>
  <c r="O119" i="4" s="1"/>
  <c r="P119" i="4" s="1"/>
  <c r="J72" i="4"/>
  <c r="K72" i="4"/>
  <c r="J103" i="4"/>
  <c r="K103" i="4"/>
  <c r="J118" i="4"/>
  <c r="K118" i="4"/>
  <c r="J104" i="4"/>
  <c r="K104" i="4"/>
  <c r="J90" i="4"/>
  <c r="K90" i="4" s="1"/>
  <c r="J71" i="4"/>
  <c r="K71" i="4"/>
  <c r="O71" i="4" s="1"/>
  <c r="P71" i="4" s="1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L114" i="4" s="1"/>
  <c r="M114" i="4" s="1"/>
  <c r="K114" i="4"/>
  <c r="O114" i="4" s="1"/>
  <c r="P114" i="4" s="1"/>
  <c r="J78" i="4"/>
  <c r="K78" i="4" s="1"/>
  <c r="J115" i="4"/>
  <c r="K115" i="4"/>
  <c r="O115" i="4" s="1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 s="1"/>
  <c r="J77" i="4"/>
  <c r="K77" i="4"/>
  <c r="J112" i="4"/>
  <c r="K112" i="4"/>
  <c r="J96" i="4"/>
  <c r="K96" i="4" s="1"/>
  <c r="J80" i="4"/>
  <c r="K80" i="4" s="1"/>
  <c r="J106" i="4"/>
  <c r="K106" i="4"/>
  <c r="J127" i="4"/>
  <c r="K127" i="4"/>
  <c r="J111" i="4"/>
  <c r="K111" i="4"/>
  <c r="J95" i="4"/>
  <c r="K95" i="4" s="1"/>
  <c r="J79" i="4"/>
  <c r="K79" i="4" s="1"/>
  <c r="J126" i="4"/>
  <c r="K126" i="4"/>
  <c r="O126" i="4" s="1"/>
  <c r="P126" i="4" s="1"/>
  <c r="J94" i="4"/>
  <c r="K94" i="4" s="1"/>
  <c r="J121" i="4"/>
  <c r="L121" i="4" s="1"/>
  <c r="M121" i="4" s="1"/>
  <c r="K121" i="4"/>
  <c r="O121" i="4" s="1"/>
  <c r="P121" i="4" s="1"/>
  <c r="J105" i="4"/>
  <c r="K105" i="4"/>
  <c r="J89" i="4"/>
  <c r="K89" i="4" s="1"/>
  <c r="J73" i="4"/>
  <c r="K73" i="4" s="1"/>
  <c r="J124" i="4"/>
  <c r="K124" i="4"/>
  <c r="J108" i="4"/>
  <c r="K108" i="4"/>
  <c r="J92" i="4"/>
  <c r="K92" i="4"/>
  <c r="J76" i="4"/>
  <c r="L76" i="4" s="1"/>
  <c r="K76" i="4"/>
  <c r="J98" i="4"/>
  <c r="K98" i="4"/>
  <c r="J123" i="4"/>
  <c r="K123" i="4"/>
  <c r="J107" i="4"/>
  <c r="K107" i="4"/>
  <c r="O107" i="4" s="1"/>
  <c r="P107" i="4" s="1"/>
  <c r="J91" i="4"/>
  <c r="K91" i="4"/>
  <c r="J75" i="4"/>
  <c r="K75" i="4"/>
  <c r="O75" i="4" s="1"/>
  <c r="P75" i="4" s="1"/>
  <c r="P100" i="4"/>
  <c r="O112" i="4"/>
  <c r="P112" i="4"/>
  <c r="O98" i="4"/>
  <c r="P98" i="4"/>
  <c r="O108" i="4"/>
  <c r="P108" i="4"/>
  <c r="O105" i="4"/>
  <c r="P105" i="4"/>
  <c r="O111" i="4"/>
  <c r="P111" i="4"/>
  <c r="O104" i="4"/>
  <c r="P104" i="4"/>
  <c r="O91" i="4"/>
  <c r="P91" i="4"/>
  <c r="O124" i="4"/>
  <c r="P124" i="4"/>
  <c r="O127" i="4"/>
  <c r="P127" i="4" s="1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I77" i="4"/>
  <c r="N77" i="4" s="1"/>
  <c r="Q77" i="4" s="1"/>
  <c r="I81" i="4"/>
  <c r="N81" i="4" s="1"/>
  <c r="Q81" i="4" s="1"/>
  <c r="I89" i="4"/>
  <c r="L89" i="4" s="1"/>
  <c r="I90" i="4"/>
  <c r="N90" i="4" s="1"/>
  <c r="Q90" i="4" s="1"/>
  <c r="I96" i="4"/>
  <c r="I99" i="4"/>
  <c r="I102" i="4"/>
  <c r="I104" i="4"/>
  <c r="I108" i="4"/>
  <c r="I111" i="4"/>
  <c r="I113" i="4"/>
  <c r="I115" i="4"/>
  <c r="N115" i="4" s="1"/>
  <c r="Q115" i="4" s="1"/>
  <c r="I119" i="4"/>
  <c r="N119" i="4" s="1"/>
  <c r="Q119" i="4" s="1"/>
  <c r="I120" i="4"/>
  <c r="I123" i="4"/>
  <c r="I125" i="4"/>
  <c r="I79" i="4"/>
  <c r="N79" i="4" s="1"/>
  <c r="Q79" i="4" s="1"/>
  <c r="I92" i="4"/>
  <c r="L92" i="4" s="1"/>
  <c r="I100" i="4"/>
  <c r="I103" i="4"/>
  <c r="I107" i="4"/>
  <c r="L107" i="4" s="1"/>
  <c r="M107" i="4" s="1"/>
  <c r="I109" i="4"/>
  <c r="I110" i="4"/>
  <c r="I117" i="4"/>
  <c r="I124" i="4"/>
  <c r="I72" i="4"/>
  <c r="N72" i="4" s="1"/>
  <c r="Q72" i="4" s="1"/>
  <c r="I106" i="4"/>
  <c r="I71" i="4"/>
  <c r="L71" i="4" s="1"/>
  <c r="M71" i="4" s="1"/>
  <c r="I75" i="4"/>
  <c r="N75" i="4" s="1"/>
  <c r="Q75" i="4" s="1"/>
  <c r="I80" i="4"/>
  <c r="L80" i="4" s="1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I73" i="4"/>
  <c r="L73" i="4" s="1"/>
  <c r="I74" i="4"/>
  <c r="L74" i="4" s="1"/>
  <c r="I78" i="4"/>
  <c r="L78" i="4" s="1"/>
  <c r="I82" i="4"/>
  <c r="I85" i="4"/>
  <c r="L85" i="4" s="1"/>
  <c r="I93" i="4"/>
  <c r="N93" i="4" s="1"/>
  <c r="Q93" i="4" s="1"/>
  <c r="I112" i="4"/>
  <c r="I114" i="4"/>
  <c r="I121" i="4"/>
  <c r="N121" i="4" s="1"/>
  <c r="Q121" i="4" s="1"/>
  <c r="I122" i="4"/>
  <c r="I84" i="4"/>
  <c r="I87" i="4"/>
  <c r="I91" i="4"/>
  <c r="N91" i="4" s="1"/>
  <c r="Q91" i="4" s="1"/>
  <c r="I97" i="4"/>
  <c r="L97" i="4" s="1"/>
  <c r="I105" i="4"/>
  <c r="I116" i="4"/>
  <c r="I126" i="4"/>
  <c r="L105" i="4"/>
  <c r="N105" i="4"/>
  <c r="Q105" i="4"/>
  <c r="N73" i="4"/>
  <c r="Q73" i="4" s="1"/>
  <c r="N101" i="4"/>
  <c r="Q101" i="4"/>
  <c r="L101" i="4"/>
  <c r="L106" i="4"/>
  <c r="N106" i="4"/>
  <c r="Q106" i="4"/>
  <c r="L124" i="4"/>
  <c r="N124" i="4"/>
  <c r="Q124" i="4"/>
  <c r="N107" i="4"/>
  <c r="Q107" i="4"/>
  <c r="L119" i="4"/>
  <c r="M119" i="4" s="1"/>
  <c r="N108" i="4"/>
  <c r="Q108" i="4"/>
  <c r="L108" i="4"/>
  <c r="M108" i="4" s="1"/>
  <c r="L96" i="4"/>
  <c r="N96" i="4"/>
  <c r="Q96" i="4" s="1"/>
  <c r="N114" i="4"/>
  <c r="Q114" i="4" s="1"/>
  <c r="N98" i="4"/>
  <c r="Q98" i="4"/>
  <c r="L98" i="4"/>
  <c r="N86" i="4"/>
  <c r="Q86" i="4" s="1"/>
  <c r="N71" i="4"/>
  <c r="Q71" i="4"/>
  <c r="N117" i="4"/>
  <c r="Q117" i="4"/>
  <c r="L117" i="4"/>
  <c r="N103" i="4"/>
  <c r="Q103" i="4"/>
  <c r="L103" i="4"/>
  <c r="L125" i="4"/>
  <c r="N125" i="4"/>
  <c r="Q125" i="4"/>
  <c r="L104" i="4"/>
  <c r="N104" i="4"/>
  <c r="Q104" i="4"/>
  <c r="N76" i="4"/>
  <c r="Q76" i="4" s="1"/>
  <c r="N126" i="4"/>
  <c r="Q126" i="4"/>
  <c r="L126" i="4"/>
  <c r="M126" i="4" s="1"/>
  <c r="L112" i="4"/>
  <c r="N112" i="4"/>
  <c r="Q112" i="4"/>
  <c r="L127" i="4"/>
  <c r="M127" i="4" s="1"/>
  <c r="N127" i="4"/>
  <c r="Q127" i="4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116" i="4"/>
  <c r="Q116" i="4"/>
  <c r="L116" i="4"/>
  <c r="M116" i="4" s="1"/>
  <c r="N87" i="4"/>
  <c r="Q87" i="4" s="1"/>
  <c r="L87" i="4"/>
  <c r="N122" i="4"/>
  <c r="Q122" i="4"/>
  <c r="L122" i="4"/>
  <c r="N118" i="4"/>
  <c r="Q118" i="4"/>
  <c r="L118" i="4"/>
  <c r="L94" i="4"/>
  <c r="N94" i="4"/>
  <c r="Q94" i="4" s="1"/>
  <c r="N109" i="4"/>
  <c r="Q109" i="4"/>
  <c r="L109" i="4"/>
  <c r="N120" i="4"/>
  <c r="Q120" i="4"/>
  <c r="N111" i="4"/>
  <c r="Q111" i="4"/>
  <c r="L111" i="4"/>
  <c r="N99" i="4"/>
  <c r="Q99" i="4"/>
  <c r="L99" i="4"/>
  <c r="M74" i="4" l="1"/>
  <c r="M92" i="4"/>
  <c r="M89" i="4"/>
  <c r="O93" i="4"/>
  <c r="P93" i="4" s="1"/>
  <c r="M80" i="4"/>
  <c r="M78" i="4"/>
  <c r="O78" i="4"/>
  <c r="P78" i="4" s="1"/>
  <c r="M73" i="4"/>
  <c r="O76" i="4"/>
  <c r="P76" i="4" s="1"/>
  <c r="O80" i="4"/>
  <c r="P80" i="4" s="1"/>
  <c r="N78" i="4"/>
  <c r="Q78" i="4" s="1"/>
  <c r="L84" i="4"/>
  <c r="N89" i="4"/>
  <c r="Q89" i="4" s="1"/>
  <c r="O77" i="4"/>
  <c r="P77" i="4" s="1"/>
  <c r="O95" i="4"/>
  <c r="P95" i="4" s="1"/>
  <c r="O87" i="4"/>
  <c r="P87" i="4" s="1"/>
  <c r="L81" i="4"/>
  <c r="N74" i="4"/>
  <c r="Q74" i="4" s="1"/>
  <c r="O88" i="4"/>
  <c r="P88" i="4" s="1"/>
  <c r="O74" i="4"/>
  <c r="P74" i="4" s="1"/>
  <c r="O96" i="4"/>
  <c r="P96" i="4" s="1"/>
  <c r="O83" i="4"/>
  <c r="P83" i="4" s="1"/>
  <c r="N92" i="4"/>
  <c r="Q92" i="4" s="1"/>
  <c r="L79" i="4"/>
  <c r="L75" i="4"/>
  <c r="O73" i="4"/>
  <c r="P73" i="4" s="1"/>
  <c r="O90" i="4"/>
  <c r="P90" i="4" s="1"/>
  <c r="O85" i="4"/>
  <c r="P85" i="4" s="1"/>
  <c r="M94" i="4"/>
  <c r="O84" i="4"/>
  <c r="P84" i="4" s="1"/>
  <c r="L90" i="4"/>
  <c r="L91" i="4"/>
  <c r="M91" i="4" s="1"/>
  <c r="L77" i="4"/>
  <c r="O89" i="4"/>
  <c r="P89" i="4" s="1"/>
  <c r="O81" i="4"/>
  <c r="P81" i="4" s="1"/>
  <c r="O86" i="4"/>
  <c r="P86" i="4" s="1"/>
  <c r="M96" i="4"/>
  <c r="M97" i="4"/>
  <c r="O92" i="4"/>
  <c r="P92" i="4" s="1"/>
  <c r="O82" i="4"/>
  <c r="P82" i="4" s="1"/>
  <c r="O72" i="4"/>
  <c r="P72" i="4" s="1"/>
  <c r="L115" i="4"/>
  <c r="M115" i="4" s="1"/>
  <c r="N80" i="4"/>
  <c r="Q80" i="4" s="1"/>
  <c r="M95" i="4"/>
  <c r="L72" i="4"/>
  <c r="M85" i="4"/>
  <c r="M86" i="4"/>
  <c r="M76" i="4"/>
  <c r="O94" i="4"/>
  <c r="P94" i="4" s="1"/>
  <c r="O79" i="4"/>
  <c r="P79" i="4" s="1"/>
  <c r="M87" i="4"/>
  <c r="L82" i="4"/>
  <c r="L83" i="4"/>
  <c r="N97" i="4"/>
  <c r="Q97" i="4" s="1"/>
  <c r="N85" i="4"/>
  <c r="Q85" i="4" s="1"/>
  <c r="L93" i="4"/>
  <c r="L88" i="4"/>
  <c r="N82" i="4"/>
  <c r="Q82" i="4" s="1"/>
  <c r="N84" i="4"/>
  <c r="Q84" i="4" s="1"/>
  <c r="J14" i="4"/>
  <c r="J13" i="4" s="1"/>
  <c r="K16" i="4" s="1"/>
  <c r="M90" i="4" l="1"/>
  <c r="M83" i="4"/>
  <c r="M82" i="4"/>
  <c r="M93" i="4"/>
  <c r="M77" i="4"/>
  <c r="M75" i="4"/>
  <c r="M88" i="4"/>
  <c r="M79" i="4"/>
  <c r="M72" i="4"/>
  <c r="M84" i="4"/>
  <c r="M81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9" i="4" l="1"/>
  <c r="P69" i="4" s="1"/>
  <c r="O64" i="4"/>
  <c r="P64" i="4" s="1"/>
  <c r="M69" i="4"/>
  <c r="M58" i="4"/>
  <c r="O65" i="4"/>
  <c r="P65" i="4" s="1"/>
  <c r="M66" i="4"/>
  <c r="M67" i="4"/>
  <c r="M68" i="4"/>
  <c r="M57" i="4"/>
  <c r="O66" i="4"/>
  <c r="P66" i="4" s="1"/>
  <c r="O68" i="4"/>
  <c r="P68" i="4" s="1"/>
  <c r="M64" i="4"/>
  <c r="M65" i="4"/>
  <c r="O67" i="4"/>
  <c r="P67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K45" i="4" s="1"/>
  <c r="J30" i="4"/>
  <c r="J43" i="4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30" i="4"/>
  <c r="L30" i="4"/>
  <c r="O48" i="4" l="1"/>
  <c r="P48" i="4" s="1"/>
  <c r="M48" i="4"/>
  <c r="L45" i="4"/>
  <c r="M49" i="4"/>
  <c r="O49" i="4"/>
  <c r="P49" i="4" s="1"/>
  <c r="O35" i="4"/>
  <c r="P35" i="4" s="1"/>
  <c r="M47" i="4"/>
  <c r="O45" i="4"/>
  <c r="P45" i="4" s="1"/>
  <c r="M31" i="4"/>
  <c r="O47" i="4"/>
  <c r="P47" i="4" s="1"/>
  <c r="O28" i="4"/>
  <c r="P28" i="4" s="1"/>
  <c r="O46" i="4"/>
  <c r="P46" i="4" s="1"/>
  <c r="L35" i="4"/>
  <c r="O33" i="4"/>
  <c r="P33" i="4" s="1"/>
  <c r="O43" i="4"/>
  <c r="P43" i="4" s="1"/>
  <c r="M44" i="4"/>
  <c r="M45" i="4"/>
  <c r="M39" i="4"/>
  <c r="O41" i="4"/>
  <c r="P41" i="4" s="1"/>
  <c r="O30" i="4"/>
  <c r="P30" i="4" s="1"/>
  <c r="O31" i="4"/>
  <c r="P31" i="4" s="1"/>
  <c r="M43" i="4"/>
  <c r="O39" i="4"/>
  <c r="P39" i="4" s="1"/>
  <c r="K44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4" i="4" l="1"/>
  <c r="P44" i="4" s="1"/>
  <c r="O29" i="4"/>
  <c r="P29" i="4" s="1"/>
  <c r="O32" i="4"/>
  <c r="P32" i="4" s="1"/>
  <c r="O38" i="4"/>
  <c r="P38" i="4" s="1"/>
  <c r="O40" i="4"/>
  <c r="P40" i="4" s="1"/>
  <c r="M33" i="4"/>
  <c r="M35" i="4"/>
  <c r="O34" i="4"/>
  <c r="P34" i="4" s="1"/>
  <c r="O36" i="4"/>
  <c r="P36" i="4" s="1"/>
  <c r="O42" i="4"/>
  <c r="P42" i="4" s="1"/>
  <c r="O37" i="4"/>
  <c r="P37" i="4" s="1"/>
  <c r="M41" i="4"/>
  <c r="M46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<sst xmlns="http://schemas.openxmlformats.org/spreadsheetml/2006/main" count="318" uniqueCount="295">
  <si>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</si>
  <si>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</si>
  <si>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</si>
  <si>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</si>
  <si>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</si>
  <si>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</si>
  <si>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</si>
  <si>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</si>
  <si>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</si>
  <si>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</si>
  <si>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</si>
  <si>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</si>
  <si>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</si>
  <si>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</si>
  <si>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</si>
  <si>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</si>
  <si>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</si>
  <si>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</si>
  <si>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</si>
  <si>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</si>
  <si>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</si>
  <si>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</si>
  <si>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</si>
  <si>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</si>
  <si>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</si>
  <si>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</si>
  <si>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</si>
  <si>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</si>
  <si>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</si>
  <si>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</si>
  <si>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</si>
  <si>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</si>
  <si>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</si>
  <si>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</si>
  <si>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</si>
  <si>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</si>
  <si>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</si>
  <si>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</si>
  <si>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</si>
  <si>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</si>
  <si>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</si>
  <si>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</si>
  <si>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</si>
  <si>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</si>
  <si>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</si>
  <si>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</si>
  <si>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</si>
  <si>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</si>
  <si>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</si>
  <si>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</si>
  <si>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</si>
  <si>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</si>
  <si>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</si>
  <si>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</si>
  <si>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</si>
  <si>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</si>
  <si>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</si>
  <si>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</si>
  <si>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</si>
  <si>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</si>
  <si>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</si>
  <si>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</si>
  <si>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</si>
  <si>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</si>
  <si>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</si>
  <si>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</si>
  <si>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</si>
  <si>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</si>
  <si>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</si>
  <si>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</si>
  <si>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</si>
  <si>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</si>
  <si>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</si>
  <si>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</si>
  <si>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</si>
  <si>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</si>
  <si>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</si>
  <si>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</si>
  <si>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</si>
  <si>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</si>
  <si>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</si>
  <si>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</si>
  <si>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</si>
  <si>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</si>
  <si>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</si>
  <si>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</si>
  <si>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</si>
  <si>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</si>
  <si>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</si>
  <si>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</si>
  <si>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</si>
  <si>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</si>
  <si>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</si>
  <si>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</si>
  <si>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</si>
  <si>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</si>
  <si>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</si>
  <si>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</si>
  <si>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</si>
  <si>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</si>
  <si>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</si>
  <si>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</si>
  <si>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</si>
  <si>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</si>
  <si>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</si>
  <si>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</si>
  <si>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</si>
  <si>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</si>
  <si>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</si>
  <si>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</si>
  <si>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</si>
  <si>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</si>
  <si>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Default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</si>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</sst>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4.3499999999999997E-3</v>
      </c>
      <c r="M17" s="81">
        <v>5.0000000000000001E-4</v>
      </c>
      <c r="N17" s="81">
        <v>1.4999999999999999E-4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9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150.1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149.31</v>
      </c>
      <c r="K8" s="39">
        <f>J8/J7</f>
        <v>0.99473684210526325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0.73000000000000009</v>
      </c>
      <c r="K9" s="39">
        <f>J9/J7</f>
        <v>4.8634243837441717E-3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0.06</v>
      </c>
      <c r="K10" s="39">
        <f>J10/J7</f>
        <v>3.9973351099267156E-4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9.9999999999999992E-2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8.6999999999999994E-2</v>
      </c>
      <c r="K20" s="39">
        <f>J20/J19</f>
        <v>0.87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0.01</v>
      </c>
      <c r="K21" s="39">
        <f>J21/J19</f>
        <v>0.1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2.9999999999999996E-3</v>
      </c>
      <c r="K22" s="39">
        <f>J22/J19</f>
        <v>0.03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0.88474709081801395</v>
      </c>
      <c r="K28" s="95">
        <f t="shared" ref="K28:K47" si="3">IF(D28=0,"",1/(1+10^D28*$J$15/$J$14+10^E28*$J$16/$J$14+10^J28*$J$19/$J$14))</f>
        <v>0.80122891846024336</v>
      </c>
      <c r="L28" s="95">
        <f t="shared" ref="L28:L47" si="4">IF(D28=0,"",1/(1+10^I28/10^J28*$J$13/$J$19))</f>
        <v>4.1178255095314998E-3</v>
      </c>
      <c r="M28" s="95">
        <f t="shared" ref="M28:M47" si="5">IF(D28=0,"",1-L28)</f>
        <v>0.99588217449046845</v>
      </c>
      <c r="N28" s="95">
        <f t="shared" ref="N28:N47" si="6">IF(D28=0,"",1/(1/10^E28*$J$20/$J$22+10^D28/10^E28*$J$21/$J$22+10^I28/10^E28*$J$13/$J$22+1))</f>
        <v>1.2867290429584622E-3</v>
      </c>
      <c r="O28" s="40">
        <f t="shared" ref="O28:O47" si="7">IF(D28=0,"",F28*K28*$J$7/$J$14)</f>
        <v>8.0593782902690938E-7</v>
      </c>
      <c r="P28" s="40">
        <f t="shared" ref="P28:P47" si="8">IF(D28=0,"",O28*10^J28)</f>
        <v>6.1808560898067809E-6</v>
      </c>
      <c r="Q28" s="40">
        <f t="shared" ref="Q28:Q47" si="9">IF(D28=0,"",F28*N28*$J$7/$J$22)</f>
        <v>6.4379343116021721E-5</v>
      </c>
      <c r="R28" s="9">
        <f>F28*$C$14</f>
        <v>1.4999999999999999E-4</v>
      </c>
      <c r="S28" s="9">
        <f>$R28*L28</f>
        <v>6.1767382642972486E-7</v>
      </c>
      <c r="T28" s="9">
        <f t="shared" ref="T28:T49" si="10">R28*K28</f>
        <v>1.201843377690365E-4</v>
      </c>
      <c r="U28" s="9">
        <f t="shared" ref="U28:U49" si="11">$R28*M28</f>
        <v>1.4938232617357026E-4</v>
      </c>
      <c r="V28" s="102">
        <f>K28/M28</f>
        <v>0.80454188154354989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4.415376749895219</v>
      </c>
      <c r="K29" s="95">
        <f t="shared" si="3"/>
        <v>1.8370075783782657E-3</v>
      </c>
      <c r="L29" s="95">
        <f t="shared" si="4"/>
        <v>3.2037006620744587E-2</v>
      </c>
      <c r="M29" s="95">
        <f t="shared" si="5"/>
        <v>0.9679629933792554</v>
      </c>
      <c r="N29" s="95">
        <f t="shared" si="6"/>
        <v>2.5291724113425118E-2</v>
      </c>
      <c r="O29" s="40">
        <f t="shared" si="7"/>
        <v>1.8478038741653609E-9</v>
      </c>
      <c r="P29" s="40">
        <f t="shared" si="8"/>
        <v>4.8087546937737656E-5</v>
      </c>
      <c r="Q29" s="40">
        <f t="shared" si="9"/>
        <v>1.2654292631417035E-3</v>
      </c>
      <c r="R29" s="9">
        <f>F29*$C$14</f>
        <v>1.4999999999999999E-4</v>
      </c>
      <c r="S29" s="9">
        <f t="shared" ref="S29:S49" si="12">$R29*L29</f>
        <v>4.8055509931116878E-6</v>
      </c>
      <c r="T29" s="9">
        <f t="shared" si="10"/>
        <v>2.7555113675673981E-7</v>
      </c>
      <c r="U29" s="9">
        <f t="shared" si="11"/>
        <v>1.451944490068883E-4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7.7870173585309752</v>
      </c>
      <c r="K30" s="95">
        <f t="shared" si="3"/>
        <v>1.1492671814635701E-6</v>
      </c>
      <c r="L30" s="95">
        <f t="shared" si="4"/>
        <v>4.7163127535827937E-2</v>
      </c>
      <c r="M30" s="95">
        <f t="shared" si="5"/>
        <v>0.95283687246417204</v>
      </c>
      <c r="N30" s="95">
        <f t="shared" si="6"/>
        <v>4.6092630398855035E-2</v>
      </c>
      <c r="O30" s="40">
        <f t="shared" si="7"/>
        <v>1.1560215512198645E-12</v>
      </c>
      <c r="P30" s="40">
        <f t="shared" si="8"/>
        <v>7.0791854431277935E-5</v>
      </c>
      <c r="Q30" s="40">
        <f t="shared" si="9"/>
        <v>2.306167940956047E-3</v>
      </c>
      <c r="R30" s="9">
        <f t="shared" ref="R30:R49" si="14">F30*$C$14</f>
        <v>1.4999999999999999E-4</v>
      </c>
      <c r="S30" s="9">
        <f t="shared" si="12"/>
        <v>7.0744691303741897E-6</v>
      </c>
      <c r="T30" s="9">
        <f t="shared" si="10"/>
        <v>1.7239007721953552E-10</v>
      </c>
      <c r="U30" s="9">
        <f t="shared" si="11"/>
        <v>1.4292553086962578E-4</v>
      </c>
      <c r="V30" s="102">
        <f t="shared" si="13"/>
        <v>1.2061531356268795E-6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2.913138997962994</v>
      </c>
      <c r="K31" s="95">
        <f t="shared" si="3"/>
        <v>5.0164095836955511E-2</v>
      </c>
      <c r="L31" s="95">
        <f t="shared" si="4"/>
        <v>2.7523028509199039E-2</v>
      </c>
      <c r="M31" s="95">
        <f t="shared" si="5"/>
        <v>0.97247697149080092</v>
      </c>
      <c r="N31" s="95">
        <f t="shared" si="6"/>
        <v>1.9947913519378111E-2</v>
      </c>
      <c r="O31" s="40">
        <f t="shared" si="7"/>
        <v>5.0458915751104194E-8</v>
      </c>
      <c r="P31" s="40">
        <f t="shared" si="8"/>
        <v>4.131206579230778E-5</v>
      </c>
      <c r="Q31" s="40">
        <f t="shared" si="9"/>
        <v>9.9806060641955156E-4</v>
      </c>
      <c r="R31" s="9">
        <f t="shared" si="14"/>
        <v>1.4999999999999999E-4</v>
      </c>
      <c r="S31" s="9">
        <f t="shared" si="12"/>
        <v>4.1284542763798554E-6</v>
      </c>
      <c r="T31" s="9">
        <f t="shared" si="10"/>
        <v>7.524614375543326E-6</v>
      </c>
      <c r="U31" s="9">
        <f t="shared" si="11"/>
        <v>1.4587154572362013E-4</v>
      </c>
      <c r="V31" s="102">
        <f t="shared" si="13"/>
        <v>5.158383931709383E-2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5.6147977266030304</v>
      </c>
      <c r="K32" s="95">
        <f t="shared" si="3"/>
        <v>1.1814107357446769E-4</v>
      </c>
      <c r="L32" s="95">
        <f t="shared" si="4"/>
        <v>3.2610906617418882E-2</v>
      </c>
      <c r="M32" s="95">
        <f t="shared" si="5"/>
        <v>0.96738909338258117</v>
      </c>
      <c r="N32" s="95">
        <f t="shared" si="6"/>
        <v>2.6051120092168832E-2</v>
      </c>
      <c r="O32" s="40">
        <f t="shared" si="7"/>
        <v>1.1883540167083895E-10</v>
      </c>
      <c r="P32" s="40">
        <f t="shared" si="8"/>
        <v>4.8948970832745764E-5</v>
      </c>
      <c r="Q32" s="40">
        <f t="shared" si="9"/>
        <v>1.3034243752781806E-3</v>
      </c>
      <c r="R32" s="9">
        <f t="shared" si="14"/>
        <v>1.4999999999999999E-4</v>
      </c>
      <c r="S32" s="9">
        <f t="shared" si="12"/>
        <v>4.8916359926128317E-6</v>
      </c>
      <c r="T32" s="9">
        <f t="shared" si="10"/>
        <v>1.7721161036170152E-8</v>
      </c>
      <c r="U32" s="9">
        <f t="shared" si="11"/>
        <v>1.4510836400738716E-4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5.1323855239773488</v>
      </c>
      <c r="K33" s="95">
        <f t="shared" si="3"/>
        <v>3.3100703993476331E-4</v>
      </c>
      <c r="L33" s="95">
        <f t="shared" si="4"/>
        <v>3.0087561269476461E-2</v>
      </c>
      <c r="M33" s="95">
        <f t="shared" si="5"/>
        <v>0.96991243873052357</v>
      </c>
      <c r="N33" s="95">
        <f t="shared" si="6"/>
        <v>2.2579416695896432E-2</v>
      </c>
      <c r="O33" s="40">
        <f t="shared" si="7"/>
        <v>3.3295240475133166E-10</v>
      </c>
      <c r="P33" s="40">
        <f t="shared" si="8"/>
        <v>4.5161429465484182E-5</v>
      </c>
      <c r="Q33" s="40">
        <f t="shared" si="9"/>
        <v>1.1297234820180182E-3</v>
      </c>
      <c r="R33" s="9">
        <f t="shared" si="14"/>
        <v>1.4999999999999999E-4</v>
      </c>
      <c r="S33" s="9">
        <f t="shared" si="12"/>
        <v>4.513134190421469E-6</v>
      </c>
      <c r="T33" s="9">
        <f t="shared" si="10"/>
        <v>4.965105599021449E-8</v>
      </c>
      <c r="U33" s="9">
        <f t="shared" si="11"/>
        <v>1.4548686580957853E-4</v>
      </c>
      <c r="V33" s="102">
        <f t="shared" si="13"/>
        <v>3.4127517775522513E-4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5.1505570683328576</v>
      </c>
      <c r="K34" s="95">
        <f t="shared" si="3"/>
        <v>3.3552583801294824E-4</v>
      </c>
      <c r="L34" s="95">
        <f t="shared" si="4"/>
        <v>3.1801475551335515E-2</v>
      </c>
      <c r="M34" s="95">
        <f t="shared" si="5"/>
        <v>0.9681985244486645</v>
      </c>
      <c r="N34" s="95">
        <f t="shared" si="6"/>
        <v>2.4940172765447355E-2</v>
      </c>
      <c r="O34" s="40">
        <f t="shared" si="7"/>
        <v>3.3749776030332808E-10</v>
      </c>
      <c r="P34" s="40">
        <f t="shared" si="8"/>
        <v>4.773401480255465E-5</v>
      </c>
      <c r="Q34" s="40">
        <f t="shared" si="9"/>
        <v>1.2478399773645495E-3</v>
      </c>
      <c r="R34" s="9">
        <f t="shared" si="14"/>
        <v>1.4999999999999999E-4</v>
      </c>
      <c r="S34" s="9">
        <f t="shared" si="12"/>
        <v>4.7702213327003264E-6</v>
      </c>
      <c r="T34" s="9">
        <f t="shared" si="10"/>
        <v>5.0328875701942235E-8</v>
      </c>
      <c r="U34" s="9">
        <f t="shared" si="11"/>
        <v>1.4522977866729967E-4</v>
      </c>
      <c r="V34" s="102">
        <f t="shared" si="13"/>
        <v>3.4654652898176192E-4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2.0279953279061091</v>
      </c>
      <c r="K35" s="95">
        <f t="shared" si="3"/>
        <v>0.23361042593123954</v>
      </c>
      <c r="L35" s="95">
        <f t="shared" si="4"/>
        <v>1.6697512693689021E-2</v>
      </c>
      <c r="M35" s="95">
        <f t="shared" si="5"/>
        <v>0.98330248730631098</v>
      </c>
      <c r="N35" s="95">
        <f t="shared" si="6"/>
        <v>8.3532544187823795E-3</v>
      </c>
      <c r="O35" s="40">
        <f t="shared" si="7"/>
        <v>2.3498338012423719E-7</v>
      </c>
      <c r="P35" s="40">
        <f t="shared" si="8"/>
        <v>2.5062966553227224E-5</v>
      </c>
      <c r="Q35" s="40">
        <f t="shared" si="9"/>
        <v>4.1794116275307834E-4</v>
      </c>
      <c r="R35" s="9">
        <f t="shared" si="14"/>
        <v>1.4999999999999999E-4</v>
      </c>
      <c r="S35" s="9">
        <f t="shared" si="12"/>
        <v>2.5046269040533528E-6</v>
      </c>
      <c r="T35" s="9">
        <f t="shared" si="10"/>
        <v>3.5041563889685927E-5</v>
      </c>
      <c r="U35" s="9">
        <f t="shared" si="11"/>
        <v>1.4749537309594664E-4</v>
      </c>
      <c r="V35" s="102">
        <f t="shared" si="13"/>
        <v>0.23757737720281691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8.2323333278785089</v>
      </c>
      <c r="K36" s="95">
        <f t="shared" si="3"/>
        <v>4.1394540538287136E-7</v>
      </c>
      <c r="L36" s="95">
        <f t="shared" si="4"/>
        <v>4.7363155346036849E-2</v>
      </c>
      <c r="M36" s="95">
        <f t="shared" si="5"/>
        <v>0.95263684465396314</v>
      </c>
      <c r="N36" s="95">
        <f t="shared" si="6"/>
        <v>4.6368127109994633E-2</v>
      </c>
      <c r="O36" s="40">
        <f t="shared" si="7"/>
        <v>4.163782081044409E-13</v>
      </c>
      <c r="P36" s="40">
        <f t="shared" si="8"/>
        <v>7.1092096174401426E-5</v>
      </c>
      <c r="Q36" s="40">
        <f t="shared" si="9"/>
        <v>2.3199519597367317E-3</v>
      </c>
      <c r="R36" s="9">
        <f t="shared" si="14"/>
        <v>1.4999999999999999E-4</v>
      </c>
      <c r="S36" s="9">
        <f t="shared" si="12"/>
        <v>7.1044733019055264E-6</v>
      </c>
      <c r="T36" s="9">
        <f t="shared" si="10"/>
        <v>6.2091810807430693E-11</v>
      </c>
      <c r="U36" s="9">
        <f t="shared" si="11"/>
        <v>1.4289552669809446E-4</v>
      </c>
      <c r="V36" s="102">
        <f t="shared" si="13"/>
        <v>4.3452592423425882E-7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3.7118118425949667</v>
      </c>
      <c r="K37" s="95">
        <f t="shared" si="3"/>
        <v>8.6680463281704236E-3</v>
      </c>
      <c r="L37" s="95">
        <f t="shared" si="4"/>
        <v>2.9915571200449253E-2</v>
      </c>
      <c r="M37" s="95">
        <f t="shared" si="5"/>
        <v>0.9700844287995507</v>
      </c>
      <c r="N37" s="95">
        <f t="shared" si="6"/>
        <v>2.2493224179980262E-2</v>
      </c>
      <c r="O37" s="40">
        <f t="shared" si="7"/>
        <v>8.7189893907667074E-9</v>
      </c>
      <c r="P37" s="40">
        <f t="shared" si="8"/>
        <v>4.4903272371874397E-5</v>
      </c>
      <c r="Q37" s="40">
        <f t="shared" si="9"/>
        <v>1.1254109831383458E-3</v>
      </c>
      <c r="R37" s="9">
        <f t="shared" si="14"/>
        <v>1.4999999999999999E-4</v>
      </c>
      <c r="S37" s="9">
        <f t="shared" si="12"/>
        <v>4.4873356800673875E-6</v>
      </c>
      <c r="T37" s="9">
        <f t="shared" si="10"/>
        <v>1.3002069492255634E-6</v>
      </c>
      <c r="U37" s="9">
        <f t="shared" si="11"/>
        <v>1.455126643199326E-4</v>
      </c>
      <c r="V37" s="102">
        <f t="shared" si="13"/>
        <v>8.9353525021495933E-3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2.2606800266912841</v>
      </c>
      <c r="K38" s="95">
        <f t="shared" si="3"/>
        <v>0.17151378608876808</v>
      </c>
      <c r="L38" s="95">
        <f t="shared" si="4"/>
        <v>2.0948035138729577E-2</v>
      </c>
      <c r="M38" s="95">
        <f t="shared" si="5"/>
        <v>0.97905196486127044</v>
      </c>
      <c r="N38" s="95">
        <f t="shared" si="6"/>
        <v>1.3085295113397984E-2</v>
      </c>
      <c r="O38" s="40">
        <f t="shared" si="7"/>
        <v>1.7252179149275972E-7</v>
      </c>
      <c r="P38" s="40">
        <f t="shared" si="8"/>
        <v>3.1443000743233095E-5</v>
      </c>
      <c r="Q38" s="40">
        <f t="shared" si="9"/>
        <v>6.5470093217367921E-4</v>
      </c>
      <c r="R38" s="9">
        <f t="shared" si="14"/>
        <v>1.4999999999999999E-4</v>
      </c>
      <c r="S38" s="9">
        <f t="shared" si="12"/>
        <v>3.1422052708094361E-6</v>
      </c>
      <c r="T38" s="9">
        <f t="shared" si="10"/>
        <v>2.5727067913315209E-5</v>
      </c>
      <c r="U38" s="9">
        <f t="shared" si="11"/>
        <v>1.4685779472919054E-4</v>
      </c>
      <c r="V38" s="102">
        <f t="shared" si="13"/>
        <v>0.1751835369770911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-1.2814749346534773E-2</v>
      </c>
      <c r="K39" s="95">
        <f t="shared" si="3"/>
        <v>0.99456112385454198</v>
      </c>
      <c r="L39" s="95">
        <f t="shared" si="4"/>
        <v>6.4711424931471878E-4</v>
      </c>
      <c r="M39" s="95">
        <f t="shared" si="5"/>
        <v>0.99935288575068526</v>
      </c>
      <c r="N39" s="95">
        <f t="shared" si="6"/>
        <v>9.6850968296012507E-7</v>
      </c>
      <c r="O39" s="40">
        <f t="shared" si="7"/>
        <v>1.0004062690776002E-6</v>
      </c>
      <c r="P39" s="40">
        <f t="shared" si="8"/>
        <v>9.7131848822139288E-7</v>
      </c>
      <c r="Q39" s="40">
        <f t="shared" si="9"/>
        <v>4.8457767804104925E-8</v>
      </c>
      <c r="R39" s="9">
        <f t="shared" si="14"/>
        <v>1.4999999999999999E-4</v>
      </c>
      <c r="S39" s="9">
        <f t="shared" si="12"/>
        <v>9.7067137397207814E-8</v>
      </c>
      <c r="T39" s="9">
        <f t="shared" si="10"/>
        <v>1.4918416857818129E-4</v>
      </c>
      <c r="U39" s="9">
        <f t="shared" si="11"/>
        <v>1.4990293286260277E-4</v>
      </c>
      <c r="V39" s="102">
        <f t="shared" si="13"/>
        <v>0.99520513527857191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2.5355592122209871</v>
      </c>
      <c r="K40" s="95">
        <f t="shared" si="3"/>
        <v>8.5515416840083278E-2</v>
      </c>
      <c r="L40" s="95">
        <f t="shared" si="4"/>
        <v>1.9668347028053187E-2</v>
      </c>
      <c r="M40" s="95">
        <f t="shared" si="5"/>
        <v>0.9803316529719468</v>
      </c>
      <c r="N40" s="95">
        <f t="shared" si="6"/>
        <v>9.7682081384648633E-3</v>
      </c>
      <c r="O40" s="40">
        <f t="shared" si="7"/>
        <v>8.6018000359840636E-8</v>
      </c>
      <c r="P40" s="40">
        <f t="shared" si="8"/>
        <v>2.9522188889107839E-5</v>
      </c>
      <c r="Q40" s="40">
        <f t="shared" si="9"/>
        <v>4.8873601386119207E-4</v>
      </c>
      <c r="R40" s="9">
        <f t="shared" si="14"/>
        <v>1.4999999999999999E-4</v>
      </c>
      <c r="S40" s="9">
        <f t="shared" si="12"/>
        <v>2.9502520542079778E-6</v>
      </c>
      <c r="T40" s="9">
        <f t="shared" si="10"/>
        <v>1.2827312526012491E-5</v>
      </c>
      <c r="U40" s="9">
        <f t="shared" si="11"/>
        <v>1.4704974794579201E-4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2.6167182318767161</v>
      </c>
      <c r="K41" s="95">
        <f t="shared" si="3"/>
        <v>7.0755054512687751E-2</v>
      </c>
      <c r="L41" s="95">
        <f t="shared" si="4"/>
        <v>1.961733167734539E-2</v>
      </c>
      <c r="M41" s="95">
        <f t="shared" si="5"/>
        <v>0.98038266832265464</v>
      </c>
      <c r="N41" s="95">
        <f t="shared" si="6"/>
        <v>9.4311349184929699E-3</v>
      </c>
      <c r="O41" s="40">
        <f t="shared" si="7"/>
        <v>7.1170889757975841E-8</v>
      </c>
      <c r="P41" s="40">
        <f t="shared" si="8"/>
        <v>2.9445614847695439E-5</v>
      </c>
      <c r="Q41" s="40">
        <f t="shared" si="9"/>
        <v>4.7187111708859827E-4</v>
      </c>
      <c r="R41" s="9">
        <f t="shared" si="14"/>
        <v>1.4999999999999999E-4</v>
      </c>
      <c r="S41" s="9">
        <f t="shared" si="12"/>
        <v>2.9425997516018081E-6</v>
      </c>
      <c r="T41" s="9">
        <f t="shared" si="10"/>
        <v>1.0613258176903162E-5</v>
      </c>
      <c r="U41" s="9">
        <f t="shared" si="11"/>
        <v>1.4705740024839817E-4</v>
      </c>
      <c r="V41" s="102">
        <f t="shared" si="13"/>
        <v>7.2170854094904799E-2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4.195712087091966</v>
      </c>
      <c r="K42" s="95">
        <f t="shared" si="3"/>
        <v>3.2808587646910958E-3</v>
      </c>
      <c r="L42" s="95">
        <f t="shared" si="4"/>
        <v>3.4503555906682394E-2</v>
      </c>
      <c r="M42" s="95">
        <f t="shared" si="5"/>
        <v>0.96549644409331759</v>
      </c>
      <c r="N42" s="95">
        <f t="shared" si="6"/>
        <v>2.8715145620569982E-2</v>
      </c>
      <c r="O42" s="40">
        <f t="shared" si="7"/>
        <v>3.3001407328637902E-9</v>
      </c>
      <c r="P42" s="40">
        <f t="shared" si="8"/>
        <v>5.1789837415930302E-5</v>
      </c>
      <c r="Q42" s="40">
        <f t="shared" si="9"/>
        <v>1.4367144525491847E-3</v>
      </c>
      <c r="R42" s="9">
        <f t="shared" si="14"/>
        <v>1.4999999999999999E-4</v>
      </c>
      <c r="S42" s="9">
        <f t="shared" si="12"/>
        <v>5.1755333860023586E-6</v>
      </c>
      <c r="T42" s="9">
        <f t="shared" si="10"/>
        <v>4.921288147036643E-7</v>
      </c>
      <c r="U42" s="9">
        <f t="shared" si="11"/>
        <v>1.4482446661399762E-4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3.9025095498636322</v>
      </c>
      <c r="K43" s="95">
        <f t="shared" si="3"/>
        <v>5.7138179236961399E-3</v>
      </c>
      <c r="L43" s="95">
        <f t="shared" si="4"/>
        <v>3.0591458278277747E-2</v>
      </c>
      <c r="M43" s="95">
        <f t="shared" si="5"/>
        <v>0.96940854172172231</v>
      </c>
      <c r="N43" s="95">
        <f t="shared" si="6"/>
        <v>2.3370762656054284E-2</v>
      </c>
      <c r="O43" s="40">
        <f t="shared" si="7"/>
        <v>5.7473986607077354E-9</v>
      </c>
      <c r="P43" s="40">
        <f t="shared" si="8"/>
        <v>4.5917778875694952E-5</v>
      </c>
      <c r="Q43" s="40">
        <f t="shared" si="9"/>
        <v>1.1693171582245828E-3</v>
      </c>
      <c r="R43" s="9">
        <f t="shared" si="14"/>
        <v>1.4999999999999999E-4</v>
      </c>
      <c r="S43" s="9">
        <f t="shared" si="12"/>
        <v>4.588718741741662E-6</v>
      </c>
      <c r="T43" s="9">
        <f t="shared" si="10"/>
        <v>8.5707268855442091E-7</v>
      </c>
      <c r="U43" s="9">
        <f t="shared" si="11"/>
        <v>1.4541128125825832E-4</v>
      </c>
      <c r="V43" s="102">
        <f t="shared" si="13"/>
        <v>5.894127891165564E-3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2.2038999237977572</v>
      </c>
      <c r="K44" s="95">
        <f t="shared" si="3"/>
        <v>0.19203645055005761</v>
      </c>
      <c r="L44" s="95">
        <f t="shared" si="4"/>
        <v>2.0580116417821849E-2</v>
      </c>
      <c r="M44" s="95">
        <f t="shared" si="5"/>
        <v>0.97941988358217813</v>
      </c>
      <c r="N44" s="95">
        <f t="shared" si="6"/>
        <v>1.2949504714420633E-2</v>
      </c>
      <c r="O44" s="40">
        <f t="shared" si="7"/>
        <v>1.9316506991257139E-7</v>
      </c>
      <c r="P44" s="40">
        <f t="shared" si="8"/>
        <v>3.089075474315059E-5</v>
      </c>
      <c r="Q44" s="40">
        <f t="shared" si="9"/>
        <v>6.4790688587817904E-4</v>
      </c>
      <c r="R44" s="9">
        <f t="shared" si="14"/>
        <v>1.4999999999999999E-4</v>
      </c>
      <c r="S44" s="9">
        <f t="shared" si="12"/>
        <v>3.0870174626732771E-6</v>
      </c>
      <c r="T44" s="9">
        <f t="shared" si="10"/>
        <v>2.8805467582508637E-5</v>
      </c>
      <c r="U44" s="9">
        <f t="shared" si="11"/>
        <v>1.4691298253732672E-4</v>
      </c>
      <c r="V44" s="102">
        <f t="shared" si="13"/>
        <v>0.19607162746961407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3.9287211418950596</v>
      </c>
      <c r="K45" s="95">
        <f t="shared" si="3"/>
        <v>4.561130781064595E-3</v>
      </c>
      <c r="L45" s="95">
        <f t="shared" si="4"/>
        <v>2.593927897346102E-2</v>
      </c>
      <c r="M45" s="95">
        <f t="shared" si="5"/>
        <v>0.97406072102653896</v>
      </c>
      <c r="N45" s="95">
        <f t="shared" si="6"/>
        <v>1.6942208136521347E-2</v>
      </c>
      <c r="O45" s="40">
        <f t="shared" si="7"/>
        <v>4.5879370488315851E-9</v>
      </c>
      <c r="P45" s="40">
        <f t="shared" si="8"/>
        <v>3.8934857739164983E-5</v>
      </c>
      <c r="Q45" s="40">
        <f t="shared" si="9"/>
        <v>8.4767514709728476E-4</v>
      </c>
      <c r="R45" s="9">
        <f t="shared" si="14"/>
        <v>1.4999999999999999E-4</v>
      </c>
      <c r="S45" s="9">
        <f t="shared" si="12"/>
        <v>3.8908918460191528E-6</v>
      </c>
      <c r="T45" s="9">
        <f t="shared" si="10"/>
        <v>6.8416961715968917E-7</v>
      </c>
      <c r="U45" s="9">
        <f t="shared" si="11"/>
        <v>1.4610910815398084E-4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2.1195388952426257</v>
      </c>
      <c r="K46" s="95">
        <f t="shared" si="3"/>
        <v>0.22110459773808289</v>
      </c>
      <c r="L46" s="95">
        <f t="shared" si="4"/>
        <v>1.9511960222812073E-2</v>
      </c>
      <c r="M46" s="95">
        <f t="shared" si="5"/>
        <v>0.9804880397771879</v>
      </c>
      <c r="N46" s="95">
        <f t="shared" si="6"/>
        <v>1.2003703553214777E-2</v>
      </c>
      <c r="O46" s="40">
        <f t="shared" si="7"/>
        <v>2.2240405380193558E-7</v>
      </c>
      <c r="P46" s="40">
        <f t="shared" si="8"/>
        <v>2.928745229444092E-5</v>
      </c>
      <c r="Q46" s="40">
        <f t="shared" si="9"/>
        <v>6.0058530111251269E-4</v>
      </c>
      <c r="R46" s="9">
        <f t="shared" si="14"/>
        <v>1.4999999999999999E-4</v>
      </c>
      <c r="S46" s="9">
        <f t="shared" si="12"/>
        <v>2.9267940334218105E-6</v>
      </c>
      <c r="T46" s="9">
        <f t="shared" si="10"/>
        <v>3.3165689660712428E-5</v>
      </c>
      <c r="U46" s="9">
        <f t="shared" si="11"/>
        <v>1.4707320596657816E-4</v>
      </c>
      <c r="V46" s="102">
        <f t="shared" si="13"/>
        <v>0.22550463521036732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3.1044657046165054</v>
      </c>
      <c r="K47" s="95">
        <f t="shared" si="3"/>
        <v>2.286836948382296E-2</v>
      </c>
      <c r="L47" s="95">
        <f t="shared" si="4"/>
        <v>1.9492392072166756E-2</v>
      </c>
      <c r="M47" s="95">
        <f t="shared" si="5"/>
        <v>0.9805076079278332</v>
      </c>
      <c r="N47" s="95">
        <f t="shared" si="6"/>
        <v>8.3934534919231796E-3</v>
      </c>
      <c r="O47" s="40">
        <f t="shared" si="7"/>
        <v>2.3002769409017549E-8</v>
      </c>
      <c r="P47" s="40">
        <f t="shared" si="8"/>
        <v>2.9258080500322313E-5</v>
      </c>
      <c r="Q47" s="40">
        <f t="shared" si="9"/>
        <v>4.1995245637922312E-4</v>
      </c>
      <c r="R47" s="9">
        <f t="shared" si="14"/>
        <v>1.4999999999999999E-4</v>
      </c>
      <c r="S47" s="9">
        <f t="shared" si="12"/>
        <v>2.923858810825013E-6</v>
      </c>
      <c r="T47" s="9">
        <f t="shared" si="10"/>
        <v>3.4302554225734437E-6</v>
      </c>
      <c r="U47" s="9">
        <f t="shared" si="11"/>
        <v>1.4707614118917496E-4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1.2562556297488592</v>
      </c>
      <c r="K48" s="95">
        <f t="shared" ref="K48:K50" si="17">IF(D48=0,"",1/(1+10^D48*$J$15/$J$14+10^E48*$J$16/$J$14+10^J48*$J$19/$J$14))</f>
        <v>0.62447496380866663</v>
      </c>
      <c r="L48" s="95">
        <f t="shared" ref="L48:L50" si="18">IF(D48=0,"",1/(1+10^I48/10^J48*$J$13/$J$19))</f>
        <v>7.5497903937211874E-3</v>
      </c>
      <c r="M48" s="95">
        <f t="shared" ref="M48:M92" si="19">IF(D48=0,"",1-L48)</f>
        <v>0.99245020960627883</v>
      </c>
      <c r="N48" s="95">
        <f t="shared" ref="N48:N50" si="20">IF(D48=0,"",1/(1/10^E48*$J$20/$J$22+10^D48/10^E48*$J$21/$J$22+10^I48/10^E48*$J$13/$J$22+1))</f>
        <v>2.8187886840560991E-3</v>
      </c>
      <c r="O48" s="40">
        <f t="shared" ref="O48:O92" si="21">IF(D48=0,"",F48*K48*$J$7/$J$14)</f>
        <v>6.2814507192377073E-7</v>
      </c>
      <c r="P48" s="40">
        <f t="shared" ref="P48:P50" si="22">IF(D48=0,"",O48*10^J48)</f>
        <v>1.13322353809755E-5</v>
      </c>
      <c r="Q48" s="40">
        <f t="shared" ref="Q48:Q50" si="23">IF(D48=0,"",F48*N48*$J$7/$J$22)</f>
        <v>1.4103339382560683E-4</v>
      </c>
      <c r="R48" s="9">
        <f t="shared" si="14"/>
        <v>1.4999999999999999E-4</v>
      </c>
      <c r="S48" s="9">
        <f t="shared" si="12"/>
        <v>1.132468559058178E-6</v>
      </c>
      <c r="T48" s="9">
        <f t="shared" si="10"/>
        <v>9.3671244571299985E-5</v>
      </c>
      <c r="U48" s="9">
        <f t="shared" si="11"/>
        <v>1.488675314409418E-4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0.77323378498268969</v>
      </c>
      <c r="K49" s="95">
        <f t="shared" si="17"/>
        <v>0.85293661739087956</v>
      </c>
      <c r="L49" s="95">
        <f t="shared" si="18"/>
        <v>3.3908984016967087E-3</v>
      </c>
      <c r="M49" s="95">
        <f t="shared" si="19"/>
        <v>0.99660910159830329</v>
      </c>
      <c r="N49" s="95">
        <f t="shared" si="20"/>
        <v>1.2201528743949104E-3</v>
      </c>
      <c r="O49" s="40">
        <f t="shared" si="21"/>
        <v>8.5794941979702189E-7</v>
      </c>
      <c r="P49" s="40">
        <f t="shared" si="22"/>
        <v>5.0897385009467593E-6</v>
      </c>
      <c r="Q49" s="40">
        <f t="shared" si="23"/>
        <v>6.1048315482225361E-5</v>
      </c>
      <c r="R49" s="9">
        <f t="shared" si="14"/>
        <v>1.4999999999999999E-4</v>
      </c>
      <c r="S49" s="9">
        <f t="shared" si="12"/>
        <v>5.0863476025450627E-7</v>
      </c>
      <c r="T49" s="9">
        <f t="shared" si="10"/>
        <v>1.2794049260863192E-4</v>
      </c>
      <c r="U49" s="9">
        <f t="shared" si="11"/>
        <v>1.4949136523974548E-4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9.6478749911243222E-3</v>
      </c>
      <c r="K57" s="55">
        <f t="shared" si="26"/>
        <v>0.99329134666924557</v>
      </c>
      <c r="L57" s="55">
        <f t="shared" si="27"/>
        <v>6.8059500928347512E-4</v>
      </c>
      <c r="M57" s="55">
        <f t="shared" si="28"/>
        <v>0.99931940499071648</v>
      </c>
      <c r="N57" s="55">
        <f t="shared" si="29"/>
        <v>2.4131156702557011E-5</v>
      </c>
      <c r="O57" s="56">
        <f t="shared" si="30"/>
        <v>9.9912902927198699E-7</v>
      </c>
      <c r="P57" s="56">
        <f t="shared" si="31"/>
        <v>1.0215731089344958E-6</v>
      </c>
      <c r="Q57" s="56">
        <f t="shared" si="32"/>
        <v>1.2073622070179358E-6</v>
      </c>
      <c r="R57" s="9">
        <f t="shared" ref="R57:R58" si="33">F57*$C$14</f>
        <v>1.4999999999999999E-4</v>
      </c>
      <c r="S57" s="9">
        <f t="shared" ref="S57:S58" si="34">$R57*L57</f>
        <v>1.0208925139252125E-7</v>
      </c>
      <c r="T57" s="9">
        <f t="shared" ref="T57:T58" si="35">R57*K57</f>
        <v>1.4899370200038682E-4</v>
      </c>
      <c r="U57" s="9">
        <f t="shared" ref="U57:U58" si="36">$R57*M57</f>
        <v>1.4989791074860746E-4</v>
      </c>
      <c r="V57" s="102">
        <f t="shared" ref="V57:V58" si="37">K57/M57</f>
        <v>0.99396783621796381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1.4426793422998627</v>
      </c>
      <c r="K58" s="55">
        <f t="shared" si="26"/>
        <v>0.52608175775217059</v>
      </c>
      <c r="L58" s="55">
        <f t="shared" si="27"/>
        <v>9.7700507139022678E-3</v>
      </c>
      <c r="M58" s="55">
        <f t="shared" si="28"/>
        <v>0.99022994928609775</v>
      </c>
      <c r="N58" s="55">
        <f t="shared" si="29"/>
        <v>4.0983375997325393E-3</v>
      </c>
      <c r="O58" s="56">
        <f t="shared" si="30"/>
        <v>5.2917359816248696E-7</v>
      </c>
      <c r="P58" s="56">
        <f t="shared" si="31"/>
        <v>1.4664846121567302E-5</v>
      </c>
      <c r="Q58" s="56">
        <f t="shared" si="32"/>
        <v>2.050534912399514E-4</v>
      </c>
      <c r="R58" s="9">
        <f t="shared" si="33"/>
        <v>1.4999999999999999E-4</v>
      </c>
      <c r="S58" s="9">
        <f t="shared" si="34"/>
        <v>1.46550760708534E-6</v>
      </c>
      <c r="T58" s="9">
        <f t="shared" si="35"/>
        <v>7.8912263662825587E-5</v>
      </c>
      <c r="U58" s="9">
        <f t="shared" si="36"/>
        <v>1.4853449239291466E-4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1.5441639506710698</v>
      </c>
      <c r="K60" s="55">
        <f t="shared" si="26"/>
        <v>0.43915786733238038</v>
      </c>
      <c r="L60" s="55">
        <f t="shared" si="27"/>
        <v>1.0302647743608156E-2</v>
      </c>
      <c r="M60" s="55">
        <f t="shared" si="28"/>
        <v>0.98969735225639188</v>
      </c>
      <c r="N60" s="55">
        <f t="shared" si="29"/>
        <v>3.2606873245947248E-3</v>
      </c>
      <c r="O60" s="56">
        <f t="shared" si="30"/>
        <v>4.4173884646864277E-7</v>
      </c>
      <c r="P60" s="56">
        <f t="shared" si="31"/>
        <v>1.5464274263155839E-5</v>
      </c>
      <c r="Q60" s="56">
        <f t="shared" si="32"/>
        <v>1.6314305580722275E-4</v>
      </c>
      <c r="R60" s="9">
        <f t="shared" ref="R60:R65" si="38">F60*$C$14</f>
        <v>1.4999999999999999E-4</v>
      </c>
      <c r="S60" s="9">
        <f t="shared" ref="S60:S93" si="39">$R60*L60</f>
        <v>1.5453971615412232E-6</v>
      </c>
      <c r="T60" s="9">
        <f t="shared" ref="T60:T93" si="40">R60*K60</f>
        <v>6.5873680099857058E-5</v>
      </c>
      <c r="U60" s="9">
        <f t="shared" ref="U60:U93" si="41">$R60*M60</f>
        <v>1.4845460283845877E-4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2.4948597555667229</v>
      </c>
      <c r="K61" s="55">
        <f t="shared" si="26"/>
        <v>8.5114549034874032E-2</v>
      </c>
      <c r="L61" s="55">
        <f t="shared" si="27"/>
        <v>1.7824928282114495E-2</v>
      </c>
      <c r="M61" s="55">
        <f t="shared" si="28"/>
        <v>0.98217507171788554</v>
      </c>
      <c r="N61" s="55">
        <f t="shared" si="29"/>
        <v>7.2219136318001894E-3</v>
      </c>
      <c r="O61" s="56">
        <f t="shared" si="30"/>
        <v>8.5614776610405834E-8</v>
      </c>
      <c r="P61" s="56">
        <f t="shared" si="31"/>
        <v>2.6755217351453872E-5</v>
      </c>
      <c r="Q61" s="56">
        <f t="shared" si="32"/>
        <v>3.6133641204440285E-4</v>
      </c>
      <c r="R61" s="9">
        <f t="shared" si="38"/>
        <v>1.4999999999999999E-4</v>
      </c>
      <c r="S61" s="9">
        <f t="shared" si="39"/>
        <v>2.6737392423171742E-6</v>
      </c>
      <c r="T61" s="9">
        <f t="shared" si="40"/>
        <v>1.2767182355231104E-5</v>
      </c>
      <c r="U61" s="9">
        <f t="shared" si="41"/>
        <v>1.4732626075768281E-4</v>
      </c>
      <c r="V61" s="102">
        <f t="shared" si="42"/>
        <v>8.6659243841327976E-2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2.201821660398279</v>
      </c>
      <c r="K62" s="55">
        <f t="shared" si="26"/>
        <v>0.16656722809899935</v>
      </c>
      <c r="L62" s="55">
        <f t="shared" si="27"/>
        <v>1.7765418887743637E-2</v>
      </c>
      <c r="M62" s="55">
        <f t="shared" si="28"/>
        <v>0.98223458111225637</v>
      </c>
      <c r="N62" s="55">
        <f t="shared" si="29"/>
        <v>8.6122781236826814E-3</v>
      </c>
      <c r="O62" s="56">
        <f t="shared" si="30"/>
        <v>1.675461620370841E-7</v>
      </c>
      <c r="P62" s="56">
        <f t="shared" si="31"/>
        <v>2.6665893750503218E-5</v>
      </c>
      <c r="Q62" s="56">
        <f t="shared" si="32"/>
        <v>4.3090098212159017E-4</v>
      </c>
      <c r="R62" s="9">
        <f t="shared" si="38"/>
        <v>1.4999999999999999E-4</v>
      </c>
      <c r="S62" s="9">
        <f t="shared" si="39"/>
        <v>2.6648128331615454E-6</v>
      </c>
      <c r="T62" s="9">
        <f t="shared" si="40"/>
        <v>2.4985084214849899E-5</v>
      </c>
      <c r="U62" s="9">
        <f t="shared" si="41"/>
        <v>1.4733518716683844E-4</v>
      </c>
      <c r="V62" s="102">
        <f t="shared" si="42"/>
        <v>0.16957988580526562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2.1362952925392569</v>
      </c>
      <c r="K63" s="55">
        <f t="shared" si="26"/>
        <v>0.18583599253327088</v>
      </c>
      <c r="L63" s="55">
        <f t="shared" si="27"/>
        <v>1.7044699823579323E-2</v>
      </c>
      <c r="M63" s="55">
        <f t="shared" si="28"/>
        <v>0.98295530017642063</v>
      </c>
      <c r="N63" s="55">
        <f t="shared" si="29"/>
        <v>7.9678898083347452E-3</v>
      </c>
      <c r="O63" s="56">
        <f t="shared" si="30"/>
        <v>1.8692817112136836E-7</v>
      </c>
      <c r="P63" s="56">
        <f t="shared" si="31"/>
        <v>2.558409443519257E-5</v>
      </c>
      <c r="Q63" s="56">
        <f t="shared" si="32"/>
        <v>3.986600867436818E-4</v>
      </c>
      <c r="R63" s="9">
        <f t="shared" si="38"/>
        <v>1.4999999999999999E-4</v>
      </c>
      <c r="S63" s="9">
        <f t="shared" si="39"/>
        <v>2.5567049735368983E-6</v>
      </c>
      <c r="T63" s="9">
        <f t="shared" si="40"/>
        <v>2.7875398879990629E-5</v>
      </c>
      <c r="U63" s="9">
        <f t="shared" si="41"/>
        <v>1.4744329502646309E-4</v>
      </c>
      <c r="V63" s="102">
        <f t="shared" si="42"/>
        <v>0.18905843683829476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1.3833712193731031</v>
      </c>
      <c r="K64" s="55">
        <f t="shared" si="26"/>
        <v>0.5752587206210652</v>
      </c>
      <c r="L64" s="55">
        <f t="shared" si="27"/>
        <v>9.3196298471097602E-3</v>
      </c>
      <c r="M64" s="55">
        <f t="shared" si="28"/>
        <v>0.99068037015289023</v>
      </c>
      <c r="N64" s="55">
        <f t="shared" si="29"/>
        <v>4.3668643248202825E-3</v>
      </c>
      <c r="O64" s="56">
        <f t="shared" si="30"/>
        <v>5.7863957945639666E-7</v>
      </c>
      <c r="P64" s="56">
        <f t="shared" si="31"/>
        <v>1.398876440051175E-5</v>
      </c>
      <c r="Q64" s="56">
        <f t="shared" si="32"/>
        <v>2.1848877838517481E-4</v>
      </c>
      <c r="R64" s="9">
        <f t="shared" si="38"/>
        <v>1.4999999999999999E-4</v>
      </c>
      <c r="S64" s="9">
        <f t="shared" si="39"/>
        <v>1.397944477066464E-6</v>
      </c>
      <c r="T64" s="9">
        <f t="shared" si="40"/>
        <v>8.6288808093159768E-5</v>
      </c>
      <c r="U64" s="9">
        <f t="shared" si="41"/>
        <v>1.4860205552293351E-4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2.8252916173691829</v>
      </c>
      <c r="K65" s="55">
        <f t="shared" si="26"/>
        <v>5.06180520945088E-2</v>
      </c>
      <c r="L65" s="55">
        <f t="shared" si="27"/>
        <v>2.2686175055606259E-2</v>
      </c>
      <c r="M65" s="55">
        <f t="shared" si="28"/>
        <v>0.97731382494439378</v>
      </c>
      <c r="N65" s="55">
        <f t="shared" si="29"/>
        <v>1.3294038014138167E-2</v>
      </c>
      <c r="O65" s="56">
        <f t="shared" si="30"/>
        <v>5.0915539959562332E-8</v>
      </c>
      <c r="P65" s="56">
        <f t="shared" si="31"/>
        <v>3.4051948758465017E-5</v>
      </c>
      <c r="Q65" s="56">
        <f t="shared" si="32"/>
        <v>6.6514503530737965E-4</v>
      </c>
      <c r="R65" s="9">
        <f t="shared" si="38"/>
        <v>1.4999999999999999E-4</v>
      </c>
      <c r="S65" s="9">
        <f t="shared" si="39"/>
        <v>3.4029262583409386E-6</v>
      </c>
      <c r="T65" s="9">
        <f t="shared" si="40"/>
        <v>7.5927078141763191E-6</v>
      </c>
      <c r="U65" s="9">
        <f t="shared" si="41"/>
        <v>1.4659707374165907E-4</v>
      </c>
      <c r="V65" s="102">
        <f t="shared" si="42"/>
        <v>5.179303802173147E-2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1.5025773317670659</v>
      </c>
      <c r="K68" s="55">
        <f t="shared" si="26"/>
        <v>0.45561208729708097</v>
      </c>
      <c r="L68" s="55">
        <f t="shared" si="27"/>
        <v>9.7126290493764183E-3</v>
      </c>
      <c r="M68" s="55">
        <f t="shared" si="28"/>
        <v>0.99028737095062358</v>
      </c>
      <c r="N68" s="55">
        <f t="shared" si="29"/>
        <v>2.7454448567182342E-3</v>
      </c>
      <c r="O68" s="56">
        <f t="shared" si="30"/>
        <v>4.5828976969563567E-7</v>
      </c>
      <c r="P68" s="56">
        <f t="shared" si="31"/>
        <v>1.4578656203114006E-5</v>
      </c>
      <c r="Q68" s="56">
        <f t="shared" si="32"/>
        <v>1.37363757664469E-4</v>
      </c>
      <c r="R68" s="9">
        <f>F68*$C$14</f>
        <v>1.4999999999999999E-4</v>
      </c>
      <c r="S68" s="9">
        <f t="shared" si="39"/>
        <v>1.4568943574064627E-6</v>
      </c>
      <c r="T68" s="9">
        <f t="shared" si="40"/>
        <v>6.8341813094562141E-5</v>
      </c>
      <c r="U68" s="9">
        <f t="shared" si="41"/>
        <v>1.4854310564259353E-4</v>
      </c>
      <c r="V68" s="102">
        <f t="shared" si="42"/>
        <v>0.46008068027740012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3.755700239680543</v>
      </c>
      <c r="K69" s="55">
        <f t="shared" si="26"/>
        <v>6.5216774078021011E-3</v>
      </c>
      <c r="L69" s="55">
        <f t="shared" si="27"/>
        <v>2.4901401206703064E-2</v>
      </c>
      <c r="M69" s="55">
        <f t="shared" si="28"/>
        <v>0.97509859879329697</v>
      </c>
      <c r="N69" s="55">
        <f t="shared" si="29"/>
        <v>1.5548117021782312E-2</v>
      </c>
      <c r="O69" s="56">
        <f t="shared" si="30"/>
        <v>6.5600060239446684E-9</v>
      </c>
      <c r="P69" s="56">
        <f t="shared" si="31"/>
        <v>3.7377003211261326E-5</v>
      </c>
      <c r="Q69" s="56">
        <f t="shared" si="32"/>
        <v>7.7792412165650848E-4</v>
      </c>
      <c r="R69" s="9">
        <f>F69*$C$14</f>
        <v>1.4999999999999999E-4</v>
      </c>
      <c r="S69" s="9">
        <f t="shared" si="39"/>
        <v>3.7352101810054594E-6</v>
      </c>
      <c r="T69" s="9">
        <f t="shared" si="40"/>
        <v>9.7825161117031517E-7</v>
      </c>
      <c r="U69" s="9">
        <f t="shared" si="41"/>
        <v>1.4626478981899453E-4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0.68923958342305858</v>
      </c>
      <c r="K70" s="55">
        <f t="shared" si="26"/>
        <v>0.85979921963767902</v>
      </c>
      <c r="L70" s="55">
        <f t="shared" si="27"/>
        <v>2.8170909158343979E-3</v>
      </c>
      <c r="M70" s="55">
        <f t="shared" si="28"/>
        <v>0.99718290908416563</v>
      </c>
      <c r="N70" s="55">
        <f t="shared" si="29"/>
        <v>5.538619552088094E-4</v>
      </c>
      <c r="O70" s="56">
        <f t="shared" si="30"/>
        <v>8.6485235431277743E-7</v>
      </c>
      <c r="P70" s="56">
        <f t="shared" si="31"/>
        <v>4.2284534646674315E-6</v>
      </c>
      <c r="Q70" s="56">
        <f t="shared" si="32"/>
        <v>2.7711559825614095E-5</v>
      </c>
      <c r="R70" s="9">
        <f t="shared" ref="R70:R86" si="43">F70*$C$14</f>
        <v>1.4999999999999999E-4</v>
      </c>
      <c r="S70" s="9">
        <f t="shared" si="39"/>
        <v>4.2256363737515963E-7</v>
      </c>
      <c r="T70" s="9">
        <f t="shared" si="40"/>
        <v>1.2896988294565183E-4</v>
      </c>
      <c r="U70" s="9">
        <f t="shared" si="41"/>
        <v>1.4957743636262482E-4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1.3381242784059832</v>
      </c>
      <c r="K71" s="55">
        <f t="shared" ref="K71:K122" si="46">IF(D71=0,"",1/(1+10^D71*$J$15/$J$14+10^E71*$J$16/$J$14+10^J71*$J$19/$J$14))</f>
        <v>0.58692159597538518</v>
      </c>
      <c r="L71" s="55">
        <f t="shared" ref="L71:L122" si="47">IF(D71=0,"",1/(1+10^I71/10^J71*$J$13/$J$19))</f>
        <v>8.5677858205034201E-3</v>
      </c>
      <c r="M71" s="55">
        <f t="shared" si="19"/>
        <v>0.99143221417949656</v>
      </c>
      <c r="N71" s="55">
        <f t="shared" ref="N71:N122" si="48">IF(D71=0,"",1/(1/10^E71*$J$20/$J$22+10^D71/10^E71*$J$21/$J$22+10^I71/10^E71*$J$13/$J$22+1))</f>
        <v>3.5421225083078463E-3</v>
      </c>
      <c r="O71" s="56">
        <f t="shared" si="21"/>
        <v>5.9037099881322112E-7</v>
      </c>
      <c r="P71" s="56">
        <f t="shared" ref="P71:P122" si="49">IF(D71=0,"",O71*10^J71)</f>
        <v>1.2860246516575628E-5</v>
      </c>
      <c r="Q71" s="56">
        <f t="shared" ref="Q71:Q122" si="50">IF(D71=0,"",F71*N71*$J$7/$J$22)</f>
        <v>1.7722419616566926E-4</v>
      </c>
      <c r="R71" s="9">
        <f t="shared" si="43"/>
        <v>1.4999999999999999E-4</v>
      </c>
      <c r="S71" s="9">
        <f t="shared" si="39"/>
        <v>1.2851678730755128E-6</v>
      </c>
      <c r="T71" s="9">
        <f t="shared" si="40"/>
        <v>8.8038239396307763E-5</v>
      </c>
      <c r="U71" s="9">
        <f t="shared" si="41"/>
        <v>1.4871483212692448E-4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1.4898227768640917</v>
      </c>
      <c r="K72" s="55">
        <f t="shared" si="46"/>
        <v>0.47071122626484246</v>
      </c>
      <c r="L72" s="55">
        <f t="shared" si="47"/>
        <v>9.7440962725093751E-3</v>
      </c>
      <c r="M72" s="55">
        <f t="shared" si="19"/>
        <v>0.99025590372749062</v>
      </c>
      <c r="N72" s="55">
        <f t="shared" si="48"/>
        <v>3.0617169889588132E-3</v>
      </c>
      <c r="O72" s="56">
        <f t="shared" si="21"/>
        <v>4.7347764796548009E-7</v>
      </c>
      <c r="P72" s="56">
        <f t="shared" si="49"/>
        <v>1.4625888505036575E-5</v>
      </c>
      <c r="Q72" s="56">
        <f t="shared" si="50"/>
        <v>1.5318790668090594E-4</v>
      </c>
      <c r="R72" s="9">
        <f t="shared" si="43"/>
        <v>1.4999999999999999E-4</v>
      </c>
      <c r="S72" s="9">
        <f t="shared" si="39"/>
        <v>1.4616144408764061E-6</v>
      </c>
      <c r="T72" s="9">
        <f t="shared" si="40"/>
        <v>7.0606683939726368E-5</v>
      </c>
      <c r="U72" s="9">
        <f t="shared" si="41"/>
        <v>1.4853838555912359E-4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5.6026792956514546</v>
      </c>
      <c r="K73" s="55">
        <f t="shared" si="46"/>
        <v>1.417467182660711E-4</v>
      </c>
      <c r="L73" s="55">
        <f t="shared" si="47"/>
        <v>3.8050164760752736E-2</v>
      </c>
      <c r="M73" s="55">
        <f t="shared" si="19"/>
        <v>0.96194983523924726</v>
      </c>
      <c r="N73" s="55">
        <f t="shared" si="48"/>
        <v>3.3543355171479307E-2</v>
      </c>
      <c r="O73" s="56">
        <f t="shared" si="21"/>
        <v>1.4257977933520483E-10</v>
      </c>
      <c r="P73" s="56">
        <f t="shared" si="49"/>
        <v>5.7113297305889875E-5</v>
      </c>
      <c r="Q73" s="56">
        <f t="shared" si="50"/>
        <v>1.6782858704130149E-3</v>
      </c>
      <c r="R73" s="9">
        <f t="shared" si="43"/>
        <v>1.4999999999999999E-4</v>
      </c>
      <c r="S73" s="9">
        <f t="shared" si="39"/>
        <v>5.70752471411291E-6</v>
      </c>
      <c r="T73" s="9">
        <f t="shared" si="40"/>
        <v>2.1262007739910663E-8</v>
      </c>
      <c r="U73" s="9">
        <f t="shared" si="41"/>
        <v>1.4429247528588708E-4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0.53532069811024507</v>
      </c>
      <c r="K74" s="55">
        <f t="shared" si="46"/>
        <v>0.90949020081727439</v>
      </c>
      <c r="L74" s="55">
        <f t="shared" si="47"/>
        <v>2.0906578113080404E-3</v>
      </c>
      <c r="M74" s="55">
        <f t="shared" si="19"/>
        <v>0.99790934218869198</v>
      </c>
      <c r="N74" s="55">
        <f t="shared" si="48"/>
        <v>4.5151222334770198E-4</v>
      </c>
      <c r="O74" s="56">
        <f t="shared" si="21"/>
        <v>9.148353748595918E-7</v>
      </c>
      <c r="P74" s="56">
        <f t="shared" si="49"/>
        <v>3.1380773747733694E-6</v>
      </c>
      <c r="Q74" s="56">
        <f t="shared" si="50"/>
        <v>2.2590661574830026E-5</v>
      </c>
      <c r="R74" s="9">
        <f t="shared" si="43"/>
        <v>1.4999999999999999E-4</v>
      </c>
      <c r="S74" s="9">
        <f t="shared" si="39"/>
        <v>3.1359867169620602E-7</v>
      </c>
      <c r="T74" s="9">
        <f t="shared" si="40"/>
        <v>1.3642353012259113E-4</v>
      </c>
      <c r="U74" s="9">
        <f t="shared" si="41"/>
        <v>1.4968640132830379E-4</v>
      </c>
      <c r="V74" s="102">
        <f t="shared" si="42"/>
        <v>0.91139561718353101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0.54673395685959203</v>
      </c>
      <c r="K75" s="55">
        <f t="shared" si="46"/>
        <v>0.90480959717006837</v>
      </c>
      <c r="L75" s="55">
        <f t="shared" si="47"/>
        <v>2.1352827344299163E-3</v>
      </c>
      <c r="M75" s="55">
        <f t="shared" si="19"/>
        <v>0.99786471726557013</v>
      </c>
      <c r="N75" s="55">
        <f t="shared" si="48"/>
        <v>4.2837062927647703E-4</v>
      </c>
      <c r="O75" s="56">
        <f t="shared" si="21"/>
        <v>9.1012726278943087E-7</v>
      </c>
      <c r="P75" s="56">
        <f t="shared" si="49"/>
        <v>3.205059384379304E-6</v>
      </c>
      <c r="Q75" s="56">
        <f t="shared" si="50"/>
        <v>2.1432810484799738E-5</v>
      </c>
      <c r="R75" s="9">
        <f t="shared" si="43"/>
        <v>1.4999999999999999E-4</v>
      </c>
      <c r="S75" s="9">
        <f t="shared" si="39"/>
        <v>3.2029241016448742E-7</v>
      </c>
      <c r="T75" s="9">
        <f t="shared" si="40"/>
        <v>1.3572143957551024E-4</v>
      </c>
      <c r="U75" s="9">
        <f t="shared" si="41"/>
        <v>1.4967970758983549E-4</v>
      </c>
      <c r="V75" s="102">
        <f t="shared" si="42"/>
        <v>0.90674575572678939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2.6329837818619519</v>
      </c>
      <c r="K76" s="55">
        <f t="shared" si="46"/>
        <v>7.1064272421341529E-2</v>
      </c>
      <c r="L76" s="55">
        <f t="shared" si="47"/>
        <v>2.0454992705235812E-2</v>
      </c>
      <c r="M76" s="55">
        <f t="shared" si="19"/>
        <v>0.97954500729476424</v>
      </c>
      <c r="N76" s="55">
        <f t="shared" si="48"/>
        <v>1.0590483838633938E-2</v>
      </c>
      <c r="O76" s="56">
        <f t="shared" si="21"/>
        <v>7.1481924974322736E-8</v>
      </c>
      <c r="P76" s="56">
        <f t="shared" si="49"/>
        <v>3.0702944050558964E-5</v>
      </c>
      <c r="Q76" s="56">
        <f t="shared" si="50"/>
        <v>5.2987720805965132E-4</v>
      </c>
      <c r="R76" s="9">
        <f t="shared" si="43"/>
        <v>1.4999999999999999E-4</v>
      </c>
      <c r="S76" s="9">
        <f t="shared" si="39"/>
        <v>3.0682489057853715E-6</v>
      </c>
      <c r="T76" s="9">
        <f t="shared" si="40"/>
        <v>1.0659640863201229E-5</v>
      </c>
      <c r="U76" s="9">
        <f t="shared" si="41"/>
        <v>1.4693175109421462E-4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4.6195916093205912E-2</v>
      </c>
      <c r="K77" s="55">
        <f t="shared" si="46"/>
        <v>0.98930055871941747</v>
      </c>
      <c r="L77" s="55">
        <f t="shared" si="47"/>
        <v>7.3737499050612163E-4</v>
      </c>
      <c r="M77" s="55">
        <f t="shared" si="19"/>
        <v>0.99926262500949392</v>
      </c>
      <c r="N77" s="55">
        <f t="shared" si="48"/>
        <v>3.0200472810760608E-5</v>
      </c>
      <c r="O77" s="56">
        <f t="shared" si="21"/>
        <v>9.9511478702200419E-7</v>
      </c>
      <c r="P77" s="56">
        <f t="shared" si="49"/>
        <v>1.1067998607496886E-6</v>
      </c>
      <c r="Q77" s="56">
        <f t="shared" si="50"/>
        <v>1.5110303229650561E-6</v>
      </c>
      <c r="R77" s="9">
        <f t="shared" si="43"/>
        <v>1.4999999999999999E-4</v>
      </c>
      <c r="S77" s="9">
        <f t="shared" si="39"/>
        <v>1.1060624857591823E-7</v>
      </c>
      <c r="T77" s="9">
        <f t="shared" si="40"/>
        <v>1.483950838079126E-4</v>
      </c>
      <c r="U77" s="9">
        <f t="shared" si="41"/>
        <v>1.4988939375142407E-4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0.86907068032969315</v>
      </c>
      <c r="K78" s="55">
        <f t="shared" si="46"/>
        <v>0.80953399713503782</v>
      </c>
      <c r="L78" s="55">
        <f t="shared" si="47"/>
        <v>4.0130078155401457E-3</v>
      </c>
      <c r="M78" s="55">
        <f t="shared" si="19"/>
        <v>0.99598699218445985</v>
      </c>
      <c r="N78" s="55">
        <f t="shared" si="48"/>
        <v>1.2924792513632206E-3</v>
      </c>
      <c r="O78" s="56">
        <f t="shared" si="21"/>
        <v>8.1429171756343965E-7</v>
      </c>
      <c r="P78" s="56">
        <f t="shared" si="49"/>
        <v>6.023524731125759E-6</v>
      </c>
      <c r="Q78" s="56">
        <f t="shared" si="50"/>
        <v>6.466704520987314E-5</v>
      </c>
      <c r="R78" s="9">
        <f t="shared" si="43"/>
        <v>1.4999999999999999E-4</v>
      </c>
      <c r="S78" s="9">
        <f t="shared" si="39"/>
        <v>6.0195117233102178E-7</v>
      </c>
      <c r="T78" s="9">
        <f t="shared" si="40"/>
        <v>1.2143009957025567E-4</v>
      </c>
      <c r="U78" s="9">
        <f t="shared" si="41"/>
        <v>1.4939804882766895E-4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1.8284615251176457</v>
      </c>
      <c r="K79" s="55">
        <f t="shared" si="46"/>
        <v>0.30551787226522592</v>
      </c>
      <c r="L79" s="55">
        <f t="shared" si="47"/>
        <v>1.3793115695668717E-2</v>
      </c>
      <c r="M79" s="55">
        <f t="shared" si="19"/>
        <v>0.98620688430433123</v>
      </c>
      <c r="N79" s="55">
        <f t="shared" si="48"/>
        <v>5.6526501685476406E-3</v>
      </c>
      <c r="O79" s="56">
        <f t="shared" si="21"/>
        <v>3.0731343443712033E-7</v>
      </c>
      <c r="P79" s="56">
        <f t="shared" si="49"/>
        <v>2.0703466659198749E-5</v>
      </c>
      <c r="Q79" s="56">
        <f t="shared" si="50"/>
        <v>2.8282093009966697E-4</v>
      </c>
      <c r="R79" s="9">
        <f t="shared" si="43"/>
        <v>1.4999999999999999E-4</v>
      </c>
      <c r="S79" s="9">
        <f t="shared" si="39"/>
        <v>2.0689673543503074E-6</v>
      </c>
      <c r="T79" s="9">
        <f t="shared" si="40"/>
        <v>4.5827680839783884E-5</v>
      </c>
      <c r="U79" s="9">
        <f t="shared" si="41"/>
        <v>1.4793103264564968E-4</v>
      </c>
      <c r="V79" s="102">
        <f t="shared" si="42"/>
        <v>0.30979085334689965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4.6407720127189611</v>
      </c>
      <c r="K80" s="55">
        <f t="shared" si="46"/>
        <v>1.0157817475674009E-3</v>
      </c>
      <c r="L80" s="55">
        <f t="shared" si="47"/>
        <v>2.9767108513579263E-2</v>
      </c>
      <c r="M80" s="55">
        <f t="shared" si="19"/>
        <v>0.97023289148642078</v>
      </c>
      <c r="N80" s="55">
        <f t="shared" si="48"/>
        <v>2.2150416289024224E-2</v>
      </c>
      <c r="O80" s="56">
        <f t="shared" si="21"/>
        <v>1.021751608732346E-9</v>
      </c>
      <c r="P80" s="56">
        <f t="shared" si="49"/>
        <v>4.4680429878882476E-5</v>
      </c>
      <c r="Q80" s="56">
        <f t="shared" si="50"/>
        <v>1.1082591616608454E-3</v>
      </c>
      <c r="R80" s="9">
        <f t="shared" si="43"/>
        <v>1.4999999999999999E-4</v>
      </c>
      <c r="S80" s="9">
        <f t="shared" si="39"/>
        <v>4.4650662770368893E-6</v>
      </c>
      <c r="T80" s="9">
        <f t="shared" si="40"/>
        <v>1.5236726213511012E-7</v>
      </c>
      <c r="U80" s="9">
        <f t="shared" si="41"/>
        <v>1.455349337229631E-4</v>
      </c>
      <c r="V80" s="102">
        <f t="shared" si="42"/>
        <v>1.0469463120459648E-3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2.0764178865334513</v>
      </c>
      <c r="K81" s="55">
        <f t="shared" si="46"/>
        <v>0.22184078055865358</v>
      </c>
      <c r="L81" s="55">
        <f t="shared" si="47"/>
        <v>1.7726520789202203E-2</v>
      </c>
      <c r="M81" s="55">
        <f t="shared" si="19"/>
        <v>0.98227347921079777</v>
      </c>
      <c r="N81" s="55">
        <f t="shared" si="48"/>
        <v>9.55782055499871E-3</v>
      </c>
      <c r="O81" s="56">
        <f t="shared" si="21"/>
        <v>2.2314456324999426E-7</v>
      </c>
      <c r="P81" s="56">
        <f t="shared" si="49"/>
        <v>2.660750770459251E-5</v>
      </c>
      <c r="Q81" s="56">
        <f t="shared" si="50"/>
        <v>4.7820962176843546E-4</v>
      </c>
      <c r="R81" s="9">
        <f t="shared" si="43"/>
        <v>1.4999999999999999E-4</v>
      </c>
      <c r="S81" s="9">
        <f t="shared" si="39"/>
        <v>2.65897811838033E-6</v>
      </c>
      <c r="T81" s="9">
        <f t="shared" si="40"/>
        <v>3.3276117083798031E-5</v>
      </c>
      <c r="U81" s="9">
        <f t="shared" si="41"/>
        <v>1.4734102188161964E-4</v>
      </c>
      <c r="V81" s="102">
        <f t="shared" si="42"/>
        <v>0.2258442126900243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2.8909048143104648</v>
      </c>
      <c r="K82" s="55">
        <f t="shared" si="46"/>
        <v>4.7143743789313922E-2</v>
      </c>
      <c r="L82" s="55">
        <f t="shared" si="47"/>
        <v>2.4574976731523278E-2</v>
      </c>
      <c r="M82" s="55">
        <f t="shared" si="19"/>
        <v>0.97542502326847669</v>
      </c>
      <c r="N82" s="55">
        <f t="shared" si="48"/>
        <v>1.5832793799348242E-2</v>
      </c>
      <c r="O82" s="56">
        <f t="shared" si="21"/>
        <v>4.742081276194701E-8</v>
      </c>
      <c r="P82" s="56">
        <f t="shared" si="49"/>
        <v>3.6887040074016447E-5</v>
      </c>
      <c r="Q82" s="56">
        <f t="shared" si="50"/>
        <v>7.9216744976072387E-4</v>
      </c>
      <c r="R82" s="9">
        <f t="shared" si="43"/>
        <v>1.4999999999999999E-4</v>
      </c>
      <c r="S82" s="9">
        <f t="shared" si="39"/>
        <v>3.6862465097284915E-6</v>
      </c>
      <c r="T82" s="9">
        <f t="shared" si="40"/>
        <v>7.0715615683970879E-6</v>
      </c>
      <c r="U82" s="9">
        <f t="shared" si="41"/>
        <v>1.463137534902715E-4</v>
      </c>
      <c r="V82" s="102">
        <f t="shared" si="42"/>
        <v>4.8331489007062356E-2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2.2596675735780232</v>
      </c>
      <c r="K83" s="55">
        <f t="shared" si="46"/>
        <v>0.16046314443498938</v>
      </c>
      <c r="L83" s="55">
        <f t="shared" si="47"/>
        <v>1.9552716578039985E-2</v>
      </c>
      <c r="M83" s="55">
        <f t="shared" si="19"/>
        <v>0.98044728342195997</v>
      </c>
      <c r="N83" s="55">
        <f t="shared" si="48"/>
        <v>1.0963690983166565E-2</v>
      </c>
      <c r="O83" s="56">
        <f t="shared" si="21"/>
        <v>1.6140620400133959E-7</v>
      </c>
      <c r="P83" s="56">
        <f t="shared" si="49"/>
        <v>2.9348627583638023E-5</v>
      </c>
      <c r="Q83" s="56">
        <f t="shared" si="50"/>
        <v>5.4855000552443385E-4</v>
      </c>
      <c r="R83" s="9">
        <f t="shared" si="43"/>
        <v>1.4999999999999999E-4</v>
      </c>
      <c r="S83" s="9">
        <f t="shared" si="39"/>
        <v>2.9329074867059975E-6</v>
      </c>
      <c r="T83" s="9">
        <f t="shared" si="40"/>
        <v>2.4069471665248406E-5</v>
      </c>
      <c r="U83" s="9">
        <f t="shared" si="41"/>
        <v>1.4706709251329397E-4</v>
      </c>
      <c r="V83" s="102">
        <f t="shared" si="42"/>
        <v>0.16366320469055762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0.6838067096740571</v>
      </c>
      <c r="K84" s="55">
        <f t="shared" si="46"/>
        <v>0.8712003323554004</v>
      </c>
      <c r="L84" s="55">
        <f t="shared" si="47"/>
        <v>2.8189604011763731E-3</v>
      </c>
      <c r="M84" s="55">
        <f t="shared" si="19"/>
        <v>0.99718103959882365</v>
      </c>
      <c r="N84" s="55">
        <f t="shared" si="48"/>
        <v>7.6252224929687315E-4</v>
      </c>
      <c r="O84" s="56">
        <f t="shared" si="21"/>
        <v>8.7632047262516889E-7</v>
      </c>
      <c r="P84" s="56">
        <f t="shared" si="49"/>
        <v>4.2312595621657348E-6</v>
      </c>
      <c r="Q84" s="56">
        <f t="shared" si="50"/>
        <v>3.8151529873153548E-5</v>
      </c>
      <c r="R84" s="9">
        <f t="shared" si="43"/>
        <v>1.4999999999999999E-4</v>
      </c>
      <c r="S84" s="9">
        <f t="shared" si="39"/>
        <v>4.2284406017645592E-7</v>
      </c>
      <c r="T84" s="9">
        <f t="shared" si="40"/>
        <v>1.3068004985331005E-4</v>
      </c>
      <c r="U84" s="9">
        <f t="shared" si="41"/>
        <v>1.4957715593982352E-4</v>
      </c>
      <c r="V84" s="102">
        <f t="shared" si="42"/>
        <v>0.8736631541910318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2.0545505923588281</v>
      </c>
      <c r="K85" s="55">
        <f t="shared" si="46"/>
        <v>0.23513074429782105</v>
      </c>
      <c r="L85" s="55">
        <f t="shared" si="47"/>
        <v>1.7865873067114107E-2</v>
      </c>
      <c r="M85" s="55">
        <f t="shared" si="19"/>
        <v>0.98213412693288593</v>
      </c>
      <c r="N85" s="55">
        <f t="shared" si="48"/>
        <v>9.9899866178163703E-3</v>
      </c>
      <c r="O85" s="56">
        <f t="shared" si="21"/>
        <v>2.3651263356924154E-7</v>
      </c>
      <c r="P85" s="56">
        <f t="shared" si="49"/>
        <v>2.6816675473738275E-5</v>
      </c>
      <c r="Q85" s="56">
        <f t="shared" si="50"/>
        <v>4.9983233044474575E-4</v>
      </c>
      <c r="R85" s="9">
        <f t="shared" si="43"/>
        <v>1.4999999999999999E-4</v>
      </c>
      <c r="S85" s="9">
        <f t="shared" si="39"/>
        <v>2.6798809600671158E-6</v>
      </c>
      <c r="T85" s="9">
        <f t="shared" si="40"/>
        <v>3.5269611644673153E-5</v>
      </c>
      <c r="U85" s="9">
        <f t="shared" si="41"/>
        <v>1.4732011903993288E-4</v>
      </c>
      <c r="V85" s="102">
        <f t="shared" si="42"/>
        <v>0.23940797682299528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1.4348617200490665</v>
      </c>
      <c r="K86" s="55">
        <f t="shared" si="46"/>
        <v>0.53918993631248269</v>
      </c>
      <c r="L86" s="55">
        <f t="shared" si="47"/>
        <v>9.8348497832045044E-3</v>
      </c>
      <c r="M86" s="55">
        <f t="shared" si="19"/>
        <v>0.99016515021679552</v>
      </c>
      <c r="N86" s="55">
        <f t="shared" si="48"/>
        <v>4.4245312374492744E-3</v>
      </c>
      <c r="O86" s="56">
        <f t="shared" si="21"/>
        <v>5.4235881493136882E-7</v>
      </c>
      <c r="P86" s="56">
        <f t="shared" si="49"/>
        <v>1.4762109524589964E-5</v>
      </c>
      <c r="Q86" s="56">
        <f t="shared" si="50"/>
        <v>2.2137404624704538E-4</v>
      </c>
      <c r="R86" s="9">
        <f t="shared" si="43"/>
        <v>1.4999999999999999E-4</v>
      </c>
      <c r="S86" s="9">
        <f t="shared" si="39"/>
        <v>1.4752274674806756E-6</v>
      </c>
      <c r="T86" s="9">
        <f t="shared" si="40"/>
        <v>8.0878490446872398E-5</v>
      </c>
      <c r="U86" s="9">
        <f t="shared" si="41"/>
        <v>1.4852477253251932E-4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3.8273795064858471</v>
      </c>
      <c r="K88" s="55">
        <f t="shared" si="46"/>
        <v>7.0372224315150174E-3</v>
      </c>
      <c r="L88" s="55">
        <f t="shared" si="47"/>
        <v>3.1691662188008861E-2</v>
      </c>
      <c r="M88" s="55">
        <f t="shared" si="19"/>
        <v>0.9683083378119911</v>
      </c>
      <c r="N88" s="55">
        <f t="shared" si="48"/>
        <v>2.491005957644472E-2</v>
      </c>
      <c r="O88" s="56">
        <f t="shared" si="21"/>
        <v>7.0785809625218895E-9</v>
      </c>
      <c r="P88" s="56">
        <f t="shared" si="49"/>
        <v>4.7569184944201309E-5</v>
      </c>
      <c r="Q88" s="56">
        <f t="shared" si="50"/>
        <v>1.2463333141414508E-3</v>
      </c>
      <c r="R88" s="9">
        <f>F88*$C$14</f>
        <v>1.4999999999999999E-4</v>
      </c>
      <c r="S88" s="9">
        <f t="shared" si="39"/>
        <v>4.7537493282013288E-6</v>
      </c>
      <c r="T88" s="9">
        <f t="shared" si="40"/>
        <v>1.0555833647272524E-6</v>
      </c>
      <c r="U88" s="9">
        <f t="shared" si="41"/>
        <v>1.4524625067179866E-4</v>
      </c>
      <c r="V88" s="102">
        <f t="shared" si="42"/>
        <v>7.2675429475454753E-3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5.2755325389810421</v>
      </c>
      <c r="K89" s="55">
        <f t="shared" si="46"/>
        <v>2.8893049743487759E-4</v>
      </c>
      <c r="L89" s="55">
        <f t="shared" si="47"/>
        <v>3.651658512550425E-2</v>
      </c>
      <c r="M89" s="55">
        <f t="shared" si="19"/>
        <v>0.96348341487449574</v>
      </c>
      <c r="N89" s="55">
        <f t="shared" si="48"/>
        <v>3.143372671878699E-2</v>
      </c>
      <c r="O89" s="56">
        <f t="shared" si="21"/>
        <v>2.9062857377867431E-10</v>
      </c>
      <c r="P89" s="56">
        <f t="shared" si="49"/>
        <v>5.4811394273381922E-5</v>
      </c>
      <c r="Q89" s="56">
        <f t="shared" si="50"/>
        <v>1.5727341268299759E-3</v>
      </c>
      <c r="R89" s="9">
        <f>F89*$C$14</f>
        <v>1.4999999999999999E-4</v>
      </c>
      <c r="S89" s="9">
        <f t="shared" si="39"/>
        <v>5.4774877688256371E-6</v>
      </c>
      <c r="T89" s="9">
        <f t="shared" si="40"/>
        <v>4.3339574615231634E-8</v>
      </c>
      <c r="U89" s="9">
        <f t="shared" si="41"/>
        <v>1.4452251223117434E-4</v>
      </c>
      <c r="V89" s="102">
        <f t="shared" si="42"/>
        <v>2.9988113233118182E-4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5.6475701029544298</v>
      </c>
      <c r="K90" s="55">
        <f t="shared" si="46"/>
        <v>1.3000377873547824E-4</v>
      </c>
      <c r="L90" s="55">
        <f t="shared" si="47"/>
        <v>3.869815964722647E-2</v>
      </c>
      <c r="M90" s="55">
        <f t="shared" si="19"/>
        <v>0.96130184035277355</v>
      </c>
      <c r="N90" s="55">
        <f t="shared" si="48"/>
        <v>3.4435664166038389E-2</v>
      </c>
      <c r="O90" s="56">
        <f t="shared" si="21"/>
        <v>1.307678252561286E-10</v>
      </c>
      <c r="P90" s="56">
        <f t="shared" si="49"/>
        <v>5.8085937630486975E-5</v>
      </c>
      <c r="Q90" s="56">
        <f t="shared" si="50"/>
        <v>1.7229310637741206E-3</v>
      </c>
      <c r="R90" s="9">
        <f>F90*$C$14</f>
        <v>1.4999999999999999E-4</v>
      </c>
      <c r="S90" s="9">
        <f t="shared" si="39"/>
        <v>5.80472394708397E-6</v>
      </c>
      <c r="T90" s="9">
        <f t="shared" si="40"/>
        <v>1.9500566810321733E-8</v>
      </c>
      <c r="U90" s="9">
        <f t="shared" si="41"/>
        <v>1.4419527605291602E-4</v>
      </c>
      <c r="V90" s="102">
        <f t="shared" si="42"/>
        <v>1.3523720987340473E-4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6.0714479293479418</v>
      </c>
      <c r="K91" s="55">
        <f t="shared" si="46"/>
        <v>5.1530364653280949E-5</v>
      </c>
      <c r="L91" s="55">
        <f t="shared" si="47"/>
        <v>4.0707588735440753E-2</v>
      </c>
      <c r="M91" s="55">
        <f t="shared" si="19"/>
        <v>0.95929241126455922</v>
      </c>
      <c r="N91" s="55">
        <f t="shared" si="48"/>
        <v>3.7201949904506933E-2</v>
      </c>
      <c r="O91" s="56">
        <f t="shared" si="21"/>
        <v>5.1833214279685227E-11</v>
      </c>
      <c r="P91" s="56">
        <f t="shared" si="49"/>
        <v>6.1102090691896591E-5</v>
      </c>
      <c r="Q91" s="56">
        <f t="shared" si="50"/>
        <v>1.8613375602221636E-3</v>
      </c>
      <c r="R91" s="9">
        <f t="shared" ref="R91:R92" si="51">F91*$C$14</f>
        <v>1.4999999999999999E-4</v>
      </c>
      <c r="S91" s="9">
        <f t="shared" si="39"/>
        <v>6.106138310316112E-6</v>
      </c>
      <c r="T91" s="9">
        <f t="shared" si="40"/>
        <v>7.7295546979921422E-9</v>
      </c>
      <c r="U91" s="9">
        <f t="shared" si="41"/>
        <v>1.4389386168968388E-4</v>
      </c>
      <c r="V91" s="102">
        <f t="shared" si="42"/>
        <v>5.3717056497249418E-5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7.3264606898122624</v>
      </c>
      <c r="K92" s="55">
        <f t="shared" si="46"/>
        <v>3.0919624585651232E-6</v>
      </c>
      <c r="L92" s="55">
        <f t="shared" si="47"/>
        <v>4.3939907182533468E-2</v>
      </c>
      <c r="M92" s="55">
        <f t="shared" si="19"/>
        <v>0.95606009281746651</v>
      </c>
      <c r="N92" s="55">
        <f t="shared" si="48"/>
        <v>4.1653135594239936E-2</v>
      </c>
      <c r="O92" s="56">
        <f t="shared" si="21"/>
        <v>3.1101342623498048E-12</v>
      </c>
      <c r="P92" s="56">
        <f t="shared" si="49"/>
        <v>6.5953800680982843E-5</v>
      </c>
      <c r="Q92" s="56">
        <f t="shared" si="50"/>
        <v>2.0840452175651383E-3</v>
      </c>
      <c r="R92" s="9">
        <f t="shared" si="51"/>
        <v>1.4999999999999999E-4</v>
      </c>
      <c r="S92" s="9">
        <f t="shared" si="39"/>
        <v>6.5909860773800199E-6</v>
      </c>
      <c r="T92" s="9">
        <f t="shared" si="40"/>
        <v>4.6379436878476842E-10</v>
      </c>
      <c r="U92" s="9">
        <f t="shared" si="41"/>
        <v>1.4340901392261997E-4</v>
      </c>
      <c r="V92" s="102">
        <f t="shared" si="42"/>
        <v>3.2340670652335748E-6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1.3221349530045283</v>
      </c>
      <c r="K93" s="55">
        <f t="shared" si="46"/>
        <v>0.55689660203326985</v>
      </c>
      <c r="L93" s="55">
        <f t="shared" si="47"/>
        <v>7.83562700161234E-3</v>
      </c>
      <c r="M93" s="55">
        <f t="shared" ref="M93:M127" si="52">IF(D93=0,"",1-L93)</f>
        <v>0.99216437299838767</v>
      </c>
      <c r="N93" s="55">
        <f t="shared" si="48"/>
        <v>1.9909486357660767E-3</v>
      </c>
      <c r="O93" s="56">
        <f t="shared" ref="O93:O127" si="53">IF(D93=0,"",F93*K93*$J$7/$J$14)</f>
        <v>5.6016954467604718E-7</v>
      </c>
      <c r="P93" s="56">
        <f t="shared" si="49"/>
        <v>1.1761276129420125E-5</v>
      </c>
      <c r="Q93" s="56">
        <f t="shared" si="50"/>
        <v>9.9613796742829383E-5</v>
      </c>
      <c r="R93" s="9">
        <f>F93*$C$14</f>
        <v>1.4999999999999999E-4</v>
      </c>
      <c r="S93" s="9">
        <f t="shared" si="39"/>
        <v>1.1753440502418509E-6</v>
      </c>
      <c r="T93" s="9">
        <f t="shared" si="40"/>
        <v>8.3534490304990473E-5</v>
      </c>
      <c r="U93" s="9">
        <f t="shared" si="41"/>
        <v>1.4882465594975814E-4</v>
      </c>
      <c r="V93" s="102">
        <f t="shared" si="42"/>
        <v>0.5612946979241864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0.33664255688928602</v>
      </c>
      <c r="K107" s="55">
        <f t="shared" si="46"/>
        <v>0.95077486969156277</v>
      </c>
      <c r="L107" s="55">
        <f t="shared" si="47"/>
        <v>1.3831984201550952E-3</v>
      </c>
      <c r="M107" s="55">
        <f t="shared" si="52"/>
        <v>0.99861680157984489</v>
      </c>
      <c r="N107" s="55">
        <f t="shared" si="48"/>
        <v>2.2334445880539425E-4</v>
      </c>
      <c r="O107" s="56">
        <f t="shared" si="53"/>
        <v>9.5636267827817133E-7</v>
      </c>
      <c r="P107" s="56">
        <f t="shared" si="49"/>
        <v>2.0761808286527977E-6</v>
      </c>
      <c r="Q107" s="56">
        <f t="shared" si="50"/>
        <v>1.1174667755563226E-5</v>
      </c>
      <c r="R107" s="9">
        <f>F107*$C$14</f>
        <v>1.4999999999999999E-4</v>
      </c>
      <c r="S107" s="9">
        <f t="shared" ref="S107:S108" si="54">$R107*L107</f>
        <v>2.0747976302326425E-7</v>
      </c>
      <c r="T107" s="9">
        <f t="shared" ref="T107:T108" si="55">R107*K107</f>
        <v>1.4261623045373442E-4</v>
      </c>
      <c r="U107" s="9">
        <f t="shared" ref="U107:U108" si="56">$R107*M107</f>
        <v>1.4979252023697673E-4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1.0476738921027908</v>
      </c>
      <c r="K108" s="55">
        <f t="shared" si="46"/>
        <v>0.72670667148431944</v>
      </c>
      <c r="L108" s="55">
        <f t="shared" si="47"/>
        <v>5.4349715175433496E-3</v>
      </c>
      <c r="M108" s="55">
        <f t="shared" si="52"/>
        <v>0.99456502848245665</v>
      </c>
      <c r="N108" s="55">
        <f t="shared" si="48"/>
        <v>1.753854797584814E-3</v>
      </c>
      <c r="O108" s="56">
        <f t="shared" si="53"/>
        <v>7.3097760660083451E-7</v>
      </c>
      <c r="P108" s="56">
        <f t="shared" si="49"/>
        <v>8.1578922478325688E-6</v>
      </c>
      <c r="Q108" s="56">
        <f t="shared" si="50"/>
        <v>8.7751201705826853E-5</v>
      </c>
      <c r="R108" s="9">
        <f>F108*$C$14</f>
        <v>1.4999999999999999E-4</v>
      </c>
      <c r="S108" s="9">
        <f t="shared" si="54"/>
        <v>8.1524572763150235E-7</v>
      </c>
      <c r="T108" s="9">
        <f t="shared" si="55"/>
        <v>1.0900600072264791E-4</v>
      </c>
      <c r="U108" s="9">
        <f t="shared" si="56"/>
        <v>1.4918475427236848E-4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0.90660680878543065</v>
      </c>
      <c r="K114" s="55">
        <f t="shared" si="46"/>
        <v>0.7979945714566512</v>
      </c>
      <c r="L114" s="55">
        <f t="shared" si="47"/>
        <v>4.3129157930007142E-3</v>
      </c>
      <c r="M114" s="55">
        <f t="shared" si="52"/>
        <v>0.99568708420699925</v>
      </c>
      <c r="N114" s="55">
        <f t="shared" si="48"/>
        <v>1.4969745770556176E-3</v>
      </c>
      <c r="O114" s="56">
        <f t="shared" si="53"/>
        <v>8.0268447340988545E-7</v>
      </c>
      <c r="P114" s="56">
        <f t="shared" si="49"/>
        <v>6.4736866052940729E-6</v>
      </c>
      <c r="Q114" s="56">
        <f t="shared" si="50"/>
        <v>7.4898628005349397E-5</v>
      </c>
      <c r="R114" s="9">
        <f>F114*$C$14</f>
        <v>1.4999999999999999E-4</v>
      </c>
      <c r="S114" s="9">
        <f t="shared" ref="S114:S116" si="58">$R114*L114</f>
        <v>6.4693736895010704E-7</v>
      </c>
      <c r="T114" s="9">
        <f t="shared" ref="T114:T116" si="59">R114*K114</f>
        <v>1.1969918571849768E-4</v>
      </c>
      <c r="U114" s="9">
        <f t="shared" ref="U114:U116" si="60">$R114*M114</f>
        <v>1.4935306263104989E-4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1.0869139815525992</v>
      </c>
      <c r="K115" s="55">
        <f t="shared" si="46"/>
        <v>0.66720838577634245</v>
      </c>
      <c r="L115" s="55">
        <f t="shared" si="47"/>
        <v>5.46184926963928E-3</v>
      </c>
      <c r="M115" s="55">
        <f t="shared" si="52"/>
        <v>0.99453815073036067</v>
      </c>
      <c r="N115" s="55">
        <f t="shared" si="48"/>
        <v>7.1539019572037783E-4</v>
      </c>
      <c r="O115" s="56">
        <f t="shared" si="53"/>
        <v>6.7112964291717085E-7</v>
      </c>
      <c r="P115" s="56">
        <f t="shared" si="49"/>
        <v>8.1982357537285577E-6</v>
      </c>
      <c r="Q115" s="56">
        <f t="shared" si="50"/>
        <v>3.579335612587624E-5</v>
      </c>
      <c r="R115" s="9">
        <f>F115*$C$14</f>
        <v>1.4999999999999999E-4</v>
      </c>
      <c r="S115" s="9">
        <f t="shared" si="58"/>
        <v>8.1927739044589198E-7</v>
      </c>
      <c r="T115" s="9">
        <f t="shared" si="59"/>
        <v>1.0008125786645136E-4</v>
      </c>
      <c r="U115" s="9">
        <f t="shared" si="60"/>
        <v>1.4918072260955409E-4</v>
      </c>
      <c r="V115" s="102">
        <f t="shared" si="61"/>
        <v>0.67087259074613026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0.11008125501635208</v>
      </c>
      <c r="K116" s="55">
        <f t="shared" si="46"/>
        <v>0.98077694005958715</v>
      </c>
      <c r="L116" s="55">
        <f t="shared" si="47"/>
        <v>8.4686802254169949E-4</v>
      </c>
      <c r="M116" s="55">
        <f t="shared" si="52"/>
        <v>0.99915313197745825</v>
      </c>
      <c r="N116" s="55">
        <f t="shared" si="48"/>
        <v>2.6939574632261212E-5</v>
      </c>
      <c r="O116" s="56">
        <f t="shared" si="53"/>
        <v>9.8654107411688559E-7</v>
      </c>
      <c r="P116" s="56">
        <f t="shared" si="49"/>
        <v>1.2711489018350911E-6</v>
      </c>
      <c r="Q116" s="56">
        <f t="shared" si="50"/>
        <v>1.3478767174341361E-6</v>
      </c>
      <c r="R116" s="9">
        <f>F116*$C$14</f>
        <v>1.4999999999999999E-4</v>
      </c>
      <c r="S116" s="9">
        <f t="shared" si="58"/>
        <v>1.2703020338125492E-7</v>
      </c>
      <c r="T116" s="9">
        <f t="shared" si="59"/>
        <v>1.4711654100893807E-4</v>
      </c>
      <c r="U116" s="9">
        <f t="shared" si="60"/>
        <v>1.4987296979661872E-4</v>
      </c>
      <c r="V116" s="102">
        <f t="shared" si="61"/>
        <v>0.98160823268250974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3.0063821040542344</v>
      </c>
      <c r="K119" s="55">
        <f t="shared" si="46"/>
        <v>3.4858193956804985E-2</v>
      </c>
      <c r="L119" s="55">
        <f t="shared" si="47"/>
        <v>2.3705614588255375E-2</v>
      </c>
      <c r="M119" s="55">
        <f t="shared" si="52"/>
        <v>0.97629438541174463</v>
      </c>
      <c r="N119" s="55">
        <f t="shared" si="48"/>
        <v>1.4413298132907905E-2</v>
      </c>
      <c r="O119" s="56">
        <f t="shared" si="53"/>
        <v>3.5063059400470616E-8</v>
      </c>
      <c r="P119" s="56">
        <f t="shared" si="49"/>
        <v>3.5582127496971327E-5</v>
      </c>
      <c r="Q119" s="56">
        <f t="shared" si="50"/>
        <v>7.2114534991649223E-4</v>
      </c>
      <c r="R119" s="9">
        <f>F119*$C$14</f>
        <v>1.4999999999999999E-4</v>
      </c>
      <c r="S119" s="9">
        <f t="shared" ref="S119:S121" si="62">$R119*L119</f>
        <v>3.555842188238306E-6</v>
      </c>
      <c r="T119" s="9">
        <f t="shared" ref="T119:T121" si="63">R119*K119</f>
        <v>5.2287290935207474E-6</v>
      </c>
      <c r="U119" s="9">
        <f t="shared" ref="U119:U121" si="64">$R119*M119</f>
        <v>1.4644415781176167E-4</v>
      </c>
      <c r="V119" s="102">
        <f t="shared" ref="V119:V121" si="65">K119/M119</f>
        <v>3.5704593284231388E-2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1.2095466574573663</v>
      </c>
      <c r="K120" s="55">
        <f t="shared" si="46"/>
        <v>0.63479182002969692</v>
      </c>
      <c r="L120" s="55">
        <f t="shared" si="47"/>
        <v>6.8919514967913436E-3</v>
      </c>
      <c r="M120" s="55">
        <f t="shared" si="52"/>
        <v>0.99310804850320866</v>
      </c>
      <c r="N120" s="55">
        <f t="shared" si="48"/>
        <v>2.0991951274445804E-3</v>
      </c>
      <c r="O120" s="56">
        <f t="shared" si="53"/>
        <v>6.3852256144466657E-7</v>
      </c>
      <c r="P120" s="56">
        <f t="shared" si="49"/>
        <v>1.0344819196683805E-5</v>
      </c>
      <c r="Q120" s="56">
        <f t="shared" si="50"/>
        <v>1.0502972954314383E-4</v>
      </c>
      <c r="R120" s="9">
        <f>F120*$C$14</f>
        <v>1.4999999999999999E-4</v>
      </c>
      <c r="S120" s="9">
        <f t="shared" si="62"/>
        <v>1.0337927245187014E-6</v>
      </c>
      <c r="T120" s="9">
        <f t="shared" si="63"/>
        <v>9.5218773004454536E-5</v>
      </c>
      <c r="U120" s="9">
        <f t="shared" si="64"/>
        <v>1.4896620727548128E-4</v>
      </c>
      <c r="V120" s="102">
        <f t="shared" si="65"/>
        <v>0.63919713568573089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3.4992504399251074</v>
      </c>
      <c r="K121" s="55">
        <f t="shared" si="46"/>
        <v>9.8680602939279233E-3</v>
      </c>
      <c r="L121" s="55">
        <f t="shared" si="47"/>
        <v>2.0875960547698393E-2</v>
      </c>
      <c r="M121" s="55">
        <f t="shared" si="52"/>
        <v>0.97912403945230164</v>
      </c>
      <c r="N121" s="55">
        <f t="shared" si="48"/>
        <v>1.006413102520505E-2</v>
      </c>
      <c r="O121" s="56">
        <f t="shared" si="53"/>
        <v>9.9260559707188638E-9</v>
      </c>
      <c r="P121" s="56">
        <f t="shared" si="49"/>
        <v>3.1334816782095303E-5</v>
      </c>
      <c r="Q121" s="56">
        <f t="shared" si="50"/>
        <v>5.0354202229442601E-4</v>
      </c>
      <c r="R121" s="9">
        <f>F121*$C$14</f>
        <v>1.4999999999999999E-4</v>
      </c>
      <c r="S121" s="9">
        <f t="shared" si="62"/>
        <v>3.1313940821547586E-6</v>
      </c>
      <c r="T121" s="9">
        <f t="shared" si="63"/>
        <v>1.4802090440891884E-6</v>
      </c>
      <c r="U121" s="9">
        <f t="shared" si="64"/>
        <v>1.4686860591784523E-4</v>
      </c>
      <c r="V121" s="102">
        <f t="shared" si="65"/>
        <v>1.0078457780944565E-2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2.1544133005355879</v>
      </c>
      <c r="K124" s="55">
        <f t="shared" si="68"/>
        <v>0.20331491823382267</v>
      </c>
      <c r="L124" s="55">
        <f t="shared" si="69"/>
        <v>1.9442261487292205E-2</v>
      </c>
      <c r="M124" s="55">
        <f t="shared" si="52"/>
        <v>0.98055773851270778</v>
      </c>
      <c r="N124" s="55">
        <f t="shared" si="70"/>
        <v>1.1586138988364495E-2</v>
      </c>
      <c r="O124" s="56">
        <f t="shared" si="53"/>
        <v>2.0450982239263906E-7</v>
      </c>
      <c r="P124" s="56">
        <f t="shared" si="71"/>
        <v>2.918283449242561E-5</v>
      </c>
      <c r="Q124" s="56">
        <f t="shared" si="72"/>
        <v>5.7969315405117031E-4</v>
      </c>
      <c r="R124" s="9">
        <f>F124*$C$14</f>
        <v>1.4999999999999999E-4</v>
      </c>
      <c r="S124" s="9">
        <f t="shared" ref="S124:S127" si="73">$R124*L124</f>
        <v>2.9163392230938305E-6</v>
      </c>
      <c r="T124" s="9">
        <f t="shared" ref="T124:T127" si="74">R124*K124</f>
        <v>3.0497237735073397E-5</v>
      </c>
      <c r="U124" s="9">
        <f t="shared" ref="U124:U127" si="75">$R124*M124</f>
        <v>1.4708366077690615E-4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1.5517614107472002</v>
      </c>
      <c r="K126" s="55">
        <f t="shared" si="68"/>
        <v>0.44686950779485851</v>
      </c>
      <c r="L126" s="55">
        <f t="shared" si="69"/>
        <v>1.0668573790553254E-2</v>
      </c>
      <c r="M126" s="55">
        <f t="shared" si="52"/>
        <v>0.9893314262094467</v>
      </c>
      <c r="N126" s="55">
        <f t="shared" si="70"/>
        <v>3.9040934932800049E-3</v>
      </c>
      <c r="O126" s="56">
        <f t="shared" si="53"/>
        <v>4.4949580909114719E-7</v>
      </c>
      <c r="P126" s="56">
        <f t="shared" si="71"/>
        <v>1.6013529259620441E-5</v>
      </c>
      <c r="Q126" s="56">
        <f t="shared" si="72"/>
        <v>1.9533481111377624E-4</v>
      </c>
      <c r="R126" s="9">
        <f>F126*$C$14</f>
        <v>1.4999999999999999E-4</v>
      </c>
      <c r="S126" s="9">
        <f t="shared" si="73"/>
        <v>1.6002860685829878E-6</v>
      </c>
      <c r="T126" s="9">
        <f t="shared" si="74"/>
        <v>6.7030426169228772E-5</v>
      </c>
      <c r="U126" s="9">
        <f t="shared" si="75"/>
        <v>1.4839971393141698E-4</v>
      </c>
      <c r="V126" s="102">
        <f t="shared" si="76"/>
        <v>0.45168837859220484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1.2986163657413483E-2</v>
      </c>
      <c r="K127" s="55">
        <f t="shared" si="68"/>
        <v>0.99288965684140318</v>
      </c>
      <c r="L127" s="55">
        <f t="shared" si="69"/>
        <v>6.8556933450913352E-4</v>
      </c>
      <c r="M127" s="55">
        <f t="shared" si="52"/>
        <v>0.99931443066549086</v>
      </c>
      <c r="N127" s="55">
        <f t="shared" si="70"/>
        <v>2.3721681712840968E-5</v>
      </c>
      <c r="O127" s="56">
        <f t="shared" si="53"/>
        <v>9.9872497866880159E-7</v>
      </c>
      <c r="P127" s="56">
        <f t="shared" si="71"/>
        <v>1.0290395710982093E-6</v>
      </c>
      <c r="Q127" s="56">
        <f t="shared" si="72"/>
        <v>1.1868748083658097E-6</v>
      </c>
      <c r="R127" s="9">
        <f>F127*$C$14</f>
        <v>1.4999999999999999E-4</v>
      </c>
      <c r="S127" s="9">
        <f t="shared" si="73"/>
        <v>1.0283540017637002E-7</v>
      </c>
      <c r="T127" s="9">
        <f t="shared" si="74"/>
        <v>1.4893344852621047E-4</v>
      </c>
      <c r="U127" s="9">
        <f t="shared" si="75"/>
        <v>1.4989716459982362E-4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0.32738996440137741</v>
      </c>
      <c r="K130" s="55">
        <f t="shared" si="79"/>
        <v>0.94737148487199596</v>
      </c>
      <c r="L130" s="55">
        <f t="shared" si="80"/>
        <v>1.3491943263295649E-3</v>
      </c>
      <c r="M130" s="55">
        <f t="shared" si="81"/>
        <v>0.99865080567367048</v>
      </c>
      <c r="N130" s="55">
        <f t="shared" si="82"/>
        <v>1.1498939699349257E-4</v>
      </c>
      <c r="O130" s="56">
        <f t="shared" si="83"/>
        <v>9.5293929139131739E-7</v>
      </c>
      <c r="P130" s="56">
        <f t="shared" si="84"/>
        <v>2.0251406838206764E-6</v>
      </c>
      <c r="Q130" s="56">
        <f t="shared" si="85"/>
        <v>5.7533028295744108E-6</v>
      </c>
      <c r="R130" s="9">
        <f>F130*$C$14</f>
        <v>1.4999999999999999E-4</v>
      </c>
      <c r="S130" s="9">
        <f t="shared" ref="S130:S131" si="86">$R130*L130</f>
        <v>2.0237914894943473E-7</v>
      </c>
      <c r="T130" s="9">
        <f t="shared" ref="T130:T131" si="87">R130*K130</f>
        <v>1.4210572273079937E-4</v>
      </c>
      <c r="U130" s="9">
        <f t="shared" ref="U130:U131" si="88">$R130*M130</f>
        <v>1.4979762085105057E-4</v>
      </c>
      <c r="V130" s="102">
        <f t="shared" ref="V130:V131" si="89">K130/M130</f>
        <v>0.94865139995848446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-1.6576123285215592E-2</v>
      </c>
      <c r="K131" s="55">
        <f t="shared" si="79"/>
        <v>0.99551755122879038</v>
      </c>
      <c r="L131" s="55">
        <f t="shared" si="80"/>
        <v>6.4215080453940555E-4</v>
      </c>
      <c r="M131" s="55">
        <f t="shared" si="81"/>
        <v>0.99935784919546056</v>
      </c>
      <c r="N131" s="55">
        <f t="shared" si="82"/>
        <v>1.1420349870044453E-5</v>
      </c>
      <c r="O131" s="56">
        <f t="shared" si="83"/>
        <v>1.0013683174808267E-6</v>
      </c>
      <c r="P131" s="56">
        <f t="shared" si="84"/>
        <v>9.6386835761364751E-7</v>
      </c>
      <c r="Q131" s="56">
        <f t="shared" si="85"/>
        <v>5.7139817183122411E-7</v>
      </c>
      <c r="R131" s="9">
        <f>F131*$C$14</f>
        <v>1.4999999999999999E-4</v>
      </c>
      <c r="S131" s="9">
        <f t="shared" si="86"/>
        <v>9.6322620680910827E-8</v>
      </c>
      <c r="T131" s="9">
        <f t="shared" si="87"/>
        <v>1.4932763268431855E-4</v>
      </c>
      <c r="U131" s="9">
        <f t="shared" si="88"/>
        <v>1.4990367737931906E-4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2024-10-28T22:40:51Z</dcterms:modified>
</cp:coreProperties>
</file>