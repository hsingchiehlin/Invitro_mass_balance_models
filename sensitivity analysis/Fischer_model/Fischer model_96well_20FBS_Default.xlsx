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tiff" ContentType="image/tiff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AMU PHD\MassBalance project\Paper writing\R1\Sens_R\Fischer\96well_1um\"/>
    </mc:Choice>
  </mc:AlternateContent>
  <xr:revisionPtr revIDLastSave="0" documentId="13_ncr:1_{E86B56D9-6C4A-4503-91DF-37BAE7591DD9}" xr6:coauthVersionLast="47" xr6:coauthVersionMax="47" xr10:uidLastSave="{00000000-0000-0000-0000-000000000000}"/>
  <bookViews>
    <workbookView xWindow="43080" yWindow="-120" windowWidth="29040" windowHeight="15720" activeTab="1" xr2:uid="{00000000-000D-0000-FFFF-FFFF00000000}"/>
  </bookViews>
  <sheets>
    <sheet name="Model structure" sheetId="1" r:id="rId1"/>
    <sheet name="User input and model output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43" i="4" l="1"/>
  <c r="R143" i="4"/>
  <c r="R142" i="4"/>
  <c r="R141" i="4"/>
  <c r="T141" i="4" s="1"/>
  <c r="R140" i="4"/>
  <c r="V139" i="4"/>
  <c r="U139" i="4"/>
  <c r="R139" i="4"/>
  <c r="R138" i="4"/>
  <c r="V137" i="4"/>
  <c r="R137" i="4"/>
  <c r="U137" i="4" s="1"/>
  <c r="R136" i="4"/>
  <c r="R135" i="4"/>
  <c r="R134" i="4"/>
  <c r="R133" i="4"/>
  <c r="R132" i="4"/>
  <c r="R131" i="4"/>
  <c r="R130" i="4"/>
  <c r="R129" i="4"/>
  <c r="R128" i="4"/>
  <c r="R127" i="4"/>
  <c r="R126" i="4"/>
  <c r="R125" i="4"/>
  <c r="R124" i="4"/>
  <c r="R123" i="4"/>
  <c r="R122" i="4"/>
  <c r="R121" i="4"/>
  <c r="R120" i="4"/>
  <c r="R119" i="4"/>
  <c r="R118" i="4"/>
  <c r="R117" i="4"/>
  <c r="R116" i="4"/>
  <c r="R115" i="4"/>
  <c r="R114" i="4"/>
  <c r="R113" i="4"/>
  <c r="R112" i="4"/>
  <c r="R111" i="4"/>
  <c r="R110" i="4"/>
  <c r="R109" i="4"/>
  <c r="R108" i="4"/>
  <c r="R107" i="4"/>
  <c r="R106" i="4"/>
  <c r="R105" i="4"/>
  <c r="R104" i="4"/>
  <c r="R103" i="4"/>
  <c r="R102" i="4"/>
  <c r="R101" i="4"/>
  <c r="R100" i="4"/>
  <c r="R99" i="4"/>
  <c r="R98" i="4"/>
  <c r="R97" i="4"/>
  <c r="R96" i="4"/>
  <c r="R95" i="4"/>
  <c r="R94" i="4"/>
  <c r="R93" i="4"/>
  <c r="R92" i="4"/>
  <c r="R91" i="4"/>
  <c r="R90" i="4"/>
  <c r="R89" i="4"/>
  <c r="R88" i="4"/>
  <c r="R87" i="4"/>
  <c r="R86" i="4"/>
  <c r="R85" i="4"/>
  <c r="R84" i="4"/>
  <c r="R83" i="4"/>
  <c r="R82" i="4"/>
  <c r="R81" i="4"/>
  <c r="R80" i="4"/>
  <c r="R79" i="4"/>
  <c r="R78" i="4"/>
  <c r="R77" i="4"/>
  <c r="R76" i="4"/>
  <c r="R75" i="4"/>
  <c r="R74" i="4"/>
  <c r="R73" i="4"/>
  <c r="R72" i="4"/>
  <c r="R71" i="4"/>
  <c r="R70" i="4"/>
  <c r="R69" i="4"/>
  <c r="R68" i="4"/>
  <c r="R67" i="4"/>
  <c r="R66" i="4"/>
  <c r="R65" i="4"/>
  <c r="R64" i="4"/>
  <c r="R63" i="4"/>
  <c r="R62" i="4"/>
  <c r="R61" i="4"/>
  <c r="R60" i="4"/>
  <c r="R59" i="4"/>
  <c r="R58" i="4"/>
  <c r="R57" i="4"/>
  <c r="R56" i="4"/>
  <c r="R55" i="4"/>
  <c r="R54" i="4"/>
  <c r="R53" i="4"/>
  <c r="R52" i="4"/>
  <c r="R51" i="4"/>
  <c r="R50" i="4"/>
  <c r="R49" i="4"/>
  <c r="R48" i="4"/>
  <c r="R47" i="4"/>
  <c r="R46" i="4"/>
  <c r="R45" i="4"/>
  <c r="R44" i="4"/>
  <c r="R43" i="4"/>
  <c r="R42" i="4"/>
  <c r="R41" i="4"/>
  <c r="R40" i="4"/>
  <c r="R39" i="4"/>
  <c r="R38" i="4"/>
  <c r="R37" i="4"/>
  <c r="R36" i="4"/>
  <c r="R35" i="4"/>
  <c r="R34" i="4"/>
  <c r="R33" i="4"/>
  <c r="R32" i="4"/>
  <c r="R31" i="4"/>
  <c r="R30" i="4"/>
  <c r="R29" i="4"/>
  <c r="R28" i="4"/>
  <c r="I135" i="4"/>
  <c r="J135" i="4"/>
  <c r="K135" i="4" s="1"/>
  <c r="O135" i="4" s="1"/>
  <c r="P135" i="4" s="1"/>
  <c r="L135" i="4"/>
  <c r="M135" i="4" s="1"/>
  <c r="V135" i="4" s="1"/>
  <c r="N135" i="4"/>
  <c r="Q135" i="4"/>
  <c r="I136" i="4"/>
  <c r="J136" i="4"/>
  <c r="K136" i="4" s="1"/>
  <c r="O136" i="4" s="1"/>
  <c r="P136" i="4" s="1"/>
  <c r="I137" i="4"/>
  <c r="J137" i="4"/>
  <c r="K137" i="4"/>
  <c r="O137" i="4" s="1"/>
  <c r="P137" i="4" s="1"/>
  <c r="L137" i="4"/>
  <c r="M137" i="4" s="1"/>
  <c r="N137" i="4"/>
  <c r="Q137" i="4" s="1"/>
  <c r="I138" i="4"/>
  <c r="J138" i="4"/>
  <c r="L138" i="4" s="1"/>
  <c r="M138" i="4" s="1"/>
  <c r="K138" i="4"/>
  <c r="N138" i="4"/>
  <c r="Q138" i="4" s="1"/>
  <c r="I139" i="4"/>
  <c r="J139" i="4"/>
  <c r="K139" i="4" s="1"/>
  <c r="O139" i="4" s="1"/>
  <c r="P139" i="4" s="1"/>
  <c r="L139" i="4"/>
  <c r="M139" i="4" s="1"/>
  <c r="N139" i="4"/>
  <c r="Q139" i="4"/>
  <c r="I140" i="4"/>
  <c r="J140" i="4"/>
  <c r="K140" i="4"/>
  <c r="O140" i="4" s="1"/>
  <c r="P140" i="4" s="1"/>
  <c r="I141" i="4"/>
  <c r="J141" i="4"/>
  <c r="K141" i="4"/>
  <c r="O141" i="4" s="1"/>
  <c r="P141" i="4" s="1"/>
  <c r="I142" i="4"/>
  <c r="J142" i="4"/>
  <c r="K142" i="4"/>
  <c r="L142" i="4"/>
  <c r="M142" i="4"/>
  <c r="N142" i="4"/>
  <c r="Q142" i="4" s="1"/>
  <c r="O142" i="4"/>
  <c r="P142" i="4" s="1"/>
  <c r="I143" i="4"/>
  <c r="J143" i="4"/>
  <c r="K143" i="4"/>
  <c r="T143" i="4" s="1"/>
  <c r="L143" i="4"/>
  <c r="M143" i="4" s="1"/>
  <c r="N143" i="4"/>
  <c r="O143" i="4"/>
  <c r="P143" i="4"/>
  <c r="Q143" i="4"/>
  <c r="V142" i="4" l="1"/>
  <c r="V140" i="4"/>
  <c r="L136" i="4"/>
  <c r="M136" i="4" s="1"/>
  <c r="V136" i="4" s="1"/>
  <c r="N141" i="4"/>
  <c r="Q141" i="4" s="1"/>
  <c r="L141" i="4"/>
  <c r="M141" i="4" s="1"/>
  <c r="O138" i="4"/>
  <c r="P138" i="4" s="1"/>
  <c r="T138" i="4"/>
  <c r="V138" i="4"/>
  <c r="L140" i="4"/>
  <c r="M140" i="4" s="1"/>
  <c r="U136" i="4"/>
  <c r="U138" i="4"/>
  <c r="U143" i="4"/>
  <c r="S139" i="4"/>
  <c r="S143" i="4"/>
  <c r="T139" i="4"/>
  <c r="S137" i="4"/>
  <c r="U140" i="4"/>
  <c r="T140" i="4"/>
  <c r="T137" i="4"/>
  <c r="T142" i="4"/>
  <c r="U142" i="4"/>
  <c r="S142" i="4"/>
  <c r="T135" i="4"/>
  <c r="S135" i="4"/>
  <c r="U135" i="4"/>
  <c r="S138" i="4"/>
  <c r="S136" i="4"/>
  <c r="T136" i="4"/>
  <c r="N140" i="4"/>
  <c r="Q140" i="4" s="1"/>
  <c r="N136" i="4"/>
  <c r="Q136" i="4" s="1"/>
  <c r="S141" i="4" l="1"/>
  <c r="V141" i="4"/>
  <c r="U141" i="4"/>
  <c r="S140" i="4"/>
  <c r="I128" i="4" l="1"/>
  <c r="J128" i="4"/>
  <c r="K128" i="4" s="1"/>
  <c r="N128" i="4"/>
  <c r="Q128" i="4"/>
  <c r="I129" i="4"/>
  <c r="J129" i="4"/>
  <c r="K129" i="4"/>
  <c r="I130" i="4"/>
  <c r="L130" i="4" s="1"/>
  <c r="J130" i="4"/>
  <c r="K130" i="4" s="1"/>
  <c r="I131" i="4"/>
  <c r="J131" i="4"/>
  <c r="K131" i="4" s="1"/>
  <c r="N131" i="4"/>
  <c r="Q131" i="4" s="1"/>
  <c r="I132" i="4"/>
  <c r="J132" i="4"/>
  <c r="K132" i="4"/>
  <c r="L132" i="4"/>
  <c r="S132" i="4" s="1"/>
  <c r="M132" i="4"/>
  <c r="U132" i="4" s="1"/>
  <c r="N132" i="4"/>
  <c r="Q132" i="4" s="1"/>
  <c r="I133" i="4"/>
  <c r="J133" i="4"/>
  <c r="K133" i="4" s="1"/>
  <c r="N133" i="4"/>
  <c r="Q133" i="4"/>
  <c r="I134" i="4"/>
  <c r="J134" i="4"/>
  <c r="K134" i="4"/>
  <c r="M130" i="4" l="1"/>
  <c r="U130" i="4" s="1"/>
  <c r="S130" i="4"/>
  <c r="L129" i="4"/>
  <c r="O131" i="4"/>
  <c r="P131" i="4" s="1"/>
  <c r="T131" i="4"/>
  <c r="L131" i="4"/>
  <c r="O134" i="4"/>
  <c r="P134" i="4" s="1"/>
  <c r="T134" i="4"/>
  <c r="L134" i="4"/>
  <c r="O133" i="4"/>
  <c r="P133" i="4" s="1"/>
  <c r="T133" i="4"/>
  <c r="N130" i="4"/>
  <c r="Q130" i="4" s="1"/>
  <c r="O129" i="4"/>
  <c r="P129" i="4" s="1"/>
  <c r="T129" i="4"/>
  <c r="V132" i="4"/>
  <c r="T132" i="4"/>
  <c r="O128" i="4"/>
  <c r="P128" i="4" s="1"/>
  <c r="T128" i="4"/>
  <c r="L128" i="4"/>
  <c r="L133" i="4"/>
  <c r="O132" i="4"/>
  <c r="P132" i="4" s="1"/>
  <c r="O130" i="4"/>
  <c r="P130" i="4" s="1"/>
  <c r="V130" i="4"/>
  <c r="T130" i="4"/>
  <c r="N134" i="4"/>
  <c r="Q134" i="4" s="1"/>
  <c r="N129" i="4"/>
  <c r="Q129" i="4" s="1"/>
  <c r="M131" i="4" l="1"/>
  <c r="S131" i="4"/>
  <c r="M129" i="4"/>
  <c r="S129" i="4"/>
  <c r="M128" i="4"/>
  <c r="S128" i="4"/>
  <c r="M134" i="4"/>
  <c r="S134" i="4"/>
  <c r="M133" i="4"/>
  <c r="S133" i="4"/>
  <c r="O15" i="1"/>
  <c r="L15" i="1"/>
  <c r="N15" i="1"/>
  <c r="J16" i="4"/>
  <c r="J15" i="4"/>
  <c r="J87" i="4"/>
  <c r="K87" i="4" s="1"/>
  <c r="J122" i="4"/>
  <c r="K122" i="4" s="1"/>
  <c r="J117" i="4"/>
  <c r="K117" i="4"/>
  <c r="J120" i="4"/>
  <c r="L120" i="4" s="1"/>
  <c r="S120" i="4" s="1"/>
  <c r="K120" i="4"/>
  <c r="J101" i="4"/>
  <c r="K101" i="4"/>
  <c r="J86" i="4"/>
  <c r="K86" i="4" s="1"/>
  <c r="J85" i="4"/>
  <c r="K85" i="4" s="1"/>
  <c r="J88" i="4"/>
  <c r="K88" i="4" s="1"/>
  <c r="J119" i="4"/>
  <c r="K119" i="4"/>
  <c r="J72" i="4"/>
  <c r="K72" i="4" s="1"/>
  <c r="J103" i="4"/>
  <c r="K103" i="4"/>
  <c r="J118" i="4"/>
  <c r="K118" i="4"/>
  <c r="J104" i="4"/>
  <c r="K104" i="4" s="1"/>
  <c r="J90" i="4"/>
  <c r="K90" i="4" s="1"/>
  <c r="J71" i="4"/>
  <c r="K71" i="4" s="1"/>
  <c r="J110" i="4"/>
  <c r="K110" i="4" s="1"/>
  <c r="J82" i="4"/>
  <c r="K82" i="4"/>
  <c r="J113" i="4"/>
  <c r="K113" i="4"/>
  <c r="J97" i="4"/>
  <c r="K97" i="4"/>
  <c r="O97" i="4" s="1"/>
  <c r="P97" i="4" s="1"/>
  <c r="J81" i="4"/>
  <c r="K81" i="4" s="1"/>
  <c r="J116" i="4"/>
  <c r="K116" i="4" s="1"/>
  <c r="J100" i="4"/>
  <c r="K100" i="4" s="1"/>
  <c r="O100" i="4" s="1"/>
  <c r="P100" i="4" s="1"/>
  <c r="J84" i="4"/>
  <c r="K84" i="4" s="1"/>
  <c r="J114" i="4"/>
  <c r="K114" i="4"/>
  <c r="J78" i="4"/>
  <c r="K78" i="4" s="1"/>
  <c r="J115" i="4"/>
  <c r="K115" i="4"/>
  <c r="J99" i="4"/>
  <c r="K99" i="4" s="1"/>
  <c r="J83" i="4"/>
  <c r="K83" i="4" s="1"/>
  <c r="J102" i="4"/>
  <c r="K102" i="4" s="1"/>
  <c r="J74" i="4"/>
  <c r="K74" i="4" s="1"/>
  <c r="J125" i="4"/>
  <c r="K125" i="4"/>
  <c r="J109" i="4"/>
  <c r="K109" i="4" s="1"/>
  <c r="J93" i="4"/>
  <c r="K93" i="4" s="1"/>
  <c r="J77" i="4"/>
  <c r="K77" i="4" s="1"/>
  <c r="J112" i="4"/>
  <c r="K112" i="4" s="1"/>
  <c r="J96" i="4"/>
  <c r="K96" i="4" s="1"/>
  <c r="J80" i="4"/>
  <c r="K80" i="4" s="1"/>
  <c r="J106" i="4"/>
  <c r="K106" i="4" s="1"/>
  <c r="J127" i="4"/>
  <c r="K127" i="4"/>
  <c r="J111" i="4"/>
  <c r="K111" i="4"/>
  <c r="J95" i="4"/>
  <c r="K95" i="4" s="1"/>
  <c r="J79" i="4"/>
  <c r="K79" i="4" s="1"/>
  <c r="J126" i="4"/>
  <c r="K126" i="4" s="1"/>
  <c r="J94" i="4"/>
  <c r="K94" i="4" s="1"/>
  <c r="J121" i="4"/>
  <c r="K121" i="4" s="1"/>
  <c r="J105" i="4"/>
  <c r="K105" i="4"/>
  <c r="O105" i="4" s="1"/>
  <c r="P105" i="4" s="1"/>
  <c r="J89" i="4"/>
  <c r="K89" i="4" s="1"/>
  <c r="J73" i="4"/>
  <c r="K73" i="4" s="1"/>
  <c r="J124" i="4"/>
  <c r="L124" i="4" s="1"/>
  <c r="S124" i="4" s="1"/>
  <c r="K124" i="4"/>
  <c r="J108" i="4"/>
  <c r="K108" i="4"/>
  <c r="J92" i="4"/>
  <c r="K92" i="4"/>
  <c r="J76" i="4"/>
  <c r="K76" i="4" s="1"/>
  <c r="J98" i="4"/>
  <c r="K98" i="4"/>
  <c r="J123" i="4"/>
  <c r="L123" i="4" s="1"/>
  <c r="K123" i="4"/>
  <c r="J107" i="4"/>
  <c r="K107" i="4"/>
  <c r="J91" i="4"/>
  <c r="K91" i="4"/>
  <c r="J75" i="4"/>
  <c r="K75" i="4" s="1"/>
  <c r="O113" i="4"/>
  <c r="P113" i="4"/>
  <c r="O125" i="4"/>
  <c r="P125" i="4"/>
  <c r="I76" i="4"/>
  <c r="I77" i="4"/>
  <c r="N77" i="4" s="1"/>
  <c r="Q77" i="4" s="1"/>
  <c r="I81" i="4"/>
  <c r="N81" i="4" s="1"/>
  <c r="Q81" i="4" s="1"/>
  <c r="I89" i="4"/>
  <c r="I90" i="4"/>
  <c r="N90" i="4" s="1"/>
  <c r="Q90" i="4" s="1"/>
  <c r="I96" i="4"/>
  <c r="L96" i="4" s="1"/>
  <c r="S96" i="4" s="1"/>
  <c r="I99" i="4"/>
  <c r="N99" i="4" s="1"/>
  <c r="Q99" i="4" s="1"/>
  <c r="I102" i="4"/>
  <c r="L102" i="4" s="1"/>
  <c r="I104" i="4"/>
  <c r="L104" i="4" s="1"/>
  <c r="I108" i="4"/>
  <c r="N108" i="4" s="1"/>
  <c r="Q108" i="4" s="1"/>
  <c r="I111" i="4"/>
  <c r="N111" i="4" s="1"/>
  <c r="Q111" i="4" s="1"/>
  <c r="I113" i="4"/>
  <c r="N113" i="4" s="1"/>
  <c r="Q113" i="4" s="1"/>
  <c r="I115" i="4"/>
  <c r="N115" i="4" s="1"/>
  <c r="Q115" i="4" s="1"/>
  <c r="I119" i="4"/>
  <c r="N119" i="4" s="1"/>
  <c r="Q119" i="4" s="1"/>
  <c r="I120" i="4"/>
  <c r="I123" i="4"/>
  <c r="I125" i="4"/>
  <c r="L125" i="4" s="1"/>
  <c r="I79" i="4"/>
  <c r="N79" i="4" s="1"/>
  <c r="Q79" i="4" s="1"/>
  <c r="I92" i="4"/>
  <c r="L92" i="4" s="1"/>
  <c r="S92" i="4" s="1"/>
  <c r="I100" i="4"/>
  <c r="N100" i="4" s="1"/>
  <c r="Q100" i="4" s="1"/>
  <c r="I103" i="4"/>
  <c r="L103" i="4" s="1"/>
  <c r="I107" i="4"/>
  <c r="L107" i="4" s="1"/>
  <c r="I109" i="4"/>
  <c r="N109" i="4" s="1"/>
  <c r="Q109" i="4" s="1"/>
  <c r="I110" i="4"/>
  <c r="N110" i="4" s="1"/>
  <c r="Q110" i="4" s="1"/>
  <c r="I117" i="4"/>
  <c r="I124" i="4"/>
  <c r="I72" i="4"/>
  <c r="N72" i="4" s="1"/>
  <c r="Q72" i="4" s="1"/>
  <c r="I106" i="4"/>
  <c r="I71" i="4"/>
  <c r="I75" i="4"/>
  <c r="N75" i="4" s="1"/>
  <c r="Q75" i="4" s="1"/>
  <c r="I80" i="4"/>
  <c r="L80" i="4" s="1"/>
  <c r="S80" i="4" s="1"/>
  <c r="I83" i="4"/>
  <c r="N83" i="4" s="1"/>
  <c r="Q83" i="4" s="1"/>
  <c r="I86" i="4"/>
  <c r="I88" i="4"/>
  <c r="N88" i="4" s="1"/>
  <c r="Q88" i="4" s="1"/>
  <c r="I94" i="4"/>
  <c r="L94" i="4" s="1"/>
  <c r="S94" i="4" s="1"/>
  <c r="I95" i="4"/>
  <c r="L95" i="4" s="1"/>
  <c r="S95" i="4" s="1"/>
  <c r="I98" i="4"/>
  <c r="I101" i="4"/>
  <c r="I118" i="4"/>
  <c r="I127" i="4"/>
  <c r="I73" i="4"/>
  <c r="N73" i="4" s="1"/>
  <c r="Q73" i="4" s="1"/>
  <c r="I74" i="4"/>
  <c r="I78" i="4"/>
  <c r="L78" i="4" s="1"/>
  <c r="S78" i="4" s="1"/>
  <c r="I82" i="4"/>
  <c r="I85" i="4"/>
  <c r="I93" i="4"/>
  <c r="N93" i="4" s="1"/>
  <c r="Q93" i="4" s="1"/>
  <c r="I112" i="4"/>
  <c r="L112" i="4" s="1"/>
  <c r="I114" i="4"/>
  <c r="N114" i="4" s="1"/>
  <c r="Q114" i="4" s="1"/>
  <c r="I121" i="4"/>
  <c r="N121" i="4" s="1"/>
  <c r="Q121" i="4" s="1"/>
  <c r="I122" i="4"/>
  <c r="I84" i="4"/>
  <c r="I87" i="4"/>
  <c r="I91" i="4"/>
  <c r="N91" i="4" s="1"/>
  <c r="Q91" i="4" s="1"/>
  <c r="I97" i="4"/>
  <c r="I105" i="4"/>
  <c r="I116" i="4"/>
  <c r="N116" i="4" s="1"/>
  <c r="Q116" i="4" s="1"/>
  <c r="I126" i="4"/>
  <c r="N126" i="4" s="1"/>
  <c r="Q126" i="4" s="1"/>
  <c r="L105" i="4"/>
  <c r="N105" i="4"/>
  <c r="Q105" i="4"/>
  <c r="N101" i="4"/>
  <c r="Q101" i="4" s="1"/>
  <c r="N124" i="4"/>
  <c r="Q124" i="4"/>
  <c r="L119" i="4"/>
  <c r="S119" i="4" s="1"/>
  <c r="N96" i="4"/>
  <c r="Q96" i="4" s="1"/>
  <c r="N98" i="4"/>
  <c r="Q98" i="4"/>
  <c r="L98" i="4"/>
  <c r="N86" i="4"/>
  <c r="Q86" i="4" s="1"/>
  <c r="N117" i="4"/>
  <c r="Q117" i="4" s="1"/>
  <c r="N76" i="4"/>
  <c r="Q76" i="4" s="1"/>
  <c r="L127" i="4"/>
  <c r="S127" i="4" s="1"/>
  <c r="N127" i="4"/>
  <c r="Q127" i="4"/>
  <c r="N95" i="4"/>
  <c r="Q95" i="4" s="1"/>
  <c r="N123" i="4"/>
  <c r="Q123" i="4" s="1"/>
  <c r="N87" i="4"/>
  <c r="Q87" i="4" s="1"/>
  <c r="L87" i="4"/>
  <c r="S87" i="4" s="1"/>
  <c r="N122" i="4"/>
  <c r="Q122" i="4" s="1"/>
  <c r="L122" i="4"/>
  <c r="N118" i="4"/>
  <c r="Q118" i="4" s="1"/>
  <c r="N120" i="4"/>
  <c r="Q120" i="4"/>
  <c r="T109" i="4" l="1"/>
  <c r="O109" i="4"/>
  <c r="P109" i="4" s="1"/>
  <c r="T75" i="4"/>
  <c r="M125" i="4"/>
  <c r="U125" i="4" s="1"/>
  <c r="S125" i="4"/>
  <c r="M123" i="4"/>
  <c r="U123" i="4" s="1"/>
  <c r="S123" i="4"/>
  <c r="T71" i="4"/>
  <c r="M104" i="4"/>
  <c r="U104" i="4" s="1"/>
  <c r="S104" i="4"/>
  <c r="T108" i="4"/>
  <c r="N104" i="4"/>
  <c r="Q104" i="4" s="1"/>
  <c r="O123" i="4"/>
  <c r="P123" i="4" s="1"/>
  <c r="T123" i="4"/>
  <c r="O106" i="4"/>
  <c r="P106" i="4" s="1"/>
  <c r="T106" i="4"/>
  <c r="O103" i="4"/>
  <c r="P103" i="4" s="1"/>
  <c r="V103" i="4"/>
  <c r="T103" i="4"/>
  <c r="U134" i="4"/>
  <c r="V134" i="4"/>
  <c r="L74" i="4"/>
  <c r="S74" i="4" s="1"/>
  <c r="T95" i="4"/>
  <c r="T84" i="4"/>
  <c r="M112" i="4"/>
  <c r="U112" i="4" s="1"/>
  <c r="S112" i="4"/>
  <c r="T91" i="4"/>
  <c r="T111" i="4"/>
  <c r="T125" i="4"/>
  <c r="T90" i="4"/>
  <c r="O101" i="4"/>
  <c r="P101" i="4" s="1"/>
  <c r="T101" i="4"/>
  <c r="M105" i="4"/>
  <c r="U105" i="4" s="1"/>
  <c r="S105" i="4"/>
  <c r="O124" i="4"/>
  <c r="P124" i="4" s="1"/>
  <c r="T124" i="4"/>
  <c r="T116" i="4"/>
  <c r="T127" i="4"/>
  <c r="T74" i="4"/>
  <c r="T81" i="4"/>
  <c r="O118" i="4"/>
  <c r="P118" i="4" s="1"/>
  <c r="T118" i="4"/>
  <c r="T120" i="4"/>
  <c r="U133" i="4"/>
  <c r="V133" i="4"/>
  <c r="M102" i="4"/>
  <c r="U102" i="4" s="1"/>
  <c r="S102" i="4"/>
  <c r="O127" i="4"/>
  <c r="P127" i="4" s="1"/>
  <c r="V80" i="4"/>
  <c r="T80" i="4"/>
  <c r="T113" i="4"/>
  <c r="L71" i="4"/>
  <c r="S71" i="4" s="1"/>
  <c r="O111" i="4"/>
  <c r="P111" i="4" s="1"/>
  <c r="T96" i="4"/>
  <c r="T115" i="4"/>
  <c r="O122" i="4"/>
  <c r="P122" i="4" s="1"/>
  <c r="T122" i="4"/>
  <c r="N125" i="4"/>
  <c r="Q125" i="4" s="1"/>
  <c r="L106" i="4"/>
  <c r="T121" i="4"/>
  <c r="O112" i="4"/>
  <c r="P112" i="4" s="1"/>
  <c r="T112" i="4"/>
  <c r="T82" i="4"/>
  <c r="T119" i="4"/>
  <c r="T87" i="4"/>
  <c r="N106" i="4"/>
  <c r="Q106" i="4" s="1"/>
  <c r="L118" i="4"/>
  <c r="T76" i="4"/>
  <c r="T94" i="4"/>
  <c r="T77" i="4"/>
  <c r="T78" i="4"/>
  <c r="V78" i="4"/>
  <c r="U129" i="4"/>
  <c r="V129" i="4"/>
  <c r="L109" i="4"/>
  <c r="L86" i="4"/>
  <c r="S86" i="4" s="1"/>
  <c r="M103" i="4"/>
  <c r="U103" i="4" s="1"/>
  <c r="S103" i="4"/>
  <c r="T105" i="4"/>
  <c r="T98" i="4"/>
  <c r="V98" i="4"/>
  <c r="T72" i="4"/>
  <c r="L101" i="4"/>
  <c r="O98" i="4"/>
  <c r="P98" i="4" s="1"/>
  <c r="V92" i="4"/>
  <c r="T92" i="4"/>
  <c r="T126" i="4"/>
  <c r="T93" i="4"/>
  <c r="T114" i="4"/>
  <c r="O110" i="4"/>
  <c r="P110" i="4" s="1"/>
  <c r="T110" i="4"/>
  <c r="T88" i="4"/>
  <c r="T86" i="4"/>
  <c r="M98" i="4"/>
  <c r="U98" i="4" s="1"/>
  <c r="S98" i="4"/>
  <c r="O104" i="4"/>
  <c r="P104" i="4" s="1"/>
  <c r="T104" i="4"/>
  <c r="T73" i="4"/>
  <c r="O102" i="4"/>
  <c r="P102" i="4" s="1"/>
  <c r="V102" i="4"/>
  <c r="T102" i="4"/>
  <c r="M122" i="4"/>
  <c r="U122" i="4" s="1"/>
  <c r="S122" i="4"/>
  <c r="T89" i="4"/>
  <c r="T83" i="4"/>
  <c r="O117" i="4"/>
  <c r="P117" i="4" s="1"/>
  <c r="T117" i="4"/>
  <c r="O99" i="4"/>
  <c r="P99" i="4" s="1"/>
  <c r="T99" i="4"/>
  <c r="U128" i="4"/>
  <c r="V128" i="4"/>
  <c r="N71" i="4"/>
  <c r="Q71" i="4" s="1"/>
  <c r="L117" i="4"/>
  <c r="T79" i="4"/>
  <c r="T85" i="4"/>
  <c r="U131" i="4"/>
  <c r="V131" i="4"/>
  <c r="M124" i="4"/>
  <c r="U124" i="4" s="1"/>
  <c r="O121" i="4"/>
  <c r="P121" i="4" s="1"/>
  <c r="O126" i="4"/>
  <c r="P126" i="4" s="1"/>
  <c r="N107" i="4"/>
  <c r="Q107" i="4" s="1"/>
  <c r="O108" i="4"/>
  <c r="P108" i="4" s="1"/>
  <c r="N94" i="4"/>
  <c r="Q94" i="4" s="1"/>
  <c r="N112" i="4"/>
  <c r="Q112" i="4" s="1"/>
  <c r="L97" i="4"/>
  <c r="M97" i="4" s="1"/>
  <c r="O114" i="4"/>
  <c r="P114" i="4" s="1"/>
  <c r="N102" i="4"/>
  <c r="Q102" i="4" s="1"/>
  <c r="L126" i="4"/>
  <c r="S126" i="4" s="1"/>
  <c r="N103" i="4"/>
  <c r="Q103" i="4" s="1"/>
  <c r="L73" i="4"/>
  <c r="S73" i="4" s="1"/>
  <c r="M71" i="4"/>
  <c r="U71" i="4" s="1"/>
  <c r="L114" i="4"/>
  <c r="S114" i="4" s="1"/>
  <c r="O120" i="4"/>
  <c r="P120" i="4" s="1"/>
  <c r="L100" i="4"/>
  <c r="M100" i="4" s="1"/>
  <c r="M120" i="4"/>
  <c r="U120" i="4" s="1"/>
  <c r="L99" i="4"/>
  <c r="L110" i="4"/>
  <c r="L108" i="4"/>
  <c r="S108" i="4" s="1"/>
  <c r="L89" i="4"/>
  <c r="S89" i="4" s="1"/>
  <c r="O91" i="4"/>
  <c r="P91" i="4" s="1"/>
  <c r="O107" i="4"/>
  <c r="P107" i="4" s="1"/>
  <c r="M127" i="4"/>
  <c r="U127" i="4" s="1"/>
  <c r="L85" i="4"/>
  <c r="S85" i="4" s="1"/>
  <c r="O115" i="4"/>
  <c r="P115" i="4" s="1"/>
  <c r="L111" i="4"/>
  <c r="L113" i="4"/>
  <c r="L76" i="4"/>
  <c r="S76" i="4" s="1"/>
  <c r="L121" i="4"/>
  <c r="S121" i="4" s="1"/>
  <c r="O119" i="4"/>
  <c r="P119" i="4" s="1"/>
  <c r="M107" i="4"/>
  <c r="L116" i="4"/>
  <c r="S116" i="4" s="1"/>
  <c r="O75" i="4"/>
  <c r="P75" i="4" s="1"/>
  <c r="O71" i="4"/>
  <c r="P71" i="4" s="1"/>
  <c r="O116" i="4"/>
  <c r="P116" i="4" s="1"/>
  <c r="M119" i="4"/>
  <c r="U119" i="4" s="1"/>
  <c r="M74" i="4"/>
  <c r="U74" i="4" s="1"/>
  <c r="M92" i="4"/>
  <c r="U92" i="4" s="1"/>
  <c r="O93" i="4"/>
  <c r="P93" i="4" s="1"/>
  <c r="M80" i="4"/>
  <c r="U80" i="4" s="1"/>
  <c r="M78" i="4"/>
  <c r="U78" i="4" s="1"/>
  <c r="O78" i="4"/>
  <c r="P78" i="4" s="1"/>
  <c r="O76" i="4"/>
  <c r="P76" i="4" s="1"/>
  <c r="O80" i="4"/>
  <c r="P80" i="4" s="1"/>
  <c r="N78" i="4"/>
  <c r="Q78" i="4" s="1"/>
  <c r="L84" i="4"/>
  <c r="S84" i="4" s="1"/>
  <c r="N89" i="4"/>
  <c r="Q89" i="4" s="1"/>
  <c r="O77" i="4"/>
  <c r="P77" i="4" s="1"/>
  <c r="O95" i="4"/>
  <c r="P95" i="4" s="1"/>
  <c r="O87" i="4"/>
  <c r="P87" i="4" s="1"/>
  <c r="L81" i="4"/>
  <c r="S81" i="4" s="1"/>
  <c r="N74" i="4"/>
  <c r="Q74" i="4" s="1"/>
  <c r="O88" i="4"/>
  <c r="P88" i="4" s="1"/>
  <c r="O74" i="4"/>
  <c r="P74" i="4" s="1"/>
  <c r="O96" i="4"/>
  <c r="P96" i="4" s="1"/>
  <c r="O83" i="4"/>
  <c r="P83" i="4" s="1"/>
  <c r="N92" i="4"/>
  <c r="Q92" i="4" s="1"/>
  <c r="L79" i="4"/>
  <c r="S79" i="4" s="1"/>
  <c r="L75" i="4"/>
  <c r="S75" i="4" s="1"/>
  <c r="O73" i="4"/>
  <c r="P73" i="4" s="1"/>
  <c r="O90" i="4"/>
  <c r="P90" i="4" s="1"/>
  <c r="O85" i="4"/>
  <c r="P85" i="4" s="1"/>
  <c r="M94" i="4"/>
  <c r="U94" i="4" s="1"/>
  <c r="O84" i="4"/>
  <c r="P84" i="4" s="1"/>
  <c r="L90" i="4"/>
  <c r="S90" i="4" s="1"/>
  <c r="L91" i="4"/>
  <c r="S91" i="4" s="1"/>
  <c r="L77" i="4"/>
  <c r="S77" i="4" s="1"/>
  <c r="O89" i="4"/>
  <c r="P89" i="4" s="1"/>
  <c r="O81" i="4"/>
  <c r="P81" i="4" s="1"/>
  <c r="O86" i="4"/>
  <c r="P86" i="4" s="1"/>
  <c r="M96" i="4"/>
  <c r="U96" i="4" s="1"/>
  <c r="O92" i="4"/>
  <c r="P92" i="4" s="1"/>
  <c r="O82" i="4"/>
  <c r="P82" i="4" s="1"/>
  <c r="O72" i="4"/>
  <c r="P72" i="4" s="1"/>
  <c r="L115" i="4"/>
  <c r="S115" i="4" s="1"/>
  <c r="N80" i="4"/>
  <c r="Q80" i="4" s="1"/>
  <c r="M95" i="4"/>
  <c r="U95" i="4" s="1"/>
  <c r="L72" i="4"/>
  <c r="S72" i="4" s="1"/>
  <c r="O94" i="4"/>
  <c r="P94" i="4" s="1"/>
  <c r="O79" i="4"/>
  <c r="P79" i="4" s="1"/>
  <c r="M87" i="4"/>
  <c r="U87" i="4" s="1"/>
  <c r="L82" i="4"/>
  <c r="S82" i="4" s="1"/>
  <c r="L83" i="4"/>
  <c r="S83" i="4" s="1"/>
  <c r="N97" i="4"/>
  <c r="Q97" i="4" s="1"/>
  <c r="N85" i="4"/>
  <c r="Q85" i="4" s="1"/>
  <c r="L93" i="4"/>
  <c r="S93" i="4" s="1"/>
  <c r="L88" i="4"/>
  <c r="S88" i="4" s="1"/>
  <c r="N82" i="4"/>
  <c r="Q82" i="4" s="1"/>
  <c r="N84" i="4"/>
  <c r="Q84" i="4" s="1"/>
  <c r="J14" i="4"/>
  <c r="J13" i="4" s="1"/>
  <c r="K16" i="4" s="1"/>
  <c r="V71" i="4" l="1"/>
  <c r="M86" i="4"/>
  <c r="M73" i="4"/>
  <c r="V119" i="4"/>
  <c r="V127" i="4"/>
  <c r="V123" i="4"/>
  <c r="M110" i="4"/>
  <c r="S110" i="4"/>
  <c r="V104" i="4"/>
  <c r="M99" i="4"/>
  <c r="S99" i="4"/>
  <c r="M109" i="4"/>
  <c r="S109" i="4"/>
  <c r="V122" i="4"/>
  <c r="M85" i="4"/>
  <c r="M117" i="4"/>
  <c r="S117" i="4"/>
  <c r="V105" i="4"/>
  <c r="V94" i="4"/>
  <c r="V112" i="4"/>
  <c r="V96" i="4"/>
  <c r="V125" i="4"/>
  <c r="M118" i="4"/>
  <c r="S118" i="4"/>
  <c r="V87" i="4"/>
  <c r="V74" i="4"/>
  <c r="V95" i="4"/>
  <c r="M89" i="4"/>
  <c r="M113" i="4"/>
  <c r="S113" i="4"/>
  <c r="V120" i="4"/>
  <c r="M106" i="4"/>
  <c r="S106" i="4"/>
  <c r="M101" i="4"/>
  <c r="S101" i="4"/>
  <c r="M111" i="4"/>
  <c r="S111" i="4"/>
  <c r="V124" i="4"/>
  <c r="M126" i="4"/>
  <c r="M121" i="4"/>
  <c r="M91" i="4"/>
  <c r="M116" i="4"/>
  <c r="M108" i="4"/>
  <c r="M114" i="4"/>
  <c r="M76" i="4"/>
  <c r="M115" i="4"/>
  <c r="M90" i="4"/>
  <c r="M83" i="4"/>
  <c r="M82" i="4"/>
  <c r="M93" i="4"/>
  <c r="M77" i="4"/>
  <c r="M75" i="4"/>
  <c r="M88" i="4"/>
  <c r="M79" i="4"/>
  <c r="M72" i="4"/>
  <c r="M84" i="4"/>
  <c r="M81" i="4"/>
  <c r="K14" i="4"/>
  <c r="K13" i="4"/>
  <c r="K15" i="4"/>
  <c r="U111" i="4" l="1"/>
  <c r="V111" i="4"/>
  <c r="U109" i="4"/>
  <c r="V109" i="4"/>
  <c r="U118" i="4"/>
  <c r="V118" i="4"/>
  <c r="U101" i="4"/>
  <c r="V101" i="4"/>
  <c r="U99" i="4"/>
  <c r="V99" i="4"/>
  <c r="U81" i="4"/>
  <c r="V81" i="4"/>
  <c r="U76" i="4"/>
  <c r="V76" i="4"/>
  <c r="U84" i="4"/>
  <c r="V84" i="4"/>
  <c r="U106" i="4"/>
  <c r="V106" i="4"/>
  <c r="U72" i="4"/>
  <c r="V72" i="4"/>
  <c r="U110" i="4"/>
  <c r="V110" i="4"/>
  <c r="U79" i="4"/>
  <c r="V79" i="4"/>
  <c r="U88" i="4"/>
  <c r="V88" i="4"/>
  <c r="U91" i="4"/>
  <c r="V91" i="4"/>
  <c r="U113" i="4"/>
  <c r="V113" i="4"/>
  <c r="U75" i="4"/>
  <c r="V75" i="4"/>
  <c r="U121" i="4"/>
  <c r="V121" i="4"/>
  <c r="U89" i="4"/>
  <c r="V89" i="4"/>
  <c r="U117" i="4"/>
  <c r="V117" i="4"/>
  <c r="U77" i="4"/>
  <c r="V77" i="4"/>
  <c r="U126" i="4"/>
  <c r="V126" i="4"/>
  <c r="U85" i="4"/>
  <c r="V85" i="4"/>
  <c r="U73" i="4"/>
  <c r="V73" i="4"/>
  <c r="U83" i="4"/>
  <c r="V83" i="4"/>
  <c r="U90" i="4"/>
  <c r="V90" i="4"/>
  <c r="U115" i="4"/>
  <c r="V115" i="4"/>
  <c r="U114" i="4"/>
  <c r="V114" i="4"/>
  <c r="U108" i="4"/>
  <c r="V108" i="4"/>
  <c r="U116" i="4"/>
  <c r="V116" i="4"/>
  <c r="U86" i="4"/>
  <c r="V86" i="4"/>
  <c r="U93" i="4"/>
  <c r="V93" i="4"/>
  <c r="U82" i="4"/>
  <c r="V82" i="4"/>
  <c r="I63" i="4"/>
  <c r="N63" i="4" s="1"/>
  <c r="Q63" i="4" s="1"/>
  <c r="I69" i="4"/>
  <c r="N69" i="4" s="1"/>
  <c r="Q69" i="4" s="1"/>
  <c r="I70" i="4"/>
  <c r="N70" i="4" s="1"/>
  <c r="Q70" i="4" s="1"/>
  <c r="I66" i="4"/>
  <c r="N66" i="4" s="1"/>
  <c r="Q66" i="4" s="1"/>
  <c r="I64" i="4"/>
  <c r="N64" i="4" s="1"/>
  <c r="Q64" i="4" s="1"/>
  <c r="I67" i="4"/>
  <c r="N67" i="4" s="1"/>
  <c r="Q67" i="4" s="1"/>
  <c r="I68" i="4"/>
  <c r="N68" i="4" s="1"/>
  <c r="Q68" i="4" s="1"/>
  <c r="I65" i="4"/>
  <c r="N65" i="4" s="1"/>
  <c r="Q65" i="4" s="1"/>
  <c r="J63" i="4"/>
  <c r="K63" i="4" s="1"/>
  <c r="J66" i="4"/>
  <c r="J69" i="4"/>
  <c r="J65" i="4"/>
  <c r="J67" i="4"/>
  <c r="J64" i="4"/>
  <c r="J70" i="4"/>
  <c r="J68" i="4"/>
  <c r="J62" i="4"/>
  <c r="K62" i="4" s="1"/>
  <c r="J60" i="4"/>
  <c r="K60" i="4" s="1"/>
  <c r="J56" i="4"/>
  <c r="K56" i="4" s="1"/>
  <c r="J58" i="4"/>
  <c r="K58" i="4" s="1"/>
  <c r="J55" i="4"/>
  <c r="K55" i="4" s="1"/>
  <c r="J61" i="4"/>
  <c r="K61" i="4" s="1"/>
  <c r="J57" i="4"/>
  <c r="K57" i="4" s="1"/>
  <c r="J59" i="4"/>
  <c r="K59" i="4" s="1"/>
  <c r="I61" i="4"/>
  <c r="I37" i="4"/>
  <c r="I59" i="4"/>
  <c r="I49" i="4"/>
  <c r="I47" i="4"/>
  <c r="I50" i="4"/>
  <c r="I62" i="4"/>
  <c r="I41" i="4"/>
  <c r="I52" i="4"/>
  <c r="I60" i="4"/>
  <c r="I36" i="4"/>
  <c r="I39" i="4"/>
  <c r="I43" i="4"/>
  <c r="I45" i="4"/>
  <c r="I51" i="4"/>
  <c r="I55" i="4"/>
  <c r="I48" i="4"/>
  <c r="I40" i="4"/>
  <c r="I57" i="4"/>
  <c r="I46" i="4"/>
  <c r="I42" i="4"/>
  <c r="I53" i="4"/>
  <c r="I44" i="4"/>
  <c r="I54" i="4"/>
  <c r="I38" i="4"/>
  <c r="I58" i="4"/>
  <c r="I56" i="4"/>
  <c r="I35" i="4"/>
  <c r="I31" i="4"/>
  <c r="I33" i="4"/>
  <c r="I30" i="4"/>
  <c r="I32" i="4"/>
  <c r="I28" i="4"/>
  <c r="I29" i="4"/>
  <c r="I34" i="4"/>
  <c r="T60" i="4" l="1"/>
  <c r="O59" i="4"/>
  <c r="P59" i="4" s="1"/>
  <c r="T59" i="4"/>
  <c r="T57" i="4"/>
  <c r="T61" i="4"/>
  <c r="T58" i="4"/>
  <c r="O56" i="4"/>
  <c r="P56" i="4" s="1"/>
  <c r="T56" i="4"/>
  <c r="T62" i="4"/>
  <c r="O55" i="4"/>
  <c r="P55" i="4" s="1"/>
  <c r="T55" i="4"/>
  <c r="T63" i="4"/>
  <c r="O61" i="4"/>
  <c r="P61" i="4" s="1"/>
  <c r="O62" i="4"/>
  <c r="P62" i="4" s="1"/>
  <c r="O60" i="4"/>
  <c r="P60" i="4" s="1"/>
  <c r="O57" i="4"/>
  <c r="P57" i="4" s="1"/>
  <c r="O58" i="4"/>
  <c r="P58" i="4" s="1"/>
  <c r="L66" i="4"/>
  <c r="S66" i="4" s="1"/>
  <c r="K66" i="4"/>
  <c r="K70" i="4"/>
  <c r="L70" i="4"/>
  <c r="S70" i="4" s="1"/>
  <c r="K64" i="4"/>
  <c r="L64" i="4"/>
  <c r="S64" i="4" s="1"/>
  <c r="O63" i="4"/>
  <c r="P63" i="4" s="1"/>
  <c r="L63" i="4"/>
  <c r="S63" i="4" s="1"/>
  <c r="K68" i="4"/>
  <c r="L68" i="4"/>
  <c r="S68" i="4" s="1"/>
  <c r="L67" i="4"/>
  <c r="S67" i="4" s="1"/>
  <c r="K67" i="4"/>
  <c r="L65" i="4"/>
  <c r="S65" i="4" s="1"/>
  <c r="K65" i="4"/>
  <c r="K69" i="4"/>
  <c r="L69" i="4"/>
  <c r="S69" i="4" s="1"/>
  <c r="N62" i="4"/>
  <c r="Q62" i="4" s="1"/>
  <c r="L62" i="4"/>
  <c r="S62" i="4" s="1"/>
  <c r="N55" i="4"/>
  <c r="Q55" i="4" s="1"/>
  <c r="L55" i="4"/>
  <c r="L56" i="4"/>
  <c r="N56" i="4"/>
  <c r="Q56" i="4" s="1"/>
  <c r="N59" i="4"/>
  <c r="Q59" i="4" s="1"/>
  <c r="L59" i="4"/>
  <c r="N57" i="4"/>
  <c r="Q57" i="4" s="1"/>
  <c r="L57" i="4"/>
  <c r="S57" i="4" s="1"/>
  <c r="L58" i="4"/>
  <c r="S58" i="4" s="1"/>
  <c r="N58" i="4"/>
  <c r="Q58" i="4" s="1"/>
  <c r="N61" i="4"/>
  <c r="Q61" i="4" s="1"/>
  <c r="L61" i="4"/>
  <c r="S61" i="4" s="1"/>
  <c r="L60" i="4"/>
  <c r="S60" i="4" s="1"/>
  <c r="N60" i="4"/>
  <c r="Q60" i="4" s="1"/>
  <c r="T68" i="4" l="1"/>
  <c r="T64" i="4"/>
  <c r="V65" i="4"/>
  <c r="T65" i="4"/>
  <c r="T66" i="4"/>
  <c r="M55" i="4"/>
  <c r="S55" i="4"/>
  <c r="V69" i="4"/>
  <c r="T69" i="4"/>
  <c r="M59" i="4"/>
  <c r="S59" i="4"/>
  <c r="T67" i="4"/>
  <c r="M56" i="4"/>
  <c r="S56" i="4"/>
  <c r="T70" i="4"/>
  <c r="M62" i="4"/>
  <c r="M61" i="4"/>
  <c r="M60" i="4"/>
  <c r="M70" i="4"/>
  <c r="U70" i="4" s="1"/>
  <c r="M63" i="4"/>
  <c r="O69" i="4"/>
  <c r="P69" i="4" s="1"/>
  <c r="O64" i="4"/>
  <c r="P64" i="4" s="1"/>
  <c r="M69" i="4"/>
  <c r="U69" i="4" s="1"/>
  <c r="M58" i="4"/>
  <c r="O65" i="4"/>
  <c r="P65" i="4" s="1"/>
  <c r="M66" i="4"/>
  <c r="U66" i="4" s="1"/>
  <c r="M67" i="4"/>
  <c r="U67" i="4" s="1"/>
  <c r="M68" i="4"/>
  <c r="U68" i="4" s="1"/>
  <c r="M57" i="4"/>
  <c r="O66" i="4"/>
  <c r="P66" i="4" s="1"/>
  <c r="O68" i="4"/>
  <c r="P68" i="4" s="1"/>
  <c r="M64" i="4"/>
  <c r="U64" i="4" s="1"/>
  <c r="M65" i="4"/>
  <c r="U65" i="4" s="1"/>
  <c r="O67" i="4"/>
  <c r="P67" i="4" s="1"/>
  <c r="O70" i="4"/>
  <c r="P70" i="4" s="1"/>
  <c r="U60" i="4" l="1"/>
  <c r="V60" i="4"/>
  <c r="U61" i="4"/>
  <c r="V61" i="4"/>
  <c r="U56" i="4"/>
  <c r="V56" i="4"/>
  <c r="V64" i="4"/>
  <c r="U55" i="4"/>
  <c r="V55" i="4"/>
  <c r="V70" i="4"/>
  <c r="U58" i="4"/>
  <c r="V58" i="4"/>
  <c r="U57" i="4"/>
  <c r="V57" i="4"/>
  <c r="U62" i="4"/>
  <c r="V62" i="4"/>
  <c r="V66" i="4"/>
  <c r="V67" i="4"/>
  <c r="U63" i="4"/>
  <c r="V63" i="4"/>
  <c r="U59" i="4"/>
  <c r="V59" i="4"/>
  <c r="V68" i="4"/>
  <c r="J21" i="4"/>
  <c r="J9" i="4" s="1"/>
  <c r="J22" i="4"/>
  <c r="J10" i="4" s="1"/>
  <c r="J20" i="4"/>
  <c r="N36" i="4" l="1"/>
  <c r="N29" i="4"/>
  <c r="N31" i="4"/>
  <c r="N46" i="4"/>
  <c r="N48" i="4"/>
  <c r="N28" i="4"/>
  <c r="J19" i="4"/>
  <c r="K19" i="4" s="1"/>
  <c r="N32" i="4"/>
  <c r="N45" i="4"/>
  <c r="N37" i="4"/>
  <c r="N44" i="4"/>
  <c r="N49" i="4"/>
  <c r="N53" i="4"/>
  <c r="Q53" i="4" s="1"/>
  <c r="J8" i="4"/>
  <c r="N30" i="4"/>
  <c r="N51" i="4"/>
  <c r="N41" i="4"/>
  <c r="N50" i="4"/>
  <c r="N43" i="4"/>
  <c r="N39" i="4"/>
  <c r="N42" i="4"/>
  <c r="N40" i="4"/>
  <c r="N34" i="4"/>
  <c r="N38" i="4"/>
  <c r="N54" i="4"/>
  <c r="N33" i="4"/>
  <c r="N35" i="4"/>
  <c r="N52" i="4"/>
  <c r="N47" i="4"/>
  <c r="J7" i="4" l="1"/>
  <c r="Q48" i="4" s="1"/>
  <c r="K21" i="4"/>
  <c r="K22" i="4"/>
  <c r="K20" i="4"/>
  <c r="Q50" i="4"/>
  <c r="Q52" i="4"/>
  <c r="J52" i="4"/>
  <c r="J49" i="4"/>
  <c r="J39" i="4"/>
  <c r="J53" i="4"/>
  <c r="J54" i="4"/>
  <c r="J50" i="4"/>
  <c r="J48" i="4"/>
  <c r="J51" i="4"/>
  <c r="Q54" i="4"/>
  <c r="Q51" i="4"/>
  <c r="Q49" i="4"/>
  <c r="J45" i="4" l="1"/>
  <c r="K45" i="4" s="1"/>
  <c r="J30" i="4"/>
  <c r="K30" i="4" s="1"/>
  <c r="J43" i="4"/>
  <c r="L43" i="4" s="1"/>
  <c r="S43" i="4" s="1"/>
  <c r="J31" i="4"/>
  <c r="J44" i="4"/>
  <c r="L44" i="4" s="1"/>
  <c r="S44" i="4" s="1"/>
  <c r="J36" i="4"/>
  <c r="L36" i="4" s="1"/>
  <c r="S36" i="4" s="1"/>
  <c r="J46" i="4"/>
  <c r="K46" i="4" s="1"/>
  <c r="J35" i="4"/>
  <c r="K35" i="4" s="1"/>
  <c r="Q41" i="4"/>
  <c r="Q45" i="4"/>
  <c r="Q31" i="4"/>
  <c r="Q36" i="4"/>
  <c r="Q43" i="4"/>
  <c r="Q42" i="4"/>
  <c r="Q38" i="4"/>
  <c r="Q44" i="4"/>
  <c r="Q39" i="4"/>
  <c r="Q34" i="4"/>
  <c r="Q29" i="4"/>
  <c r="J33" i="4"/>
  <c r="K33" i="4" s="1"/>
  <c r="J47" i="4"/>
  <c r="K47" i="4" s="1"/>
  <c r="Q47" i="4"/>
  <c r="Q46" i="4"/>
  <c r="Q35" i="4"/>
  <c r="J34" i="4"/>
  <c r="L34" i="4" s="1"/>
  <c r="S34" i="4" s="1"/>
  <c r="J41" i="4"/>
  <c r="K41" i="4" s="1"/>
  <c r="J42" i="4"/>
  <c r="L42" i="4" s="1"/>
  <c r="S42" i="4" s="1"/>
  <c r="J32" i="4"/>
  <c r="L32" i="4" s="1"/>
  <c r="S32" i="4" s="1"/>
  <c r="J37" i="4"/>
  <c r="L37" i="4" s="1"/>
  <c r="S37" i="4" s="1"/>
  <c r="J40" i="4"/>
  <c r="L40" i="4" s="1"/>
  <c r="S40" i="4" s="1"/>
  <c r="J38" i="4"/>
  <c r="L38" i="4" s="1"/>
  <c r="S38" i="4" s="1"/>
  <c r="J29" i="4"/>
  <c r="L29" i="4" s="1"/>
  <c r="S29" i="4" s="1"/>
  <c r="Q32" i="4"/>
  <c r="Q30" i="4"/>
  <c r="Q33" i="4"/>
  <c r="Q40" i="4"/>
  <c r="Q37" i="4"/>
  <c r="K9" i="4"/>
  <c r="Q28" i="4"/>
  <c r="K10" i="4"/>
  <c r="K8" i="4"/>
  <c r="K7" i="4"/>
  <c r="J28" i="4"/>
  <c r="K28" i="4" s="1"/>
  <c r="K31" i="4"/>
  <c r="L31" i="4"/>
  <c r="S31" i="4" s="1"/>
  <c r="K52" i="4"/>
  <c r="L52" i="4"/>
  <c r="L54" i="4"/>
  <c r="K54" i="4"/>
  <c r="L51" i="4"/>
  <c r="K51" i="4"/>
  <c r="L53" i="4"/>
  <c r="K53" i="4"/>
  <c r="L48" i="4"/>
  <c r="S48" i="4" s="1"/>
  <c r="K48" i="4"/>
  <c r="L39" i="4"/>
  <c r="S39" i="4" s="1"/>
  <c r="K39" i="4"/>
  <c r="L50" i="4"/>
  <c r="K50" i="4"/>
  <c r="L49" i="4"/>
  <c r="S49" i="4" s="1"/>
  <c r="K49" i="4"/>
  <c r="L30" i="4"/>
  <c r="S30" i="4" s="1"/>
  <c r="O52" i="4" l="1"/>
  <c r="P52" i="4" s="1"/>
  <c r="T52" i="4"/>
  <c r="T48" i="4"/>
  <c r="L47" i="4"/>
  <c r="S47" i="4" s="1"/>
  <c r="T47" i="4"/>
  <c r="T28" i="4"/>
  <c r="M51" i="4"/>
  <c r="U51" i="4" s="1"/>
  <c r="S51" i="4"/>
  <c r="O54" i="4"/>
  <c r="P54" i="4" s="1"/>
  <c r="T54" i="4"/>
  <c r="T39" i="4"/>
  <c r="M52" i="4"/>
  <c r="U52" i="4" s="1"/>
  <c r="S52" i="4"/>
  <c r="O53" i="4"/>
  <c r="P53" i="4" s="1"/>
  <c r="V53" i="4"/>
  <c r="T53" i="4"/>
  <c r="T31" i="4"/>
  <c r="T33" i="4"/>
  <c r="T35" i="4"/>
  <c r="M53" i="4"/>
  <c r="U53" i="4" s="1"/>
  <c r="S53" i="4"/>
  <c r="T46" i="4"/>
  <c r="O51" i="4"/>
  <c r="P51" i="4" s="1"/>
  <c r="T51" i="4"/>
  <c r="V49" i="4"/>
  <c r="T49" i="4"/>
  <c r="M54" i="4"/>
  <c r="U54" i="4" s="1"/>
  <c r="S54" i="4"/>
  <c r="O50" i="4"/>
  <c r="P50" i="4" s="1"/>
  <c r="T50" i="4"/>
  <c r="K43" i="4"/>
  <c r="T41" i="4"/>
  <c r="T30" i="4"/>
  <c r="V30" i="4"/>
  <c r="M50" i="4"/>
  <c r="U50" i="4" s="1"/>
  <c r="S50" i="4"/>
  <c r="T45" i="4"/>
  <c r="O48" i="4"/>
  <c r="P48" i="4" s="1"/>
  <c r="M48" i="4"/>
  <c r="U48" i="4" s="1"/>
  <c r="L45" i="4"/>
  <c r="S45" i="4" s="1"/>
  <c r="M49" i="4"/>
  <c r="U49" i="4" s="1"/>
  <c r="O49" i="4"/>
  <c r="P49" i="4" s="1"/>
  <c r="O35" i="4"/>
  <c r="P35" i="4" s="1"/>
  <c r="M47" i="4"/>
  <c r="U47" i="4" s="1"/>
  <c r="O45" i="4"/>
  <c r="P45" i="4" s="1"/>
  <c r="M31" i="4"/>
  <c r="U31" i="4" s="1"/>
  <c r="O47" i="4"/>
  <c r="P47" i="4" s="1"/>
  <c r="O28" i="4"/>
  <c r="P28" i="4" s="1"/>
  <c r="O46" i="4"/>
  <c r="P46" i="4" s="1"/>
  <c r="L35" i="4"/>
  <c r="S35" i="4" s="1"/>
  <c r="O33" i="4"/>
  <c r="P33" i="4" s="1"/>
  <c r="M44" i="4"/>
  <c r="U44" i="4" s="1"/>
  <c r="M45" i="4"/>
  <c r="U45" i="4" s="1"/>
  <c r="M39" i="4"/>
  <c r="U39" i="4" s="1"/>
  <c r="O41" i="4"/>
  <c r="P41" i="4" s="1"/>
  <c r="O30" i="4"/>
  <c r="P30" i="4" s="1"/>
  <c r="O31" i="4"/>
  <c r="P31" i="4" s="1"/>
  <c r="M43" i="4"/>
  <c r="U43" i="4" s="1"/>
  <c r="O39" i="4"/>
  <c r="P39" i="4" s="1"/>
  <c r="K44" i="4"/>
  <c r="K36" i="4"/>
  <c r="L46" i="4"/>
  <c r="S46" i="4" s="1"/>
  <c r="K37" i="4"/>
  <c r="L41" i="4"/>
  <c r="S41" i="4" s="1"/>
  <c r="K42" i="4"/>
  <c r="K34" i="4"/>
  <c r="L33" i="4"/>
  <c r="S33" i="4" s="1"/>
  <c r="K38" i="4"/>
  <c r="K29" i="4"/>
  <c r="M32" i="4"/>
  <c r="U32" i="4" s="1"/>
  <c r="M40" i="4"/>
  <c r="U40" i="4" s="1"/>
  <c r="M34" i="4"/>
  <c r="U34" i="4" s="1"/>
  <c r="M29" i="4"/>
  <c r="U29" i="4" s="1"/>
  <c r="M37" i="4"/>
  <c r="U37" i="4" s="1"/>
  <c r="M42" i="4"/>
  <c r="U42" i="4" s="1"/>
  <c r="M38" i="4"/>
  <c r="U38" i="4" s="1"/>
  <c r="M30" i="4"/>
  <c r="U30" i="4" s="1"/>
  <c r="M36" i="4"/>
  <c r="U36" i="4" s="1"/>
  <c r="K40" i="4"/>
  <c r="K32" i="4"/>
  <c r="L28" i="4"/>
  <c r="S28" i="4" s="1"/>
  <c r="T34" i="4" l="1"/>
  <c r="V34" i="4"/>
  <c r="V42" i="4"/>
  <c r="T42" i="4"/>
  <c r="V37" i="4"/>
  <c r="T37" i="4"/>
  <c r="V50" i="4"/>
  <c r="V38" i="4"/>
  <c r="T38" i="4"/>
  <c r="V31" i="4"/>
  <c r="V40" i="4"/>
  <c r="T40" i="4"/>
  <c r="V51" i="4"/>
  <c r="V43" i="4"/>
  <c r="T43" i="4"/>
  <c r="V47" i="4"/>
  <c r="V36" i="4"/>
  <c r="T36" i="4"/>
  <c r="V39" i="4"/>
  <c r="V48" i="4"/>
  <c r="V44" i="4"/>
  <c r="T44" i="4"/>
  <c r="V45" i="4"/>
  <c r="V54" i="4"/>
  <c r="V52" i="4"/>
  <c r="V29" i="4"/>
  <c r="T29" i="4"/>
  <c r="V32" i="4"/>
  <c r="T32" i="4"/>
  <c r="O43" i="4"/>
  <c r="P43" i="4" s="1"/>
  <c r="O44" i="4"/>
  <c r="P44" i="4" s="1"/>
  <c r="O29" i="4"/>
  <c r="P29" i="4" s="1"/>
  <c r="O32" i="4"/>
  <c r="P32" i="4" s="1"/>
  <c r="O38" i="4"/>
  <c r="P38" i="4" s="1"/>
  <c r="O40" i="4"/>
  <c r="P40" i="4" s="1"/>
  <c r="M33" i="4"/>
  <c r="M35" i="4"/>
  <c r="O34" i="4"/>
  <c r="P34" i="4" s="1"/>
  <c r="O36" i="4"/>
  <c r="P36" i="4" s="1"/>
  <c r="O42" i="4"/>
  <c r="P42" i="4" s="1"/>
  <c r="O37" i="4"/>
  <c r="P37" i="4" s="1"/>
  <c r="M41" i="4"/>
  <c r="M46" i="4"/>
  <c r="M28" i="4"/>
  <c r="U33" i="4" l="1"/>
  <c r="V33" i="4"/>
  <c r="U28" i="4"/>
  <c r="V28" i="4"/>
  <c r="U46" i="4"/>
  <c r="V46" i="4"/>
  <c r="U41" i="4"/>
  <c r="V41" i="4"/>
  <c r="U35" i="4"/>
  <c r="V35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 Fischer</author>
  </authors>
  <commentList>
    <comment ref="J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(1)</t>
        </r>
      </text>
    </comment>
    <comment ref="J1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(2)</t>
        </r>
      </text>
    </comment>
    <comment ref="D15" authorId="0" shapeId="0" xr:uid="{00000000-0006-0000-0100-000003000000}">
      <text>
        <r>
          <rPr>
            <b/>
            <sz val="10"/>
            <color indexed="81"/>
            <rFont val="Helvetica"/>
            <family val="2"/>
          </rPr>
          <t>Choose between: "OptiMEM"
"DMEM Glutamax" "Phenol-Red Free DMEM"</t>
        </r>
      </text>
    </comment>
    <comment ref="D17" authorId="0" shapeId="0" xr:uid="{00000000-0006-0000-0100-000004000000}">
      <text>
        <r>
          <rPr>
            <b/>
            <sz val="10"/>
            <color indexed="81"/>
            <rFont val="Helvetica"/>
            <family val="2"/>
          </rPr>
          <t>Choose between: 
"FBS"
"d-FBS"
"cs-FBS"</t>
        </r>
      </text>
    </comment>
    <comment ref="J19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(3)</t>
        </r>
      </text>
    </comment>
    <comment ref="D21" authorId="0" shapeId="0" xr:uid="{00000000-0006-0000-0100-000006000000}">
      <text>
        <r>
          <rPr>
            <b/>
            <sz val="10"/>
            <color indexed="81"/>
            <rFont val="Helvetica"/>
            <family val="2"/>
          </rPr>
          <t>Choose between: "HEK293T" 
"HEK293H"
"HepG2"
"HCT116"
"ME-180"</t>
        </r>
      </text>
    </comment>
    <comment ref="D26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(6)</t>
        </r>
      </text>
    </comment>
    <comment ref="E26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(7)</t>
        </r>
      </text>
    </comment>
    <comment ref="I26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(4)</t>
        </r>
      </text>
    </comment>
    <comment ref="J26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(5)</t>
        </r>
      </text>
    </comment>
    <comment ref="K26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(11)</t>
        </r>
      </text>
    </comment>
    <comment ref="L26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(9)</t>
        </r>
      </text>
    </comment>
    <comment ref="M26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(10)</t>
        </r>
      </text>
    </comment>
    <comment ref="N26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(12)</t>
        </r>
      </text>
    </comment>
    <comment ref="O26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(13)</t>
        </r>
      </text>
    </comment>
    <comment ref="P26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(14)</t>
        </r>
      </text>
    </comment>
    <comment ref="Q26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(15)</t>
        </r>
      </text>
    </comment>
  </commentList>
</comments>
</file>

<file path=xl/sharedStrings.xml><?xml version="1.0" encoding="utf-8"?>
<sst xmlns="http://schemas.openxmlformats.org/spreadsheetml/2006/main" count="340" uniqueCount="315">
  <si>
    <t>Assumptions:</t>
  </si>
  <si>
    <t>1. Test chemicals partition between test medium and cells</t>
  </si>
  <si>
    <t>2. Test medium and cells are composed of water, proteins, and lipids</t>
  </si>
  <si>
    <t>User input</t>
  </si>
  <si>
    <t>Characteristics of Test medium</t>
  </si>
  <si>
    <t>Total volume</t>
  </si>
  <si>
    <t>Total water volume</t>
  </si>
  <si>
    <t>Characteristics of cells</t>
  </si>
  <si>
    <t>Total protein volume</t>
  </si>
  <si>
    <t>Total lipid volume</t>
  </si>
  <si>
    <t>Cell line</t>
  </si>
  <si>
    <t>Compound</t>
  </si>
  <si>
    <t>CAS</t>
  </si>
  <si>
    <t>OptiMEM</t>
  </si>
  <si>
    <t>Type of base medium</t>
  </si>
  <si>
    <t>Type of serum</t>
  </si>
  <si>
    <t>FBS</t>
  </si>
  <si>
    <t>cells excluded</t>
  </si>
  <si>
    <t>Cell number at test start</t>
  </si>
  <si>
    <t>Model output</t>
  </si>
  <si>
    <t>System volume</t>
  </si>
  <si>
    <t>Media</t>
  </si>
  <si>
    <t>protein content (mL/L)</t>
  </si>
  <si>
    <t>DMEM Glutamax</t>
  </si>
  <si>
    <t>d-FBS</t>
  </si>
  <si>
    <t>lipid content (mL/L)</t>
  </si>
  <si>
    <r>
      <t>Water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</si>
  <si>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protein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</si>
  <si>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lipid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</si>
  <si>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t>Cells</t>
  </si>
  <si>
    <t>HEK293H</t>
  </si>
  <si>
    <t>HCT116</t>
  </si>
  <si>
    <t>Me-180</t>
  </si>
  <si>
    <t>Medium volume (µL)</t>
  </si>
  <si>
    <t>Fraction of base medium (%)</t>
  </si>
  <si>
    <t>Fraction of serum (%)</t>
  </si>
  <si>
    <t>1. Test system parameters</t>
  </si>
  <si>
    <t>2. Chemical parameters</t>
  </si>
  <si>
    <t>1. System information</t>
  </si>
  <si>
    <t>Information and comments</t>
  </si>
  <si>
    <t>Percentage of medium base in the test medium</t>
  </si>
  <si>
    <t>Percentage of serum in the test medium</t>
  </si>
  <si>
    <t>2. Chemical partitioning</t>
  </si>
  <si>
    <t>Water volume</t>
  </si>
  <si>
    <t>Protein volume</t>
  </si>
  <si>
    <t>Lipid volume</t>
  </si>
  <si>
    <t>MB (%)</t>
  </si>
  <si>
    <r>
      <t>log D</t>
    </r>
    <r>
      <rPr>
        <i/>
        <vertAlign val="subscript"/>
        <sz val="12"/>
        <rFont val="Helvetica"/>
        <family val="2"/>
      </rPr>
      <t>BSA/w</t>
    </r>
    <r>
      <rPr>
        <i/>
        <sz val="12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</si>
  <si>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2"/>
        <rFont val="Helvetica"/>
        <family val="2"/>
      </rPr>
      <t>lip/w</t>
    </r>
    <r>
      <rPr>
        <i/>
        <sz val="12"/>
        <rFont val="Helvetica"/>
        <family val="2"/>
      </rPr>
      <t xml:space="preserve"> [L/L], pH 7.4, 37 °C</t>
    </r>
  </si>
  <si>
    <t>Total Test system</t>
  </si>
  <si>
    <t>Volumes (µL)</t>
  </si>
  <si>
    <t>Test medium</t>
  </si>
  <si>
    <r>
      <t>f</t>
    </r>
    <r>
      <rPr>
        <i/>
        <vertAlign val="subscript"/>
        <sz val="12"/>
        <rFont val="Helvetica"/>
        <family val="2"/>
      </rPr>
      <t xml:space="preserve">cell       </t>
    </r>
    <r>
      <rPr>
        <i/>
        <sz val="12"/>
        <rFont val="Helvetica"/>
        <family val="2"/>
      </rPr>
      <t>(%)</t>
    </r>
  </si>
  <si>
    <r>
      <t>log D</t>
    </r>
    <r>
      <rPr>
        <i/>
        <vertAlign val="subscript"/>
        <sz val="11"/>
        <color theme="1"/>
        <rFont val="Helvetica"/>
        <family val="2"/>
      </rPr>
      <t>medium/w</t>
    </r>
    <r>
      <rPr>
        <i/>
        <sz val="11"/>
        <color theme="1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</si>
  <si>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1"/>
        <color theme="1"/>
        <rFont val="Helvetica"/>
        <family val="2"/>
      </rPr>
      <t>cell/w</t>
    </r>
    <r>
      <rPr>
        <i/>
        <sz val="11"/>
        <color theme="1"/>
        <rFont val="Helvetica"/>
        <family val="2"/>
      </rPr>
      <t xml:space="preserve"> [L/L], pH 7.4, 37 °C</t>
    </r>
  </si>
  <si>
    <t>Cells are solely composed of water, proteins, and lipids</t>
  </si>
  <si>
    <t>Information on media constituents and cells</t>
  </si>
  <si>
    <t>Model setup</t>
  </si>
  <si>
    <t>Equations</t>
  </si>
  <si>
    <r>
      <t>f</t>
    </r>
    <r>
      <rPr>
        <i/>
        <vertAlign val="subscript"/>
        <sz val="12"/>
        <rFont val="Helvetica"/>
        <family val="2"/>
      </rPr>
      <t xml:space="preserve">medium      </t>
    </r>
    <r>
      <rPr>
        <i/>
        <sz val="12"/>
        <rFont val="Helvetica"/>
        <family val="2"/>
      </rPr>
      <t>(%)</t>
    </r>
  </si>
  <si>
    <t>Choose from comment (mouseover) or leave empty of not available</t>
  </si>
  <si>
    <t>Choose from comment (mouseover) or leave empty if not available</t>
  </si>
  <si>
    <r>
      <t>f</t>
    </r>
    <r>
      <rPr>
        <i/>
        <vertAlign val="subscript"/>
        <sz val="12"/>
        <rFont val="Helvetica"/>
        <family val="2"/>
      </rPr>
      <t xml:space="preserve">mem         </t>
    </r>
    <r>
      <rPr>
        <i/>
        <sz val="12"/>
        <rFont val="Helvetica"/>
        <family val="2"/>
      </rPr>
      <t>(%)</t>
    </r>
  </si>
  <si>
    <t>Phenol-Red free DMEM</t>
  </si>
  <si>
    <r>
      <t>(E)C</t>
    </r>
    <r>
      <rPr>
        <i/>
        <vertAlign val="subscript"/>
        <sz val="12"/>
        <rFont val="Helvetica"/>
        <family val="2"/>
      </rPr>
      <t xml:space="preserve">cell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cell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</si>
  <si>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 xml:space="preserve">mem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mem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</si>
  <si>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>nom</t>
    </r>
    <r>
      <rPr>
        <i/>
        <sz val="12"/>
        <rFont val="Helvetica"/>
        <family val="2"/>
      </rPr>
      <t xml:space="preserve"> [mol/L]</t>
    </r>
  </si>
  <si>
    <t>Plated cell number - Disregard cell growth</t>
  </si>
  <si>
    <t>cells &amp; media, MB = Mass Balance</t>
  </si>
  <si>
    <t>MB = Mass Balance</t>
  </si>
  <si>
    <t>mass balance, MB = Mass Balance</t>
  </si>
  <si>
    <t>equals C14, MB = Mass Balance</t>
  </si>
  <si>
    <r>
      <t>(E)C</t>
    </r>
    <r>
      <rPr>
        <i/>
        <vertAlign val="subscript"/>
        <sz val="12"/>
        <rFont val="Helvetica"/>
        <family val="2"/>
      </rPr>
      <t xml:space="preserve">free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w,medium</t>
    </r>
    <r>
      <rPr>
        <i/>
        <sz val="12"/>
        <rFont val="Helvetica"/>
        <family val="2"/>
      </rPr>
      <t>]</t>
    </r>
  </si>
  <si>
    <r>
      <t>f</t>
    </r>
    <r>
      <rPr>
        <i/>
        <vertAlign val="subscript"/>
        <sz val="12"/>
        <rFont val="Helvetica"/>
        <family val="2"/>
      </rPr>
      <t xml:space="preserve">w,medium      </t>
    </r>
    <r>
      <rPr>
        <i/>
        <sz val="12"/>
        <rFont val="Helvetica"/>
        <family val="2"/>
      </rPr>
      <t>(%)</t>
    </r>
  </si>
  <si>
    <t>OptiMEM</t>
    <phoneticPr fontId="17" type="noConversion"/>
  </si>
  <si>
    <t>cs-FBS</t>
    <phoneticPr fontId="17" type="noConversion"/>
  </si>
  <si>
    <t>HEK293T</t>
    <phoneticPr fontId="17" type="noConversion"/>
  </si>
  <si>
    <t>FBS</t>
    <phoneticPr fontId="17" type="noConversion"/>
  </si>
  <si>
    <t>umole</t>
    <phoneticPr fontId="17" type="noConversion"/>
  </si>
  <si>
    <t>umold</t>
    <phoneticPr fontId="17" type="noConversion"/>
  </si>
  <si>
    <t>HepG2</t>
  </si>
  <si>
    <t>Dicofol</t>
  </si>
  <si>
    <t>115-32-2</t>
  </si>
  <si>
    <t>Endosulfan I</t>
  </si>
  <si>
    <t>115-29-7</t>
  </si>
  <si>
    <t>Lindane</t>
  </si>
  <si>
    <t>58-89-9</t>
  </si>
  <si>
    <t>Parathion</t>
  </si>
  <si>
    <t>56-38-2</t>
  </si>
  <si>
    <t>Caffeine</t>
  </si>
  <si>
    <t>58-08-2</t>
  </si>
  <si>
    <t>2,4-Dichlorophenoxyacetic</t>
  </si>
  <si>
    <t>94-75-7</t>
  </si>
  <si>
    <t>(S)-Naproxen</t>
  </si>
  <si>
    <t>22204-53-1</t>
  </si>
  <si>
    <t>Torasemide</t>
  </si>
  <si>
    <t>56211-40-6</t>
  </si>
  <si>
    <t>Warfarin</t>
  </si>
  <si>
    <t>81-81-2</t>
  </si>
  <si>
    <t>Malathion</t>
  </si>
  <si>
    <t>121-75-5</t>
  </si>
  <si>
    <t>Allyl alcohol</t>
  </si>
  <si>
    <t>107-18-6</t>
  </si>
  <si>
    <t>dichloromethane</t>
  </si>
  <si>
    <t>75-09-2</t>
  </si>
  <si>
    <t>2,3-dimethyl-1,3-butadiene</t>
  </si>
  <si>
    <t>513-81-5</t>
  </si>
  <si>
    <t>PBDE 153</t>
  </si>
  <si>
    <t>68631-49-2</t>
  </si>
  <si>
    <t>amiodarone</t>
  </si>
  <si>
    <t>1951-25-3</t>
  </si>
  <si>
    <t>15687-27-1</t>
  </si>
  <si>
    <t>Default</t>
  </si>
  <si>
    <t>Chlorpyrifos</t>
  </si>
  <si>
    <t>2921-88-2</t>
  </si>
  <si>
    <t>2,4-Dinitrophenol</t>
  </si>
  <si>
    <t>51-28-5</t>
  </si>
  <si>
    <t>Aldrin</t>
  </si>
  <si>
    <t>309-00-2</t>
  </si>
  <si>
    <t>Azinphos-methyl</t>
  </si>
  <si>
    <t>86-50-0</t>
  </si>
  <si>
    <t>DDD-p,p'</t>
  </si>
  <si>
    <t>50-29-3</t>
  </si>
  <si>
    <t>DDT-o,p'</t>
  </si>
  <si>
    <t>789-02-6</t>
  </si>
  <si>
    <t>DDT-p,p'</t>
  </si>
  <si>
    <t>72-54-8</t>
  </si>
  <si>
    <t>Diazinon</t>
  </si>
  <si>
    <t>333-41-5</t>
  </si>
  <si>
    <t>Dieldrin</t>
  </si>
  <si>
    <t>60-57-1</t>
  </si>
  <si>
    <t>Disulfoton</t>
  </si>
  <si>
    <t>298-04-4</t>
  </si>
  <si>
    <t>Endrin</t>
  </si>
  <si>
    <t>72-20-8</t>
  </si>
  <si>
    <t>Ethion</t>
  </si>
  <si>
    <t>563-12-2</t>
  </si>
  <si>
    <t>Heptachlor</t>
  </si>
  <si>
    <t>76-44-8</t>
  </si>
  <si>
    <t>Heptachlor epoxide B</t>
  </si>
  <si>
    <t>1024-57-3</t>
  </si>
  <si>
    <t>Methoxychlor-o,p'</t>
  </si>
  <si>
    <t>72-43-5</t>
  </si>
  <si>
    <t>Trifluralin</t>
  </si>
  <si>
    <t>1582-09-8</t>
  </si>
  <si>
    <t>Eugenol F</t>
  </si>
  <si>
    <t>97-53-0</t>
  </si>
  <si>
    <t>Methyl-antranilate</t>
  </si>
  <si>
    <t>134-20-3</t>
  </si>
  <si>
    <t>Lilyfore</t>
  </si>
  <si>
    <t>285977-85-7</t>
  </si>
  <si>
    <t>Damascone beta</t>
  </si>
  <si>
    <t>23726-91-2</t>
  </si>
  <si>
    <t>Veloutone</t>
  </si>
  <si>
    <t>14595-54-1</t>
  </si>
  <si>
    <t>Verdox</t>
  </si>
  <si>
    <t>82356-51-2</t>
  </si>
  <si>
    <t>Nirvanol</t>
  </si>
  <si>
    <t>1506-02-1</t>
  </si>
  <si>
    <t>Cetalox</t>
  </si>
  <si>
    <t>3738-00-9</t>
  </si>
  <si>
    <t>Tonalide</t>
  </si>
  <si>
    <t>21145-77-7</t>
  </si>
  <si>
    <t>Lamotrigine</t>
  </si>
  <si>
    <t>84057-84-1</t>
  </si>
  <si>
    <t>Diclofenac</t>
  </si>
  <si>
    <t>15307-79-6</t>
  </si>
  <si>
    <t>Ibuprofen</t>
  </si>
  <si>
    <t>di-n-butylphthalate</t>
  </si>
  <si>
    <t>84-74-2</t>
  </si>
  <si>
    <t>hexachlorophene</t>
  </si>
  <si>
    <t>70-30-4</t>
  </si>
  <si>
    <t>hexamethylenetetramine</t>
  </si>
  <si>
    <t>100-97-0</t>
  </si>
  <si>
    <t>pentachlorophenol</t>
  </si>
  <si>
    <t>87-86-5</t>
  </si>
  <si>
    <t>2,2,2-trichloroethanol</t>
  </si>
  <si>
    <t>115-20-8</t>
  </si>
  <si>
    <t>diethylphthalate</t>
  </si>
  <si>
    <t>84-66-2</t>
  </si>
  <si>
    <t>4-chlorophenol</t>
  </si>
  <si>
    <t>106-48-9</t>
  </si>
  <si>
    <t>permethrin</t>
  </si>
  <si>
    <t>52645-53-1</t>
  </si>
  <si>
    <t>Aniline</t>
  </si>
  <si>
    <t>62-53-3</t>
  </si>
  <si>
    <t>4-fluoroaniline</t>
  </si>
  <si>
    <t>371-40-4</t>
  </si>
  <si>
    <t>2,4,6-trichlorophenol</t>
  </si>
  <si>
    <t>88-06-2</t>
  </si>
  <si>
    <t>N-methylaniline</t>
  </si>
  <si>
    <t>100-61-8</t>
  </si>
  <si>
    <t>3,4-dichloroaniline</t>
  </si>
  <si>
    <t>95-76-1</t>
  </si>
  <si>
    <t>4-decylaniline</t>
  </si>
  <si>
    <t>37529-30-9</t>
  </si>
  <si>
    <t>naphthalene</t>
  </si>
  <si>
    <t>91-20-3</t>
  </si>
  <si>
    <t>1,2,4-trichlorobenzene</t>
  </si>
  <si>
    <t>120-82-1</t>
  </si>
  <si>
    <t>1,2-dichlorobenzene</t>
  </si>
  <si>
    <t>95-50-1</t>
  </si>
  <si>
    <t>tetrachloroethylene</t>
  </si>
  <si>
    <t>127-18-4</t>
  </si>
  <si>
    <t>cyclosporine A</t>
  </si>
  <si>
    <t>59865-13-3</t>
  </si>
  <si>
    <t>chlorpromazine</t>
  </si>
  <si>
    <t>50-53-3</t>
  </si>
  <si>
    <t>PBDE 47</t>
  </si>
  <si>
    <t>5436-43-1</t>
  </si>
  <si>
    <t>PBDE 99</t>
  </si>
  <si>
    <t>60348-60-9</t>
  </si>
  <si>
    <t>375-73-5</t>
  </si>
  <si>
    <t>757124-72-4</t>
  </si>
  <si>
    <t>375-95-1</t>
  </si>
  <si>
    <t>307-24-4</t>
  </si>
  <si>
    <t>375-22-4</t>
  </si>
  <si>
    <t>335-67-1</t>
  </si>
  <si>
    <t>27619-97-2</t>
  </si>
  <si>
    <t>39108-34-4</t>
  </si>
  <si>
    <t>2058-94-8</t>
  </si>
  <si>
    <t>1763-23-1</t>
  </si>
  <si>
    <t>375-85-9</t>
  </si>
  <si>
    <t>2706-90-3</t>
  </si>
  <si>
    <t>355-46-4</t>
  </si>
  <si>
    <t>335-76-2</t>
  </si>
  <si>
    <t>Azathioprine</t>
  </si>
  <si>
    <t>446-86-6</t>
  </si>
  <si>
    <t>Benzocaine</t>
  </si>
  <si>
    <t>94-09-7</t>
  </si>
  <si>
    <t>Butylated hydroxyanisole</t>
  </si>
  <si>
    <t>25013-16-5</t>
  </si>
  <si>
    <t>Cetirizine dihydrochloride</t>
  </si>
  <si>
    <t>83881-52-1</t>
  </si>
  <si>
    <t>Cyclamate</t>
  </si>
  <si>
    <t>139-05-9</t>
  </si>
  <si>
    <t>Cyclophosphamide</t>
  </si>
  <si>
    <t>6055-19-2</t>
  </si>
  <si>
    <t>Cypermethrin</t>
  </si>
  <si>
    <t>67375-30-8</t>
  </si>
  <si>
    <t>DEET</t>
  </si>
  <si>
    <t>134-62-3</t>
  </si>
  <si>
    <t>Dexamethasone</t>
  </si>
  <si>
    <t>50-02-2</t>
  </si>
  <si>
    <t>Digoxin</t>
  </si>
  <si>
    <t>20830-75-5</t>
  </si>
  <si>
    <t>Fenazaquin</t>
  </si>
  <si>
    <t>120928-09-8</t>
  </si>
  <si>
    <t>Fenbuconazole</t>
  </si>
  <si>
    <t>114369-43-6</t>
  </si>
  <si>
    <t>Fluazinam</t>
  </si>
  <si>
    <t>79622-59-6</t>
  </si>
  <si>
    <t>Furosemide</t>
  </si>
  <si>
    <t>54-31-9</t>
  </si>
  <si>
    <t>Glybenclamide</t>
  </si>
  <si>
    <t>10238-21-8</t>
  </si>
  <si>
    <t>HC Red 3</t>
  </si>
  <si>
    <t>2871-01-4</t>
  </si>
  <si>
    <t>Hydralazine hydrochloride</t>
  </si>
  <si>
    <t>304-20-1</t>
  </si>
  <si>
    <t>Ketoconazole</t>
  </si>
  <si>
    <t>65277-42-1</t>
  </si>
  <si>
    <t>Metformin</t>
  </si>
  <si>
    <t>1115-70-4</t>
  </si>
  <si>
    <t>Metoclopramide</t>
  </si>
  <si>
    <t>364-62-5</t>
  </si>
  <si>
    <t>Nitrofurantoin</t>
  </si>
  <si>
    <t>67-20-9</t>
  </si>
  <si>
    <t>Oxytetracycline hydrochloride</t>
  </si>
  <si>
    <t>2058-46-0</t>
  </si>
  <si>
    <t>Panthenol</t>
  </si>
  <si>
    <t xml:space="preserve">16485-10-2 </t>
  </si>
  <si>
    <t>Paracetamol</t>
  </si>
  <si>
    <t>103-90-2</t>
  </si>
  <si>
    <t>Topiramate</t>
  </si>
  <si>
    <t>97240-79-4</t>
  </si>
  <si>
    <t>Trimellitic anhydride</t>
  </si>
  <si>
    <t>552-30-7</t>
  </si>
  <si>
    <t>Verapamil hydrochloride</t>
  </si>
  <si>
    <t>152-11-4</t>
  </si>
  <si>
    <t>129-06-6</t>
  </si>
  <si>
    <t>Cisapride</t>
  </si>
  <si>
    <t>81098-60-4</t>
  </si>
  <si>
    <t>Citalopram hydrobromide</t>
  </si>
  <si>
    <t>59729-33-8</t>
  </si>
  <si>
    <t>Dofetilide</t>
  </si>
  <si>
    <t>115256-11-6</t>
  </si>
  <si>
    <t>Moxifloxacin hydrochloride</t>
  </si>
  <si>
    <t>186826-86-8</t>
  </si>
  <si>
    <t>N-acetylpro-cainamide</t>
  </si>
  <si>
    <t>32795-44-1</t>
  </si>
  <si>
    <t>Quinidine sulfate</t>
  </si>
  <si>
    <t>50-54-4</t>
  </si>
  <si>
    <t>Sematilide</t>
  </si>
  <si>
    <t>101526-83-4</t>
  </si>
  <si>
    <t>Sotalol hydrochloride</t>
  </si>
  <si>
    <t>959-24-0</t>
  </si>
  <si>
    <t>Mifepristone</t>
  </si>
  <si>
    <t>84371-65-3</t>
  </si>
  <si>
    <t>Perfluorobutanesulfonic_acid</t>
  </si>
  <si>
    <t>4_2_Fluorotelomer_sulfonic_acid</t>
  </si>
  <si>
    <t>˂1</t>
  </si>
  <si>
    <t>Perfluorononanoic_acid</t>
  </si>
  <si>
    <t>Perfluorohexanoic_acid</t>
  </si>
  <si>
    <t>Perfluorobutanoic_acid</t>
  </si>
  <si>
    <t>Perfluorooctanoic_acid</t>
  </si>
  <si>
    <t>6_2_Fluorotelomer_sulfonic_acid</t>
  </si>
  <si>
    <t>8_2_Fluorotelomer_sulfonic_acid</t>
  </si>
  <si>
    <t>Perfluoroundecanoic_acid</t>
  </si>
  <si>
    <t>Perfluorooctanesulfonic_acid</t>
  </si>
  <si>
    <t>Perfluoroheptanoic_acid</t>
  </si>
  <si>
    <t>Perfluoropentanoic_acid</t>
  </si>
  <si>
    <t>N/A</t>
  </si>
  <si>
    <t>Perfluorohexanesulfonic_acid</t>
  </si>
  <si>
    <t>Perfluorodecanoic_acid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</si>
</sst>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00"/>
    <numFmt numFmtId="177" formatCode="0.000000000"/>
    <numFmt numFmtId="178" formatCode="0.0%"/>
    <numFmt numFmtId="179" formatCode="0.00_);[Red]\(0.00\)"/>
    <numFmt numFmtId="180" formatCode="0.00000_);[Red]\(0.00000\)"/>
    <numFmt numFmtId="181" formatCode="0.000000_);[Red]\(0.000000\)"/>
    <numFmt numFmtId="182" formatCode="0.0E+00"/>
  </numFmts>
  <fonts count="22" x14ac:knownFonts="1">
    <font>
      <sz val="11"/>
      <color theme="1"/>
      <name val="新細明體"/>
      <family val="2"/>
      <scheme val="minor"/>
    </font>
    <font>
      <sz val="11"/>
      <color theme="1"/>
      <name val="Helvetica"/>
      <family val="2"/>
    </font>
    <font>
      <b/>
      <sz val="11"/>
      <color theme="1"/>
      <name val="Helvetica"/>
      <family val="2"/>
    </font>
    <font>
      <b/>
      <sz val="12"/>
      <color theme="1"/>
      <name val="Helvetica"/>
      <family val="2"/>
    </font>
    <font>
      <sz val="11"/>
      <name val="Helvetica"/>
      <family val="2"/>
    </font>
    <font>
      <b/>
      <sz val="20"/>
      <color theme="1"/>
      <name val="Helvetica"/>
      <family val="2"/>
    </font>
    <font>
      <b/>
      <sz val="10"/>
      <color indexed="81"/>
      <name val="Helvetica"/>
      <family val="2"/>
    </font>
    <font>
      <b/>
      <sz val="11"/>
      <name val="Helvetica"/>
      <family val="2"/>
    </font>
    <font>
      <b/>
      <vertAlign val="superscript"/>
      <sz val="11"/>
      <color theme="1"/>
      <name val="Helvetica"/>
      <family val="2"/>
    </font>
    <font>
      <b/>
      <sz val="14"/>
      <color theme="1"/>
      <name val="Helvetica"/>
      <family val="2"/>
    </font>
    <font>
      <i/>
      <sz val="12"/>
      <name val="Helvetica"/>
      <family val="2"/>
    </font>
    <font>
      <i/>
      <vertAlign val="subscript"/>
      <sz val="12"/>
      <name val="Helvetica"/>
      <family val="2"/>
    </font>
    <font>
      <i/>
      <sz val="11"/>
      <color theme="1"/>
      <name val="Helvetica"/>
      <family val="2"/>
    </font>
    <font>
      <i/>
      <vertAlign val="subscript"/>
      <sz val="11"/>
      <color theme="1"/>
      <name val="Helvetica"/>
      <family val="2"/>
    </font>
    <font>
      <b/>
      <u/>
      <sz val="14"/>
      <color theme="1"/>
      <name val="Helvetic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0"/>
      <color theme="1"/>
      <name val="Arial"/>
      <family val="2"/>
    </font>
    <font>
      <sz val="11"/>
      <color theme="1"/>
      <name val="Helvetica"/>
    </font>
    <font>
      <sz val="12"/>
      <color theme="0" tint="-0.34998626667073579"/>
      <name val="Helvetica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8E4BC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8" fillId="0" borderId="0"/>
  </cellStyleXfs>
  <cellXfs count="185">
    <xf numFmtId="0" fontId="0" fillId="0" borderId="0" xfId="0"/>
    <xf numFmtId="0" fontId="1" fillId="3" borderId="2" xfId="0" applyFont="1" applyFill="1" applyBorder="1"/>
    <xf numFmtId="0" fontId="1" fillId="3" borderId="3" xfId="0" applyFont="1" applyFill="1" applyBorder="1"/>
    <xf numFmtId="0" fontId="1" fillId="3" borderId="5" xfId="0" applyFont="1" applyFill="1" applyBorder="1"/>
    <xf numFmtId="0" fontId="1" fillId="0" borderId="7" xfId="0" applyFont="1" applyBorder="1"/>
    <xf numFmtId="0" fontId="1" fillId="0" borderId="7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0" fillId="3" borderId="0" xfId="0" applyFill="1"/>
    <xf numFmtId="0" fontId="3" fillId="3" borderId="0" xfId="0" applyFont="1" applyFill="1" applyAlignment="1">
      <alignment vertical="center"/>
    </xf>
    <xf numFmtId="11" fontId="0" fillId="3" borderId="0" xfId="0" applyNumberFormat="1" applyFill="1"/>
    <xf numFmtId="177" fontId="0" fillId="3" borderId="0" xfId="0" applyNumberFormat="1" applyFill="1"/>
    <xf numFmtId="0" fontId="0" fillId="3" borderId="13" xfId="0" applyFill="1" applyBorder="1"/>
    <xf numFmtId="0" fontId="0" fillId="3" borderId="4" xfId="0" applyFill="1" applyBorder="1"/>
    <xf numFmtId="0" fontId="1" fillId="3" borderId="0" xfId="0" applyFont="1" applyFill="1"/>
    <xf numFmtId="0" fontId="0" fillId="3" borderId="14" xfId="0" applyFill="1" applyBorder="1"/>
    <xf numFmtId="0" fontId="0" fillId="3" borderId="6" xfId="0" applyFill="1" applyBorder="1"/>
    <xf numFmtId="0" fontId="9" fillId="3" borderId="13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0" fillId="3" borderId="13" xfId="0" applyFill="1" applyBorder="1" applyAlignment="1">
      <alignment wrapText="1"/>
    </xf>
    <xf numFmtId="0" fontId="0" fillId="3" borderId="0" xfId="0" applyFill="1" applyAlignment="1">
      <alignment wrapText="1"/>
    </xf>
    <xf numFmtId="0" fontId="0" fillId="3" borderId="5" xfId="0" applyFill="1" applyBorder="1"/>
    <xf numFmtId="0" fontId="1" fillId="3" borderId="13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14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 wrapText="1"/>
    </xf>
    <xf numFmtId="0" fontId="1" fillId="3" borderId="5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 wrapText="1"/>
    </xf>
    <xf numFmtId="0" fontId="1" fillId="3" borderId="6" xfId="0" applyFont="1" applyFill="1" applyBorder="1" applyAlignment="1">
      <alignment horizontal="left"/>
    </xf>
    <xf numFmtId="0" fontId="1" fillId="3" borderId="7" xfId="0" applyFont="1" applyFill="1" applyBorder="1"/>
    <xf numFmtId="0" fontId="1" fillId="3" borderId="7" xfId="0" applyFont="1" applyFill="1" applyBorder="1" applyAlignment="1">
      <alignment horizontal="center"/>
    </xf>
    <xf numFmtId="2" fontId="1" fillId="3" borderId="7" xfId="0" applyNumberFormat="1" applyFont="1" applyFill="1" applyBorder="1" applyAlignment="1">
      <alignment horizontal="center"/>
    </xf>
    <xf numFmtId="0" fontId="2" fillId="6" borderId="7" xfId="0" applyFont="1" applyFill="1" applyBorder="1" applyAlignment="1">
      <alignment horizontal="left" vertical="center"/>
    </xf>
    <xf numFmtId="0" fontId="2" fillId="6" borderId="7" xfId="0" applyFont="1" applyFill="1" applyBorder="1" applyAlignment="1">
      <alignment horizontal="center" wrapText="1"/>
    </xf>
    <xf numFmtId="0" fontId="2" fillId="6" borderId="7" xfId="0" applyFont="1" applyFill="1" applyBorder="1" applyAlignment="1">
      <alignment vertical="center"/>
    </xf>
    <xf numFmtId="176" fontId="1" fillId="2" borderId="7" xfId="0" applyNumberFormat="1" applyFont="1" applyFill="1" applyBorder="1" applyAlignment="1" applyProtection="1">
      <alignment horizontal="center" vertical="center"/>
      <protection hidden="1"/>
    </xf>
    <xf numFmtId="9" fontId="1" fillId="2" borderId="7" xfId="0" applyNumberFormat="1" applyFont="1" applyFill="1" applyBorder="1" applyAlignment="1" applyProtection="1">
      <alignment horizontal="center"/>
      <protection hidden="1"/>
    </xf>
    <xf numFmtId="10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 vertical="center"/>
      <protection hidden="1"/>
    </xf>
    <xf numFmtId="176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/>
      <protection hidden="1"/>
    </xf>
    <xf numFmtId="176" fontId="1" fillId="4" borderId="7" xfId="0" applyNumberFormat="1" applyFont="1" applyFill="1" applyBorder="1" applyAlignment="1" applyProtection="1">
      <alignment horizontal="center"/>
      <protection locked="0"/>
    </xf>
    <xf numFmtId="178" fontId="1" fillId="4" borderId="7" xfId="0" applyNumberFormat="1" applyFont="1" applyFill="1" applyBorder="1" applyAlignment="1" applyProtection="1">
      <alignment horizontal="center"/>
      <protection locked="0"/>
    </xf>
    <xf numFmtId="1" fontId="1" fillId="4" borderId="23" xfId="0" applyNumberFormat="1" applyFont="1" applyFill="1" applyBorder="1" applyAlignment="1" applyProtection="1">
      <alignment horizontal="center"/>
      <protection locked="0"/>
    </xf>
    <xf numFmtId="0" fontId="4" fillId="4" borderId="7" xfId="0" applyFont="1" applyFill="1" applyBorder="1" applyAlignment="1" applyProtection="1">
      <alignment horizontal="left" vertical="center"/>
      <protection locked="0"/>
    </xf>
    <xf numFmtId="2" fontId="4" fillId="4" borderId="7" xfId="0" applyNumberFormat="1" applyFont="1" applyFill="1" applyBorder="1" applyAlignment="1" applyProtection="1">
      <alignment horizontal="center" vertical="center"/>
      <protection locked="0"/>
    </xf>
    <xf numFmtId="0" fontId="0" fillId="3" borderId="0" xfId="0" applyFill="1" applyProtection="1">
      <protection locked="0"/>
    </xf>
    <xf numFmtId="0" fontId="2" fillId="0" borderId="7" xfId="0" applyFont="1" applyBorder="1" applyAlignment="1" applyProtection="1">
      <alignment horizontal="center" vertical="center"/>
      <protection hidden="1"/>
    </xf>
    <xf numFmtId="0" fontId="1" fillId="0" borderId="7" xfId="0" applyFont="1" applyBorder="1" applyProtection="1">
      <protection hidden="1"/>
    </xf>
    <xf numFmtId="0" fontId="1" fillId="0" borderId="7" xfId="0" applyFont="1" applyBorder="1" applyAlignment="1" applyProtection="1">
      <alignment horizontal="left" vertical="center"/>
      <protection hidden="1"/>
    </xf>
    <xf numFmtId="0" fontId="1" fillId="0" borderId="27" xfId="0" applyFont="1" applyBorder="1" applyAlignment="1" applyProtection="1">
      <alignment horizontal="left" vertical="center"/>
      <protection hidden="1"/>
    </xf>
    <xf numFmtId="11" fontId="1" fillId="2" borderId="27" xfId="0" applyNumberFormat="1" applyFont="1" applyFill="1" applyBorder="1" applyAlignment="1" applyProtection="1">
      <alignment horizontal="center"/>
      <protection hidden="1"/>
    </xf>
    <xf numFmtId="2" fontId="4" fillId="2" borderId="7" xfId="0" applyNumberFormat="1" applyFont="1" applyFill="1" applyBorder="1" applyAlignment="1" applyProtection="1">
      <alignment horizontal="center" vertical="center"/>
      <protection hidden="1"/>
    </xf>
    <xf numFmtId="10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1" fillId="3" borderId="7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2" fontId="1" fillId="3" borderId="0" xfId="0" applyNumberFormat="1" applyFont="1" applyFill="1" applyAlignment="1">
      <alignment horizontal="center"/>
    </xf>
    <xf numFmtId="11" fontId="1" fillId="3" borderId="0" xfId="0" applyNumberFormat="1" applyFont="1" applyFill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2" xfId="0" applyBorder="1"/>
    <xf numFmtId="0" fontId="0" fillId="0" borderId="5" xfId="0" applyBorder="1"/>
    <xf numFmtId="11" fontId="1" fillId="3" borderId="2" xfId="0" applyNumberFormat="1" applyFont="1" applyFill="1" applyBorder="1" applyAlignment="1">
      <alignment horizontal="center"/>
    </xf>
    <xf numFmtId="11" fontId="1" fillId="3" borderId="5" xfId="0" applyNumberFormat="1" applyFont="1" applyFill="1" applyBorder="1" applyAlignment="1">
      <alignment horizontal="center"/>
    </xf>
    <xf numFmtId="0" fontId="0" fillId="3" borderId="25" xfId="0" applyFill="1" applyBorder="1"/>
    <xf numFmtId="0" fontId="2" fillId="3" borderId="24" xfId="0" applyFont="1" applyFill="1" applyBorder="1" applyAlignment="1">
      <alignment vertical="center"/>
    </xf>
    <xf numFmtId="0" fontId="2" fillId="3" borderId="24" xfId="0" applyFont="1" applyFill="1" applyBorder="1" applyAlignment="1">
      <alignment horizontal="center" wrapText="1"/>
    </xf>
    <xf numFmtId="0" fontId="0" fillId="3" borderId="26" xfId="0" applyFill="1" applyBorder="1"/>
    <xf numFmtId="0" fontId="1" fillId="3" borderId="2" xfId="0" applyFont="1" applyFill="1" applyBorder="1" applyAlignment="1">
      <alignment horizontal="center"/>
    </xf>
    <xf numFmtId="2" fontId="1" fillId="3" borderId="2" xfId="0" applyNumberFormat="1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2" fontId="1" fillId="3" borderId="5" xfId="0" applyNumberFormat="1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wrapText="1"/>
    </xf>
    <xf numFmtId="11" fontId="1" fillId="7" borderId="7" xfId="0" applyNumberFormat="1" applyFont="1" applyFill="1" applyBorder="1" applyAlignment="1">
      <alignment horizontal="center"/>
    </xf>
    <xf numFmtId="0" fontId="1" fillId="7" borderId="7" xfId="0" applyFont="1" applyFill="1" applyBorder="1"/>
    <xf numFmtId="0" fontId="1" fillId="7" borderId="7" xfId="0" applyFont="1" applyFill="1" applyBorder="1" applyAlignment="1">
      <alignment horizontal="center"/>
    </xf>
    <xf numFmtId="2" fontId="1" fillId="7" borderId="7" xfId="0" applyNumberFormat="1" applyFont="1" applyFill="1" applyBorder="1" applyAlignment="1">
      <alignment horizontal="center"/>
    </xf>
    <xf numFmtId="179" fontId="0" fillId="3" borderId="0" xfId="0" applyNumberFormat="1" applyFill="1"/>
    <xf numFmtId="180" fontId="0" fillId="3" borderId="0" xfId="0" applyNumberFormat="1" applyFill="1"/>
    <xf numFmtId="181" fontId="0" fillId="3" borderId="0" xfId="0" applyNumberFormat="1" applyFill="1"/>
    <xf numFmtId="0" fontId="4" fillId="8" borderId="7" xfId="0" applyFont="1" applyFill="1" applyBorder="1" applyAlignment="1" applyProtection="1">
      <alignment horizontal="left" vertical="center"/>
      <protection locked="0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2" fontId="4" fillId="8" borderId="7" xfId="0" applyNumberFormat="1" applyFont="1" applyFill="1" applyBorder="1" applyAlignment="1" applyProtection="1">
      <alignment horizontal="center" vertical="center"/>
      <protection locked="0"/>
    </xf>
    <xf numFmtId="2" fontId="1" fillId="8" borderId="7" xfId="0" applyNumberFormat="1" applyFont="1" applyFill="1" applyBorder="1" applyAlignment="1" applyProtection="1">
      <alignment horizontal="center" vertical="center"/>
      <protection locked="0"/>
    </xf>
    <xf numFmtId="2" fontId="1" fillId="2" borderId="7" xfId="0" applyNumberFormat="1" applyFont="1" applyFill="1" applyBorder="1" applyAlignment="1" applyProtection="1">
      <alignment horizontal="center" vertical="center"/>
      <protection hidden="1"/>
    </xf>
    <xf numFmtId="10" fontId="1" fillId="2" borderId="7" xfId="0" applyNumberFormat="1" applyFont="1" applyFill="1" applyBorder="1" applyAlignment="1" applyProtection="1">
      <alignment horizontal="center" vertical="center"/>
      <protection hidden="1"/>
    </xf>
    <xf numFmtId="0" fontId="1" fillId="4" borderId="7" xfId="0" applyFont="1" applyFill="1" applyBorder="1" applyAlignment="1" applyProtection="1">
      <alignment horizontal="left" vertical="center"/>
      <protection locked="0"/>
    </xf>
    <xf numFmtId="2" fontId="1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4" borderId="7" xfId="0" applyNumberFormat="1" applyFont="1" applyFill="1" applyBorder="1" applyAlignment="1" applyProtection="1">
      <alignment horizontal="center" vertical="center"/>
      <protection locked="0"/>
    </xf>
    <xf numFmtId="182" fontId="19" fillId="0" borderId="0" xfId="0" applyNumberFormat="1" applyFont="1" applyAlignment="1">
      <alignment horizontal="center"/>
    </xf>
    <xf numFmtId="11" fontId="0" fillId="3" borderId="14" xfId="0" applyNumberFormat="1" applyFill="1" applyBorder="1"/>
    <xf numFmtId="0" fontId="0" fillId="5" borderId="0" xfId="0" applyFill="1"/>
    <xf numFmtId="181" fontId="0" fillId="0" borderId="0" xfId="0" applyNumberFormat="1"/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/>
    </xf>
    <xf numFmtId="0" fontId="14" fillId="3" borderId="2" xfId="0" applyFont="1" applyFill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5" fillId="2" borderId="1" xfId="0" applyFont="1" applyFill="1" applyBorder="1" applyAlignment="1" applyProtection="1">
      <alignment horizontal="center" vertical="center"/>
      <protection hidden="1"/>
    </xf>
    <xf numFmtId="0" fontId="5" fillId="2" borderId="2" xfId="0" applyFont="1" applyFill="1" applyBorder="1" applyAlignment="1" applyProtection="1">
      <alignment horizontal="center" vertical="center"/>
      <protection hidden="1"/>
    </xf>
    <xf numFmtId="0" fontId="5" fillId="2" borderId="3" xfId="0" applyFont="1" applyFill="1" applyBorder="1" applyAlignment="1" applyProtection="1">
      <alignment horizontal="center" vertical="center"/>
      <protection hidden="1"/>
    </xf>
    <xf numFmtId="0" fontId="5" fillId="2" borderId="13" xfId="0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Alignment="1" applyProtection="1">
      <alignment horizontal="center" vertical="center"/>
      <protection hidden="1"/>
    </xf>
    <xf numFmtId="0" fontId="5" fillId="2" borderId="14" xfId="0" applyFont="1" applyFill="1" applyBorder="1" applyAlignment="1" applyProtection="1">
      <alignment horizontal="center" vertical="center"/>
      <protection hidden="1"/>
    </xf>
    <xf numFmtId="0" fontId="5" fillId="2" borderId="4" xfId="0" applyFont="1" applyFill="1" applyBorder="1" applyAlignment="1" applyProtection="1">
      <alignment horizontal="center" vertical="center"/>
      <protection hidden="1"/>
    </xf>
    <xf numFmtId="0" fontId="5" fillId="2" borderId="5" xfId="0" applyFont="1" applyFill="1" applyBorder="1" applyAlignment="1" applyProtection="1">
      <alignment horizontal="center" vertical="center"/>
      <protection hidden="1"/>
    </xf>
    <xf numFmtId="0" fontId="5" fillId="2" borderId="6" xfId="0" applyFont="1" applyFill="1" applyBorder="1" applyAlignment="1" applyProtection="1">
      <alignment horizontal="center" vertical="center"/>
      <protection hidden="1"/>
    </xf>
    <xf numFmtId="0" fontId="9" fillId="0" borderId="15" xfId="0" applyFont="1" applyBorder="1" applyAlignment="1" applyProtection="1">
      <alignment horizontal="center" vertical="center"/>
      <protection hidden="1"/>
    </xf>
    <xf numFmtId="0" fontId="9" fillId="0" borderId="16" xfId="0" applyFont="1" applyBorder="1" applyAlignment="1" applyProtection="1">
      <alignment horizontal="center" vertical="center"/>
      <protection hidden="1"/>
    </xf>
    <xf numFmtId="0" fontId="9" fillId="0" borderId="17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wrapText="1"/>
    </xf>
    <xf numFmtId="0" fontId="10" fillId="0" borderId="12" xfId="0" applyFont="1" applyBorder="1" applyAlignment="1">
      <alignment horizont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4" fillId="0" borderId="8" xfId="0" applyFont="1" applyBorder="1" applyAlignment="1" applyProtection="1">
      <alignment horizontal="center"/>
      <protection hidden="1"/>
    </xf>
    <xf numFmtId="0" fontId="4" fillId="0" borderId="10" xfId="0" applyFont="1" applyBorder="1" applyAlignment="1" applyProtection="1">
      <alignment horizontal="center"/>
      <protection hidden="1"/>
    </xf>
    <xf numFmtId="0" fontId="4" fillId="0" borderId="9" xfId="0" applyFont="1" applyBorder="1" applyAlignment="1" applyProtection="1">
      <alignment horizontal="center"/>
      <protection hidden="1"/>
    </xf>
    <xf numFmtId="0" fontId="1" fillId="0" borderId="8" xfId="0" applyFont="1" applyBorder="1" applyAlignment="1" applyProtection="1">
      <alignment horizontal="center"/>
      <protection hidden="1"/>
    </xf>
    <xf numFmtId="0" fontId="1" fillId="0" borderId="10" xfId="0" applyFont="1" applyBorder="1" applyAlignment="1" applyProtection="1">
      <alignment horizontal="center"/>
      <protection hidden="1"/>
    </xf>
    <xf numFmtId="0" fontId="1" fillId="0" borderId="9" xfId="0" applyFont="1" applyBorder="1" applyAlignment="1" applyProtection="1">
      <alignment horizontal="center"/>
      <protection hidden="1"/>
    </xf>
    <xf numFmtId="0" fontId="7" fillId="0" borderId="8" xfId="0" applyFont="1" applyBorder="1" applyAlignment="1" applyProtection="1">
      <alignment horizontal="center" vertical="center"/>
      <protection hidden="1"/>
    </xf>
    <xf numFmtId="0" fontId="7" fillId="0" borderId="10" xfId="0" applyFont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0" fillId="0" borderId="0" xfId="0" applyAlignment="1">
      <alignment horizontal="center"/>
    </xf>
    <xf numFmtId="0" fontId="10" fillId="0" borderId="27" xfId="0" applyFont="1" applyBorder="1" applyAlignment="1" applyProtection="1">
      <alignment horizontal="center" vertical="center" wrapText="1"/>
      <protection hidden="1"/>
    </xf>
    <xf numFmtId="0" fontId="10" fillId="0" borderId="12" xfId="0" applyFont="1" applyBorder="1" applyAlignment="1" applyProtection="1">
      <alignment horizontal="center" vertical="center" wrapText="1"/>
      <protection hidden="1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9" fillId="0" borderId="21" xfId="0" applyFont="1" applyBorder="1" applyAlignment="1" applyProtection="1">
      <alignment horizontal="center" vertical="center"/>
      <protection hidden="1"/>
    </xf>
    <xf numFmtId="0" fontId="9" fillId="0" borderId="2" xfId="0" applyFont="1" applyBorder="1" applyAlignment="1" applyProtection="1">
      <alignment horizontal="center" vertical="center"/>
      <protection hidden="1"/>
    </xf>
    <xf numFmtId="0" fontId="9" fillId="0" borderId="22" xfId="0" applyFont="1" applyBorder="1" applyAlignment="1" applyProtection="1">
      <alignment horizontal="center" vertical="center"/>
      <protection hidden="1"/>
    </xf>
    <xf numFmtId="0" fontId="9" fillId="0" borderId="18" xfId="0" applyFont="1" applyBorder="1" applyAlignment="1" applyProtection="1">
      <alignment horizontal="center" vertical="center"/>
      <protection hidden="1"/>
    </xf>
    <xf numFmtId="0" fontId="9" fillId="0" borderId="19" xfId="0" applyFont="1" applyBorder="1" applyAlignment="1" applyProtection="1">
      <alignment horizontal="center" vertical="center"/>
      <protection hidden="1"/>
    </xf>
    <xf numFmtId="0" fontId="9" fillId="0" borderId="20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 applyProtection="1">
      <alignment horizontal="center" vertical="center"/>
      <protection hidden="1"/>
    </xf>
    <xf numFmtId="0" fontId="1" fillId="5" borderId="24" xfId="0" applyFont="1" applyFill="1" applyBorder="1" applyAlignment="1" applyProtection="1">
      <alignment horizontal="center" vertical="center"/>
      <protection hidden="1"/>
    </xf>
    <xf numFmtId="0" fontId="1" fillId="5" borderId="26" xfId="0" applyFont="1" applyFill="1" applyBorder="1" applyAlignment="1" applyProtection="1">
      <alignment horizontal="center" vertical="center"/>
      <protection hidden="1"/>
    </xf>
    <xf numFmtId="2" fontId="12" fillId="0" borderId="27" xfId="0" applyNumberFormat="1" applyFont="1" applyBorder="1" applyAlignment="1" applyProtection="1">
      <alignment horizontal="center" vertical="center" wrapText="1"/>
      <protection hidden="1"/>
    </xf>
    <xf numFmtId="2" fontId="12" fillId="0" borderId="12" xfId="0" applyNumberFormat="1" applyFont="1" applyBorder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/>
      <protection hidden="1"/>
    </xf>
  </cellXfs>
  <cellStyles count="2">
    <cellStyle name="一般" xfId="0" builtinId="0"/>
    <cellStyle name="一般 2" xfId="1" xr:uid="{EAD913AB-B22E-45C0-B24F-41FAA7E034FC}"/>
  </cellStyles>
  <dxfs count="0"/>
  <tableStyles count="0" defaultTableStyle="TableStyleMedium2" defaultPivotStyle="PivotStyleLight16"/>
  <colors>
    <mruColors>
      <color rgb="FFD8E4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tiff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781229</xdr:colOff>
      <xdr:row>4</xdr:row>
      <xdr:rowOff>29633</xdr:rowOff>
    </xdr:from>
    <xdr:to>
      <xdr:col>7</xdr:col>
      <xdr:colOff>247646</xdr:colOff>
      <xdr:row>23</xdr:row>
      <xdr:rowOff>180312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88146" y="844550"/>
          <a:ext cx="4176000" cy="42840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190500</xdr:colOff>
          <xdr:row>4</xdr:row>
          <xdr:rowOff>133350</xdr:rowOff>
        </xdr:from>
        <xdr:to>
          <xdr:col>21</xdr:col>
          <xdr:colOff>104775</xdr:colOff>
          <xdr:row>5</xdr:row>
          <xdr:rowOff>304800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552450</xdr:colOff>
          <xdr:row>6</xdr:row>
          <xdr:rowOff>9525</xdr:rowOff>
        </xdr:from>
        <xdr:to>
          <xdr:col>21</xdr:col>
          <xdr:colOff>1304925</xdr:colOff>
          <xdr:row>7</xdr:row>
          <xdr:rowOff>180975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409575</xdr:colOff>
          <xdr:row>8</xdr:row>
          <xdr:rowOff>38100</xdr:rowOff>
        </xdr:from>
        <xdr:to>
          <xdr:col>21</xdr:col>
          <xdr:colOff>762000</xdr:colOff>
          <xdr:row>10</xdr:row>
          <xdr:rowOff>9525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0</xdr:colOff>
          <xdr:row>10</xdr:row>
          <xdr:rowOff>123825</xdr:rowOff>
        </xdr:from>
        <xdr:to>
          <xdr:col>21</xdr:col>
          <xdr:colOff>1933575</xdr:colOff>
          <xdr:row>12</xdr:row>
          <xdr:rowOff>66675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333375</xdr:colOff>
          <xdr:row>13</xdr:row>
          <xdr:rowOff>57150</xdr:rowOff>
        </xdr:from>
        <xdr:to>
          <xdr:col>21</xdr:col>
          <xdr:colOff>1695450</xdr:colOff>
          <xdr:row>13</xdr:row>
          <xdr:rowOff>381000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447675</xdr:colOff>
          <xdr:row>14</xdr:row>
          <xdr:rowOff>57150</xdr:rowOff>
        </xdr:from>
        <xdr:to>
          <xdr:col>21</xdr:col>
          <xdr:colOff>1543050</xdr:colOff>
          <xdr:row>15</xdr:row>
          <xdr:rowOff>152400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542925</xdr:colOff>
          <xdr:row>16</xdr:row>
          <xdr:rowOff>161925</xdr:rowOff>
        </xdr:from>
        <xdr:to>
          <xdr:col>21</xdr:col>
          <xdr:colOff>1476375</xdr:colOff>
          <xdr:row>18</xdr:row>
          <xdr:rowOff>104775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695325</xdr:colOff>
          <xdr:row>19</xdr:row>
          <xdr:rowOff>9525</xdr:rowOff>
        </xdr:from>
        <xdr:to>
          <xdr:col>21</xdr:col>
          <xdr:colOff>485775</xdr:colOff>
          <xdr:row>21</xdr:row>
          <xdr:rowOff>180975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752475</xdr:colOff>
          <xdr:row>22</xdr:row>
          <xdr:rowOff>9525</xdr:rowOff>
        </xdr:from>
        <xdr:to>
          <xdr:col>21</xdr:col>
          <xdr:colOff>542925</xdr:colOff>
          <xdr:row>24</xdr:row>
          <xdr:rowOff>190500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400050</xdr:colOff>
          <xdr:row>25</xdr:row>
          <xdr:rowOff>47625</xdr:rowOff>
        </xdr:from>
        <xdr:to>
          <xdr:col>20</xdr:col>
          <xdr:colOff>742950</xdr:colOff>
          <xdr:row>26</xdr:row>
          <xdr:rowOff>152400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323850</xdr:colOff>
          <xdr:row>27</xdr:row>
          <xdr:rowOff>114300</xdr:rowOff>
        </xdr:from>
        <xdr:to>
          <xdr:col>21</xdr:col>
          <xdr:colOff>1962150</xdr:colOff>
          <xdr:row>30</xdr:row>
          <xdr:rowOff>123825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180975</xdr:colOff>
          <xdr:row>31</xdr:row>
          <xdr:rowOff>123825</xdr:rowOff>
        </xdr:from>
        <xdr:to>
          <xdr:col>21</xdr:col>
          <xdr:colOff>1762125</xdr:colOff>
          <xdr:row>34</xdr:row>
          <xdr:rowOff>171450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666750</xdr:colOff>
          <xdr:row>35</xdr:row>
          <xdr:rowOff>76200</xdr:rowOff>
        </xdr:from>
        <xdr:to>
          <xdr:col>21</xdr:col>
          <xdr:colOff>685800</xdr:colOff>
          <xdr:row>38</xdr:row>
          <xdr:rowOff>133350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676275</xdr:colOff>
          <xdr:row>42</xdr:row>
          <xdr:rowOff>76200</xdr:rowOff>
        </xdr:from>
        <xdr:to>
          <xdr:col>21</xdr:col>
          <xdr:colOff>704850</xdr:colOff>
          <xdr:row>45</xdr:row>
          <xdr:rowOff>133350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457200</xdr:colOff>
          <xdr:row>39</xdr:row>
          <xdr:rowOff>133350</xdr:rowOff>
        </xdr:from>
        <xdr:to>
          <xdr:col>21</xdr:col>
          <xdr:colOff>209550</xdr:colOff>
          <xdr:row>41</xdr:row>
          <xdr:rowOff>57150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26" Type="http://schemas.openxmlformats.org/officeDocument/2006/relationships/oleObject" Target="../embeddings/oleObject12.bin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33" Type="http://schemas.openxmlformats.org/officeDocument/2006/relationships/image" Target="../media/image15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20" Type="http://schemas.openxmlformats.org/officeDocument/2006/relationships/oleObject" Target="../embeddings/oleObject9.bin"/><Relationship Id="rId29" Type="http://schemas.openxmlformats.org/officeDocument/2006/relationships/image" Target="../media/image13.emf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24" Type="http://schemas.openxmlformats.org/officeDocument/2006/relationships/oleObject" Target="../embeddings/oleObject11.bin"/><Relationship Id="rId32" Type="http://schemas.openxmlformats.org/officeDocument/2006/relationships/oleObject" Target="../embeddings/oleObject15.bin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oleObject" Target="../embeddings/oleObject13.bin"/><Relationship Id="rId10" Type="http://schemas.openxmlformats.org/officeDocument/2006/relationships/oleObject" Target="../embeddings/oleObject4.bin"/><Relationship Id="rId19" Type="http://schemas.openxmlformats.org/officeDocument/2006/relationships/image" Target="../media/image8.emf"/><Relationship Id="rId31" Type="http://schemas.openxmlformats.org/officeDocument/2006/relationships/image" Target="../media/image14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Relationship Id="rId22" Type="http://schemas.openxmlformats.org/officeDocument/2006/relationships/oleObject" Target="../embeddings/oleObject10.bin"/><Relationship Id="rId27" Type="http://schemas.openxmlformats.org/officeDocument/2006/relationships/image" Target="../media/image12.emf"/><Relationship Id="rId30" Type="http://schemas.openxmlformats.org/officeDocument/2006/relationships/oleObject" Target="../embeddings/oleObject14.bin"/><Relationship Id="rId8" Type="http://schemas.openxmlformats.org/officeDocument/2006/relationships/oleObject" Target="../embeddings/oleObject3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97"/>
  <sheetViews>
    <sheetView topLeftCell="G1" zoomScale="90" zoomScaleNormal="90" workbookViewId="0">
      <selection activeCell="L17" sqref="L17:N17"/>
    </sheetView>
  </sheetViews>
  <sheetFormatPr defaultColWidth="10.85546875" defaultRowHeight="15" x14ac:dyDescent="0.45"/>
  <cols>
    <col min="1" max="1" width="4.5703125" customWidth="1"/>
    <col min="2" max="2" width="13.42578125" customWidth="1"/>
    <col min="9" max="9" width="4.7109375" customWidth="1"/>
    <col min="11" max="11" width="21.5703125" bestFit="1" customWidth="1"/>
    <col min="12" max="12" width="17.42578125" customWidth="1"/>
    <col min="13" max="13" width="16.140625" customWidth="1"/>
    <col min="14" max="14" width="16.5703125" customWidth="1"/>
    <col min="16" max="16" width="4.85546875" customWidth="1"/>
    <col min="22" max="22" width="29.5703125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7.649999999999999" x14ac:dyDescent="0.5">
      <c r="A2" s="7"/>
      <c r="B2" s="110" t="s">
        <v>57</v>
      </c>
      <c r="C2" s="111"/>
      <c r="D2" s="111"/>
      <c r="E2" s="111"/>
      <c r="F2" s="111"/>
      <c r="G2" s="111"/>
      <c r="H2" s="112"/>
      <c r="I2" s="7"/>
      <c r="J2" s="101" t="s">
        <v>56</v>
      </c>
      <c r="K2" s="102"/>
      <c r="L2" s="102"/>
      <c r="M2" s="102"/>
      <c r="N2" s="102"/>
      <c r="O2" s="103"/>
      <c r="P2" s="7"/>
      <c r="Q2" s="101" t="s">
        <v>58</v>
      </c>
      <c r="R2" s="102"/>
      <c r="S2" s="102"/>
      <c r="T2" s="102"/>
      <c r="U2" s="102"/>
      <c r="V2" s="103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x14ac:dyDescent="0.45">
      <c r="A3" s="7"/>
      <c r="B3" s="24" t="s">
        <v>0</v>
      </c>
      <c r="C3" s="25" t="s">
        <v>1</v>
      </c>
      <c r="D3" s="25"/>
      <c r="E3" s="25"/>
      <c r="F3" s="25"/>
      <c r="G3" s="25"/>
      <c r="H3" s="26"/>
      <c r="I3" s="7"/>
      <c r="J3" s="104"/>
      <c r="K3" s="105"/>
      <c r="L3" s="105"/>
      <c r="M3" s="105"/>
      <c r="N3" s="105"/>
      <c r="O3" s="106"/>
      <c r="P3" s="7"/>
      <c r="Q3" s="104"/>
      <c r="R3" s="105"/>
      <c r="S3" s="105"/>
      <c r="T3" s="105"/>
      <c r="U3" s="105"/>
      <c r="V3" s="106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27"/>
      <c r="C4" s="28" t="s">
        <v>2</v>
      </c>
      <c r="D4" s="29"/>
      <c r="E4" s="29"/>
      <c r="F4" s="29"/>
      <c r="G4" s="28"/>
      <c r="H4" s="30"/>
      <c r="I4" s="7"/>
      <c r="J4" s="107"/>
      <c r="K4" s="108"/>
      <c r="L4" s="108"/>
      <c r="M4" s="108"/>
      <c r="N4" s="108"/>
      <c r="O4" s="109"/>
      <c r="P4" s="7"/>
      <c r="Q4" s="107"/>
      <c r="R4" s="108"/>
      <c r="S4" s="108"/>
      <c r="T4" s="108"/>
      <c r="U4" s="108"/>
      <c r="V4" s="109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15" customHeight="1" x14ac:dyDescent="0.45">
      <c r="A5" s="7"/>
      <c r="B5" s="19"/>
      <c r="C5" s="1"/>
      <c r="D5" s="20"/>
      <c r="E5" s="20"/>
      <c r="F5" s="20"/>
      <c r="G5" s="1"/>
      <c r="H5" s="2"/>
      <c r="I5" s="7"/>
      <c r="J5" s="16"/>
      <c r="K5" s="17"/>
      <c r="L5" s="17"/>
      <c r="M5" s="17"/>
      <c r="N5" s="17"/>
      <c r="O5" s="18"/>
      <c r="P5" s="7"/>
      <c r="Q5" s="58"/>
      <c r="R5" s="59"/>
      <c r="S5" s="59"/>
      <c r="T5" s="59"/>
      <c r="U5" s="59"/>
      <c r="V5" s="60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31.5" customHeight="1" thickBot="1" x14ac:dyDescent="0.5">
      <c r="A6" s="7"/>
      <c r="B6" s="21"/>
      <c r="C6" s="22"/>
      <c r="D6" s="22"/>
      <c r="E6" s="22"/>
      <c r="F6" s="22"/>
      <c r="G6" s="7"/>
      <c r="H6" s="14"/>
      <c r="I6" s="7"/>
      <c r="J6" s="11"/>
      <c r="K6" s="34" t="s">
        <v>21</v>
      </c>
      <c r="L6" s="35" t="s">
        <v>22</v>
      </c>
      <c r="M6" s="35" t="s">
        <v>25</v>
      </c>
      <c r="N6" s="13"/>
      <c r="O6" s="14"/>
      <c r="P6" s="7"/>
      <c r="Q6" s="12"/>
      <c r="R6" s="68"/>
      <c r="S6" s="79"/>
      <c r="T6" s="79"/>
      <c r="U6" s="3"/>
      <c r="V6" s="15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45">
      <c r="A7" s="7"/>
      <c r="B7" s="11"/>
      <c r="C7" s="7"/>
      <c r="D7" s="7"/>
      <c r="E7" s="7"/>
      <c r="F7" s="7"/>
      <c r="G7" s="7"/>
      <c r="H7" s="14"/>
      <c r="I7" s="7"/>
      <c r="J7" s="11"/>
      <c r="K7" s="81" t="s">
        <v>74</v>
      </c>
      <c r="L7" s="82">
        <v>0</v>
      </c>
      <c r="M7" s="83">
        <v>0</v>
      </c>
      <c r="N7" s="13"/>
      <c r="O7" s="14"/>
      <c r="P7" s="7"/>
      <c r="Q7" s="11"/>
      <c r="R7" s="13"/>
      <c r="S7" s="61"/>
      <c r="T7" s="62"/>
      <c r="U7" s="13"/>
      <c r="V7" s="14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.4" thickBot="1" x14ac:dyDescent="0.5">
      <c r="A8" s="7"/>
      <c r="B8" s="11"/>
      <c r="C8" s="7"/>
      <c r="D8" s="7"/>
      <c r="E8" s="7"/>
      <c r="F8" s="7"/>
      <c r="G8" s="7"/>
      <c r="H8" s="14"/>
      <c r="I8" s="7"/>
      <c r="J8" s="11"/>
      <c r="K8" s="31" t="s">
        <v>23</v>
      </c>
      <c r="L8" s="32">
        <v>0</v>
      </c>
      <c r="M8" s="33">
        <v>0</v>
      </c>
      <c r="N8" s="13"/>
      <c r="O8" s="14"/>
      <c r="P8" s="7"/>
      <c r="Q8" s="12"/>
      <c r="R8" s="3"/>
      <c r="S8" s="77"/>
      <c r="T8" s="78"/>
      <c r="U8" s="3"/>
      <c r="V8" s="15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x14ac:dyDescent="0.45">
      <c r="A9" s="7"/>
      <c r="B9" s="11"/>
      <c r="C9" s="7"/>
      <c r="D9" s="7"/>
      <c r="E9" s="7"/>
      <c r="F9" s="7"/>
      <c r="G9" s="7"/>
      <c r="H9" s="14"/>
      <c r="I9" s="7"/>
      <c r="J9" s="11"/>
      <c r="K9" s="31" t="s">
        <v>63</v>
      </c>
      <c r="L9" s="32">
        <v>0</v>
      </c>
      <c r="M9" s="33">
        <v>0</v>
      </c>
      <c r="N9" s="13"/>
      <c r="O9" s="14"/>
      <c r="P9" s="7"/>
      <c r="Q9" s="64"/>
      <c r="R9" s="1"/>
      <c r="S9" s="75"/>
      <c r="T9" s="76"/>
      <c r="U9" s="1"/>
      <c r="V9" s="66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.4" thickBot="1" x14ac:dyDescent="0.5">
      <c r="A10" s="7"/>
      <c r="B10" s="11"/>
      <c r="C10" s="7"/>
      <c r="D10" s="7"/>
      <c r="E10" s="7"/>
      <c r="F10" s="7"/>
      <c r="G10" s="7"/>
      <c r="H10" s="14"/>
      <c r="I10" s="7"/>
      <c r="J10" s="11"/>
      <c r="K10" s="81" t="s">
        <v>16</v>
      </c>
      <c r="L10" s="82">
        <v>24</v>
      </c>
      <c r="M10" s="82">
        <v>1.9</v>
      </c>
      <c r="N10" s="13"/>
      <c r="O10" s="14"/>
      <c r="P10" s="7"/>
      <c r="Q10" s="12"/>
      <c r="R10" s="3"/>
      <c r="S10" s="77"/>
      <c r="T10" s="68"/>
      <c r="U10" s="3"/>
      <c r="V10" s="15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x14ac:dyDescent="0.45">
      <c r="A11" s="7"/>
      <c r="B11" s="11"/>
      <c r="C11" s="7"/>
      <c r="D11" s="7"/>
      <c r="E11" s="7"/>
      <c r="F11" s="7"/>
      <c r="G11" s="7"/>
      <c r="H11" s="14"/>
      <c r="I11" s="7"/>
      <c r="J11" s="11"/>
      <c r="K11" s="31" t="s">
        <v>75</v>
      </c>
      <c r="L11" s="32">
        <v>46.77</v>
      </c>
      <c r="M11" s="32">
        <v>1.6</v>
      </c>
      <c r="N11" s="13"/>
      <c r="O11" s="14"/>
      <c r="P11" s="7"/>
      <c r="Q11" s="64"/>
      <c r="R11" s="1"/>
      <c r="S11" s="75"/>
      <c r="T11" s="75"/>
      <c r="U11" s="1"/>
      <c r="V11" s="66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x14ac:dyDescent="0.45">
      <c r="A12" s="7"/>
      <c r="B12" s="11"/>
      <c r="C12" s="7"/>
      <c r="D12" s="7"/>
      <c r="E12" s="7"/>
      <c r="F12" s="7"/>
      <c r="G12" s="7"/>
      <c r="H12" s="14"/>
      <c r="I12" s="7"/>
      <c r="J12" s="11"/>
      <c r="K12" s="31" t="s">
        <v>24</v>
      </c>
      <c r="L12" s="32">
        <v>37.69</v>
      </c>
      <c r="M12" s="32">
        <v>1.46</v>
      </c>
      <c r="N12" s="13"/>
      <c r="O12" s="14"/>
      <c r="P12" s="7"/>
      <c r="Q12" s="11"/>
      <c r="R12" s="13"/>
      <c r="S12" s="61"/>
      <c r="T12" s="61"/>
      <c r="U12" s="13"/>
      <c r="V12" s="14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.4" thickBot="1" x14ac:dyDescent="0.5">
      <c r="A13" s="7"/>
      <c r="B13" s="11"/>
      <c r="C13" s="7"/>
      <c r="D13" s="7"/>
      <c r="E13" s="7"/>
      <c r="F13" s="7"/>
      <c r="G13" s="7"/>
      <c r="H13" s="14"/>
      <c r="I13" s="7"/>
      <c r="J13" s="11"/>
      <c r="K13" s="13"/>
      <c r="L13" s="13"/>
      <c r="M13" s="13"/>
      <c r="N13" s="13"/>
      <c r="O13" s="14"/>
      <c r="P13" s="7"/>
      <c r="Q13" s="12"/>
      <c r="R13" s="3"/>
      <c r="S13" s="3"/>
      <c r="T13" s="3"/>
      <c r="U13" s="3"/>
      <c r="V13" s="15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33" customHeight="1" thickBot="1" x14ac:dyDescent="0.5">
      <c r="A14" s="7"/>
      <c r="B14" s="11"/>
      <c r="C14" s="7"/>
      <c r="D14" s="7"/>
      <c r="E14" s="7"/>
      <c r="F14" s="7"/>
      <c r="G14" s="7"/>
      <c r="H14" s="14"/>
      <c r="I14" s="7"/>
      <c r="J14" s="11"/>
      <c r="K14" s="36" t="s">
        <v>29</v>
      </c>
      <c r="L14" s="35" t="s">
        <v>26</v>
      </c>
      <c r="M14" s="35" t="s">
        <v>27</v>
      </c>
      <c r="N14" s="35" t="s">
        <v>28</v>
      </c>
      <c r="O14" s="14"/>
      <c r="P14" s="7"/>
      <c r="Q14" s="71"/>
      <c r="R14" s="72"/>
      <c r="S14" s="73"/>
      <c r="T14" s="73"/>
      <c r="U14" s="73"/>
      <c r="V14" s="74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x14ac:dyDescent="0.45">
      <c r="A15" s="7"/>
      <c r="B15" s="11"/>
      <c r="C15" s="7"/>
      <c r="D15" s="7"/>
      <c r="E15" s="7"/>
      <c r="F15" s="7"/>
      <c r="G15" s="7"/>
      <c r="H15" s="14"/>
      <c r="I15" s="7"/>
      <c r="J15" s="11"/>
      <c r="K15" s="31" t="s">
        <v>76</v>
      </c>
      <c r="L15" s="57">
        <f>M15/0.029*(0.018)</f>
        <v>4.619905956112852E-5</v>
      </c>
      <c r="M15" s="57">
        <v>7.4431818181818174E-5</v>
      </c>
      <c r="N15" s="57">
        <f>M15/0.029*(0.953)</f>
        <v>2.4459835423197487E-3</v>
      </c>
      <c r="O15" s="98">
        <f>SUM(L15:N15)</f>
        <v>2.5666144200626952E-3</v>
      </c>
      <c r="P15" s="9"/>
      <c r="Q15" s="64"/>
      <c r="R15" s="1"/>
      <c r="S15" s="69"/>
      <c r="T15" s="69"/>
      <c r="U15" s="69"/>
      <c r="V15" s="66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.4" thickBot="1" x14ac:dyDescent="0.5">
      <c r="A16" s="7"/>
      <c r="B16" s="11"/>
      <c r="C16" s="7"/>
      <c r="D16" s="7"/>
      <c r="E16" s="7"/>
      <c r="F16" s="7"/>
      <c r="G16" s="7"/>
      <c r="H16" s="14"/>
      <c r="I16" s="7"/>
      <c r="J16" s="11"/>
      <c r="K16" s="31" t="s">
        <v>30</v>
      </c>
      <c r="L16" s="57">
        <v>2.5484800000000001E-3</v>
      </c>
      <c r="M16" s="57">
        <v>2.2915000000000001E-4</v>
      </c>
      <c r="N16" s="57">
        <v>9.6669999999999994E-5</v>
      </c>
      <c r="O16" s="98"/>
      <c r="P16" s="9"/>
      <c r="Q16" s="12"/>
      <c r="R16" s="3"/>
      <c r="S16" s="70"/>
      <c r="T16" s="70"/>
      <c r="U16" s="70"/>
      <c r="V16" s="15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x14ac:dyDescent="0.45">
      <c r="A17" s="7"/>
      <c r="B17" s="11"/>
      <c r="C17" s="7"/>
      <c r="D17" s="7"/>
      <c r="E17" s="7"/>
      <c r="F17" s="7"/>
      <c r="G17" s="7"/>
      <c r="H17" s="14"/>
      <c r="I17" s="7"/>
      <c r="J17" s="99" t="s">
        <v>112</v>
      </c>
      <c r="K17" s="31" t="s">
        <v>80</v>
      </c>
      <c r="L17" s="80">
        <v>4.3499999999999997E-3</v>
      </c>
      <c r="M17" s="80">
        <v>5.0000000000000001E-4</v>
      </c>
      <c r="N17" s="80">
        <v>1.4999999999999999E-4</v>
      </c>
      <c r="O17" s="98"/>
      <c r="P17" s="9"/>
      <c r="Q17" s="64"/>
      <c r="R17" s="1"/>
      <c r="S17" s="69"/>
      <c r="T17" s="69"/>
      <c r="U17" s="69"/>
      <c r="V17" s="66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x14ac:dyDescent="0.45">
      <c r="A18" s="7"/>
      <c r="B18" s="11"/>
      <c r="C18" s="7"/>
      <c r="D18" s="7"/>
      <c r="E18" s="7"/>
      <c r="F18" s="7"/>
      <c r="G18" s="7"/>
      <c r="H18" s="14"/>
      <c r="I18" s="7"/>
      <c r="J18" s="11"/>
      <c r="K18" s="31" t="s">
        <v>31</v>
      </c>
      <c r="L18" s="57">
        <v>2.2457100000000002E-3</v>
      </c>
      <c r="M18" s="57">
        <v>3.0027E-4</v>
      </c>
      <c r="N18" s="57">
        <v>6.6229999999999994E-5</v>
      </c>
      <c r="O18" s="98"/>
      <c r="P18" s="9"/>
      <c r="Q18" s="11"/>
      <c r="R18" s="13"/>
      <c r="S18" s="63"/>
      <c r="T18" s="63"/>
      <c r="U18" s="63"/>
      <c r="V18" s="14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.4" thickBot="1" x14ac:dyDescent="0.5">
      <c r="A19" s="7"/>
      <c r="B19" s="11"/>
      <c r="C19" s="7"/>
      <c r="D19" s="7"/>
      <c r="E19" s="7"/>
      <c r="F19" s="7"/>
      <c r="G19" s="7"/>
      <c r="H19" s="14"/>
      <c r="I19" s="7"/>
      <c r="J19" s="11"/>
      <c r="K19" s="31" t="s">
        <v>32</v>
      </c>
      <c r="L19" s="57">
        <v>3.2730300000000001E-3</v>
      </c>
      <c r="M19" s="57">
        <v>3.9889999999999999E-4</v>
      </c>
      <c r="N19" s="57">
        <v>1.0728E-4</v>
      </c>
      <c r="O19" s="98"/>
      <c r="P19" s="9"/>
      <c r="Q19" s="12"/>
      <c r="R19" s="3"/>
      <c r="S19" s="70"/>
      <c r="T19" s="70"/>
      <c r="U19" s="70"/>
      <c r="V19" s="15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.4" thickBot="1" x14ac:dyDescent="0.5">
      <c r="A20" s="7"/>
      <c r="B20" s="11"/>
      <c r="C20" s="7"/>
      <c r="D20" s="7"/>
      <c r="E20" s="7"/>
      <c r="F20" s="7"/>
      <c r="G20" s="7"/>
      <c r="H20" s="14"/>
      <c r="I20" s="7"/>
      <c r="J20" s="12"/>
      <c r="K20" s="3"/>
      <c r="L20" s="3"/>
      <c r="M20" s="3"/>
      <c r="N20" s="3"/>
      <c r="O20" s="15"/>
      <c r="P20" s="7"/>
      <c r="Q20" s="64"/>
      <c r="R20" s="1"/>
      <c r="S20" s="1"/>
      <c r="T20" s="1"/>
      <c r="U20" s="1"/>
      <c r="V20" s="66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x14ac:dyDescent="0.45">
      <c r="A21" s="7"/>
      <c r="B21" s="11"/>
      <c r="C21" s="7"/>
      <c r="D21" s="7"/>
      <c r="E21" s="7"/>
      <c r="F21" s="7"/>
      <c r="G21" s="7"/>
      <c r="H21" s="14"/>
      <c r="I21" s="7"/>
      <c r="J21" s="7"/>
      <c r="K21" s="7"/>
      <c r="L21" s="7"/>
      <c r="M21" s="7"/>
      <c r="N21" s="7"/>
      <c r="O21" s="7"/>
      <c r="P21" s="7"/>
      <c r="Q21" s="11"/>
      <c r="R21" s="7"/>
      <c r="S21" s="7"/>
      <c r="T21" s="7"/>
      <c r="U21" s="7"/>
      <c r="V21" s="14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.4" thickBot="1" x14ac:dyDescent="0.5">
      <c r="A22" s="7"/>
      <c r="B22" s="11"/>
      <c r="C22" s="7"/>
      <c r="D22" s="7"/>
      <c r="E22" s="7"/>
      <c r="F22" s="7"/>
      <c r="G22" s="7"/>
      <c r="H22" s="14"/>
      <c r="I22" s="7"/>
      <c r="J22" s="7"/>
      <c r="K22" s="7"/>
      <c r="M22" s="7"/>
      <c r="N22" s="7"/>
      <c r="O22" s="7"/>
      <c r="P22" s="7"/>
      <c r="Q22" s="12"/>
      <c r="R22" s="23"/>
      <c r="S22" s="23"/>
      <c r="T22" s="23"/>
      <c r="U22" s="23"/>
      <c r="V22" s="15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x14ac:dyDescent="0.45">
      <c r="A23" s="7"/>
      <c r="B23" s="11"/>
      <c r="C23" s="7"/>
      <c r="D23" s="7"/>
      <c r="E23" s="7"/>
      <c r="F23" s="7"/>
      <c r="G23" s="7"/>
      <c r="H23" s="14"/>
      <c r="I23" s="7"/>
      <c r="J23" s="7"/>
      <c r="K23" s="7"/>
      <c r="L23" s="7"/>
      <c r="N23" s="7"/>
      <c r="O23" s="84"/>
      <c r="P23" s="7"/>
      <c r="Q23" s="64"/>
      <c r="R23" s="65"/>
      <c r="S23" s="65"/>
      <c r="T23" s="65"/>
      <c r="U23" s="65"/>
      <c r="V23" s="66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.4" thickBot="1" x14ac:dyDescent="0.5">
      <c r="A24" s="7"/>
      <c r="B24" s="12"/>
      <c r="C24" s="23"/>
      <c r="D24" s="23"/>
      <c r="E24" s="23"/>
      <c r="F24" s="23"/>
      <c r="G24" s="23"/>
      <c r="H24" s="15"/>
      <c r="I24" s="7"/>
      <c r="J24" s="7"/>
      <c r="K24" s="7"/>
      <c r="L24" s="7"/>
      <c r="M24" s="7"/>
      <c r="N24" s="7"/>
      <c r="O24" s="85"/>
      <c r="P24" s="7"/>
      <c r="Q24" s="11"/>
      <c r="R24" s="7"/>
      <c r="S24" s="7"/>
      <c r="T24" s="7"/>
      <c r="U24" s="7"/>
      <c r="V24" s="14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.4" thickBot="1" x14ac:dyDescent="0.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97"/>
      <c r="M25" s="7"/>
      <c r="N25" s="7"/>
      <c r="O25" s="86"/>
      <c r="P25" s="7"/>
      <c r="Q25" s="12"/>
      <c r="R25" s="23"/>
      <c r="S25" s="23"/>
      <c r="T25" s="23"/>
      <c r="U25" s="23"/>
      <c r="V25" s="15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x14ac:dyDescent="0.4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N26" s="7"/>
      <c r="O26" s="7"/>
      <c r="P26" s="7"/>
      <c r="Q26" s="64"/>
      <c r="R26" s="65"/>
      <c r="S26" s="65"/>
      <c r="T26" s="65"/>
      <c r="U26" s="65"/>
      <c r="V26" s="66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5.4" thickBot="1" x14ac:dyDescent="0.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12"/>
      <c r="R27" s="23"/>
      <c r="S27" s="23"/>
      <c r="T27" s="23"/>
      <c r="U27" s="23"/>
      <c r="V27" s="15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64"/>
      <c r="R28" s="67"/>
      <c r="S28" s="65"/>
      <c r="T28" s="65"/>
      <c r="U28" s="65"/>
      <c r="V28" s="66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11"/>
      <c r="R29" s="7"/>
      <c r="T29" s="7"/>
      <c r="U29" s="7"/>
      <c r="V29" s="14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11"/>
      <c r="R30" s="7"/>
      <c r="S30" s="7"/>
      <c r="T30" s="7"/>
      <c r="U30" s="7"/>
      <c r="V30" s="14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ht="15.4" thickBot="1" x14ac:dyDescent="0.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12"/>
      <c r="R31" s="23"/>
      <c r="S31" s="23"/>
      <c r="T31" s="23"/>
      <c r="U31" s="23"/>
      <c r="V31" s="15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64"/>
      <c r="R32" s="65"/>
      <c r="S32" s="67"/>
      <c r="T32" s="65"/>
      <c r="U32" s="65"/>
      <c r="V32" s="66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Q33" s="11"/>
      <c r="S33" s="7"/>
      <c r="T33" s="7"/>
      <c r="U33" s="7"/>
      <c r="V33" s="14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P34" s="7"/>
      <c r="Q34" s="11"/>
      <c r="R34" s="7"/>
      <c r="S34" s="7"/>
      <c r="U34" s="7"/>
      <c r="V34" s="14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ht="15.4" thickBot="1" x14ac:dyDescent="0.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12"/>
      <c r="R35" s="23"/>
      <c r="S35" s="68"/>
      <c r="T35" s="23"/>
      <c r="U35" s="23"/>
      <c r="V35" s="15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P36" s="7"/>
      <c r="Q36" s="64"/>
      <c r="R36" s="65"/>
      <c r="S36" s="65"/>
      <c r="T36" s="65"/>
      <c r="U36" s="65"/>
      <c r="V36" s="66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11"/>
      <c r="S37" s="7"/>
      <c r="T37" s="7"/>
      <c r="U37" s="7"/>
      <c r="V37" s="14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11"/>
      <c r="R38" s="7"/>
      <c r="S38" s="7"/>
      <c r="T38" s="7"/>
      <c r="U38" s="7"/>
      <c r="V38" s="14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ht="15.4" thickBot="1" x14ac:dyDescent="0.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12"/>
      <c r="R39" s="23"/>
      <c r="S39" s="23"/>
      <c r="T39" s="23"/>
      <c r="U39" s="23"/>
      <c r="V39" s="15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64"/>
      <c r="R40" s="65"/>
      <c r="S40" s="65"/>
      <c r="T40" s="65"/>
      <c r="U40" s="65"/>
      <c r="V40" s="66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11"/>
      <c r="R41" s="7"/>
      <c r="S41" s="7"/>
      <c r="T41" s="7"/>
      <c r="U41" s="7"/>
      <c r="V41" s="14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ht="15.4" thickBot="1" x14ac:dyDescent="0.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12"/>
      <c r="R42" s="23"/>
      <c r="S42" s="23"/>
      <c r="T42" s="23"/>
      <c r="U42" s="23"/>
      <c r="V42" s="15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64"/>
      <c r="R43" s="65"/>
      <c r="S43" s="65"/>
      <c r="T43" s="65"/>
      <c r="U43" s="65"/>
      <c r="V43" s="66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11"/>
      <c r="R44" s="7"/>
      <c r="S44" s="7"/>
      <c r="T44" s="7"/>
      <c r="U44" s="7"/>
      <c r="V44" s="14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11"/>
      <c r="R45" s="7"/>
      <c r="S45" s="7"/>
      <c r="T45" s="7"/>
      <c r="U45" s="7"/>
      <c r="V45" s="14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ht="15.4" thickBot="1" x14ac:dyDescent="0.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12"/>
      <c r="R46" s="23"/>
      <c r="S46" s="23"/>
      <c r="T46" s="23"/>
      <c r="U46" s="23"/>
      <c r="V46" s="15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 spans="1:32" x14ac:dyDescent="0.4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spans="1:32" x14ac:dyDescent="0.4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spans="1:32" x14ac:dyDescent="0.4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spans="1:32" x14ac:dyDescent="0.4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 spans="1:32" x14ac:dyDescent="0.4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spans="1:32" x14ac:dyDescent="0.4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spans="1:32" x14ac:dyDescent="0.4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 spans="1:32" x14ac:dyDescent="0.4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 spans="1:32" x14ac:dyDescent="0.4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spans="1:32" x14ac:dyDescent="0.4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 spans="1:32" x14ac:dyDescent="0.4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spans="1:32" x14ac:dyDescent="0.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spans="1:32" x14ac:dyDescent="0.4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spans="1:32" x14ac:dyDescent="0.4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spans="1:32" x14ac:dyDescent="0.4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spans="1:32" x14ac:dyDescent="0.4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 spans="1:32" x14ac:dyDescent="0.4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spans="1:32" x14ac:dyDescent="0.4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 spans="1:32" x14ac:dyDescent="0.4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spans="1:32" x14ac:dyDescent="0.4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 spans="1:32" x14ac:dyDescent="0.4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spans="1:32" x14ac:dyDescent="0.4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spans="1:32" x14ac:dyDescent="0.4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spans="1:32" x14ac:dyDescent="0.4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spans="1:32" x14ac:dyDescent="0.4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 spans="1:32" x14ac:dyDescent="0.4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spans="1:32" x14ac:dyDescent="0.4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spans="1:32" x14ac:dyDescent="0.4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spans="1:32" x14ac:dyDescent="0.4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 spans="1:32" x14ac:dyDescent="0.4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spans="1:32" x14ac:dyDescent="0.4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spans="1:32" x14ac:dyDescent="0.4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spans="1:32" x14ac:dyDescent="0.4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spans="1:32" x14ac:dyDescent="0.4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spans="1:32" x14ac:dyDescent="0.4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spans="1:32" x14ac:dyDescent="0.4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 spans="1:32" x14ac:dyDescent="0.4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spans="1:32" x14ac:dyDescent="0.4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 spans="1:32" x14ac:dyDescent="0.4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spans="1:32" x14ac:dyDescent="0.4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spans="1:32" x14ac:dyDescent="0.4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spans="1:32" x14ac:dyDescent="0.4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spans="1:32" x14ac:dyDescent="0.4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spans="1:32" x14ac:dyDescent="0.4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spans="1:32" x14ac:dyDescent="0.4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spans="1:32" x14ac:dyDescent="0.4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 spans="1:32" x14ac:dyDescent="0.4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 spans="1:32" x14ac:dyDescent="0.4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spans="1:32" x14ac:dyDescent="0.4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 spans="1:32" x14ac:dyDescent="0.4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 spans="1:32" x14ac:dyDescent="0.4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spans="1:32" x14ac:dyDescent="0.4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spans="1:32" x14ac:dyDescent="0.4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 spans="1:32" x14ac:dyDescent="0.4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 spans="1:32" x14ac:dyDescent="0.45">
      <c r="A288" s="7"/>
      <c r="B288" s="7"/>
      <c r="C288" s="7"/>
      <c r="D288" s="7"/>
      <c r="E288" s="7"/>
      <c r="F288" s="7"/>
      <c r="G288" s="7"/>
      <c r="H288" s="7"/>
      <c r="I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 spans="1:32" x14ac:dyDescent="0.45">
      <c r="A289" s="7"/>
      <c r="B289" s="7"/>
      <c r="C289" s="7"/>
      <c r="D289" s="7"/>
      <c r="E289" s="7"/>
      <c r="F289" s="7"/>
      <c r="G289" s="7"/>
      <c r="H289" s="7"/>
      <c r="I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 spans="1:32" x14ac:dyDescent="0.45">
      <c r="A290" s="7"/>
      <c r="B290" s="7"/>
      <c r="C290" s="7"/>
      <c r="D290" s="7"/>
      <c r="E290" s="7"/>
      <c r="F290" s="7"/>
      <c r="G290" s="7"/>
      <c r="H290" s="7"/>
      <c r="I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spans="1:32" x14ac:dyDescent="0.45">
      <c r="A291" s="7"/>
      <c r="B291" s="7"/>
      <c r="C291" s="7"/>
      <c r="D291" s="7"/>
      <c r="E291" s="7"/>
      <c r="F291" s="7"/>
      <c r="G291" s="7"/>
      <c r="H291" s="7"/>
      <c r="I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 spans="1:32" x14ac:dyDescent="0.45">
      <c r="A292" s="7"/>
      <c r="B292" s="7"/>
      <c r="C292" s="7"/>
      <c r="D292" s="7"/>
      <c r="E292" s="7"/>
      <c r="F292" s="7"/>
      <c r="G292" s="7"/>
      <c r="H292" s="7"/>
      <c r="I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spans="1:32" x14ac:dyDescent="0.45">
      <c r="A293" s="7"/>
      <c r="B293" s="7"/>
      <c r="C293" s="7"/>
      <c r="D293" s="7"/>
      <c r="E293" s="7"/>
      <c r="F293" s="7"/>
      <c r="G293" s="7"/>
      <c r="H293" s="7"/>
      <c r="I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spans="1:32" x14ac:dyDescent="0.45">
      <c r="A294" s="7"/>
      <c r="B294" s="7"/>
      <c r="C294" s="7"/>
      <c r="D294" s="7"/>
      <c r="E294" s="7"/>
      <c r="F294" s="7"/>
      <c r="G294" s="7"/>
      <c r="H294" s="7"/>
      <c r="I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 spans="1:32" x14ac:dyDescent="0.45">
      <c r="A295" s="7"/>
      <c r="B295" s="7"/>
      <c r="C295" s="7"/>
      <c r="D295" s="7"/>
      <c r="E295" s="7"/>
      <c r="F295" s="7"/>
      <c r="G295" s="7"/>
      <c r="H295" s="7"/>
      <c r="I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 spans="1:32" x14ac:dyDescent="0.45">
      <c r="A296" s="7"/>
      <c r="B296" s="7"/>
      <c r="C296" s="7"/>
      <c r="D296" s="7"/>
      <c r="E296" s="7"/>
      <c r="F296" s="7"/>
      <c r="G296" s="7"/>
      <c r="H296" s="7"/>
      <c r="I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spans="1:32" x14ac:dyDescent="0.45">
      <c r="A297" s="7"/>
      <c r="B297" s="7"/>
      <c r="C297" s="7"/>
      <c r="D297" s="7"/>
      <c r="E297" s="7"/>
      <c r="F297" s="7"/>
      <c r="G297" s="7"/>
      <c r="H297" s="7"/>
      <c r="I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</sheetData>
  <mergeCells count="3">
    <mergeCell ref="J2:O4"/>
    <mergeCell ref="B2:H2"/>
    <mergeCell ref="Q2:V4"/>
  </mergeCells>
  <phoneticPr fontId="17" type="noConversion"/>
  <pageMargins left="0.7" right="0.7" top="0.78740157499999996" bottom="0.78740157499999996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1027" r:id="rId4">
          <objectPr defaultSize="0" autoPict="0" r:id="rId5">
            <anchor moveWithCells="1" sizeWithCells="1">
              <from>
                <xdr:col>18</xdr:col>
                <xdr:colOff>190500</xdr:colOff>
                <xdr:row>4</xdr:row>
                <xdr:rowOff>133350</xdr:rowOff>
              </from>
              <to>
                <xdr:col>21</xdr:col>
                <xdr:colOff>104775</xdr:colOff>
                <xdr:row>5</xdr:row>
                <xdr:rowOff>304800</xdr:rowOff>
              </to>
            </anchor>
          </objectPr>
        </oleObject>
      </mc:Choice>
      <mc:Fallback>
        <oleObject progId="Equation.3" shapeId="1027" r:id="rId4"/>
      </mc:Fallback>
    </mc:AlternateContent>
    <mc:AlternateContent xmlns:mc="http://schemas.openxmlformats.org/markup-compatibility/2006">
      <mc:Choice Requires="x14">
        <oleObject progId="Equation.3" shapeId="1028" r:id="rId6">
          <objectPr defaultSize="0" autoPict="0" r:id="rId7">
            <anchor moveWithCells="1" sizeWithCells="1">
              <from>
                <xdr:col>16</xdr:col>
                <xdr:colOff>552450</xdr:colOff>
                <xdr:row>6</xdr:row>
                <xdr:rowOff>9525</xdr:rowOff>
              </from>
              <to>
                <xdr:col>21</xdr:col>
                <xdr:colOff>1304925</xdr:colOff>
                <xdr:row>7</xdr:row>
                <xdr:rowOff>180975</xdr:rowOff>
              </to>
            </anchor>
          </objectPr>
        </oleObject>
      </mc:Choice>
      <mc:Fallback>
        <oleObject progId="Equation.3" shapeId="1028" r:id="rId6"/>
      </mc:Fallback>
    </mc:AlternateContent>
    <mc:AlternateContent xmlns:mc="http://schemas.openxmlformats.org/markup-compatibility/2006">
      <mc:Choice Requires="x14">
        <oleObject progId="Equation.3" shapeId="1029" r:id="rId8">
          <objectPr defaultSize="0" autoPict="0" r:id="rId9">
            <anchor moveWithCells="1" sizeWithCells="1">
              <from>
                <xdr:col>17</xdr:col>
                <xdr:colOff>409575</xdr:colOff>
                <xdr:row>8</xdr:row>
                <xdr:rowOff>38100</xdr:rowOff>
              </from>
              <to>
                <xdr:col>21</xdr:col>
                <xdr:colOff>762000</xdr:colOff>
                <xdr:row>10</xdr:row>
                <xdr:rowOff>9525</xdr:rowOff>
              </to>
            </anchor>
          </objectPr>
        </oleObject>
      </mc:Choice>
      <mc:Fallback>
        <oleObject progId="Equation.3" shapeId="1029" r:id="rId8"/>
      </mc:Fallback>
    </mc:AlternateContent>
    <mc:AlternateContent xmlns:mc="http://schemas.openxmlformats.org/markup-compatibility/2006">
      <mc:Choice Requires="x14">
        <oleObject progId="Equation.3" shapeId="1030" r:id="rId10">
          <objectPr defaultSize="0" autoPict="0" r:id="rId11">
            <anchor moveWithCells="1" sizeWithCells="1">
              <from>
                <xdr:col>16</xdr:col>
                <xdr:colOff>0</xdr:colOff>
                <xdr:row>10</xdr:row>
                <xdr:rowOff>123825</xdr:rowOff>
              </from>
              <to>
                <xdr:col>21</xdr:col>
                <xdr:colOff>1933575</xdr:colOff>
                <xdr:row>12</xdr:row>
                <xdr:rowOff>66675</xdr:rowOff>
              </to>
            </anchor>
          </objectPr>
        </oleObject>
      </mc:Choice>
      <mc:Fallback>
        <oleObject progId="Equation.3" shapeId="1030" r:id="rId10"/>
      </mc:Fallback>
    </mc:AlternateContent>
    <mc:AlternateContent xmlns:mc="http://schemas.openxmlformats.org/markup-compatibility/2006">
      <mc:Choice Requires="x14">
        <oleObject progId="Equation.3" shapeId="1031" r:id="rId12">
          <objectPr defaultSize="0" autoPict="0" r:id="rId13">
            <anchor moveWithCells="1" sizeWithCells="1">
              <from>
                <xdr:col>16</xdr:col>
                <xdr:colOff>333375</xdr:colOff>
                <xdr:row>13</xdr:row>
                <xdr:rowOff>57150</xdr:rowOff>
              </from>
              <to>
                <xdr:col>21</xdr:col>
                <xdr:colOff>1695450</xdr:colOff>
                <xdr:row>13</xdr:row>
                <xdr:rowOff>381000</xdr:rowOff>
              </to>
            </anchor>
          </objectPr>
        </oleObject>
      </mc:Choice>
      <mc:Fallback>
        <oleObject progId="Equation.3" shapeId="1031" r:id="rId12"/>
      </mc:Fallback>
    </mc:AlternateContent>
    <mc:AlternateContent xmlns:mc="http://schemas.openxmlformats.org/markup-compatibility/2006">
      <mc:Choice Requires="x14">
        <oleObject progId="Equation.3" shapeId="1032" r:id="rId14">
          <objectPr defaultSize="0" autoPict="0" r:id="rId15">
            <anchor moveWithCells="1" sizeWithCells="1">
              <from>
                <xdr:col>16</xdr:col>
                <xdr:colOff>447675</xdr:colOff>
                <xdr:row>14</xdr:row>
                <xdr:rowOff>57150</xdr:rowOff>
              </from>
              <to>
                <xdr:col>21</xdr:col>
                <xdr:colOff>1543050</xdr:colOff>
                <xdr:row>15</xdr:row>
                <xdr:rowOff>152400</xdr:rowOff>
              </to>
            </anchor>
          </objectPr>
        </oleObject>
      </mc:Choice>
      <mc:Fallback>
        <oleObject progId="Equation.3" shapeId="1032" r:id="rId14"/>
      </mc:Fallback>
    </mc:AlternateContent>
    <mc:AlternateContent xmlns:mc="http://schemas.openxmlformats.org/markup-compatibility/2006">
      <mc:Choice Requires="x14">
        <oleObject progId="Equation.3" shapeId="1033" r:id="rId16">
          <objectPr defaultSize="0" autoPict="0" r:id="rId17">
            <anchor moveWithCells="1" sizeWithCells="1">
              <from>
                <xdr:col>16</xdr:col>
                <xdr:colOff>542925</xdr:colOff>
                <xdr:row>16</xdr:row>
                <xdr:rowOff>161925</xdr:rowOff>
              </from>
              <to>
                <xdr:col>21</xdr:col>
                <xdr:colOff>1476375</xdr:colOff>
                <xdr:row>18</xdr:row>
                <xdr:rowOff>104775</xdr:rowOff>
              </to>
            </anchor>
          </objectPr>
        </oleObject>
      </mc:Choice>
      <mc:Fallback>
        <oleObject progId="Equation.3" shapeId="1033" r:id="rId16"/>
      </mc:Fallback>
    </mc:AlternateContent>
    <mc:AlternateContent xmlns:mc="http://schemas.openxmlformats.org/markup-compatibility/2006">
      <mc:Choice Requires="x14">
        <oleObject progId="Equation.3" shapeId="1034" r:id="rId18">
          <objectPr defaultSize="0" autoPict="0" r:id="rId19">
            <anchor moveWithCells="1" sizeWithCells="1">
              <from>
                <xdr:col>17</xdr:col>
                <xdr:colOff>695325</xdr:colOff>
                <xdr:row>19</xdr:row>
                <xdr:rowOff>9525</xdr:rowOff>
              </from>
              <to>
                <xdr:col>21</xdr:col>
                <xdr:colOff>485775</xdr:colOff>
                <xdr:row>21</xdr:row>
                <xdr:rowOff>180975</xdr:rowOff>
              </to>
            </anchor>
          </objectPr>
        </oleObject>
      </mc:Choice>
      <mc:Fallback>
        <oleObject progId="Equation.3" shapeId="1034" r:id="rId18"/>
      </mc:Fallback>
    </mc:AlternateContent>
    <mc:AlternateContent xmlns:mc="http://schemas.openxmlformats.org/markup-compatibility/2006">
      <mc:Choice Requires="x14">
        <oleObject progId="Equation.3" shapeId="1035" r:id="rId20">
          <objectPr defaultSize="0" autoPict="0" r:id="rId21">
            <anchor moveWithCells="1" sizeWithCells="1">
              <from>
                <xdr:col>17</xdr:col>
                <xdr:colOff>752475</xdr:colOff>
                <xdr:row>22</xdr:row>
                <xdr:rowOff>9525</xdr:rowOff>
              </from>
              <to>
                <xdr:col>21</xdr:col>
                <xdr:colOff>542925</xdr:colOff>
                <xdr:row>24</xdr:row>
                <xdr:rowOff>190500</xdr:rowOff>
              </to>
            </anchor>
          </objectPr>
        </oleObject>
      </mc:Choice>
      <mc:Fallback>
        <oleObject progId="Equation.3" shapeId="1035" r:id="rId20"/>
      </mc:Fallback>
    </mc:AlternateContent>
    <mc:AlternateContent xmlns:mc="http://schemas.openxmlformats.org/markup-compatibility/2006">
      <mc:Choice Requires="x14">
        <oleObject progId="Equation.3" shapeId="1037" r:id="rId22">
          <objectPr defaultSize="0" autoPict="0" r:id="rId23">
            <anchor moveWithCells="1" sizeWithCells="1">
              <from>
                <xdr:col>18</xdr:col>
                <xdr:colOff>400050</xdr:colOff>
                <xdr:row>25</xdr:row>
                <xdr:rowOff>47625</xdr:rowOff>
              </from>
              <to>
                <xdr:col>20</xdr:col>
                <xdr:colOff>742950</xdr:colOff>
                <xdr:row>26</xdr:row>
                <xdr:rowOff>152400</xdr:rowOff>
              </to>
            </anchor>
          </objectPr>
        </oleObject>
      </mc:Choice>
      <mc:Fallback>
        <oleObject progId="Equation.3" shapeId="1037" r:id="rId22"/>
      </mc:Fallback>
    </mc:AlternateContent>
    <mc:AlternateContent xmlns:mc="http://schemas.openxmlformats.org/markup-compatibility/2006">
      <mc:Choice Requires="x14">
        <oleObject progId="Equation.3" shapeId="1038" r:id="rId24">
          <objectPr defaultSize="0" autoPict="0" r:id="rId25">
            <anchor moveWithCells="1" sizeWithCells="1">
              <from>
                <xdr:col>15</xdr:col>
                <xdr:colOff>323850</xdr:colOff>
                <xdr:row>27</xdr:row>
                <xdr:rowOff>114300</xdr:rowOff>
              </from>
              <to>
                <xdr:col>21</xdr:col>
                <xdr:colOff>1962150</xdr:colOff>
                <xdr:row>30</xdr:row>
                <xdr:rowOff>123825</xdr:rowOff>
              </to>
            </anchor>
          </objectPr>
        </oleObject>
      </mc:Choice>
      <mc:Fallback>
        <oleObject progId="Equation.3" shapeId="1038" r:id="rId24"/>
      </mc:Fallback>
    </mc:AlternateContent>
    <mc:AlternateContent xmlns:mc="http://schemas.openxmlformats.org/markup-compatibility/2006">
      <mc:Choice Requires="x14">
        <oleObject progId="Equation.3" shapeId="1039" r:id="rId26">
          <objectPr defaultSize="0" autoPict="0" r:id="rId27">
            <anchor moveWithCells="1" sizeWithCells="1">
              <from>
                <xdr:col>16</xdr:col>
                <xdr:colOff>180975</xdr:colOff>
                <xdr:row>31</xdr:row>
                <xdr:rowOff>123825</xdr:rowOff>
              </from>
              <to>
                <xdr:col>21</xdr:col>
                <xdr:colOff>1762125</xdr:colOff>
                <xdr:row>34</xdr:row>
                <xdr:rowOff>171450</xdr:rowOff>
              </to>
            </anchor>
          </objectPr>
        </oleObject>
      </mc:Choice>
      <mc:Fallback>
        <oleObject progId="Equation.3" shapeId="1039" r:id="rId26"/>
      </mc:Fallback>
    </mc:AlternateContent>
    <mc:AlternateContent xmlns:mc="http://schemas.openxmlformats.org/markup-compatibility/2006">
      <mc:Choice Requires="x14">
        <oleObject progId="Equation.3" shapeId="1040" r:id="rId28">
          <objectPr defaultSize="0" autoPict="0" r:id="rId29">
            <anchor moveWithCells="1" sizeWithCells="1">
              <from>
                <xdr:col>17</xdr:col>
                <xdr:colOff>666750</xdr:colOff>
                <xdr:row>35</xdr:row>
                <xdr:rowOff>76200</xdr:rowOff>
              </from>
              <to>
                <xdr:col>21</xdr:col>
                <xdr:colOff>685800</xdr:colOff>
                <xdr:row>38</xdr:row>
                <xdr:rowOff>133350</xdr:rowOff>
              </to>
            </anchor>
          </objectPr>
        </oleObject>
      </mc:Choice>
      <mc:Fallback>
        <oleObject progId="Equation.3" shapeId="1040" r:id="rId28"/>
      </mc:Fallback>
    </mc:AlternateContent>
    <mc:AlternateContent xmlns:mc="http://schemas.openxmlformats.org/markup-compatibility/2006">
      <mc:Choice Requires="x14">
        <oleObject progId="Equation.3" shapeId="1042" r:id="rId30">
          <objectPr defaultSize="0" autoPict="0" r:id="rId31">
            <anchor moveWithCells="1" sizeWithCells="1">
              <from>
                <xdr:col>17</xdr:col>
                <xdr:colOff>676275</xdr:colOff>
                <xdr:row>42</xdr:row>
                <xdr:rowOff>76200</xdr:rowOff>
              </from>
              <to>
                <xdr:col>21</xdr:col>
                <xdr:colOff>704850</xdr:colOff>
                <xdr:row>45</xdr:row>
                <xdr:rowOff>133350</xdr:rowOff>
              </to>
            </anchor>
          </objectPr>
        </oleObject>
      </mc:Choice>
      <mc:Fallback>
        <oleObject progId="Equation.3" shapeId="1042" r:id="rId30"/>
      </mc:Fallback>
    </mc:AlternateContent>
    <mc:AlternateContent xmlns:mc="http://schemas.openxmlformats.org/markup-compatibility/2006">
      <mc:Choice Requires="x14">
        <oleObject progId="Equation.3" shapeId="1043" r:id="rId32">
          <objectPr defaultSize="0" autoPict="0" r:id="rId33">
            <anchor moveWithCells="1" sizeWithCells="1">
              <from>
                <xdr:col>18</xdr:col>
                <xdr:colOff>457200</xdr:colOff>
                <xdr:row>39</xdr:row>
                <xdr:rowOff>133350</xdr:rowOff>
              </from>
              <to>
                <xdr:col>21</xdr:col>
                <xdr:colOff>209550</xdr:colOff>
                <xdr:row>41</xdr:row>
                <xdr:rowOff>57150</xdr:rowOff>
              </to>
            </anchor>
          </objectPr>
        </oleObject>
      </mc:Choice>
      <mc:Fallback>
        <oleObject progId="Equation.3" shapeId="1043" r:id="rId32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33"/>
  <sheetViews>
    <sheetView tabSelected="1" topLeftCell="A16" zoomScale="70" zoomScaleNormal="70" workbookViewId="0">
      <selection activeCell="D28" sqref="D28:E143"/>
    </sheetView>
  </sheetViews>
  <sheetFormatPr defaultColWidth="11.42578125" defaultRowHeight="15" x14ac:dyDescent="0.45"/>
  <cols>
    <col min="1" max="1" width="8.140625" customWidth="1"/>
    <col min="2" max="2" width="29.28515625" customWidth="1"/>
    <col min="3" max="3" width="23.140625" bestFit="1" customWidth="1"/>
    <col min="4" max="4" width="21.7109375" customWidth="1"/>
    <col min="5" max="5" width="18.5703125" customWidth="1"/>
    <col min="6" max="6" width="21.5703125" customWidth="1"/>
    <col min="7" max="7" width="5.5703125" customWidth="1"/>
    <col min="8" max="8" width="4.85546875" customWidth="1"/>
    <col min="9" max="9" width="19" customWidth="1"/>
    <col min="10" max="10" width="17.28515625" customWidth="1"/>
    <col min="11" max="11" width="9.5703125" customWidth="1"/>
    <col min="12" max="13" width="9.28515625" customWidth="1"/>
    <col min="14" max="14" width="9.42578125" customWidth="1"/>
    <col min="15" max="15" width="14.42578125" customWidth="1"/>
    <col min="16" max="16" width="11.42578125" customWidth="1"/>
    <col min="17" max="17" width="14.85546875" customWidth="1"/>
    <col min="19" max="19" width="18.42578125" bestFit="1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168"/>
      <c r="H1" s="168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5" customHeight="1" x14ac:dyDescent="0.45">
      <c r="A2" s="7"/>
      <c r="B2" s="7"/>
      <c r="C2" s="7"/>
      <c r="D2" s="7"/>
      <c r="E2" s="7"/>
      <c r="F2" s="7"/>
      <c r="G2" s="168"/>
      <c r="H2" s="168"/>
      <c r="I2" s="113" t="s">
        <v>19</v>
      </c>
      <c r="J2" s="114"/>
      <c r="K2" s="114"/>
      <c r="L2" s="114"/>
      <c r="M2" s="114"/>
      <c r="N2" s="114"/>
      <c r="O2" s="114"/>
      <c r="P2" s="114"/>
      <c r="Q2" s="115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ht="15" customHeight="1" x14ac:dyDescent="0.45">
      <c r="A3" s="7"/>
      <c r="B3" s="7"/>
      <c r="C3" s="7"/>
      <c r="D3" s="7"/>
      <c r="E3" s="7"/>
      <c r="F3" s="7"/>
      <c r="G3" s="168"/>
      <c r="H3" s="168"/>
      <c r="I3" s="116"/>
      <c r="J3" s="117"/>
      <c r="K3" s="117"/>
      <c r="L3" s="117"/>
      <c r="M3" s="117"/>
      <c r="N3" s="117"/>
      <c r="O3" s="117"/>
      <c r="P3" s="117"/>
      <c r="Q3" s="118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7"/>
      <c r="C4" s="7"/>
      <c r="D4" s="7"/>
      <c r="E4" s="7"/>
      <c r="F4" s="7"/>
      <c r="G4" s="168"/>
      <c r="H4" s="168"/>
      <c r="I4" s="119"/>
      <c r="J4" s="120"/>
      <c r="K4" s="120"/>
      <c r="L4" s="120"/>
      <c r="M4" s="120"/>
      <c r="N4" s="120"/>
      <c r="O4" s="120"/>
      <c r="P4" s="120"/>
      <c r="Q4" s="121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24.75" customHeight="1" x14ac:dyDescent="0.45">
      <c r="A5" s="7"/>
      <c r="B5" s="7"/>
      <c r="C5" s="7"/>
      <c r="D5" s="7"/>
      <c r="E5" s="7"/>
      <c r="F5" s="7"/>
      <c r="G5" s="168"/>
      <c r="H5" s="168"/>
      <c r="I5" s="122" t="s">
        <v>38</v>
      </c>
      <c r="J5" s="123"/>
      <c r="K5" s="123"/>
      <c r="L5" s="123"/>
      <c r="M5" s="123"/>
      <c r="N5" s="123"/>
      <c r="O5" s="123"/>
      <c r="P5" s="123"/>
      <c r="Q5" s="124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15" customHeight="1" x14ac:dyDescent="0.45">
      <c r="A6" s="7"/>
      <c r="B6" s="7"/>
      <c r="C6" s="7"/>
      <c r="D6" s="7"/>
      <c r="E6" s="7"/>
      <c r="F6" s="7"/>
      <c r="G6" s="168"/>
      <c r="H6" s="168"/>
      <c r="I6" s="49" t="s">
        <v>49</v>
      </c>
      <c r="J6" s="49" t="s">
        <v>50</v>
      </c>
      <c r="K6" s="49" t="s">
        <v>46</v>
      </c>
      <c r="L6" s="165" t="s">
        <v>39</v>
      </c>
      <c r="M6" s="166"/>
      <c r="N6" s="166"/>
      <c r="O6" s="166"/>
      <c r="P6" s="166"/>
      <c r="Q6" s="16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ht="15" customHeight="1" thickBot="1" x14ac:dyDescent="0.5">
      <c r="A7" s="7"/>
      <c r="B7" s="7"/>
      <c r="C7" s="7"/>
      <c r="D7" s="7"/>
      <c r="E7" s="7"/>
      <c r="F7" s="7"/>
      <c r="G7" s="168"/>
      <c r="H7" s="168"/>
      <c r="I7" s="50" t="s">
        <v>20</v>
      </c>
      <c r="J7" s="37">
        <f>SUM(J13,J19)</f>
        <v>150.1</v>
      </c>
      <c r="K7" s="38">
        <f>J7/J7</f>
        <v>1</v>
      </c>
      <c r="L7" s="159" t="s">
        <v>68</v>
      </c>
      <c r="M7" s="160"/>
      <c r="N7" s="160"/>
      <c r="O7" s="160"/>
      <c r="P7" s="160"/>
      <c r="Q7" s="161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" customHeight="1" x14ac:dyDescent="0.45">
      <c r="A8" s="7"/>
      <c r="B8" s="140" t="s">
        <v>3</v>
      </c>
      <c r="C8" s="141"/>
      <c r="D8" s="141"/>
      <c r="E8" s="141"/>
      <c r="F8" s="142"/>
      <c r="G8" s="168"/>
      <c r="H8" s="168"/>
      <c r="I8" s="51" t="s">
        <v>6</v>
      </c>
      <c r="J8" s="37">
        <f>SUM(J14,J20)</f>
        <v>149.31</v>
      </c>
      <c r="K8" s="39">
        <f>J8/J7</f>
        <v>0.99473684210526325</v>
      </c>
      <c r="L8" s="159" t="s">
        <v>69</v>
      </c>
      <c r="M8" s="160"/>
      <c r="N8" s="160"/>
      <c r="O8" s="160"/>
      <c r="P8" s="160"/>
      <c r="Q8" s="161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" customHeight="1" x14ac:dyDescent="0.45">
      <c r="A9" s="7"/>
      <c r="B9" s="143"/>
      <c r="C9" s="144"/>
      <c r="D9" s="144"/>
      <c r="E9" s="144"/>
      <c r="F9" s="145"/>
      <c r="G9" s="168"/>
      <c r="H9" s="168"/>
      <c r="I9" s="50" t="s">
        <v>8</v>
      </c>
      <c r="J9" s="40">
        <f t="shared" ref="J9:J10" si="0">SUM(J15,J21)</f>
        <v>0.73000000000000009</v>
      </c>
      <c r="K9" s="39">
        <f>J9/J7</f>
        <v>4.8634243837441717E-3</v>
      </c>
      <c r="L9" s="159" t="s">
        <v>69</v>
      </c>
      <c r="M9" s="160"/>
      <c r="N9" s="160"/>
      <c r="O9" s="160"/>
      <c r="P9" s="160"/>
      <c r="Q9" s="161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" customHeight="1" thickBot="1" x14ac:dyDescent="0.5">
      <c r="A10" s="7"/>
      <c r="B10" s="146"/>
      <c r="C10" s="147"/>
      <c r="D10" s="147"/>
      <c r="E10" s="147"/>
      <c r="F10" s="148"/>
      <c r="G10" s="168"/>
      <c r="H10" s="168"/>
      <c r="I10" s="51" t="s">
        <v>9</v>
      </c>
      <c r="J10" s="40">
        <f t="shared" si="0"/>
        <v>0.06</v>
      </c>
      <c r="K10" s="39">
        <f>J10/J7</f>
        <v>3.9973351099267156E-4</v>
      </c>
      <c r="L10" s="159" t="s">
        <v>69</v>
      </c>
      <c r="M10" s="160"/>
      <c r="N10" s="160"/>
      <c r="O10" s="160"/>
      <c r="P10" s="160"/>
      <c r="Q10" s="161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ht="15" customHeight="1" x14ac:dyDescent="0.45">
      <c r="A11" s="7"/>
      <c r="B11" s="149" t="s">
        <v>36</v>
      </c>
      <c r="C11" s="150"/>
      <c r="D11" s="150"/>
      <c r="E11" s="150"/>
      <c r="F11" s="151"/>
      <c r="G11" s="168"/>
      <c r="H11" s="168"/>
      <c r="I11" s="184"/>
      <c r="J11" s="184"/>
      <c r="K11" s="184"/>
      <c r="L11" s="184"/>
      <c r="M11" s="184"/>
      <c r="N11" s="184"/>
      <c r="O11" s="184"/>
      <c r="P11" s="184"/>
      <c r="Q11" s="184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ht="15" customHeight="1" x14ac:dyDescent="0.45">
      <c r="A12" s="7"/>
      <c r="B12" s="152"/>
      <c r="C12" s="153"/>
      <c r="D12" s="153"/>
      <c r="E12" s="153"/>
      <c r="F12" s="154"/>
      <c r="G12" s="168"/>
      <c r="H12" s="168"/>
      <c r="I12" s="49" t="s">
        <v>51</v>
      </c>
      <c r="J12" s="49" t="s">
        <v>50</v>
      </c>
      <c r="K12" s="49" t="s">
        <v>46</v>
      </c>
      <c r="L12" s="165" t="s">
        <v>39</v>
      </c>
      <c r="M12" s="166"/>
      <c r="N12" s="166"/>
      <c r="O12" s="166"/>
      <c r="P12" s="166"/>
      <c r="Q12" s="16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" customHeight="1" x14ac:dyDescent="0.45">
      <c r="A13" s="8"/>
      <c r="B13" s="138" t="s">
        <v>4</v>
      </c>
      <c r="C13" s="139"/>
      <c r="D13" s="128" t="s">
        <v>39</v>
      </c>
      <c r="E13" s="128"/>
      <c r="F13" s="128"/>
      <c r="G13" s="168"/>
      <c r="H13" s="168"/>
      <c r="I13" s="50" t="s">
        <v>5</v>
      </c>
      <c r="J13" s="41">
        <f>SUM(J14:J16)</f>
        <v>150</v>
      </c>
      <c r="K13" s="38">
        <f>J13/J13</f>
        <v>1</v>
      </c>
      <c r="L13" s="159" t="s">
        <v>71</v>
      </c>
      <c r="M13" s="160"/>
      <c r="N13" s="160"/>
      <c r="O13" s="160"/>
      <c r="P13" s="160"/>
      <c r="Q13" s="161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15" customHeight="1" x14ac:dyDescent="0.45">
      <c r="A14" s="7"/>
      <c r="B14" s="4" t="s">
        <v>33</v>
      </c>
      <c r="C14" s="43">
        <v>150</v>
      </c>
      <c r="D14" s="129" t="s">
        <v>17</v>
      </c>
      <c r="E14" s="129"/>
      <c r="F14" s="129"/>
      <c r="G14" s="168"/>
      <c r="H14" s="168"/>
      <c r="I14" s="51" t="s">
        <v>43</v>
      </c>
      <c r="J14" s="41">
        <f>C14-SUM(J15:J16)</f>
        <v>149.22300000000001</v>
      </c>
      <c r="K14" s="39">
        <f>J14/J13</f>
        <v>0.99482000000000004</v>
      </c>
      <c r="L14" s="162" t="s">
        <v>70</v>
      </c>
      <c r="M14" s="163"/>
      <c r="N14" s="163"/>
      <c r="O14" s="163"/>
      <c r="P14" s="163"/>
      <c r="Q14" s="164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ht="15" customHeight="1" x14ac:dyDescent="0.45">
      <c r="A15" s="7"/>
      <c r="B15" s="5" t="s">
        <v>14</v>
      </c>
      <c r="C15" s="43" t="s">
        <v>13</v>
      </c>
      <c r="D15" s="130" t="s">
        <v>60</v>
      </c>
      <c r="E15" s="130"/>
      <c r="F15" s="130"/>
      <c r="G15" s="168"/>
      <c r="H15" s="168"/>
      <c r="I15" s="50" t="s">
        <v>44</v>
      </c>
      <c r="J15" s="42">
        <f>C14/1000*IF(AND(C15="OptiMEM",C17="FBS"),C16*'Model structure'!L7+'User input and model output'!C18*'Model structure'!L10,IF(AND(C15="OptiMEM",C17="d-FBS"),C16*'Model structure'!L7+'User input and model output'!C18*'Model structure'!L12,IF(AND(C15="OptiMEM",C17="cs-FBS"),C16*'Model structure'!L7+'User input and model output'!C18*'Model structure'!L11,IF(AND(C15="DMEM Glutamax",C17="FBS"),C16*'Model structure'!L8+'User input and model output'!C18*'Model structure'!L10,IF(AND(C15="DMEM Glutamax",C17="d-FBS"),C16*'Model structure'!L8+'User input and model output'!C18*'Model structure'!L12,IF(AND(C15="DMEM Glutamax",C17="cs-FBS"),C16*'Model structure'!L8+'User input and model output'!C18*'Model structure'!L11,IF(AND(C15="Phenol-Red free DMEM",C17="FBS"),C16*'Model structure'!L9+'User input and model output'!C18*'Model structure'!L10,IF(AND(C15="Phenol-Red free DMEM",C17="d-FBS"),C16*'Model structure'!L9+'User input and model output'!C18*'Model structure'!L12,IF(AND(C15="Phenol-Red free DMEM",C17="cs-FBS"),C16*'Model structure'!L9+'User input and model output'!C18*'Model structure'!L11,C16*AVERAGE('Model structure'!L7:L9)+'User input and model output'!C18*AVERAGE('Model structure'!L10:L12))))))))))</f>
        <v>0.72000000000000008</v>
      </c>
      <c r="K15" s="39">
        <f>J15/J13</f>
        <v>4.8000000000000004E-3</v>
      </c>
      <c r="L15" s="159" t="s">
        <v>69</v>
      </c>
      <c r="M15" s="160"/>
      <c r="N15" s="160"/>
      <c r="O15" s="160"/>
      <c r="P15" s="160"/>
      <c r="Q15" s="161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" customHeight="1" x14ac:dyDescent="0.45">
      <c r="A16" s="7"/>
      <c r="B16" s="4" t="s">
        <v>34</v>
      </c>
      <c r="C16" s="44">
        <v>0.8</v>
      </c>
      <c r="D16" s="131" t="s">
        <v>40</v>
      </c>
      <c r="E16" s="132"/>
      <c r="F16" s="133"/>
      <c r="G16" s="168"/>
      <c r="H16" s="168"/>
      <c r="I16" s="51" t="s">
        <v>45</v>
      </c>
      <c r="J16" s="42">
        <f>C14/1000*IF(AND(C15="OptiMEM",C17="FBS"),C16*'Model structure'!M7+'User input and model output'!C18*'Model structure'!M10,IF(AND(C15="OptiMEM",C17="d-FBS"),C16*'Model structure'!M7+'User input and model output'!C18*'Model structure'!M12,IF(AND(C15="OptiMEM",C17="cs-FBS"),C16*'Model structure'!M7+'User input and model output'!C18*'Model structure'!M11,IF(AND(C15="DMEM Glutamax",C17="FBS"),C16*'Model structure'!M8+'User input and model output'!C18*'Model structure'!M10,IF(AND(C15="DMEM Glutamax",C17="d-FBS"),C16*'Model structure'!M8+'User input and model output'!C18*'Model structure'!M12,IF(AND(C15="DMEM Glutamax",C17="cs-FBS"),C16*'Model structure'!M8+'User input and model output'!C18*'Model structure'!M11,IF(AND(C15="Phenol-Red free DMEM",C17="FBS"),C16*'Model structure'!M9+'User input and model output'!C18*'Model structure'!M10,IF(AND(C15="Phenol-Red free DMEM",C17="d-FBS"),C16*'Model structure'!M9+'User input and model output'!C18*'Model structure'!M12,IF(AND(C15="Phenol-Red free DMEM",C17="cs-FBS"),C16*'Model structure'!M9+'User input and model output'!C18*'Model structure'!M11,C16*AVERAGE('Model structure'!M7:M9)+'User input and model output'!C18*AVERAGE('Model structure'!M10:M13))))))))))</f>
        <v>5.6999999999999995E-2</v>
      </c>
      <c r="K16" s="39">
        <f>J16/J13</f>
        <v>3.7999999999999997E-4</v>
      </c>
      <c r="L16" s="159" t="s">
        <v>69</v>
      </c>
      <c r="M16" s="160"/>
      <c r="N16" s="160"/>
      <c r="O16" s="160"/>
      <c r="P16" s="160"/>
      <c r="Q16" s="161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ht="15" customHeight="1" x14ac:dyDescent="0.45">
      <c r="A17" s="7"/>
      <c r="B17" s="5" t="s">
        <v>15</v>
      </c>
      <c r="C17" s="43" t="s">
        <v>77</v>
      </c>
      <c r="D17" s="134" t="s">
        <v>61</v>
      </c>
      <c r="E17" s="135"/>
      <c r="F17" s="136"/>
      <c r="G17" s="168"/>
      <c r="H17" s="168"/>
      <c r="I17" s="162"/>
      <c r="J17" s="163"/>
      <c r="K17" s="163"/>
      <c r="L17" s="163"/>
      <c r="M17" s="163"/>
      <c r="N17" s="163"/>
      <c r="O17" s="163"/>
      <c r="P17" s="163"/>
      <c r="Q17" s="164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ht="15" customHeight="1" x14ac:dyDescent="0.45">
      <c r="A18" s="7"/>
      <c r="B18" s="4" t="s">
        <v>35</v>
      </c>
      <c r="C18" s="44">
        <v>0.2</v>
      </c>
      <c r="D18" s="131" t="s">
        <v>41</v>
      </c>
      <c r="E18" s="132"/>
      <c r="F18" s="133"/>
      <c r="G18" s="168"/>
      <c r="H18" s="168"/>
      <c r="I18" s="49" t="s">
        <v>29</v>
      </c>
      <c r="J18" s="49" t="s">
        <v>50</v>
      </c>
      <c r="K18" s="49" t="s">
        <v>46</v>
      </c>
      <c r="L18" s="165" t="s">
        <v>39</v>
      </c>
      <c r="M18" s="166"/>
      <c r="N18" s="166"/>
      <c r="O18" s="166"/>
      <c r="P18" s="166"/>
      <c r="Q18" s="16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" customHeight="1" x14ac:dyDescent="0.45">
      <c r="A19" s="7"/>
      <c r="B19" s="130"/>
      <c r="C19" s="130"/>
      <c r="D19" s="130"/>
      <c r="E19" s="130"/>
      <c r="F19" s="130"/>
      <c r="G19" s="168"/>
      <c r="H19" s="168"/>
      <c r="I19" s="50" t="s">
        <v>5</v>
      </c>
      <c r="J19" s="41">
        <f>SUM(J20:J22)</f>
        <v>9.9999999999999992E-2</v>
      </c>
      <c r="K19" s="38">
        <f>J19/J19</f>
        <v>1</v>
      </c>
      <c r="L19" s="159" t="s">
        <v>55</v>
      </c>
      <c r="M19" s="160"/>
      <c r="N19" s="160"/>
      <c r="O19" s="160"/>
      <c r="P19" s="160"/>
      <c r="Q19" s="161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" customHeight="1" x14ac:dyDescent="0.45">
      <c r="A20" s="7"/>
      <c r="B20" s="138" t="s">
        <v>7</v>
      </c>
      <c r="C20" s="139"/>
      <c r="D20" s="128" t="s">
        <v>39</v>
      </c>
      <c r="E20" s="128"/>
      <c r="F20" s="128"/>
      <c r="G20" s="168"/>
      <c r="H20" s="168"/>
      <c r="I20" s="51" t="s">
        <v>43</v>
      </c>
      <c r="J20" s="42">
        <f>1000*IF(C21="HEK293T",C22/1000000*'Model structure'!L15,IF(C21="HEK293H",C22/1000000*'Model structure'!L16,IF(C21="HepG2",C22/1000000*'Model structure'!L17,IF(C21="HCT116",C22/1000000*'Model structure'!L18,IF(C21="ME-180",C22/1000000*'Model structure'!L19,C22/1000000*AVERAGE('Model structure'!L15:L19))))))</f>
        <v>8.6999999999999994E-2</v>
      </c>
      <c r="K20" s="39">
        <f>J20/J19</f>
        <v>0.87</v>
      </c>
      <c r="L20" s="159" t="s">
        <v>69</v>
      </c>
      <c r="M20" s="160"/>
      <c r="N20" s="160"/>
      <c r="O20" s="160"/>
      <c r="P20" s="160"/>
      <c r="Q20" s="161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ht="15" customHeight="1" x14ac:dyDescent="0.45">
      <c r="A21" s="7"/>
      <c r="B21" s="4" t="s">
        <v>10</v>
      </c>
      <c r="C21" s="43" t="s">
        <v>80</v>
      </c>
      <c r="D21" s="134" t="s">
        <v>61</v>
      </c>
      <c r="E21" s="135"/>
      <c r="F21" s="136"/>
      <c r="G21" s="168"/>
      <c r="H21" s="168"/>
      <c r="I21" s="50" t="s">
        <v>44</v>
      </c>
      <c r="J21" s="42">
        <f>1000*IF(C21="HEK293T",C22/1000000*'Model structure'!M15,IF(C21="HEK293H",C22/1000000*'Model structure'!M16,IF(C21="HepG2",C22/1000000*'Model structure'!M17,IF(C21="HCT116",C22/1000000*'Model structure'!M18,IF(C21="ME-180",C22/1000000*'Model structure'!M19,C22/1000000*AVERAGE('Model structure'!M15:M19))))))</f>
        <v>0.01</v>
      </c>
      <c r="K21" s="39">
        <f>J21/J19</f>
        <v>0.1</v>
      </c>
      <c r="L21" s="159" t="s">
        <v>69</v>
      </c>
      <c r="M21" s="160"/>
      <c r="N21" s="160"/>
      <c r="O21" s="160"/>
      <c r="P21" s="160"/>
      <c r="Q21" s="161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" customHeight="1" thickBot="1" x14ac:dyDescent="0.5">
      <c r="A22" s="7"/>
      <c r="B22" s="6" t="s">
        <v>18</v>
      </c>
      <c r="C22" s="45">
        <v>20000</v>
      </c>
      <c r="D22" s="137" t="s">
        <v>67</v>
      </c>
      <c r="E22" s="137"/>
      <c r="F22" s="137"/>
      <c r="G22" s="168"/>
      <c r="H22" s="168"/>
      <c r="I22" s="52" t="s">
        <v>45</v>
      </c>
      <c r="J22" s="53">
        <f>1000*IF(C21="HEK293T",C22/1000000*'Model structure'!N15,IF(C21="HEK293H",C22/1000000*'Model structure'!N16,IF(C21="HepG2",C22/1000000*'Model structure'!N17,IF(C21="HCT116",C22/1000000*'Model structure'!N18,IF(C21="ME-180",C22/1000000*'Model structure'!N19,C22/1000000*AVERAGE('Model structure'!N15:N19))))))</f>
        <v>2.9999999999999996E-3</v>
      </c>
      <c r="K22" s="39">
        <f>J22/J19</f>
        <v>0.03</v>
      </c>
      <c r="L22" s="159" t="s">
        <v>69</v>
      </c>
      <c r="M22" s="160"/>
      <c r="N22" s="160"/>
      <c r="O22" s="160"/>
      <c r="P22" s="160"/>
      <c r="Q22" s="161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ht="15.75" customHeight="1" thickBot="1" x14ac:dyDescent="0.5">
      <c r="A23" s="7"/>
      <c r="B23" s="125"/>
      <c r="C23" s="126"/>
      <c r="D23" s="126"/>
      <c r="E23" s="126"/>
      <c r="F23" s="127"/>
      <c r="G23" s="168"/>
      <c r="H23" s="168"/>
      <c r="I23" s="179"/>
      <c r="J23" s="180"/>
      <c r="K23" s="180"/>
      <c r="L23" s="180"/>
      <c r="M23" s="180"/>
      <c r="N23" s="180"/>
      <c r="O23" s="180"/>
      <c r="P23" s="180"/>
      <c r="Q23" s="181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" customHeight="1" x14ac:dyDescent="0.45">
      <c r="A24" s="7"/>
      <c r="B24" s="149" t="s">
        <v>37</v>
      </c>
      <c r="C24" s="150"/>
      <c r="D24" s="150"/>
      <c r="E24" s="150"/>
      <c r="F24" s="151"/>
      <c r="G24" s="168"/>
      <c r="H24" s="168"/>
      <c r="I24" s="173" t="s">
        <v>42</v>
      </c>
      <c r="J24" s="174"/>
      <c r="K24" s="174"/>
      <c r="L24" s="174"/>
      <c r="M24" s="174"/>
      <c r="N24" s="174"/>
      <c r="O24" s="174"/>
      <c r="P24" s="174"/>
      <c r="Q24" s="175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" customHeight="1" x14ac:dyDescent="0.45">
      <c r="A25" s="7"/>
      <c r="B25" s="152"/>
      <c r="C25" s="153"/>
      <c r="D25" s="153"/>
      <c r="E25" s="153"/>
      <c r="F25" s="154"/>
      <c r="G25" s="168"/>
      <c r="H25" s="168"/>
      <c r="I25" s="176"/>
      <c r="J25" s="177"/>
      <c r="K25" s="177"/>
      <c r="L25" s="177"/>
      <c r="M25" s="177"/>
      <c r="N25" s="177"/>
      <c r="O25" s="177"/>
      <c r="P25" s="177"/>
      <c r="Q25" s="178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ht="19.5" customHeight="1" x14ac:dyDescent="0.45">
      <c r="A26" s="7"/>
      <c r="B26" s="171" t="s">
        <v>11</v>
      </c>
      <c r="C26" s="171" t="s">
        <v>12</v>
      </c>
      <c r="D26" s="155" t="s">
        <v>47</v>
      </c>
      <c r="E26" s="155" t="s">
        <v>48</v>
      </c>
      <c r="F26" s="157" t="s">
        <v>66</v>
      </c>
      <c r="G26" s="168"/>
      <c r="H26" s="168"/>
      <c r="I26" s="182" t="s">
        <v>53</v>
      </c>
      <c r="J26" s="182" t="s">
        <v>54</v>
      </c>
      <c r="K26" s="169" t="s">
        <v>73</v>
      </c>
      <c r="L26" s="169" t="s">
        <v>52</v>
      </c>
      <c r="M26" s="169" t="s">
        <v>59</v>
      </c>
      <c r="N26" s="169" t="s">
        <v>62</v>
      </c>
      <c r="O26" s="169" t="s">
        <v>72</v>
      </c>
      <c r="P26" s="169" t="s">
        <v>64</v>
      </c>
      <c r="Q26" s="169" t="s">
        <v>65</v>
      </c>
      <c r="R26" s="9"/>
      <c r="S26" s="10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9.5" customHeight="1" x14ac:dyDescent="0.45">
      <c r="A27" s="7"/>
      <c r="B27" s="172"/>
      <c r="C27" s="172"/>
      <c r="D27" s="156"/>
      <c r="E27" s="156"/>
      <c r="F27" s="158"/>
      <c r="G27" s="168"/>
      <c r="H27" s="168"/>
      <c r="I27" s="183"/>
      <c r="J27" s="183"/>
      <c r="K27" s="170"/>
      <c r="L27" s="170"/>
      <c r="M27" s="170"/>
      <c r="N27" s="170"/>
      <c r="O27" s="170"/>
      <c r="P27" s="170"/>
      <c r="Q27" s="170"/>
      <c r="R27" s="7" t="s">
        <v>79</v>
      </c>
      <c r="S27" s="7" t="s">
        <v>78</v>
      </c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88"/>
      <c r="B28" s="46" t="s">
        <v>89</v>
      </c>
      <c r="C28" s="46" t="s">
        <v>90</v>
      </c>
      <c r="D28" s="47">
        <v>6.5247999999999973E-2</v>
      </c>
      <c r="E28" s="47">
        <v>8.2216000000000289E-2</v>
      </c>
      <c r="F28" s="96">
        <v>9.9999999999999995E-7</v>
      </c>
      <c r="G28" s="168"/>
      <c r="H28" s="168"/>
      <c r="I28" s="92">
        <f t="shared" ref="I28:I47" si="1">IF(D28=0,"",LOG($K$15*10^D28+$K$16*10^E28+$K$14))</f>
        <v>3.7217650281818146E-4</v>
      </c>
      <c r="J28" s="92">
        <f t="shared" ref="J28:J47" si="2">IF(D28=0,"",LOG($K$21*10^D28+$K$22*10^E28+$K$20))</f>
        <v>9.6478749911243222E-3</v>
      </c>
      <c r="K28" s="93">
        <f t="shared" ref="K28:K47" si="3">IF(D28=0,"",1/(1+10^D28*$J$15/$J$14+10^E28*$J$16/$J$14+10^J28*$J$19/$J$14))</f>
        <v>0.99329134666924557</v>
      </c>
      <c r="L28" s="93">
        <f t="shared" ref="L28:L47" si="4">IF(D28=0,"",1/(1+10^I28/10^J28*$J$13/$J$19))</f>
        <v>6.8059500928347512E-4</v>
      </c>
      <c r="M28" s="93">
        <f t="shared" ref="M28:M47" si="5">IF(D28=0,"",1-L28)</f>
        <v>0.99931940499071648</v>
      </c>
      <c r="N28" s="93">
        <f t="shared" ref="N28:N47" si="6">IF(D28=0,"",1/(1/10^E28*$J$20/$J$22+10^D28/10^E28*$J$21/$J$22+10^I28/10^E28*$J$13/$J$22+1))</f>
        <v>2.4131156702557011E-5</v>
      </c>
      <c r="O28" s="40">
        <f t="shared" ref="O28:O47" si="7">IF(D28=0,"",F28*K28*$J$7/$J$14)</f>
        <v>9.9912902927198699E-7</v>
      </c>
      <c r="P28" s="40">
        <f t="shared" ref="P28:P47" si="8">IF(D28=0,"",O28*10^J28)</f>
        <v>1.0215731089344958E-6</v>
      </c>
      <c r="Q28" s="40">
        <f t="shared" ref="Q28:Q47" si="9">IF(D28=0,"",F28*N28*$J$7/$J$22)</f>
        <v>1.2073622070179358E-6</v>
      </c>
      <c r="R28" s="9">
        <f>F28*$C$14</f>
        <v>1.4999999999999999E-4</v>
      </c>
      <c r="S28" s="9">
        <f>$R28*L28</f>
        <v>1.0208925139252125E-7</v>
      </c>
      <c r="T28" s="9">
        <f t="shared" ref="T28:T91" si="10">R28*K28</f>
        <v>1.4899370200038682E-4</v>
      </c>
      <c r="U28" s="9">
        <f t="shared" ref="U28:U91" si="11">$R28*M28</f>
        <v>1.4989791074860746E-4</v>
      </c>
      <c r="V28" s="100">
        <f>K28/M28</f>
        <v>0.99396783621796381</v>
      </c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88"/>
      <c r="B29" s="46" t="s">
        <v>163</v>
      </c>
      <c r="C29" s="46" t="s">
        <v>164</v>
      </c>
      <c r="D29" s="47">
        <v>2.31</v>
      </c>
      <c r="E29" s="47">
        <v>2.58</v>
      </c>
      <c r="F29" s="96">
        <v>9.9999999999999995E-7</v>
      </c>
      <c r="G29" s="168"/>
      <c r="H29" s="168"/>
      <c r="I29" s="92">
        <f t="shared" si="1"/>
        <v>0.32619780382173885</v>
      </c>
      <c r="J29" s="92">
        <f t="shared" si="2"/>
        <v>1.514455589262484</v>
      </c>
      <c r="K29" s="93">
        <f t="shared" si="3"/>
        <v>0.46462565199007749</v>
      </c>
      <c r="L29" s="93">
        <f t="shared" si="4"/>
        <v>1.0179419351531356E-2</v>
      </c>
      <c r="M29" s="93">
        <f t="shared" si="5"/>
        <v>0.98982058064846867</v>
      </c>
      <c r="N29" s="93">
        <f t="shared" si="6"/>
        <v>3.5513107123932948E-3</v>
      </c>
      <c r="O29" s="40">
        <f t="shared" si="7"/>
        <v>4.6735630810069906E-7</v>
      </c>
      <c r="P29" s="40">
        <f t="shared" si="8"/>
        <v>1.5279308446648567E-5</v>
      </c>
      <c r="Q29" s="40">
        <f t="shared" si="9"/>
        <v>1.7768391264341119E-4</v>
      </c>
      <c r="R29" s="9">
        <f t="shared" ref="R29:R92" si="12">F29*$C$14</f>
        <v>1.4999999999999999E-4</v>
      </c>
      <c r="S29" s="9">
        <f t="shared" ref="S29:S92" si="13">$R29*L29</f>
        <v>1.5269129027297034E-6</v>
      </c>
      <c r="T29" s="9">
        <f t="shared" si="10"/>
        <v>6.9693847798511622E-5</v>
      </c>
      <c r="U29" s="9">
        <f t="shared" si="11"/>
        <v>1.484730870972703E-4</v>
      </c>
      <c r="V29" s="100">
        <f t="shared" ref="V29:V92" si="14">K29/M29</f>
        <v>0.46940391124791908</v>
      </c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89"/>
      <c r="B30" s="46" t="s">
        <v>165</v>
      </c>
      <c r="C30" s="46" t="s">
        <v>166</v>
      </c>
      <c r="D30" s="90">
        <v>4.4000000000000004</v>
      </c>
      <c r="E30" s="90">
        <v>2.64</v>
      </c>
      <c r="F30" s="96">
        <v>9.9999999999999995E-7</v>
      </c>
      <c r="G30" s="168"/>
      <c r="H30" s="168"/>
      <c r="I30" s="92">
        <f t="shared" si="1"/>
        <v>2.0854020627961285</v>
      </c>
      <c r="J30" s="92">
        <f t="shared" si="2"/>
        <v>3.4024078837943859</v>
      </c>
      <c r="K30" s="93">
        <f t="shared" si="3"/>
        <v>8.0607610349741916E-3</v>
      </c>
      <c r="L30" s="93">
        <f t="shared" si="4"/>
        <v>1.3644202721995539E-2</v>
      </c>
      <c r="M30" s="93">
        <f t="shared" si="5"/>
        <v>0.98635579727800449</v>
      </c>
      <c r="N30" s="93">
        <f t="shared" si="6"/>
        <v>7.0739426462492925E-5</v>
      </c>
      <c r="O30" s="40">
        <f t="shared" si="7"/>
        <v>8.1081350150420914E-9</v>
      </c>
      <c r="P30" s="40">
        <f t="shared" si="8"/>
        <v>2.0479948285715318E-5</v>
      </c>
      <c r="Q30" s="40">
        <f t="shared" si="9"/>
        <v>3.5393293040067294E-6</v>
      </c>
      <c r="R30" s="9">
        <f t="shared" si="12"/>
        <v>1.4999999999999999E-4</v>
      </c>
      <c r="S30" s="9">
        <f t="shared" si="13"/>
        <v>2.0466304082993306E-6</v>
      </c>
      <c r="T30" s="9">
        <f t="shared" si="10"/>
        <v>1.2091141552461287E-6</v>
      </c>
      <c r="U30" s="9">
        <f t="shared" si="11"/>
        <v>1.4795336959170065E-4</v>
      </c>
      <c r="V30" s="100">
        <f t="shared" si="14"/>
        <v>8.1722650763741238E-3</v>
      </c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x14ac:dyDescent="0.45">
      <c r="A31" s="89"/>
      <c r="B31" s="46" t="s">
        <v>91</v>
      </c>
      <c r="C31" s="46" t="s">
        <v>92</v>
      </c>
      <c r="D31" s="47">
        <v>-0.92190615231165807</v>
      </c>
      <c r="E31" s="47">
        <v>-1.7889087518799642</v>
      </c>
      <c r="F31" s="96">
        <v>9.9999999999999995E-7</v>
      </c>
      <c r="G31" s="168"/>
      <c r="H31" s="168"/>
      <c r="I31" s="92">
        <f t="shared" si="1"/>
        <v>-2.0020416091501053E-3</v>
      </c>
      <c r="J31" s="92">
        <f t="shared" si="2"/>
        <v>-5.4306074131011448E-2</v>
      </c>
      <c r="K31" s="93">
        <f t="shared" si="3"/>
        <v>0.99882624898004235</v>
      </c>
      <c r="L31" s="93">
        <f t="shared" si="4"/>
        <v>5.9067434179792863E-4</v>
      </c>
      <c r="M31" s="93">
        <f t="shared" si="5"/>
        <v>0.99940932565820206</v>
      </c>
      <c r="N31" s="93">
        <f t="shared" si="6"/>
        <v>3.2648759366683162E-7</v>
      </c>
      <c r="O31" s="40">
        <f t="shared" si="7"/>
        <v>1.0046964608130404E-6</v>
      </c>
      <c r="P31" s="40">
        <f t="shared" si="8"/>
        <v>8.8660218703869088E-7</v>
      </c>
      <c r="Q31" s="40">
        <f t="shared" si="9"/>
        <v>1.6335262603130476E-8</v>
      </c>
      <c r="R31" s="9">
        <f t="shared" si="12"/>
        <v>1.4999999999999999E-4</v>
      </c>
      <c r="S31" s="9">
        <f t="shared" si="13"/>
        <v>8.8601151269689287E-8</v>
      </c>
      <c r="T31" s="9">
        <f t="shared" si="10"/>
        <v>1.4982393734700635E-4</v>
      </c>
      <c r="U31" s="9">
        <f t="shared" si="11"/>
        <v>1.499113988487303E-4</v>
      </c>
      <c r="V31" s="100">
        <f t="shared" si="14"/>
        <v>0.99941657870985379</v>
      </c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89"/>
      <c r="B32" s="46" t="s">
        <v>93</v>
      </c>
      <c r="C32" s="46" t="s">
        <v>94</v>
      </c>
      <c r="D32" s="47">
        <v>0.54749180498968375</v>
      </c>
      <c r="E32" s="47">
        <v>0.30136158174588817</v>
      </c>
      <c r="F32" s="96">
        <v>9.9999999999999995E-7</v>
      </c>
      <c r="G32" s="168"/>
      <c r="H32" s="168"/>
      <c r="I32" s="92">
        <f t="shared" si="1"/>
        <v>5.4008424806920542E-3</v>
      </c>
      <c r="J32" s="92">
        <f t="shared" si="2"/>
        <v>0.1081643537301431</v>
      </c>
      <c r="K32" s="93">
        <f t="shared" si="3"/>
        <v>0.98169594510998692</v>
      </c>
      <c r="L32" s="93">
        <f t="shared" si="4"/>
        <v>8.4392836492095595E-4</v>
      </c>
      <c r="M32" s="93">
        <f t="shared" si="5"/>
        <v>0.99915607163507902</v>
      </c>
      <c r="N32" s="93">
        <f t="shared" si="6"/>
        <v>3.9502453157215435E-5</v>
      </c>
      <c r="O32" s="40">
        <f t="shared" si="7"/>
        <v>9.8746548026114619E-7</v>
      </c>
      <c r="P32" s="40">
        <f t="shared" si="8"/>
        <v>1.2667364757463552E-6</v>
      </c>
      <c r="Q32" s="40">
        <f t="shared" si="9"/>
        <v>1.9764394062993459E-6</v>
      </c>
      <c r="R32" s="9">
        <f t="shared" si="12"/>
        <v>1.4999999999999999E-4</v>
      </c>
      <c r="S32" s="9">
        <f t="shared" si="13"/>
        <v>1.2658925473814339E-7</v>
      </c>
      <c r="T32" s="9">
        <f t="shared" si="10"/>
        <v>1.4725439176649802E-4</v>
      </c>
      <c r="U32" s="9">
        <f t="shared" si="11"/>
        <v>1.4987341074526185E-4</v>
      </c>
      <c r="V32" s="100">
        <f t="shared" si="14"/>
        <v>0.98252512593300934</v>
      </c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89"/>
      <c r="B33" s="94" t="s">
        <v>167</v>
      </c>
      <c r="C33" s="94" t="s">
        <v>111</v>
      </c>
      <c r="D33" s="95">
        <v>1.6452318246143236</v>
      </c>
      <c r="E33" s="95">
        <v>1.8629354124795308</v>
      </c>
      <c r="F33" s="96">
        <v>9.9999999999999995E-7</v>
      </c>
      <c r="G33" s="168"/>
      <c r="H33" s="168"/>
      <c r="I33" s="92">
        <f t="shared" si="1"/>
        <v>9.1527063522880606E-2</v>
      </c>
      <c r="J33" s="92">
        <f t="shared" si="2"/>
        <v>0.87367564161458711</v>
      </c>
      <c r="K33" s="93">
        <f t="shared" si="3"/>
        <v>0.80254193112319094</v>
      </c>
      <c r="L33" s="93">
        <f t="shared" si="4"/>
        <v>4.0207549695742521E-3</v>
      </c>
      <c r="M33" s="93">
        <f t="shared" si="5"/>
        <v>0.99597924503042579</v>
      </c>
      <c r="N33" s="93">
        <f t="shared" si="6"/>
        <v>1.1767619926121831E-3</v>
      </c>
      <c r="O33" s="40">
        <f t="shared" si="7"/>
        <v>8.0725855840983583E-7</v>
      </c>
      <c r="P33" s="40">
        <f t="shared" si="8"/>
        <v>6.0351532093309513E-6</v>
      </c>
      <c r="Q33" s="40">
        <f t="shared" si="9"/>
        <v>5.8877325030362893E-5</v>
      </c>
      <c r="R33" s="9">
        <f t="shared" si="12"/>
        <v>1.4999999999999999E-4</v>
      </c>
      <c r="S33" s="9">
        <f t="shared" si="13"/>
        <v>6.0311324543613776E-7</v>
      </c>
      <c r="T33" s="9">
        <f t="shared" si="10"/>
        <v>1.2038128966847863E-4</v>
      </c>
      <c r="U33" s="9">
        <f t="shared" si="11"/>
        <v>1.4939688675456387E-4</v>
      </c>
      <c r="V33" s="100">
        <f t="shared" si="14"/>
        <v>0.80578178222847852</v>
      </c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88"/>
      <c r="B34" s="46" t="s">
        <v>95</v>
      </c>
      <c r="C34" s="46" t="s">
        <v>96</v>
      </c>
      <c r="D34" s="90">
        <v>0.39857726844789648</v>
      </c>
      <c r="E34" s="90">
        <v>8.9525410045599246E-2</v>
      </c>
      <c r="F34" s="96">
        <v>9.9999999999999995E-7</v>
      </c>
      <c r="G34" s="168"/>
      <c r="H34" s="168"/>
      <c r="I34" s="92">
        <f t="shared" si="1"/>
        <v>3.1608226539332684E-3</v>
      </c>
      <c r="J34" s="92">
        <f t="shared" si="2"/>
        <v>6.3421506945535652E-2</v>
      </c>
      <c r="K34" s="93">
        <f t="shared" si="3"/>
        <v>0.98685009745894603</v>
      </c>
      <c r="L34" s="93">
        <f t="shared" si="4"/>
        <v>7.6530918994061937E-4</v>
      </c>
      <c r="M34" s="93">
        <f t="shared" si="5"/>
        <v>0.99923469081005933</v>
      </c>
      <c r="N34" s="93">
        <f t="shared" si="6"/>
        <v>2.4381593499690683E-5</v>
      </c>
      <c r="O34" s="40">
        <f t="shared" si="7"/>
        <v>9.9264992413091665E-7</v>
      </c>
      <c r="P34" s="40">
        <f t="shared" si="8"/>
        <v>1.1487290941008695E-6</v>
      </c>
      <c r="Q34" s="40">
        <f t="shared" si="9"/>
        <v>1.2198923947678573E-6</v>
      </c>
      <c r="R34" s="9">
        <f t="shared" si="12"/>
        <v>1.4999999999999999E-4</v>
      </c>
      <c r="S34" s="9">
        <f t="shared" si="13"/>
        <v>1.1479637849109289E-7</v>
      </c>
      <c r="T34" s="9">
        <f t="shared" si="10"/>
        <v>1.4802751461884188E-4</v>
      </c>
      <c r="U34" s="9">
        <f t="shared" si="11"/>
        <v>1.4988520362150889E-4</v>
      </c>
      <c r="V34" s="100">
        <f t="shared" si="14"/>
        <v>0.98760592134659242</v>
      </c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x14ac:dyDescent="0.45">
      <c r="A35" s="88"/>
      <c r="B35" s="46" t="s">
        <v>97</v>
      </c>
      <c r="C35" s="46" t="s">
        <v>98</v>
      </c>
      <c r="D35" s="90">
        <v>0.27761205565007074</v>
      </c>
      <c r="E35" s="90">
        <v>-8.2551864497786676E-2</v>
      </c>
      <c r="F35" s="96">
        <v>9.9999999999999995E-7</v>
      </c>
      <c r="G35" s="168"/>
      <c r="H35" s="168"/>
      <c r="I35" s="92">
        <f t="shared" si="1"/>
        <v>1.8333114105419375E-3</v>
      </c>
      <c r="J35" s="92">
        <f t="shared" si="2"/>
        <v>3.5152646939541399E-2</v>
      </c>
      <c r="K35" s="93">
        <f t="shared" si="3"/>
        <v>0.98991679366173446</v>
      </c>
      <c r="L35" s="93">
        <f t="shared" si="4"/>
        <v>7.1930912894046422E-4</v>
      </c>
      <c r="M35" s="93">
        <f t="shared" si="5"/>
        <v>0.99928069087105953</v>
      </c>
      <c r="N35" s="93">
        <f t="shared" si="6"/>
        <v>1.645630452325763E-5</v>
      </c>
      <c r="O35" s="40">
        <f t="shared" si="7"/>
        <v>9.9573464364492288E-7</v>
      </c>
      <c r="P35" s="40">
        <f t="shared" si="8"/>
        <v>1.0796830025396368E-6</v>
      </c>
      <c r="Q35" s="40">
        <f t="shared" si="9"/>
        <v>8.2336376964699013E-7</v>
      </c>
      <c r="R35" s="9">
        <f t="shared" si="12"/>
        <v>1.4999999999999999E-4</v>
      </c>
      <c r="S35" s="9">
        <f t="shared" si="13"/>
        <v>1.0789636934106963E-7</v>
      </c>
      <c r="T35" s="9">
        <f t="shared" si="10"/>
        <v>1.4848751904926016E-4</v>
      </c>
      <c r="U35" s="9">
        <f t="shared" si="11"/>
        <v>1.4989210363065893E-4</v>
      </c>
      <c r="V35" s="100">
        <f t="shared" si="14"/>
        <v>0.99062936240550925</v>
      </c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88"/>
      <c r="B36" s="46" t="s">
        <v>168</v>
      </c>
      <c r="C36" s="46" t="s">
        <v>169</v>
      </c>
      <c r="D36" s="47">
        <v>3.4409280000000009</v>
      </c>
      <c r="E36" s="47">
        <v>4.1160660000000009</v>
      </c>
      <c r="F36" s="96">
        <v>9.9999999999999995E-7</v>
      </c>
      <c r="G36" s="168"/>
      <c r="H36" s="168"/>
      <c r="I36" s="92">
        <f t="shared" si="1"/>
        <v>1.2834731216469764</v>
      </c>
      <c r="J36" s="92">
        <f t="shared" si="2"/>
        <v>2.8252916173691829</v>
      </c>
      <c r="K36" s="93">
        <f t="shared" si="3"/>
        <v>5.06180520945088E-2</v>
      </c>
      <c r="L36" s="93">
        <f t="shared" si="4"/>
        <v>2.2686175055606259E-2</v>
      </c>
      <c r="M36" s="93">
        <f t="shared" si="5"/>
        <v>0.97731382494439378</v>
      </c>
      <c r="N36" s="93">
        <f t="shared" si="6"/>
        <v>1.3294038014138167E-2</v>
      </c>
      <c r="O36" s="40">
        <f t="shared" si="7"/>
        <v>5.0915539959562332E-8</v>
      </c>
      <c r="P36" s="40">
        <f t="shared" si="8"/>
        <v>3.4051948758465017E-5</v>
      </c>
      <c r="Q36" s="40">
        <f t="shared" si="9"/>
        <v>6.6514503530737965E-4</v>
      </c>
      <c r="R36" s="9">
        <f t="shared" si="12"/>
        <v>1.4999999999999999E-4</v>
      </c>
      <c r="S36" s="9">
        <f t="shared" si="13"/>
        <v>3.4029262583409386E-6</v>
      </c>
      <c r="T36" s="9">
        <f t="shared" si="10"/>
        <v>7.5927078141763191E-6</v>
      </c>
      <c r="U36" s="9">
        <f t="shared" si="11"/>
        <v>1.4659707374165907E-4</v>
      </c>
      <c r="V36" s="100">
        <f t="shared" si="14"/>
        <v>5.179303802173147E-2</v>
      </c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88"/>
      <c r="B37" s="94" t="s">
        <v>170</v>
      </c>
      <c r="C37" s="94" t="s">
        <v>171</v>
      </c>
      <c r="D37" s="95">
        <v>4.9025336133267672</v>
      </c>
      <c r="E37" s="95">
        <v>6.4965619006479365</v>
      </c>
      <c r="F37" s="96">
        <v>9.9999999999999995E-7</v>
      </c>
      <c r="G37" s="168"/>
      <c r="H37" s="168"/>
      <c r="I37" s="92">
        <f t="shared" si="1"/>
        <v>3.1977472098667894</v>
      </c>
      <c r="J37" s="92">
        <f t="shared" si="2"/>
        <v>5.0090720863344043</v>
      </c>
      <c r="K37" s="93">
        <f t="shared" si="3"/>
        <v>6.0483940125973196E-4</v>
      </c>
      <c r="L37" s="93">
        <f t="shared" si="4"/>
        <v>4.1388186203012815E-2</v>
      </c>
      <c r="M37" s="93">
        <f t="shared" si="5"/>
        <v>0.95861181379698723</v>
      </c>
      <c r="N37" s="93">
        <f t="shared" si="6"/>
        <v>3.8149378162445402E-2</v>
      </c>
      <c r="O37" s="40">
        <f t="shared" si="7"/>
        <v>6.0839410901192005E-10</v>
      </c>
      <c r="P37" s="40">
        <f t="shared" si="8"/>
        <v>6.212366749072231E-5</v>
      </c>
      <c r="Q37" s="40">
        <f t="shared" si="9"/>
        <v>1.9087405540610183E-3</v>
      </c>
      <c r="R37" s="9">
        <f t="shared" si="12"/>
        <v>1.4999999999999999E-4</v>
      </c>
      <c r="S37" s="9">
        <f t="shared" si="13"/>
        <v>6.2082279304519222E-6</v>
      </c>
      <c r="T37" s="9">
        <f t="shared" si="10"/>
        <v>9.0725910188959782E-8</v>
      </c>
      <c r="U37" s="9">
        <f t="shared" si="11"/>
        <v>1.4379177206954807E-4</v>
      </c>
      <c r="V37" s="100">
        <f t="shared" si="14"/>
        <v>6.309534188442868E-4</v>
      </c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88"/>
      <c r="B38" s="46" t="s">
        <v>172</v>
      </c>
      <c r="C38" s="46" t="s">
        <v>173</v>
      </c>
      <c r="D38" s="90">
        <v>-0.51108880646233978</v>
      </c>
      <c r="E38" s="90">
        <v>-1.2045066120098076</v>
      </c>
      <c r="F38" s="96">
        <v>9.9999999999999995E-7</v>
      </c>
      <c r="G38" s="168"/>
      <c r="H38" s="168"/>
      <c r="I38" s="92">
        <f t="shared" si="1"/>
        <v>-1.5996885357091404E-3</v>
      </c>
      <c r="J38" s="92">
        <f t="shared" si="2"/>
        <v>-4.4457083371635821E-2</v>
      </c>
      <c r="K38" s="93">
        <f t="shared" si="3"/>
        <v>0.99788835124723629</v>
      </c>
      <c r="L38" s="93">
        <f t="shared" si="4"/>
        <v>6.0365541774127802E-4</v>
      </c>
      <c r="M38" s="93">
        <f t="shared" si="5"/>
        <v>0.99939634458225868</v>
      </c>
      <c r="N38" s="93">
        <f t="shared" si="6"/>
        <v>1.2527396658002935E-6</v>
      </c>
      <c r="O38" s="40">
        <f t="shared" si="7"/>
        <v>1.0037530509519989E-6</v>
      </c>
      <c r="P38" s="40">
        <f t="shared" si="8"/>
        <v>9.0608678202965823E-7</v>
      </c>
      <c r="Q38" s="40">
        <f t="shared" si="9"/>
        <v>6.2678741278874694E-8</v>
      </c>
      <c r="R38" s="9">
        <f t="shared" si="12"/>
        <v>1.4999999999999999E-4</v>
      </c>
      <c r="S38" s="9">
        <f t="shared" si="13"/>
        <v>9.05483126611917E-8</v>
      </c>
      <c r="T38" s="9">
        <f t="shared" si="10"/>
        <v>1.4968325268708543E-4</v>
      </c>
      <c r="U38" s="9">
        <f t="shared" si="11"/>
        <v>1.4990945168733878E-4</v>
      </c>
      <c r="V38" s="100">
        <f t="shared" si="14"/>
        <v>0.99849109580678652</v>
      </c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x14ac:dyDescent="0.45">
      <c r="A39" s="88"/>
      <c r="B39" s="46" t="s">
        <v>99</v>
      </c>
      <c r="C39" s="46" t="s">
        <v>100</v>
      </c>
      <c r="D39" s="90">
        <v>2.3414159999999997</v>
      </c>
      <c r="E39" s="90">
        <v>2.4767320000000002</v>
      </c>
      <c r="F39" s="96">
        <v>9.9999999999999995E-7</v>
      </c>
      <c r="G39" s="168"/>
      <c r="H39" s="168"/>
      <c r="I39" s="92">
        <f t="shared" si="1"/>
        <v>0.33491051106253611</v>
      </c>
      <c r="J39" s="92">
        <f t="shared" si="2"/>
        <v>1.5025773317670659</v>
      </c>
      <c r="K39" s="93">
        <f t="shared" si="3"/>
        <v>0.45561208729708097</v>
      </c>
      <c r="L39" s="93">
        <f t="shared" si="4"/>
        <v>9.7126290493764183E-3</v>
      </c>
      <c r="M39" s="93">
        <f t="shared" si="5"/>
        <v>0.99028737095062358</v>
      </c>
      <c r="N39" s="93">
        <f t="shared" si="6"/>
        <v>2.7454448567182342E-3</v>
      </c>
      <c r="O39" s="40">
        <f t="shared" si="7"/>
        <v>4.5828976969563567E-7</v>
      </c>
      <c r="P39" s="40">
        <f t="shared" si="8"/>
        <v>1.4578656203114006E-5</v>
      </c>
      <c r="Q39" s="40">
        <f t="shared" si="9"/>
        <v>1.37363757664469E-4</v>
      </c>
      <c r="R39" s="9">
        <f t="shared" si="12"/>
        <v>1.4999999999999999E-4</v>
      </c>
      <c r="S39" s="9">
        <f t="shared" si="13"/>
        <v>1.4568943574064627E-6</v>
      </c>
      <c r="T39" s="9">
        <f t="shared" si="10"/>
        <v>6.8341813094562141E-5</v>
      </c>
      <c r="U39" s="9">
        <f t="shared" si="11"/>
        <v>1.4854310564259353E-4</v>
      </c>
      <c r="V39" s="100">
        <f t="shared" si="14"/>
        <v>0.46008068027740012</v>
      </c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88"/>
      <c r="B40" s="46" t="s">
        <v>174</v>
      </c>
      <c r="C40" s="46" t="s">
        <v>175</v>
      </c>
      <c r="D40" s="47">
        <v>2.349974877229557</v>
      </c>
      <c r="E40" s="47">
        <v>2.8654572197209189</v>
      </c>
      <c r="F40" s="96">
        <v>9.9999999999999995E-7</v>
      </c>
      <c r="G40" s="168"/>
      <c r="H40" s="168"/>
      <c r="I40" s="92">
        <f t="shared" si="1"/>
        <v>0.37071855582347524</v>
      </c>
      <c r="J40" s="92">
        <f t="shared" si="2"/>
        <v>1.6557511053520559</v>
      </c>
      <c r="K40" s="93">
        <f t="shared" si="3"/>
        <v>0.41829274812856704</v>
      </c>
      <c r="L40" s="93">
        <f t="shared" si="4"/>
        <v>1.2688073151431728E-2</v>
      </c>
      <c r="M40" s="93">
        <f t="shared" si="5"/>
        <v>0.98731192684856828</v>
      </c>
      <c r="N40" s="93">
        <f t="shared" si="6"/>
        <v>6.1691175118139333E-3</v>
      </c>
      <c r="O40" s="40">
        <f t="shared" si="7"/>
        <v>4.2075110066208227E-7</v>
      </c>
      <c r="P40" s="40">
        <f t="shared" si="8"/>
        <v>1.9044797800299025E-5</v>
      </c>
      <c r="Q40" s="40">
        <f t="shared" si="9"/>
        <v>3.0866151284109051E-4</v>
      </c>
      <c r="R40" s="9">
        <f t="shared" si="12"/>
        <v>1.4999999999999999E-4</v>
      </c>
      <c r="S40" s="9">
        <f t="shared" si="13"/>
        <v>1.9032109727147591E-6</v>
      </c>
      <c r="T40" s="9">
        <f t="shared" si="10"/>
        <v>6.2743912219285046E-5</v>
      </c>
      <c r="U40" s="9">
        <f t="shared" si="11"/>
        <v>1.4809678902728523E-4</v>
      </c>
      <c r="V40" s="100">
        <f t="shared" si="14"/>
        <v>0.42366828228615522</v>
      </c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88"/>
      <c r="B41" s="94" t="s">
        <v>176</v>
      </c>
      <c r="C41" s="94" t="s">
        <v>177</v>
      </c>
      <c r="D41" s="95">
        <v>1.4854320000000003</v>
      </c>
      <c r="E41" s="95">
        <v>1.5057189999999996</v>
      </c>
      <c r="F41" s="96">
        <v>9.9999999999999995E-7</v>
      </c>
      <c r="G41" s="168"/>
      <c r="H41" s="168"/>
      <c r="I41" s="92">
        <f t="shared" si="1"/>
        <v>6.2122287627494992E-2</v>
      </c>
      <c r="J41" s="92">
        <f t="shared" si="2"/>
        <v>0.68923958342305858</v>
      </c>
      <c r="K41" s="93">
        <f t="shared" si="3"/>
        <v>0.85979921963767902</v>
      </c>
      <c r="L41" s="93">
        <f t="shared" si="4"/>
        <v>2.8170909158343979E-3</v>
      </c>
      <c r="M41" s="93">
        <f t="shared" si="5"/>
        <v>0.99718290908416563</v>
      </c>
      <c r="N41" s="93">
        <f t="shared" si="6"/>
        <v>5.538619552088094E-4</v>
      </c>
      <c r="O41" s="40">
        <f t="shared" si="7"/>
        <v>8.6485235431277743E-7</v>
      </c>
      <c r="P41" s="40">
        <f t="shared" si="8"/>
        <v>4.2284534646674315E-6</v>
      </c>
      <c r="Q41" s="40">
        <f t="shared" si="9"/>
        <v>2.7711559825614095E-5</v>
      </c>
      <c r="R41" s="9">
        <f t="shared" si="12"/>
        <v>1.4999999999999999E-4</v>
      </c>
      <c r="S41" s="9">
        <f t="shared" si="13"/>
        <v>4.2256363737515963E-7</v>
      </c>
      <c r="T41" s="9">
        <f t="shared" si="10"/>
        <v>1.2896988294565183E-4</v>
      </c>
      <c r="U41" s="9">
        <f t="shared" si="11"/>
        <v>1.4957743636262482E-4</v>
      </c>
      <c r="V41" s="100">
        <f t="shared" si="14"/>
        <v>0.86222819485277502</v>
      </c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x14ac:dyDescent="0.45">
      <c r="A42" s="89"/>
      <c r="B42" s="46" t="s">
        <v>178</v>
      </c>
      <c r="C42" s="46" t="s">
        <v>179</v>
      </c>
      <c r="D42" s="90">
        <v>2.0758240000000003</v>
      </c>
      <c r="E42" s="90">
        <v>2.477398</v>
      </c>
      <c r="F42" s="96">
        <v>9.9999999999999995E-7</v>
      </c>
      <c r="G42" s="168"/>
      <c r="H42" s="168"/>
      <c r="I42" s="92">
        <f t="shared" si="1"/>
        <v>0.22542744412672311</v>
      </c>
      <c r="J42" s="92">
        <f t="shared" si="2"/>
        <v>1.3381242784059832</v>
      </c>
      <c r="K42" s="93">
        <f t="shared" si="3"/>
        <v>0.58692159597538518</v>
      </c>
      <c r="L42" s="93">
        <f t="shared" si="4"/>
        <v>8.5677858205034201E-3</v>
      </c>
      <c r="M42" s="93">
        <f t="shared" si="5"/>
        <v>0.99143221417949656</v>
      </c>
      <c r="N42" s="93">
        <f t="shared" si="6"/>
        <v>3.5421225083078463E-3</v>
      </c>
      <c r="O42" s="40">
        <f t="shared" si="7"/>
        <v>5.9037099881322112E-7</v>
      </c>
      <c r="P42" s="40">
        <f t="shared" si="8"/>
        <v>1.2860246516575628E-5</v>
      </c>
      <c r="Q42" s="40">
        <f t="shared" si="9"/>
        <v>1.7722419616566926E-4</v>
      </c>
      <c r="R42" s="9">
        <f t="shared" si="12"/>
        <v>1.4999999999999999E-4</v>
      </c>
      <c r="S42" s="9">
        <f t="shared" si="13"/>
        <v>1.2851678730755128E-6</v>
      </c>
      <c r="T42" s="9">
        <f t="shared" si="10"/>
        <v>8.8038239396307763E-5</v>
      </c>
      <c r="U42" s="9">
        <f t="shared" si="11"/>
        <v>1.4871483212692448E-4</v>
      </c>
      <c r="V42" s="100">
        <f t="shared" si="14"/>
        <v>0.59199367095522315</v>
      </c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89"/>
      <c r="B43" s="46" t="s">
        <v>180</v>
      </c>
      <c r="C43" s="46" t="s">
        <v>181</v>
      </c>
      <c r="D43" s="90">
        <v>2.3078000000000003</v>
      </c>
      <c r="E43" s="90">
        <v>2.5099249999999995</v>
      </c>
      <c r="F43" s="96">
        <v>9.9999999999999995E-7</v>
      </c>
      <c r="G43" s="168"/>
      <c r="H43" s="168"/>
      <c r="I43" s="92">
        <f t="shared" si="1"/>
        <v>0.32073739190116707</v>
      </c>
      <c r="J43" s="92">
        <f t="shared" si="2"/>
        <v>1.4898227768640917</v>
      </c>
      <c r="K43" s="93">
        <f t="shared" si="3"/>
        <v>0.47071122626484246</v>
      </c>
      <c r="L43" s="93">
        <f t="shared" si="4"/>
        <v>9.7440962725093751E-3</v>
      </c>
      <c r="M43" s="93">
        <f t="shared" si="5"/>
        <v>0.99025590372749062</v>
      </c>
      <c r="N43" s="93">
        <f t="shared" si="6"/>
        <v>3.0617169889588132E-3</v>
      </c>
      <c r="O43" s="40">
        <f t="shared" si="7"/>
        <v>4.7347764796548009E-7</v>
      </c>
      <c r="P43" s="40">
        <f t="shared" si="8"/>
        <v>1.4625888505036575E-5</v>
      </c>
      <c r="Q43" s="40">
        <f t="shared" si="9"/>
        <v>1.5318790668090594E-4</v>
      </c>
      <c r="R43" s="9">
        <f t="shared" si="12"/>
        <v>1.4999999999999999E-4</v>
      </c>
      <c r="S43" s="9">
        <f t="shared" si="13"/>
        <v>1.4616144408764061E-6</v>
      </c>
      <c r="T43" s="9">
        <f t="shared" si="10"/>
        <v>7.0606683939726368E-5</v>
      </c>
      <c r="U43" s="9">
        <f t="shared" si="11"/>
        <v>1.4853838555912359E-4</v>
      </c>
      <c r="V43" s="100">
        <f t="shared" si="14"/>
        <v>0.47534301435922355</v>
      </c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89"/>
      <c r="B44" s="46" t="s">
        <v>182</v>
      </c>
      <c r="C44" s="46" t="s">
        <v>183</v>
      </c>
      <c r="D44" s="90">
        <v>5.676184000000001</v>
      </c>
      <c r="E44" s="90">
        <v>7.0708080000000004</v>
      </c>
      <c r="F44" s="96">
        <v>9.9999999999999995E-7</v>
      </c>
      <c r="G44" s="168"/>
      <c r="H44" s="168"/>
      <c r="I44" s="92">
        <f t="shared" si="1"/>
        <v>3.8293839195374848</v>
      </c>
      <c r="J44" s="92">
        <f t="shared" si="2"/>
        <v>5.6026792956514546</v>
      </c>
      <c r="K44" s="93">
        <f t="shared" si="3"/>
        <v>1.417467182660711E-4</v>
      </c>
      <c r="L44" s="93">
        <f t="shared" si="4"/>
        <v>3.8050164760752736E-2</v>
      </c>
      <c r="M44" s="93">
        <f t="shared" si="5"/>
        <v>0.96194983523924726</v>
      </c>
      <c r="N44" s="93">
        <f t="shared" si="6"/>
        <v>3.3543355171479307E-2</v>
      </c>
      <c r="O44" s="40">
        <f t="shared" si="7"/>
        <v>1.4257977933520483E-10</v>
      </c>
      <c r="P44" s="40">
        <f t="shared" si="8"/>
        <v>5.7113297305889875E-5</v>
      </c>
      <c r="Q44" s="40">
        <f t="shared" si="9"/>
        <v>1.6782858704130149E-3</v>
      </c>
      <c r="R44" s="9">
        <f t="shared" si="12"/>
        <v>1.4999999999999999E-4</v>
      </c>
      <c r="S44" s="9">
        <f t="shared" si="13"/>
        <v>5.70752471411291E-6</v>
      </c>
      <c r="T44" s="9">
        <f t="shared" si="10"/>
        <v>2.1262007739910663E-8</v>
      </c>
      <c r="U44" s="9">
        <f t="shared" si="11"/>
        <v>1.4429247528588708E-4</v>
      </c>
      <c r="V44" s="100">
        <f t="shared" si="14"/>
        <v>1.4735354492868868E-4</v>
      </c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89"/>
      <c r="B45" s="46" t="s">
        <v>184</v>
      </c>
      <c r="C45" s="46" t="s">
        <v>185</v>
      </c>
      <c r="D45" s="90">
        <v>1.2599279999999999</v>
      </c>
      <c r="E45" s="90">
        <v>1.3925860000000003</v>
      </c>
      <c r="F45" s="96">
        <v>9.9999999999999995E-7</v>
      </c>
      <c r="G45" s="168"/>
      <c r="H45" s="168"/>
      <c r="I45" s="92">
        <f t="shared" si="1"/>
        <v>3.8037572032670899E-2</v>
      </c>
      <c r="J45" s="92">
        <f t="shared" si="2"/>
        <v>0.53532069811024507</v>
      </c>
      <c r="K45" s="93">
        <f t="shared" si="3"/>
        <v>0.90949020081727439</v>
      </c>
      <c r="L45" s="93">
        <f t="shared" si="4"/>
        <v>2.0906578113080404E-3</v>
      </c>
      <c r="M45" s="93">
        <f t="shared" si="5"/>
        <v>0.99790934218869198</v>
      </c>
      <c r="N45" s="93">
        <f t="shared" si="6"/>
        <v>4.5151222334770198E-4</v>
      </c>
      <c r="O45" s="40">
        <f t="shared" si="7"/>
        <v>9.148353748595918E-7</v>
      </c>
      <c r="P45" s="40">
        <f t="shared" si="8"/>
        <v>3.1380773747733694E-6</v>
      </c>
      <c r="Q45" s="40">
        <f t="shared" si="9"/>
        <v>2.2590661574830026E-5</v>
      </c>
      <c r="R45" s="9">
        <f t="shared" si="12"/>
        <v>1.4999999999999999E-4</v>
      </c>
      <c r="S45" s="9">
        <f t="shared" si="13"/>
        <v>3.1359867169620602E-7</v>
      </c>
      <c r="T45" s="9">
        <f t="shared" si="10"/>
        <v>1.3642353012259113E-4</v>
      </c>
      <c r="U45" s="9">
        <f t="shared" si="11"/>
        <v>1.4968640132830379E-4</v>
      </c>
      <c r="V45" s="100">
        <f t="shared" si="14"/>
        <v>0.91139561718353101</v>
      </c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x14ac:dyDescent="0.45">
      <c r="A46" s="88"/>
      <c r="B46" s="46" t="s">
        <v>186</v>
      </c>
      <c r="C46" s="46" t="s">
        <v>187</v>
      </c>
      <c r="D46" s="91">
        <v>1.2889359999999999</v>
      </c>
      <c r="E46" s="91">
        <v>1.371977</v>
      </c>
      <c r="F46" s="96">
        <v>9.9999999999999995E-7</v>
      </c>
      <c r="G46" s="168"/>
      <c r="H46" s="168"/>
      <c r="I46" s="92">
        <f t="shared" si="1"/>
        <v>4.0258976380178252E-2</v>
      </c>
      <c r="J46" s="92">
        <f t="shared" si="2"/>
        <v>0.54673395685959203</v>
      </c>
      <c r="K46" s="93">
        <f t="shared" si="3"/>
        <v>0.90480959717006837</v>
      </c>
      <c r="L46" s="93">
        <f t="shared" si="4"/>
        <v>2.1352827344299163E-3</v>
      </c>
      <c r="M46" s="93">
        <f t="shared" si="5"/>
        <v>0.99786471726557013</v>
      </c>
      <c r="N46" s="93">
        <f t="shared" si="6"/>
        <v>4.2837062927647703E-4</v>
      </c>
      <c r="O46" s="40">
        <f t="shared" si="7"/>
        <v>9.1012726278943087E-7</v>
      </c>
      <c r="P46" s="40">
        <f t="shared" si="8"/>
        <v>3.205059384379304E-6</v>
      </c>
      <c r="Q46" s="40">
        <f t="shared" si="9"/>
        <v>2.1432810484799738E-5</v>
      </c>
      <c r="R46" s="9">
        <f t="shared" si="12"/>
        <v>1.4999999999999999E-4</v>
      </c>
      <c r="S46" s="9">
        <f t="shared" si="13"/>
        <v>3.2029241016448742E-7</v>
      </c>
      <c r="T46" s="9">
        <f t="shared" si="10"/>
        <v>1.3572143957551024E-4</v>
      </c>
      <c r="U46" s="9">
        <f t="shared" si="11"/>
        <v>1.4967970758983549E-4</v>
      </c>
      <c r="V46" s="100">
        <f t="shared" si="14"/>
        <v>0.90674575572678939</v>
      </c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88"/>
      <c r="B47" s="46" t="s">
        <v>188</v>
      </c>
      <c r="C47" s="46" t="s">
        <v>189</v>
      </c>
      <c r="D47" s="90">
        <v>2.5448008164668257</v>
      </c>
      <c r="E47" s="90">
        <v>3.1426039783542175</v>
      </c>
      <c r="F47" s="96">
        <v>9.9999999999999995E-7</v>
      </c>
      <c r="G47" s="168"/>
      <c r="H47" s="168"/>
      <c r="I47" s="92">
        <f t="shared" si="1"/>
        <v>0.50587648659747519</v>
      </c>
      <c r="J47" s="92">
        <f t="shared" si="2"/>
        <v>1.8898039424848809</v>
      </c>
      <c r="K47" s="93">
        <f t="shared" si="3"/>
        <v>0.30543270827206298</v>
      </c>
      <c r="L47" s="93">
        <f t="shared" si="4"/>
        <v>1.5881214759689666E-2</v>
      </c>
      <c r="M47" s="93">
        <f t="shared" si="5"/>
        <v>0.98411878524031038</v>
      </c>
      <c r="N47" s="93">
        <f t="shared" si="6"/>
        <v>8.5271717279259088E-3</v>
      </c>
      <c r="O47" s="40">
        <f t="shared" si="7"/>
        <v>3.0722776992579329E-7</v>
      </c>
      <c r="P47" s="40">
        <f t="shared" si="8"/>
        <v>2.3837703354294192E-5</v>
      </c>
      <c r="Q47" s="40">
        <f t="shared" si="9"/>
        <v>4.2664282545389298E-4</v>
      </c>
      <c r="R47" s="9">
        <f t="shared" si="12"/>
        <v>1.4999999999999999E-4</v>
      </c>
      <c r="S47" s="9">
        <f t="shared" si="13"/>
        <v>2.3821822139534499E-6</v>
      </c>
      <c r="T47" s="9">
        <f t="shared" si="10"/>
        <v>4.5814906240809445E-5</v>
      </c>
      <c r="U47" s="9">
        <f t="shared" si="11"/>
        <v>1.4761781778604654E-4</v>
      </c>
      <c r="V47" s="100">
        <f t="shared" si="14"/>
        <v>0.31036162793852151</v>
      </c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88"/>
      <c r="B48" s="46" t="s">
        <v>101</v>
      </c>
      <c r="C48" s="46" t="s">
        <v>102</v>
      </c>
      <c r="D48" s="90">
        <v>0.29376000000000013</v>
      </c>
      <c r="E48" s="90">
        <v>0.18140000000000034</v>
      </c>
      <c r="F48" s="96">
        <v>9.9999999999999995E-7</v>
      </c>
      <c r="G48" s="168"/>
      <c r="H48" s="168"/>
      <c r="I48" s="92">
        <f t="shared" ref="I48:I50" si="15">IF(D48=0,"",LOG($K$15*10^D48+$K$16*10^E48+$K$14))</f>
        <v>2.0958974367173925E-3</v>
      </c>
      <c r="J48" s="92">
        <f t="shared" ref="J48:J50" si="16">IF(D48=0,"",LOG($K$21*10^D48+$K$22*10^E48+$K$20))</f>
        <v>4.6195916093205912E-2</v>
      </c>
      <c r="K48" s="93">
        <f t="shared" ref="K48:K50" si="17">IF(D48=0,"",1/(1+10^D48*$J$15/$J$14+10^E48*$J$16/$J$14+10^J48*$J$19/$J$14))</f>
        <v>0.98930055871941747</v>
      </c>
      <c r="L48" s="93">
        <f t="shared" ref="L48:L50" si="18">IF(D48=0,"",1/(1+10^I48/10^J48*$J$13/$J$19))</f>
        <v>7.3737499050612163E-4</v>
      </c>
      <c r="M48" s="93">
        <f t="shared" ref="M48:M92" si="19">IF(D48=0,"",1-L48)</f>
        <v>0.99926262500949392</v>
      </c>
      <c r="N48" s="93">
        <f t="shared" ref="N48:N50" si="20">IF(D48=0,"",1/(1/10^E48*$J$20/$J$22+10^D48/10^E48*$J$21/$J$22+10^I48/10^E48*$J$13/$J$22+1))</f>
        <v>3.0200472810760608E-5</v>
      </c>
      <c r="O48" s="40">
        <f t="shared" ref="O48:O92" si="21">IF(D48=0,"",F48*K48*$J$7/$J$14)</f>
        <v>9.9511478702200419E-7</v>
      </c>
      <c r="P48" s="40">
        <f t="shared" ref="P48:P50" si="22">IF(D48=0,"",O48*10^J48)</f>
        <v>1.1067998607496886E-6</v>
      </c>
      <c r="Q48" s="40">
        <f t="shared" ref="Q48:Q50" si="23">IF(D48=0,"",F48*N48*$J$7/$J$22)</f>
        <v>1.5110303229650561E-6</v>
      </c>
      <c r="R48" s="9">
        <f t="shared" si="12"/>
        <v>1.4999999999999999E-4</v>
      </c>
      <c r="S48" s="9">
        <f t="shared" si="13"/>
        <v>1.1060624857591823E-7</v>
      </c>
      <c r="T48" s="9">
        <f t="shared" si="10"/>
        <v>1.483950838079126E-4</v>
      </c>
      <c r="U48" s="9">
        <f t="shared" si="11"/>
        <v>1.4988939375142407E-4</v>
      </c>
      <c r="V48" s="100">
        <f t="shared" si="14"/>
        <v>0.99003058251079712</v>
      </c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88"/>
      <c r="B49" s="46" t="s">
        <v>190</v>
      </c>
      <c r="C49" s="46" t="s">
        <v>191</v>
      </c>
      <c r="D49" s="90">
        <v>1.6175039999999998</v>
      </c>
      <c r="E49" s="90">
        <v>1.8999029999999997</v>
      </c>
      <c r="F49" s="96">
        <v>9.9999999999999995E-7</v>
      </c>
      <c r="G49" s="168"/>
      <c r="H49" s="168"/>
      <c r="I49" s="92">
        <f t="shared" si="15"/>
        <v>8.7763082204907472E-2</v>
      </c>
      <c r="J49" s="92">
        <f t="shared" si="16"/>
        <v>0.86907068032969315</v>
      </c>
      <c r="K49" s="93">
        <f t="shared" si="17"/>
        <v>0.80953399713503782</v>
      </c>
      <c r="L49" s="93">
        <f t="shared" si="18"/>
        <v>4.0130078155401457E-3</v>
      </c>
      <c r="M49" s="93">
        <f t="shared" si="19"/>
        <v>0.99598699218445985</v>
      </c>
      <c r="N49" s="93">
        <f t="shared" si="20"/>
        <v>1.2924792513632206E-3</v>
      </c>
      <c r="O49" s="40">
        <f t="shared" si="21"/>
        <v>8.1429171756343965E-7</v>
      </c>
      <c r="P49" s="40">
        <f t="shared" si="22"/>
        <v>6.023524731125759E-6</v>
      </c>
      <c r="Q49" s="40">
        <f t="shared" si="23"/>
        <v>6.466704520987314E-5</v>
      </c>
      <c r="R49" s="9">
        <f t="shared" si="12"/>
        <v>1.4999999999999999E-4</v>
      </c>
      <c r="S49" s="9">
        <f t="shared" si="13"/>
        <v>6.0195117233102178E-7</v>
      </c>
      <c r="T49" s="9">
        <f t="shared" si="10"/>
        <v>1.2143009957025567E-4</v>
      </c>
      <c r="U49" s="9">
        <f t="shared" si="11"/>
        <v>1.4939804882766895E-4</v>
      </c>
      <c r="V49" s="100">
        <f t="shared" si="14"/>
        <v>0.81279575284363714</v>
      </c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88"/>
      <c r="B50" s="46" t="s">
        <v>192</v>
      </c>
      <c r="C50" s="46" t="s">
        <v>193</v>
      </c>
      <c r="D50" s="90">
        <v>2.5898400000000001</v>
      </c>
      <c r="E50" s="90">
        <v>2.96393</v>
      </c>
      <c r="F50" s="96">
        <v>9.9999999999999995E-7</v>
      </c>
      <c r="G50" s="168"/>
      <c r="H50" s="168"/>
      <c r="I50" s="92">
        <f t="shared" si="15"/>
        <v>0.50667591684415281</v>
      </c>
      <c r="J50" s="92">
        <f t="shared" si="16"/>
        <v>1.8284615251176457</v>
      </c>
      <c r="K50" s="93">
        <f t="shared" si="17"/>
        <v>0.30551787226522592</v>
      </c>
      <c r="L50" s="93">
        <f t="shared" si="18"/>
        <v>1.3793115695668717E-2</v>
      </c>
      <c r="M50" s="93">
        <f t="shared" si="19"/>
        <v>0.98620688430433123</v>
      </c>
      <c r="N50" s="93">
        <f t="shared" si="20"/>
        <v>5.6526501685476406E-3</v>
      </c>
      <c r="O50" s="40">
        <f t="shared" si="21"/>
        <v>3.0731343443712033E-7</v>
      </c>
      <c r="P50" s="40">
        <f t="shared" si="22"/>
        <v>2.0703466659198749E-5</v>
      </c>
      <c r="Q50" s="40">
        <f t="shared" si="23"/>
        <v>2.8282093009966697E-4</v>
      </c>
      <c r="R50" s="9">
        <f t="shared" si="12"/>
        <v>1.4999999999999999E-4</v>
      </c>
      <c r="S50" s="9">
        <f t="shared" si="13"/>
        <v>2.0689673543503074E-6</v>
      </c>
      <c r="T50" s="9">
        <f t="shared" si="10"/>
        <v>4.5827680839783884E-5</v>
      </c>
      <c r="U50" s="9">
        <f t="shared" si="11"/>
        <v>1.4793103264564968E-4</v>
      </c>
      <c r="V50" s="100">
        <f t="shared" si="14"/>
        <v>0.30979085334689965</v>
      </c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88"/>
      <c r="B51" s="46" t="s">
        <v>194</v>
      </c>
      <c r="C51" s="46" t="s">
        <v>195</v>
      </c>
      <c r="D51" s="90">
        <v>5.0487680000000008</v>
      </c>
      <c r="E51" s="90">
        <v>6.0352960000000007</v>
      </c>
      <c r="F51" s="96">
        <v>9.9999999999999995E-7</v>
      </c>
      <c r="G51" s="168"/>
      <c r="H51" s="168"/>
      <c r="I51" s="92">
        <f t="shared" ref="I51:I70" si="24">IF(D51=0,"",LOG($K$15*10^D51+$K$16*10^E51+$K$14))</f>
        <v>2.9778200964006376</v>
      </c>
      <c r="J51" s="92">
        <f t="shared" ref="J51:J70" si="25">IF(D51=0,"",LOG($K$21*10^D51+$K$22*10^E51+$K$20))</f>
        <v>4.6407720127189611</v>
      </c>
      <c r="K51" s="93">
        <f t="shared" ref="K51:K70" si="26">IF(D51=0,"",1/(1+10^D51*$J$15/$J$14+10^E51*$J$16/$J$14+10^J51*$J$19/$J$14))</f>
        <v>1.0157817475674009E-3</v>
      </c>
      <c r="L51" s="93">
        <f t="shared" ref="L51:L70" si="27">IF(D51=0,"",1/(1+10^I51/10^J51*$J$13/$J$19))</f>
        <v>2.9767108513579263E-2</v>
      </c>
      <c r="M51" s="93">
        <f t="shared" ref="M51:M70" si="28">IF(D51=0,"",1-L51)</f>
        <v>0.97023289148642078</v>
      </c>
      <c r="N51" s="93">
        <f t="shared" ref="N51:N70" si="29">IF(D51=0,"",1/(1/10^E51*$J$20/$J$22+10^D51/10^E51*$J$21/$J$22+10^I51/10^E51*$J$13/$J$22+1))</f>
        <v>2.2150416289024224E-2</v>
      </c>
      <c r="O51" s="40">
        <f t="shared" ref="O51:O70" si="30">IF(D51=0,"",F51*K51*$J$7/$J$14)</f>
        <v>1.021751608732346E-9</v>
      </c>
      <c r="P51" s="40">
        <f t="shared" ref="P51:P70" si="31">IF(D51=0,"",O51*10^J51)</f>
        <v>4.4680429878882476E-5</v>
      </c>
      <c r="Q51" s="40">
        <f t="shared" ref="Q51:Q70" si="32">IF(D51=0,"",F51*N51*$J$7/$J$22)</f>
        <v>1.1082591616608454E-3</v>
      </c>
      <c r="R51" s="9">
        <f t="shared" si="12"/>
        <v>1.4999999999999999E-4</v>
      </c>
      <c r="S51" s="9">
        <f t="shared" si="13"/>
        <v>4.4650662770368893E-6</v>
      </c>
      <c r="T51" s="9">
        <f t="shared" si="10"/>
        <v>1.5236726213511012E-7</v>
      </c>
      <c r="U51" s="9">
        <f t="shared" si="11"/>
        <v>1.455349337229631E-4</v>
      </c>
      <c r="V51" s="100">
        <f t="shared" si="14"/>
        <v>1.0469463120459648E-3</v>
      </c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46" t="s">
        <v>196</v>
      </c>
      <c r="C52" s="46" t="s">
        <v>197</v>
      </c>
      <c r="D52" s="47">
        <v>2.7330160000000001</v>
      </c>
      <c r="E52" s="47">
        <v>3.3310319999999995</v>
      </c>
      <c r="F52" s="96">
        <v>9.9999999999999995E-7</v>
      </c>
      <c r="G52" s="168"/>
      <c r="H52" s="168"/>
      <c r="I52" s="92">
        <f t="shared" si="24"/>
        <v>0.64393554165863076</v>
      </c>
      <c r="J52" s="92">
        <f t="shared" si="25"/>
        <v>2.0764178865334513</v>
      </c>
      <c r="K52" s="93">
        <f t="shared" si="26"/>
        <v>0.22184078055865358</v>
      </c>
      <c r="L52" s="93">
        <f t="shared" si="27"/>
        <v>1.7726520789202203E-2</v>
      </c>
      <c r="M52" s="93">
        <f t="shared" si="28"/>
        <v>0.98227347921079777</v>
      </c>
      <c r="N52" s="93">
        <f t="shared" si="29"/>
        <v>9.55782055499871E-3</v>
      </c>
      <c r="O52" s="40">
        <f t="shared" si="30"/>
        <v>2.2314456324999426E-7</v>
      </c>
      <c r="P52" s="40">
        <f t="shared" si="31"/>
        <v>2.660750770459251E-5</v>
      </c>
      <c r="Q52" s="40">
        <f t="shared" si="32"/>
        <v>4.7820962176843546E-4</v>
      </c>
      <c r="R52" s="9">
        <f t="shared" si="12"/>
        <v>1.4999999999999999E-4</v>
      </c>
      <c r="S52" s="9">
        <f t="shared" si="13"/>
        <v>2.65897811838033E-6</v>
      </c>
      <c r="T52" s="9">
        <f t="shared" si="10"/>
        <v>3.3276117083798031E-5</v>
      </c>
      <c r="U52" s="9">
        <f t="shared" si="11"/>
        <v>1.4734102188161964E-4</v>
      </c>
      <c r="V52" s="100">
        <f t="shared" si="14"/>
        <v>0.2258442126900243</v>
      </c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46" t="s">
        <v>198</v>
      </c>
      <c r="C53" s="46" t="s">
        <v>199</v>
      </c>
      <c r="D53" s="47">
        <v>3.4406639999999999</v>
      </c>
      <c r="E53" s="47">
        <v>4.222847999999999</v>
      </c>
      <c r="F53" s="96">
        <v>9.9999999999999995E-7</v>
      </c>
      <c r="G53" s="168"/>
      <c r="H53" s="168"/>
      <c r="I53" s="92">
        <f t="shared" si="24"/>
        <v>1.3135143326183101</v>
      </c>
      <c r="J53" s="92">
        <f t="shared" si="25"/>
        <v>2.8909048143104648</v>
      </c>
      <c r="K53" s="93">
        <f t="shared" si="26"/>
        <v>4.7143743789313922E-2</v>
      </c>
      <c r="L53" s="93">
        <f t="shared" si="27"/>
        <v>2.4574976731523278E-2</v>
      </c>
      <c r="M53" s="93">
        <f t="shared" si="28"/>
        <v>0.97542502326847669</v>
      </c>
      <c r="N53" s="93">
        <f t="shared" si="29"/>
        <v>1.5832793799348242E-2</v>
      </c>
      <c r="O53" s="40">
        <f t="shared" si="30"/>
        <v>4.742081276194701E-8</v>
      </c>
      <c r="P53" s="40">
        <f t="shared" si="31"/>
        <v>3.6887040074016447E-5</v>
      </c>
      <c r="Q53" s="40">
        <f t="shared" si="32"/>
        <v>7.9216744976072387E-4</v>
      </c>
      <c r="R53" s="9">
        <f t="shared" si="12"/>
        <v>1.4999999999999999E-4</v>
      </c>
      <c r="S53" s="9">
        <f t="shared" si="13"/>
        <v>3.6862465097284915E-6</v>
      </c>
      <c r="T53" s="9">
        <f t="shared" si="10"/>
        <v>7.0715615683970879E-6</v>
      </c>
      <c r="U53" s="9">
        <f t="shared" si="11"/>
        <v>1.463137534902715E-4</v>
      </c>
      <c r="V53" s="100">
        <f t="shared" si="14"/>
        <v>4.8331489007062356E-2</v>
      </c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46" t="s">
        <v>200</v>
      </c>
      <c r="C54" s="46" t="s">
        <v>201</v>
      </c>
      <c r="D54" s="47">
        <v>2.8976480000000002</v>
      </c>
      <c r="E54" s="47">
        <v>3.5312959999999993</v>
      </c>
      <c r="F54" s="96">
        <v>9.9999999999999995E-7</v>
      </c>
      <c r="G54" s="168"/>
      <c r="H54" s="168"/>
      <c r="I54" s="92">
        <f t="shared" si="24"/>
        <v>0.78379345695532832</v>
      </c>
      <c r="J54" s="92">
        <f t="shared" si="25"/>
        <v>2.2596675735780232</v>
      </c>
      <c r="K54" s="93">
        <f t="shared" si="26"/>
        <v>0.16046314443498938</v>
      </c>
      <c r="L54" s="93">
        <f t="shared" si="27"/>
        <v>1.9552716578039985E-2</v>
      </c>
      <c r="M54" s="93">
        <f t="shared" si="28"/>
        <v>0.98044728342195997</v>
      </c>
      <c r="N54" s="93">
        <f t="shared" si="29"/>
        <v>1.0963690983166565E-2</v>
      </c>
      <c r="O54" s="40">
        <f t="shared" si="30"/>
        <v>1.6140620400133959E-7</v>
      </c>
      <c r="P54" s="40">
        <f t="shared" si="31"/>
        <v>2.9348627583638023E-5</v>
      </c>
      <c r="Q54" s="40">
        <f t="shared" si="32"/>
        <v>5.4855000552443385E-4</v>
      </c>
      <c r="R54" s="9">
        <f t="shared" si="12"/>
        <v>1.4999999999999999E-4</v>
      </c>
      <c r="S54" s="9">
        <f t="shared" si="13"/>
        <v>2.9329074867059975E-6</v>
      </c>
      <c r="T54" s="9">
        <f t="shared" si="10"/>
        <v>2.4069471665248406E-5</v>
      </c>
      <c r="U54" s="9">
        <f t="shared" si="11"/>
        <v>1.4706709251329397E-4</v>
      </c>
      <c r="V54" s="100">
        <f t="shared" si="14"/>
        <v>0.16366320469055762</v>
      </c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46" t="s">
        <v>103</v>
      </c>
      <c r="C55" s="46" t="s">
        <v>104</v>
      </c>
      <c r="D55" s="47">
        <v>1.423632</v>
      </c>
      <c r="E55" s="47">
        <v>1.638849</v>
      </c>
      <c r="F55" s="96">
        <v>9.9999999999999995E-7</v>
      </c>
      <c r="G55" s="168"/>
      <c r="H55" s="168"/>
      <c r="I55" s="54">
        <f t="shared" si="24"/>
        <v>5.6400487609719711E-2</v>
      </c>
      <c r="J55" s="54">
        <f t="shared" si="25"/>
        <v>0.6838067096740571</v>
      </c>
      <c r="K55" s="55">
        <f t="shared" si="26"/>
        <v>0.8712003323554004</v>
      </c>
      <c r="L55" s="55">
        <f t="shared" si="27"/>
        <v>2.8189604011763731E-3</v>
      </c>
      <c r="M55" s="55">
        <f t="shared" si="28"/>
        <v>0.99718103959882365</v>
      </c>
      <c r="N55" s="55">
        <f t="shared" si="29"/>
        <v>7.6252224929687315E-4</v>
      </c>
      <c r="O55" s="56">
        <f t="shared" si="30"/>
        <v>8.7632047262516889E-7</v>
      </c>
      <c r="P55" s="56">
        <f t="shared" si="31"/>
        <v>4.2312595621657348E-6</v>
      </c>
      <c r="Q55" s="56">
        <f t="shared" si="32"/>
        <v>3.8151529873153548E-5</v>
      </c>
      <c r="R55" s="9">
        <f t="shared" si="12"/>
        <v>1.4999999999999999E-4</v>
      </c>
      <c r="S55" s="9">
        <f t="shared" si="13"/>
        <v>4.2284406017645592E-7</v>
      </c>
      <c r="T55" s="9">
        <f t="shared" si="10"/>
        <v>1.3068004985331005E-4</v>
      </c>
      <c r="U55" s="9">
        <f t="shared" si="11"/>
        <v>1.4957715593982352E-4</v>
      </c>
      <c r="V55" s="100">
        <f t="shared" si="14"/>
        <v>0.8736631541910318</v>
      </c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46" t="s">
        <v>202</v>
      </c>
      <c r="C56" s="46" t="s">
        <v>203</v>
      </c>
      <c r="D56" s="47">
        <v>2.6912000000000003</v>
      </c>
      <c r="E56" s="47">
        <v>3.3249699999999995</v>
      </c>
      <c r="F56" s="96">
        <v>9.9999999999999995E-7</v>
      </c>
      <c r="G56" s="168"/>
      <c r="H56" s="168"/>
      <c r="I56" s="54">
        <f t="shared" si="24"/>
        <v>0.61860589125383414</v>
      </c>
      <c r="J56" s="54">
        <f t="shared" si="25"/>
        <v>2.0545505923588281</v>
      </c>
      <c r="K56" s="55">
        <f t="shared" si="26"/>
        <v>0.23513074429782105</v>
      </c>
      <c r="L56" s="55">
        <f t="shared" si="27"/>
        <v>1.7865873067114107E-2</v>
      </c>
      <c r="M56" s="55">
        <f t="shared" si="28"/>
        <v>0.98213412693288593</v>
      </c>
      <c r="N56" s="55">
        <f t="shared" si="29"/>
        <v>9.9899866178163703E-3</v>
      </c>
      <c r="O56" s="56">
        <f t="shared" si="30"/>
        <v>2.3651263356924154E-7</v>
      </c>
      <c r="P56" s="56">
        <f t="shared" si="31"/>
        <v>2.6816675473738275E-5</v>
      </c>
      <c r="Q56" s="56">
        <f t="shared" si="32"/>
        <v>4.9983233044474575E-4</v>
      </c>
      <c r="R56" s="9">
        <f t="shared" si="12"/>
        <v>1.4999999999999999E-4</v>
      </c>
      <c r="S56" s="9">
        <f t="shared" si="13"/>
        <v>2.6798809600671158E-6</v>
      </c>
      <c r="T56" s="9">
        <f t="shared" si="10"/>
        <v>3.5269611644673153E-5</v>
      </c>
      <c r="U56" s="9">
        <f t="shared" si="11"/>
        <v>1.4732011903993288E-4</v>
      </c>
      <c r="V56" s="100">
        <f t="shared" si="14"/>
        <v>0.23940797682299528</v>
      </c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87" t="s">
        <v>105</v>
      </c>
      <c r="C57" s="87" t="s">
        <v>106</v>
      </c>
      <c r="D57" s="90">
        <v>2.1493200000000003</v>
      </c>
      <c r="E57" s="90">
        <v>2.6108399999999996</v>
      </c>
      <c r="F57" s="96">
        <v>9.9999999999999995E-7</v>
      </c>
      <c r="G57" s="168"/>
      <c r="H57" s="168"/>
      <c r="I57" s="54">
        <f t="shared" si="24"/>
        <v>0.26171036693668792</v>
      </c>
      <c r="J57" s="54">
        <f t="shared" si="25"/>
        <v>1.4348617200490665</v>
      </c>
      <c r="K57" s="55">
        <f t="shared" si="26"/>
        <v>0.53918993631248269</v>
      </c>
      <c r="L57" s="55">
        <f t="shared" si="27"/>
        <v>9.8348497832045044E-3</v>
      </c>
      <c r="M57" s="55">
        <f t="shared" si="28"/>
        <v>0.99016515021679552</v>
      </c>
      <c r="N57" s="55">
        <f t="shared" si="29"/>
        <v>4.4245312374492744E-3</v>
      </c>
      <c r="O57" s="56">
        <f t="shared" si="30"/>
        <v>5.4235881493136882E-7</v>
      </c>
      <c r="P57" s="56">
        <f t="shared" si="31"/>
        <v>1.4762109524589964E-5</v>
      </c>
      <c r="Q57" s="56">
        <f t="shared" si="32"/>
        <v>2.2137404624704538E-4</v>
      </c>
      <c r="R57" s="9">
        <f t="shared" si="12"/>
        <v>1.4999999999999999E-4</v>
      </c>
      <c r="S57" s="9">
        <f t="shared" si="13"/>
        <v>1.4752274674806756E-6</v>
      </c>
      <c r="T57" s="9">
        <f t="shared" si="10"/>
        <v>8.0878490446872398E-5</v>
      </c>
      <c r="U57" s="9">
        <f t="shared" si="11"/>
        <v>1.4852477253251932E-4</v>
      </c>
      <c r="V57" s="100">
        <f t="shared" si="14"/>
        <v>0.54454545910288565</v>
      </c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46" t="s">
        <v>145</v>
      </c>
      <c r="C58" s="46" t="s">
        <v>146</v>
      </c>
      <c r="D58" s="47">
        <v>2.0184960000000003</v>
      </c>
      <c r="E58" s="47">
        <v>2.3512620000000002</v>
      </c>
      <c r="F58" s="96">
        <v>9.9999999999999995E-7</v>
      </c>
      <c r="G58" s="168"/>
      <c r="H58" s="168"/>
      <c r="I58" s="54">
        <f t="shared" si="24"/>
        <v>0.19893820408979257</v>
      </c>
      <c r="J58" s="54">
        <f t="shared" si="25"/>
        <v>1.2562556297488592</v>
      </c>
      <c r="K58" s="55">
        <f t="shared" si="26"/>
        <v>0.62447496380866663</v>
      </c>
      <c r="L58" s="55">
        <f t="shared" si="27"/>
        <v>7.5497903937211874E-3</v>
      </c>
      <c r="M58" s="55">
        <f t="shared" si="28"/>
        <v>0.99245020960627883</v>
      </c>
      <c r="N58" s="55">
        <f t="shared" si="29"/>
        <v>2.8187886840560991E-3</v>
      </c>
      <c r="O58" s="56">
        <f t="shared" si="30"/>
        <v>6.2814507192377073E-7</v>
      </c>
      <c r="P58" s="56">
        <f t="shared" si="31"/>
        <v>1.13322353809755E-5</v>
      </c>
      <c r="Q58" s="56">
        <f t="shared" si="32"/>
        <v>1.4103339382560683E-4</v>
      </c>
      <c r="R58" s="9">
        <f t="shared" si="12"/>
        <v>1.4999999999999999E-4</v>
      </c>
      <c r="S58" s="9">
        <f t="shared" si="13"/>
        <v>1.132468559058178E-6</v>
      </c>
      <c r="T58" s="9">
        <f t="shared" si="10"/>
        <v>9.3671244571299985E-5</v>
      </c>
      <c r="U58" s="9">
        <f t="shared" si="11"/>
        <v>1.488675314409418E-4</v>
      </c>
      <c r="V58" s="100">
        <f t="shared" si="14"/>
        <v>0.62922548432571346</v>
      </c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46" t="s">
        <v>147</v>
      </c>
      <c r="C59" s="46" t="s">
        <v>148</v>
      </c>
      <c r="D59" s="47">
        <v>1.4665360000000003</v>
      </c>
      <c r="E59" s="47">
        <v>1.8522119999999997</v>
      </c>
      <c r="F59" s="96">
        <v>9.9999999999999995E-7</v>
      </c>
      <c r="G59" s="168"/>
      <c r="H59" s="168"/>
      <c r="I59" s="54">
        <f t="shared" si="24"/>
        <v>6.5352597387686409E-2</v>
      </c>
      <c r="J59" s="54">
        <f t="shared" si="25"/>
        <v>0.77323378498268969</v>
      </c>
      <c r="K59" s="55">
        <f t="shared" si="26"/>
        <v>0.85293661739087956</v>
      </c>
      <c r="L59" s="55">
        <f t="shared" si="27"/>
        <v>3.3908984016967087E-3</v>
      </c>
      <c r="M59" s="55">
        <f t="shared" si="28"/>
        <v>0.99660910159830329</v>
      </c>
      <c r="N59" s="55">
        <f t="shared" si="29"/>
        <v>1.2201528743949104E-3</v>
      </c>
      <c r="O59" s="56">
        <f t="shared" si="30"/>
        <v>8.5794941979702189E-7</v>
      </c>
      <c r="P59" s="56">
        <f t="shared" si="31"/>
        <v>5.0897385009467593E-6</v>
      </c>
      <c r="Q59" s="56">
        <f t="shared" si="32"/>
        <v>6.1048315482225361E-5</v>
      </c>
      <c r="R59" s="9">
        <f t="shared" si="12"/>
        <v>1.4999999999999999E-4</v>
      </c>
      <c r="S59" s="9">
        <f t="shared" si="13"/>
        <v>5.0863476025450627E-7</v>
      </c>
      <c r="T59" s="9">
        <f t="shared" si="10"/>
        <v>1.2794049260863192E-4</v>
      </c>
      <c r="U59" s="9">
        <f t="shared" si="11"/>
        <v>1.4949136523974548E-4</v>
      </c>
      <c r="V59" s="100">
        <f t="shared" si="14"/>
        <v>0.85583867940097058</v>
      </c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46" t="s">
        <v>149</v>
      </c>
      <c r="C60" s="46" t="s">
        <v>150</v>
      </c>
      <c r="D60" s="47">
        <v>2.7203999877244023</v>
      </c>
      <c r="E60" s="47">
        <v>3.3923999825375306</v>
      </c>
      <c r="F60" s="96">
        <v>9.9999999999999995E-7</v>
      </c>
      <c r="G60" s="168"/>
      <c r="H60" s="168"/>
      <c r="I60" s="54">
        <f t="shared" si="24"/>
        <v>0.6487673116742505</v>
      </c>
      <c r="J60" s="54">
        <f t="shared" si="25"/>
        <v>2.1053345617023167</v>
      </c>
      <c r="K60" s="55">
        <f t="shared" si="26"/>
        <v>0.21916481555943337</v>
      </c>
      <c r="L60" s="55">
        <f t="shared" si="27"/>
        <v>1.8718439029444242E-2</v>
      </c>
      <c r="M60" s="55">
        <f t="shared" si="28"/>
        <v>0.98128156097055574</v>
      </c>
      <c r="N60" s="55">
        <f t="shared" si="29"/>
        <v>1.0875677096641882E-2</v>
      </c>
      <c r="O60" s="56">
        <f t="shared" si="30"/>
        <v>2.2045287130985805E-7</v>
      </c>
      <c r="P60" s="56">
        <f t="shared" si="31"/>
        <v>2.8096376983195813E-5</v>
      </c>
      <c r="Q60" s="56">
        <f t="shared" si="32"/>
        <v>5.4414637740198219E-4</v>
      </c>
      <c r="R60" s="9">
        <f t="shared" si="12"/>
        <v>1.4999999999999999E-4</v>
      </c>
      <c r="S60" s="9">
        <f t="shared" si="13"/>
        <v>2.8077658544166361E-6</v>
      </c>
      <c r="T60" s="9">
        <f t="shared" si="10"/>
        <v>3.2874722333915003E-5</v>
      </c>
      <c r="U60" s="9">
        <f t="shared" si="11"/>
        <v>1.4719223414558336E-4</v>
      </c>
      <c r="V60" s="100">
        <f t="shared" si="14"/>
        <v>0.22334549458227271</v>
      </c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46" t="s">
        <v>151</v>
      </c>
      <c r="C61" s="46" t="s">
        <v>152</v>
      </c>
      <c r="D61" s="47">
        <v>3.4658999877244021</v>
      </c>
      <c r="E61" s="47">
        <v>4.4528999825375299</v>
      </c>
      <c r="F61" s="96">
        <v>9.9999999999999995E-7</v>
      </c>
      <c r="G61" s="168"/>
      <c r="H61" s="168"/>
      <c r="I61" s="54">
        <f t="shared" si="24"/>
        <v>1.4117733403846819</v>
      </c>
      <c r="J61" s="54">
        <f t="shared" si="25"/>
        <v>3.0585769256489788</v>
      </c>
      <c r="K61" s="55">
        <f t="shared" si="26"/>
        <v>3.7438572359752662E-2</v>
      </c>
      <c r="L61" s="55">
        <f t="shared" si="27"/>
        <v>2.8711801199263955E-2</v>
      </c>
      <c r="M61" s="55">
        <f t="shared" si="28"/>
        <v>0.97128819880073602</v>
      </c>
      <c r="N61" s="55">
        <f t="shared" si="29"/>
        <v>2.1355254421942728E-2</v>
      </c>
      <c r="O61" s="56">
        <f t="shared" si="30"/>
        <v>3.7658602971384258E-8</v>
      </c>
      <c r="P61" s="56">
        <f t="shared" si="31"/>
        <v>4.3096413600095228E-5</v>
      </c>
      <c r="Q61" s="56">
        <f t="shared" si="32"/>
        <v>1.0684745629112012E-3</v>
      </c>
      <c r="R61" s="9">
        <f t="shared" si="12"/>
        <v>1.4999999999999999E-4</v>
      </c>
      <c r="S61" s="9">
        <f t="shared" si="13"/>
        <v>4.3067701798895925E-6</v>
      </c>
      <c r="T61" s="9">
        <f t="shared" si="10"/>
        <v>5.6157858539628985E-6</v>
      </c>
      <c r="U61" s="9">
        <f t="shared" si="11"/>
        <v>1.4569322982011039E-4</v>
      </c>
      <c r="V61" s="100">
        <f t="shared" si="14"/>
        <v>3.8545276680987811E-2</v>
      </c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46" t="s">
        <v>153</v>
      </c>
      <c r="C62" s="46" t="s">
        <v>154</v>
      </c>
      <c r="D62" s="47">
        <v>4.1687999877244026</v>
      </c>
      <c r="E62" s="47">
        <v>5.4527999825375302</v>
      </c>
      <c r="F62" s="96">
        <v>9.9999999999999995E-7</v>
      </c>
      <c r="G62" s="168"/>
      <c r="H62" s="168"/>
      <c r="I62" s="54">
        <f t="shared" si="24"/>
        <v>2.2542758302531842</v>
      </c>
      <c r="J62" s="54">
        <f t="shared" si="25"/>
        <v>3.9993799920849886</v>
      </c>
      <c r="K62" s="55">
        <f t="shared" si="26"/>
        <v>5.3414719530757064E-3</v>
      </c>
      <c r="L62" s="55">
        <f t="shared" si="27"/>
        <v>3.5744166759007566E-2</v>
      </c>
      <c r="M62" s="55">
        <f t="shared" si="28"/>
        <v>0.9642558332409924</v>
      </c>
      <c r="N62" s="55">
        <f t="shared" si="29"/>
        <v>3.0461158943874481E-2</v>
      </c>
      <c r="O62" s="56">
        <f t="shared" si="30"/>
        <v>5.3728643718238032E-9</v>
      </c>
      <c r="P62" s="56">
        <f t="shared" si="31"/>
        <v>5.3651994305270394E-5</v>
      </c>
      <c r="Q62" s="56">
        <f t="shared" si="32"/>
        <v>1.5240733191585196E-3</v>
      </c>
      <c r="R62" s="9">
        <f t="shared" si="12"/>
        <v>1.4999999999999999E-4</v>
      </c>
      <c r="S62" s="9">
        <f t="shared" si="13"/>
        <v>5.3616250138511347E-6</v>
      </c>
      <c r="T62" s="9">
        <f t="shared" si="10"/>
        <v>8.0122079296135591E-7</v>
      </c>
      <c r="U62" s="9">
        <f t="shared" si="11"/>
        <v>1.4463837498614884E-4</v>
      </c>
      <c r="V62" s="100">
        <f t="shared" si="14"/>
        <v>5.5394759035289499E-3</v>
      </c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46" t="s">
        <v>155</v>
      </c>
      <c r="C63" s="46" t="s">
        <v>156</v>
      </c>
      <c r="D63" s="47">
        <v>4.999499987724402</v>
      </c>
      <c r="E63" s="47">
        <v>6.6344999825375304</v>
      </c>
      <c r="F63" s="96">
        <v>9.9999999999999995E-7</v>
      </c>
      <c r="G63" s="168"/>
      <c r="H63" s="168"/>
      <c r="I63" s="54">
        <f t="shared" si="24"/>
        <v>3.3259932392561606</v>
      </c>
      <c r="J63" s="54">
        <f t="shared" si="25"/>
        <v>5.1439390371305249</v>
      </c>
      <c r="K63" s="55">
        <f t="shared" si="26"/>
        <v>4.4990208492854604E-4</v>
      </c>
      <c r="L63" s="55">
        <f t="shared" si="27"/>
        <v>4.1997290859032414E-2</v>
      </c>
      <c r="M63" s="55">
        <f t="shared" si="28"/>
        <v>0.95800270914096763</v>
      </c>
      <c r="N63" s="55">
        <f t="shared" si="29"/>
        <v>3.8985533001039505E-2</v>
      </c>
      <c r="O63" s="56">
        <f t="shared" si="30"/>
        <v>4.5254620901452687E-10</v>
      </c>
      <c r="P63" s="56">
        <f t="shared" si="31"/>
        <v>6.3037933579407709E-5</v>
      </c>
      <c r="Q63" s="56">
        <f t="shared" si="32"/>
        <v>1.9505761678186766E-3</v>
      </c>
      <c r="R63" s="9">
        <f t="shared" si="12"/>
        <v>1.4999999999999999E-4</v>
      </c>
      <c r="S63" s="9">
        <f t="shared" si="13"/>
        <v>6.2995936288548612E-6</v>
      </c>
      <c r="T63" s="9">
        <f t="shared" si="10"/>
        <v>6.7485312739281905E-8</v>
      </c>
      <c r="U63" s="9">
        <f t="shared" si="11"/>
        <v>1.4370040637114515E-4</v>
      </c>
      <c r="V63" s="100">
        <f t="shared" si="14"/>
        <v>4.6962506539461582E-4</v>
      </c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46" t="s">
        <v>157</v>
      </c>
      <c r="C64" s="46" t="s">
        <v>158</v>
      </c>
      <c r="D64" s="47">
        <v>4.4669999877244022</v>
      </c>
      <c r="E64" s="47">
        <v>5.8769999825375301</v>
      </c>
      <c r="F64" s="96">
        <v>9.9999999999999995E-7</v>
      </c>
      <c r="G64" s="168"/>
      <c r="H64" s="168"/>
      <c r="I64" s="54">
        <f t="shared" si="24"/>
        <v>2.6313958666363746</v>
      </c>
      <c r="J64" s="54">
        <f t="shared" si="25"/>
        <v>4.4070921357231763</v>
      </c>
      <c r="K64" s="55">
        <f t="shared" si="26"/>
        <v>2.2356791060749292E-3</v>
      </c>
      <c r="L64" s="55">
        <f t="shared" si="27"/>
        <v>3.8253029635533016E-2</v>
      </c>
      <c r="M64" s="55">
        <f t="shared" si="28"/>
        <v>0.96174697036446699</v>
      </c>
      <c r="N64" s="55">
        <f t="shared" si="29"/>
        <v>3.3860622535988621E-2</v>
      </c>
      <c r="O64" s="56">
        <f t="shared" si="30"/>
        <v>2.2488184383228245E-9</v>
      </c>
      <c r="P64" s="56">
        <f t="shared" si="31"/>
        <v>5.7417797482935153E-5</v>
      </c>
      <c r="Q64" s="56">
        <f t="shared" si="32"/>
        <v>1.6941598142172973E-3</v>
      </c>
      <c r="R64" s="9">
        <f t="shared" si="12"/>
        <v>1.4999999999999999E-4</v>
      </c>
      <c r="S64" s="9">
        <f t="shared" si="13"/>
        <v>5.7379544453299521E-6</v>
      </c>
      <c r="T64" s="9">
        <f t="shared" si="10"/>
        <v>3.3535186591123935E-7</v>
      </c>
      <c r="U64" s="9">
        <f t="shared" si="11"/>
        <v>1.4426204555467004E-4</v>
      </c>
      <c r="V64" s="100">
        <f t="shared" si="14"/>
        <v>2.3246021822430993E-3</v>
      </c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46" t="s">
        <v>159</v>
      </c>
      <c r="C65" s="46" t="s">
        <v>160</v>
      </c>
      <c r="D65" s="47">
        <v>4.2539999877244021</v>
      </c>
      <c r="E65" s="47">
        <v>5.5739999825375302</v>
      </c>
      <c r="F65" s="96">
        <v>9.9999999999999995E-7</v>
      </c>
      <c r="G65" s="168"/>
      <c r="H65" s="168"/>
      <c r="I65" s="54">
        <f t="shared" si="24"/>
        <v>2.3610319672695166</v>
      </c>
      <c r="J65" s="54">
        <f t="shared" si="25"/>
        <v>4.1154371982960454</v>
      </c>
      <c r="K65" s="55">
        <f t="shared" si="26"/>
        <v>4.1741581611892285E-3</v>
      </c>
      <c r="L65" s="55">
        <f t="shared" si="27"/>
        <v>3.6489703303022411E-2</v>
      </c>
      <c r="M65" s="55">
        <f t="shared" si="28"/>
        <v>0.96351029669697763</v>
      </c>
      <c r="N65" s="55">
        <f t="shared" si="29"/>
        <v>3.1466929788582849E-2</v>
      </c>
      <c r="O65" s="56">
        <f t="shared" si="30"/>
        <v>4.1986901482646981E-9</v>
      </c>
      <c r="P65" s="56">
        <f t="shared" si="31"/>
        <v>5.4771044657836695E-5</v>
      </c>
      <c r="Q65" s="56">
        <f t="shared" si="32"/>
        <v>1.5743953870887622E-3</v>
      </c>
      <c r="R65" s="9">
        <f t="shared" si="12"/>
        <v>1.4999999999999999E-4</v>
      </c>
      <c r="S65" s="9">
        <f t="shared" si="13"/>
        <v>5.4734554954533611E-6</v>
      </c>
      <c r="T65" s="9">
        <f t="shared" si="10"/>
        <v>6.2612372417838419E-7</v>
      </c>
      <c r="U65" s="9">
        <f t="shared" si="11"/>
        <v>1.4452654450454664E-4</v>
      </c>
      <c r="V65" s="100">
        <f t="shared" si="14"/>
        <v>4.3322403252966943E-3</v>
      </c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46" t="s">
        <v>161</v>
      </c>
      <c r="C66" s="46" t="s">
        <v>162</v>
      </c>
      <c r="D66" s="47">
        <v>4.4669999877244022</v>
      </c>
      <c r="E66" s="47">
        <v>5.8769999825375301</v>
      </c>
      <c r="F66" s="96">
        <v>9.9999999999999995E-7</v>
      </c>
      <c r="G66" s="168"/>
      <c r="H66" s="168"/>
      <c r="I66" s="54">
        <f t="shared" si="24"/>
        <v>2.6313958666363746</v>
      </c>
      <c r="J66" s="54">
        <f t="shared" si="25"/>
        <v>4.4070921357231763</v>
      </c>
      <c r="K66" s="55">
        <f t="shared" si="26"/>
        <v>2.2356791060749292E-3</v>
      </c>
      <c r="L66" s="55">
        <f t="shared" si="27"/>
        <v>3.8253029635533016E-2</v>
      </c>
      <c r="M66" s="55">
        <f t="shared" si="28"/>
        <v>0.96174697036446699</v>
      </c>
      <c r="N66" s="55">
        <f t="shared" si="29"/>
        <v>3.3860622535988621E-2</v>
      </c>
      <c r="O66" s="56">
        <f t="shared" si="30"/>
        <v>2.2488184383228245E-9</v>
      </c>
      <c r="P66" s="56">
        <f t="shared" si="31"/>
        <v>5.7417797482935153E-5</v>
      </c>
      <c r="Q66" s="56">
        <f t="shared" si="32"/>
        <v>1.6941598142172973E-3</v>
      </c>
      <c r="R66" s="9">
        <f t="shared" si="12"/>
        <v>1.4999999999999999E-4</v>
      </c>
      <c r="S66" s="9">
        <f t="shared" si="13"/>
        <v>5.7379544453299521E-6</v>
      </c>
      <c r="T66" s="9">
        <f t="shared" si="10"/>
        <v>3.3535186591123935E-7</v>
      </c>
      <c r="U66" s="9">
        <f t="shared" si="11"/>
        <v>1.4426204555467004E-4</v>
      </c>
      <c r="V66" s="100">
        <f t="shared" si="14"/>
        <v>2.3246021822430993E-3</v>
      </c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46" t="s">
        <v>115</v>
      </c>
      <c r="C67" s="46" t="s">
        <v>116</v>
      </c>
      <c r="D67" s="47">
        <v>-0.73745450190951667</v>
      </c>
      <c r="E67" s="47">
        <v>-1.5265197844064957</v>
      </c>
      <c r="F67" s="96">
        <v>9.9999999999999995E-7</v>
      </c>
      <c r="G67" s="168"/>
      <c r="H67" s="168"/>
      <c r="I67" s="54">
        <f t="shared" si="24"/>
        <v>-1.8671766444063711E-3</v>
      </c>
      <c r="J67" s="54">
        <f t="shared" si="25"/>
        <v>-5.1002272670301683E-2</v>
      </c>
      <c r="K67" s="55">
        <f t="shared" si="26"/>
        <v>0.99851180424655472</v>
      </c>
      <c r="L67" s="55">
        <f t="shared" si="27"/>
        <v>5.9499753138797539E-4</v>
      </c>
      <c r="M67" s="55">
        <f t="shared" si="28"/>
        <v>0.99940500246861197</v>
      </c>
      <c r="N67" s="55">
        <f t="shared" si="29"/>
        <v>5.9719877313205929E-7</v>
      </c>
      <c r="O67" s="56">
        <f t="shared" si="30"/>
        <v>1.0043801680532347E-6</v>
      </c>
      <c r="P67" s="56">
        <f t="shared" si="31"/>
        <v>8.93091294613351E-7</v>
      </c>
      <c r="Q67" s="56">
        <f t="shared" si="32"/>
        <v>2.9879845282374037E-8</v>
      </c>
      <c r="R67" s="9">
        <f t="shared" si="12"/>
        <v>1.4999999999999999E-4</v>
      </c>
      <c r="S67" s="9">
        <f t="shared" si="13"/>
        <v>8.9249629708196306E-8</v>
      </c>
      <c r="T67" s="9">
        <f t="shared" si="10"/>
        <v>1.4977677063698319E-4</v>
      </c>
      <c r="U67" s="9">
        <f t="shared" si="11"/>
        <v>1.4991075037029179E-4</v>
      </c>
      <c r="V67" s="100">
        <f t="shared" si="14"/>
        <v>0.99910627001080543</v>
      </c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46" t="s">
        <v>117</v>
      </c>
      <c r="C68" s="46" t="s">
        <v>118</v>
      </c>
      <c r="D68" s="47">
        <v>4.7386560000000006</v>
      </c>
      <c r="E68" s="47">
        <v>5.8355820000000005</v>
      </c>
      <c r="F68" s="96">
        <v>9.9999999999999995E-7</v>
      </c>
      <c r="G68" s="168"/>
      <c r="H68" s="168"/>
      <c r="I68" s="54">
        <f t="shared" si="24"/>
        <v>2.7194923137791687</v>
      </c>
      <c r="J68" s="54">
        <f t="shared" si="25"/>
        <v>4.415376749895219</v>
      </c>
      <c r="K68" s="55">
        <f t="shared" si="26"/>
        <v>1.8370075783782657E-3</v>
      </c>
      <c r="L68" s="55">
        <f t="shared" si="27"/>
        <v>3.2037006620744587E-2</v>
      </c>
      <c r="M68" s="55">
        <f t="shared" si="28"/>
        <v>0.9679629933792554</v>
      </c>
      <c r="N68" s="55">
        <f t="shared" si="29"/>
        <v>2.5291724113425118E-2</v>
      </c>
      <c r="O68" s="56">
        <f t="shared" si="30"/>
        <v>1.8478038741653609E-9</v>
      </c>
      <c r="P68" s="56">
        <f t="shared" si="31"/>
        <v>4.8087546937737656E-5</v>
      </c>
      <c r="Q68" s="56">
        <f t="shared" si="32"/>
        <v>1.2654292631417035E-3</v>
      </c>
      <c r="R68" s="9">
        <f t="shared" si="12"/>
        <v>1.4999999999999999E-4</v>
      </c>
      <c r="S68" s="9">
        <f t="shared" si="13"/>
        <v>4.8055509931116878E-6</v>
      </c>
      <c r="T68" s="9">
        <f t="shared" si="10"/>
        <v>2.7555113675673981E-7</v>
      </c>
      <c r="U68" s="9">
        <f t="shared" si="11"/>
        <v>1.451944490068883E-4</v>
      </c>
      <c r="V68" s="100">
        <f t="shared" si="14"/>
        <v>1.8978076547793309E-3</v>
      </c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46" t="s">
        <v>119</v>
      </c>
      <c r="C69" s="46" t="s">
        <v>120</v>
      </c>
      <c r="D69" s="47">
        <v>2.3724999877244022</v>
      </c>
      <c r="E69" s="47">
        <v>2.8974999825375303</v>
      </c>
      <c r="F69" s="96">
        <v>9.9999999999999995E-7</v>
      </c>
      <c r="G69" s="168"/>
      <c r="H69" s="168"/>
      <c r="I69" s="54">
        <f t="shared" si="24"/>
        <v>0.38500856866688477</v>
      </c>
      <c r="J69" s="54">
        <f t="shared" si="25"/>
        <v>1.6825122730351272</v>
      </c>
      <c r="K69" s="55">
        <f t="shared" si="26"/>
        <v>0.40460367526262286</v>
      </c>
      <c r="L69" s="55">
        <f t="shared" si="27"/>
        <v>1.3052879524904326E-2</v>
      </c>
      <c r="M69" s="55">
        <f t="shared" si="28"/>
        <v>0.9869471204750957</v>
      </c>
      <c r="N69" s="55">
        <f t="shared" si="29"/>
        <v>6.4241443924863582E-3</v>
      </c>
      <c r="O69" s="56">
        <f t="shared" si="30"/>
        <v>4.069815756077795E-7</v>
      </c>
      <c r="P69" s="56">
        <f t="shared" si="31"/>
        <v>1.959237216688139E-5</v>
      </c>
      <c r="Q69" s="56">
        <f t="shared" si="32"/>
        <v>3.2142135777073411E-4</v>
      </c>
      <c r="R69" s="9">
        <f t="shared" si="12"/>
        <v>1.4999999999999999E-4</v>
      </c>
      <c r="S69" s="9">
        <f t="shared" si="13"/>
        <v>1.9579319287356487E-6</v>
      </c>
      <c r="T69" s="9">
        <f t="shared" si="10"/>
        <v>6.0690551289393425E-5</v>
      </c>
      <c r="U69" s="9">
        <f t="shared" si="11"/>
        <v>1.4804206807126434E-4</v>
      </c>
      <c r="V69" s="100">
        <f t="shared" si="14"/>
        <v>0.40995476542639397</v>
      </c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46" t="s">
        <v>113</v>
      </c>
      <c r="C70" s="46" t="s">
        <v>114</v>
      </c>
      <c r="D70" s="47">
        <v>3.3511520000000004</v>
      </c>
      <c r="E70" s="47">
        <v>4.2962190000000007</v>
      </c>
      <c r="F70" s="96">
        <v>9.9999999999999995E-7</v>
      </c>
      <c r="G70" s="168"/>
      <c r="H70" s="168"/>
      <c r="I70" s="54">
        <f t="shared" si="24"/>
        <v>1.2852308448323728</v>
      </c>
      <c r="J70" s="54">
        <f t="shared" si="25"/>
        <v>2.913138997962994</v>
      </c>
      <c r="K70" s="55">
        <f t="shared" si="26"/>
        <v>5.0164095836955511E-2</v>
      </c>
      <c r="L70" s="55">
        <f t="shared" si="27"/>
        <v>2.7523028509199039E-2</v>
      </c>
      <c r="M70" s="55">
        <f t="shared" si="28"/>
        <v>0.97247697149080092</v>
      </c>
      <c r="N70" s="55">
        <f t="shared" si="29"/>
        <v>1.9947913519378111E-2</v>
      </c>
      <c r="O70" s="56">
        <f t="shared" si="30"/>
        <v>5.0458915751104194E-8</v>
      </c>
      <c r="P70" s="56">
        <f t="shared" si="31"/>
        <v>4.131206579230778E-5</v>
      </c>
      <c r="Q70" s="56">
        <f t="shared" si="32"/>
        <v>9.9806060641955156E-4</v>
      </c>
      <c r="R70" s="9">
        <f t="shared" si="12"/>
        <v>1.4999999999999999E-4</v>
      </c>
      <c r="S70" s="9">
        <f t="shared" si="13"/>
        <v>4.1284542763798554E-6</v>
      </c>
      <c r="T70" s="9">
        <f t="shared" si="10"/>
        <v>7.524614375543326E-6</v>
      </c>
      <c r="U70" s="9">
        <f t="shared" si="11"/>
        <v>1.4587154572362013E-4</v>
      </c>
      <c r="V70" s="100">
        <f t="shared" si="14"/>
        <v>5.158383931709383E-2</v>
      </c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46" t="s">
        <v>121</v>
      </c>
      <c r="C71" s="46" t="s">
        <v>122</v>
      </c>
      <c r="D71" s="47">
        <v>5.9183200000000005</v>
      </c>
      <c r="E71" s="47">
        <v>7.0401399999999992</v>
      </c>
      <c r="F71" s="96">
        <v>9.9999999999999995E-7</v>
      </c>
      <c r="G71" s="168"/>
      <c r="H71" s="168"/>
      <c r="I71" s="54">
        <f t="shared" ref="I71:I122" si="33">IF(D71=0,"",LOG($K$15*10^D71+$K$16*10^E71+$K$14))</f>
        <v>3.9109447814528924</v>
      </c>
      <c r="J71" s="54">
        <f t="shared" ref="J71:J122" si="34">IF(D71=0,"",LOG($K$21*10^D71+$K$22*10^E71+$K$20))</f>
        <v>5.6147977266030304</v>
      </c>
      <c r="K71" s="55">
        <f t="shared" ref="K71:K122" si="35">IF(D71=0,"",1/(1+10^D71*$J$15/$J$14+10^E71*$J$16/$J$14+10^J71*$J$19/$J$14))</f>
        <v>1.1814107357446769E-4</v>
      </c>
      <c r="L71" s="55">
        <f t="shared" ref="L71:L122" si="36">IF(D71=0,"",1/(1+10^I71/10^J71*$J$13/$J$19))</f>
        <v>3.2610906617418882E-2</v>
      </c>
      <c r="M71" s="55">
        <f t="shared" si="19"/>
        <v>0.96738909338258117</v>
      </c>
      <c r="N71" s="55">
        <f t="shared" ref="N71:N122" si="37">IF(D71=0,"",1/(1/10^E71*$J$20/$J$22+10^D71/10^E71*$J$21/$J$22+10^I71/10^E71*$J$13/$J$22+1))</f>
        <v>2.6051120092168832E-2</v>
      </c>
      <c r="O71" s="56">
        <f t="shared" si="21"/>
        <v>1.1883540167083895E-10</v>
      </c>
      <c r="P71" s="56">
        <f t="shared" ref="P71:P122" si="38">IF(D71=0,"",O71*10^J71)</f>
        <v>4.8948970832745764E-5</v>
      </c>
      <c r="Q71" s="56">
        <f t="shared" ref="Q71:Q122" si="39">IF(D71=0,"",F71*N71*$J$7/$J$22)</f>
        <v>1.3034243752781806E-3</v>
      </c>
      <c r="R71" s="9">
        <f t="shared" si="12"/>
        <v>1.4999999999999999E-4</v>
      </c>
      <c r="S71" s="9">
        <f t="shared" si="13"/>
        <v>4.8916359926128317E-6</v>
      </c>
      <c r="T71" s="9">
        <f t="shared" si="10"/>
        <v>1.7721161036170152E-8</v>
      </c>
      <c r="U71" s="9">
        <f t="shared" si="11"/>
        <v>1.4510836400738716E-4</v>
      </c>
      <c r="V71" s="100">
        <f t="shared" si="14"/>
        <v>1.2212363606599552E-4</v>
      </c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46" t="s">
        <v>123</v>
      </c>
      <c r="C72" s="46" t="s">
        <v>124</v>
      </c>
      <c r="D72" s="47">
        <v>5.5295200000000007</v>
      </c>
      <c r="E72" s="47">
        <v>6.5305900000000001</v>
      </c>
      <c r="F72" s="96">
        <v>9.9999999999999995E-7</v>
      </c>
      <c r="G72" s="168"/>
      <c r="H72" s="168"/>
      <c r="I72" s="54">
        <f t="shared" si="33"/>
        <v>3.4646398062685488</v>
      </c>
      <c r="J72" s="54">
        <f t="shared" si="34"/>
        <v>5.1323855239773488</v>
      </c>
      <c r="K72" s="55">
        <f t="shared" si="35"/>
        <v>3.3100703993476331E-4</v>
      </c>
      <c r="L72" s="55">
        <f t="shared" si="36"/>
        <v>3.0087561269476461E-2</v>
      </c>
      <c r="M72" s="55">
        <f t="shared" si="19"/>
        <v>0.96991243873052357</v>
      </c>
      <c r="N72" s="55">
        <f t="shared" si="37"/>
        <v>2.2579416695896432E-2</v>
      </c>
      <c r="O72" s="56">
        <f t="shared" si="21"/>
        <v>3.3295240475133166E-10</v>
      </c>
      <c r="P72" s="56">
        <f t="shared" si="38"/>
        <v>4.5161429465484182E-5</v>
      </c>
      <c r="Q72" s="56">
        <f t="shared" si="39"/>
        <v>1.1297234820180182E-3</v>
      </c>
      <c r="R72" s="9">
        <f t="shared" si="12"/>
        <v>1.4999999999999999E-4</v>
      </c>
      <c r="S72" s="9">
        <f t="shared" si="13"/>
        <v>4.513134190421469E-6</v>
      </c>
      <c r="T72" s="9">
        <f t="shared" si="10"/>
        <v>4.965105599021449E-8</v>
      </c>
      <c r="U72" s="9">
        <f t="shared" si="11"/>
        <v>1.4548686580957853E-4</v>
      </c>
      <c r="V72" s="100">
        <f t="shared" si="14"/>
        <v>3.4127517775522513E-4</v>
      </c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46" t="s">
        <v>125</v>
      </c>
      <c r="C73" s="46" t="s">
        <v>126</v>
      </c>
      <c r="D73" s="47">
        <v>5.4845040000000003</v>
      </c>
      <c r="E73" s="47">
        <v>6.5678879999999999</v>
      </c>
      <c r="F73" s="96">
        <v>9.9999999999999995E-7</v>
      </c>
      <c r="G73" s="168"/>
      <c r="H73" s="168"/>
      <c r="I73" s="54">
        <f t="shared" si="33"/>
        <v>3.4579829545014036</v>
      </c>
      <c r="J73" s="54">
        <f t="shared" si="34"/>
        <v>5.1505570683328576</v>
      </c>
      <c r="K73" s="55">
        <f t="shared" si="35"/>
        <v>3.3552583801294824E-4</v>
      </c>
      <c r="L73" s="55">
        <f t="shared" si="36"/>
        <v>3.1801475551335515E-2</v>
      </c>
      <c r="M73" s="55">
        <f t="shared" si="19"/>
        <v>0.9681985244486645</v>
      </c>
      <c r="N73" s="55">
        <f t="shared" si="37"/>
        <v>2.4940172765447355E-2</v>
      </c>
      <c r="O73" s="56">
        <f t="shared" si="21"/>
        <v>3.3749776030332808E-10</v>
      </c>
      <c r="P73" s="56">
        <f t="shared" si="38"/>
        <v>4.773401480255465E-5</v>
      </c>
      <c r="Q73" s="56">
        <f t="shared" si="39"/>
        <v>1.2478399773645495E-3</v>
      </c>
      <c r="R73" s="9">
        <f t="shared" si="12"/>
        <v>1.4999999999999999E-4</v>
      </c>
      <c r="S73" s="9">
        <f t="shared" si="13"/>
        <v>4.7702213327003264E-6</v>
      </c>
      <c r="T73" s="9">
        <f t="shared" si="10"/>
        <v>5.0328875701942235E-8</v>
      </c>
      <c r="U73" s="9">
        <f t="shared" si="11"/>
        <v>1.4522977866729967E-4</v>
      </c>
      <c r="V73" s="100">
        <f t="shared" si="14"/>
        <v>3.4654652898176192E-4</v>
      </c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46" t="s">
        <v>127</v>
      </c>
      <c r="C74" s="46" t="s">
        <v>128</v>
      </c>
      <c r="D74" s="47">
        <v>2.7195840000000011</v>
      </c>
      <c r="E74" s="47">
        <v>3.2500779999999994</v>
      </c>
      <c r="F74" s="96">
        <v>9.9999999999999995E-7</v>
      </c>
      <c r="G74" s="168"/>
      <c r="H74" s="168"/>
      <c r="I74" s="54">
        <f t="shared" si="33"/>
        <v>0.62193942428688143</v>
      </c>
      <c r="J74" s="54">
        <f t="shared" si="34"/>
        <v>2.0279953279061091</v>
      </c>
      <c r="K74" s="55">
        <f t="shared" si="35"/>
        <v>0.23361042593123954</v>
      </c>
      <c r="L74" s="55">
        <f t="shared" si="36"/>
        <v>1.6697512693689021E-2</v>
      </c>
      <c r="M74" s="55">
        <f t="shared" si="19"/>
        <v>0.98330248730631098</v>
      </c>
      <c r="N74" s="55">
        <f t="shared" si="37"/>
        <v>8.3532544187823795E-3</v>
      </c>
      <c r="O74" s="56">
        <f t="shared" si="21"/>
        <v>2.3498338012423719E-7</v>
      </c>
      <c r="P74" s="56">
        <f t="shared" si="38"/>
        <v>2.5062966553227224E-5</v>
      </c>
      <c r="Q74" s="56">
        <f t="shared" si="39"/>
        <v>4.1794116275307834E-4</v>
      </c>
      <c r="R74" s="9">
        <f t="shared" si="12"/>
        <v>1.4999999999999999E-4</v>
      </c>
      <c r="S74" s="9">
        <f t="shared" si="13"/>
        <v>2.5046269040533528E-6</v>
      </c>
      <c r="T74" s="9">
        <f t="shared" si="10"/>
        <v>3.5041563889685927E-5</v>
      </c>
      <c r="U74" s="9">
        <f t="shared" si="11"/>
        <v>1.4749537309594664E-4</v>
      </c>
      <c r="V74" s="100">
        <f t="shared" si="14"/>
        <v>0.23757737720281691</v>
      </c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46" t="s">
        <v>81</v>
      </c>
      <c r="C75" s="46" t="s">
        <v>82</v>
      </c>
      <c r="D75" s="47">
        <v>3.9841999877244016</v>
      </c>
      <c r="E75" s="47">
        <v>5.1901999825375293</v>
      </c>
      <c r="F75" s="96">
        <v>9.9999999999999995E-7</v>
      </c>
      <c r="G75" s="168"/>
      <c r="H75" s="168"/>
      <c r="I75" s="54">
        <f t="shared" si="33"/>
        <v>2.0259693417507676</v>
      </c>
      <c r="J75" s="54">
        <f t="shared" si="34"/>
        <v>3.7492517444009614</v>
      </c>
      <c r="K75" s="55">
        <f t="shared" si="35"/>
        <v>9.0516725875179147E-3</v>
      </c>
      <c r="L75" s="55">
        <f t="shared" si="36"/>
        <v>3.4052171659103132E-2</v>
      </c>
      <c r="M75" s="55">
        <f t="shared" si="19"/>
        <v>0.96594782834089687</v>
      </c>
      <c r="N75" s="55">
        <f t="shared" si="37"/>
        <v>2.819774033265169E-2</v>
      </c>
      <c r="O75" s="56">
        <f t="shared" si="21"/>
        <v>9.1048702638764712E-9</v>
      </c>
      <c r="P75" s="56">
        <f t="shared" si="38"/>
        <v>5.1112309660313851E-5</v>
      </c>
      <c r="Q75" s="56">
        <f t="shared" si="39"/>
        <v>1.4108269413103396E-3</v>
      </c>
      <c r="R75" s="9">
        <f t="shared" si="12"/>
        <v>1.4999999999999999E-4</v>
      </c>
      <c r="S75" s="9">
        <f t="shared" si="13"/>
        <v>5.1078257488654697E-6</v>
      </c>
      <c r="T75" s="9">
        <f t="shared" si="10"/>
        <v>1.3577508881276871E-6</v>
      </c>
      <c r="U75" s="9">
        <f t="shared" si="11"/>
        <v>1.4489217425113453E-4</v>
      </c>
      <c r="V75" s="100">
        <f t="shared" si="14"/>
        <v>9.3707675735085864E-3</v>
      </c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46" t="s">
        <v>129</v>
      </c>
      <c r="C76" s="46" t="s">
        <v>130</v>
      </c>
      <c r="D76" s="47">
        <v>4.10616</v>
      </c>
      <c r="E76" s="47">
        <v>5.1108449999999994</v>
      </c>
      <c r="F76" s="96">
        <v>9.9999999999999995E-7</v>
      </c>
      <c r="G76" s="168"/>
      <c r="H76" s="168"/>
      <c r="I76" s="54">
        <f t="shared" si="33"/>
        <v>2.0466328175843658</v>
      </c>
      <c r="J76" s="54">
        <f t="shared" si="34"/>
        <v>3.7118118425949667</v>
      </c>
      <c r="K76" s="55">
        <f t="shared" si="35"/>
        <v>8.6680463281704236E-3</v>
      </c>
      <c r="L76" s="55">
        <f t="shared" si="36"/>
        <v>2.9915571200449253E-2</v>
      </c>
      <c r="M76" s="55">
        <f t="shared" si="19"/>
        <v>0.9700844287995507</v>
      </c>
      <c r="N76" s="55">
        <f t="shared" si="37"/>
        <v>2.2493224179980262E-2</v>
      </c>
      <c r="O76" s="56">
        <f t="shared" si="21"/>
        <v>8.7189893907667074E-9</v>
      </c>
      <c r="P76" s="56">
        <f t="shared" si="38"/>
        <v>4.4903272371874397E-5</v>
      </c>
      <c r="Q76" s="56">
        <f t="shared" si="39"/>
        <v>1.1254109831383458E-3</v>
      </c>
      <c r="R76" s="9">
        <f t="shared" si="12"/>
        <v>1.4999999999999999E-4</v>
      </c>
      <c r="S76" s="9">
        <f t="shared" si="13"/>
        <v>4.4873356800673875E-6</v>
      </c>
      <c r="T76" s="9">
        <f t="shared" si="10"/>
        <v>1.3002069492255634E-6</v>
      </c>
      <c r="U76" s="9">
        <f t="shared" si="11"/>
        <v>1.455126643199326E-4</v>
      </c>
      <c r="V76" s="100">
        <f t="shared" si="14"/>
        <v>8.9353525021495933E-3</v>
      </c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46" t="s">
        <v>131</v>
      </c>
      <c r="C77" s="46" t="s">
        <v>132</v>
      </c>
      <c r="D77" s="47">
        <v>2.8295519999999996</v>
      </c>
      <c r="E77" s="47">
        <v>3.5791989999999991</v>
      </c>
      <c r="F77" s="96">
        <v>9.9999999999999995E-7</v>
      </c>
      <c r="G77" s="168"/>
      <c r="H77" s="168"/>
      <c r="I77" s="54">
        <f t="shared" si="33"/>
        <v>0.75425121724867172</v>
      </c>
      <c r="J77" s="54">
        <f t="shared" si="34"/>
        <v>2.2606800266912841</v>
      </c>
      <c r="K77" s="55">
        <f t="shared" si="35"/>
        <v>0.17151378608876808</v>
      </c>
      <c r="L77" s="55">
        <f t="shared" si="36"/>
        <v>2.0948035138729577E-2</v>
      </c>
      <c r="M77" s="55">
        <f t="shared" si="19"/>
        <v>0.97905196486127044</v>
      </c>
      <c r="N77" s="55">
        <f t="shared" si="37"/>
        <v>1.3085295113397984E-2</v>
      </c>
      <c r="O77" s="56">
        <f t="shared" si="21"/>
        <v>1.7252179149275972E-7</v>
      </c>
      <c r="P77" s="56">
        <f t="shared" si="38"/>
        <v>3.1443000743233095E-5</v>
      </c>
      <c r="Q77" s="56">
        <f t="shared" si="39"/>
        <v>6.5470093217367921E-4</v>
      </c>
      <c r="R77" s="9">
        <f t="shared" si="12"/>
        <v>1.4999999999999999E-4</v>
      </c>
      <c r="S77" s="9">
        <f t="shared" si="13"/>
        <v>3.1422052708094361E-6</v>
      </c>
      <c r="T77" s="9">
        <f t="shared" si="10"/>
        <v>2.5727067913315209E-5</v>
      </c>
      <c r="U77" s="9">
        <f t="shared" si="11"/>
        <v>1.4685779472919054E-4</v>
      </c>
      <c r="V77" s="100">
        <f t="shared" si="14"/>
        <v>0.1751835369770911</v>
      </c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46" t="s">
        <v>83</v>
      </c>
      <c r="C78" s="46" t="s">
        <v>84</v>
      </c>
      <c r="D78" s="47">
        <v>3.03</v>
      </c>
      <c r="E78" s="47">
        <v>3.96</v>
      </c>
      <c r="F78" s="96">
        <v>9.9999999999999995E-7</v>
      </c>
      <c r="G78" s="7"/>
      <c r="H78" s="7"/>
      <c r="I78" s="54">
        <f t="shared" si="33"/>
        <v>0.98244102051051041</v>
      </c>
      <c r="J78" s="54">
        <f t="shared" si="34"/>
        <v>2.5816370248013158</v>
      </c>
      <c r="K78" s="55">
        <f t="shared" si="35"/>
        <v>0.10091324608132432</v>
      </c>
      <c r="L78" s="55">
        <f t="shared" si="36"/>
        <v>2.580770788373872E-2</v>
      </c>
      <c r="M78" s="55">
        <f t="shared" si="19"/>
        <v>0.97419229211626124</v>
      </c>
      <c r="N78" s="55">
        <f t="shared" si="37"/>
        <v>1.8502638519683586E-2</v>
      </c>
      <c r="O78" s="56">
        <f t="shared" si="21"/>
        <v>1.0150632433878677E-7</v>
      </c>
      <c r="P78" s="56">
        <f t="shared" si="38"/>
        <v>3.8737369533491838E-5</v>
      </c>
      <c r="Q78" s="56">
        <f t="shared" si="39"/>
        <v>9.2574868060150224E-4</v>
      </c>
      <c r="R78" s="9">
        <f t="shared" si="12"/>
        <v>1.4999999999999999E-4</v>
      </c>
      <c r="S78" s="9">
        <f t="shared" si="13"/>
        <v>3.8711561825608078E-6</v>
      </c>
      <c r="T78" s="9">
        <f t="shared" si="10"/>
        <v>1.5136986912198647E-5</v>
      </c>
      <c r="U78" s="9">
        <f t="shared" si="11"/>
        <v>1.4612884381743916E-4</v>
      </c>
      <c r="V78" s="100">
        <f t="shared" si="14"/>
        <v>0.10358657823303863</v>
      </c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46" t="s">
        <v>133</v>
      </c>
      <c r="C79" s="46" t="s">
        <v>134</v>
      </c>
      <c r="D79" s="47">
        <v>3.2352399999999997</v>
      </c>
      <c r="E79" s="47">
        <v>3.7544849999999994</v>
      </c>
      <c r="F79" s="96">
        <v>9.9999999999999995E-7</v>
      </c>
      <c r="G79" s="7"/>
      <c r="H79" s="7"/>
      <c r="I79" s="54">
        <f t="shared" si="33"/>
        <v>1.0570731161685156</v>
      </c>
      <c r="J79" s="54">
        <f t="shared" si="34"/>
        <v>2.5355592122209871</v>
      </c>
      <c r="K79" s="55">
        <f t="shared" si="35"/>
        <v>8.5515416840083278E-2</v>
      </c>
      <c r="L79" s="55">
        <f t="shared" si="36"/>
        <v>1.9668347028053187E-2</v>
      </c>
      <c r="M79" s="55">
        <f t="shared" si="19"/>
        <v>0.9803316529719468</v>
      </c>
      <c r="N79" s="55">
        <f t="shared" si="37"/>
        <v>9.7682081384648633E-3</v>
      </c>
      <c r="O79" s="56">
        <f t="shared" si="21"/>
        <v>8.6018000359840636E-8</v>
      </c>
      <c r="P79" s="56">
        <f t="shared" si="38"/>
        <v>2.9522188889107839E-5</v>
      </c>
      <c r="Q79" s="56">
        <f t="shared" si="39"/>
        <v>4.8873601386119207E-4</v>
      </c>
      <c r="R79" s="9">
        <f t="shared" si="12"/>
        <v>1.4999999999999999E-4</v>
      </c>
      <c r="S79" s="9">
        <f t="shared" si="13"/>
        <v>2.9502520542079778E-6</v>
      </c>
      <c r="T79" s="9">
        <f t="shared" si="10"/>
        <v>1.2827312526012491E-5</v>
      </c>
      <c r="U79" s="9">
        <f t="shared" si="11"/>
        <v>1.4704974794579201E-4</v>
      </c>
      <c r="V79" s="100">
        <f t="shared" si="14"/>
        <v>8.7231108554780487E-2</v>
      </c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46" t="s">
        <v>135</v>
      </c>
      <c r="C80" s="46" t="s">
        <v>136</v>
      </c>
      <c r="D80" s="47">
        <v>3.3303280000000011</v>
      </c>
      <c r="E80" s="47">
        <v>3.8215209999999997</v>
      </c>
      <c r="F80" s="96">
        <v>9.9999999999999995E-7</v>
      </c>
      <c r="G80" s="7"/>
      <c r="H80" s="7"/>
      <c r="I80" s="54">
        <f t="shared" si="33"/>
        <v>1.1393826628828596</v>
      </c>
      <c r="J80" s="54">
        <f t="shared" si="34"/>
        <v>2.6167182318767161</v>
      </c>
      <c r="K80" s="55">
        <f t="shared" si="35"/>
        <v>7.0755054512687751E-2</v>
      </c>
      <c r="L80" s="55">
        <f t="shared" si="36"/>
        <v>1.961733167734539E-2</v>
      </c>
      <c r="M80" s="55">
        <f t="shared" si="19"/>
        <v>0.98038266832265464</v>
      </c>
      <c r="N80" s="55">
        <f t="shared" si="37"/>
        <v>9.4311349184929699E-3</v>
      </c>
      <c r="O80" s="56">
        <f t="shared" si="21"/>
        <v>7.1170889757975841E-8</v>
      </c>
      <c r="P80" s="56">
        <f t="shared" si="38"/>
        <v>2.9445614847695439E-5</v>
      </c>
      <c r="Q80" s="56">
        <f t="shared" si="39"/>
        <v>4.7187111708859827E-4</v>
      </c>
      <c r="R80" s="9">
        <f t="shared" si="12"/>
        <v>1.4999999999999999E-4</v>
      </c>
      <c r="S80" s="9">
        <f t="shared" si="13"/>
        <v>2.9425997516018081E-6</v>
      </c>
      <c r="T80" s="9">
        <f t="shared" si="10"/>
        <v>1.0613258176903162E-5</v>
      </c>
      <c r="U80" s="9">
        <f t="shared" si="11"/>
        <v>1.4705740024839817E-4</v>
      </c>
      <c r="V80" s="100">
        <f t="shared" si="14"/>
        <v>7.2170854094904799E-2</v>
      </c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46" t="s">
        <v>137</v>
      </c>
      <c r="C81" s="46" t="s">
        <v>138</v>
      </c>
      <c r="D81" s="47">
        <v>4.4202640000000004</v>
      </c>
      <c r="E81" s="47">
        <v>5.6388380000000007</v>
      </c>
      <c r="F81" s="96">
        <v>9.9999999999999995E-7</v>
      </c>
      <c r="G81" s="7"/>
      <c r="H81" s="7"/>
      <c r="I81" s="54">
        <f t="shared" si="33"/>
        <v>2.466507651261447</v>
      </c>
      <c r="J81" s="54">
        <f t="shared" si="34"/>
        <v>4.195712087091966</v>
      </c>
      <c r="K81" s="55">
        <f t="shared" si="35"/>
        <v>3.2808587646910958E-3</v>
      </c>
      <c r="L81" s="55">
        <f t="shared" si="36"/>
        <v>3.4503555906682394E-2</v>
      </c>
      <c r="M81" s="55">
        <f t="shared" si="19"/>
        <v>0.96549644409331759</v>
      </c>
      <c r="N81" s="55">
        <f t="shared" si="37"/>
        <v>2.8715145620569982E-2</v>
      </c>
      <c r="O81" s="56">
        <f t="shared" si="21"/>
        <v>3.3001407328637902E-9</v>
      </c>
      <c r="P81" s="56">
        <f t="shared" si="38"/>
        <v>5.1789837415930302E-5</v>
      </c>
      <c r="Q81" s="56">
        <f t="shared" si="39"/>
        <v>1.4367144525491847E-3</v>
      </c>
      <c r="R81" s="9">
        <f t="shared" si="12"/>
        <v>1.4999999999999999E-4</v>
      </c>
      <c r="S81" s="9">
        <f t="shared" si="13"/>
        <v>5.1755333860023586E-6</v>
      </c>
      <c r="T81" s="9">
        <f t="shared" si="10"/>
        <v>4.921288147036643E-7</v>
      </c>
      <c r="U81" s="9">
        <f t="shared" si="11"/>
        <v>1.4482446661399762E-4</v>
      </c>
      <c r="V81" s="100">
        <f t="shared" si="14"/>
        <v>3.3981054873507052E-3</v>
      </c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46" t="s">
        <v>139</v>
      </c>
      <c r="C82" s="46" t="s">
        <v>140</v>
      </c>
      <c r="D82" s="47">
        <v>4.2752879999999998</v>
      </c>
      <c r="E82" s="47">
        <v>5.3084609999999994</v>
      </c>
      <c r="F82" s="96">
        <v>9.9999999999999995E-7</v>
      </c>
      <c r="G82" s="7"/>
      <c r="H82" s="7"/>
      <c r="I82" s="54">
        <f t="shared" si="33"/>
        <v>2.2273249528367836</v>
      </c>
      <c r="J82" s="54">
        <f t="shared" si="34"/>
        <v>3.9025095498636322</v>
      </c>
      <c r="K82" s="55">
        <f t="shared" si="35"/>
        <v>5.7138179236961399E-3</v>
      </c>
      <c r="L82" s="55">
        <f t="shared" si="36"/>
        <v>3.0591458278277747E-2</v>
      </c>
      <c r="M82" s="55">
        <f t="shared" si="19"/>
        <v>0.96940854172172231</v>
      </c>
      <c r="N82" s="55">
        <f t="shared" si="37"/>
        <v>2.3370762656054284E-2</v>
      </c>
      <c r="O82" s="56">
        <f t="shared" si="21"/>
        <v>5.7473986607077354E-9</v>
      </c>
      <c r="P82" s="56">
        <f t="shared" si="38"/>
        <v>4.5917778875694952E-5</v>
      </c>
      <c r="Q82" s="56">
        <f t="shared" si="39"/>
        <v>1.1693171582245828E-3</v>
      </c>
      <c r="R82" s="9">
        <f t="shared" si="12"/>
        <v>1.4999999999999999E-4</v>
      </c>
      <c r="S82" s="9">
        <f t="shared" si="13"/>
        <v>4.588718741741662E-6</v>
      </c>
      <c r="T82" s="9">
        <f t="shared" si="10"/>
        <v>8.5707268855442091E-7</v>
      </c>
      <c r="U82" s="9">
        <f t="shared" si="11"/>
        <v>1.4541128125825832E-4</v>
      </c>
      <c r="V82" s="100">
        <f t="shared" si="14"/>
        <v>5.894127891165564E-3</v>
      </c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46" t="s">
        <v>85</v>
      </c>
      <c r="C83" s="46" t="s">
        <v>86</v>
      </c>
      <c r="D83" s="47">
        <v>2.7665919999999997</v>
      </c>
      <c r="E83" s="47">
        <v>3.5255839999999989</v>
      </c>
      <c r="F83" s="96">
        <v>9.9999999999999995E-7</v>
      </c>
      <c r="G83" s="7"/>
      <c r="H83" s="7"/>
      <c r="I83" s="54">
        <f t="shared" si="33"/>
        <v>0.70532975413914467</v>
      </c>
      <c r="J83" s="54">
        <f t="shared" si="34"/>
        <v>2.2038999237977572</v>
      </c>
      <c r="K83" s="55">
        <f t="shared" si="35"/>
        <v>0.19203645055005761</v>
      </c>
      <c r="L83" s="55">
        <f t="shared" si="36"/>
        <v>2.0580116417821849E-2</v>
      </c>
      <c r="M83" s="55">
        <f t="shared" si="19"/>
        <v>0.97941988358217813</v>
      </c>
      <c r="N83" s="55">
        <f t="shared" si="37"/>
        <v>1.2949504714420633E-2</v>
      </c>
      <c r="O83" s="56">
        <f t="shared" si="21"/>
        <v>1.9316506991257139E-7</v>
      </c>
      <c r="P83" s="56">
        <f t="shared" si="38"/>
        <v>3.089075474315059E-5</v>
      </c>
      <c r="Q83" s="56">
        <f t="shared" si="39"/>
        <v>6.4790688587817904E-4</v>
      </c>
      <c r="R83" s="9">
        <f t="shared" si="12"/>
        <v>1.4999999999999999E-4</v>
      </c>
      <c r="S83" s="9">
        <f t="shared" si="13"/>
        <v>3.0870174626732771E-6</v>
      </c>
      <c r="T83" s="9">
        <f t="shared" si="10"/>
        <v>2.8805467582508637E-5</v>
      </c>
      <c r="U83" s="9">
        <f t="shared" si="11"/>
        <v>1.4691298253732672E-4</v>
      </c>
      <c r="V83" s="100">
        <f t="shared" si="14"/>
        <v>0.19607162746961407</v>
      </c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46" t="s">
        <v>141</v>
      </c>
      <c r="C84" s="46" t="s">
        <v>142</v>
      </c>
      <c r="D84" s="47">
        <v>4.4687359999999998</v>
      </c>
      <c r="E84" s="47">
        <v>5.2666120000000003</v>
      </c>
      <c r="F84" s="96">
        <v>9.9999999999999995E-7</v>
      </c>
      <c r="G84" s="7"/>
      <c r="H84" s="7"/>
      <c r="I84" s="54">
        <f t="shared" si="33"/>
        <v>2.3272580136650043</v>
      </c>
      <c r="J84" s="54">
        <f t="shared" si="34"/>
        <v>3.9287211418950596</v>
      </c>
      <c r="K84" s="55">
        <f t="shared" si="35"/>
        <v>4.561130781064595E-3</v>
      </c>
      <c r="L84" s="55">
        <f t="shared" si="36"/>
        <v>2.593927897346102E-2</v>
      </c>
      <c r="M84" s="55">
        <f t="shared" si="19"/>
        <v>0.97406072102653896</v>
      </c>
      <c r="N84" s="55">
        <f t="shared" si="37"/>
        <v>1.6942208136521347E-2</v>
      </c>
      <c r="O84" s="56">
        <f t="shared" si="21"/>
        <v>4.5879370488315851E-9</v>
      </c>
      <c r="P84" s="56">
        <f t="shared" si="38"/>
        <v>3.8934857739164983E-5</v>
      </c>
      <c r="Q84" s="56">
        <f t="shared" si="39"/>
        <v>8.4767514709728476E-4</v>
      </c>
      <c r="R84" s="9">
        <f t="shared" si="12"/>
        <v>1.4999999999999999E-4</v>
      </c>
      <c r="S84" s="9">
        <f t="shared" si="13"/>
        <v>3.8908918460191528E-6</v>
      </c>
      <c r="T84" s="9">
        <f t="shared" si="10"/>
        <v>6.8416961715968917E-7</v>
      </c>
      <c r="U84" s="9">
        <f t="shared" si="11"/>
        <v>1.4610910815398084E-4</v>
      </c>
      <c r="V84" s="100">
        <f t="shared" si="14"/>
        <v>4.6825938903046309E-3</v>
      </c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46" t="s">
        <v>87</v>
      </c>
      <c r="C85" s="46" t="s">
        <v>88</v>
      </c>
      <c r="D85" s="47">
        <v>2.6972559999999999</v>
      </c>
      <c r="E85" s="47">
        <v>3.431432</v>
      </c>
      <c r="F85" s="96">
        <v>9.9999999999999995E-7</v>
      </c>
      <c r="G85" s="7"/>
      <c r="H85" s="7"/>
      <c r="I85" s="54">
        <f t="shared" si="33"/>
        <v>0.64458903464573347</v>
      </c>
      <c r="J85" s="54">
        <f t="shared" si="34"/>
        <v>2.1195388952426257</v>
      </c>
      <c r="K85" s="55">
        <f t="shared" si="35"/>
        <v>0.22110459773808289</v>
      </c>
      <c r="L85" s="55">
        <f t="shared" si="36"/>
        <v>1.9511960222812073E-2</v>
      </c>
      <c r="M85" s="55">
        <f t="shared" si="19"/>
        <v>0.9804880397771879</v>
      </c>
      <c r="N85" s="55">
        <f t="shared" si="37"/>
        <v>1.2003703553214777E-2</v>
      </c>
      <c r="O85" s="56">
        <f t="shared" si="21"/>
        <v>2.2240405380193558E-7</v>
      </c>
      <c r="P85" s="56">
        <f t="shared" si="38"/>
        <v>2.928745229444092E-5</v>
      </c>
      <c r="Q85" s="56">
        <f t="shared" si="39"/>
        <v>6.0058530111251269E-4</v>
      </c>
      <c r="R85" s="9">
        <f t="shared" si="12"/>
        <v>1.4999999999999999E-4</v>
      </c>
      <c r="S85" s="9">
        <f t="shared" si="13"/>
        <v>2.9267940334218105E-6</v>
      </c>
      <c r="T85" s="9">
        <f t="shared" si="10"/>
        <v>3.3165689660712428E-5</v>
      </c>
      <c r="U85" s="9">
        <f t="shared" si="11"/>
        <v>1.4707320596657816E-4</v>
      </c>
      <c r="V85" s="100">
        <f t="shared" si="14"/>
        <v>0.22550463521036732</v>
      </c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46" t="s">
        <v>143</v>
      </c>
      <c r="C86" s="46" t="s">
        <v>144</v>
      </c>
      <c r="D86" s="47">
        <v>3.859360000000001</v>
      </c>
      <c r="E86" s="47">
        <v>4.2614199999999993</v>
      </c>
      <c r="F86" s="96">
        <v>9.9999999999999995E-7</v>
      </c>
      <c r="G86" s="7"/>
      <c r="H86" s="7"/>
      <c r="I86" s="54">
        <f t="shared" si="33"/>
        <v>1.6299602750984028</v>
      </c>
      <c r="J86" s="54">
        <f t="shared" si="34"/>
        <v>3.1044657046165054</v>
      </c>
      <c r="K86" s="55">
        <f t="shared" si="35"/>
        <v>2.286836948382296E-2</v>
      </c>
      <c r="L86" s="55">
        <f t="shared" si="36"/>
        <v>1.9492392072166756E-2</v>
      </c>
      <c r="M86" s="55">
        <f t="shared" si="19"/>
        <v>0.9805076079278332</v>
      </c>
      <c r="N86" s="55">
        <f t="shared" si="37"/>
        <v>8.3934534919231796E-3</v>
      </c>
      <c r="O86" s="56">
        <f t="shared" si="21"/>
        <v>2.3002769409017549E-8</v>
      </c>
      <c r="P86" s="56">
        <f t="shared" si="38"/>
        <v>2.9258080500322313E-5</v>
      </c>
      <c r="Q86" s="56">
        <f t="shared" si="39"/>
        <v>4.1995245637922312E-4</v>
      </c>
      <c r="R86" s="9">
        <f t="shared" si="12"/>
        <v>1.4999999999999999E-4</v>
      </c>
      <c r="S86" s="9">
        <f t="shared" si="13"/>
        <v>2.923858810825013E-6</v>
      </c>
      <c r="T86" s="9">
        <f t="shared" si="10"/>
        <v>3.4302554225734437E-6</v>
      </c>
      <c r="U86" s="9">
        <f t="shared" si="11"/>
        <v>1.4707614118917496E-4</v>
      </c>
      <c r="V86" s="100">
        <f t="shared" si="14"/>
        <v>2.3322990356140209E-2</v>
      </c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46" t="s">
        <v>281</v>
      </c>
      <c r="C87" s="46" t="s">
        <v>282</v>
      </c>
      <c r="D87" s="47">
        <v>2.5105662711924017</v>
      </c>
      <c r="E87" s="47">
        <v>3.0939041322596146</v>
      </c>
      <c r="F87" s="96">
        <v>9.9999999999999995E-7</v>
      </c>
      <c r="G87" s="7"/>
      <c r="H87" s="7"/>
      <c r="I87" s="54">
        <f t="shared" si="33"/>
        <v>0.48026857292599601</v>
      </c>
      <c r="J87" s="54">
        <f t="shared" si="34"/>
        <v>1.8482687840458425</v>
      </c>
      <c r="K87" s="55">
        <f t="shared" si="35"/>
        <v>0.32416930488442031</v>
      </c>
      <c r="L87" s="55">
        <f t="shared" si="36"/>
        <v>1.5318100231763797E-2</v>
      </c>
      <c r="M87" s="55">
        <f t="shared" si="19"/>
        <v>0.98468189976823617</v>
      </c>
      <c r="N87" s="55">
        <f t="shared" si="37"/>
        <v>8.0902419478229935E-3</v>
      </c>
      <c r="O87" s="56">
        <f t="shared" si="21"/>
        <v>3.2607448357928384E-7</v>
      </c>
      <c r="P87" s="56">
        <f t="shared" si="38"/>
        <v>2.2992468447877459E-5</v>
      </c>
      <c r="Q87" s="56">
        <f t="shared" si="39"/>
        <v>4.0478177212274383E-4</v>
      </c>
      <c r="R87" s="9">
        <f t="shared" si="12"/>
        <v>1.4999999999999999E-4</v>
      </c>
      <c r="S87" s="9">
        <f t="shared" si="13"/>
        <v>2.2977150347645694E-6</v>
      </c>
      <c r="T87" s="9">
        <f t="shared" si="10"/>
        <v>4.8625395732663038E-5</v>
      </c>
      <c r="U87" s="9">
        <f t="shared" si="11"/>
        <v>1.477022849652354E-4</v>
      </c>
      <c r="V87" s="100">
        <f t="shared" si="14"/>
        <v>0.32921221052272798</v>
      </c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46" t="s">
        <v>283</v>
      </c>
      <c r="C88" s="46" t="s">
        <v>284</v>
      </c>
      <c r="D88" s="47">
        <v>1.93</v>
      </c>
      <c r="E88" s="47">
        <v>1.25</v>
      </c>
      <c r="F88" s="96">
        <v>9.9999999999999995E-7</v>
      </c>
      <c r="G88" s="7"/>
      <c r="H88" s="7"/>
      <c r="I88" s="54">
        <f t="shared" si="33"/>
        <v>0.14925721804369038</v>
      </c>
      <c r="J88" s="54">
        <f t="shared" si="34"/>
        <v>0.99628677044171088</v>
      </c>
      <c r="K88" s="55">
        <f t="shared" si="35"/>
        <v>0.70219269115905325</v>
      </c>
      <c r="L88" s="55">
        <f t="shared" si="36"/>
        <v>4.6655979162799352E-3</v>
      </c>
      <c r="M88" s="55">
        <f t="shared" si="19"/>
        <v>0.99533440208372004</v>
      </c>
      <c r="N88" s="55">
        <f t="shared" si="37"/>
        <v>2.5103934471923866E-4</v>
      </c>
      <c r="O88" s="56">
        <f t="shared" si="21"/>
        <v>7.0631955491428176E-7</v>
      </c>
      <c r="P88" s="56">
        <f t="shared" si="38"/>
        <v>7.0030624723361808E-6</v>
      </c>
      <c r="Q88" s="56">
        <f t="shared" si="39"/>
        <v>1.2560335214119241E-5</v>
      </c>
      <c r="R88" s="9">
        <f t="shared" si="12"/>
        <v>1.4999999999999999E-4</v>
      </c>
      <c r="S88" s="9">
        <f t="shared" si="13"/>
        <v>6.9983968744199018E-7</v>
      </c>
      <c r="T88" s="9">
        <f t="shared" si="10"/>
        <v>1.0532890367385798E-4</v>
      </c>
      <c r="U88" s="9">
        <f t="shared" si="11"/>
        <v>1.4930016031255798E-4</v>
      </c>
      <c r="V88" s="100">
        <f t="shared" si="14"/>
        <v>0.70548419675741303</v>
      </c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46" t="s">
        <v>285</v>
      </c>
      <c r="C89" s="46" t="s">
        <v>286</v>
      </c>
      <c r="D89" s="47">
        <v>1.25894119353766</v>
      </c>
      <c r="E89" s="47">
        <v>1.3134233879901926</v>
      </c>
      <c r="F89" s="96">
        <v>9.9999999999999995E-7</v>
      </c>
      <c r="G89" s="7"/>
      <c r="H89" s="7"/>
      <c r="I89" s="54">
        <f t="shared" si="33"/>
        <v>3.7336026484154294E-2</v>
      </c>
      <c r="J89" s="54">
        <f t="shared" si="34"/>
        <v>0.51886105197848853</v>
      </c>
      <c r="K89" s="55">
        <f t="shared" si="35"/>
        <v>0.91102841994750938</v>
      </c>
      <c r="L89" s="55">
        <f t="shared" si="36"/>
        <v>2.0163095649126605E-3</v>
      </c>
      <c r="M89" s="55">
        <f t="shared" si="19"/>
        <v>0.99798369043508739</v>
      </c>
      <c r="N89" s="55">
        <f t="shared" si="37"/>
        <v>3.7691272593774446E-4</v>
      </c>
      <c r="O89" s="56">
        <f t="shared" si="21"/>
        <v>9.1638263427300849E-7</v>
      </c>
      <c r="P89" s="56">
        <f t="shared" si="38"/>
        <v>3.0264806569339032E-6</v>
      </c>
      <c r="Q89" s="56">
        <f t="shared" si="39"/>
        <v>1.8858200054418484E-5</v>
      </c>
      <c r="R89" s="9">
        <f t="shared" si="12"/>
        <v>1.4999999999999999E-4</v>
      </c>
      <c r="S89" s="9">
        <f t="shared" si="13"/>
        <v>3.0244643473689907E-7</v>
      </c>
      <c r="T89" s="9">
        <f t="shared" si="10"/>
        <v>1.3665426299212639E-4</v>
      </c>
      <c r="U89" s="9">
        <f t="shared" si="11"/>
        <v>1.4969755356526309E-4</v>
      </c>
      <c r="V89" s="100">
        <f t="shared" si="14"/>
        <v>0.91286904653755574</v>
      </c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46" t="s">
        <v>287</v>
      </c>
      <c r="C90" s="46" t="s">
        <v>288</v>
      </c>
      <c r="D90" s="47">
        <v>0.21626245461153099</v>
      </c>
      <c r="E90" s="47">
        <v>-0.16982383217232916</v>
      </c>
      <c r="F90" s="96">
        <v>9.9999999999999995E-7</v>
      </c>
      <c r="G90" s="7"/>
      <c r="H90" s="7"/>
      <c r="I90" s="54">
        <f t="shared" si="33"/>
        <v>1.290009012521746E-3</v>
      </c>
      <c r="J90" s="54">
        <f t="shared" si="34"/>
        <v>2.318135879654076E-2</v>
      </c>
      <c r="K90" s="55">
        <f t="shared" si="35"/>
        <v>0.99117447061005504</v>
      </c>
      <c r="L90" s="55">
        <f t="shared" si="36"/>
        <v>7.0064124482152254E-4</v>
      </c>
      <c r="M90" s="55">
        <f t="shared" si="19"/>
        <v>0.9992993587551785</v>
      </c>
      <c r="N90" s="55">
        <f t="shared" si="37"/>
        <v>1.3477575184234682E-5</v>
      </c>
      <c r="O90" s="56">
        <f t="shared" si="21"/>
        <v>9.9699971209913521E-7</v>
      </c>
      <c r="P90" s="56">
        <f t="shared" si="38"/>
        <v>1.0516625084771055E-6</v>
      </c>
      <c r="Q90" s="56">
        <f t="shared" si="39"/>
        <v>6.7432801171787526E-7</v>
      </c>
      <c r="R90" s="9">
        <f t="shared" si="12"/>
        <v>1.4999999999999999E-4</v>
      </c>
      <c r="S90" s="9">
        <f t="shared" si="13"/>
        <v>1.0509618672322838E-7</v>
      </c>
      <c r="T90" s="9">
        <f t="shared" si="10"/>
        <v>1.4867617059150824E-4</v>
      </c>
      <c r="U90" s="9">
        <f t="shared" si="11"/>
        <v>1.4989490381327677E-4</v>
      </c>
      <c r="V90" s="100">
        <f t="shared" si="14"/>
        <v>0.99186941523184347</v>
      </c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46" t="s">
        <v>289</v>
      </c>
      <c r="C91" s="46" t="s">
        <v>290</v>
      </c>
      <c r="D91" s="47">
        <v>-2.4693681101840836E-2</v>
      </c>
      <c r="E91" s="47">
        <v>-0.51259241959557644</v>
      </c>
      <c r="F91" s="96">
        <v>9.9999999999999995E-7</v>
      </c>
      <c r="G91" s="7"/>
      <c r="H91" s="7"/>
      <c r="I91" s="54">
        <f t="shared" si="33"/>
        <v>-2.2961926676165657E-4</v>
      </c>
      <c r="J91" s="54">
        <f t="shared" si="34"/>
        <v>-1.1579999958037488E-2</v>
      </c>
      <c r="K91" s="55">
        <f t="shared" si="35"/>
        <v>0.99470009143859006</v>
      </c>
      <c r="L91" s="55">
        <f t="shared" si="36"/>
        <v>6.4904736490654826E-4</v>
      </c>
      <c r="M91" s="55">
        <f t="shared" si="19"/>
        <v>0.99935095263509344</v>
      </c>
      <c r="N91" s="55">
        <f t="shared" si="37"/>
        <v>6.143066633746879E-6</v>
      </c>
      <c r="O91" s="56">
        <f t="shared" si="21"/>
        <v>1.0005460533894396E-6</v>
      </c>
      <c r="P91" s="56">
        <f t="shared" si="38"/>
        <v>9.7422009472472898E-7</v>
      </c>
      <c r="Q91" s="56">
        <f t="shared" si="39"/>
        <v>3.0735810057513554E-7</v>
      </c>
      <c r="R91" s="9">
        <f t="shared" si="12"/>
        <v>1.4999999999999999E-4</v>
      </c>
      <c r="S91" s="9">
        <f t="shared" si="13"/>
        <v>9.7357104735982226E-8</v>
      </c>
      <c r="T91" s="9">
        <f t="shared" si="10"/>
        <v>1.4920501371578851E-4</v>
      </c>
      <c r="U91" s="9">
        <f t="shared" si="11"/>
        <v>1.49902642895264E-4</v>
      </c>
      <c r="V91" s="100">
        <f t="shared" si="14"/>
        <v>0.99534611821378671</v>
      </c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46" t="s">
        <v>291</v>
      </c>
      <c r="C92" s="46" t="s">
        <v>292</v>
      </c>
      <c r="D92" s="47">
        <v>1.358312346903767</v>
      </c>
      <c r="E92" s="47">
        <v>1.454782352637753</v>
      </c>
      <c r="F92" s="96">
        <v>9.9999999999999995E-7</v>
      </c>
      <c r="G92" s="7"/>
      <c r="H92" s="7"/>
      <c r="I92" s="54">
        <f t="shared" si="33"/>
        <v>4.7346378220411142E-2</v>
      </c>
      <c r="J92" s="54">
        <f t="shared" si="34"/>
        <v>0.60280413004727795</v>
      </c>
      <c r="K92" s="55">
        <f t="shared" si="35"/>
        <v>0.88993664921566096</v>
      </c>
      <c r="L92" s="55">
        <f t="shared" si="36"/>
        <v>2.3896123568436598E-3</v>
      </c>
      <c r="M92" s="55">
        <f t="shared" si="19"/>
        <v>0.99761038764315635</v>
      </c>
      <c r="N92" s="55">
        <f t="shared" si="37"/>
        <v>5.0983181435397692E-4</v>
      </c>
      <c r="O92" s="56">
        <f t="shared" si="21"/>
        <v>8.951669048824289E-7</v>
      </c>
      <c r="P92" s="56">
        <f t="shared" si="38"/>
        <v>3.5868081476223339E-6</v>
      </c>
      <c r="Q92" s="56">
        <f t="shared" si="39"/>
        <v>2.5508585111510648E-5</v>
      </c>
      <c r="R92" s="9">
        <f t="shared" si="12"/>
        <v>1.4999999999999999E-4</v>
      </c>
      <c r="S92" s="9">
        <f t="shared" si="13"/>
        <v>3.5844185352654895E-7</v>
      </c>
      <c r="T92" s="9">
        <f t="shared" ref="T92:T143" si="40">R92*K92</f>
        <v>1.3349049738234914E-4</v>
      </c>
      <c r="U92" s="9">
        <f t="shared" ref="U92:U143" si="41">$R92*M92</f>
        <v>1.4964155814647343E-4</v>
      </c>
      <c r="V92" s="100">
        <f t="shared" si="14"/>
        <v>0.89206834676022828</v>
      </c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46" t="s">
        <v>293</v>
      </c>
      <c r="C93" s="46" t="s">
        <v>294</v>
      </c>
      <c r="D93" s="47">
        <v>-1.2091799453325114E-2</v>
      </c>
      <c r="E93" s="47">
        <v>-0.49466579922233578</v>
      </c>
      <c r="F93" s="96">
        <v>9.9999999999999995E-7</v>
      </c>
      <c r="G93" s="7"/>
      <c r="H93" s="7"/>
      <c r="I93" s="54">
        <f t="shared" si="33"/>
        <v>-1.6947243885858597E-4</v>
      </c>
      <c r="J93" s="54">
        <f t="shared" si="34"/>
        <v>-1.0168457529068075E-2</v>
      </c>
      <c r="K93" s="55">
        <f t="shared" si="35"/>
        <v>0.99456033000432842</v>
      </c>
      <c r="L93" s="55">
        <f t="shared" si="36"/>
        <v>6.5106883632853397E-4</v>
      </c>
      <c r="M93" s="55">
        <f t="shared" ref="M93:M127" si="42">IF(D93=0,"",1-L93)</f>
        <v>0.99934893116367152</v>
      </c>
      <c r="N93" s="55">
        <f t="shared" si="37"/>
        <v>6.4010441281884066E-6</v>
      </c>
      <c r="O93" s="56">
        <f t="shared" ref="O93:O127" si="43">IF(D93=0,"",F93*K93*$J$7/$J$14)</f>
        <v>1.0004054705618415E-6</v>
      </c>
      <c r="P93" s="56">
        <f t="shared" si="38"/>
        <v>9.7725432332912943E-7</v>
      </c>
      <c r="Q93" s="56">
        <f t="shared" si="39"/>
        <v>3.2026557454702662E-7</v>
      </c>
      <c r="R93" s="9">
        <f t="shared" ref="R93:R143" si="44">F93*$C$14</f>
        <v>1.4999999999999999E-4</v>
      </c>
      <c r="S93" s="9">
        <f t="shared" ref="S93:S143" si="45">$R93*L93</f>
        <v>9.7660325449280083E-8</v>
      </c>
      <c r="T93" s="9">
        <f t="shared" si="40"/>
        <v>1.4918404950064925E-4</v>
      </c>
      <c r="U93" s="9">
        <f t="shared" si="41"/>
        <v>1.4990233967455071E-4</v>
      </c>
      <c r="V93" s="100">
        <f t="shared" ref="V93:V143" si="46">K93/M93</f>
        <v>0.99520827910050691</v>
      </c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46" t="s">
        <v>295</v>
      </c>
      <c r="C94" s="46" t="s">
        <v>296</v>
      </c>
      <c r="D94" s="47">
        <v>-0.5582197001134892</v>
      </c>
      <c r="E94" s="47">
        <v>-1.2715519677670764</v>
      </c>
      <c r="F94" s="96">
        <v>9.9999999999999995E-7</v>
      </c>
      <c r="G94" s="7"/>
      <c r="H94" s="7"/>
      <c r="I94" s="54">
        <f t="shared" si="33"/>
        <v>-1.6675027667828724E-3</v>
      </c>
      <c r="J94" s="54">
        <f t="shared" si="34"/>
        <v>-4.6114351669366088E-2</v>
      </c>
      <c r="K94" s="55">
        <f t="shared" si="35"/>
        <v>0.99804638266509105</v>
      </c>
      <c r="L94" s="55">
        <f t="shared" si="36"/>
        <v>6.0145149176864395E-4</v>
      </c>
      <c r="M94" s="55">
        <f t="shared" si="42"/>
        <v>0.9993985485082314</v>
      </c>
      <c r="N94" s="55">
        <f t="shared" si="37"/>
        <v>1.0737031939673803E-6</v>
      </c>
      <c r="O94" s="56">
        <f t="shared" si="43"/>
        <v>1.0039120111378954E-6</v>
      </c>
      <c r="P94" s="56">
        <f t="shared" si="38"/>
        <v>9.0277868914473469E-7</v>
      </c>
      <c r="Q94" s="56">
        <f t="shared" si="39"/>
        <v>5.3720949804834595E-8</v>
      </c>
      <c r="R94" s="9">
        <f t="shared" si="44"/>
        <v>1.4999999999999999E-4</v>
      </c>
      <c r="S94" s="9">
        <f t="shared" si="45"/>
        <v>9.0217723765296579E-8</v>
      </c>
      <c r="T94" s="9">
        <f t="shared" si="40"/>
        <v>1.4970695739976365E-4</v>
      </c>
      <c r="U94" s="9">
        <f t="shared" si="41"/>
        <v>1.4990978227623469E-4</v>
      </c>
      <c r="V94" s="100">
        <f t="shared" si="46"/>
        <v>0.9986470204052641</v>
      </c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46" t="s">
        <v>297</v>
      </c>
      <c r="C95" s="46" t="s">
        <v>298</v>
      </c>
      <c r="D95" s="47">
        <v>3.8826699877244018</v>
      </c>
      <c r="E95" s="47">
        <v>5.0457699825375304</v>
      </c>
      <c r="F95" s="96">
        <v>9.9999999999999995E-7</v>
      </c>
      <c r="G95" s="7"/>
      <c r="H95" s="7"/>
      <c r="I95" s="54">
        <f t="shared" si="33"/>
        <v>1.9022995281384409</v>
      </c>
      <c r="J95" s="54">
        <f t="shared" si="34"/>
        <v>3.6125247697901655</v>
      </c>
      <c r="K95" s="55">
        <f t="shared" si="35"/>
        <v>1.2045834122910271E-2</v>
      </c>
      <c r="L95" s="55">
        <f t="shared" si="36"/>
        <v>3.3076982337844202E-2</v>
      </c>
      <c r="M95" s="55">
        <f t="shared" si="42"/>
        <v>0.96692301766215583</v>
      </c>
      <c r="N95" s="55">
        <f t="shared" si="37"/>
        <v>2.6908677197516603E-2</v>
      </c>
      <c r="O95" s="56">
        <f t="shared" si="43"/>
        <v>1.2116628816260438E-8</v>
      </c>
      <c r="P95" s="56">
        <f t="shared" si="38"/>
        <v>4.9648550489104167E-5</v>
      </c>
      <c r="Q95" s="56">
        <f t="shared" si="39"/>
        <v>1.3463308157824142E-3</v>
      </c>
      <c r="R95" s="9">
        <f t="shared" si="44"/>
        <v>1.4999999999999999E-4</v>
      </c>
      <c r="S95" s="9">
        <f t="shared" si="45"/>
        <v>4.9615473506766301E-6</v>
      </c>
      <c r="T95" s="9">
        <f t="shared" si="40"/>
        <v>1.8068751184365404E-6</v>
      </c>
      <c r="U95" s="9">
        <f t="shared" si="41"/>
        <v>1.4503845264932335E-4</v>
      </c>
      <c r="V95" s="100">
        <f t="shared" si="46"/>
        <v>1.2457903993261955E-2</v>
      </c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46" t="s">
        <v>299</v>
      </c>
      <c r="C96" s="46" t="s">
        <v>212</v>
      </c>
      <c r="D96" s="47">
        <v>-5.8280000000154555</v>
      </c>
      <c r="E96" s="47">
        <v>-8.7680000000219867</v>
      </c>
      <c r="F96" s="96">
        <v>9.9999999999999995E-7</v>
      </c>
      <c r="G96" s="7"/>
      <c r="H96" s="7"/>
      <c r="I96" s="54">
        <f t="shared" si="33"/>
        <v>-2.2554890834977572E-3</v>
      </c>
      <c r="J96" s="54">
        <f t="shared" si="34"/>
        <v>-6.0480673179556473E-2</v>
      </c>
      <c r="K96" s="55">
        <f t="shared" si="35"/>
        <v>0.99941731240905984</v>
      </c>
      <c r="L96" s="55">
        <f t="shared" si="36"/>
        <v>5.8268042483666414E-4</v>
      </c>
      <c r="M96" s="55">
        <f t="shared" si="42"/>
        <v>0.99941731957516333</v>
      </c>
      <c r="N96" s="55">
        <f t="shared" si="37"/>
        <v>3.4279332459733444E-14</v>
      </c>
      <c r="O96" s="56">
        <f t="shared" si="43"/>
        <v>1.0052909979869045E-6</v>
      </c>
      <c r="P96" s="56">
        <f t="shared" si="38"/>
        <v>8.7460331767983269E-7</v>
      </c>
      <c r="Q96" s="56">
        <f t="shared" si="39"/>
        <v>1.7151092674019968E-15</v>
      </c>
      <c r="R96" s="9">
        <f t="shared" si="44"/>
        <v>1.4999999999999999E-4</v>
      </c>
      <c r="S96" s="9">
        <f t="shared" si="45"/>
        <v>8.7402063725499609E-8</v>
      </c>
      <c r="T96" s="9">
        <f t="shared" si="40"/>
        <v>1.4991259686135896E-4</v>
      </c>
      <c r="U96" s="9">
        <f t="shared" si="41"/>
        <v>1.4991259793627448E-4</v>
      </c>
      <c r="V96" s="100">
        <f t="shared" si="46"/>
        <v>0.99999999282971852</v>
      </c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46" t="s">
        <v>300</v>
      </c>
      <c r="C97" s="46" t="s">
        <v>213</v>
      </c>
      <c r="D97" s="47" t="s">
        <v>301</v>
      </c>
      <c r="E97" s="47">
        <v>-4.1624004386372073</v>
      </c>
      <c r="F97" s="96">
        <v>9.9999999999999995E-7</v>
      </c>
      <c r="G97" s="7"/>
      <c r="H97" s="7"/>
      <c r="I97" s="54" t="e">
        <f t="shared" si="33"/>
        <v>#VALUE!</v>
      </c>
      <c r="J97" s="54" t="e">
        <f t="shared" si="34"/>
        <v>#VALUE!</v>
      </c>
      <c r="K97" s="55" t="e">
        <f t="shared" si="35"/>
        <v>#VALUE!</v>
      </c>
      <c r="L97" s="55" t="e">
        <f t="shared" si="36"/>
        <v>#VALUE!</v>
      </c>
      <c r="M97" s="55" t="e">
        <f t="shared" si="42"/>
        <v>#VALUE!</v>
      </c>
      <c r="N97" s="55" t="e">
        <f t="shared" si="37"/>
        <v>#VALUE!</v>
      </c>
      <c r="O97" s="56" t="e">
        <f t="shared" si="43"/>
        <v>#VALUE!</v>
      </c>
      <c r="P97" s="56" t="e">
        <f t="shared" si="38"/>
        <v>#VALUE!</v>
      </c>
      <c r="Q97" s="56" t="e">
        <f t="shared" si="39"/>
        <v>#VALUE!</v>
      </c>
      <c r="R97" s="9">
        <f t="shared" si="44"/>
        <v>1.4999999999999999E-4</v>
      </c>
      <c r="S97" s="9"/>
      <c r="T97" s="9"/>
      <c r="U97" s="9"/>
      <c r="V97" s="100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46" t="s">
        <v>302</v>
      </c>
      <c r="C98" s="46" t="s">
        <v>214</v>
      </c>
      <c r="D98" s="47">
        <v>4.54</v>
      </c>
      <c r="E98" s="47">
        <v>4.25</v>
      </c>
      <c r="F98" s="96">
        <v>9.9999999999999995E-7</v>
      </c>
      <c r="G98" s="7"/>
      <c r="H98" s="7"/>
      <c r="I98" s="54">
        <f t="shared" si="33"/>
        <v>2.2410131712935462</v>
      </c>
      <c r="J98" s="54">
        <f t="shared" si="34"/>
        <v>3.602246950416589</v>
      </c>
      <c r="K98" s="55">
        <f t="shared" si="35"/>
        <v>5.6250987265289891E-3</v>
      </c>
      <c r="L98" s="55">
        <f t="shared" si="36"/>
        <v>1.5084861695952361E-2</v>
      </c>
      <c r="M98" s="55">
        <f t="shared" si="42"/>
        <v>0.98491513830404764</v>
      </c>
      <c r="N98" s="55">
        <f t="shared" si="37"/>
        <v>2.0110165145096918E-3</v>
      </c>
      <c r="O98" s="56">
        <f t="shared" si="43"/>
        <v>5.6581580510511191E-9</v>
      </c>
      <c r="P98" s="56">
        <f t="shared" si="38"/>
        <v>2.2642377405624518E-5</v>
      </c>
      <c r="Q98" s="56">
        <f t="shared" si="39"/>
        <v>1.0061785960930159E-4</v>
      </c>
      <c r="R98" s="9">
        <f t="shared" si="44"/>
        <v>1.4999999999999999E-4</v>
      </c>
      <c r="S98" s="9">
        <f t="shared" si="45"/>
        <v>2.2627292543928539E-6</v>
      </c>
      <c r="T98" s="9">
        <f t="shared" si="40"/>
        <v>8.4376480897934829E-7</v>
      </c>
      <c r="U98" s="9">
        <f t="shared" si="41"/>
        <v>1.4773727074560714E-4</v>
      </c>
      <c r="V98" s="100">
        <f t="shared" si="46"/>
        <v>5.7112521757102857E-3</v>
      </c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46" t="s">
        <v>303</v>
      </c>
      <c r="C99" s="46" t="s">
        <v>215</v>
      </c>
      <c r="D99" s="47">
        <v>2.83</v>
      </c>
      <c r="E99" s="47">
        <v>2.3199999999999998</v>
      </c>
      <c r="F99" s="96">
        <v>9.9999999999999995E-7</v>
      </c>
      <c r="G99" s="7"/>
      <c r="H99" s="7"/>
      <c r="I99" s="54">
        <f t="shared" si="33"/>
        <v>0.63542458371912058</v>
      </c>
      <c r="J99" s="54">
        <f t="shared" si="34"/>
        <v>1.873589036848633</v>
      </c>
      <c r="K99" s="55">
        <f t="shared" si="35"/>
        <v>0.2276870738433617</v>
      </c>
      <c r="L99" s="55">
        <f t="shared" si="36"/>
        <v>1.1404904308152474E-2</v>
      </c>
      <c r="M99" s="55">
        <f t="shared" si="42"/>
        <v>0.98859509569184756</v>
      </c>
      <c r="N99" s="55">
        <f t="shared" si="37"/>
        <v>9.5636541771659887E-4</v>
      </c>
      <c r="O99" s="56">
        <f t="shared" si="43"/>
        <v>2.2902521584399582E-7</v>
      </c>
      <c r="P99" s="56">
        <f t="shared" si="38"/>
        <v>1.7118761366536865E-5</v>
      </c>
      <c r="Q99" s="56">
        <f t="shared" si="39"/>
        <v>4.7850149733087167E-5</v>
      </c>
      <c r="R99" s="9">
        <f t="shared" si="44"/>
        <v>1.4999999999999999E-4</v>
      </c>
      <c r="S99" s="9">
        <f t="shared" si="45"/>
        <v>1.710735646222871E-6</v>
      </c>
      <c r="T99" s="9">
        <f t="shared" si="40"/>
        <v>3.415306107650425E-5</v>
      </c>
      <c r="U99" s="9">
        <f t="shared" si="41"/>
        <v>1.4828926435377711E-4</v>
      </c>
      <c r="V99" s="100">
        <f t="shared" si="46"/>
        <v>0.23031378047047632</v>
      </c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46" t="s">
        <v>304</v>
      </c>
      <c r="C100" s="46" t="s">
        <v>216</v>
      </c>
      <c r="D100" s="47" t="s">
        <v>301</v>
      </c>
      <c r="E100" s="47">
        <v>1.7</v>
      </c>
      <c r="F100" s="96">
        <v>9.9999999999999995E-7</v>
      </c>
      <c r="G100" s="7"/>
      <c r="H100" s="7"/>
      <c r="I100" s="54" t="e">
        <f t="shared" si="33"/>
        <v>#VALUE!</v>
      </c>
      <c r="J100" s="54" t="e">
        <f t="shared" si="34"/>
        <v>#VALUE!</v>
      </c>
      <c r="K100" s="55" t="e">
        <f t="shared" si="35"/>
        <v>#VALUE!</v>
      </c>
      <c r="L100" s="55" t="e">
        <f t="shared" si="36"/>
        <v>#VALUE!</v>
      </c>
      <c r="M100" s="55" t="e">
        <f t="shared" si="42"/>
        <v>#VALUE!</v>
      </c>
      <c r="N100" s="55" t="e">
        <f t="shared" si="37"/>
        <v>#VALUE!</v>
      </c>
      <c r="O100" s="56" t="e">
        <f t="shared" si="43"/>
        <v>#VALUE!</v>
      </c>
      <c r="P100" s="56" t="e">
        <f t="shared" si="38"/>
        <v>#VALUE!</v>
      </c>
      <c r="Q100" s="56" t="e">
        <f t="shared" si="39"/>
        <v>#VALUE!</v>
      </c>
      <c r="R100" s="9">
        <f t="shared" si="44"/>
        <v>1.4999999999999999E-4</v>
      </c>
      <c r="S100" s="9"/>
      <c r="T100" s="9"/>
      <c r="U100" s="9"/>
      <c r="V100" s="100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46" t="s">
        <v>305</v>
      </c>
      <c r="C101" s="46" t="s">
        <v>217</v>
      </c>
      <c r="D101" s="47">
        <v>4.2</v>
      </c>
      <c r="E101" s="47">
        <v>3.52</v>
      </c>
      <c r="F101" s="96">
        <v>9.9999999999999995E-7</v>
      </c>
      <c r="G101" s="7"/>
      <c r="H101" s="7"/>
      <c r="I101" s="54">
        <f t="shared" si="33"/>
        <v>1.8939169904293498</v>
      </c>
      <c r="J101" s="54">
        <f t="shared" si="34"/>
        <v>3.2266263303607148</v>
      </c>
      <c r="K101" s="55">
        <f t="shared" si="35"/>
        <v>1.2521114609970038E-2</v>
      </c>
      <c r="L101" s="55">
        <f t="shared" si="36"/>
        <v>1.4139483788679371E-2</v>
      </c>
      <c r="M101" s="55">
        <f t="shared" si="42"/>
        <v>0.98586051621132065</v>
      </c>
      <c r="N101" s="55">
        <f t="shared" si="37"/>
        <v>8.3354390201472285E-4</v>
      </c>
      <c r="O101" s="56">
        <f t="shared" si="43"/>
        <v>1.2594702579069597E-8</v>
      </c>
      <c r="P101" s="56">
        <f t="shared" si="38"/>
        <v>2.1223365166807748E-5</v>
      </c>
      <c r="Q101" s="56">
        <f t="shared" si="39"/>
        <v>4.1704979897469962E-5</v>
      </c>
      <c r="R101" s="9">
        <f t="shared" si="44"/>
        <v>1.4999999999999999E-4</v>
      </c>
      <c r="S101" s="9">
        <f t="shared" si="45"/>
        <v>2.1209225683019054E-6</v>
      </c>
      <c r="T101" s="9">
        <f t="shared" si="40"/>
        <v>1.8781671914955056E-6</v>
      </c>
      <c r="U101" s="9">
        <f t="shared" si="41"/>
        <v>1.4787907743169808E-4</v>
      </c>
      <c r="V101" s="100">
        <f t="shared" si="46"/>
        <v>1.2700695893663438E-2</v>
      </c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46" t="s">
        <v>306</v>
      </c>
      <c r="C102" s="46" t="s">
        <v>218</v>
      </c>
      <c r="D102" s="47">
        <v>3.44</v>
      </c>
      <c r="E102" s="47">
        <v>-2.9403004386372071</v>
      </c>
      <c r="F102" s="96">
        <v>9.9999999999999995E-7</v>
      </c>
      <c r="G102" s="7"/>
      <c r="H102" s="7"/>
      <c r="I102" s="54">
        <f t="shared" si="33"/>
        <v>1.1527504756067957</v>
      </c>
      <c r="J102" s="54">
        <f t="shared" si="34"/>
        <v>2.4413697323088819</v>
      </c>
      <c r="K102" s="55">
        <f t="shared" si="35"/>
        <v>6.9088015984478307E-2</v>
      </c>
      <c r="L102" s="55">
        <f t="shared" si="36"/>
        <v>1.2791948037557293E-2</v>
      </c>
      <c r="M102" s="55">
        <f t="shared" si="42"/>
        <v>0.98720805196244266</v>
      </c>
      <c r="N102" s="55">
        <f t="shared" si="37"/>
        <v>1.5936310040822802E-9</v>
      </c>
      <c r="O102" s="56">
        <f t="shared" si="43"/>
        <v>6.9494053860800218E-8</v>
      </c>
      <c r="P102" s="56">
        <f t="shared" si="38"/>
        <v>1.9200714004373498E-5</v>
      </c>
      <c r="Q102" s="56">
        <f t="shared" si="39"/>
        <v>7.973467123758343E-11</v>
      </c>
      <c r="R102" s="9">
        <f t="shared" si="44"/>
        <v>1.4999999999999999E-4</v>
      </c>
      <c r="S102" s="9">
        <f t="shared" si="45"/>
        <v>1.9187922056335939E-6</v>
      </c>
      <c r="T102" s="9">
        <f t="shared" si="40"/>
        <v>1.0363202397671745E-5</v>
      </c>
      <c r="U102" s="9">
        <f t="shared" si="41"/>
        <v>1.480812077943664E-4</v>
      </c>
      <c r="V102" s="100">
        <f t="shared" si="46"/>
        <v>6.9983237927547501E-2</v>
      </c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46" t="s">
        <v>307</v>
      </c>
      <c r="C103" s="46" t="s">
        <v>219</v>
      </c>
      <c r="D103" s="47">
        <v>4.49</v>
      </c>
      <c r="E103" s="47">
        <v>-1.7182004386372074</v>
      </c>
      <c r="F103" s="96">
        <v>9.9999999999999995E-7</v>
      </c>
      <c r="G103" s="7"/>
      <c r="H103" s="7"/>
      <c r="I103" s="54">
        <f t="shared" si="33"/>
        <v>2.1741441801583692</v>
      </c>
      <c r="J103" s="54">
        <f t="shared" si="34"/>
        <v>3.4901223288361956</v>
      </c>
      <c r="K103" s="55">
        <f t="shared" si="35"/>
        <v>6.5712491603988239E-3</v>
      </c>
      <c r="L103" s="55">
        <f t="shared" si="36"/>
        <v>1.3612393548604008E-2</v>
      </c>
      <c r="M103" s="55">
        <f t="shared" si="42"/>
        <v>0.986387606451396</v>
      </c>
      <c r="N103" s="55">
        <f t="shared" si="37"/>
        <v>2.5277433921585996E-9</v>
      </c>
      <c r="O103" s="56">
        <f t="shared" si="43"/>
        <v>6.6098691151891021E-9</v>
      </c>
      <c r="P103" s="56">
        <f t="shared" si="38"/>
        <v>2.0432202716454619E-5</v>
      </c>
      <c r="Q103" s="56">
        <f t="shared" si="39"/>
        <v>1.2647142772100196E-10</v>
      </c>
      <c r="R103" s="9">
        <f t="shared" si="44"/>
        <v>1.4999999999999999E-4</v>
      </c>
      <c r="S103" s="9">
        <f t="shared" si="45"/>
        <v>2.0418590322906008E-6</v>
      </c>
      <c r="T103" s="9">
        <f t="shared" si="40"/>
        <v>9.8568737405982349E-7</v>
      </c>
      <c r="U103" s="9">
        <f t="shared" si="41"/>
        <v>1.4795814096770938E-4</v>
      </c>
      <c r="V103" s="100">
        <f t="shared" si="46"/>
        <v>6.6619340281853191E-3</v>
      </c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46" t="s">
        <v>308</v>
      </c>
      <c r="C104" s="46" t="s">
        <v>220</v>
      </c>
      <c r="D104" s="47">
        <v>5.17</v>
      </c>
      <c r="E104" s="47">
        <v>4.54</v>
      </c>
      <c r="F104" s="96">
        <v>9.9999999999999995E-7</v>
      </c>
      <c r="G104" s="7"/>
      <c r="H104" s="7"/>
      <c r="I104" s="54">
        <f t="shared" si="33"/>
        <v>2.8598242449089666</v>
      </c>
      <c r="J104" s="54">
        <f t="shared" si="34"/>
        <v>4.1995402918091864</v>
      </c>
      <c r="K104" s="55">
        <f t="shared" si="35"/>
        <v>1.3540536527628703E-3</v>
      </c>
      <c r="L104" s="55">
        <f t="shared" si="36"/>
        <v>1.4366150045033103E-2</v>
      </c>
      <c r="M104" s="55">
        <f t="shared" si="42"/>
        <v>0.98563384995496695</v>
      </c>
      <c r="N104" s="55">
        <f t="shared" si="37"/>
        <v>9.4388994773475282E-4</v>
      </c>
      <c r="O104" s="56">
        <f t="shared" si="43"/>
        <v>1.3620115751573602E-9</v>
      </c>
      <c r="P104" s="56">
        <f t="shared" si="38"/>
        <v>2.1563591217594711E-5</v>
      </c>
      <c r="Q104" s="56">
        <f t="shared" si="39"/>
        <v>4.7225960384995464E-5</v>
      </c>
      <c r="R104" s="9">
        <f t="shared" si="44"/>
        <v>1.4999999999999999E-4</v>
      </c>
      <c r="S104" s="9">
        <f t="shared" si="45"/>
        <v>2.1549225067549651E-6</v>
      </c>
      <c r="T104" s="9">
        <f t="shared" si="40"/>
        <v>2.0310804791443052E-7</v>
      </c>
      <c r="U104" s="9">
        <f t="shared" si="41"/>
        <v>1.4784507749324502E-4</v>
      </c>
      <c r="V104" s="100">
        <f t="shared" si="46"/>
        <v>1.3737897220400216E-3</v>
      </c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46" t="s">
        <v>309</v>
      </c>
      <c r="C105" s="46" t="s">
        <v>221</v>
      </c>
      <c r="D105" s="47">
        <v>4.76</v>
      </c>
      <c r="E105" s="47">
        <v>4.8899999999999997</v>
      </c>
      <c r="F105" s="96">
        <v>9.9999999999999995E-7</v>
      </c>
      <c r="G105" s="7"/>
      <c r="H105" s="7"/>
      <c r="I105" s="54">
        <f t="shared" si="33"/>
        <v>2.4867185626172419</v>
      </c>
      <c r="J105" s="54">
        <f t="shared" si="34"/>
        <v>3.9076268809254704</v>
      </c>
      <c r="K105" s="55">
        <f t="shared" si="35"/>
        <v>3.1875783495863381E-3</v>
      </c>
      <c r="L105" s="55">
        <f t="shared" si="36"/>
        <v>1.726839532731542E-2</v>
      </c>
      <c r="M105" s="55">
        <f t="shared" si="42"/>
        <v>0.98273160467268461</v>
      </c>
      <c r="N105" s="55">
        <f t="shared" si="37"/>
        <v>4.9744647331063617E-3</v>
      </c>
      <c r="O105" s="56">
        <f t="shared" si="43"/>
        <v>3.2063120984895708E-9</v>
      </c>
      <c r="P105" s="56">
        <f t="shared" si="38"/>
        <v>2.5919861386300464E-5</v>
      </c>
      <c r="Q105" s="56">
        <f t="shared" si="39"/>
        <v>2.4888905214642164E-4</v>
      </c>
      <c r="R105" s="9">
        <f t="shared" si="44"/>
        <v>1.4999999999999999E-4</v>
      </c>
      <c r="S105" s="9">
        <f t="shared" si="45"/>
        <v>2.5902592990973129E-6</v>
      </c>
      <c r="T105" s="9">
        <f t="shared" si="40"/>
        <v>4.781367524379507E-7</v>
      </c>
      <c r="U105" s="9">
        <f t="shared" si="41"/>
        <v>1.4740974070090267E-4</v>
      </c>
      <c r="V105" s="100">
        <f t="shared" si="46"/>
        <v>3.2435899430017976E-3</v>
      </c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46" t="s">
        <v>310</v>
      </c>
      <c r="C106" s="46" t="s">
        <v>222</v>
      </c>
      <c r="D106" s="47">
        <v>3.93</v>
      </c>
      <c r="E106" s="47">
        <v>2.91</v>
      </c>
      <c r="F106" s="96">
        <v>9.9999999999999995E-7</v>
      </c>
      <c r="G106" s="7"/>
      <c r="H106" s="7"/>
      <c r="I106" s="54">
        <f t="shared" si="33"/>
        <v>1.6248833107371423</v>
      </c>
      <c r="J106" s="54">
        <f t="shared" si="34"/>
        <v>2.9426988771188993</v>
      </c>
      <c r="K106" s="55">
        <f t="shared" si="35"/>
        <v>2.3274681146757934E-2</v>
      </c>
      <c r="L106" s="55">
        <f t="shared" si="36"/>
        <v>1.3669318105343907E-2</v>
      </c>
      <c r="M106" s="55">
        <f t="shared" si="42"/>
        <v>0.98633068189465611</v>
      </c>
      <c r="N106" s="55">
        <f t="shared" si="37"/>
        <v>3.8033757041623786E-4</v>
      </c>
      <c r="O106" s="56">
        <f t="shared" si="43"/>
        <v>2.3411469010329277E-8</v>
      </c>
      <c r="P106" s="56">
        <f t="shared" si="38"/>
        <v>2.0517646476121208E-5</v>
      </c>
      <c r="Q106" s="56">
        <f t="shared" si="39"/>
        <v>1.9029556439825769E-5</v>
      </c>
      <c r="R106" s="9">
        <f t="shared" si="44"/>
        <v>1.4999999999999999E-4</v>
      </c>
      <c r="S106" s="9">
        <f t="shared" si="45"/>
        <v>2.050397715801586E-6</v>
      </c>
      <c r="T106" s="9">
        <f t="shared" si="40"/>
        <v>3.4912021720136897E-6</v>
      </c>
      <c r="U106" s="9">
        <f t="shared" si="41"/>
        <v>1.479496022841984E-4</v>
      </c>
      <c r="V106" s="100">
        <f t="shared" si="46"/>
        <v>2.3597239317395338E-2</v>
      </c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46" t="s">
        <v>311</v>
      </c>
      <c r="C107" s="46" t="s">
        <v>223</v>
      </c>
      <c r="D107" s="47" t="s">
        <v>301</v>
      </c>
      <c r="E107" s="47" t="s">
        <v>312</v>
      </c>
      <c r="F107" s="96">
        <v>9.9999999999999995E-7</v>
      </c>
      <c r="G107" s="7"/>
      <c r="H107" s="7"/>
      <c r="I107" s="54" t="e">
        <f t="shared" si="33"/>
        <v>#VALUE!</v>
      </c>
      <c r="J107" s="54" t="e">
        <f t="shared" si="34"/>
        <v>#VALUE!</v>
      </c>
      <c r="K107" s="55" t="e">
        <f t="shared" si="35"/>
        <v>#VALUE!</v>
      </c>
      <c r="L107" s="55" t="e">
        <f t="shared" si="36"/>
        <v>#VALUE!</v>
      </c>
      <c r="M107" s="55" t="e">
        <f t="shared" si="42"/>
        <v>#VALUE!</v>
      </c>
      <c r="N107" s="55" t="e">
        <f t="shared" si="37"/>
        <v>#VALUE!</v>
      </c>
      <c r="O107" s="56" t="e">
        <f t="shared" si="43"/>
        <v>#VALUE!</v>
      </c>
      <c r="P107" s="56" t="e">
        <f t="shared" si="38"/>
        <v>#VALUE!</v>
      </c>
      <c r="Q107" s="56" t="e">
        <f t="shared" si="39"/>
        <v>#VALUE!</v>
      </c>
      <c r="R107" s="9">
        <f t="shared" si="44"/>
        <v>1.4999999999999999E-4</v>
      </c>
      <c r="S107" s="9"/>
      <c r="T107" s="9"/>
      <c r="U107" s="9"/>
      <c r="V107" s="100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46" t="s">
        <v>313</v>
      </c>
      <c r="C108" s="46" t="s">
        <v>224</v>
      </c>
      <c r="D108" s="47">
        <v>4.6100000000000003</v>
      </c>
      <c r="E108" s="47">
        <v>4.13</v>
      </c>
      <c r="F108" s="96">
        <v>9.9999999999999995E-7</v>
      </c>
      <c r="G108" s="7"/>
      <c r="H108" s="7"/>
      <c r="I108" s="54">
        <f t="shared" si="33"/>
        <v>2.3046271115114854</v>
      </c>
      <c r="J108" s="54">
        <f t="shared" si="34"/>
        <v>3.651216126776069</v>
      </c>
      <c r="K108" s="55">
        <f t="shared" si="35"/>
        <v>4.8610881254692326E-3</v>
      </c>
      <c r="L108" s="55">
        <f t="shared" si="36"/>
        <v>1.4591967519476253E-2</v>
      </c>
      <c r="M108" s="55">
        <f t="shared" si="42"/>
        <v>0.98540803248052378</v>
      </c>
      <c r="N108" s="55">
        <f t="shared" si="37"/>
        <v>1.3183143584296741E-3</v>
      </c>
      <c r="O108" s="56">
        <f t="shared" si="43"/>
        <v>4.8896572755736835E-9</v>
      </c>
      <c r="P108" s="56">
        <f t="shared" si="38"/>
        <v>2.1902543246733857E-5</v>
      </c>
      <c r="Q108" s="56">
        <f t="shared" si="39"/>
        <v>6.5959661733431366E-5</v>
      </c>
      <c r="R108" s="9">
        <f t="shared" si="44"/>
        <v>1.4999999999999999E-4</v>
      </c>
      <c r="S108" s="9">
        <f t="shared" si="45"/>
        <v>2.1887951279214379E-6</v>
      </c>
      <c r="T108" s="9">
        <f t="shared" si="40"/>
        <v>7.2916321882038479E-7</v>
      </c>
      <c r="U108" s="9">
        <f t="shared" si="41"/>
        <v>1.4781120487207856E-4</v>
      </c>
      <c r="V108" s="100">
        <f t="shared" si="46"/>
        <v>4.9330713422668492E-3</v>
      </c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46" t="s">
        <v>314</v>
      </c>
      <c r="C109" s="46" t="s">
        <v>225</v>
      </c>
      <c r="D109" s="47">
        <v>4.8099999999999996</v>
      </c>
      <c r="E109" s="47">
        <v>4.82</v>
      </c>
      <c r="F109" s="96">
        <v>9.9999999999999995E-7</v>
      </c>
      <c r="G109" s="7"/>
      <c r="H109" s="7"/>
      <c r="I109" s="54">
        <f t="shared" si="33"/>
        <v>2.5263589248425813</v>
      </c>
      <c r="J109" s="54">
        <f t="shared" si="34"/>
        <v>3.926316338483836</v>
      </c>
      <c r="K109" s="55">
        <f t="shared" si="35"/>
        <v>2.9118825272624097E-3</v>
      </c>
      <c r="L109" s="55">
        <f t="shared" si="36"/>
        <v>1.646851433155741E-2</v>
      </c>
      <c r="M109" s="55">
        <f t="shared" si="42"/>
        <v>0.98353148566844262</v>
      </c>
      <c r="N109" s="55">
        <f t="shared" si="37"/>
        <v>3.867758402786589E-3</v>
      </c>
      <c r="O109" s="56">
        <f t="shared" si="43"/>
        <v>2.9289959814645708E-9</v>
      </c>
      <c r="P109" s="56">
        <f t="shared" si="38"/>
        <v>2.471924001166768E-5</v>
      </c>
      <c r="Q109" s="56">
        <f t="shared" si="39"/>
        <v>1.9351684541942234E-4</v>
      </c>
      <c r="R109" s="9">
        <f t="shared" si="44"/>
        <v>1.4999999999999999E-4</v>
      </c>
      <c r="S109" s="9">
        <f t="shared" si="45"/>
        <v>2.4702771497336113E-6</v>
      </c>
      <c r="T109" s="9">
        <f t="shared" si="40"/>
        <v>4.3678237908936142E-7</v>
      </c>
      <c r="U109" s="9">
        <f t="shared" si="41"/>
        <v>1.4752972285026638E-4</v>
      </c>
      <c r="V109" s="100">
        <f t="shared" si="46"/>
        <v>2.9606398673484172E-3</v>
      </c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46" t="s">
        <v>204</v>
      </c>
      <c r="C110" s="46" t="s">
        <v>205</v>
      </c>
      <c r="D110" s="47">
        <v>3.19</v>
      </c>
      <c r="E110" s="47">
        <v>1.4</v>
      </c>
      <c r="F110" s="96">
        <v>9.9999999999999995E-7</v>
      </c>
      <c r="G110" s="7"/>
      <c r="H110" s="7"/>
      <c r="I110" s="54">
        <f t="shared" si="33"/>
        <v>0.92627477267552383</v>
      </c>
      <c r="J110" s="54">
        <f t="shared" si="34"/>
        <v>2.1945288490758386</v>
      </c>
      <c r="K110" s="55">
        <f t="shared" si="35"/>
        <v>0.11644825779538384</v>
      </c>
      <c r="L110" s="55">
        <f t="shared" si="36"/>
        <v>1.2213104625687926E-2</v>
      </c>
      <c r="M110" s="55">
        <f t="shared" si="42"/>
        <v>0.98778689537431208</v>
      </c>
      <c r="N110" s="55">
        <f t="shared" si="37"/>
        <v>5.8805572611960821E-5</v>
      </c>
      <c r="O110" s="56">
        <f t="shared" si="43"/>
        <v>1.1713263702704751E-7</v>
      </c>
      <c r="P110" s="56">
        <f t="shared" si="38"/>
        <v>1.8331870043157573E-5</v>
      </c>
      <c r="Q110" s="56">
        <f t="shared" si="39"/>
        <v>2.9422388163517738E-6</v>
      </c>
      <c r="R110" s="9">
        <f t="shared" si="44"/>
        <v>1.4999999999999999E-4</v>
      </c>
      <c r="S110" s="9">
        <f t="shared" si="45"/>
        <v>1.8319656938531887E-6</v>
      </c>
      <c r="T110" s="9">
        <f t="shared" si="40"/>
        <v>1.7467238669307574E-5</v>
      </c>
      <c r="U110" s="9">
        <f t="shared" si="41"/>
        <v>1.481680343061468E-4</v>
      </c>
      <c r="V110" s="100">
        <f t="shared" si="46"/>
        <v>0.1178880367219864</v>
      </c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46" t="s">
        <v>206</v>
      </c>
      <c r="C111" s="46" t="s">
        <v>207</v>
      </c>
      <c r="D111" s="47">
        <v>2.8380318246143235</v>
      </c>
      <c r="E111" s="47">
        <v>3.5597354124795313</v>
      </c>
      <c r="F111" s="96">
        <v>9.9999999999999995E-7</v>
      </c>
      <c r="G111" s="7"/>
      <c r="H111" s="7"/>
      <c r="I111" s="54">
        <f t="shared" si="33"/>
        <v>0.75430624695958448</v>
      </c>
      <c r="J111" s="54">
        <f t="shared" si="34"/>
        <v>2.2518750175106685</v>
      </c>
      <c r="K111" s="55">
        <f t="shared" si="35"/>
        <v>0.17156463199812846</v>
      </c>
      <c r="L111" s="55">
        <f t="shared" si="36"/>
        <v>2.0533690594456113E-2</v>
      </c>
      <c r="M111" s="55">
        <f t="shared" si="42"/>
        <v>0.97946630940554391</v>
      </c>
      <c r="N111" s="55">
        <f t="shared" si="37"/>
        <v>1.2515513222758869E-2</v>
      </c>
      <c r="O111" s="56">
        <f t="shared" si="43"/>
        <v>1.7257293622912739E-7</v>
      </c>
      <c r="P111" s="56">
        <f t="shared" si="38"/>
        <v>3.0821069582278628E-5</v>
      </c>
      <c r="Q111" s="56">
        <f t="shared" si="39"/>
        <v>6.2619284491203543E-4</v>
      </c>
      <c r="R111" s="9">
        <f t="shared" si="44"/>
        <v>1.4999999999999999E-4</v>
      </c>
      <c r="S111" s="9">
        <f t="shared" si="45"/>
        <v>3.0800535891684169E-6</v>
      </c>
      <c r="T111" s="9">
        <f t="shared" si="40"/>
        <v>2.5734694799719269E-5</v>
      </c>
      <c r="U111" s="9">
        <f t="shared" si="41"/>
        <v>1.4691994641083156E-4</v>
      </c>
      <c r="V111" s="100">
        <f t="shared" si="46"/>
        <v>0.17516134077368539</v>
      </c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46" t="s">
        <v>208</v>
      </c>
      <c r="C112" s="46" t="s">
        <v>209</v>
      </c>
      <c r="D112" s="47">
        <v>5.4191360000000008</v>
      </c>
      <c r="E112" s="47">
        <v>6.7333169999999996</v>
      </c>
      <c r="F112" s="96">
        <v>9.9999999999999995E-7</v>
      </c>
      <c r="G112" s="7"/>
      <c r="H112" s="7"/>
      <c r="I112" s="54">
        <f t="shared" si="33"/>
        <v>3.5207953657582807</v>
      </c>
      <c r="J112" s="54">
        <f t="shared" si="34"/>
        <v>5.2755325389810421</v>
      </c>
      <c r="K112" s="55">
        <f t="shared" si="35"/>
        <v>2.8893049743487759E-4</v>
      </c>
      <c r="L112" s="55">
        <f t="shared" si="36"/>
        <v>3.651658512550425E-2</v>
      </c>
      <c r="M112" s="55">
        <f t="shared" si="42"/>
        <v>0.96348341487449574</v>
      </c>
      <c r="N112" s="55">
        <f t="shared" si="37"/>
        <v>3.143372671878699E-2</v>
      </c>
      <c r="O112" s="56">
        <f t="shared" si="43"/>
        <v>2.9062857377867431E-10</v>
      </c>
      <c r="P112" s="56">
        <f t="shared" si="38"/>
        <v>5.4811394273381922E-5</v>
      </c>
      <c r="Q112" s="56">
        <f t="shared" si="39"/>
        <v>1.5727341268299759E-3</v>
      </c>
      <c r="R112" s="9">
        <f t="shared" si="44"/>
        <v>1.4999999999999999E-4</v>
      </c>
      <c r="S112" s="9">
        <f t="shared" si="45"/>
        <v>5.4774877688256371E-6</v>
      </c>
      <c r="T112" s="9">
        <f t="shared" si="40"/>
        <v>4.3339574615231634E-8</v>
      </c>
      <c r="U112" s="9">
        <f t="shared" si="41"/>
        <v>1.4452251223117434E-4</v>
      </c>
      <c r="V112" s="100">
        <f t="shared" si="46"/>
        <v>2.9988113233118182E-4</v>
      </c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46" t="s">
        <v>210</v>
      </c>
      <c r="C113" s="46" t="s">
        <v>211</v>
      </c>
      <c r="D113" s="47">
        <v>5.6895360000000004</v>
      </c>
      <c r="E113" s="47">
        <v>7.1197670000000004</v>
      </c>
      <c r="F113" s="96">
        <v>9.9999999999999995E-7</v>
      </c>
      <c r="G113" s="7"/>
      <c r="H113" s="7"/>
      <c r="I113" s="54">
        <f t="shared" si="33"/>
        <v>3.8666483056990257</v>
      </c>
      <c r="J113" s="54">
        <f t="shared" si="34"/>
        <v>5.6475701029544298</v>
      </c>
      <c r="K113" s="55">
        <f t="shared" si="35"/>
        <v>1.3000377873547824E-4</v>
      </c>
      <c r="L113" s="55">
        <f t="shared" si="36"/>
        <v>3.869815964722647E-2</v>
      </c>
      <c r="M113" s="55">
        <f t="shared" si="42"/>
        <v>0.96130184035277355</v>
      </c>
      <c r="N113" s="55">
        <f t="shared" si="37"/>
        <v>3.4435664166038389E-2</v>
      </c>
      <c r="O113" s="56">
        <f t="shared" si="43"/>
        <v>1.307678252561286E-10</v>
      </c>
      <c r="P113" s="56">
        <f t="shared" si="38"/>
        <v>5.8085937630486975E-5</v>
      </c>
      <c r="Q113" s="56">
        <f t="shared" si="39"/>
        <v>1.7229310637741206E-3</v>
      </c>
      <c r="R113" s="9">
        <f t="shared" si="44"/>
        <v>1.4999999999999999E-4</v>
      </c>
      <c r="S113" s="9">
        <f t="shared" si="45"/>
        <v>5.80472394708397E-6</v>
      </c>
      <c r="T113" s="9">
        <f t="shared" si="40"/>
        <v>1.9500566810321733E-8</v>
      </c>
      <c r="U113" s="9">
        <f t="shared" si="41"/>
        <v>1.4419527605291602E-4</v>
      </c>
      <c r="V113" s="100">
        <f t="shared" si="46"/>
        <v>1.3523720987340473E-4</v>
      </c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46" t="s">
        <v>107</v>
      </c>
      <c r="C114" s="46" t="s">
        <v>108</v>
      </c>
      <c r="D114" s="47">
        <v>6.0065360000000005</v>
      </c>
      <c r="E114" s="47">
        <v>7.5552170000000007</v>
      </c>
      <c r="F114" s="96">
        <v>9.9999999999999995E-7</v>
      </c>
      <c r="G114" s="7"/>
      <c r="H114" s="7"/>
      <c r="I114" s="54">
        <f t="shared" si="33"/>
        <v>4.2676323009395754</v>
      </c>
      <c r="J114" s="54">
        <f t="shared" si="34"/>
        <v>6.0714479293479418</v>
      </c>
      <c r="K114" s="55">
        <f t="shared" si="35"/>
        <v>5.1530364653280949E-5</v>
      </c>
      <c r="L114" s="55">
        <f t="shared" si="36"/>
        <v>4.0707588735440753E-2</v>
      </c>
      <c r="M114" s="55">
        <f t="shared" si="42"/>
        <v>0.95929241126455922</v>
      </c>
      <c r="N114" s="55">
        <f t="shared" si="37"/>
        <v>3.7201949904506933E-2</v>
      </c>
      <c r="O114" s="56">
        <f t="shared" si="43"/>
        <v>5.1833214279685227E-11</v>
      </c>
      <c r="P114" s="56">
        <f t="shared" si="38"/>
        <v>6.1102090691896591E-5</v>
      </c>
      <c r="Q114" s="56">
        <f t="shared" si="39"/>
        <v>1.8613375602221636E-3</v>
      </c>
      <c r="R114" s="9">
        <f t="shared" si="44"/>
        <v>1.4999999999999999E-4</v>
      </c>
      <c r="S114" s="9">
        <f t="shared" si="45"/>
        <v>6.106138310316112E-6</v>
      </c>
      <c r="T114" s="9">
        <f t="shared" si="40"/>
        <v>7.7295546979921422E-9</v>
      </c>
      <c r="U114" s="9">
        <f t="shared" si="41"/>
        <v>1.4389386168968388E-4</v>
      </c>
      <c r="V114" s="100">
        <f t="shared" si="46"/>
        <v>5.3717056497249418E-5</v>
      </c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46" t="s">
        <v>109</v>
      </c>
      <c r="C115" s="46" t="s">
        <v>110</v>
      </c>
      <c r="D115" s="47">
        <v>4.6510502998865109</v>
      </c>
      <c r="E115" s="47">
        <v>6.1388180322329244</v>
      </c>
      <c r="F115" s="96">
        <v>9.9999999999999995E-7</v>
      </c>
      <c r="G115" s="7"/>
      <c r="H115" s="7"/>
      <c r="I115" s="54">
        <f t="shared" si="33"/>
        <v>2.8686693929579801</v>
      </c>
      <c r="J115" s="54">
        <f t="shared" si="34"/>
        <v>4.6606520517271175</v>
      </c>
      <c r="K115" s="55">
        <f t="shared" si="35"/>
        <v>1.2927113816268594E-3</v>
      </c>
      <c r="L115" s="55">
        <f t="shared" si="36"/>
        <v>3.9656817383985021E-2</v>
      </c>
      <c r="M115" s="55">
        <f t="shared" si="42"/>
        <v>0.96034318261601492</v>
      </c>
      <c r="N115" s="55">
        <f t="shared" si="37"/>
        <v>3.5777096522528154E-2</v>
      </c>
      <c r="O115" s="56">
        <f t="shared" si="43"/>
        <v>1.3003087887402852E-9</v>
      </c>
      <c r="P115" s="56">
        <f t="shared" si="38"/>
        <v>5.9524882893361537E-5</v>
      </c>
      <c r="Q115" s="56">
        <f t="shared" si="39"/>
        <v>1.7900473960104921E-3</v>
      </c>
      <c r="R115" s="9">
        <f t="shared" si="44"/>
        <v>1.4999999999999999E-4</v>
      </c>
      <c r="S115" s="9">
        <f t="shared" si="45"/>
        <v>5.9485226075977523E-6</v>
      </c>
      <c r="T115" s="9">
        <f t="shared" si="40"/>
        <v>1.9390670724402891E-7</v>
      </c>
      <c r="U115" s="9">
        <f t="shared" si="41"/>
        <v>1.4405147739240221E-4</v>
      </c>
      <c r="V115" s="100">
        <f t="shared" si="46"/>
        <v>1.3460931519349776E-3</v>
      </c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46" t="s">
        <v>226</v>
      </c>
      <c r="C116" s="46" t="s">
        <v>227</v>
      </c>
      <c r="D116" s="47">
        <v>-0.1223633442417989</v>
      </c>
      <c r="E116" s="47">
        <v>-0.65153095448481257</v>
      </c>
      <c r="F116" s="96">
        <v>9.9999999999999995E-7</v>
      </c>
      <c r="G116" s="7"/>
      <c r="H116" s="7"/>
      <c r="I116" s="54">
        <f t="shared" si="33"/>
        <v>-6.405424315775722E-4</v>
      </c>
      <c r="J116" s="54">
        <f t="shared" si="34"/>
        <v>-2.1299825578506845E-2</v>
      </c>
      <c r="K116" s="55">
        <f t="shared" si="35"/>
        <v>0.99565541189039497</v>
      </c>
      <c r="L116" s="55">
        <f t="shared" si="36"/>
        <v>6.3529211673518519E-4</v>
      </c>
      <c r="M116" s="55">
        <f t="shared" si="42"/>
        <v>0.99936470788326481</v>
      </c>
      <c r="N116" s="55">
        <f t="shared" si="37"/>
        <v>4.4654331494887231E-6</v>
      </c>
      <c r="O116" s="56">
        <f t="shared" si="43"/>
        <v>1.0015069883647176E-6</v>
      </c>
      <c r="P116" s="56">
        <f t="shared" si="38"/>
        <v>9.5357346721951299E-7</v>
      </c>
      <c r="Q116" s="56">
        <f t="shared" si="39"/>
        <v>2.2342050524608579E-7</v>
      </c>
      <c r="R116" s="9">
        <f t="shared" si="44"/>
        <v>1.4999999999999999E-4</v>
      </c>
      <c r="S116" s="9">
        <f t="shared" si="45"/>
        <v>9.5293817510277771E-8</v>
      </c>
      <c r="T116" s="9">
        <f t="shared" si="40"/>
        <v>1.4934831178355922E-4</v>
      </c>
      <c r="U116" s="9">
        <f t="shared" si="41"/>
        <v>1.499047061824897E-4</v>
      </c>
      <c r="V116" s="100">
        <f t="shared" si="46"/>
        <v>0.99628834602261829</v>
      </c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46" t="s">
        <v>228</v>
      </c>
      <c r="C117" s="46" t="s">
        <v>229</v>
      </c>
      <c r="D117" s="47">
        <v>1.8253520000000001</v>
      </c>
      <c r="E117" s="47">
        <v>2.0793489999999997</v>
      </c>
      <c r="F117" s="96">
        <v>9.9999999999999995E-7</v>
      </c>
      <c r="G117" s="7"/>
      <c r="H117" s="7"/>
      <c r="I117" s="54">
        <f t="shared" si="33"/>
        <v>0.13401854480859055</v>
      </c>
      <c r="J117" s="54">
        <f t="shared" si="34"/>
        <v>1.0476738921027908</v>
      </c>
      <c r="K117" s="55">
        <f t="shared" si="35"/>
        <v>0.72670667148431944</v>
      </c>
      <c r="L117" s="55">
        <f t="shared" si="36"/>
        <v>5.4349715175433496E-3</v>
      </c>
      <c r="M117" s="55">
        <f t="shared" si="42"/>
        <v>0.99456502848245665</v>
      </c>
      <c r="N117" s="55">
        <f t="shared" si="37"/>
        <v>1.753854797584814E-3</v>
      </c>
      <c r="O117" s="56">
        <f t="shared" si="43"/>
        <v>7.3097760660083451E-7</v>
      </c>
      <c r="P117" s="56">
        <f t="shared" si="38"/>
        <v>8.1578922478325688E-6</v>
      </c>
      <c r="Q117" s="56">
        <f t="shared" si="39"/>
        <v>8.7751201705826853E-5</v>
      </c>
      <c r="R117" s="9">
        <f t="shared" si="44"/>
        <v>1.4999999999999999E-4</v>
      </c>
      <c r="S117" s="9">
        <f t="shared" si="45"/>
        <v>8.1524572763150235E-7</v>
      </c>
      <c r="T117" s="9">
        <f t="shared" si="40"/>
        <v>1.0900600072264791E-4</v>
      </c>
      <c r="U117" s="9">
        <f t="shared" si="41"/>
        <v>1.4918475427236848E-4</v>
      </c>
      <c r="V117" s="100">
        <f t="shared" si="46"/>
        <v>0.73067788497767194</v>
      </c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46" t="s">
        <v>230</v>
      </c>
      <c r="C118" s="46" t="s">
        <v>231</v>
      </c>
      <c r="D118" s="47">
        <v>2.848199987724402</v>
      </c>
      <c r="E118" s="47">
        <v>3.5741999825375301</v>
      </c>
      <c r="F118" s="96">
        <v>9.9999999999999995E-7</v>
      </c>
      <c r="G118" s="7"/>
      <c r="H118" s="7"/>
      <c r="I118" s="54">
        <f t="shared" si="33"/>
        <v>0.76376170277705713</v>
      </c>
      <c r="J118" s="54">
        <f t="shared" si="34"/>
        <v>2.2646182783534416</v>
      </c>
      <c r="K118" s="55">
        <f t="shared" si="35"/>
        <v>0.16784350710252191</v>
      </c>
      <c r="L118" s="55">
        <f t="shared" si="36"/>
        <v>2.068650188287658E-2</v>
      </c>
      <c r="M118" s="55">
        <f t="shared" si="42"/>
        <v>0.97931349811712343</v>
      </c>
      <c r="N118" s="55">
        <f t="shared" si="37"/>
        <v>1.2658726476869589E-2</v>
      </c>
      <c r="O118" s="56">
        <f t="shared" si="43"/>
        <v>1.6882994187282479E-7</v>
      </c>
      <c r="P118" s="56">
        <f t="shared" si="38"/>
        <v>3.1050439326197745E-5</v>
      </c>
      <c r="Q118" s="56">
        <f t="shared" si="39"/>
        <v>6.3335828139270849E-4</v>
      </c>
      <c r="R118" s="9">
        <f t="shared" si="44"/>
        <v>1.4999999999999999E-4</v>
      </c>
      <c r="S118" s="9">
        <f t="shared" si="45"/>
        <v>3.1029752824314867E-6</v>
      </c>
      <c r="T118" s="9">
        <f t="shared" si="40"/>
        <v>2.5176526065378285E-5</v>
      </c>
      <c r="U118" s="9">
        <f t="shared" si="41"/>
        <v>1.4689702471756851E-4</v>
      </c>
      <c r="V118" s="100">
        <f t="shared" si="46"/>
        <v>0.17138894483250372</v>
      </c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46" t="s">
        <v>232</v>
      </c>
      <c r="C119" s="46" t="s">
        <v>233</v>
      </c>
      <c r="D119" s="47">
        <v>-0.98996462433878363</v>
      </c>
      <c r="E119" s="47">
        <v>-1.885724324763622</v>
      </c>
      <c r="F119" s="96">
        <v>9.9999999999999995E-7</v>
      </c>
      <c r="G119" s="7"/>
      <c r="H119" s="7"/>
      <c r="I119" s="54">
        <f t="shared" si="33"/>
        <v>-2.0389427152517209E-3</v>
      </c>
      <c r="J119" s="54">
        <f t="shared" si="34"/>
        <v>-5.5209452123000199E-2</v>
      </c>
      <c r="K119" s="55">
        <f t="shared" si="35"/>
        <v>0.99891229681201421</v>
      </c>
      <c r="L119" s="55">
        <f t="shared" si="36"/>
        <v>5.8949773455037715E-4</v>
      </c>
      <c r="M119" s="55">
        <f t="shared" si="42"/>
        <v>0.99941050226544959</v>
      </c>
      <c r="N119" s="55">
        <f t="shared" si="37"/>
        <v>2.612693847128382E-7</v>
      </c>
      <c r="O119" s="56">
        <f t="shared" si="43"/>
        <v>1.0047830143575941E-6</v>
      </c>
      <c r="P119" s="56">
        <f t="shared" si="38"/>
        <v>8.8483609956011553E-7</v>
      </c>
      <c r="Q119" s="56">
        <f t="shared" si="39"/>
        <v>1.307217821513234E-8</v>
      </c>
      <c r="R119" s="9">
        <f t="shared" si="44"/>
        <v>1.4999999999999999E-4</v>
      </c>
      <c r="S119" s="9">
        <f t="shared" si="45"/>
        <v>8.8424660182556561E-8</v>
      </c>
      <c r="T119" s="9">
        <f t="shared" si="40"/>
        <v>1.4983684452180211E-4</v>
      </c>
      <c r="U119" s="9">
        <f t="shared" si="41"/>
        <v>1.4991157533981742E-4</v>
      </c>
      <c r="V119" s="100">
        <f t="shared" si="46"/>
        <v>0.99950150068234622</v>
      </c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46" t="s">
        <v>234</v>
      </c>
      <c r="C120" s="46" t="s">
        <v>235</v>
      </c>
      <c r="D120" s="47">
        <v>-7.2373500000194575</v>
      </c>
      <c r="E120" s="47">
        <v>-10.772850000027681</v>
      </c>
      <c r="F120" s="96">
        <v>9.9999999999999995E-7</v>
      </c>
      <c r="G120" s="7"/>
      <c r="H120" s="7"/>
      <c r="I120" s="54">
        <f t="shared" si="33"/>
        <v>-2.255492076189E-3</v>
      </c>
      <c r="J120" s="54">
        <f t="shared" si="34"/>
        <v>-6.0480744491014246E-2</v>
      </c>
      <c r="K120" s="55">
        <f t="shared" si="35"/>
        <v>0.99941731938757872</v>
      </c>
      <c r="L120" s="55">
        <f t="shared" si="36"/>
        <v>5.8268033322875494E-4</v>
      </c>
      <c r="M120" s="55">
        <f t="shared" si="42"/>
        <v>0.99941731966677128</v>
      </c>
      <c r="N120" s="55">
        <f t="shared" si="37"/>
        <v>3.3898646578062392E-16</v>
      </c>
      <c r="O120" s="56">
        <f t="shared" si="43"/>
        <v>1.005291005006437E-6</v>
      </c>
      <c r="P120" s="56">
        <f t="shared" si="38"/>
        <v>8.7460318017636121E-7</v>
      </c>
      <c r="Q120" s="56">
        <f t="shared" si="39"/>
        <v>1.6960622837890549E-17</v>
      </c>
      <c r="R120" s="9">
        <f t="shared" si="44"/>
        <v>1.4999999999999999E-4</v>
      </c>
      <c r="S120" s="9">
        <f t="shared" si="45"/>
        <v>8.7402049984313228E-8</v>
      </c>
      <c r="T120" s="9">
        <f t="shared" si="40"/>
        <v>1.499125979081368E-4</v>
      </c>
      <c r="U120" s="9">
        <f t="shared" si="41"/>
        <v>1.4991259795001568E-4</v>
      </c>
      <c r="V120" s="100">
        <f t="shared" si="46"/>
        <v>0.99999999972064468</v>
      </c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46" t="s">
        <v>236</v>
      </c>
      <c r="C121" s="46" t="s">
        <v>237</v>
      </c>
      <c r="D121" s="47">
        <v>0.89837073464087869</v>
      </c>
      <c r="E121" s="47">
        <v>0.80049921406660218</v>
      </c>
      <c r="F121" s="96">
        <v>9.9999999999999995E-7</v>
      </c>
      <c r="G121" s="7"/>
      <c r="H121" s="7"/>
      <c r="I121" s="54">
        <f t="shared" si="33"/>
        <v>1.502652106892244E-2</v>
      </c>
      <c r="J121" s="54">
        <f t="shared" si="34"/>
        <v>0.26737328541626304</v>
      </c>
      <c r="K121" s="55">
        <f t="shared" si="35"/>
        <v>0.9598439696226917</v>
      </c>
      <c r="L121" s="55">
        <f t="shared" si="36"/>
        <v>1.1905240120911396E-3</v>
      </c>
      <c r="M121" s="55">
        <f t="shared" si="42"/>
        <v>0.99880947598790881</v>
      </c>
      <c r="N121" s="55">
        <f t="shared" si="37"/>
        <v>1.2189484589273568E-4</v>
      </c>
      <c r="O121" s="56">
        <f t="shared" si="43"/>
        <v>9.6548507830807582E-7</v>
      </c>
      <c r="P121" s="56">
        <f t="shared" si="38"/>
        <v>1.7869765421488004E-6</v>
      </c>
      <c r="Q121" s="56">
        <f t="shared" si="39"/>
        <v>6.098805456166543E-6</v>
      </c>
      <c r="R121" s="9">
        <f t="shared" si="44"/>
        <v>1.4999999999999999E-4</v>
      </c>
      <c r="S121" s="9">
        <f t="shared" si="45"/>
        <v>1.7857860181367092E-7</v>
      </c>
      <c r="T121" s="9">
        <f t="shared" si="40"/>
        <v>1.4397659544340374E-4</v>
      </c>
      <c r="U121" s="9">
        <f t="shared" si="41"/>
        <v>1.498214213981863E-4</v>
      </c>
      <c r="V121" s="100">
        <f t="shared" si="46"/>
        <v>0.96098804897032353</v>
      </c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46" t="s">
        <v>238</v>
      </c>
      <c r="C122" s="46" t="s">
        <v>239</v>
      </c>
      <c r="D122" s="47">
        <v>5.1201999877244022</v>
      </c>
      <c r="E122" s="47">
        <v>6.8061999825375299</v>
      </c>
      <c r="F122" s="96">
        <v>9.9999999999999995E-7</v>
      </c>
      <c r="G122" s="7"/>
      <c r="H122" s="7"/>
      <c r="I122" s="54">
        <f t="shared" si="33"/>
        <v>3.4865950332654698</v>
      </c>
      <c r="J122" s="54">
        <f t="shared" si="34"/>
        <v>5.3121738751270531</v>
      </c>
      <c r="K122" s="55">
        <f t="shared" si="35"/>
        <v>3.1059390661054018E-4</v>
      </c>
      <c r="L122" s="55">
        <f t="shared" si="36"/>
        <v>4.2710144378972512E-2</v>
      </c>
      <c r="M122" s="55">
        <f t="shared" si="42"/>
        <v>0.95728985562102753</v>
      </c>
      <c r="N122" s="55">
        <f t="shared" si="37"/>
        <v>3.9964869728934829E-2</v>
      </c>
      <c r="O122" s="56">
        <f t="shared" si="43"/>
        <v>3.1241930119513798E-10</v>
      </c>
      <c r="P122" s="56">
        <f t="shared" si="38"/>
        <v>6.410792671283783E-5</v>
      </c>
      <c r="Q122" s="56">
        <f t="shared" si="39"/>
        <v>1.999575648771039E-3</v>
      </c>
      <c r="R122" s="9">
        <f t="shared" si="44"/>
        <v>1.4999999999999999E-4</v>
      </c>
      <c r="S122" s="9">
        <f t="shared" si="45"/>
        <v>6.4065216568458761E-6</v>
      </c>
      <c r="T122" s="9">
        <f t="shared" si="40"/>
        <v>4.6589085991581024E-8</v>
      </c>
      <c r="U122" s="9">
        <f t="shared" si="41"/>
        <v>1.4359347834315411E-4</v>
      </c>
      <c r="V122" s="100">
        <f t="shared" si="46"/>
        <v>3.2445126707108683E-4</v>
      </c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46" t="s">
        <v>240</v>
      </c>
      <c r="C123" s="46" t="s">
        <v>241</v>
      </c>
      <c r="D123" s="47">
        <v>1.6430320000000003</v>
      </c>
      <c r="E123" s="47">
        <v>1.9699289999999996</v>
      </c>
      <c r="F123" s="96">
        <v>9.9999999999999995E-7</v>
      </c>
      <c r="G123" s="7"/>
      <c r="H123" s="7"/>
      <c r="I123" s="54">
        <f t="shared" ref="I123:I127" si="47">IF(D123=0,"",LOG($K$15*10^D123+$K$16*10^E123+$K$14))</f>
        <v>9.3867444440884892E-2</v>
      </c>
      <c r="J123" s="54">
        <f t="shared" ref="J123:J127" si="48">IF(D123=0,"",LOG($K$21*10^D123+$K$22*10^E123+$K$20))</f>
        <v>0.90660680878543065</v>
      </c>
      <c r="K123" s="55">
        <f t="shared" ref="K123:K127" si="49">IF(D123=0,"",1/(1+10^D123*$J$15/$J$14+10^E123*$J$16/$J$14+10^J123*$J$19/$J$14))</f>
        <v>0.7979945714566512</v>
      </c>
      <c r="L123" s="55">
        <f t="shared" ref="L123:L127" si="50">IF(D123=0,"",1/(1+10^I123/10^J123*$J$13/$J$19))</f>
        <v>4.3129157930007142E-3</v>
      </c>
      <c r="M123" s="55">
        <f t="shared" si="42"/>
        <v>0.99568708420699925</v>
      </c>
      <c r="N123" s="55">
        <f t="shared" ref="N123:N127" si="51">IF(D123=0,"",1/(1/10^E123*$J$20/$J$22+10^D123/10^E123*$J$21/$J$22+10^I123/10^E123*$J$13/$J$22+1))</f>
        <v>1.4969745770556176E-3</v>
      </c>
      <c r="O123" s="56">
        <f t="shared" si="43"/>
        <v>8.0268447340988545E-7</v>
      </c>
      <c r="P123" s="56">
        <f t="shared" ref="P123:P127" si="52">IF(D123=0,"",O123*10^J123)</f>
        <v>6.4736866052940729E-6</v>
      </c>
      <c r="Q123" s="56">
        <f t="shared" ref="Q123:Q127" si="53">IF(D123=0,"",F123*N123*$J$7/$J$22)</f>
        <v>7.4898628005349397E-5</v>
      </c>
      <c r="R123" s="9">
        <f t="shared" si="44"/>
        <v>1.4999999999999999E-4</v>
      </c>
      <c r="S123" s="9">
        <f t="shared" si="45"/>
        <v>6.4693736895010704E-7</v>
      </c>
      <c r="T123" s="9">
        <f t="shared" si="40"/>
        <v>1.1969918571849768E-4</v>
      </c>
      <c r="U123" s="9">
        <f t="shared" si="41"/>
        <v>1.4935306263104989E-4</v>
      </c>
      <c r="V123" s="100">
        <f t="shared" si="46"/>
        <v>0.8014511628341574</v>
      </c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46" t="s">
        <v>242</v>
      </c>
      <c r="C124" s="46" t="s">
        <v>243</v>
      </c>
      <c r="D124" s="47">
        <v>1.9888079999999992</v>
      </c>
      <c r="E124" s="47">
        <v>1.7269960000000002</v>
      </c>
      <c r="F124" s="96">
        <v>9.9999999999999995E-7</v>
      </c>
      <c r="G124" s="7"/>
      <c r="H124" s="7"/>
      <c r="I124" s="54">
        <f t="shared" si="47"/>
        <v>0.17110445915344094</v>
      </c>
      <c r="J124" s="54">
        <f t="shared" si="48"/>
        <v>1.0869139815525992</v>
      </c>
      <c r="K124" s="55">
        <f t="shared" si="49"/>
        <v>0.66720838577634245</v>
      </c>
      <c r="L124" s="55">
        <f t="shared" si="50"/>
        <v>5.46184926963928E-3</v>
      </c>
      <c r="M124" s="55">
        <f t="shared" si="42"/>
        <v>0.99453815073036067</v>
      </c>
      <c r="N124" s="55">
        <f t="shared" si="51"/>
        <v>7.1539019572037783E-4</v>
      </c>
      <c r="O124" s="56">
        <f t="shared" si="43"/>
        <v>6.7112964291717085E-7</v>
      </c>
      <c r="P124" s="56">
        <f t="shared" si="52"/>
        <v>8.1982357537285577E-6</v>
      </c>
      <c r="Q124" s="56">
        <f t="shared" si="53"/>
        <v>3.579335612587624E-5</v>
      </c>
      <c r="R124" s="9">
        <f t="shared" si="44"/>
        <v>1.4999999999999999E-4</v>
      </c>
      <c r="S124" s="9">
        <f t="shared" si="45"/>
        <v>8.1927739044589198E-7</v>
      </c>
      <c r="T124" s="9">
        <f t="shared" si="40"/>
        <v>1.0008125786645136E-4</v>
      </c>
      <c r="U124" s="9">
        <f t="shared" si="41"/>
        <v>1.4918072260955409E-4</v>
      </c>
      <c r="V124" s="100">
        <f t="shared" si="46"/>
        <v>0.67087259074613026</v>
      </c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46" t="s">
        <v>244</v>
      </c>
      <c r="C125" s="46" t="s">
        <v>245</v>
      </c>
      <c r="D125" s="47">
        <v>0.57692000000000121</v>
      </c>
      <c r="E125" s="47">
        <v>0.1355349999999973</v>
      </c>
      <c r="F125" s="96">
        <v>9.9999999999999995E-7</v>
      </c>
      <c r="G125" s="7"/>
      <c r="H125" s="7"/>
      <c r="I125" s="54">
        <f t="shared" si="47"/>
        <v>5.8063156695311677E-3</v>
      </c>
      <c r="J125" s="54">
        <f t="shared" si="48"/>
        <v>0.11008125501635208</v>
      </c>
      <c r="K125" s="55">
        <f t="shared" si="49"/>
        <v>0.98077694005958715</v>
      </c>
      <c r="L125" s="55">
        <f t="shared" si="50"/>
        <v>8.4686802254169949E-4</v>
      </c>
      <c r="M125" s="55">
        <f t="shared" si="42"/>
        <v>0.99915313197745825</v>
      </c>
      <c r="N125" s="55">
        <f t="shared" si="51"/>
        <v>2.6939574632261212E-5</v>
      </c>
      <c r="O125" s="56">
        <f t="shared" si="43"/>
        <v>9.8654107411688559E-7</v>
      </c>
      <c r="P125" s="56">
        <f t="shared" si="52"/>
        <v>1.2711489018350911E-6</v>
      </c>
      <c r="Q125" s="56">
        <f t="shared" si="53"/>
        <v>1.3478767174341361E-6</v>
      </c>
      <c r="R125" s="9">
        <f t="shared" si="44"/>
        <v>1.4999999999999999E-4</v>
      </c>
      <c r="S125" s="9">
        <f t="shared" si="45"/>
        <v>1.2703020338125492E-7</v>
      </c>
      <c r="T125" s="9">
        <f t="shared" si="40"/>
        <v>1.4711654100893807E-4</v>
      </c>
      <c r="U125" s="9">
        <f t="shared" si="41"/>
        <v>1.4987296979661872E-4</v>
      </c>
      <c r="V125" s="100">
        <f t="shared" si="46"/>
        <v>0.98160823268250974</v>
      </c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46" t="s">
        <v>246</v>
      </c>
      <c r="C126" s="46" t="s">
        <v>247</v>
      </c>
      <c r="D126" s="47">
        <v>4.3320999877244022</v>
      </c>
      <c r="E126" s="47">
        <v>5.6850999825375297</v>
      </c>
      <c r="F126" s="96">
        <v>9.9999999999999995E-7</v>
      </c>
      <c r="G126" s="7"/>
      <c r="H126" s="7"/>
      <c r="I126" s="54">
        <f t="shared" si="47"/>
        <v>2.4596069923312118</v>
      </c>
      <c r="J126" s="54">
        <f t="shared" si="48"/>
        <v>4.2221364282428242</v>
      </c>
      <c r="K126" s="55">
        <f t="shared" si="49"/>
        <v>3.3242581233264494E-3</v>
      </c>
      <c r="L126" s="55">
        <f t="shared" si="50"/>
        <v>3.7153129392388518E-2</v>
      </c>
      <c r="M126" s="55">
        <f t="shared" si="42"/>
        <v>0.96284687060761143</v>
      </c>
      <c r="N126" s="55">
        <f t="shared" si="51"/>
        <v>3.2365342639835412E-2</v>
      </c>
      <c r="O126" s="56">
        <f t="shared" si="43"/>
        <v>3.3437951543079819E-9</v>
      </c>
      <c r="P126" s="56">
        <f t="shared" si="52"/>
        <v>5.5766847217975199E-5</v>
      </c>
      <c r="Q126" s="56">
        <f t="shared" si="53"/>
        <v>1.6193459767464317E-3</v>
      </c>
      <c r="R126" s="9">
        <f t="shared" si="44"/>
        <v>1.4999999999999999E-4</v>
      </c>
      <c r="S126" s="9">
        <f t="shared" si="45"/>
        <v>5.5729694088582771E-6</v>
      </c>
      <c r="T126" s="9">
        <f t="shared" si="40"/>
        <v>4.9863871849896734E-7</v>
      </c>
      <c r="U126" s="9">
        <f t="shared" si="41"/>
        <v>1.4442703059114171E-4</v>
      </c>
      <c r="V126" s="100">
        <f t="shared" si="46"/>
        <v>3.45253043324392E-3</v>
      </c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46" t="s">
        <v>248</v>
      </c>
      <c r="C127" s="46" t="s">
        <v>249</v>
      </c>
      <c r="D127" s="47">
        <v>2.713299987724402</v>
      </c>
      <c r="E127" s="47">
        <v>3.3822999825375302</v>
      </c>
      <c r="F127" s="96">
        <v>9.9999999999999995E-7</v>
      </c>
      <c r="G127" s="7"/>
      <c r="H127" s="7"/>
      <c r="I127" s="54">
        <f t="shared" si="47"/>
        <v>0.64263545610035988</v>
      </c>
      <c r="J127" s="54">
        <f t="shared" si="48"/>
        <v>2.0965431011809783</v>
      </c>
      <c r="K127" s="55">
        <f t="shared" si="49"/>
        <v>0.22230658347708349</v>
      </c>
      <c r="L127" s="55">
        <f t="shared" si="50"/>
        <v>1.8606284556510099E-2</v>
      </c>
      <c r="M127" s="55">
        <f t="shared" si="42"/>
        <v>0.98139371544348986</v>
      </c>
      <c r="N127" s="55">
        <f t="shared" si="51"/>
        <v>1.0777990455307694E-2</v>
      </c>
      <c r="O127" s="56">
        <f t="shared" si="43"/>
        <v>2.236131037434593E-7</v>
      </c>
      <c r="P127" s="56">
        <f t="shared" si="52"/>
        <v>2.7928033119321665E-5</v>
      </c>
      <c r="Q127" s="56">
        <f t="shared" si="53"/>
        <v>5.3925878911389503E-4</v>
      </c>
      <c r="R127" s="9">
        <f t="shared" si="44"/>
        <v>1.4999999999999999E-4</v>
      </c>
      <c r="S127" s="9">
        <f t="shared" si="45"/>
        <v>2.7909426834765147E-6</v>
      </c>
      <c r="T127" s="9">
        <f t="shared" si="40"/>
        <v>3.3345987521562523E-5</v>
      </c>
      <c r="U127" s="9">
        <f t="shared" si="41"/>
        <v>1.4720905731652347E-4</v>
      </c>
      <c r="V127" s="100">
        <f t="shared" si="46"/>
        <v>0.22652130330447814</v>
      </c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46" t="s">
        <v>250</v>
      </c>
      <c r="C128" s="46" t="s">
        <v>251</v>
      </c>
      <c r="D128" s="47">
        <v>3.598704000000001</v>
      </c>
      <c r="E128" s="47">
        <v>4.3131730000000008</v>
      </c>
      <c r="F128" s="96">
        <v>9.9999999999999995E-7</v>
      </c>
      <c r="G128" s="7"/>
      <c r="H128" s="7"/>
      <c r="I128" s="54">
        <f t="shared" ref="I128:I134" si="54">IF(D128=0,"",LOG($K$15*10^D128+$K$16*10^E128+$K$14))</f>
        <v>1.4450204174697026</v>
      </c>
      <c r="J128" s="54">
        <f t="shared" ref="J128:J134" si="55">IF(D128=0,"",LOG($K$21*10^D128+$K$22*10^E128+$K$20))</f>
        <v>3.0063821040542344</v>
      </c>
      <c r="K128" s="55">
        <f t="shared" ref="K128:K134" si="56">IF(D128=0,"",1/(1+10^D128*$J$15/$J$14+10^E128*$J$16/$J$14+10^J128*$J$19/$J$14))</f>
        <v>3.4858193956804985E-2</v>
      </c>
      <c r="L128" s="55">
        <f t="shared" ref="L128:L134" si="57">IF(D128=0,"",1/(1+10^I128/10^J128*$J$13/$J$19))</f>
        <v>2.3705614588255375E-2</v>
      </c>
      <c r="M128" s="55">
        <f t="shared" ref="M128:M134" si="58">IF(D128=0,"",1-L128)</f>
        <v>0.97629438541174463</v>
      </c>
      <c r="N128" s="55">
        <f t="shared" ref="N128:N134" si="59">IF(D128=0,"",1/(1/10^E128*$J$20/$J$22+10^D128/10^E128*$J$21/$J$22+10^I128/10^E128*$J$13/$J$22+1))</f>
        <v>1.4413298132907905E-2</v>
      </c>
      <c r="O128" s="56">
        <f t="shared" ref="O128:O134" si="60">IF(D128=0,"",F128*K128*$J$7/$J$14)</f>
        <v>3.5063059400470616E-8</v>
      </c>
      <c r="P128" s="56">
        <f t="shared" ref="P128:P134" si="61">IF(D128=0,"",O128*10^J128)</f>
        <v>3.5582127496971327E-5</v>
      </c>
      <c r="Q128" s="56">
        <f t="shared" ref="Q128:Q134" si="62">IF(D128=0,"",F128*N128*$J$7/$J$22)</f>
        <v>7.2114534991649223E-4</v>
      </c>
      <c r="R128" s="9">
        <f t="shared" si="44"/>
        <v>1.4999999999999999E-4</v>
      </c>
      <c r="S128" s="9">
        <f t="shared" si="45"/>
        <v>3.555842188238306E-6</v>
      </c>
      <c r="T128" s="9">
        <f t="shared" si="40"/>
        <v>5.2287290935207474E-6</v>
      </c>
      <c r="U128" s="9">
        <f t="shared" si="41"/>
        <v>1.4644415781176167E-4</v>
      </c>
      <c r="V128" s="100">
        <f t="shared" si="46"/>
        <v>3.5704593284231388E-2</v>
      </c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46" t="s">
        <v>252</v>
      </c>
      <c r="C129" s="46" t="s">
        <v>253</v>
      </c>
      <c r="D129" s="47">
        <v>-1.2627122753537208</v>
      </c>
      <c r="E129" s="47">
        <v>-2.2737174621228986</v>
      </c>
      <c r="F129" s="96">
        <v>9.9999999999999995E-7</v>
      </c>
      <c r="G129" s="7"/>
      <c r="H129" s="7"/>
      <c r="I129" s="54">
        <f t="shared" si="54"/>
        <v>-2.1401866039787642E-3</v>
      </c>
      <c r="J129" s="54">
        <f t="shared" si="55"/>
        <v>-5.7683865092640584E-2</v>
      </c>
      <c r="K129" s="55">
        <f t="shared" si="56"/>
        <v>0.99914840280283723</v>
      </c>
      <c r="L129" s="55">
        <f t="shared" si="57"/>
        <v>5.8628713773603255E-4</v>
      </c>
      <c r="M129" s="55">
        <f t="shared" si="58"/>
        <v>0.99941371286226399</v>
      </c>
      <c r="N129" s="55">
        <f t="shared" si="59"/>
        <v>1.0695424447439042E-7</v>
      </c>
      <c r="O129" s="56">
        <f t="shared" si="60"/>
        <v>1.00502050796932E-6</v>
      </c>
      <c r="P129" s="56">
        <f t="shared" si="61"/>
        <v>8.8001699374178483E-7</v>
      </c>
      <c r="Q129" s="56">
        <f t="shared" si="62"/>
        <v>5.3512773652020007E-9</v>
      </c>
      <c r="R129" s="9">
        <f t="shared" si="44"/>
        <v>1.4999999999999999E-4</v>
      </c>
      <c r="S129" s="9">
        <f t="shared" si="45"/>
        <v>8.7943070660404879E-8</v>
      </c>
      <c r="T129" s="9">
        <f t="shared" si="40"/>
        <v>1.4987226042042557E-4</v>
      </c>
      <c r="U129" s="9">
        <f t="shared" si="41"/>
        <v>1.4991205692933959E-4</v>
      </c>
      <c r="V129" s="100">
        <f t="shared" si="46"/>
        <v>0.99973453430144865</v>
      </c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46" t="s">
        <v>254</v>
      </c>
      <c r="C130" s="46" t="s">
        <v>255</v>
      </c>
      <c r="D130" s="47">
        <v>2.1582748772295566</v>
      </c>
      <c r="E130" s="47">
        <v>2.5927572197209185</v>
      </c>
      <c r="F130" s="96">
        <v>9.9999999999999995E-7</v>
      </c>
      <c r="G130" s="7"/>
      <c r="H130" s="7"/>
      <c r="I130" s="54">
        <f t="shared" si="54"/>
        <v>0.26355542441139918</v>
      </c>
      <c r="J130" s="54">
        <f t="shared" si="55"/>
        <v>1.4315693395149125</v>
      </c>
      <c r="K130" s="55">
        <f t="shared" si="56"/>
        <v>0.53696620255304661</v>
      </c>
      <c r="L130" s="55">
        <f t="shared" si="57"/>
        <v>9.7203191411601685E-3</v>
      </c>
      <c r="M130" s="55">
        <f t="shared" si="58"/>
        <v>0.99027968085883988</v>
      </c>
      <c r="N130" s="55">
        <f t="shared" si="59"/>
        <v>4.2265855021437577E-3</v>
      </c>
      <c r="O130" s="56">
        <f t="shared" si="60"/>
        <v>5.4012201204380202E-7</v>
      </c>
      <c r="P130" s="56">
        <f t="shared" si="61"/>
        <v>1.4590199030881414E-5</v>
      </c>
      <c r="Q130" s="56">
        <f t="shared" si="62"/>
        <v>2.1147016129059268E-4</v>
      </c>
      <c r="R130" s="9">
        <f t="shared" si="44"/>
        <v>1.4999999999999999E-4</v>
      </c>
      <c r="S130" s="9">
        <f t="shared" si="45"/>
        <v>1.4580478711740252E-6</v>
      </c>
      <c r="T130" s="9">
        <f t="shared" si="40"/>
        <v>8.0544930382956989E-5</v>
      </c>
      <c r="U130" s="9">
        <f t="shared" si="41"/>
        <v>1.4854195212882598E-4</v>
      </c>
      <c r="V130" s="100">
        <f t="shared" si="46"/>
        <v>0.5422369184505047</v>
      </c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46" t="s">
        <v>256</v>
      </c>
      <c r="C131" s="46" t="s">
        <v>257</v>
      </c>
      <c r="D131" s="47">
        <v>0.51229998772440222</v>
      </c>
      <c r="E131" s="47">
        <v>0.25129998253752994</v>
      </c>
      <c r="F131" s="96">
        <v>9.9999999999999995E-7</v>
      </c>
      <c r="G131" s="7"/>
      <c r="H131" s="7"/>
      <c r="I131" s="54">
        <f t="shared" si="54"/>
        <v>4.79958444939446E-3</v>
      </c>
      <c r="J131" s="54">
        <f t="shared" si="55"/>
        <v>9.6499928315346095E-2</v>
      </c>
      <c r="K131" s="55">
        <f t="shared" si="56"/>
        <v>0.98307686052452325</v>
      </c>
      <c r="L131" s="55">
        <f t="shared" si="57"/>
        <v>8.2271920507216224E-4</v>
      </c>
      <c r="M131" s="55">
        <f t="shared" si="58"/>
        <v>0.99917728079492785</v>
      </c>
      <c r="N131" s="55">
        <f t="shared" si="59"/>
        <v>3.5251121973407223E-5</v>
      </c>
      <c r="O131" s="56">
        <f t="shared" si="60"/>
        <v>9.8885451146760837E-7</v>
      </c>
      <c r="P131" s="56">
        <f t="shared" si="61"/>
        <v>1.2349015268133154E-6</v>
      </c>
      <c r="Q131" s="56">
        <f t="shared" si="62"/>
        <v>1.7637311360694745E-6</v>
      </c>
      <c r="R131" s="9">
        <f t="shared" si="44"/>
        <v>1.4999999999999999E-4</v>
      </c>
      <c r="S131" s="9">
        <f t="shared" si="45"/>
        <v>1.2340788076082432E-7</v>
      </c>
      <c r="T131" s="9">
        <f t="shared" si="40"/>
        <v>1.4746152907867848E-4</v>
      </c>
      <c r="U131" s="9">
        <f t="shared" si="41"/>
        <v>1.4987659211923915E-4</v>
      </c>
      <c r="V131" s="100">
        <f t="shared" si="46"/>
        <v>0.98388632269781462</v>
      </c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46" t="s">
        <v>258</v>
      </c>
      <c r="C132" s="46" t="s">
        <v>259</v>
      </c>
      <c r="D132" s="47">
        <v>0.92271245461153151</v>
      </c>
      <c r="E132" s="47">
        <v>0.83512616782767168</v>
      </c>
      <c r="F132" s="96">
        <v>9.9999999999999995E-7</v>
      </c>
      <c r="G132" s="7"/>
      <c r="H132" s="7"/>
      <c r="I132" s="54">
        <f t="shared" si="54"/>
        <v>1.6027626042906213E-2</v>
      </c>
      <c r="J132" s="54">
        <f t="shared" si="55"/>
        <v>0.28153514162131194</v>
      </c>
      <c r="K132" s="55">
        <f t="shared" si="56"/>
        <v>0.95759887683341516</v>
      </c>
      <c r="L132" s="55">
        <f t="shared" si="57"/>
        <v>1.2271086084036228E-3</v>
      </c>
      <c r="M132" s="55">
        <f t="shared" si="58"/>
        <v>0.99877289139159642</v>
      </c>
      <c r="N132" s="55">
        <f t="shared" si="59"/>
        <v>1.3170288356208914E-4</v>
      </c>
      <c r="O132" s="56">
        <f t="shared" si="60"/>
        <v>9.6322679086129881E-7</v>
      </c>
      <c r="P132" s="56">
        <f t="shared" si="61"/>
        <v>1.8418900212138377E-6</v>
      </c>
      <c r="Q132" s="56">
        <f t="shared" si="62"/>
        <v>6.5895342742231938E-6</v>
      </c>
      <c r="R132" s="9">
        <f t="shared" si="44"/>
        <v>1.4999999999999999E-4</v>
      </c>
      <c r="S132" s="9">
        <f t="shared" si="45"/>
        <v>1.8406629126054342E-7</v>
      </c>
      <c r="T132" s="9">
        <f t="shared" si="40"/>
        <v>1.4363983152501227E-4</v>
      </c>
      <c r="U132" s="9">
        <f t="shared" si="41"/>
        <v>1.4981593370873945E-4</v>
      </c>
      <c r="V132" s="100">
        <f t="shared" si="46"/>
        <v>0.95877539837829073</v>
      </c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46" t="s">
        <v>260</v>
      </c>
      <c r="C133" s="46" t="s">
        <v>261</v>
      </c>
      <c r="D133" s="47">
        <v>2.8951366557581992</v>
      </c>
      <c r="E133" s="47">
        <v>3.6409690455151855</v>
      </c>
      <c r="F133" s="96">
        <v>9.9999999999999995E-7</v>
      </c>
      <c r="G133" s="7"/>
      <c r="H133" s="7"/>
      <c r="I133" s="54">
        <f t="shared" si="54"/>
        <v>0.80804902693102654</v>
      </c>
      <c r="J133" s="54">
        <f t="shared" si="55"/>
        <v>2.3235935260819955</v>
      </c>
      <c r="K133" s="55">
        <f t="shared" si="56"/>
        <v>0.15146360634009576</v>
      </c>
      <c r="L133" s="55">
        <f t="shared" si="57"/>
        <v>2.1382872794222098E-2</v>
      </c>
      <c r="M133" s="55">
        <f t="shared" si="58"/>
        <v>0.97861712720577787</v>
      </c>
      <c r="N133" s="55">
        <f t="shared" si="59"/>
        <v>1.3321797460245928E-2</v>
      </c>
      <c r="O133" s="56">
        <f t="shared" si="60"/>
        <v>1.5235377463024047E-7</v>
      </c>
      <c r="P133" s="56">
        <f t="shared" si="61"/>
        <v>3.2095692064127384E-5</v>
      </c>
      <c r="Q133" s="56">
        <f t="shared" si="62"/>
        <v>6.66533932927638E-4</v>
      </c>
      <c r="R133" s="9">
        <f t="shared" si="44"/>
        <v>1.4999999999999999E-4</v>
      </c>
      <c r="S133" s="9">
        <f t="shared" si="45"/>
        <v>3.2074309191333145E-6</v>
      </c>
      <c r="T133" s="9">
        <f t="shared" si="40"/>
        <v>2.2719540951014361E-5</v>
      </c>
      <c r="U133" s="9">
        <f t="shared" si="41"/>
        <v>1.4679256908086666E-4</v>
      </c>
      <c r="V133" s="100">
        <f t="shared" si="46"/>
        <v>0.15477309984607174</v>
      </c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46" t="s">
        <v>262</v>
      </c>
      <c r="C134" s="46" t="s">
        <v>263</v>
      </c>
      <c r="D134" s="47">
        <v>-1.7616394390778063</v>
      </c>
      <c r="E134" s="47">
        <v>-2.9834589203782875</v>
      </c>
      <c r="F134" s="96">
        <v>9.9999999999999995E-7</v>
      </c>
      <c r="G134" s="7"/>
      <c r="H134" s="7"/>
      <c r="I134" s="54">
        <f t="shared" si="54"/>
        <v>-2.2190435405287081E-3</v>
      </c>
      <c r="J134" s="54">
        <f t="shared" si="55"/>
        <v>-5.9601857638287271E-2</v>
      </c>
      <c r="K134" s="55">
        <f t="shared" si="56"/>
        <v>0.99933231533764244</v>
      </c>
      <c r="L134" s="55">
        <f t="shared" si="57"/>
        <v>5.838110447770891E-4</v>
      </c>
      <c r="M134" s="55">
        <f t="shared" si="58"/>
        <v>0.99941618895522288</v>
      </c>
      <c r="N134" s="55">
        <f t="shared" si="59"/>
        <v>2.0870675173623729E-8</v>
      </c>
      <c r="O134" s="56">
        <f t="shared" si="60"/>
        <v>1.0052055013783405E-6</v>
      </c>
      <c r="P134" s="56">
        <f t="shared" si="61"/>
        <v>8.7630037821041058E-7</v>
      </c>
      <c r="Q134" s="56">
        <f t="shared" si="62"/>
        <v>1.0442294478536407E-9</v>
      </c>
      <c r="R134" s="9">
        <f t="shared" si="44"/>
        <v>1.4999999999999999E-4</v>
      </c>
      <c r="S134" s="9">
        <f t="shared" si="45"/>
        <v>8.7571656716563358E-8</v>
      </c>
      <c r="T134" s="9">
        <f t="shared" si="40"/>
        <v>1.4989984730064636E-4</v>
      </c>
      <c r="U134" s="9">
        <f t="shared" si="41"/>
        <v>1.4991242834328341E-4</v>
      </c>
      <c r="V134" s="100">
        <f t="shared" si="46"/>
        <v>0.99991607738747146</v>
      </c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46" t="s">
        <v>264</v>
      </c>
      <c r="C135" s="46" t="s">
        <v>265</v>
      </c>
      <c r="D135" s="47">
        <v>1.1365502998865107</v>
      </c>
      <c r="E135" s="47">
        <v>1.1393180322329237</v>
      </c>
      <c r="F135" s="96">
        <v>9.9999999999999995E-7</v>
      </c>
      <c r="G135" s="7"/>
      <c r="H135" s="7"/>
      <c r="I135" s="54">
        <f t="shared" ref="I135:I143" si="63">IF(D135=0,"",LOG($K$15*10^D135+$K$16*10^E135+$K$14))</f>
        <v>2.7672233265732864E-2</v>
      </c>
      <c r="J135" s="54">
        <f t="shared" ref="J135:J143" si="64">IF(D135=0,"",LOG($K$21*10^D135+$K$22*10^E135+$K$20))</f>
        <v>0.42372554518401218</v>
      </c>
      <c r="K135" s="55">
        <f t="shared" ref="K135:K143" si="65">IF(D135=0,"",1/(1+10^D135*$J$15/$J$14+10^E135*$J$16/$J$14+10^J135*$J$19/$J$14))</f>
        <v>0.9318632513591486</v>
      </c>
      <c r="L135" s="55">
        <f t="shared" ref="L135:L143" si="66">IF(D135=0,"",1/(1+10^I135/10^J135*$J$13/$J$19))</f>
        <v>1.6566927195334675E-3</v>
      </c>
      <c r="M135" s="55">
        <f t="shared" ref="M135:M143" si="67">IF(D135=0,"",1-L135)</f>
        <v>0.9983433072804665</v>
      </c>
      <c r="N135" s="55">
        <f t="shared" ref="N135:N143" si="68">IF(D135=0,"",1/(1/10^E135*$J$20/$J$22+10^D135/10^E135*$J$21/$J$22+10^I135/10^E135*$J$13/$J$22+1))</f>
        <v>2.581996834419039E-4</v>
      </c>
      <c r="O135" s="56">
        <f t="shared" ref="O135:O143" si="69">IF(D135=0,"",F135*K135*$J$7/$J$14)</f>
        <v>9.3733991428270567E-7</v>
      </c>
      <c r="P135" s="56">
        <f t="shared" ref="P135:P143" si="70">IF(D135=0,"",O135*10^J135)</f>
        <v>2.4866957720197352E-6</v>
      </c>
      <c r="Q135" s="56">
        <f t="shared" ref="Q135:Q143" si="71">IF(D135=0,"",F135*N135*$J$7/$J$22)</f>
        <v>1.2918590828209925E-5</v>
      </c>
      <c r="R135" s="9">
        <f t="shared" si="44"/>
        <v>1.4999999999999999E-4</v>
      </c>
      <c r="S135" s="9">
        <f t="shared" si="45"/>
        <v>2.4850390793002012E-7</v>
      </c>
      <c r="T135" s="9">
        <f t="shared" si="40"/>
        <v>1.3977948770387227E-4</v>
      </c>
      <c r="U135" s="9">
        <f t="shared" si="41"/>
        <v>1.4975149609206995E-4</v>
      </c>
      <c r="V135" s="100">
        <f t="shared" si="46"/>
        <v>0.93340962428804908</v>
      </c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46" t="s">
        <v>266</v>
      </c>
      <c r="C136" s="46" t="s">
        <v>267</v>
      </c>
      <c r="D136" s="47">
        <v>-0.16497034264114602</v>
      </c>
      <c r="E136" s="47">
        <v>-0.71214090995430623</v>
      </c>
      <c r="F136" s="96">
        <v>9.9999999999999995E-7</v>
      </c>
      <c r="G136" s="7"/>
      <c r="H136" s="7"/>
      <c r="I136" s="54">
        <f t="shared" si="63"/>
        <v>-7.9255891896301502E-4</v>
      </c>
      <c r="J136" s="54">
        <f t="shared" si="64"/>
        <v>-2.4928366809962146E-2</v>
      </c>
      <c r="K136" s="55">
        <f t="shared" si="65"/>
        <v>0.99600902804381608</v>
      </c>
      <c r="L136" s="55">
        <f t="shared" si="66"/>
        <v>6.3023009989966814E-4</v>
      </c>
      <c r="M136" s="55">
        <f t="shared" si="67"/>
        <v>0.99936976990010029</v>
      </c>
      <c r="N136" s="55">
        <f t="shared" si="68"/>
        <v>3.8851505541889964E-6</v>
      </c>
      <c r="O136" s="56">
        <f t="shared" si="69"/>
        <v>1.0018626827592044E-6</v>
      </c>
      <c r="P136" s="56">
        <f t="shared" si="70"/>
        <v>9.4597537994940193E-7</v>
      </c>
      <c r="Q136" s="56">
        <f t="shared" si="71"/>
        <v>1.9438703272792279E-7</v>
      </c>
      <c r="R136" s="9">
        <f t="shared" si="44"/>
        <v>1.4999999999999999E-4</v>
      </c>
      <c r="S136" s="9">
        <f t="shared" si="45"/>
        <v>9.4534514984950216E-8</v>
      </c>
      <c r="T136" s="9">
        <f t="shared" si="40"/>
        <v>1.494013542065724E-4</v>
      </c>
      <c r="U136" s="9">
        <f t="shared" si="41"/>
        <v>1.4990546548501502E-4</v>
      </c>
      <c r="V136" s="100">
        <f t="shared" si="46"/>
        <v>0.99663713876734517</v>
      </c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46" t="s">
        <v>268</v>
      </c>
      <c r="C137" s="46" t="s">
        <v>269</v>
      </c>
      <c r="D137" s="47">
        <v>-2.7256879443499291</v>
      </c>
      <c r="E137" s="47">
        <v>-4.3548518644977863</v>
      </c>
      <c r="F137" s="96">
        <v>9.9999999999999995E-7</v>
      </c>
      <c r="G137" s="7"/>
      <c r="H137" s="7"/>
      <c r="I137" s="54">
        <f t="shared" si="63"/>
        <v>-2.2515440087297459E-3</v>
      </c>
      <c r="J137" s="54">
        <f t="shared" si="64"/>
        <v>-6.0386215291542894E-2</v>
      </c>
      <c r="K137" s="55">
        <f t="shared" si="65"/>
        <v>0.9994081124937908</v>
      </c>
      <c r="L137" s="55">
        <f t="shared" si="66"/>
        <v>5.8280180515054008E-4</v>
      </c>
      <c r="M137" s="55">
        <f t="shared" si="67"/>
        <v>0.99941719819484942</v>
      </c>
      <c r="N137" s="55">
        <f t="shared" si="68"/>
        <v>8.8751661837063451E-10</v>
      </c>
      <c r="O137" s="56">
        <f t="shared" si="69"/>
        <v>1.0052817440027204E-6</v>
      </c>
      <c r="P137" s="56">
        <f t="shared" si="70"/>
        <v>8.7478550953096051E-7</v>
      </c>
      <c r="Q137" s="56">
        <f t="shared" si="71"/>
        <v>4.4405414805810751E-11</v>
      </c>
      <c r="R137" s="9">
        <f t="shared" si="44"/>
        <v>1.4999999999999999E-4</v>
      </c>
      <c r="S137" s="9">
        <f t="shared" si="45"/>
        <v>8.7420270772580999E-8</v>
      </c>
      <c r="T137" s="9">
        <f t="shared" si="40"/>
        <v>1.4991121687406861E-4</v>
      </c>
      <c r="U137" s="9">
        <f t="shared" si="41"/>
        <v>1.4991257972922739E-4</v>
      </c>
      <c r="V137" s="100">
        <f t="shared" si="46"/>
        <v>0.99999090900069054</v>
      </c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46" t="s">
        <v>270</v>
      </c>
      <c r="C138" s="46" t="s">
        <v>271</v>
      </c>
      <c r="D138" s="47">
        <v>-0.21545001227559774</v>
      </c>
      <c r="E138" s="47">
        <v>-0.78395001746247006</v>
      </c>
      <c r="F138" s="96">
        <v>9.9999999999999995E-7</v>
      </c>
      <c r="G138" s="7"/>
      <c r="H138" s="7"/>
      <c r="I138" s="54">
        <f t="shared" si="63"/>
        <v>-9.5421953907495261E-4</v>
      </c>
      <c r="J138" s="54">
        <f t="shared" si="64"/>
        <v>-2.8805707133247753E-2</v>
      </c>
      <c r="K138" s="55">
        <f t="shared" si="65"/>
        <v>0.99638519843274487</v>
      </c>
      <c r="L138" s="55">
        <f t="shared" si="66"/>
        <v>6.2486441549670913E-4</v>
      </c>
      <c r="M138" s="55">
        <f t="shared" si="67"/>
        <v>0.9993751355845033</v>
      </c>
      <c r="N138" s="55">
        <f t="shared" si="68"/>
        <v>3.294296901265375E-6</v>
      </c>
      <c r="O138" s="56">
        <f t="shared" si="69"/>
        <v>1.0022410639429244E-6</v>
      </c>
      <c r="P138" s="56">
        <f t="shared" si="70"/>
        <v>9.379214876605603E-7</v>
      </c>
      <c r="Q138" s="56">
        <f t="shared" si="71"/>
        <v>1.6482465495997758E-7</v>
      </c>
      <c r="R138" s="9">
        <f t="shared" si="44"/>
        <v>1.4999999999999999E-4</v>
      </c>
      <c r="S138" s="9">
        <f t="shared" si="45"/>
        <v>9.3729662324506367E-8</v>
      </c>
      <c r="T138" s="9">
        <f t="shared" si="40"/>
        <v>1.4945777976491171E-4</v>
      </c>
      <c r="U138" s="9">
        <f t="shared" si="41"/>
        <v>1.4990627033767547E-4</v>
      </c>
      <c r="V138" s="100">
        <f t="shared" si="46"/>
        <v>0.99700819337474345</v>
      </c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46" t="s">
        <v>272</v>
      </c>
      <c r="C139" s="46" t="s">
        <v>273</v>
      </c>
      <c r="D139" s="47">
        <v>1.0310160000000004</v>
      </c>
      <c r="E139" s="47">
        <v>0.78085199999999966</v>
      </c>
      <c r="F139" s="96">
        <v>9.9999999999999995E-7</v>
      </c>
      <c r="G139" s="7"/>
      <c r="H139" s="7"/>
      <c r="I139" s="54">
        <f t="shared" si="63"/>
        <v>2.0637855846763784E-2</v>
      </c>
      <c r="J139" s="54">
        <f t="shared" si="64"/>
        <v>0.32738996440137741</v>
      </c>
      <c r="K139" s="55">
        <f t="shared" si="65"/>
        <v>0.94737148487199596</v>
      </c>
      <c r="L139" s="55">
        <f t="shared" si="66"/>
        <v>1.3491943263295649E-3</v>
      </c>
      <c r="M139" s="55">
        <f t="shared" si="67"/>
        <v>0.99865080567367048</v>
      </c>
      <c r="N139" s="55">
        <f t="shared" si="68"/>
        <v>1.1498939699349257E-4</v>
      </c>
      <c r="O139" s="56">
        <f t="shared" si="69"/>
        <v>9.5293929139131739E-7</v>
      </c>
      <c r="P139" s="56">
        <f t="shared" si="70"/>
        <v>2.0251406838206764E-6</v>
      </c>
      <c r="Q139" s="56">
        <f t="shared" si="71"/>
        <v>5.7533028295744108E-6</v>
      </c>
      <c r="R139" s="9">
        <f t="shared" si="44"/>
        <v>1.4999999999999999E-4</v>
      </c>
      <c r="S139" s="9">
        <f t="shared" si="45"/>
        <v>2.0237914894943473E-7</v>
      </c>
      <c r="T139" s="9">
        <f t="shared" si="40"/>
        <v>1.4210572273079937E-4</v>
      </c>
      <c r="U139" s="9">
        <f t="shared" si="41"/>
        <v>1.4979762085105057E-4</v>
      </c>
      <c r="V139" s="100">
        <f t="shared" si="46"/>
        <v>0.94865139995848446</v>
      </c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46" t="s">
        <v>274</v>
      </c>
      <c r="C140" s="46" t="s">
        <v>275</v>
      </c>
      <c r="D140" s="47">
        <v>-1.8497486811018407</v>
      </c>
      <c r="E140" s="47">
        <v>-3.1087974195955765</v>
      </c>
      <c r="F140" s="96">
        <v>9.9999999999999995E-7</v>
      </c>
      <c r="G140" s="7"/>
      <c r="H140" s="7"/>
      <c r="I140" s="54">
        <f t="shared" si="63"/>
        <v>-2.2257476801494347E-3</v>
      </c>
      <c r="J140" s="54">
        <f t="shared" si="64"/>
        <v>-5.9764150402354006E-2</v>
      </c>
      <c r="K140" s="55">
        <f t="shared" si="65"/>
        <v>0.99934795098173668</v>
      </c>
      <c r="L140" s="55">
        <f t="shared" si="66"/>
        <v>5.8360205044140953E-4</v>
      </c>
      <c r="M140" s="55">
        <f t="shared" si="67"/>
        <v>0.99941639794955861</v>
      </c>
      <c r="N140" s="55">
        <f t="shared" si="68"/>
        <v>1.5638849297060156E-8</v>
      </c>
      <c r="O140" s="56">
        <f t="shared" si="69"/>
        <v>1.0052212289148365E-6</v>
      </c>
      <c r="P140" s="56">
        <f t="shared" si="70"/>
        <v>8.7598667771255558E-7</v>
      </c>
      <c r="Q140" s="56">
        <f t="shared" si="71"/>
        <v>7.824637598295765E-10</v>
      </c>
      <c r="R140" s="9">
        <f t="shared" si="44"/>
        <v>1.4999999999999999E-4</v>
      </c>
      <c r="S140" s="9">
        <f t="shared" si="45"/>
        <v>8.7540307566211419E-8</v>
      </c>
      <c r="T140" s="9">
        <f t="shared" si="40"/>
        <v>1.4990219264726049E-4</v>
      </c>
      <c r="U140" s="9">
        <f t="shared" si="41"/>
        <v>1.4991245969243379E-4</v>
      </c>
      <c r="V140" s="100">
        <f t="shared" si="46"/>
        <v>0.99993151306306127</v>
      </c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46" t="s">
        <v>276</v>
      </c>
      <c r="C141" s="46" t="s">
        <v>277</v>
      </c>
      <c r="D141" s="47">
        <v>-1.4544244920654867</v>
      </c>
      <c r="E141" s="47">
        <v>-2.5464348408255515</v>
      </c>
      <c r="F141" s="96">
        <v>9.9999999999999995E-7</v>
      </c>
      <c r="G141" s="7"/>
      <c r="H141" s="7"/>
      <c r="I141" s="54">
        <f t="shared" si="63"/>
        <v>-2.1814307177209532E-3</v>
      </c>
      <c r="J141" s="54">
        <f t="shared" si="64"/>
        <v>-5.8688658104306464E-2</v>
      </c>
      <c r="K141" s="55">
        <f t="shared" si="65"/>
        <v>0.99924459286001188</v>
      </c>
      <c r="L141" s="55">
        <f t="shared" si="66"/>
        <v>5.8498857182712704E-4</v>
      </c>
      <c r="M141" s="55">
        <f t="shared" si="67"/>
        <v>0.99941501142817291</v>
      </c>
      <c r="N141" s="55">
        <f t="shared" si="68"/>
        <v>5.7085058954557272E-8</v>
      </c>
      <c r="O141" s="56">
        <f t="shared" si="69"/>
        <v>1.005117263346051E-6</v>
      </c>
      <c r="P141" s="56">
        <f t="shared" si="70"/>
        <v>8.7806784631251772E-7</v>
      </c>
      <c r="Q141" s="56">
        <f t="shared" si="71"/>
        <v>2.8561557830263491E-9</v>
      </c>
      <c r="R141" s="9">
        <f t="shared" si="44"/>
        <v>1.4999999999999999E-4</v>
      </c>
      <c r="S141" s="9">
        <f t="shared" si="45"/>
        <v>8.7748285774069054E-8</v>
      </c>
      <c r="T141" s="9">
        <f t="shared" si="40"/>
        <v>1.4988668892900177E-4</v>
      </c>
      <c r="U141" s="9">
        <f t="shared" si="41"/>
        <v>1.4991225171422592E-4</v>
      </c>
      <c r="V141" s="100">
        <f t="shared" si="46"/>
        <v>0.99982948168057084</v>
      </c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46" t="s">
        <v>278</v>
      </c>
      <c r="C142" s="46" t="s">
        <v>279</v>
      </c>
      <c r="D142" s="47">
        <v>2.3179513188981593</v>
      </c>
      <c r="E142" s="47">
        <v>2.8199025804044244</v>
      </c>
      <c r="F142" s="96">
        <v>9.9999999999999995E-7</v>
      </c>
      <c r="G142" s="7"/>
      <c r="H142" s="7"/>
      <c r="I142" s="54">
        <f t="shared" si="63"/>
        <v>0.35101699191808489</v>
      </c>
      <c r="J142" s="54">
        <f t="shared" si="64"/>
        <v>1.6178491507428934</v>
      </c>
      <c r="K142" s="55">
        <f t="shared" si="65"/>
        <v>0.43793344554399655</v>
      </c>
      <c r="L142" s="55">
        <f t="shared" si="66"/>
        <v>1.2173669246420367E-2</v>
      </c>
      <c r="M142" s="55">
        <f t="shared" si="67"/>
        <v>0.98782633075357962</v>
      </c>
      <c r="N142" s="55">
        <f t="shared" si="68"/>
        <v>5.8156221550273186E-3</v>
      </c>
      <c r="O142" s="56">
        <f t="shared" si="69"/>
        <v>4.4050722861860354E-7</v>
      </c>
      <c r="P142" s="56">
        <f t="shared" si="70"/>
        <v>1.8272677538876966E-5</v>
      </c>
      <c r="Q142" s="56">
        <f t="shared" si="71"/>
        <v>2.9097496182320018E-4</v>
      </c>
      <c r="R142" s="9">
        <f t="shared" si="44"/>
        <v>1.4999999999999999E-4</v>
      </c>
      <c r="S142" s="9">
        <f t="shared" si="45"/>
        <v>1.8260503869630549E-6</v>
      </c>
      <c r="T142" s="9">
        <f t="shared" si="40"/>
        <v>6.5690016831599472E-5</v>
      </c>
      <c r="U142" s="9">
        <f t="shared" si="41"/>
        <v>1.4817394961303692E-4</v>
      </c>
      <c r="V142" s="100">
        <f t="shared" si="46"/>
        <v>0.44333040323992151</v>
      </c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46" t="s">
        <v>97</v>
      </c>
      <c r="C143" s="46" t="s">
        <v>280</v>
      </c>
      <c r="D143" s="47">
        <v>3.46</v>
      </c>
      <c r="E143" s="47">
        <v>2.6247999825375303</v>
      </c>
      <c r="F143" s="96">
        <v>9.9999999999999995E-7</v>
      </c>
      <c r="G143" s="7"/>
      <c r="H143" s="7"/>
      <c r="I143" s="54">
        <f t="shared" si="63"/>
        <v>1.1760432553236648</v>
      </c>
      <c r="J143" s="54">
        <f t="shared" si="64"/>
        <v>2.4798893228116805</v>
      </c>
      <c r="K143" s="55">
        <f t="shared" si="65"/>
        <v>6.5450316528537167E-2</v>
      </c>
      <c r="L143" s="55">
        <f t="shared" si="66"/>
        <v>1.3242357467746874E-2</v>
      </c>
      <c r="M143" s="55">
        <f t="shared" si="67"/>
        <v>0.98675764253225318</v>
      </c>
      <c r="N143" s="55">
        <f t="shared" si="68"/>
        <v>5.5462216476357903E-4</v>
      </c>
      <c r="O143" s="56">
        <f t="shared" si="69"/>
        <v>6.5834975244656833E-8</v>
      </c>
      <c r="P143" s="56">
        <f t="shared" si="70"/>
        <v>1.987677855908806E-5</v>
      </c>
      <c r="Q143" s="56">
        <f t="shared" si="71"/>
        <v>2.7749595643671073E-5</v>
      </c>
      <c r="R143" s="9">
        <f t="shared" si="44"/>
        <v>1.4999999999999999E-4</v>
      </c>
      <c r="S143" s="9">
        <f t="shared" si="45"/>
        <v>1.9863536201620311E-6</v>
      </c>
      <c r="T143" s="9">
        <f t="shared" si="40"/>
        <v>9.817547479280575E-6</v>
      </c>
      <c r="U143" s="9">
        <f t="shared" si="41"/>
        <v>1.4801364637983795E-4</v>
      </c>
      <c r="V143" s="100">
        <f t="shared" si="46"/>
        <v>6.6328664413053032E-2</v>
      </c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48"/>
      <c r="C144" s="48"/>
      <c r="D144" s="48"/>
      <c r="E144" s="48"/>
      <c r="F144" s="48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48"/>
      <c r="C145" s="48"/>
      <c r="D145" s="48"/>
      <c r="E145" s="48"/>
      <c r="F145" s="48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48"/>
      <c r="C146" s="48"/>
      <c r="D146" s="48"/>
      <c r="E146" s="48"/>
      <c r="F146" s="48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48"/>
      <c r="C147" s="48"/>
      <c r="D147" s="48"/>
      <c r="E147" s="48"/>
      <c r="F147" s="48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48"/>
      <c r="C148" s="48"/>
      <c r="D148" s="48"/>
      <c r="E148" s="48"/>
      <c r="F148" s="48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48"/>
      <c r="C149" s="48"/>
      <c r="D149" s="48"/>
      <c r="E149" s="48"/>
      <c r="F149" s="48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48"/>
      <c r="C150" s="48"/>
      <c r="D150" s="48"/>
      <c r="E150" s="48"/>
      <c r="F150" s="48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48"/>
      <c r="C151" s="48"/>
      <c r="D151" s="48"/>
      <c r="E151" s="48"/>
      <c r="F151" s="48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48"/>
      <c r="C152" s="48"/>
      <c r="D152" s="48"/>
      <c r="E152" s="48"/>
      <c r="F152" s="48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48"/>
      <c r="C153" s="48"/>
      <c r="D153" s="48"/>
      <c r="E153" s="48"/>
      <c r="F153" s="48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48"/>
      <c r="C154" s="48"/>
      <c r="D154" s="48"/>
      <c r="E154" s="48"/>
      <c r="F154" s="48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48"/>
      <c r="C155" s="48"/>
      <c r="D155" s="48"/>
      <c r="E155" s="48"/>
      <c r="F155" s="48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48"/>
      <c r="C156" s="48"/>
      <c r="D156" s="48"/>
      <c r="E156" s="48"/>
      <c r="F156" s="48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48"/>
      <c r="C157" s="48"/>
      <c r="D157" s="48"/>
      <c r="E157" s="48"/>
      <c r="F157" s="48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48"/>
      <c r="C158" s="48"/>
      <c r="D158" s="48"/>
      <c r="E158" s="48"/>
      <c r="F158" s="48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48"/>
      <c r="C159" s="48"/>
      <c r="D159" s="48"/>
      <c r="E159" s="48"/>
      <c r="F159" s="48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48"/>
      <c r="C160" s="48"/>
      <c r="D160" s="48"/>
      <c r="E160" s="48"/>
      <c r="F160" s="48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48"/>
      <c r="C161" s="48"/>
      <c r="D161" s="48"/>
      <c r="E161" s="48"/>
      <c r="F161" s="48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48"/>
      <c r="C162" s="48"/>
      <c r="D162" s="48"/>
      <c r="E162" s="48"/>
      <c r="F162" s="48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48"/>
      <c r="C163" s="48"/>
      <c r="D163" s="48"/>
      <c r="E163" s="48"/>
      <c r="F163" s="48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48"/>
      <c r="C164" s="48"/>
      <c r="D164" s="48"/>
      <c r="E164" s="48"/>
      <c r="F164" s="48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48"/>
      <c r="C165" s="48"/>
      <c r="D165" s="48"/>
      <c r="E165" s="48"/>
      <c r="F165" s="48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48"/>
      <c r="C166" s="48"/>
      <c r="D166" s="48"/>
      <c r="E166" s="48"/>
      <c r="F166" s="48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48"/>
      <c r="C167" s="48"/>
      <c r="D167" s="48"/>
      <c r="E167" s="48"/>
      <c r="F167" s="48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48"/>
      <c r="C168" s="48"/>
      <c r="D168" s="48"/>
      <c r="E168" s="48"/>
      <c r="F168" s="48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48"/>
      <c r="C169" s="48"/>
      <c r="D169" s="48"/>
      <c r="E169" s="48"/>
      <c r="F169" s="48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48"/>
      <c r="C170" s="48"/>
      <c r="D170" s="48"/>
      <c r="E170" s="48"/>
      <c r="F170" s="48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48"/>
      <c r="C171" s="48"/>
      <c r="D171" s="48"/>
      <c r="E171" s="48"/>
      <c r="F171" s="48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48"/>
      <c r="C172" s="48"/>
      <c r="D172" s="48"/>
      <c r="E172" s="48"/>
      <c r="F172" s="48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48"/>
      <c r="C173" s="48"/>
      <c r="D173" s="48"/>
      <c r="E173" s="48"/>
      <c r="F173" s="48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48"/>
      <c r="C174" s="48"/>
      <c r="D174" s="48"/>
      <c r="E174" s="48"/>
      <c r="F174" s="48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48"/>
      <c r="C175" s="48"/>
      <c r="D175" s="48"/>
      <c r="E175" s="48"/>
      <c r="F175" s="48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48"/>
      <c r="C176" s="48"/>
      <c r="D176" s="48"/>
      <c r="E176" s="48"/>
      <c r="F176" s="48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48"/>
      <c r="C177" s="48"/>
      <c r="D177" s="48"/>
      <c r="E177" s="48"/>
      <c r="F177" s="48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48"/>
      <c r="C178" s="48"/>
      <c r="D178" s="48"/>
      <c r="E178" s="48"/>
      <c r="F178" s="48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48"/>
      <c r="C179" s="48"/>
      <c r="D179" s="48"/>
      <c r="E179" s="48"/>
      <c r="F179" s="48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48"/>
      <c r="C180" s="48"/>
      <c r="D180" s="48"/>
      <c r="E180" s="48"/>
      <c r="F180" s="48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48"/>
      <c r="C181" s="48"/>
      <c r="D181" s="48"/>
      <c r="E181" s="48"/>
      <c r="F181" s="48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48"/>
      <c r="C182" s="48"/>
      <c r="D182" s="48"/>
      <c r="E182" s="48"/>
      <c r="F182" s="48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48"/>
      <c r="C183" s="48"/>
      <c r="D183" s="48"/>
      <c r="E183" s="48"/>
      <c r="F183" s="48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48"/>
      <c r="C184" s="48"/>
      <c r="D184" s="48"/>
      <c r="E184" s="48"/>
      <c r="F184" s="48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48"/>
      <c r="C185" s="48"/>
      <c r="D185" s="48"/>
      <c r="E185" s="48"/>
      <c r="F185" s="48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48"/>
      <c r="C186" s="48"/>
      <c r="D186" s="48"/>
      <c r="E186" s="48"/>
      <c r="F186" s="48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48"/>
      <c r="C187" s="48"/>
      <c r="D187" s="48"/>
      <c r="E187" s="48"/>
      <c r="F187" s="48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48"/>
      <c r="C188" s="48"/>
      <c r="D188" s="48"/>
      <c r="E188" s="48"/>
      <c r="F188" s="48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48"/>
      <c r="C189" s="48"/>
      <c r="D189" s="48"/>
      <c r="E189" s="48"/>
      <c r="F189" s="48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48"/>
      <c r="C190" s="48"/>
      <c r="D190" s="48"/>
      <c r="E190" s="48"/>
      <c r="F190" s="48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48"/>
      <c r="C191" s="48"/>
      <c r="D191" s="48"/>
      <c r="E191" s="48"/>
      <c r="F191" s="48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48"/>
      <c r="C192" s="48"/>
      <c r="D192" s="48"/>
      <c r="E192" s="48"/>
      <c r="F192" s="48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48"/>
      <c r="C193" s="48"/>
      <c r="D193" s="48"/>
      <c r="E193" s="48"/>
      <c r="F193" s="48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48"/>
      <c r="C194" s="48"/>
      <c r="D194" s="48"/>
      <c r="E194" s="48"/>
      <c r="F194" s="48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48"/>
      <c r="C195" s="48"/>
      <c r="D195" s="48"/>
      <c r="E195" s="48"/>
      <c r="F195" s="48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48"/>
      <c r="C196" s="48"/>
      <c r="D196" s="48"/>
      <c r="E196" s="48"/>
      <c r="F196" s="48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48"/>
      <c r="C197" s="48"/>
      <c r="D197" s="48"/>
      <c r="E197" s="48"/>
      <c r="F197" s="48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48"/>
      <c r="C198" s="48"/>
      <c r="D198" s="48"/>
      <c r="E198" s="48"/>
      <c r="F198" s="48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48"/>
      <c r="C199" s="48"/>
      <c r="D199" s="48"/>
      <c r="E199" s="48"/>
      <c r="F199" s="48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48"/>
      <c r="C200" s="48"/>
      <c r="D200" s="48"/>
      <c r="E200" s="48"/>
      <c r="F200" s="48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48"/>
      <c r="C201" s="48"/>
      <c r="D201" s="48"/>
      <c r="E201" s="48"/>
      <c r="F201" s="48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48"/>
      <c r="C202" s="48"/>
      <c r="D202" s="48"/>
      <c r="E202" s="48"/>
      <c r="F202" s="48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48"/>
      <c r="C203" s="48"/>
      <c r="D203" s="48"/>
      <c r="E203" s="48"/>
      <c r="F203" s="48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48"/>
      <c r="C204" s="48"/>
      <c r="D204" s="48"/>
      <c r="E204" s="48"/>
      <c r="F204" s="48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48"/>
      <c r="C205" s="48"/>
      <c r="D205" s="48"/>
      <c r="E205" s="48"/>
      <c r="F205" s="48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48"/>
      <c r="C206" s="48"/>
      <c r="D206" s="48"/>
      <c r="E206" s="48"/>
      <c r="F206" s="48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48"/>
      <c r="C207" s="48"/>
      <c r="D207" s="48"/>
      <c r="E207" s="48"/>
      <c r="F207" s="48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48"/>
      <c r="C208" s="48"/>
      <c r="D208" s="48"/>
      <c r="E208" s="48"/>
      <c r="F208" s="48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48"/>
      <c r="C209" s="48"/>
      <c r="D209" s="48"/>
      <c r="E209" s="48"/>
      <c r="F209" s="48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48"/>
      <c r="C210" s="48"/>
      <c r="D210" s="48"/>
      <c r="E210" s="48"/>
      <c r="F210" s="48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48"/>
      <c r="C211" s="48"/>
      <c r="D211" s="48"/>
      <c r="E211" s="48"/>
      <c r="F211" s="48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48"/>
      <c r="C212" s="48"/>
      <c r="D212" s="48"/>
      <c r="E212" s="48"/>
      <c r="F212" s="48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48"/>
      <c r="C213" s="48"/>
      <c r="D213" s="48"/>
      <c r="E213" s="48"/>
      <c r="F213" s="48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48"/>
      <c r="C214" s="48"/>
      <c r="D214" s="48"/>
      <c r="E214" s="48"/>
      <c r="F214" s="48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48"/>
      <c r="C215" s="48"/>
      <c r="D215" s="48"/>
      <c r="E215" s="48"/>
      <c r="F215" s="48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48"/>
      <c r="C216" s="48"/>
      <c r="D216" s="48"/>
      <c r="E216" s="48"/>
      <c r="F216" s="48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48"/>
      <c r="C217" s="48"/>
      <c r="D217" s="48"/>
      <c r="E217" s="48"/>
      <c r="F217" s="48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48"/>
      <c r="C218" s="48"/>
      <c r="D218" s="48"/>
      <c r="E218" s="48"/>
      <c r="F218" s="48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48"/>
      <c r="C219" s="48"/>
      <c r="D219" s="48"/>
      <c r="E219" s="48"/>
      <c r="F219" s="48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48"/>
      <c r="C220" s="48"/>
      <c r="D220" s="48"/>
      <c r="E220" s="48"/>
      <c r="F220" s="48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48"/>
      <c r="C221" s="48"/>
      <c r="D221" s="48"/>
      <c r="E221" s="48"/>
      <c r="F221" s="48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48"/>
      <c r="C222" s="48"/>
      <c r="D222" s="48"/>
      <c r="E222" s="48"/>
      <c r="F222" s="48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48"/>
      <c r="C223" s="48"/>
      <c r="D223" s="48"/>
      <c r="E223" s="48"/>
      <c r="F223" s="48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48"/>
      <c r="C224" s="48"/>
      <c r="D224" s="48"/>
      <c r="E224" s="48"/>
      <c r="F224" s="48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48"/>
      <c r="C225" s="48"/>
      <c r="D225" s="48"/>
      <c r="E225" s="48"/>
      <c r="F225" s="48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48"/>
      <c r="C226" s="48"/>
      <c r="D226" s="48"/>
      <c r="E226" s="48"/>
      <c r="F226" s="48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48"/>
      <c r="C227" s="48"/>
      <c r="D227" s="48"/>
      <c r="E227" s="48"/>
      <c r="F227" s="48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48"/>
      <c r="C228" s="48"/>
      <c r="D228" s="48"/>
      <c r="E228" s="48"/>
      <c r="F228" s="48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48"/>
      <c r="C229" s="48"/>
      <c r="D229" s="48"/>
      <c r="E229" s="48"/>
      <c r="F229" s="48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</sheetData>
  <mergeCells count="52">
    <mergeCell ref="L8:Q8"/>
    <mergeCell ref="L9:Q9"/>
    <mergeCell ref="P26:P27"/>
    <mergeCell ref="I24:Q25"/>
    <mergeCell ref="I23:Q23"/>
    <mergeCell ref="Q26:Q27"/>
    <mergeCell ref="I26:I27"/>
    <mergeCell ref="J26:J27"/>
    <mergeCell ref="O26:O27"/>
    <mergeCell ref="K26:K27"/>
    <mergeCell ref="L10:Q10"/>
    <mergeCell ref="I11:Q11"/>
    <mergeCell ref="L12:Q12"/>
    <mergeCell ref="L13:Q13"/>
    <mergeCell ref="M26:M27"/>
    <mergeCell ref="B20:C20"/>
    <mergeCell ref="L14:Q14"/>
    <mergeCell ref="L15:Q15"/>
    <mergeCell ref="L16:Q16"/>
    <mergeCell ref="L18:Q18"/>
    <mergeCell ref="G1:H77"/>
    <mergeCell ref="L22:Q22"/>
    <mergeCell ref="L26:L27"/>
    <mergeCell ref="N26:N27"/>
    <mergeCell ref="C26:C27"/>
    <mergeCell ref="L6:Q6"/>
    <mergeCell ref="L7:Q7"/>
    <mergeCell ref="B24:F25"/>
    <mergeCell ref="I17:Q17"/>
    <mergeCell ref="B26:B27"/>
    <mergeCell ref="D26:D27"/>
    <mergeCell ref="E26:E27"/>
    <mergeCell ref="F26:F27"/>
    <mergeCell ref="L19:Q19"/>
    <mergeCell ref="L20:Q20"/>
    <mergeCell ref="L21:Q21"/>
    <mergeCell ref="I2:Q4"/>
    <mergeCell ref="I5:Q5"/>
    <mergeCell ref="B23:F23"/>
    <mergeCell ref="D13:F13"/>
    <mergeCell ref="D14:F14"/>
    <mergeCell ref="D15:F15"/>
    <mergeCell ref="D16:F16"/>
    <mergeCell ref="D17:F17"/>
    <mergeCell ref="D18:F18"/>
    <mergeCell ref="B19:F19"/>
    <mergeCell ref="D20:F20"/>
    <mergeCell ref="D21:F21"/>
    <mergeCell ref="D22:F22"/>
    <mergeCell ref="B13:C13"/>
    <mergeCell ref="B8:F10"/>
    <mergeCell ref="B11:F12"/>
  </mergeCells>
  <phoneticPr fontId="17" type="noConversion"/>
  <pageMargins left="0.7" right="0.7" top="0.78740157499999996" bottom="0.78740157499999996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Model structure</vt:lpstr>
      <vt:lpstr>User input and model output</vt:lpstr>
    </vt:vector>
  </TitlesOfParts>
  <Company>UFZ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Fischer</dc:creator>
  <cp:lastModifiedBy>Hsing-Chieh Lin</cp:lastModifiedBy>
  <dcterms:created xsi:type="dcterms:W3CDTF">2016-11-02T11:21:18Z</dcterms:created>
  <dcterms:modified xsi:type="dcterms:W3CDTF">2025-02-02T14:49:31Z</dcterms:modified>
</cp:coreProperties>
</file>