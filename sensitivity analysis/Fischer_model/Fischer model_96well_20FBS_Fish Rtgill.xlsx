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3CC93717-1ED1-4D37-8A0D-2E21938C8C18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R143" i="4"/>
  <c r="R142" i="4"/>
  <c r="R141" i="4"/>
  <c r="R140" i="4"/>
  <c r="V139" i="4"/>
  <c r="R139" i="4"/>
  <c r="U139" i="4" s="1"/>
  <c r="R138" i="4"/>
  <c r="R137" i="4"/>
  <c r="R136" i="4"/>
  <c r="T136" i="4" s="1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 s="1"/>
  <c r="I136" i="4"/>
  <c r="J136" i="4"/>
  <c r="K136" i="4"/>
  <c r="O136" i="4" s="1"/>
  <c r="P136" i="4" s="1"/>
  <c r="I137" i="4"/>
  <c r="J137" i="4"/>
  <c r="K137" i="4"/>
  <c r="O137" i="4" s="1"/>
  <c r="P137" i="4" s="1"/>
  <c r="L137" i="4"/>
  <c r="S137" i="4" s="1"/>
  <c r="M137" i="4"/>
  <c r="N137" i="4"/>
  <c r="Q137" i="4" s="1"/>
  <c r="I138" i="4"/>
  <c r="J138" i="4"/>
  <c r="K138" i="4" s="1"/>
  <c r="I139" i="4"/>
  <c r="N139" i="4" s="1"/>
  <c r="Q139" i="4" s="1"/>
  <c r="J139" i="4"/>
  <c r="K139" i="4"/>
  <c r="O139" i="4" s="1"/>
  <c r="P139" i="4" s="1"/>
  <c r="L139" i="4"/>
  <c r="M139" i="4" s="1"/>
  <c r="I140" i="4"/>
  <c r="J140" i="4"/>
  <c r="K140" i="4"/>
  <c r="O140" i="4" s="1"/>
  <c r="P140" i="4" s="1"/>
  <c r="I141" i="4"/>
  <c r="N141" i="4" s="1"/>
  <c r="Q141" i="4" s="1"/>
  <c r="J141" i="4"/>
  <c r="K141" i="4"/>
  <c r="I142" i="4"/>
  <c r="J142" i="4"/>
  <c r="K142" i="4" s="1"/>
  <c r="O142" i="4" s="1"/>
  <c r="P142" i="4" s="1"/>
  <c r="I143" i="4"/>
  <c r="N143" i="4" s="1"/>
  <c r="Q143" i="4" s="1"/>
  <c r="J143" i="4"/>
  <c r="K143" i="4"/>
  <c r="O143" i="4" s="1"/>
  <c r="P143" i="4" s="1"/>
  <c r="L143" i="4"/>
  <c r="M143" i="4" s="1"/>
  <c r="O135" i="4" l="1"/>
  <c r="P135" i="4" s="1"/>
  <c r="V135" i="4"/>
  <c r="U140" i="4"/>
  <c r="O141" i="4"/>
  <c r="P141" i="4" s="1"/>
  <c r="T141" i="4"/>
  <c r="O138" i="4"/>
  <c r="P138" i="4" s="1"/>
  <c r="T138" i="4"/>
  <c r="L141" i="4"/>
  <c r="M141" i="4" s="1"/>
  <c r="U141" i="4" s="1"/>
  <c r="L138" i="4"/>
  <c r="N135" i="4"/>
  <c r="Q135" i="4" s="1"/>
  <c r="L135" i="4"/>
  <c r="M135" i="4" s="1"/>
  <c r="S141" i="4"/>
  <c r="V137" i="4"/>
  <c r="V142" i="4"/>
  <c r="L140" i="4"/>
  <c r="M140" i="4" s="1"/>
  <c r="V140" i="4" s="1"/>
  <c r="L142" i="4"/>
  <c r="M142" i="4" s="1"/>
  <c r="L136" i="4"/>
  <c r="M136" i="4" s="1"/>
  <c r="V136" i="4" s="1"/>
  <c r="S143" i="4"/>
  <c r="T143" i="4"/>
  <c r="S139" i="4"/>
  <c r="T139" i="4"/>
  <c r="U135" i="4"/>
  <c r="T135" i="4"/>
  <c r="S135" i="4"/>
  <c r="T142" i="4"/>
  <c r="S142" i="4"/>
  <c r="U142" i="4"/>
  <c r="T137" i="4"/>
  <c r="U137" i="4"/>
  <c r="S140" i="4"/>
  <c r="T140" i="4"/>
  <c r="N142" i="4"/>
  <c r="Q142" i="4" s="1"/>
  <c r="N138" i="4"/>
  <c r="Q138" i="4" s="1"/>
  <c r="N140" i="4"/>
  <c r="Q140" i="4" s="1"/>
  <c r="N136" i="4"/>
  <c r="Q136" i="4" s="1"/>
  <c r="U136" i="4" l="1"/>
  <c r="V141" i="4"/>
  <c r="M138" i="4"/>
  <c r="S138" i="4"/>
  <c r="S136" i="4"/>
  <c r="U138" i="4" l="1"/>
  <c r="V138" i="4"/>
  <c r="I128" i="4" l="1"/>
  <c r="J128" i="4"/>
  <c r="K128" i="4"/>
  <c r="I129" i="4"/>
  <c r="J129" i="4"/>
  <c r="K129" i="4"/>
  <c r="L129" i="4"/>
  <c r="S129" i="4" s="1"/>
  <c r="N129" i="4"/>
  <c r="Q129" i="4" s="1"/>
  <c r="I130" i="4"/>
  <c r="L130" i="4" s="1"/>
  <c r="J130" i="4"/>
  <c r="K130" i="4" s="1"/>
  <c r="N130" i="4"/>
  <c r="Q130" i="4" s="1"/>
  <c r="I131" i="4"/>
  <c r="J131" i="4"/>
  <c r="K131" i="4"/>
  <c r="I132" i="4"/>
  <c r="N132" i="4" s="1"/>
  <c r="Q132" i="4" s="1"/>
  <c r="J132" i="4"/>
  <c r="K132" i="4"/>
  <c r="L132" i="4"/>
  <c r="S132" i="4" s="1"/>
  <c r="M132" i="4"/>
  <c r="U132" i="4" s="1"/>
  <c r="I133" i="4"/>
  <c r="J133" i="4"/>
  <c r="K133" i="4"/>
  <c r="L133" i="4"/>
  <c r="S133" i="4" s="1"/>
  <c r="M133" i="4"/>
  <c r="U133" i="4" s="1"/>
  <c r="N133" i="4"/>
  <c r="O133" i="4"/>
  <c r="P133" i="4"/>
  <c r="Q133" i="4"/>
  <c r="I134" i="4"/>
  <c r="L134" i="4" s="1"/>
  <c r="J134" i="4"/>
  <c r="K134" i="4" s="1"/>
  <c r="M134" i="4" l="1"/>
  <c r="U134" i="4" s="1"/>
  <c r="S134" i="4"/>
  <c r="O130" i="4"/>
  <c r="P130" i="4" s="1"/>
  <c r="V130" i="4"/>
  <c r="T130" i="4"/>
  <c r="M129" i="4"/>
  <c r="U129" i="4" s="1"/>
  <c r="O129" i="4"/>
  <c r="P129" i="4" s="1"/>
  <c r="V129" i="4"/>
  <c r="T129" i="4"/>
  <c r="L131" i="4"/>
  <c r="L128" i="4"/>
  <c r="O134" i="4"/>
  <c r="P134" i="4" s="1"/>
  <c r="V134" i="4"/>
  <c r="T134" i="4"/>
  <c r="O128" i="4"/>
  <c r="P128" i="4" s="1"/>
  <c r="T128" i="4"/>
  <c r="V133" i="4"/>
  <c r="T133" i="4"/>
  <c r="O131" i="4"/>
  <c r="P131" i="4" s="1"/>
  <c r="T131" i="4"/>
  <c r="N134" i="4"/>
  <c r="Q134" i="4" s="1"/>
  <c r="O132" i="4"/>
  <c r="P132" i="4" s="1"/>
  <c r="V132" i="4"/>
  <c r="T132" i="4"/>
  <c r="M130" i="4"/>
  <c r="U130" i="4" s="1"/>
  <c r="S130" i="4"/>
  <c r="N131" i="4"/>
  <c r="Q131" i="4" s="1"/>
  <c r="N128" i="4"/>
  <c r="Q128" i="4" s="1"/>
  <c r="M131" i="4" l="1"/>
  <c r="S131" i="4"/>
  <c r="M128" i="4"/>
  <c r="S128" i="4"/>
  <c r="O15" i="1"/>
  <c r="L15" i="1"/>
  <c r="N15" i="1"/>
  <c r="J16" i="4"/>
  <c r="J15" i="4"/>
  <c r="J87" i="4"/>
  <c r="K87" i="4" s="1"/>
  <c r="J122" i="4"/>
  <c r="K122" i="4" s="1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J118" i="4"/>
  <c r="K118" i="4"/>
  <c r="J104" i="4"/>
  <c r="L104" i="4" s="1"/>
  <c r="K104" i="4"/>
  <c r="J90" i="4"/>
  <c r="K90" i="4" s="1"/>
  <c r="J71" i="4"/>
  <c r="K71" i="4" s="1"/>
  <c r="J110" i="4"/>
  <c r="K110" i="4" s="1"/>
  <c r="J82" i="4"/>
  <c r="K82" i="4"/>
  <c r="J113" i="4"/>
  <c r="K113" i="4"/>
  <c r="J97" i="4"/>
  <c r="K97" i="4"/>
  <c r="O97" i="4" s="1"/>
  <c r="P97" i="4" s="1"/>
  <c r="J81" i="4"/>
  <c r="K81" i="4" s="1"/>
  <c r="J116" i="4"/>
  <c r="L116" i="4" s="1"/>
  <c r="S116" i="4" s="1"/>
  <c r="K116" i="4"/>
  <c r="J100" i="4"/>
  <c r="K100" i="4"/>
  <c r="O100" i="4" s="1"/>
  <c r="P100" i="4" s="1"/>
  <c r="J84" i="4"/>
  <c r="K84" i="4" s="1"/>
  <c r="J114" i="4"/>
  <c r="K114" i="4"/>
  <c r="J78" i="4"/>
  <c r="K78" i="4"/>
  <c r="J115" i="4"/>
  <c r="K115" i="4" s="1"/>
  <c r="J99" i="4"/>
  <c r="K99" i="4"/>
  <c r="J83" i="4"/>
  <c r="K83" i="4" s="1"/>
  <c r="J102" i="4"/>
  <c r="K102" i="4" s="1"/>
  <c r="J74" i="4"/>
  <c r="K74" i="4" s="1"/>
  <c r="J125" i="4"/>
  <c r="K125" i="4" s="1"/>
  <c r="J109" i="4"/>
  <c r="K109" i="4"/>
  <c r="J93" i="4"/>
  <c r="K93" i="4" s="1"/>
  <c r="J77" i="4"/>
  <c r="K77" i="4" s="1"/>
  <c r="J112" i="4"/>
  <c r="K112" i="4"/>
  <c r="J96" i="4"/>
  <c r="K96" i="4" s="1"/>
  <c r="J80" i="4"/>
  <c r="K80" i="4" s="1"/>
  <c r="J106" i="4"/>
  <c r="K106" i="4"/>
  <c r="J127" i="4"/>
  <c r="K127" i="4" s="1"/>
  <c r="J111" i="4"/>
  <c r="K111" i="4"/>
  <c r="J95" i="4"/>
  <c r="K95" i="4" s="1"/>
  <c r="J79" i="4"/>
  <c r="K79" i="4" s="1"/>
  <c r="J126" i="4"/>
  <c r="L126" i="4" s="1"/>
  <c r="S126" i="4" s="1"/>
  <c r="K126" i="4"/>
  <c r="J94" i="4"/>
  <c r="K94" i="4" s="1"/>
  <c r="J121" i="4"/>
  <c r="K121" i="4" s="1"/>
  <c r="J105" i="4"/>
  <c r="K105" i="4"/>
  <c r="J89" i="4"/>
  <c r="K89" i="4" s="1"/>
  <c r="J73" i="4"/>
  <c r="K73" i="4" s="1"/>
  <c r="J124" i="4"/>
  <c r="K124" i="4"/>
  <c r="J108" i="4"/>
  <c r="K108" i="4" s="1"/>
  <c r="J92" i="4"/>
  <c r="K92" i="4" s="1"/>
  <c r="J76" i="4"/>
  <c r="K76" i="4" s="1"/>
  <c r="J98" i="4"/>
  <c r="K98" i="4" s="1"/>
  <c r="J123" i="4"/>
  <c r="K123" i="4"/>
  <c r="J107" i="4"/>
  <c r="K107" i="4"/>
  <c r="O107" i="4" s="1"/>
  <c r="P107" i="4" s="1"/>
  <c r="J91" i="4"/>
  <c r="K91" i="4" s="1"/>
  <c r="J75" i="4"/>
  <c r="K75" i="4" s="1"/>
  <c r="O117" i="4"/>
  <c r="P117" i="4"/>
  <c r="O106" i="4"/>
  <c r="P106" i="4" s="1"/>
  <c r="O103" i="4"/>
  <c r="P103" i="4"/>
  <c r="O119" i="4"/>
  <c r="P119" i="4" s="1"/>
  <c r="I76" i="4"/>
  <c r="N76" i="4" s="1"/>
  <c r="Q76" i="4" s="1"/>
  <c r="I77" i="4"/>
  <c r="N77" i="4" s="1"/>
  <c r="Q77" i="4" s="1"/>
  <c r="I81" i="4"/>
  <c r="L81" i="4" s="1"/>
  <c r="S81" i="4" s="1"/>
  <c r="I89" i="4"/>
  <c r="N89" i="4" s="1"/>
  <c r="Q89" i="4" s="1"/>
  <c r="I90" i="4"/>
  <c r="I96" i="4"/>
  <c r="L96" i="4" s="1"/>
  <c r="S96" i="4" s="1"/>
  <c r="I99" i="4"/>
  <c r="N99" i="4" s="1"/>
  <c r="Q99" i="4" s="1"/>
  <c r="I102" i="4"/>
  <c r="I104" i="4"/>
  <c r="I108" i="4"/>
  <c r="N108" i="4" s="1"/>
  <c r="Q108" i="4" s="1"/>
  <c r="I111" i="4"/>
  <c r="N111" i="4" s="1"/>
  <c r="Q111" i="4" s="1"/>
  <c r="I113" i="4"/>
  <c r="L113" i="4" s="1"/>
  <c r="I115" i="4"/>
  <c r="N115" i="4" s="1"/>
  <c r="Q115" i="4" s="1"/>
  <c r="I119" i="4"/>
  <c r="N119" i="4" s="1"/>
  <c r="Q119" i="4" s="1"/>
  <c r="I120" i="4"/>
  <c r="L120" i="4" s="1"/>
  <c r="S120" i="4" s="1"/>
  <c r="I123" i="4"/>
  <c r="L123" i="4" s="1"/>
  <c r="I125" i="4"/>
  <c r="I79" i="4"/>
  <c r="N79" i="4" s="1"/>
  <c r="Q79" i="4" s="1"/>
  <c r="I92" i="4"/>
  <c r="N92" i="4" s="1"/>
  <c r="Q92" i="4" s="1"/>
  <c r="I100" i="4"/>
  <c r="I103" i="4"/>
  <c r="I107" i="4"/>
  <c r="N107" i="4" s="1"/>
  <c r="Q107" i="4" s="1"/>
  <c r="I109" i="4"/>
  <c r="L109" i="4" s="1"/>
  <c r="I110" i="4"/>
  <c r="L110" i="4" s="1"/>
  <c r="I117" i="4"/>
  <c r="N117" i="4" s="1"/>
  <c r="Q117" i="4" s="1"/>
  <c r="I124" i="4"/>
  <c r="L124" i="4" s="1"/>
  <c r="S124" i="4" s="1"/>
  <c r="I72" i="4"/>
  <c r="N72" i="4" s="1"/>
  <c r="Q72" i="4" s="1"/>
  <c r="I106" i="4"/>
  <c r="L106" i="4" s="1"/>
  <c r="I71" i="4"/>
  <c r="I75" i="4"/>
  <c r="N75" i="4" s="1"/>
  <c r="Q75" i="4" s="1"/>
  <c r="I80" i="4"/>
  <c r="N80" i="4" s="1"/>
  <c r="Q80" i="4" s="1"/>
  <c r="I83" i="4"/>
  <c r="I86" i="4"/>
  <c r="I88" i="4"/>
  <c r="N88" i="4" s="1"/>
  <c r="Q88" i="4" s="1"/>
  <c r="I94" i="4"/>
  <c r="I95" i="4"/>
  <c r="I98" i="4"/>
  <c r="N98" i="4" s="1"/>
  <c r="Q98" i="4" s="1"/>
  <c r="I101" i="4"/>
  <c r="L101" i="4" s="1"/>
  <c r="I118" i="4"/>
  <c r="N118" i="4" s="1"/>
  <c r="Q118" i="4" s="1"/>
  <c r="I127" i="4"/>
  <c r="N127" i="4" s="1"/>
  <c r="Q127" i="4" s="1"/>
  <c r="I73" i="4"/>
  <c r="N73" i="4" s="1"/>
  <c r="Q73" i="4" s="1"/>
  <c r="I74" i="4"/>
  <c r="I78" i="4"/>
  <c r="N78" i="4" s="1"/>
  <c r="Q78" i="4" s="1"/>
  <c r="I82" i="4"/>
  <c r="N82" i="4" s="1"/>
  <c r="Q82" i="4" s="1"/>
  <c r="I85" i="4"/>
  <c r="N85" i="4" s="1"/>
  <c r="Q85" i="4" s="1"/>
  <c r="I93" i="4"/>
  <c r="N93" i="4" s="1"/>
  <c r="Q93" i="4" s="1"/>
  <c r="I112" i="4"/>
  <c r="L112" i="4" s="1"/>
  <c r="I114" i="4"/>
  <c r="N114" i="4" s="1"/>
  <c r="Q114" i="4" s="1"/>
  <c r="I121" i="4"/>
  <c r="I122" i="4"/>
  <c r="L122" i="4" s="1"/>
  <c r="I84" i="4"/>
  <c r="L84" i="4" s="1"/>
  <c r="S84" i="4" s="1"/>
  <c r="I87" i="4"/>
  <c r="N87" i="4" s="1"/>
  <c r="Q87" i="4" s="1"/>
  <c r="I91" i="4"/>
  <c r="N91" i="4" s="1"/>
  <c r="Q91" i="4" s="1"/>
  <c r="I97" i="4"/>
  <c r="N97" i="4" s="1"/>
  <c r="Q97" i="4" s="1"/>
  <c r="I105" i="4"/>
  <c r="L105" i="4" s="1"/>
  <c r="I116" i="4"/>
  <c r="I126" i="4"/>
  <c r="N126" i="4" s="1"/>
  <c r="Q126" i="4" s="1"/>
  <c r="N121" i="4"/>
  <c r="Q121" i="4"/>
  <c r="L121" i="4"/>
  <c r="S121" i="4" s="1"/>
  <c r="N101" i="4"/>
  <c r="Q101" i="4" s="1"/>
  <c r="L108" i="4"/>
  <c r="S108" i="4" s="1"/>
  <c r="N71" i="4"/>
  <c r="Q71" i="4"/>
  <c r="L117" i="4"/>
  <c r="N103" i="4"/>
  <c r="Q103" i="4" s="1"/>
  <c r="L103" i="4"/>
  <c r="S103" i="4" s="1"/>
  <c r="N104" i="4"/>
  <c r="Q104" i="4"/>
  <c r="N90" i="4"/>
  <c r="Q90" i="4" s="1"/>
  <c r="N95" i="4"/>
  <c r="Q95" i="4" s="1"/>
  <c r="L95" i="4"/>
  <c r="S95" i="4" s="1"/>
  <c r="N83" i="4"/>
  <c r="Q83" i="4" s="1"/>
  <c r="N110" i="4"/>
  <c r="Q110" i="4" s="1"/>
  <c r="N100" i="4"/>
  <c r="Q100" i="4" s="1"/>
  <c r="N113" i="4"/>
  <c r="Q113" i="4" s="1"/>
  <c r="N102" i="4"/>
  <c r="Q102" i="4"/>
  <c r="N116" i="4"/>
  <c r="Q116" i="4"/>
  <c r="N122" i="4"/>
  <c r="Q122" i="4"/>
  <c r="L94" i="4"/>
  <c r="S94" i="4" s="1"/>
  <c r="N94" i="4"/>
  <c r="Q94" i="4" s="1"/>
  <c r="L111" i="4"/>
  <c r="L99" i="4"/>
  <c r="M110" i="4" l="1"/>
  <c r="U110" i="4" s="1"/>
  <c r="S110" i="4"/>
  <c r="T122" i="4"/>
  <c r="O122" i="4"/>
  <c r="P122" i="4" s="1"/>
  <c r="M113" i="4"/>
  <c r="U113" i="4" s="1"/>
  <c r="S113" i="4"/>
  <c r="M105" i="4"/>
  <c r="U105" i="4" s="1"/>
  <c r="S105" i="4"/>
  <c r="O125" i="4"/>
  <c r="P125" i="4" s="1"/>
  <c r="T125" i="4"/>
  <c r="T127" i="4"/>
  <c r="T91" i="4"/>
  <c r="T124" i="4"/>
  <c r="V111" i="4"/>
  <c r="T111" i="4"/>
  <c r="O109" i="4"/>
  <c r="P109" i="4" s="1"/>
  <c r="V109" i="4"/>
  <c r="T109" i="4"/>
  <c r="T114" i="4"/>
  <c r="T82" i="4"/>
  <c r="T119" i="4"/>
  <c r="L74" i="4"/>
  <c r="S74" i="4" s="1"/>
  <c r="T87" i="4"/>
  <c r="N74" i="4"/>
  <c r="Q74" i="4" s="1"/>
  <c r="L71" i="4"/>
  <c r="S71" i="4" s="1"/>
  <c r="L125" i="4"/>
  <c r="T75" i="4"/>
  <c r="T73" i="4"/>
  <c r="T84" i="4"/>
  <c r="O110" i="4"/>
  <c r="P110" i="4" s="1"/>
  <c r="V110" i="4"/>
  <c r="T110" i="4"/>
  <c r="T88" i="4"/>
  <c r="T71" i="4"/>
  <c r="O101" i="4"/>
  <c r="P101" i="4" s="1"/>
  <c r="T101" i="4"/>
  <c r="M111" i="4"/>
  <c r="U111" i="4" s="1"/>
  <c r="S111" i="4"/>
  <c r="V123" i="4"/>
  <c r="T123" i="4"/>
  <c r="T83" i="4"/>
  <c r="V94" i="4"/>
  <c r="T94" i="4"/>
  <c r="O99" i="4"/>
  <c r="P99" i="4" s="1"/>
  <c r="T99" i="4"/>
  <c r="O120" i="4"/>
  <c r="P120" i="4" s="1"/>
  <c r="T120" i="4"/>
  <c r="N105" i="4"/>
  <c r="Q105" i="4" s="1"/>
  <c r="O98" i="4"/>
  <c r="P98" i="4" s="1"/>
  <c r="T98" i="4"/>
  <c r="O112" i="4"/>
  <c r="P112" i="4" s="1"/>
  <c r="T112" i="4"/>
  <c r="V112" i="4"/>
  <c r="N112" i="4"/>
  <c r="Q112" i="4" s="1"/>
  <c r="O111" i="4"/>
  <c r="P111" i="4" s="1"/>
  <c r="L97" i="4"/>
  <c r="T103" i="4"/>
  <c r="T117" i="4"/>
  <c r="U128" i="4"/>
  <c r="V128" i="4"/>
  <c r="T89" i="4"/>
  <c r="T85" i="4"/>
  <c r="T74" i="4"/>
  <c r="T86" i="4"/>
  <c r="T76" i="4"/>
  <c r="T115" i="4"/>
  <c r="N96" i="4"/>
  <c r="Q96" i="4" s="1"/>
  <c r="T92" i="4"/>
  <c r="T79" i="4"/>
  <c r="T77" i="4"/>
  <c r="T78" i="4"/>
  <c r="O113" i="4"/>
  <c r="P113" i="4" s="1"/>
  <c r="V113" i="4"/>
  <c r="T113" i="4"/>
  <c r="M99" i="4"/>
  <c r="U99" i="4" s="1"/>
  <c r="S99" i="4"/>
  <c r="M106" i="4"/>
  <c r="U106" i="4" s="1"/>
  <c r="S106" i="4"/>
  <c r="M123" i="4"/>
  <c r="U123" i="4" s="1"/>
  <c r="S123" i="4"/>
  <c r="T105" i="4"/>
  <c r="T106" i="4"/>
  <c r="T90" i="4"/>
  <c r="M103" i="4"/>
  <c r="U103" i="4" s="1"/>
  <c r="M117" i="4"/>
  <c r="U117" i="4" s="1"/>
  <c r="S117" i="4"/>
  <c r="M122" i="4"/>
  <c r="U122" i="4" s="1"/>
  <c r="S122" i="4"/>
  <c r="M101" i="4"/>
  <c r="U101" i="4" s="1"/>
  <c r="S101" i="4"/>
  <c r="O102" i="4"/>
  <c r="P102" i="4" s="1"/>
  <c r="T102" i="4"/>
  <c r="T116" i="4"/>
  <c r="V104" i="4"/>
  <c r="T104" i="4"/>
  <c r="V121" i="4"/>
  <c r="T121" i="4"/>
  <c r="T80" i="4"/>
  <c r="M104" i="4"/>
  <c r="U104" i="4" s="1"/>
  <c r="S104" i="4"/>
  <c r="O104" i="4"/>
  <c r="P104" i="4" s="1"/>
  <c r="T96" i="4"/>
  <c r="V81" i="4"/>
  <c r="T81" i="4"/>
  <c r="O118" i="4"/>
  <c r="P118" i="4" s="1"/>
  <c r="T118" i="4"/>
  <c r="M112" i="4"/>
  <c r="U112" i="4" s="1"/>
  <c r="S112" i="4"/>
  <c r="M109" i="4"/>
  <c r="U109" i="4" s="1"/>
  <c r="S109" i="4"/>
  <c r="O123" i="4"/>
  <c r="P123" i="4" s="1"/>
  <c r="V126" i="4"/>
  <c r="T126" i="4"/>
  <c r="N109" i="4"/>
  <c r="Q109" i="4" s="1"/>
  <c r="L102" i="4"/>
  <c r="L100" i="4"/>
  <c r="M100" i="4" s="1"/>
  <c r="O105" i="4"/>
  <c r="P105" i="4" s="1"/>
  <c r="T108" i="4"/>
  <c r="T95" i="4"/>
  <c r="T93" i="4"/>
  <c r="L78" i="4"/>
  <c r="S78" i="4" s="1"/>
  <c r="T72" i="4"/>
  <c r="U131" i="4"/>
  <c r="V131" i="4"/>
  <c r="M116" i="4"/>
  <c r="U116" i="4" s="1"/>
  <c r="O121" i="4"/>
  <c r="P121" i="4" s="1"/>
  <c r="O116" i="4"/>
  <c r="P116" i="4" s="1"/>
  <c r="M121" i="4"/>
  <c r="U121" i="4" s="1"/>
  <c r="M120" i="4"/>
  <c r="U120" i="4" s="1"/>
  <c r="L92" i="4"/>
  <c r="S92" i="4" s="1"/>
  <c r="O71" i="4"/>
  <c r="P71" i="4" s="1"/>
  <c r="L87" i="4"/>
  <c r="M108" i="4"/>
  <c r="U108" i="4" s="1"/>
  <c r="M124" i="4"/>
  <c r="U124" i="4" s="1"/>
  <c r="L86" i="4"/>
  <c r="S86" i="4" s="1"/>
  <c r="L127" i="4"/>
  <c r="S127" i="4" s="1"/>
  <c r="M126" i="4"/>
  <c r="U126" i="4" s="1"/>
  <c r="O115" i="4"/>
  <c r="P115" i="4" s="1"/>
  <c r="O91" i="4"/>
  <c r="P91" i="4" s="1"/>
  <c r="O126" i="4"/>
  <c r="P126" i="4" s="1"/>
  <c r="L118" i="4"/>
  <c r="L89" i="4"/>
  <c r="S89" i="4" s="1"/>
  <c r="N120" i="4"/>
  <c r="Q120" i="4" s="1"/>
  <c r="O114" i="4"/>
  <c r="P114" i="4" s="1"/>
  <c r="L82" i="4"/>
  <c r="S82" i="4" s="1"/>
  <c r="L90" i="4"/>
  <c r="S90" i="4" s="1"/>
  <c r="O108" i="4"/>
  <c r="P108" i="4" s="1"/>
  <c r="O124" i="4"/>
  <c r="P124" i="4" s="1"/>
  <c r="N123" i="4"/>
  <c r="Q123" i="4" s="1"/>
  <c r="L98" i="4"/>
  <c r="N124" i="4"/>
  <c r="Q124" i="4" s="1"/>
  <c r="O127" i="4"/>
  <c r="P127" i="4" s="1"/>
  <c r="N125" i="4"/>
  <c r="Q125" i="4" s="1"/>
  <c r="N106" i="4"/>
  <c r="Q106" i="4" s="1"/>
  <c r="M81" i="4"/>
  <c r="U81" i="4" s="1"/>
  <c r="O77" i="4"/>
  <c r="P77" i="4" s="1"/>
  <c r="M84" i="4"/>
  <c r="U84" i="4" s="1"/>
  <c r="O78" i="4"/>
  <c r="P78" i="4" s="1"/>
  <c r="O74" i="4"/>
  <c r="P74" i="4" s="1"/>
  <c r="L114" i="4"/>
  <c r="S114" i="4" s="1"/>
  <c r="O94" i="4"/>
  <c r="P94" i="4" s="1"/>
  <c r="O84" i="4"/>
  <c r="P84" i="4" s="1"/>
  <c r="O72" i="4"/>
  <c r="P72" i="4" s="1"/>
  <c r="L91" i="4"/>
  <c r="S91" i="4" s="1"/>
  <c r="L115" i="4"/>
  <c r="S115" i="4" s="1"/>
  <c r="L75" i="4"/>
  <c r="S75" i="4" s="1"/>
  <c r="O83" i="4"/>
  <c r="P83" i="4" s="1"/>
  <c r="L80" i="4"/>
  <c r="S80" i="4" s="1"/>
  <c r="M95" i="4"/>
  <c r="U95" i="4" s="1"/>
  <c r="L72" i="4"/>
  <c r="S72" i="4" s="1"/>
  <c r="L79" i="4"/>
  <c r="S79" i="4" s="1"/>
  <c r="O75" i="4"/>
  <c r="P75" i="4" s="1"/>
  <c r="L83" i="4"/>
  <c r="S83" i="4" s="1"/>
  <c r="O87" i="4"/>
  <c r="P87" i="4" s="1"/>
  <c r="O89" i="4"/>
  <c r="P89" i="4" s="1"/>
  <c r="M97" i="4"/>
  <c r="L119" i="4"/>
  <c r="S119" i="4" s="1"/>
  <c r="O76" i="4"/>
  <c r="P76" i="4" s="1"/>
  <c r="O82" i="4"/>
  <c r="P82" i="4" s="1"/>
  <c r="L76" i="4"/>
  <c r="S76" i="4" s="1"/>
  <c r="O96" i="4"/>
  <c r="P96" i="4" s="1"/>
  <c r="M82" i="4"/>
  <c r="U82" i="4" s="1"/>
  <c r="O92" i="4"/>
  <c r="P92" i="4" s="1"/>
  <c r="O79" i="4"/>
  <c r="P79" i="4" s="1"/>
  <c r="O88" i="4"/>
  <c r="P88" i="4" s="1"/>
  <c r="N81" i="4"/>
  <c r="Q81" i="4" s="1"/>
  <c r="L77" i="4"/>
  <c r="S77" i="4" s="1"/>
  <c r="O95" i="4"/>
  <c r="P95" i="4" s="1"/>
  <c r="O85" i="4"/>
  <c r="P85" i="4" s="1"/>
  <c r="O93" i="4"/>
  <c r="P93" i="4" s="1"/>
  <c r="O90" i="4"/>
  <c r="P90" i="4" s="1"/>
  <c r="O86" i="4"/>
  <c r="P86" i="4" s="1"/>
  <c r="M96" i="4"/>
  <c r="U96" i="4" s="1"/>
  <c r="M74" i="4"/>
  <c r="U74" i="4" s="1"/>
  <c r="O80" i="4"/>
  <c r="P80" i="4" s="1"/>
  <c r="L107" i="4"/>
  <c r="M94" i="4"/>
  <c r="U94" i="4" s="1"/>
  <c r="N86" i="4"/>
  <c r="Q86" i="4" s="1"/>
  <c r="L73" i="4"/>
  <c r="S73" i="4" s="1"/>
  <c r="O73" i="4"/>
  <c r="P73" i="4" s="1"/>
  <c r="O81" i="4"/>
  <c r="P81" i="4" s="1"/>
  <c r="L85" i="4"/>
  <c r="S85" i="4" s="1"/>
  <c r="L93" i="4"/>
  <c r="S93" i="4" s="1"/>
  <c r="L88" i="4"/>
  <c r="S88" i="4" s="1"/>
  <c r="N84" i="4"/>
  <c r="Q84" i="4" s="1"/>
  <c r="J14" i="4"/>
  <c r="J13" i="4" s="1"/>
  <c r="K16" i="4" s="1"/>
  <c r="V116" i="4" l="1"/>
  <c r="V84" i="4"/>
  <c r="M102" i="4"/>
  <c r="S102" i="4"/>
  <c r="M86" i="4"/>
  <c r="V96" i="4"/>
  <c r="V124" i="4"/>
  <c r="M78" i="4"/>
  <c r="V122" i="4"/>
  <c r="M87" i="4"/>
  <c r="S87" i="4"/>
  <c r="M71" i="4"/>
  <c r="M118" i="4"/>
  <c r="S118" i="4"/>
  <c r="V95" i="4"/>
  <c r="V120" i="4"/>
  <c r="M98" i="4"/>
  <c r="S98" i="4"/>
  <c r="V74" i="4"/>
  <c r="V101" i="4"/>
  <c r="V82" i="4"/>
  <c r="M125" i="4"/>
  <c r="S125" i="4"/>
  <c r="V106" i="4"/>
  <c r="V117" i="4"/>
  <c r="V105" i="4"/>
  <c r="V103" i="4"/>
  <c r="V108" i="4"/>
  <c r="V99" i="4"/>
  <c r="M115" i="4"/>
  <c r="M119" i="4"/>
  <c r="M92" i="4"/>
  <c r="M89" i="4"/>
  <c r="M127" i="4"/>
  <c r="M107" i="4"/>
  <c r="M91" i="4"/>
  <c r="M114" i="4"/>
  <c r="M90" i="4"/>
  <c r="M93" i="4"/>
  <c r="M77" i="4"/>
  <c r="M80" i="4"/>
  <c r="M85" i="4"/>
  <c r="M83" i="4"/>
  <c r="M79" i="4"/>
  <c r="M75" i="4"/>
  <c r="M88" i="4"/>
  <c r="M76" i="4"/>
  <c r="M72" i="4"/>
  <c r="M73" i="4"/>
  <c r="K14" i="4"/>
  <c r="K13" i="4"/>
  <c r="K15" i="4"/>
  <c r="U91" i="4" l="1"/>
  <c r="V91" i="4"/>
  <c r="U76" i="4"/>
  <c r="V76" i="4"/>
  <c r="U88" i="4"/>
  <c r="V88" i="4"/>
  <c r="U125" i="4"/>
  <c r="V125" i="4"/>
  <c r="U89" i="4"/>
  <c r="V89" i="4"/>
  <c r="U78" i="4"/>
  <c r="V78" i="4"/>
  <c r="U119" i="4"/>
  <c r="V119" i="4"/>
  <c r="U115" i="4"/>
  <c r="V115" i="4"/>
  <c r="U86" i="4"/>
  <c r="V86" i="4"/>
  <c r="U93" i="4"/>
  <c r="V93" i="4"/>
  <c r="U102" i="4"/>
  <c r="V102" i="4"/>
  <c r="U127" i="4"/>
  <c r="V127" i="4"/>
  <c r="U75" i="4"/>
  <c r="V75" i="4"/>
  <c r="U92" i="4"/>
  <c r="V92" i="4"/>
  <c r="U83" i="4"/>
  <c r="V83" i="4"/>
  <c r="U85" i="4"/>
  <c r="V85" i="4"/>
  <c r="U80" i="4"/>
  <c r="V80" i="4"/>
  <c r="U72" i="4"/>
  <c r="V72" i="4"/>
  <c r="U71" i="4"/>
  <c r="V71" i="4"/>
  <c r="U87" i="4"/>
  <c r="V87" i="4"/>
  <c r="U79" i="4"/>
  <c r="V79" i="4"/>
  <c r="U98" i="4"/>
  <c r="V98" i="4"/>
  <c r="U77" i="4"/>
  <c r="V77" i="4"/>
  <c r="U90" i="4"/>
  <c r="V90" i="4"/>
  <c r="U73" i="4"/>
  <c r="V73" i="4"/>
  <c r="U114" i="4"/>
  <c r="V114" i="4"/>
  <c r="U118" i="4"/>
  <c r="V118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60" i="4" l="1"/>
  <c r="T61" i="4"/>
  <c r="O55" i="4"/>
  <c r="P55" i="4" s="1"/>
  <c r="T55" i="4"/>
  <c r="T63" i="4"/>
  <c r="T62" i="4"/>
  <c r="T58" i="4"/>
  <c r="O59" i="4"/>
  <c r="P59" i="4" s="1"/>
  <c r="T59" i="4"/>
  <c r="T57" i="4"/>
  <c r="O56" i="4"/>
  <c r="P56" i="4" s="1"/>
  <c r="T56" i="4"/>
  <c r="O62" i="4"/>
  <c r="P62" i="4" s="1"/>
  <c r="O61" i="4"/>
  <c r="P61" i="4" s="1"/>
  <c r="O60" i="4"/>
  <c r="P60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M56" i="4" l="1"/>
  <c r="S56" i="4"/>
  <c r="V64" i="4"/>
  <c r="T64" i="4"/>
  <c r="V69" i="4"/>
  <c r="T69" i="4"/>
  <c r="T70" i="4"/>
  <c r="T65" i="4"/>
  <c r="T66" i="4"/>
  <c r="M59" i="4"/>
  <c r="S59" i="4"/>
  <c r="T67" i="4"/>
  <c r="V68" i="4"/>
  <c r="T68" i="4"/>
  <c r="M55" i="4"/>
  <c r="S55" i="4"/>
  <c r="M61" i="4"/>
  <c r="M62" i="4"/>
  <c r="M60" i="4"/>
  <c r="M70" i="4"/>
  <c r="U70" i="4" s="1"/>
  <c r="M63" i="4"/>
  <c r="O64" i="4"/>
  <c r="P64" i="4" s="1"/>
  <c r="M69" i="4"/>
  <c r="U69" i="4" s="1"/>
  <c r="M58" i="4"/>
  <c r="O69" i="4"/>
  <c r="P69" i="4" s="1"/>
  <c r="M57" i="4"/>
  <c r="O65" i="4"/>
  <c r="P65" i="4" s="1"/>
  <c r="O66" i="4"/>
  <c r="P66" i="4" s="1"/>
  <c r="M65" i="4"/>
  <c r="U65" i="4" s="1"/>
  <c r="M66" i="4"/>
  <c r="U66" i="4" s="1"/>
  <c r="O67" i="4"/>
  <c r="P67" i="4" s="1"/>
  <c r="M67" i="4"/>
  <c r="U67" i="4" s="1"/>
  <c r="M64" i="4"/>
  <c r="U64" i="4" s="1"/>
  <c r="M68" i="4"/>
  <c r="U68" i="4" s="1"/>
  <c r="O68" i="4"/>
  <c r="P68" i="4" s="1"/>
  <c r="O70" i="4"/>
  <c r="P70" i="4" s="1"/>
  <c r="U62" i="4" l="1"/>
  <c r="V62" i="4"/>
  <c r="V65" i="4"/>
  <c r="U61" i="4"/>
  <c r="V61" i="4"/>
  <c r="V70" i="4"/>
  <c r="U58" i="4"/>
  <c r="V58" i="4"/>
  <c r="U60" i="4"/>
  <c r="V60" i="4"/>
  <c r="V66" i="4"/>
  <c r="U55" i="4"/>
  <c r="V55" i="4"/>
  <c r="U57" i="4"/>
  <c r="V57" i="4"/>
  <c r="V67" i="4"/>
  <c r="U63" i="4"/>
  <c r="V63" i="4"/>
  <c r="U59" i="4"/>
  <c r="V59" i="4"/>
  <c r="U56" i="4"/>
  <c r="V56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S45" i="4" s="1"/>
  <c r="J30" i="4"/>
  <c r="K30" i="4" s="1"/>
  <c r="J43" i="4"/>
  <c r="K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52" i="4"/>
  <c r="L52" i="4"/>
  <c r="L43" i="4"/>
  <c r="S43" i="4" s="1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T49" i="4" l="1"/>
  <c r="O50" i="4"/>
  <c r="P50" i="4" s="1"/>
  <c r="T50" i="4"/>
  <c r="T47" i="4"/>
  <c r="O52" i="4"/>
  <c r="P52" i="4" s="1"/>
  <c r="T52" i="4"/>
  <c r="V52" i="4"/>
  <c r="T28" i="4"/>
  <c r="T46" i="4"/>
  <c r="T48" i="4"/>
  <c r="O53" i="4"/>
  <c r="P53" i="4" s="1"/>
  <c r="T53" i="4"/>
  <c r="T31" i="4"/>
  <c r="M53" i="4"/>
  <c r="U53" i="4" s="1"/>
  <c r="S53" i="4"/>
  <c r="V43" i="4"/>
  <c r="T43" i="4"/>
  <c r="M54" i="4"/>
  <c r="U54" i="4" s="1"/>
  <c r="S54" i="4"/>
  <c r="M52" i="4"/>
  <c r="U52" i="4" s="1"/>
  <c r="S52" i="4"/>
  <c r="T33" i="4"/>
  <c r="O51" i="4"/>
  <c r="P51" i="4" s="1"/>
  <c r="T51" i="4"/>
  <c r="T41" i="4"/>
  <c r="T30" i="4"/>
  <c r="V30" i="4"/>
  <c r="O54" i="4"/>
  <c r="P54" i="4" s="1"/>
  <c r="T54" i="4"/>
  <c r="M50" i="4"/>
  <c r="U50" i="4" s="1"/>
  <c r="S50" i="4"/>
  <c r="T39" i="4"/>
  <c r="M51" i="4"/>
  <c r="U51" i="4" s="1"/>
  <c r="S51" i="4"/>
  <c r="L47" i="4"/>
  <c r="S47" i="4" s="1"/>
  <c r="K45" i="4"/>
  <c r="O49" i="4"/>
  <c r="P49" i="4" s="1"/>
  <c r="M49" i="4"/>
  <c r="U49" i="4" s="1"/>
  <c r="O48" i="4"/>
  <c r="P48" i="4" s="1"/>
  <c r="M48" i="4"/>
  <c r="U48" i="4" s="1"/>
  <c r="M35" i="4"/>
  <c r="U35" i="4" s="1"/>
  <c r="O31" i="4"/>
  <c r="P31" i="4" s="1"/>
  <c r="M43" i="4"/>
  <c r="U43" i="4" s="1"/>
  <c r="M45" i="4"/>
  <c r="U45" i="4" s="1"/>
  <c r="L31" i="4"/>
  <c r="S31" i="4" s="1"/>
  <c r="O47" i="4"/>
  <c r="P47" i="4" s="1"/>
  <c r="O33" i="4"/>
  <c r="P33" i="4" s="1"/>
  <c r="O46" i="4"/>
  <c r="P46" i="4" s="1"/>
  <c r="K35" i="4"/>
  <c r="O28" i="4"/>
  <c r="P28" i="4" s="1"/>
  <c r="M44" i="4"/>
  <c r="U44" i="4" s="1"/>
  <c r="O43" i="4"/>
  <c r="P43" i="4" s="1"/>
  <c r="O39" i="4"/>
  <c r="P39" i="4" s="1"/>
  <c r="O41" i="4"/>
  <c r="P41" i="4" s="1"/>
  <c r="O30" i="4"/>
  <c r="P30" i="4" s="1"/>
  <c r="M39" i="4"/>
  <c r="U39" i="4" s="1"/>
  <c r="K36" i="4"/>
  <c r="K44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44" i="4" l="1"/>
  <c r="T44" i="4"/>
  <c r="M47" i="4"/>
  <c r="V51" i="4"/>
  <c r="V29" i="4"/>
  <c r="T29" i="4"/>
  <c r="V39" i="4"/>
  <c r="V38" i="4"/>
  <c r="T38" i="4"/>
  <c r="T40" i="4"/>
  <c r="V40" i="4"/>
  <c r="V53" i="4"/>
  <c r="V34" i="4"/>
  <c r="T34" i="4"/>
  <c r="V42" i="4"/>
  <c r="T42" i="4"/>
  <c r="V54" i="4"/>
  <c r="V50" i="4"/>
  <c r="V35" i="4"/>
  <c r="T35" i="4"/>
  <c r="V48" i="4"/>
  <c r="V36" i="4"/>
  <c r="T36" i="4"/>
  <c r="V32" i="4"/>
  <c r="T32" i="4"/>
  <c r="V37" i="4"/>
  <c r="T37" i="4"/>
  <c r="V45" i="4"/>
  <c r="T45" i="4"/>
  <c r="V49" i="4"/>
  <c r="O45" i="4"/>
  <c r="P45" i="4" s="1"/>
  <c r="M41" i="4"/>
  <c r="O35" i="4"/>
  <c r="P35" i="4" s="1"/>
  <c r="O38" i="4"/>
  <c r="P38" i="4" s="1"/>
  <c r="O37" i="4"/>
  <c r="P37" i="4" s="1"/>
  <c r="O44" i="4"/>
  <c r="P44" i="4" s="1"/>
  <c r="M46" i="4"/>
  <c r="O36" i="4"/>
  <c r="P36" i="4" s="1"/>
  <c r="O29" i="4"/>
  <c r="P29" i="4" s="1"/>
  <c r="O32" i="4"/>
  <c r="P32" i="4" s="1"/>
  <c r="O40" i="4"/>
  <c r="P40" i="4" s="1"/>
  <c r="M33" i="4"/>
  <c r="O34" i="4"/>
  <c r="P34" i="4" s="1"/>
  <c r="M31" i="4"/>
  <c r="O42" i="4"/>
  <c r="P42" i="4" s="1"/>
  <c r="M28" i="4"/>
  <c r="U28" i="4" l="1"/>
  <c r="V28" i="4"/>
  <c r="U31" i="4"/>
  <c r="V31" i="4"/>
  <c r="U41" i="4"/>
  <c r="V41" i="4"/>
  <c r="U33" i="4"/>
  <c r="V33" i="4"/>
  <c r="U47" i="4"/>
  <c r="V47" i="4"/>
  <c r="U46" i="4"/>
  <c r="V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<sst xmlns="http://schemas.openxmlformats.org/spreadsheetml/2006/main" count="340" uniqueCount="315">
  <si>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</si>
  <si>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</si>
  <si>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</si>
  <si>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</si>
  <si>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</si>
  <si>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</si>
  <si>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</si>
  <si>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</si>
  <si>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</si>
  <si>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</si>
  <si>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</si>
  <si>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</si>
  <si>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</si>
  <si>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</si>
  <si>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</si>
  <si>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</si>
  <si>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</si>
  <si>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</si>
  <si>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</si>
  <si>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</si>
  <si>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</si>
  <si>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</si>
  <si>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</si>
  <si>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</si>
  <si>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</si>
  <si>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</si>
  <si>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</si>
  <si>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</si>
  <si>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</si>
  <si>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</si>
  <si>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</si>
  <si>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</si>
  <si>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</si>
  <si>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</si>
  <si>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</si>
  <si>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</si>
  <si>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</si>
  <si>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</si>
  <si>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</si>
  <si>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</si>
  <si>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</si>
  <si>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</si>
  <si>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</si>
  <si>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</si>
  <si>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</si>
  <si>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</si>
  <si>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</si>
  <si>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</si>
  <si>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</si>
  <si>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</si>
  <si>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</si>
  <si>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</si>
  <si>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</si>
  <si>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</si>
  <si>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</si>
  <si>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</si>
  <si>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</si>
  <si>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</si>
  <si>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</si>
  <si>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</si>
  <si>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</si>
  <si>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</si>
  <si>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</si>
  <si>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</si>
  <si>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</si>
  <si>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</si>
  <si>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</si>
  <si>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</si>
  <si>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</si>
  <si>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</si>
  <si>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</si>
  <si>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</si>
  <si>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</si>
  <si>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</si>
  <si>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</si>
  <si>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</si>
  <si>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</si>
  <si>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</si>
  <si>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</si>
  <si>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</si>
  <si>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</si>
  <si>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</si>
  <si>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</si>
  <si>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</si>
  <si>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</si>
  <si>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</si>
  <si>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</si>
  <si>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</si>
  <si>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</si>
  <si>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</si>
  <si>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</si>
  <si>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</si>
  <si>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</si>
  <si>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</si>
  <si>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</si>
  <si>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</si>
  <si>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</si>
  <si>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</si>
  <si>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</si>
  <si>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</si>
  <si>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</si>
  <si>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</si>
  <si>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</si>
  <si>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</si>
  <si>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</si>
  <si>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</si>
  <si>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</si>
  <si>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</si>
  <si>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</si>
  <si>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</si>
  <si>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</si>
  <si>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</si>
  <si>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Rtgill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</si>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</sst>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4.6725E-4</v>
      </c>
      <c r="M17" s="80">
        <v>3.15E-5</v>
      </c>
      <c r="N17" s="80">
        <v>2.6250000000000001E-5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4" zoomScale="68" zoomScaleNormal="85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150.01050000000001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149.23234500000001</v>
      </c>
      <c r="K8" s="39">
        <f>J8/J7</f>
        <v>0.99481266311358207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0.7206300000000001</v>
      </c>
      <c r="K9" s="39">
        <f>J9/J7</f>
        <v>4.803863729538933E-3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5.7524999999999993E-2</v>
      </c>
      <c r="K10" s="39">
        <f>J10/J7</f>
        <v>3.8347315687901841E-4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1.0499999999999999E-2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9.3449999999999991E-3</v>
      </c>
      <c r="K20" s="39">
        <f>J20/J19</f>
        <v>0.89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6.3000000000000003E-4</v>
      </c>
      <c r="K21" s="39">
        <f>J21/J19</f>
        <v>6.0000000000000012E-2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5.2500000000000008E-4</v>
      </c>
      <c r="K22" s="39">
        <f>J22/J19</f>
        <v>5.000000000000001E-2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8.6629514448579737E-3</v>
      </c>
      <c r="K28" s="93">
        <f t="shared" ref="K28:K47" si="3">IF(D28=0,"",1/(1+10^D28*$J$15/$J$14+10^E28*$J$16/$J$14+10^J28*$J$19/$J$14))</f>
        <v>0.99389692251550432</v>
      </c>
      <c r="L28" s="93">
        <f t="shared" ref="L28:L47" si="4">IF(D28=0,"",1/(1+10^I28/10^J28*$J$13/$J$19))</f>
        <v>7.1344061523419023E-5</v>
      </c>
      <c r="M28" s="93">
        <f t="shared" ref="M28:M47" si="5">IF(D28=0,"",1-L28)</f>
        <v>0.99992865593847657</v>
      </c>
      <c r="N28" s="93">
        <f t="shared" ref="N28:N47" si="6">IF(D28=0,"",1/(1/10^E28*$J$20/$J$22+10^D28/10^E28*$J$21/$J$22+10^I28/10^E28*$J$13/$J$22+1))</f>
        <v>4.2255270129666219E-6</v>
      </c>
      <c r="O28" s="40">
        <f t="shared" ref="O28:O47" si="7">IF(D28=0,"",F28*K28*$J$7/$J$14)</f>
        <v>9.9914205112490736E-7</v>
      </c>
      <c r="P28" s="40">
        <f t="shared" ref="P28:P47" si="8">IF(D28=0,"",O28*10^J28)</f>
        <v>1.0192722229675094E-6</v>
      </c>
      <c r="Q28" s="40">
        <f t="shared" ref="Q28:Q47" si="9">IF(D28=0,"",F28*N28*$J$7/$J$22)</f>
        <v>1.2073779428164367E-6</v>
      </c>
      <c r="R28" s="9">
        <f>F28*$C$14</f>
        <v>1.4999999999999999E-4</v>
      </c>
      <c r="S28" s="9">
        <f>$R28*L28</f>
        <v>1.0701609228512853E-8</v>
      </c>
      <c r="T28" s="9">
        <f t="shared" ref="T28:T91" si="10">R28*K28</f>
        <v>1.4908453837732564E-4</v>
      </c>
      <c r="U28" s="9">
        <f t="shared" ref="U28:U91" si="11">$R28*M28</f>
        <v>1.4998929839077149E-4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1.5071795924333535</v>
      </c>
      <c r="K29" s="93">
        <f t="shared" si="3"/>
        <v>0.46890598433097824</v>
      </c>
      <c r="L29" s="93">
        <f t="shared" si="4"/>
        <v>1.0607643119486343E-3</v>
      </c>
      <c r="M29" s="93">
        <f t="shared" si="5"/>
        <v>0.99893923568805132</v>
      </c>
      <c r="N29" s="93">
        <f t="shared" si="6"/>
        <v>6.2720471130317719E-4</v>
      </c>
      <c r="O29" s="40">
        <f t="shared" si="7"/>
        <v>4.7138055904573824E-7</v>
      </c>
      <c r="P29" s="40">
        <f t="shared" si="8"/>
        <v>1.5154836649292439E-5</v>
      </c>
      <c r="Q29" s="40">
        <f t="shared" si="9"/>
        <v>1.7921389018084812E-4</v>
      </c>
      <c r="R29" s="9">
        <f t="shared" ref="R29:R92" si="12">F29*$C$14</f>
        <v>1.4999999999999999E-4</v>
      </c>
      <c r="S29" s="9">
        <f t="shared" ref="S29:S92" si="13">$R29*L29</f>
        <v>1.5911464679229513E-7</v>
      </c>
      <c r="T29" s="9">
        <f t="shared" si="10"/>
        <v>7.0335897649646736E-5</v>
      </c>
      <c r="U29" s="9">
        <f t="shared" si="11"/>
        <v>1.4984088535320767E-4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3.1846481838673784</v>
      </c>
      <c r="K30" s="93">
        <f t="shared" si="3"/>
        <v>8.1650820953889005E-3</v>
      </c>
      <c r="L30" s="93">
        <f t="shared" si="4"/>
        <v>8.7894615728883031E-4</v>
      </c>
      <c r="M30" s="93">
        <f t="shared" si="5"/>
        <v>0.99912105384271122</v>
      </c>
      <c r="N30" s="93">
        <f t="shared" si="6"/>
        <v>1.2539611810802834E-5</v>
      </c>
      <c r="O30" s="40">
        <f t="shared" si="7"/>
        <v>8.2081719820023482E-9</v>
      </c>
      <c r="P30" s="40">
        <f t="shared" si="8"/>
        <v>1.2557252621712015E-5</v>
      </c>
      <c r="Q30" s="40">
        <f t="shared" si="9"/>
        <v>3.5829970238941684E-6</v>
      </c>
      <c r="R30" s="9">
        <f t="shared" si="12"/>
        <v>1.4999999999999999E-4</v>
      </c>
      <c r="S30" s="9">
        <f t="shared" si="13"/>
        <v>1.3184192359332454E-7</v>
      </c>
      <c r="T30" s="9">
        <f t="shared" si="10"/>
        <v>1.224762314308335E-6</v>
      </c>
      <c r="U30" s="9">
        <f t="shared" si="11"/>
        <v>1.4986815807640667E-4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-4.6726110400890343E-2</v>
      </c>
      <c r="K31" s="93">
        <f t="shared" si="3"/>
        <v>0.9993534694486963</v>
      </c>
      <c r="L31" s="93">
        <f t="shared" si="4"/>
        <v>6.3146101937702659E-5</v>
      </c>
      <c r="M31" s="93">
        <f t="shared" si="5"/>
        <v>0.99993685389806231</v>
      </c>
      <c r="N31" s="93">
        <f t="shared" si="6"/>
        <v>5.7165487204921426E-8</v>
      </c>
      <c r="O31" s="40">
        <f t="shared" si="7"/>
        <v>1.004627394092959E-6</v>
      </c>
      <c r="P31" s="40">
        <f t="shared" si="8"/>
        <v>9.0215031664054717E-7</v>
      </c>
      <c r="Q31" s="40">
        <f t="shared" si="9"/>
        <v>1.6334139654007361E-8</v>
      </c>
      <c r="R31" s="9">
        <f t="shared" si="12"/>
        <v>1.4999999999999999E-4</v>
      </c>
      <c r="S31" s="9">
        <f t="shared" si="13"/>
        <v>9.4719152906553984E-9</v>
      </c>
      <c r="T31" s="9">
        <f t="shared" si="10"/>
        <v>1.4990302041730443E-4</v>
      </c>
      <c r="U31" s="9">
        <f t="shared" si="11"/>
        <v>1.4999052808470934E-4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7.9809959531048913E-2</v>
      </c>
      <c r="K32" s="93">
        <f t="shared" si="3"/>
        <v>0.98244350252162282</v>
      </c>
      <c r="L32" s="93">
        <f t="shared" si="4"/>
        <v>8.307513897809421E-5</v>
      </c>
      <c r="M32" s="93">
        <f t="shared" si="5"/>
        <v>0.99991692486102191</v>
      </c>
      <c r="N32" s="93">
        <f t="shared" si="6"/>
        <v>6.9181934696532022E-6</v>
      </c>
      <c r="O32" s="40">
        <f t="shared" si="7"/>
        <v>9.8762818757845569E-7</v>
      </c>
      <c r="P32" s="40">
        <f t="shared" si="8"/>
        <v>1.1868707748260385E-6</v>
      </c>
      <c r="Q32" s="40">
        <f t="shared" si="9"/>
        <v>1.9767650694845936E-6</v>
      </c>
      <c r="R32" s="9">
        <f t="shared" si="12"/>
        <v>1.4999999999999999E-4</v>
      </c>
      <c r="S32" s="9">
        <f t="shared" si="13"/>
        <v>1.246127084671413E-8</v>
      </c>
      <c r="T32" s="9">
        <f t="shared" si="10"/>
        <v>1.4736652537824342E-4</v>
      </c>
      <c r="U32" s="9">
        <f t="shared" si="11"/>
        <v>1.4998753872915327E-4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0.85658284176588473</v>
      </c>
      <c r="K33" s="93">
        <f t="shared" si="3"/>
        <v>0.8054535401054651</v>
      </c>
      <c r="L33" s="93">
        <f t="shared" si="4"/>
        <v>4.0735858051502529E-4</v>
      </c>
      <c r="M33" s="93">
        <f t="shared" si="5"/>
        <v>0.99959264141948501</v>
      </c>
      <c r="N33" s="93">
        <f t="shared" si="6"/>
        <v>2.0668047152351418E-4</v>
      </c>
      <c r="O33" s="40">
        <f t="shared" si="7"/>
        <v>8.0970418955516816E-7</v>
      </c>
      <c r="P33" s="40">
        <f t="shared" si="8"/>
        <v>5.819815651652305E-6</v>
      </c>
      <c r="Q33" s="40">
        <f t="shared" si="9"/>
        <v>5.9055696901863084E-5</v>
      </c>
      <c r="R33" s="9">
        <f t="shared" si="12"/>
        <v>1.4999999999999999E-4</v>
      </c>
      <c r="S33" s="9">
        <f t="shared" si="13"/>
        <v>6.1103787077253783E-8</v>
      </c>
      <c r="T33" s="9">
        <f t="shared" si="10"/>
        <v>1.2081803101581975E-4</v>
      </c>
      <c r="U33" s="9">
        <f t="shared" si="11"/>
        <v>1.4993889621292274E-4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4.2050150361398808E-2</v>
      </c>
      <c r="K34" s="93">
        <f t="shared" si="3"/>
        <v>0.98753031855956375</v>
      </c>
      <c r="L34" s="93">
        <f t="shared" si="4"/>
        <v>7.6551573248645756E-5</v>
      </c>
      <c r="M34" s="93">
        <f t="shared" si="5"/>
        <v>0.9999234484267514</v>
      </c>
      <c r="N34" s="93">
        <f t="shared" si="6"/>
        <v>4.2697198896812911E-6</v>
      </c>
      <c r="O34" s="40">
        <f t="shared" si="7"/>
        <v>9.9274184845686947E-7</v>
      </c>
      <c r="P34" s="40">
        <f t="shared" si="8"/>
        <v>1.0936704551253313E-6</v>
      </c>
      <c r="Q34" s="40">
        <f t="shared" si="9"/>
        <v>1.2200053628781624E-6</v>
      </c>
      <c r="R34" s="9">
        <f t="shared" si="12"/>
        <v>1.4999999999999999E-4</v>
      </c>
      <c r="S34" s="9">
        <f t="shared" si="13"/>
        <v>1.1482735987296863E-8</v>
      </c>
      <c r="T34" s="9">
        <f t="shared" si="10"/>
        <v>1.4812954778393455E-4</v>
      </c>
      <c r="U34" s="9">
        <f t="shared" si="11"/>
        <v>1.499885172640127E-4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1.913510872444386E-2</v>
      </c>
      <c r="K35" s="93">
        <f t="shared" si="3"/>
        <v>0.99055720525099078</v>
      </c>
      <c r="L35" s="93">
        <f t="shared" si="4"/>
        <v>7.2839709034279299E-5</v>
      </c>
      <c r="M35" s="93">
        <f t="shared" si="5"/>
        <v>0.99992716029096573</v>
      </c>
      <c r="N35" s="93">
        <f t="shared" si="6"/>
        <v>2.8817163687853507E-6</v>
      </c>
      <c r="O35" s="40">
        <f t="shared" si="7"/>
        <v>9.9578470904822812E-7</v>
      </c>
      <c r="P35" s="40">
        <f t="shared" si="8"/>
        <v>1.0406401116273102E-6</v>
      </c>
      <c r="Q35" s="40">
        <f t="shared" si="9"/>
        <v>8.2340516826604726E-7</v>
      </c>
      <c r="R35" s="9">
        <f t="shared" si="12"/>
        <v>1.4999999999999999E-4</v>
      </c>
      <c r="S35" s="9">
        <f t="shared" si="13"/>
        <v>1.0925956355141894E-8</v>
      </c>
      <c r="T35" s="9">
        <f t="shared" si="10"/>
        <v>1.4858358078764862E-4</v>
      </c>
      <c r="U35" s="9">
        <f t="shared" si="11"/>
        <v>1.4998907404364484E-4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2.9136453532291715</v>
      </c>
      <c r="K36" s="93">
        <f t="shared" si="3"/>
        <v>5.1638780535687503E-2</v>
      </c>
      <c r="L36" s="93">
        <f t="shared" si="4"/>
        <v>2.9783440388118127E-3</v>
      </c>
      <c r="M36" s="93">
        <f t="shared" si="5"/>
        <v>0.99702165596118819</v>
      </c>
      <c r="N36" s="93">
        <f t="shared" si="6"/>
        <v>2.3733703596218992E-3</v>
      </c>
      <c r="O36" s="40">
        <f t="shared" si="7"/>
        <v>5.1911295762374101E-8</v>
      </c>
      <c r="P36" s="40">
        <f t="shared" si="8"/>
        <v>4.2550750327064753E-5</v>
      </c>
      <c r="Q36" s="40">
        <f t="shared" si="9"/>
        <v>6.7815328444202074E-4</v>
      </c>
      <c r="R36" s="9">
        <f t="shared" si="12"/>
        <v>1.4999999999999999E-4</v>
      </c>
      <c r="S36" s="9">
        <f t="shared" si="13"/>
        <v>4.4675160582177188E-7</v>
      </c>
      <c r="T36" s="9">
        <f t="shared" si="10"/>
        <v>7.7458170803531244E-6</v>
      </c>
      <c r="U36" s="9">
        <f t="shared" si="11"/>
        <v>1.4955324839417821E-4</v>
      </c>
      <c r="V36" s="100">
        <f t="shared" si="14"/>
        <v>5.1793038021731484E-2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5.2086075661318931</v>
      </c>
      <c r="K37" s="93">
        <f t="shared" si="3"/>
        <v>6.26457175742762E-4</v>
      </c>
      <c r="L37" s="93">
        <f t="shared" si="4"/>
        <v>7.1261094198690495E-3</v>
      </c>
      <c r="M37" s="93">
        <f t="shared" si="5"/>
        <v>0.99287389058013098</v>
      </c>
      <c r="N37" s="93">
        <f t="shared" si="6"/>
        <v>6.9147554520872633E-3</v>
      </c>
      <c r="O37" s="40">
        <f t="shared" si="7"/>
        <v>6.2976320112690133E-10</v>
      </c>
      <c r="P37" s="40">
        <f t="shared" si="8"/>
        <v>1.0180868925040645E-4</v>
      </c>
      <c r="Q37" s="40">
        <f t="shared" si="9"/>
        <v>1.9757827099911168E-3</v>
      </c>
      <c r="R37" s="9">
        <f t="shared" si="12"/>
        <v>1.4999999999999999E-4</v>
      </c>
      <c r="S37" s="9">
        <f t="shared" si="13"/>
        <v>1.0689164129803573E-6</v>
      </c>
      <c r="T37" s="9">
        <f t="shared" si="10"/>
        <v>9.3968576361414291E-8</v>
      </c>
      <c r="U37" s="9">
        <f t="shared" si="11"/>
        <v>1.4893108358701964E-4</v>
      </c>
      <c r="V37" s="100">
        <f t="shared" si="14"/>
        <v>6.309534188442868E-4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-4.0187315675825341E-2</v>
      </c>
      <c r="K38" s="93">
        <f t="shared" si="3"/>
        <v>0.99842714783214048</v>
      </c>
      <c r="L38" s="93">
        <f t="shared" si="4"/>
        <v>6.4044611829339889E-5</v>
      </c>
      <c r="M38" s="93">
        <f t="shared" si="5"/>
        <v>0.99993595538817071</v>
      </c>
      <c r="N38" s="93">
        <f t="shared" si="6"/>
        <v>2.1934781154537708E-7</v>
      </c>
      <c r="O38" s="40">
        <f t="shared" si="7"/>
        <v>1.0036961839654294E-6</v>
      </c>
      <c r="P38" s="40">
        <f t="shared" si="8"/>
        <v>9.1498707074525625E-7</v>
      </c>
      <c r="Q38" s="40">
        <f t="shared" si="9"/>
        <v>6.2675190254910064E-8</v>
      </c>
      <c r="R38" s="9">
        <f t="shared" si="12"/>
        <v>1.4999999999999999E-4</v>
      </c>
      <c r="S38" s="9">
        <f t="shared" si="13"/>
        <v>9.6066917744009825E-9</v>
      </c>
      <c r="T38" s="9">
        <f t="shared" si="10"/>
        <v>1.4976407217482106E-4</v>
      </c>
      <c r="U38" s="9">
        <f t="shared" si="11"/>
        <v>1.4999039330822558E-4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1.4630863314519811</v>
      </c>
      <c r="K39" s="93">
        <f t="shared" si="3"/>
        <v>0.45964846543666954</v>
      </c>
      <c r="L39" s="93">
        <f t="shared" si="4"/>
        <v>9.3943271095388206E-4</v>
      </c>
      <c r="M39" s="93">
        <f t="shared" si="5"/>
        <v>0.99906056728904613</v>
      </c>
      <c r="N39" s="93">
        <f t="shared" si="6"/>
        <v>4.8470929841468527E-4</v>
      </c>
      <c r="O39" s="40">
        <f t="shared" si="7"/>
        <v>4.6207418510811009E-7</v>
      </c>
      <c r="P39" s="40">
        <f t="shared" si="8"/>
        <v>1.3421406732052124E-5</v>
      </c>
      <c r="Q39" s="40">
        <f t="shared" si="9"/>
        <v>1.3849806516159265E-4</v>
      </c>
      <c r="R39" s="9">
        <f t="shared" si="12"/>
        <v>1.4999999999999999E-4</v>
      </c>
      <c r="S39" s="9">
        <f t="shared" si="13"/>
        <v>1.4091490664308231E-7</v>
      </c>
      <c r="T39" s="9">
        <f t="shared" si="10"/>
        <v>6.894726981550043E-5</v>
      </c>
      <c r="U39" s="9">
        <f t="shared" si="11"/>
        <v>1.4985908509335691E-4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1.7075818611730447</v>
      </c>
      <c r="K40" s="93">
        <f t="shared" si="3"/>
        <v>0.4230251097490097</v>
      </c>
      <c r="L40" s="93">
        <f t="shared" si="4"/>
        <v>1.5181040546034202E-3</v>
      </c>
      <c r="M40" s="93">
        <f t="shared" si="5"/>
        <v>0.9984818959453966</v>
      </c>
      <c r="N40" s="93">
        <f t="shared" si="6"/>
        <v>1.0918095860588865E-3</v>
      </c>
      <c r="O40" s="40">
        <f t="shared" si="7"/>
        <v>4.2525755564493285E-7</v>
      </c>
      <c r="P40" s="40">
        <f t="shared" si="8"/>
        <v>2.1688718884103467E-5</v>
      </c>
      <c r="Q40" s="40">
        <f t="shared" si="9"/>
        <v>3.1196743220854583E-4</v>
      </c>
      <c r="R40" s="9">
        <f t="shared" si="12"/>
        <v>1.4999999999999999E-4</v>
      </c>
      <c r="S40" s="9">
        <f t="shared" si="13"/>
        <v>2.2771560819051302E-7</v>
      </c>
      <c r="T40" s="9">
        <f t="shared" si="10"/>
        <v>6.3453766462351449E-5</v>
      </c>
      <c r="U40" s="9">
        <f t="shared" si="11"/>
        <v>1.4977228439180947E-4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0.63617430590334978</v>
      </c>
      <c r="K41" s="93">
        <f t="shared" si="3"/>
        <v>0.86200190854010361</v>
      </c>
      <c r="L41" s="93">
        <f t="shared" si="4"/>
        <v>2.6244364777487861E-4</v>
      </c>
      <c r="M41" s="93">
        <f t="shared" si="5"/>
        <v>0.99973755635222517</v>
      </c>
      <c r="N41" s="93">
        <f t="shared" si="6"/>
        <v>9.7174153013669838E-5</v>
      </c>
      <c r="O41" s="40">
        <f t="shared" si="7"/>
        <v>8.6655098276442093E-7</v>
      </c>
      <c r="P41" s="40">
        <f t="shared" si="8"/>
        <v>3.7494574118603263E-6</v>
      </c>
      <c r="Q41" s="40">
        <f t="shared" si="9"/>
        <v>2.7765987201251653E-5</v>
      </c>
      <c r="R41" s="9">
        <f t="shared" si="12"/>
        <v>1.4999999999999999E-4</v>
      </c>
      <c r="S41" s="9">
        <f t="shared" si="13"/>
        <v>3.9366547166231786E-8</v>
      </c>
      <c r="T41" s="9">
        <f t="shared" si="10"/>
        <v>1.2930028628101552E-4</v>
      </c>
      <c r="U41" s="9">
        <f t="shared" si="11"/>
        <v>1.4996063345283376E-4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1.3625600825731248</v>
      </c>
      <c r="K42" s="93">
        <f t="shared" si="3"/>
        <v>0.59142595505436646</v>
      </c>
      <c r="L42" s="93">
        <f t="shared" si="4"/>
        <v>9.5898981477391483E-4</v>
      </c>
      <c r="M42" s="93">
        <f t="shared" si="5"/>
        <v>0.99904101018522606</v>
      </c>
      <c r="N42" s="93">
        <f t="shared" si="6"/>
        <v>6.2462867324717427E-4</v>
      </c>
      <c r="O42" s="40">
        <f t="shared" si="7"/>
        <v>5.9454710889529792E-7</v>
      </c>
      <c r="P42" s="40">
        <f t="shared" si="8"/>
        <v>1.370081348658499E-5</v>
      </c>
      <c r="Q42" s="40">
        <f t="shared" si="9"/>
        <v>1.7847782778694329E-4</v>
      </c>
      <c r="R42" s="9">
        <f t="shared" si="12"/>
        <v>1.4999999999999999E-4</v>
      </c>
      <c r="S42" s="9">
        <f t="shared" si="13"/>
        <v>1.4384847221608721E-7</v>
      </c>
      <c r="T42" s="9">
        <f t="shared" si="10"/>
        <v>8.871389325815496E-5</v>
      </c>
      <c r="U42" s="9">
        <f t="shared" si="11"/>
        <v>1.4985615152778389E-4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1.4662062884307068</v>
      </c>
      <c r="K43" s="93">
        <f t="shared" si="3"/>
        <v>0.47487833937046986</v>
      </c>
      <c r="L43" s="93">
        <f t="shared" si="4"/>
        <v>9.7755720546352596E-4</v>
      </c>
      <c r="M43" s="93">
        <f t="shared" si="5"/>
        <v>0.99902244279453645</v>
      </c>
      <c r="N43" s="93">
        <f t="shared" si="6"/>
        <v>5.4054380836285072E-4</v>
      </c>
      <c r="O43" s="40">
        <f t="shared" si="7"/>
        <v>4.773844322130896E-7</v>
      </c>
      <c r="P43" s="40">
        <f t="shared" si="8"/>
        <v>1.3966080492398694E-5</v>
      </c>
      <c r="Q43" s="40">
        <f t="shared" si="9"/>
        <v>1.544518989798389E-4</v>
      </c>
      <c r="R43" s="9">
        <f t="shared" si="12"/>
        <v>1.4999999999999999E-4</v>
      </c>
      <c r="S43" s="9">
        <f t="shared" si="13"/>
        <v>1.4663358081952889E-7</v>
      </c>
      <c r="T43" s="9">
        <f t="shared" si="10"/>
        <v>7.1231750905570467E-5</v>
      </c>
      <c r="U43" s="9">
        <f t="shared" si="11"/>
        <v>1.4985336641918046E-4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5.7902923462368587</v>
      </c>
      <c r="K44" s="93">
        <f t="shared" si="3"/>
        <v>1.4641685137799527E-4</v>
      </c>
      <c r="L44" s="93">
        <f t="shared" si="4"/>
        <v>6.3567764938855815E-3</v>
      </c>
      <c r="M44" s="93">
        <f t="shared" si="5"/>
        <v>0.99364322350611445</v>
      </c>
      <c r="N44" s="93">
        <f t="shared" si="6"/>
        <v>6.0634890815425809E-3</v>
      </c>
      <c r="O44" s="40">
        <f t="shared" si="7"/>
        <v>1.471895423871572E-10</v>
      </c>
      <c r="P44" s="40">
        <f t="shared" si="8"/>
        <v>9.0817449546287953E-5</v>
      </c>
      <c r="Q44" s="40">
        <f t="shared" si="9"/>
        <v>1.7325467216509393E-3</v>
      </c>
      <c r="R44" s="9">
        <f t="shared" si="12"/>
        <v>1.4999999999999999E-4</v>
      </c>
      <c r="S44" s="9">
        <f t="shared" si="13"/>
        <v>9.5351647408283717E-7</v>
      </c>
      <c r="T44" s="9">
        <f t="shared" si="10"/>
        <v>2.1962527706699289E-8</v>
      </c>
      <c r="U44" s="9">
        <f t="shared" si="11"/>
        <v>1.4904648352591715E-4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0.50735979747220028</v>
      </c>
      <c r="K45" s="93">
        <f t="shared" si="3"/>
        <v>0.91120766921678664</v>
      </c>
      <c r="L45" s="93">
        <f t="shared" si="4"/>
        <v>2.0621995892968744E-4</v>
      </c>
      <c r="M45" s="93">
        <f t="shared" si="5"/>
        <v>0.99979378004107033</v>
      </c>
      <c r="N45" s="93">
        <f t="shared" si="6"/>
        <v>7.9163849209944715E-5</v>
      </c>
      <c r="O45" s="40">
        <f t="shared" si="7"/>
        <v>9.1601641880303154E-7</v>
      </c>
      <c r="P45" s="40">
        <f t="shared" si="8"/>
        <v>2.9462056332401794E-6</v>
      </c>
      <c r="Q45" s="40">
        <f t="shared" si="9"/>
        <v>2.2619825908396972E-5</v>
      </c>
      <c r="R45" s="9">
        <f t="shared" si="12"/>
        <v>1.4999999999999999E-4</v>
      </c>
      <c r="S45" s="9">
        <f t="shared" si="13"/>
        <v>3.0932993839453112E-8</v>
      </c>
      <c r="T45" s="9">
        <f t="shared" si="10"/>
        <v>1.3668115038251798E-4</v>
      </c>
      <c r="U45" s="9">
        <f t="shared" si="11"/>
        <v>1.4996906700616054E-4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0.50980800632319279</v>
      </c>
      <c r="K46" s="93">
        <f t="shared" si="3"/>
        <v>0.90655866899638371</v>
      </c>
      <c r="L46" s="93">
        <f t="shared" si="4"/>
        <v>2.0632766045387696E-4</v>
      </c>
      <c r="M46" s="93">
        <f t="shared" si="5"/>
        <v>0.99979367233954608</v>
      </c>
      <c r="N46" s="93">
        <f t="shared" si="6"/>
        <v>7.5109773401509179E-5</v>
      </c>
      <c r="O46" s="40">
        <f t="shared" si="7"/>
        <v>9.1134288424359512E-7</v>
      </c>
      <c r="P46" s="40">
        <f t="shared" si="8"/>
        <v>2.9477443341444105E-6</v>
      </c>
      <c r="Q46" s="40">
        <f t="shared" si="9"/>
        <v>2.1461437453042076E-5</v>
      </c>
      <c r="R46" s="9">
        <f t="shared" si="12"/>
        <v>1.4999999999999999E-4</v>
      </c>
      <c r="S46" s="9">
        <f t="shared" si="13"/>
        <v>3.0949149068081543E-8</v>
      </c>
      <c r="T46" s="9">
        <f t="shared" si="10"/>
        <v>1.3598380034945755E-4</v>
      </c>
      <c r="U46" s="9">
        <f t="shared" si="11"/>
        <v>1.499690508509319E-4</v>
      </c>
      <c r="V46" s="100">
        <f t="shared" si="14"/>
        <v>0.90674575572678939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1.9607549023758677</v>
      </c>
      <c r="K47" s="93">
        <f t="shared" si="3"/>
        <v>0.30974364162659912</v>
      </c>
      <c r="L47" s="93">
        <f t="shared" si="4"/>
        <v>1.9911814357567864E-3</v>
      </c>
      <c r="M47" s="93">
        <f t="shared" si="5"/>
        <v>0.99800881856424317</v>
      </c>
      <c r="N47" s="93">
        <f t="shared" si="6"/>
        <v>1.5133170143334287E-3</v>
      </c>
      <c r="O47" s="40">
        <f t="shared" si="7"/>
        <v>3.113782630842896E-7</v>
      </c>
      <c r="P47" s="40">
        <f t="shared" si="8"/>
        <v>2.844744026367557E-5</v>
      </c>
      <c r="Q47" s="40">
        <f t="shared" si="9"/>
        <v>4.324065561498377E-4</v>
      </c>
      <c r="R47" s="9">
        <f t="shared" si="12"/>
        <v>1.4999999999999999E-4</v>
      </c>
      <c r="S47" s="9">
        <f t="shared" si="13"/>
        <v>2.9867721536351793E-7</v>
      </c>
      <c r="T47" s="9">
        <f t="shared" si="10"/>
        <v>4.6461546243989861E-5</v>
      </c>
      <c r="U47" s="9">
        <f t="shared" si="11"/>
        <v>1.4970132278463647E-4</v>
      </c>
      <c r="V47" s="100">
        <f t="shared" si="14"/>
        <v>0.31036162793852157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3.5001380315971067E-2</v>
      </c>
      <c r="K48" s="93">
        <f t="shared" ref="K48:K50" si="17">IF(D48=0,"",1/(1+10^D48*$J$15/$J$14+10^E48*$J$16/$J$14+10^J48*$J$19/$J$14))</f>
        <v>0.98995583110905383</v>
      </c>
      <c r="L48" s="93">
        <f t="shared" ref="L48:L50" si="18">IF(D48=0,"",1/(1+10^I48/10^J48*$J$13/$J$19))</f>
        <v>7.5504133977157995E-5</v>
      </c>
      <c r="M48" s="93">
        <f t="shared" ref="M48:M92" si="19">IF(D48=0,"",1-L48)</f>
        <v>0.99992449586602283</v>
      </c>
      <c r="N48" s="93">
        <f t="shared" ref="N48:N50" si="20">IF(D48=0,"",1/(1/10^E48*$J$20/$J$22+10^D48/10^E48*$J$21/$J$22+10^I48/10^E48*$J$13/$J$22+1))</f>
        <v>5.2885833653965344E-6</v>
      </c>
      <c r="O48" s="40">
        <f t="shared" ref="O48:O92" si="21">IF(D48=0,"",F48*K48*$J$7/$J$14)</f>
        <v>9.9518016125251952E-7</v>
      </c>
      <c r="P48" s="40">
        <f t="shared" ref="P48:P50" si="22">IF(D48=0,"",O48*10^J48)</f>
        <v>1.0787059895219489E-6</v>
      </c>
      <c r="Q48" s="40">
        <f t="shared" ref="Q48:Q50" si="23">IF(D48=0,"",F48*N48*$J$7/$J$22)</f>
        <v>1.5111295903520318E-6</v>
      </c>
      <c r="R48" s="9">
        <f t="shared" si="12"/>
        <v>1.4999999999999999E-4</v>
      </c>
      <c r="S48" s="9">
        <f t="shared" si="13"/>
        <v>1.1325620096573698E-8</v>
      </c>
      <c r="T48" s="9">
        <f t="shared" si="10"/>
        <v>1.4849337466635805E-4</v>
      </c>
      <c r="U48" s="9">
        <f t="shared" si="11"/>
        <v>1.4998867437990342E-4</v>
      </c>
      <c r="V48" s="100">
        <f t="shared" si="14"/>
        <v>0.99003058251079723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0.86614766954915157</v>
      </c>
      <c r="K49" s="93">
        <f t="shared" si="17"/>
        <v>0.81245433863626559</v>
      </c>
      <c r="L49" s="93">
        <f t="shared" si="18"/>
        <v>4.2004920200081611E-4</v>
      </c>
      <c r="M49" s="93">
        <f t="shared" si="19"/>
        <v>0.99957995079799922</v>
      </c>
      <c r="N49" s="93">
        <f t="shared" si="20"/>
        <v>2.269998126572091E-4</v>
      </c>
      <c r="O49" s="40">
        <f t="shared" si="21"/>
        <v>8.1674193365630973E-7</v>
      </c>
      <c r="P49" s="40">
        <f t="shared" si="22"/>
        <v>6.0011229349279462E-6</v>
      </c>
      <c r="Q49" s="40">
        <f t="shared" si="23"/>
        <v>6.4861629326884307E-5</v>
      </c>
      <c r="R49" s="9">
        <f t="shared" si="12"/>
        <v>1.4999999999999999E-4</v>
      </c>
      <c r="S49" s="9">
        <f t="shared" si="13"/>
        <v>6.3007380300122413E-8</v>
      </c>
      <c r="T49" s="9">
        <f t="shared" si="10"/>
        <v>1.2186815079543983E-4</v>
      </c>
      <c r="U49" s="9">
        <f t="shared" si="11"/>
        <v>1.4993699261969988E-4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1.8465793817928891</v>
      </c>
      <c r="K50" s="93">
        <f t="shared" si="17"/>
        <v>0.3093172599274</v>
      </c>
      <c r="L50" s="93">
        <f t="shared" si="18"/>
        <v>1.5287521060840638E-3</v>
      </c>
      <c r="M50" s="93">
        <f t="shared" si="19"/>
        <v>0.99847124789391595</v>
      </c>
      <c r="N50" s="93">
        <f t="shared" si="20"/>
        <v>1.0015155365132021E-3</v>
      </c>
      <c r="O50" s="40">
        <f t="shared" si="21"/>
        <v>3.1094963122534216E-7</v>
      </c>
      <c r="P50" s="40">
        <f t="shared" si="22"/>
        <v>2.1840844553307E-5</v>
      </c>
      <c r="Q50" s="40">
        <f t="shared" si="23"/>
        <v>2.861673264573594E-4</v>
      </c>
      <c r="R50" s="9">
        <f t="shared" si="12"/>
        <v>1.4999999999999999E-4</v>
      </c>
      <c r="S50" s="9">
        <f t="shared" si="13"/>
        <v>2.2931281591260955E-7</v>
      </c>
      <c r="T50" s="9">
        <f t="shared" si="10"/>
        <v>4.6397588989109997E-5</v>
      </c>
      <c r="U50" s="9">
        <f t="shared" si="11"/>
        <v>1.4977068718408738E-4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4.7849539498028779</v>
      </c>
      <c r="K51" s="93">
        <f t="shared" ref="K51:K70" si="26">IF(D51=0,"",1/(1+10^D51*$J$15/$J$14+10^E51*$J$16/$J$14+10^J51*$J$19/$J$14))</f>
        <v>1.0422666902852055E-3</v>
      </c>
      <c r="L51" s="93">
        <f t="shared" ref="L51:L70" si="27">IF(D51=0,"",1/(1+10^I51/10^J51*$J$13/$J$19))</f>
        <v>4.469781981097023E-3</v>
      </c>
      <c r="M51" s="93">
        <f t="shared" ref="M51:M70" si="28">IF(D51=0,"",1-L51)</f>
        <v>0.99553021801890296</v>
      </c>
      <c r="N51" s="93">
        <f t="shared" ref="N51:N70" si="29">IF(D51=0,"",1/(1/10^E51*$J$20/$J$22+10^D51/10^E51*$J$21/$J$22+10^I51/10^E51*$J$13/$J$22+1))</f>
        <v>3.9773919915626942E-3</v>
      </c>
      <c r="O51" s="40">
        <f t="shared" ref="O51:O70" si="30">IF(D51=0,"",F51*K51*$J$7/$J$14)</f>
        <v>1.0477670824405677E-9</v>
      </c>
      <c r="P51" s="40">
        <f t="shared" ref="P51:P70" si="31">IF(D51=0,"",O51*10^J51)</f>
        <v>6.3858498083367137E-5</v>
      </c>
      <c r="Q51" s="40">
        <f t="shared" ref="Q51:Q70" si="32">IF(D51=0,"",F51*N51*$J$7/$J$22)</f>
        <v>1.1364772597148866E-3</v>
      </c>
      <c r="R51" s="9">
        <f t="shared" si="12"/>
        <v>1.4999999999999999E-4</v>
      </c>
      <c r="S51" s="9">
        <f t="shared" si="13"/>
        <v>6.7046729716455334E-7</v>
      </c>
      <c r="T51" s="9">
        <f t="shared" si="10"/>
        <v>1.5634000354278082E-7</v>
      </c>
      <c r="U51" s="9">
        <f t="shared" si="11"/>
        <v>1.4932953270283542E-4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2.1476419495508856</v>
      </c>
      <c r="K52" s="93">
        <f t="shared" si="26"/>
        <v>0.22534112359531899</v>
      </c>
      <c r="L52" s="93">
        <f t="shared" si="27"/>
        <v>2.2275934756663799E-3</v>
      </c>
      <c r="M52" s="93">
        <f t="shared" si="28"/>
        <v>0.99777240652433363</v>
      </c>
      <c r="N52" s="93">
        <f t="shared" si="29"/>
        <v>1.6990102228876263E-3</v>
      </c>
      <c r="O52" s="40">
        <f t="shared" si="30"/>
        <v>2.265303245551664E-7</v>
      </c>
      <c r="P52" s="40">
        <f t="shared" si="31"/>
        <v>3.1824991531566818E-5</v>
      </c>
      <c r="Q52" s="40">
        <f t="shared" si="32"/>
        <v>4.8546547245806521E-4</v>
      </c>
      <c r="R52" s="9">
        <f t="shared" si="12"/>
        <v>1.4999999999999999E-4</v>
      </c>
      <c r="S52" s="9">
        <f t="shared" si="13"/>
        <v>3.3413902134995695E-7</v>
      </c>
      <c r="T52" s="9">
        <f t="shared" si="10"/>
        <v>3.3801168539297844E-5</v>
      </c>
      <c r="U52" s="9">
        <f t="shared" si="11"/>
        <v>1.4966586097865003E-4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3.0007157776870899</v>
      </c>
      <c r="K53" s="93">
        <f t="shared" si="26"/>
        <v>4.816741009019021E-2</v>
      </c>
      <c r="L53" s="93">
        <f t="shared" si="27"/>
        <v>3.3948657540463249E-3</v>
      </c>
      <c r="M53" s="93">
        <f t="shared" si="28"/>
        <v>0.99660513424595365</v>
      </c>
      <c r="N53" s="93">
        <f t="shared" si="29"/>
        <v>2.8309019784807815E-3</v>
      </c>
      <c r="O53" s="40">
        <f t="shared" si="30"/>
        <v>4.8421605726560105E-8</v>
      </c>
      <c r="P53" s="40">
        <f t="shared" si="31"/>
        <v>4.8501477066415847E-5</v>
      </c>
      <c r="Q53" s="40">
        <f t="shared" si="32"/>
        <v>8.0888575474836425E-4</v>
      </c>
      <c r="R53" s="9">
        <f t="shared" si="12"/>
        <v>1.4999999999999999E-4</v>
      </c>
      <c r="S53" s="9">
        <f t="shared" si="13"/>
        <v>5.0922986310694865E-7</v>
      </c>
      <c r="T53" s="9">
        <f t="shared" si="10"/>
        <v>7.225111513528531E-6</v>
      </c>
      <c r="U53" s="9">
        <f t="shared" si="11"/>
        <v>1.4949077013689304E-4</v>
      </c>
      <c r="V53" s="100">
        <f t="shared" si="14"/>
        <v>4.8331489007062356E-2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2.3388959370141773</v>
      </c>
      <c r="K54" s="93">
        <f t="shared" si="26"/>
        <v>0.16325294245917973</v>
      </c>
      <c r="L54" s="93">
        <f t="shared" si="27"/>
        <v>2.5067469022958342E-3</v>
      </c>
      <c r="M54" s="93">
        <f t="shared" si="28"/>
        <v>0.9974932530977042</v>
      </c>
      <c r="N54" s="93">
        <f t="shared" si="29"/>
        <v>1.9520033302073728E-3</v>
      </c>
      <c r="O54" s="40">
        <f t="shared" si="30"/>
        <v>1.6411448318806605E-7</v>
      </c>
      <c r="P54" s="40">
        <f t="shared" si="31"/>
        <v>3.5813176779699939E-5</v>
      </c>
      <c r="Q54" s="40">
        <f t="shared" si="32"/>
        <v>5.5775427726871053E-4</v>
      </c>
      <c r="R54" s="9">
        <f t="shared" si="12"/>
        <v>1.4999999999999999E-4</v>
      </c>
      <c r="S54" s="9">
        <f t="shared" si="13"/>
        <v>3.7601203534437508E-7</v>
      </c>
      <c r="T54" s="9">
        <f t="shared" si="10"/>
        <v>2.4487941368876959E-5</v>
      </c>
      <c r="U54" s="9">
        <f t="shared" si="11"/>
        <v>1.4962398796465563E-4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0.66821968451796954</v>
      </c>
      <c r="K55" s="55">
        <f t="shared" si="26"/>
        <v>0.87341304082042115</v>
      </c>
      <c r="L55" s="55">
        <f t="shared" si="27"/>
        <v>2.8628123941237279E-4</v>
      </c>
      <c r="M55" s="55">
        <f t="shared" si="28"/>
        <v>0.99971371876058768</v>
      </c>
      <c r="N55" s="55">
        <f t="shared" si="29"/>
        <v>1.3378031326494728E-4</v>
      </c>
      <c r="O55" s="56">
        <f t="shared" si="30"/>
        <v>8.7802233543081019E-7</v>
      </c>
      <c r="P55" s="56">
        <f t="shared" si="31"/>
        <v>4.0900182728447384E-6</v>
      </c>
      <c r="Q55" s="56">
        <f t="shared" si="32"/>
        <v>3.8225622253393087E-5</v>
      </c>
      <c r="R55" s="9">
        <f t="shared" si="12"/>
        <v>1.4999999999999999E-4</v>
      </c>
      <c r="S55" s="9">
        <f t="shared" si="13"/>
        <v>4.2942185911855913E-8</v>
      </c>
      <c r="T55" s="9">
        <f t="shared" si="10"/>
        <v>1.3101195612306315E-4</v>
      </c>
      <c r="U55" s="9">
        <f t="shared" si="11"/>
        <v>1.4995705781408814E-4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2.1336193491516409</v>
      </c>
      <c r="K56" s="55">
        <f t="shared" si="26"/>
        <v>0.23886063821131481</v>
      </c>
      <c r="L56" s="55">
        <f t="shared" si="27"/>
        <v>2.2862171049761763E-3</v>
      </c>
      <c r="M56" s="55">
        <f t="shared" si="28"/>
        <v>0.99771378289502377</v>
      </c>
      <c r="N56" s="55">
        <f t="shared" si="29"/>
        <v>1.7759802216274429E-3</v>
      </c>
      <c r="O56" s="56">
        <f t="shared" si="30"/>
        <v>2.4012118620050823E-7</v>
      </c>
      <c r="P56" s="56">
        <f t="shared" si="31"/>
        <v>3.2662530573907502E-5</v>
      </c>
      <c r="Q56" s="56">
        <f t="shared" si="32"/>
        <v>5.0745844006941615E-4</v>
      </c>
      <c r="R56" s="9">
        <f t="shared" si="12"/>
        <v>1.4999999999999999E-4</v>
      </c>
      <c r="S56" s="9">
        <f t="shared" si="13"/>
        <v>3.429325657464264E-7</v>
      </c>
      <c r="T56" s="9">
        <f t="shared" si="10"/>
        <v>3.582909573169722E-5</v>
      </c>
      <c r="U56" s="9">
        <f t="shared" si="11"/>
        <v>1.4965706743425356E-4</v>
      </c>
      <c r="V56" s="100">
        <f t="shared" si="14"/>
        <v>0.23940797682299531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1.4736389783743882</v>
      </c>
      <c r="K57" s="55">
        <f t="shared" si="26"/>
        <v>0.54392521043545905</v>
      </c>
      <c r="L57" s="55">
        <f t="shared" si="27"/>
        <v>1.1390209156247218E-3</v>
      </c>
      <c r="M57" s="55">
        <f t="shared" si="28"/>
        <v>0.99886097908437532</v>
      </c>
      <c r="N57" s="55">
        <f t="shared" si="29"/>
        <v>7.8109296262402297E-4</v>
      </c>
      <c r="O57" s="56">
        <f t="shared" si="30"/>
        <v>5.4679568685811449E-7</v>
      </c>
      <c r="P57" s="56">
        <f t="shared" si="31"/>
        <v>1.627286638698308E-5</v>
      </c>
      <c r="Q57" s="56">
        <f t="shared" si="32"/>
        <v>2.2318503975183045E-4</v>
      </c>
      <c r="R57" s="9">
        <f t="shared" si="12"/>
        <v>1.4999999999999999E-4</v>
      </c>
      <c r="S57" s="9">
        <f t="shared" si="13"/>
        <v>1.7085313734370826E-7</v>
      </c>
      <c r="T57" s="9">
        <f t="shared" si="10"/>
        <v>8.1588781565318844E-5</v>
      </c>
      <c r="U57" s="9">
        <f t="shared" si="11"/>
        <v>1.4982914686265629E-4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1.2642800792666067</v>
      </c>
      <c r="K58" s="55">
        <f t="shared" si="26"/>
        <v>0.62871392854458941</v>
      </c>
      <c r="L58" s="55">
        <f t="shared" si="27"/>
        <v>8.1299278854279628E-4</v>
      </c>
      <c r="M58" s="55">
        <f t="shared" si="28"/>
        <v>0.99918700721145726</v>
      </c>
      <c r="N58" s="55">
        <f t="shared" si="29"/>
        <v>4.9663648144389544E-4</v>
      </c>
      <c r="O58" s="56">
        <f t="shared" si="30"/>
        <v>6.3203186357289509E-7</v>
      </c>
      <c r="P58" s="56">
        <f t="shared" si="31"/>
        <v>1.1614995686257061E-5</v>
      </c>
      <c r="Q58" s="56">
        <f t="shared" si="32"/>
        <v>1.4190607028502755E-4</v>
      </c>
      <c r="R58" s="9">
        <f t="shared" si="12"/>
        <v>1.4999999999999999E-4</v>
      </c>
      <c r="S58" s="9">
        <f t="shared" si="13"/>
        <v>1.2194891828141944E-7</v>
      </c>
      <c r="T58" s="9">
        <f t="shared" si="10"/>
        <v>9.4307089281688396E-5</v>
      </c>
      <c r="U58" s="9">
        <f t="shared" si="11"/>
        <v>1.4987805108171857E-4</v>
      </c>
      <c r="V58" s="100">
        <f t="shared" si="14"/>
        <v>0.62922548432571357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0.79270412978539384</v>
      </c>
      <c r="K59" s="55">
        <f t="shared" si="26"/>
        <v>0.85551902606236752</v>
      </c>
      <c r="L59" s="55">
        <f t="shared" si="27"/>
        <v>3.7349718620658073E-4</v>
      </c>
      <c r="M59" s="55">
        <f t="shared" si="28"/>
        <v>0.99962650281379339</v>
      </c>
      <c r="N59" s="55">
        <f t="shared" si="29"/>
        <v>2.1417324107853632E-4</v>
      </c>
      <c r="O59" s="56">
        <f t="shared" si="30"/>
        <v>8.6003388793368836E-7</v>
      </c>
      <c r="P59" s="56">
        <f t="shared" si="31"/>
        <v>5.3360475858516463E-6</v>
      </c>
      <c r="Q59" s="56">
        <f t="shared" si="32"/>
        <v>6.1196638058689083E-5</v>
      </c>
      <c r="R59" s="9">
        <f t="shared" si="12"/>
        <v>1.4999999999999999E-4</v>
      </c>
      <c r="S59" s="9">
        <f t="shared" si="13"/>
        <v>5.6024577930987102E-8</v>
      </c>
      <c r="T59" s="9">
        <f t="shared" si="10"/>
        <v>1.2832785390935511E-4</v>
      </c>
      <c r="U59" s="9">
        <f t="shared" si="11"/>
        <v>1.49943975422069E-4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2.1926316771695706</v>
      </c>
      <c r="K60" s="55">
        <f t="shared" si="26"/>
        <v>0.22279989079141926</v>
      </c>
      <c r="L60" s="55">
        <f t="shared" si="27"/>
        <v>2.442869026186963E-3</v>
      </c>
      <c r="M60" s="55">
        <f t="shared" si="28"/>
        <v>0.99755713097381304</v>
      </c>
      <c r="N60" s="55">
        <f t="shared" si="29"/>
        <v>1.9348107544778521E-3</v>
      </c>
      <c r="O60" s="56">
        <f t="shared" si="30"/>
        <v>2.2397568081037238E-7</v>
      </c>
      <c r="P60" s="56">
        <f t="shared" si="31"/>
        <v>3.4900571814554245E-5</v>
      </c>
      <c r="Q60" s="56">
        <f t="shared" si="32"/>
        <v>5.5284176892304729E-4</v>
      </c>
      <c r="R60" s="9">
        <f t="shared" si="12"/>
        <v>1.4999999999999999E-4</v>
      </c>
      <c r="S60" s="9">
        <f t="shared" si="13"/>
        <v>3.6643035392804444E-7</v>
      </c>
      <c r="T60" s="9">
        <f t="shared" si="10"/>
        <v>3.3419983618712887E-5</v>
      </c>
      <c r="U60" s="9">
        <f t="shared" si="11"/>
        <v>1.4963356964607194E-4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3.2027420384680658</v>
      </c>
      <c r="K61" s="55">
        <f t="shared" si="26"/>
        <v>3.83792555818213E-2</v>
      </c>
      <c r="L61" s="55">
        <f t="shared" si="27"/>
        <v>4.3071710326675295E-3</v>
      </c>
      <c r="M61" s="55">
        <f t="shared" si="28"/>
        <v>0.99569282896733247</v>
      </c>
      <c r="N61" s="55">
        <f t="shared" si="29"/>
        <v>3.8310698102964613E-3</v>
      </c>
      <c r="O61" s="56">
        <f t="shared" si="30"/>
        <v>3.858179583212242E-8</v>
      </c>
      <c r="P61" s="56">
        <f t="shared" si="31"/>
        <v>6.1535321923425999E-5</v>
      </c>
      <c r="Q61" s="56">
        <f t="shared" si="32"/>
        <v>1.0946679957666234E-3</v>
      </c>
      <c r="R61" s="9">
        <f t="shared" si="12"/>
        <v>1.4999999999999999E-4</v>
      </c>
      <c r="S61" s="9">
        <f t="shared" si="13"/>
        <v>6.4607565490012935E-7</v>
      </c>
      <c r="T61" s="9">
        <f t="shared" si="10"/>
        <v>5.7568883372731946E-6</v>
      </c>
      <c r="U61" s="9">
        <f t="shared" si="11"/>
        <v>1.4935392434509986E-4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4.1780835037756168</v>
      </c>
      <c r="K62" s="55">
        <f t="shared" si="26"/>
        <v>5.5071291295937658E-3</v>
      </c>
      <c r="L62" s="55">
        <f t="shared" si="27"/>
        <v>5.8393202711789372E-3</v>
      </c>
      <c r="M62" s="55">
        <f t="shared" si="28"/>
        <v>0.99416067972882105</v>
      </c>
      <c r="N62" s="55">
        <f t="shared" si="29"/>
        <v>5.4960260041748013E-3</v>
      </c>
      <c r="O62" s="56">
        <f t="shared" si="30"/>
        <v>5.5361921037301585E-9</v>
      </c>
      <c r="P62" s="56">
        <f t="shared" si="31"/>
        <v>8.3424700337113219E-5</v>
      </c>
      <c r="Q62" s="56">
        <f t="shared" si="32"/>
        <v>1.5704030645700266E-3</v>
      </c>
      <c r="R62" s="9">
        <f t="shared" si="12"/>
        <v>1.4999999999999999E-4</v>
      </c>
      <c r="S62" s="9">
        <f t="shared" si="13"/>
        <v>8.7589804067684046E-7</v>
      </c>
      <c r="T62" s="9">
        <f t="shared" si="10"/>
        <v>8.2606936943906479E-7</v>
      </c>
      <c r="U62" s="9">
        <f t="shared" si="11"/>
        <v>1.4912410195932314E-4</v>
      </c>
      <c r="V62" s="100">
        <f t="shared" si="14"/>
        <v>5.5394759035289499E-3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5.3453840366218301</v>
      </c>
      <c r="K63" s="55">
        <f t="shared" si="26"/>
        <v>4.6621256421042906E-4</v>
      </c>
      <c r="L63" s="55">
        <f t="shared" si="27"/>
        <v>7.2664374958762816E-3</v>
      </c>
      <c r="M63" s="55">
        <f t="shared" si="28"/>
        <v>0.9927335625041237</v>
      </c>
      <c r="N63" s="55">
        <f t="shared" si="29"/>
        <v>7.069805931933011E-3</v>
      </c>
      <c r="O63" s="56">
        <f t="shared" si="30"/>
        <v>4.6867292484059805E-10</v>
      </c>
      <c r="P63" s="56">
        <f t="shared" si="31"/>
        <v>1.0381351637858573E-4</v>
      </c>
      <c r="Q63" s="56">
        <f t="shared" si="32"/>
        <v>2.0200859480994987E-3</v>
      </c>
      <c r="R63" s="9">
        <f t="shared" si="12"/>
        <v>1.4999999999999999E-4</v>
      </c>
      <c r="S63" s="9">
        <f t="shared" si="13"/>
        <v>1.0899656243814422E-6</v>
      </c>
      <c r="T63" s="9">
        <f t="shared" si="10"/>
        <v>6.9931884631564359E-8</v>
      </c>
      <c r="U63" s="9">
        <f t="shared" si="11"/>
        <v>1.4891003437561854E-4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4.5957959641970998</v>
      </c>
      <c r="K64" s="55">
        <f t="shared" si="26"/>
        <v>2.3097066862456145E-3</v>
      </c>
      <c r="L64" s="55">
        <f t="shared" si="27"/>
        <v>6.4077613413883825E-3</v>
      </c>
      <c r="M64" s="55">
        <f t="shared" si="28"/>
        <v>0.99359223865861157</v>
      </c>
      <c r="N64" s="55">
        <f t="shared" si="29"/>
        <v>6.1218171071051623E-3</v>
      </c>
      <c r="O64" s="56">
        <f t="shared" si="30"/>
        <v>2.3218957858845333E-9</v>
      </c>
      <c r="P64" s="56">
        <f t="shared" si="31"/>
        <v>9.1545855495461261E-5</v>
      </c>
      <c r="Q64" s="56">
        <f t="shared" si="32"/>
        <v>1.7492130383721881E-3</v>
      </c>
      <c r="R64" s="9">
        <f t="shared" si="12"/>
        <v>1.4999999999999999E-4</v>
      </c>
      <c r="S64" s="9">
        <f t="shared" si="13"/>
        <v>9.611642012082573E-7</v>
      </c>
      <c r="T64" s="9">
        <f t="shared" si="10"/>
        <v>3.4645600293684215E-7</v>
      </c>
      <c r="U64" s="9">
        <f t="shared" si="11"/>
        <v>1.4903883579879171E-4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4.297243414913436</v>
      </c>
      <c r="K65" s="55">
        <f t="shared" si="26"/>
        <v>4.3062144620876356E-3</v>
      </c>
      <c r="L65" s="55">
        <f t="shared" si="27"/>
        <v>6.007483716240122E-3</v>
      </c>
      <c r="M65" s="55">
        <f t="shared" si="28"/>
        <v>0.99399251628375984</v>
      </c>
      <c r="N65" s="55">
        <f t="shared" si="29"/>
        <v>5.6809265503574334E-3</v>
      </c>
      <c r="O65" s="56">
        <f t="shared" si="30"/>
        <v>4.3289398052913909E-9</v>
      </c>
      <c r="P65" s="56">
        <f t="shared" si="31"/>
        <v>8.5827203430003816E-5</v>
      </c>
      <c r="Q65" s="56">
        <f t="shared" si="32"/>
        <v>1.6232354900617022E-3</v>
      </c>
      <c r="R65" s="9">
        <f t="shared" si="12"/>
        <v>1.4999999999999999E-4</v>
      </c>
      <c r="S65" s="9">
        <f t="shared" si="13"/>
        <v>9.0112255743601817E-7</v>
      </c>
      <c r="T65" s="9">
        <f t="shared" si="10"/>
        <v>6.4593216931314527E-7</v>
      </c>
      <c r="U65" s="9">
        <f t="shared" si="11"/>
        <v>1.4909887744256396E-4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4.5957959641970998</v>
      </c>
      <c r="K66" s="55">
        <f t="shared" si="26"/>
        <v>2.3097066862456145E-3</v>
      </c>
      <c r="L66" s="55">
        <f t="shared" si="27"/>
        <v>6.4077613413883825E-3</v>
      </c>
      <c r="M66" s="55">
        <f t="shared" si="28"/>
        <v>0.99359223865861157</v>
      </c>
      <c r="N66" s="55">
        <f t="shared" si="29"/>
        <v>6.1218171071051623E-3</v>
      </c>
      <c r="O66" s="56">
        <f t="shared" si="30"/>
        <v>2.3218957858845333E-9</v>
      </c>
      <c r="P66" s="56">
        <f t="shared" si="31"/>
        <v>9.1545855495461261E-5</v>
      </c>
      <c r="Q66" s="56">
        <f t="shared" si="32"/>
        <v>1.7492130383721881E-3</v>
      </c>
      <c r="R66" s="9">
        <f t="shared" si="12"/>
        <v>1.4999999999999999E-4</v>
      </c>
      <c r="S66" s="9">
        <f t="shared" si="13"/>
        <v>9.611642012082573E-7</v>
      </c>
      <c r="T66" s="9">
        <f t="shared" si="10"/>
        <v>3.4645600293684215E-7</v>
      </c>
      <c r="U66" s="9">
        <f t="shared" si="11"/>
        <v>1.4903883579879171E-4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-4.4567291494222658E-2</v>
      </c>
      <c r="K67" s="55">
        <f t="shared" si="26"/>
        <v>0.99904288565852928</v>
      </c>
      <c r="L67" s="55">
        <f t="shared" si="27"/>
        <v>6.3441051446558661E-5</v>
      </c>
      <c r="M67" s="55">
        <f t="shared" si="28"/>
        <v>0.99993655894855349</v>
      </c>
      <c r="N67" s="55">
        <f t="shared" si="29"/>
        <v>1.0456537122519228E-7</v>
      </c>
      <c r="O67" s="56">
        <f t="shared" si="30"/>
        <v>1.0043151712475879E-6</v>
      </c>
      <c r="P67" s="56">
        <f t="shared" si="31"/>
        <v>9.0636417600228474E-7</v>
      </c>
      <c r="Q67" s="56">
        <f t="shared" si="32"/>
        <v>2.9877911657479434E-8</v>
      </c>
      <c r="R67" s="9">
        <f t="shared" si="12"/>
        <v>1.4999999999999999E-4</v>
      </c>
      <c r="S67" s="9">
        <f t="shared" si="13"/>
        <v>9.5161577169837977E-9</v>
      </c>
      <c r="T67" s="9">
        <f t="shared" si="10"/>
        <v>1.4985643284877939E-4</v>
      </c>
      <c r="U67" s="9">
        <f t="shared" si="11"/>
        <v>1.4999048384228302E-4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4.5743714574945757</v>
      </c>
      <c r="K68" s="55">
        <f t="shared" si="26"/>
        <v>1.8883440128586934E-3</v>
      </c>
      <c r="L68" s="55">
        <f t="shared" si="27"/>
        <v>4.9866180573172421E-3</v>
      </c>
      <c r="M68" s="55">
        <f t="shared" si="28"/>
        <v>0.99501338194268274</v>
      </c>
      <c r="N68" s="55">
        <f t="shared" si="29"/>
        <v>4.5497407654458352E-3</v>
      </c>
      <c r="O68" s="56">
        <f t="shared" si="30"/>
        <v>1.8983094398379539E-9</v>
      </c>
      <c r="P68" s="56">
        <f t="shared" si="31"/>
        <v>7.124238743687511E-5</v>
      </c>
      <c r="Q68" s="56">
        <f t="shared" si="32"/>
        <v>1.300016927799833E-3</v>
      </c>
      <c r="R68" s="9">
        <f t="shared" si="12"/>
        <v>1.4999999999999999E-4</v>
      </c>
      <c r="S68" s="9">
        <f t="shared" si="13"/>
        <v>7.4799270859758629E-7</v>
      </c>
      <c r="T68" s="9">
        <f t="shared" si="10"/>
        <v>2.8325160192880401E-7</v>
      </c>
      <c r="U68" s="9">
        <f t="shared" si="11"/>
        <v>1.492520072914024E-4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1.7365957830383387</v>
      </c>
      <c r="K69" s="55">
        <f t="shared" si="26"/>
        <v>0.40931098368795138</v>
      </c>
      <c r="L69" s="55">
        <f t="shared" si="27"/>
        <v>1.5703726184839364E-3</v>
      </c>
      <c r="M69" s="55">
        <f t="shared" si="28"/>
        <v>0.99842962738151608</v>
      </c>
      <c r="N69" s="55">
        <f t="shared" si="29"/>
        <v>1.1373049202127803E-3</v>
      </c>
      <c r="O69" s="56">
        <f t="shared" si="30"/>
        <v>4.1147105552442603E-7</v>
      </c>
      <c r="P69" s="56">
        <f t="shared" si="31"/>
        <v>2.2435464922389003E-5</v>
      </c>
      <c r="Q69" s="56">
        <f t="shared" si="32"/>
        <v>3.2496700901634145E-4</v>
      </c>
      <c r="R69" s="9">
        <f t="shared" si="12"/>
        <v>1.4999999999999999E-4</v>
      </c>
      <c r="S69" s="9">
        <f t="shared" si="13"/>
        <v>2.3555589277259042E-7</v>
      </c>
      <c r="T69" s="9">
        <f t="shared" si="10"/>
        <v>6.1396647553192701E-5</v>
      </c>
      <c r="U69" s="9">
        <f t="shared" si="11"/>
        <v>1.497644441072274E-4</v>
      </c>
      <c r="V69" s="100">
        <f t="shared" si="14"/>
        <v>0.40995476542639397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3.0509801020444232</v>
      </c>
      <c r="K70" s="55">
        <f t="shared" si="26"/>
        <v>5.1374142478498357E-2</v>
      </c>
      <c r="L70" s="55">
        <f t="shared" si="27"/>
        <v>4.0651653962091939E-3</v>
      </c>
      <c r="M70" s="55">
        <f t="shared" si="28"/>
        <v>0.99593483460379084</v>
      </c>
      <c r="N70" s="55">
        <f t="shared" si="29"/>
        <v>3.5750911779457869E-3</v>
      </c>
      <c r="O70" s="56">
        <f t="shared" si="30"/>
        <v>5.1645261121079036E-8</v>
      </c>
      <c r="P70" s="56">
        <f t="shared" si="31"/>
        <v>5.8077856539813306E-5</v>
      </c>
      <c r="Q70" s="56">
        <f t="shared" si="32"/>
        <v>1.0215261240937837E-3</v>
      </c>
      <c r="R70" s="9">
        <f t="shared" si="12"/>
        <v>1.4999999999999999E-4</v>
      </c>
      <c r="S70" s="9">
        <f t="shared" si="13"/>
        <v>6.0977480943137902E-7</v>
      </c>
      <c r="T70" s="9">
        <f t="shared" si="10"/>
        <v>7.7061213717747526E-6</v>
      </c>
      <c r="U70" s="9">
        <f t="shared" si="11"/>
        <v>1.4939022519056862E-4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5.7767955088211638</v>
      </c>
      <c r="K71" s="55">
        <f t="shared" ref="K71:K122" si="35">IF(D71=0,"",1/(1+10^D71*$J$15/$J$14+10^E71*$J$16/$J$14+10^J71*$J$19/$J$14))</f>
        <v>1.2149915106646723E-4</v>
      </c>
      <c r="L71" s="55">
        <f t="shared" ref="L71:L122" si="36">IF(D71=0,"",1/(1+10^I71/10^J71*$J$13/$J$19))</f>
        <v>5.1135473823495951E-3</v>
      </c>
      <c r="M71" s="55">
        <f t="shared" si="19"/>
        <v>0.99488645261765041</v>
      </c>
      <c r="N71" s="55">
        <f t="shared" ref="N71:N122" si="37">IF(D71=0,"",1/(1/10^E71*$J$20/$J$22+10^D71/10^E71*$J$21/$J$22+10^I71/10^E71*$J$13/$J$22+1))</f>
        <v>4.6885308721056158E-3</v>
      </c>
      <c r="O71" s="56">
        <f t="shared" si="21"/>
        <v>1.2214034298369741E-10</v>
      </c>
      <c r="P71" s="56">
        <f t="shared" ref="P71:P122" si="38">IF(D71=0,"",O71*10^J71)</f>
        <v>7.3055790438090846E-5</v>
      </c>
      <c r="Q71" s="56">
        <f t="shared" ref="Q71:Q122" si="39">IF(D71=0,"",F71*N71*$J$7/$J$22)</f>
        <v>1.3396740197904749E-3</v>
      </c>
      <c r="R71" s="9">
        <f t="shared" si="12"/>
        <v>1.4999999999999999E-4</v>
      </c>
      <c r="S71" s="9">
        <f t="shared" si="13"/>
        <v>7.6703210735243921E-7</v>
      </c>
      <c r="T71" s="9">
        <f t="shared" si="10"/>
        <v>1.8224872659970083E-8</v>
      </c>
      <c r="U71" s="9">
        <f t="shared" si="11"/>
        <v>1.4923296789264755E-4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5.2786655449069544</v>
      </c>
      <c r="K72" s="55">
        <f t="shared" si="35"/>
        <v>3.3972546261009544E-4</v>
      </c>
      <c r="L72" s="55">
        <f t="shared" si="36"/>
        <v>4.5409547665408966E-3</v>
      </c>
      <c r="M72" s="55">
        <f t="shared" si="19"/>
        <v>0.99545904523345907</v>
      </c>
      <c r="N72" s="55">
        <f t="shared" si="37"/>
        <v>4.055474128884037E-3</v>
      </c>
      <c r="O72" s="56">
        <f t="shared" si="21"/>
        <v>3.4151830822910489E-10</v>
      </c>
      <c r="P72" s="56">
        <f t="shared" si="38"/>
        <v>6.487532333392225E-5</v>
      </c>
      <c r="Q72" s="56">
        <f t="shared" si="39"/>
        <v>1.1587880034494452E-3</v>
      </c>
      <c r="R72" s="9">
        <f t="shared" si="12"/>
        <v>1.4999999999999999E-4</v>
      </c>
      <c r="S72" s="9">
        <f t="shared" si="13"/>
        <v>6.8114321498113444E-7</v>
      </c>
      <c r="T72" s="9">
        <f t="shared" si="10"/>
        <v>5.095881939151431E-8</v>
      </c>
      <c r="U72" s="9">
        <f t="shared" si="11"/>
        <v>1.4931885678501884E-4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5.3078721995446587</v>
      </c>
      <c r="K73" s="55">
        <f t="shared" si="35"/>
        <v>3.4483807808537446E-4</v>
      </c>
      <c r="L73" s="55">
        <f t="shared" si="36"/>
        <v>4.9299322125872765E-3</v>
      </c>
      <c r="M73" s="55">
        <f t="shared" si="19"/>
        <v>0.99507006778741269</v>
      </c>
      <c r="N73" s="55">
        <f t="shared" si="37"/>
        <v>4.4856641340506234E-3</v>
      </c>
      <c r="O73" s="56">
        <f t="shared" si="21"/>
        <v>3.4665790469717176E-10</v>
      </c>
      <c r="P73" s="56">
        <f t="shared" si="38"/>
        <v>7.0432532969173751E-5</v>
      </c>
      <c r="Q73" s="56">
        <f t="shared" si="39"/>
        <v>1.2817080372971444E-3</v>
      </c>
      <c r="R73" s="9">
        <f t="shared" si="12"/>
        <v>1.4999999999999999E-4</v>
      </c>
      <c r="S73" s="9">
        <f t="shared" si="13"/>
        <v>7.3948983188809142E-7</v>
      </c>
      <c r="T73" s="9">
        <f t="shared" si="10"/>
        <v>5.1725711712806164E-8</v>
      </c>
      <c r="U73" s="9">
        <f t="shared" si="11"/>
        <v>1.492605101681119E-4</v>
      </c>
      <c r="V73" s="100">
        <f t="shared" si="14"/>
        <v>3.4654652898176197E-4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2.0837828896743456</v>
      </c>
      <c r="K74" s="55">
        <f t="shared" si="35"/>
        <v>0.23709668509978238</v>
      </c>
      <c r="L74" s="55">
        <f t="shared" si="36"/>
        <v>2.0233075585483363E-3</v>
      </c>
      <c r="M74" s="55">
        <f t="shared" si="19"/>
        <v>0.99797669244145171</v>
      </c>
      <c r="N74" s="55">
        <f t="shared" si="37"/>
        <v>1.483634824104501E-3</v>
      </c>
      <c r="O74" s="56">
        <f t="shared" si="21"/>
        <v>2.3834792411465327E-7</v>
      </c>
      <c r="P74" s="56">
        <f t="shared" si="38"/>
        <v>2.8906417001106226E-5</v>
      </c>
      <c r="Q74" s="56">
        <f t="shared" si="39"/>
        <v>4.2392533672633948E-4</v>
      </c>
      <c r="R74" s="9">
        <f t="shared" si="12"/>
        <v>1.4999999999999999E-4</v>
      </c>
      <c r="S74" s="9">
        <f t="shared" si="13"/>
        <v>3.0349613378225042E-7</v>
      </c>
      <c r="T74" s="9">
        <f t="shared" si="10"/>
        <v>3.5564502764967354E-5</v>
      </c>
      <c r="U74" s="9">
        <f t="shared" si="11"/>
        <v>1.4969650386621774E-4</v>
      </c>
      <c r="V74" s="100">
        <f t="shared" si="14"/>
        <v>0.23757737720281691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3.9204939710794475</v>
      </c>
      <c r="K75" s="55">
        <f t="shared" si="35"/>
        <v>9.3195970565080818E-3</v>
      </c>
      <c r="L75" s="55">
        <f t="shared" si="36"/>
        <v>5.4606537403792729E-3</v>
      </c>
      <c r="M75" s="55">
        <f t="shared" si="19"/>
        <v>0.9945393462596207</v>
      </c>
      <c r="N75" s="55">
        <f t="shared" si="37"/>
        <v>5.0806661057515821E-3</v>
      </c>
      <c r="O75" s="56">
        <f t="shared" si="21"/>
        <v>9.3687797071852567E-9</v>
      </c>
      <c r="P75" s="56">
        <f t="shared" si="38"/>
        <v>7.8014799802015783E-5</v>
      </c>
      <c r="Q75" s="56">
        <f t="shared" si="39"/>
        <v>1.4517205006797096E-3</v>
      </c>
      <c r="R75" s="9">
        <f t="shared" si="12"/>
        <v>1.4999999999999999E-4</v>
      </c>
      <c r="S75" s="9">
        <f t="shared" si="13"/>
        <v>8.1909806105689084E-7</v>
      </c>
      <c r="T75" s="9">
        <f t="shared" si="10"/>
        <v>1.3979395584762122E-6</v>
      </c>
      <c r="U75" s="9">
        <f t="shared" si="11"/>
        <v>1.4918090193894311E-4</v>
      </c>
      <c r="V75" s="100">
        <f t="shared" si="14"/>
        <v>9.3707675735085864E-3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3.8585870053842997</v>
      </c>
      <c r="K76" s="55">
        <f t="shared" si="35"/>
        <v>8.89496967689213E-3</v>
      </c>
      <c r="L76" s="55">
        <f t="shared" si="36"/>
        <v>4.5194440004181959E-3</v>
      </c>
      <c r="M76" s="55">
        <f t="shared" si="19"/>
        <v>0.99548055599958185</v>
      </c>
      <c r="N76" s="55">
        <f t="shared" si="37"/>
        <v>4.0393641660739785E-3</v>
      </c>
      <c r="O76" s="56">
        <f t="shared" si="21"/>
        <v>8.9419114259559646E-9</v>
      </c>
      <c r="P76" s="56">
        <f t="shared" si="38"/>
        <v>6.4568005164260467E-5</v>
      </c>
      <c r="Q76" s="56">
        <f t="shared" si="39"/>
        <v>1.1541848347330294E-3</v>
      </c>
      <c r="R76" s="9">
        <f t="shared" si="12"/>
        <v>1.4999999999999999E-4</v>
      </c>
      <c r="S76" s="9">
        <f t="shared" si="13"/>
        <v>6.7791660006272933E-7</v>
      </c>
      <c r="T76" s="9">
        <f t="shared" si="10"/>
        <v>1.3342454515338193E-6</v>
      </c>
      <c r="U76" s="9">
        <f t="shared" si="11"/>
        <v>1.4932208339993726E-4</v>
      </c>
      <c r="V76" s="100">
        <f t="shared" si="14"/>
        <v>8.9353525021495916E-3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2.3639081225718592</v>
      </c>
      <c r="K77" s="55">
        <f t="shared" si="35"/>
        <v>0.17468578555149228</v>
      </c>
      <c r="L77" s="55">
        <f t="shared" si="36"/>
        <v>2.8413139395852185E-3</v>
      </c>
      <c r="M77" s="55">
        <f t="shared" si="19"/>
        <v>0.9971586860604148</v>
      </c>
      <c r="N77" s="55">
        <f t="shared" si="37"/>
        <v>2.3322768620065827E-3</v>
      </c>
      <c r="O77" s="56">
        <f t="shared" si="21"/>
        <v>1.7560766124171293E-7</v>
      </c>
      <c r="P77" s="56">
        <f t="shared" si="38"/>
        <v>4.0593040450871286E-5</v>
      </c>
      <c r="Q77" s="56">
        <f t="shared" si="39"/>
        <v>6.6641146325340656E-4</v>
      </c>
      <c r="R77" s="9">
        <f t="shared" si="12"/>
        <v>1.4999999999999999E-4</v>
      </c>
      <c r="S77" s="9">
        <f t="shared" si="13"/>
        <v>4.2619709093778276E-7</v>
      </c>
      <c r="T77" s="9">
        <f t="shared" si="10"/>
        <v>2.6202867832723839E-5</v>
      </c>
      <c r="U77" s="9">
        <f t="shared" si="11"/>
        <v>1.4957380290906222E-4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2.7169932228905553</v>
      </c>
      <c r="K78" s="55">
        <f t="shared" si="35"/>
        <v>0.1031945592993002</v>
      </c>
      <c r="L78" s="55">
        <f t="shared" si="36"/>
        <v>3.7844568323949692E-3</v>
      </c>
      <c r="M78" s="55">
        <f t="shared" si="19"/>
        <v>0.99621554316760508</v>
      </c>
      <c r="N78" s="55">
        <f t="shared" si="37"/>
        <v>3.3111612980470159E-3</v>
      </c>
      <c r="O78" s="56">
        <f t="shared" si="21"/>
        <v>1.0373915172438344E-7</v>
      </c>
      <c r="P78" s="56">
        <f t="shared" si="38"/>
        <v>5.4067453491046265E-5</v>
      </c>
      <c r="Q78" s="56">
        <f t="shared" si="39"/>
        <v>9.4611230838225098E-4</v>
      </c>
      <c r="R78" s="9">
        <f t="shared" si="12"/>
        <v>1.4999999999999999E-4</v>
      </c>
      <c r="S78" s="9">
        <f t="shared" si="13"/>
        <v>5.676685248592453E-7</v>
      </c>
      <c r="T78" s="9">
        <f t="shared" si="10"/>
        <v>1.5479183894895028E-5</v>
      </c>
      <c r="U78" s="9">
        <f t="shared" si="11"/>
        <v>1.4943233147514075E-4</v>
      </c>
      <c r="V78" s="100">
        <f t="shared" si="14"/>
        <v>0.10358657823303863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2.5889557991870298</v>
      </c>
      <c r="K79" s="55">
        <f t="shared" si="35"/>
        <v>8.7023799265504784E-2</v>
      </c>
      <c r="L79" s="55">
        <f t="shared" si="36"/>
        <v>2.3765522725818248E-3</v>
      </c>
      <c r="M79" s="55">
        <f t="shared" si="19"/>
        <v>0.99762344772741818</v>
      </c>
      <c r="N79" s="55">
        <f t="shared" si="37"/>
        <v>1.7395886933187815E-3</v>
      </c>
      <c r="O79" s="56">
        <f t="shared" si="21"/>
        <v>8.7483053146753537E-8</v>
      </c>
      <c r="P79" s="56">
        <f t="shared" si="38"/>
        <v>3.3953123303441511E-5</v>
      </c>
      <c r="Q79" s="56">
        <f t="shared" si="39"/>
        <v>4.9706013272208963E-4</v>
      </c>
      <c r="R79" s="9">
        <f t="shared" si="12"/>
        <v>1.4999999999999999E-4</v>
      </c>
      <c r="S79" s="9">
        <f t="shared" si="13"/>
        <v>3.5648284088727369E-7</v>
      </c>
      <c r="T79" s="9">
        <f t="shared" si="10"/>
        <v>1.3053569889825716E-5</v>
      </c>
      <c r="U79" s="9">
        <f t="shared" si="11"/>
        <v>1.4964351715911271E-4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2.6634845218157048</v>
      </c>
      <c r="K80" s="55">
        <f t="shared" si="35"/>
        <v>7.2002374729048038E-2</v>
      </c>
      <c r="L80" s="55">
        <f t="shared" si="36"/>
        <v>2.3344516005758104E-3</v>
      </c>
      <c r="M80" s="55">
        <f t="shared" si="19"/>
        <v>0.99766554839942423</v>
      </c>
      <c r="N80" s="55">
        <f t="shared" si="37"/>
        <v>1.679543887849878E-3</v>
      </c>
      <c r="O80" s="56">
        <f t="shared" si="21"/>
        <v>7.2382355496752249E-8</v>
      </c>
      <c r="P80" s="56">
        <f t="shared" si="38"/>
        <v>3.3351643031255033E-5</v>
      </c>
      <c r="Q80" s="56">
        <f t="shared" si="39"/>
        <v>4.7990327312057927E-4</v>
      </c>
      <c r="R80" s="9">
        <f t="shared" si="12"/>
        <v>1.4999999999999999E-4</v>
      </c>
      <c r="S80" s="9">
        <f t="shared" si="13"/>
        <v>3.5016774008637155E-7</v>
      </c>
      <c r="T80" s="9">
        <f t="shared" si="10"/>
        <v>1.0800356209357205E-5</v>
      </c>
      <c r="U80" s="9">
        <f t="shared" si="11"/>
        <v>1.4964983225991362E-4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4.3682400663002383</v>
      </c>
      <c r="K81" s="55">
        <f t="shared" si="35"/>
        <v>3.3792408007244702E-3</v>
      </c>
      <c r="L81" s="55">
        <f t="shared" si="36"/>
        <v>5.55153060917561E-3</v>
      </c>
      <c r="M81" s="55">
        <f t="shared" si="19"/>
        <v>0.99444846939082443</v>
      </c>
      <c r="N81" s="55">
        <f t="shared" si="37"/>
        <v>5.1758380234814549E-3</v>
      </c>
      <c r="O81" s="56">
        <f t="shared" si="21"/>
        <v>3.3970741918945339E-9</v>
      </c>
      <c r="P81" s="56">
        <f t="shared" si="38"/>
        <v>7.9313131661689354E-5</v>
      </c>
      <c r="Q81" s="56">
        <f t="shared" si="39"/>
        <v>1.4789143806123136E-3</v>
      </c>
      <c r="R81" s="9">
        <f t="shared" si="12"/>
        <v>1.4999999999999999E-4</v>
      </c>
      <c r="S81" s="9">
        <f t="shared" si="13"/>
        <v>8.3272959137634147E-7</v>
      </c>
      <c r="T81" s="9">
        <f t="shared" si="10"/>
        <v>5.0688612010867053E-7</v>
      </c>
      <c r="U81" s="9">
        <f t="shared" si="11"/>
        <v>1.4916727040862365E-4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4.0532477704684826</v>
      </c>
      <c r="K82" s="55">
        <f t="shared" si="35"/>
        <v>5.8666230562683976E-3</v>
      </c>
      <c r="L82" s="55">
        <f t="shared" si="36"/>
        <v>4.6664808441623075E-3</v>
      </c>
      <c r="M82" s="55">
        <f t="shared" si="19"/>
        <v>0.99533351915583768</v>
      </c>
      <c r="N82" s="55">
        <f t="shared" si="37"/>
        <v>4.1992595760876553E-3</v>
      </c>
      <c r="O82" s="56">
        <f t="shared" si="21"/>
        <v>5.8975832008628052E-9</v>
      </c>
      <c r="P82" s="56">
        <f t="shared" si="38"/>
        <v>6.666867854030579E-5</v>
      </c>
      <c r="Q82" s="56">
        <f t="shared" si="39"/>
        <v>1.1998724355022801E-3</v>
      </c>
      <c r="R82" s="9">
        <f t="shared" si="12"/>
        <v>1.4999999999999999E-4</v>
      </c>
      <c r="S82" s="9">
        <f t="shared" si="13"/>
        <v>6.9997212662434605E-7</v>
      </c>
      <c r="T82" s="9">
        <f t="shared" si="10"/>
        <v>8.7999345844025959E-7</v>
      </c>
      <c r="U82" s="9">
        <f t="shared" si="11"/>
        <v>1.4930002787337564E-4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2.3088898400463114</v>
      </c>
      <c r="K83" s="55">
        <f t="shared" si="35"/>
        <v>0.19552227085441048</v>
      </c>
      <c r="L83" s="55">
        <f t="shared" si="36"/>
        <v>2.8018159602856475E-3</v>
      </c>
      <c r="M83" s="55">
        <f t="shared" si="19"/>
        <v>0.99719818403971439</v>
      </c>
      <c r="N83" s="55">
        <f t="shared" si="37"/>
        <v>2.3072984225986832E-3</v>
      </c>
      <c r="O83" s="56">
        <f t="shared" si="21"/>
        <v>1.9655410769121075E-7</v>
      </c>
      <c r="P83" s="56">
        <f t="shared" si="38"/>
        <v>4.0028744105755254E-5</v>
      </c>
      <c r="Q83" s="56">
        <f t="shared" si="39"/>
        <v>6.592742667109328E-4</v>
      </c>
      <c r="R83" s="9">
        <f t="shared" si="12"/>
        <v>1.4999999999999999E-4</v>
      </c>
      <c r="S83" s="9">
        <f t="shared" si="13"/>
        <v>4.202723940428471E-7</v>
      </c>
      <c r="T83" s="9">
        <f t="shared" si="10"/>
        <v>2.9328340628161569E-5</v>
      </c>
      <c r="U83" s="9">
        <f t="shared" si="11"/>
        <v>1.4957972760595715E-4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4.041572503575793</v>
      </c>
      <c r="K84" s="55">
        <f t="shared" si="35"/>
        <v>4.6656767412598162E-3</v>
      </c>
      <c r="L84" s="55">
        <f t="shared" si="36"/>
        <v>3.6127730572240967E-3</v>
      </c>
      <c r="M84" s="55">
        <f t="shared" si="19"/>
        <v>0.99638722694277593</v>
      </c>
      <c r="N84" s="55">
        <f t="shared" si="37"/>
        <v>3.0328447686381803E-3</v>
      </c>
      <c r="O84" s="56">
        <f t="shared" si="21"/>
        <v>4.6902990879070623E-9</v>
      </c>
      <c r="P84" s="56">
        <f t="shared" si="38"/>
        <v>5.1614656447687174E-5</v>
      </c>
      <c r="Q84" s="56">
        <f t="shared" si="39"/>
        <v>8.6658773364913845E-4</v>
      </c>
      <c r="R84" s="9">
        <f t="shared" si="12"/>
        <v>1.4999999999999999E-4</v>
      </c>
      <c r="S84" s="9">
        <f t="shared" si="13"/>
        <v>5.4191595858361441E-7</v>
      </c>
      <c r="T84" s="9">
        <f t="shared" si="10"/>
        <v>6.9985151118897235E-7</v>
      </c>
      <c r="U84" s="9">
        <f t="shared" si="11"/>
        <v>1.4945808404141637E-4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2.21956631274778</v>
      </c>
      <c r="K85" s="55">
        <f t="shared" si="35"/>
        <v>0.22491295126898</v>
      </c>
      <c r="L85" s="55">
        <f t="shared" si="36"/>
        <v>2.6238216382352699E-3</v>
      </c>
      <c r="M85" s="55">
        <f t="shared" si="19"/>
        <v>0.99737617836176473</v>
      </c>
      <c r="N85" s="55">
        <f t="shared" si="37"/>
        <v>2.1368301405210082E-3</v>
      </c>
      <c r="O85" s="56">
        <f t="shared" si="21"/>
        <v>2.2609989261933699E-7</v>
      </c>
      <c r="P85" s="56">
        <f t="shared" si="38"/>
        <v>3.7485790082142096E-5</v>
      </c>
      <c r="Q85" s="56">
        <f t="shared" si="39"/>
        <v>6.1056563389452702E-4</v>
      </c>
      <c r="R85" s="9">
        <f t="shared" si="12"/>
        <v>1.4999999999999999E-4</v>
      </c>
      <c r="S85" s="9">
        <f t="shared" si="13"/>
        <v>3.9357324573529047E-7</v>
      </c>
      <c r="T85" s="9">
        <f t="shared" si="10"/>
        <v>3.3736942690346997E-5</v>
      </c>
      <c r="U85" s="9">
        <f t="shared" si="11"/>
        <v>1.496064267542647E-4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3.1296066711876311</v>
      </c>
      <c r="K86" s="55">
        <f t="shared" si="35"/>
        <v>2.3271518579360551E-2</v>
      </c>
      <c r="L86" s="55">
        <f t="shared" si="36"/>
        <v>2.2069115492348848E-3</v>
      </c>
      <c r="M86" s="55">
        <f t="shared" si="19"/>
        <v>0.99779308845076509</v>
      </c>
      <c r="N86" s="55">
        <f t="shared" si="37"/>
        <v>1.4947489622546635E-3</v>
      </c>
      <c r="O86" s="56">
        <f t="shared" si="21"/>
        <v>2.339433021618092E-8</v>
      </c>
      <c r="P86" s="56">
        <f t="shared" si="38"/>
        <v>3.152951475776189E-5</v>
      </c>
      <c r="Q86" s="56">
        <f t="shared" si="39"/>
        <v>4.2710102705200602E-4</v>
      </c>
      <c r="R86" s="9">
        <f t="shared" si="12"/>
        <v>1.4999999999999999E-4</v>
      </c>
      <c r="S86" s="9">
        <f t="shared" si="13"/>
        <v>3.3103673238523268E-7</v>
      </c>
      <c r="T86" s="9">
        <f t="shared" si="10"/>
        <v>3.4907277869040824E-6</v>
      </c>
      <c r="U86" s="9">
        <f t="shared" si="11"/>
        <v>1.4966896326761475E-4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1.9159264962867857</v>
      </c>
      <c r="K87" s="55">
        <f t="shared" si="35"/>
        <v>0.32858501389351752</v>
      </c>
      <c r="L87" s="55">
        <f t="shared" si="36"/>
        <v>1.9051438833771926E-3</v>
      </c>
      <c r="M87" s="55">
        <f t="shared" si="19"/>
        <v>0.99809485611662285</v>
      </c>
      <c r="N87" s="55">
        <f t="shared" si="37"/>
        <v>1.4350777170609964E-3</v>
      </c>
      <c r="O87" s="56">
        <f t="shared" si="21"/>
        <v>3.3031906761473439E-7</v>
      </c>
      <c r="P87" s="56">
        <f t="shared" si="38"/>
        <v>2.7218246334986134E-5</v>
      </c>
      <c r="Q87" s="56">
        <f t="shared" si="39"/>
        <v>4.100509064289116E-4</v>
      </c>
      <c r="R87" s="9">
        <f t="shared" si="12"/>
        <v>1.4999999999999999E-4</v>
      </c>
      <c r="S87" s="9">
        <f t="shared" si="13"/>
        <v>2.8577158250657887E-7</v>
      </c>
      <c r="T87" s="9">
        <f t="shared" si="10"/>
        <v>4.9287752084027621E-5</v>
      </c>
      <c r="U87" s="9">
        <f t="shared" si="11"/>
        <v>1.4971422841749343E-4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0.83796499600185592</v>
      </c>
      <c r="K88" s="55">
        <f t="shared" si="35"/>
        <v>0.70524312591822391</v>
      </c>
      <c r="L88" s="55">
        <f t="shared" si="36"/>
        <v>3.4170976514727821E-4</v>
      </c>
      <c r="M88" s="55">
        <f t="shared" si="19"/>
        <v>0.99965829023485275</v>
      </c>
      <c r="N88" s="55">
        <f t="shared" si="37"/>
        <v>4.4122732299526853E-5</v>
      </c>
      <c r="O88" s="56">
        <f t="shared" si="21"/>
        <v>7.0896493128107397E-7</v>
      </c>
      <c r="P88" s="56">
        <f t="shared" si="38"/>
        <v>4.8819097832976917E-6</v>
      </c>
      <c r="Q88" s="56">
        <f t="shared" si="39"/>
        <v>1.2607377397367946E-5</v>
      </c>
      <c r="R88" s="9">
        <f t="shared" si="12"/>
        <v>1.4999999999999999E-4</v>
      </c>
      <c r="S88" s="9">
        <f t="shared" si="13"/>
        <v>5.1256464772091729E-8</v>
      </c>
      <c r="T88" s="9">
        <f t="shared" si="10"/>
        <v>1.0578646888773358E-4</v>
      </c>
      <c r="U88" s="9">
        <f t="shared" si="11"/>
        <v>1.4994874353522789E-4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0.47829368809571582</v>
      </c>
      <c r="K89" s="55">
        <f t="shared" si="35"/>
        <v>0.91269269458359359</v>
      </c>
      <c r="L89" s="55">
        <f t="shared" si="36"/>
        <v>1.9318428489952162E-4</v>
      </c>
      <c r="M89" s="55">
        <f t="shared" si="19"/>
        <v>0.99980681571510044</v>
      </c>
      <c r="N89" s="55">
        <f t="shared" si="37"/>
        <v>6.6080222841772505E-5</v>
      </c>
      <c r="O89" s="56">
        <f t="shared" si="21"/>
        <v>9.1750928114856397E-7</v>
      </c>
      <c r="P89" s="56">
        <f t="shared" si="38"/>
        <v>2.7599686828494939E-6</v>
      </c>
      <c r="Q89" s="56">
        <f t="shared" si="39"/>
        <v>1.8881385273534688E-5</v>
      </c>
      <c r="R89" s="9">
        <f t="shared" si="12"/>
        <v>1.4999999999999999E-4</v>
      </c>
      <c r="S89" s="9">
        <f t="shared" si="13"/>
        <v>2.8977642734928241E-8</v>
      </c>
      <c r="T89" s="9">
        <f t="shared" si="10"/>
        <v>1.3690390418753904E-4</v>
      </c>
      <c r="U89" s="9">
        <f t="shared" si="11"/>
        <v>1.4997102235726506E-4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9.6802248814160784E-3</v>
      </c>
      <c r="K90" s="55">
        <f t="shared" si="35"/>
        <v>0.99179863503564525</v>
      </c>
      <c r="L90" s="55">
        <f t="shared" si="36"/>
        <v>7.1360397962991006E-5</v>
      </c>
      <c r="M90" s="55">
        <f t="shared" si="19"/>
        <v>0.99992863960203704</v>
      </c>
      <c r="N90" s="55">
        <f t="shared" si="37"/>
        <v>2.3600609043534242E-6</v>
      </c>
      <c r="O90" s="56">
        <f t="shared" si="21"/>
        <v>9.9703269027572589E-7</v>
      </c>
      <c r="P90" s="56">
        <f t="shared" si="38"/>
        <v>1.0195056170121203E-6</v>
      </c>
      <c r="Q90" s="56">
        <f t="shared" si="39"/>
        <v>6.7435031674763674E-7</v>
      </c>
      <c r="R90" s="9">
        <f t="shared" si="12"/>
        <v>1.4999999999999999E-4</v>
      </c>
      <c r="S90" s="9">
        <f t="shared" si="13"/>
        <v>1.0704059694448651E-8</v>
      </c>
      <c r="T90" s="9">
        <f t="shared" si="10"/>
        <v>1.4876979525534678E-4</v>
      </c>
      <c r="U90" s="9">
        <f t="shared" si="11"/>
        <v>1.4998929594030555E-4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-1.6805454315982515E-2</v>
      </c>
      <c r="K91" s="55">
        <f t="shared" si="35"/>
        <v>0.99527905766998503</v>
      </c>
      <c r="L91" s="55">
        <f t="shared" si="36"/>
        <v>6.73740948746532E-5</v>
      </c>
      <c r="M91" s="55">
        <f t="shared" si="19"/>
        <v>0.99993262590512533</v>
      </c>
      <c r="N91" s="55">
        <f t="shared" si="37"/>
        <v>1.0756623871216087E-6</v>
      </c>
      <c r="O91" s="56">
        <f t="shared" si="21"/>
        <v>1.0005314802718299E-6</v>
      </c>
      <c r="P91" s="56">
        <f t="shared" si="38"/>
        <v>9.6255444373277744E-7</v>
      </c>
      <c r="Q91" s="56">
        <f t="shared" si="39"/>
        <v>3.0735362385391633E-7</v>
      </c>
      <c r="R91" s="9">
        <f t="shared" si="12"/>
        <v>1.4999999999999999E-4</v>
      </c>
      <c r="S91" s="9">
        <f t="shared" si="13"/>
        <v>1.0106114231197978E-8</v>
      </c>
      <c r="T91" s="9">
        <f t="shared" si="10"/>
        <v>1.4929185865049775E-4</v>
      </c>
      <c r="U91" s="9">
        <f t="shared" si="11"/>
        <v>1.4998989388576879E-4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0.56631779831251772</v>
      </c>
      <c r="K92" s="55">
        <f t="shared" si="35"/>
        <v>0.89186210947962585</v>
      </c>
      <c r="L92" s="55">
        <f t="shared" si="36"/>
        <v>2.3118999945618662E-4</v>
      </c>
      <c r="M92" s="55">
        <f t="shared" si="19"/>
        <v>0.99976881000054385</v>
      </c>
      <c r="N92" s="55">
        <f t="shared" si="37"/>
        <v>8.9413604463086361E-5</v>
      </c>
      <c r="O92" s="56">
        <f t="shared" si="21"/>
        <v>8.9656876603535241E-7</v>
      </c>
      <c r="P92" s="56">
        <f t="shared" si="38"/>
        <v>3.3029454679449792E-6</v>
      </c>
      <c r="Q92" s="56">
        <f t="shared" si="39"/>
        <v>2.5548532404399647E-5</v>
      </c>
      <c r="R92" s="9">
        <f t="shared" si="12"/>
        <v>1.4999999999999999E-4</v>
      </c>
      <c r="S92" s="9">
        <f t="shared" si="13"/>
        <v>3.4678499918427989E-8</v>
      </c>
      <c r="T92" s="9">
        <f t="shared" ref="T92:T143" si="40">R92*K92</f>
        <v>1.3377931642194387E-4</v>
      </c>
      <c r="U92" s="9">
        <f t="shared" ref="U92:U143" si="41">$R92*M92</f>
        <v>1.4996532150008155E-4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-1.5761133146324342E-2</v>
      </c>
      <c r="K93" s="55">
        <f t="shared" si="35"/>
        <v>0.99514107573358279</v>
      </c>
      <c r="L93" s="55">
        <f t="shared" si="36"/>
        <v>6.7526937160234266E-5</v>
      </c>
      <c r="M93" s="55">
        <f t="shared" ref="M93:M127" si="42">IF(D93=0,"",1-L93)</f>
        <v>0.99993247306283972</v>
      </c>
      <c r="N93" s="55">
        <f t="shared" si="37"/>
        <v>1.1208368218499817E-6</v>
      </c>
      <c r="O93" s="56">
        <f t="shared" ref="O93:O127" si="43">IF(D93=0,"",F93*K93*$J$7/$J$14)</f>
        <v>1.0003927701583041E-6</v>
      </c>
      <c r="P93" s="56">
        <f t="shared" si="38"/>
        <v>9.6473805779765001E-7</v>
      </c>
      <c r="Q93" s="56">
        <f t="shared" si="39"/>
        <v>3.2026150869357456E-7</v>
      </c>
      <c r="R93" s="9">
        <f t="shared" ref="R93:R143" si="44">F93*$C$14</f>
        <v>1.4999999999999999E-4</v>
      </c>
      <c r="S93" s="9">
        <f t="shared" ref="S93:S143" si="45">$R93*L93</f>
        <v>1.0129040574035139E-8</v>
      </c>
      <c r="T93" s="9">
        <f t="shared" si="40"/>
        <v>1.4927116136003739E-4</v>
      </c>
      <c r="U93" s="9">
        <f t="shared" si="41"/>
        <v>1.4998987095942595E-4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-4.1307694405703282E-2</v>
      </c>
      <c r="K94" s="55">
        <f t="shared" si="35"/>
        <v>0.99858321725665522</v>
      </c>
      <c r="L94" s="55">
        <f t="shared" si="36"/>
        <v>6.3889589920345318E-5</v>
      </c>
      <c r="M94" s="55">
        <f t="shared" si="42"/>
        <v>0.99993611041007968</v>
      </c>
      <c r="N94" s="55">
        <f t="shared" si="37"/>
        <v>1.8799912656948523E-7</v>
      </c>
      <c r="O94" s="56">
        <f t="shared" si="43"/>
        <v>1.0038530770208311E-6</v>
      </c>
      <c r="P94" s="56">
        <f t="shared" si="38"/>
        <v>9.1277231702342494E-7</v>
      </c>
      <c r="Q94" s="56">
        <f t="shared" si="39"/>
        <v>5.3717796145241447E-8</v>
      </c>
      <c r="R94" s="9">
        <f t="shared" si="44"/>
        <v>1.4999999999999999E-4</v>
      </c>
      <c r="S94" s="9">
        <f t="shared" si="45"/>
        <v>9.5834384880517976E-9</v>
      </c>
      <c r="T94" s="9">
        <f t="shared" si="40"/>
        <v>1.4978748258849826E-4</v>
      </c>
      <c r="U94" s="9">
        <f t="shared" si="41"/>
        <v>1.4999041656151195E-4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3.7792037681406625</v>
      </c>
      <c r="K95" s="55">
        <f t="shared" si="35"/>
        <v>1.2392566339904014E-2</v>
      </c>
      <c r="L95" s="55">
        <f t="shared" si="36"/>
        <v>5.2446746574126742E-3</v>
      </c>
      <c r="M95" s="55">
        <f t="shared" si="42"/>
        <v>0.99475532534258737</v>
      </c>
      <c r="N95" s="55">
        <f t="shared" si="37"/>
        <v>4.8445648246670551E-3</v>
      </c>
      <c r="O95" s="56">
        <f t="shared" si="43"/>
        <v>1.2457966083862211E-8</v>
      </c>
      <c r="P95" s="56">
        <f t="shared" si="38"/>
        <v>7.492916835198135E-5</v>
      </c>
      <c r="Q95" s="56">
        <f t="shared" si="39"/>
        <v>1.3842582697727948E-3</v>
      </c>
      <c r="R95" s="9">
        <f t="shared" si="44"/>
        <v>1.4999999999999999E-4</v>
      </c>
      <c r="S95" s="9">
        <f t="shared" si="45"/>
        <v>7.8670119861190108E-7</v>
      </c>
      <c r="T95" s="9">
        <f t="shared" si="40"/>
        <v>1.858884950985602E-6</v>
      </c>
      <c r="U95" s="9">
        <f t="shared" si="41"/>
        <v>1.492132988013881E-4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-5.0609949807824094E-2</v>
      </c>
      <c r="K96" s="55">
        <f t="shared" si="35"/>
        <v>0.99993737235154423</v>
      </c>
      <c r="L96" s="55">
        <f t="shared" si="36"/>
        <v>6.2620478623279539E-5</v>
      </c>
      <c r="M96" s="55">
        <f t="shared" si="42"/>
        <v>0.99993737952137673</v>
      </c>
      <c r="N96" s="55">
        <f t="shared" si="37"/>
        <v>6.0020047782114299E-15</v>
      </c>
      <c r="O96" s="56">
        <f t="shared" si="43"/>
        <v>1.0052143784479692E-6</v>
      </c>
      <c r="P96" s="56">
        <f t="shared" si="38"/>
        <v>8.94640886525474E-7</v>
      </c>
      <c r="Q96" s="56">
        <f t="shared" si="39"/>
        <v>1.7149785481559723E-15</v>
      </c>
      <c r="R96" s="9">
        <f t="shared" si="44"/>
        <v>1.4999999999999999E-4</v>
      </c>
      <c r="S96" s="9">
        <f t="shared" si="45"/>
        <v>9.3930717934919297E-9</v>
      </c>
      <c r="T96" s="9">
        <f t="shared" si="40"/>
        <v>1.4999060585273161E-4</v>
      </c>
      <c r="U96" s="9">
        <f t="shared" si="41"/>
        <v>1.499906069282065E-4</v>
      </c>
      <c r="V96" s="100">
        <f t="shared" si="46"/>
        <v>0.99999999282971852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3.4728223646217145</v>
      </c>
      <c r="K98" s="55">
        <f t="shared" si="35"/>
        <v>5.7044425938139898E-3</v>
      </c>
      <c r="L98" s="55">
        <f t="shared" si="36"/>
        <v>1.1923097924578826E-3</v>
      </c>
      <c r="M98" s="55">
        <f t="shared" si="42"/>
        <v>0.99880769020754212</v>
      </c>
      <c r="N98" s="55">
        <f t="shared" si="37"/>
        <v>3.56891948655531E-4</v>
      </c>
      <c r="O98" s="56">
        <f t="shared" si="43"/>
        <v>5.7345468575174977E-9</v>
      </c>
      <c r="P98" s="56">
        <f t="shared" si="38"/>
        <v>1.7034189344905088E-5</v>
      </c>
      <c r="Q98" s="56">
        <f t="shared" si="39"/>
        <v>1.0197626602626767E-4</v>
      </c>
      <c r="R98" s="9">
        <f t="shared" si="44"/>
        <v>1.4999999999999999E-4</v>
      </c>
      <c r="S98" s="9">
        <f t="shared" si="45"/>
        <v>1.7884646886868238E-7</v>
      </c>
      <c r="T98" s="9">
        <f t="shared" si="40"/>
        <v>8.5566638907209845E-7</v>
      </c>
      <c r="U98" s="9">
        <f t="shared" si="41"/>
        <v>1.4982115353113132E-4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1.7151795679439035</v>
      </c>
      <c r="K99" s="55">
        <f t="shared" si="35"/>
        <v>0.23012022394734885</v>
      </c>
      <c r="L99" s="55">
        <f t="shared" si="36"/>
        <v>8.4040356913119094E-4</v>
      </c>
      <c r="M99" s="55">
        <f t="shared" si="42"/>
        <v>0.99915959643086882</v>
      </c>
      <c r="N99" s="55">
        <f t="shared" si="37"/>
        <v>1.6915246248925568E-4</v>
      </c>
      <c r="O99" s="56">
        <f t="shared" si="43"/>
        <v>2.3133464582841636E-7</v>
      </c>
      <c r="P99" s="56">
        <f t="shared" si="38"/>
        <v>1.2006605676871865E-5</v>
      </c>
      <c r="Q99" s="56">
        <f t="shared" si="39"/>
        <v>4.8332658046179976E-5</v>
      </c>
      <c r="R99" s="9">
        <f t="shared" si="44"/>
        <v>1.4999999999999999E-4</v>
      </c>
      <c r="S99" s="9">
        <f t="shared" si="45"/>
        <v>1.2606053536967862E-7</v>
      </c>
      <c r="T99" s="9">
        <f t="shared" si="40"/>
        <v>3.4518033592102323E-5</v>
      </c>
      <c r="U99" s="9">
        <f t="shared" si="41"/>
        <v>1.4987393946463032E-4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3.0482053541141561</v>
      </c>
      <c r="K101" s="55">
        <f t="shared" si="35"/>
        <v>1.2688025781598961E-2</v>
      </c>
      <c r="L101" s="55">
        <f t="shared" si="36"/>
        <v>9.9759195642173666E-4</v>
      </c>
      <c r="M101" s="55">
        <f t="shared" si="42"/>
        <v>0.99900240804357832</v>
      </c>
      <c r="N101" s="55">
        <f t="shared" si="37"/>
        <v>1.4781468730637828E-4</v>
      </c>
      <c r="O101" s="56">
        <f t="shared" si="43"/>
        <v>1.2754984764483698E-8</v>
      </c>
      <c r="P101" s="56">
        <f t="shared" si="38"/>
        <v>1.4252311255124093E-5</v>
      </c>
      <c r="Q101" s="56">
        <f t="shared" si="39"/>
        <v>4.2235724095568483E-5</v>
      </c>
      <c r="R101" s="9">
        <f t="shared" si="44"/>
        <v>1.4999999999999999E-4</v>
      </c>
      <c r="S101" s="9">
        <f t="shared" si="45"/>
        <v>1.4963879346326047E-7</v>
      </c>
      <c r="T101" s="9">
        <f t="shared" si="40"/>
        <v>1.9032038672398439E-6</v>
      </c>
      <c r="U101" s="9">
        <f t="shared" si="41"/>
        <v>1.4985036120653672E-4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2.2204840859111705</v>
      </c>
      <c r="K102" s="55">
        <f t="shared" si="35"/>
        <v>6.9926028116839123E-2</v>
      </c>
      <c r="L102" s="55">
        <f t="shared" si="36"/>
        <v>8.1747876209467031E-4</v>
      </c>
      <c r="M102" s="55">
        <f t="shared" si="42"/>
        <v>0.9991825212379053</v>
      </c>
      <c r="N102" s="55">
        <f t="shared" si="37"/>
        <v>2.8226820298708531E-10</v>
      </c>
      <c r="O102" s="56">
        <f t="shared" si="43"/>
        <v>7.0295051304564958E-8</v>
      </c>
      <c r="P102" s="56">
        <f t="shared" si="38"/>
        <v>1.1679085508685964E-5</v>
      </c>
      <c r="Q102" s="56">
        <f t="shared" si="39"/>
        <v>8.0653703360369815E-11</v>
      </c>
      <c r="R102" s="9">
        <f t="shared" si="44"/>
        <v>1.4999999999999999E-4</v>
      </c>
      <c r="S102" s="9">
        <f t="shared" si="45"/>
        <v>1.2262181431420053E-7</v>
      </c>
      <c r="T102" s="9">
        <f t="shared" si="40"/>
        <v>1.0488904217525867E-5</v>
      </c>
      <c r="U102" s="9">
        <f t="shared" si="41"/>
        <v>1.4987737818568579E-4</v>
      </c>
      <c r="V102" s="100">
        <f t="shared" si="46"/>
        <v>6.9983237927547515E-2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3.2683598845020718</v>
      </c>
      <c r="K103" s="55">
        <f t="shared" si="35"/>
        <v>6.6561459208162414E-3</v>
      </c>
      <c r="L103" s="55">
        <f t="shared" si="36"/>
        <v>8.6883288615439351E-4</v>
      </c>
      <c r="M103" s="55">
        <f t="shared" si="42"/>
        <v>0.99913116711384564</v>
      </c>
      <c r="N103" s="55">
        <f t="shared" si="37"/>
        <v>4.4807006706529557E-10</v>
      </c>
      <c r="O103" s="56">
        <f t="shared" si="43"/>
        <v>6.6912726433231116E-9</v>
      </c>
      <c r="P103" s="56">
        <f t="shared" si="38"/>
        <v>1.2412767206520352E-5</v>
      </c>
      <c r="Q103" s="56">
        <f t="shared" si="39"/>
        <v>1.280289805628543E-10</v>
      </c>
      <c r="R103" s="9">
        <f t="shared" si="44"/>
        <v>1.4999999999999999E-4</v>
      </c>
      <c r="S103" s="9">
        <f t="shared" si="45"/>
        <v>1.3032493292315902E-7</v>
      </c>
      <c r="T103" s="9">
        <f t="shared" si="40"/>
        <v>9.9842188812243611E-7</v>
      </c>
      <c r="U103" s="9">
        <f t="shared" si="41"/>
        <v>1.4986967506707682E-4</v>
      </c>
      <c r="V103" s="100">
        <f t="shared" si="46"/>
        <v>6.66193402818532E-3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4.0256836428663529</v>
      </c>
      <c r="K104" s="55">
        <f t="shared" si="35"/>
        <v>1.3723822734582048E-3</v>
      </c>
      <c r="L104" s="55">
        <f t="shared" si="36"/>
        <v>1.0245007363475034E-3</v>
      </c>
      <c r="M104" s="55">
        <f t="shared" si="42"/>
        <v>0.99897549926365248</v>
      </c>
      <c r="N104" s="55">
        <f t="shared" si="37"/>
        <v>1.6741664571532944E-4</v>
      </c>
      <c r="O104" s="56">
        <f t="shared" si="43"/>
        <v>1.3796247966640667E-9</v>
      </c>
      <c r="P104" s="56">
        <f t="shared" si="38"/>
        <v>1.4636749305700703E-5</v>
      </c>
      <c r="Q104" s="56">
        <f t="shared" si="39"/>
        <v>4.7836675680151282E-5</v>
      </c>
      <c r="R104" s="9">
        <f t="shared" si="44"/>
        <v>1.4999999999999999E-4</v>
      </c>
      <c r="S104" s="9">
        <f t="shared" si="45"/>
        <v>1.5367511045212549E-7</v>
      </c>
      <c r="T104" s="9">
        <f t="shared" si="40"/>
        <v>2.0585734101873069E-7</v>
      </c>
      <c r="U104" s="9">
        <f t="shared" si="41"/>
        <v>1.4984632488954786E-4</v>
      </c>
      <c r="V104" s="100">
        <f t="shared" si="46"/>
        <v>1.3737897220400213E-3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3.8653862162210095</v>
      </c>
      <c r="K105" s="55">
        <f t="shared" si="35"/>
        <v>3.2381691200820584E-3</v>
      </c>
      <c r="L105" s="55">
        <f t="shared" si="36"/>
        <v>1.6712417460273191E-3</v>
      </c>
      <c r="M105" s="55">
        <f t="shared" si="42"/>
        <v>0.99832875825397271</v>
      </c>
      <c r="N105" s="55">
        <f t="shared" si="37"/>
        <v>8.8434772613831349E-4</v>
      </c>
      <c r="O105" s="56">
        <f t="shared" si="43"/>
        <v>3.2552580285081362E-9</v>
      </c>
      <c r="P105" s="56">
        <f t="shared" si="38"/>
        <v>2.3876553327850607E-5</v>
      </c>
      <c r="Q105" s="56">
        <f t="shared" si="39"/>
        <v>2.5268846585118374E-4</v>
      </c>
      <c r="R105" s="9">
        <f t="shared" si="44"/>
        <v>1.4999999999999999E-4</v>
      </c>
      <c r="S105" s="9">
        <f t="shared" si="45"/>
        <v>2.5068626190409784E-7</v>
      </c>
      <c r="T105" s="9">
        <f t="shared" si="40"/>
        <v>4.8572536801230874E-7</v>
      </c>
      <c r="U105" s="9">
        <f t="shared" si="41"/>
        <v>1.4974931373809591E-4</v>
      </c>
      <c r="V105" s="100">
        <f t="shared" si="46"/>
        <v>3.2435899430017972E-3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2.7421076871513792</v>
      </c>
      <c r="K106" s="55">
        <f t="shared" si="35"/>
        <v>2.3575622806759226E-2</v>
      </c>
      <c r="L106" s="55">
        <f t="shared" si="36"/>
        <v>9.1606099956685659E-4</v>
      </c>
      <c r="M106" s="55">
        <f t="shared" si="42"/>
        <v>0.99908393900043313</v>
      </c>
      <c r="N106" s="55">
        <f t="shared" si="37"/>
        <v>6.7419683754024631E-5</v>
      </c>
      <c r="O106" s="56">
        <f t="shared" si="43"/>
        <v>2.3700039303950159E-8</v>
      </c>
      <c r="P106" s="56">
        <f t="shared" si="38"/>
        <v>1.3087501769097521E-5</v>
      </c>
      <c r="Q106" s="56">
        <f t="shared" si="39"/>
        <v>1.926411518053926E-5</v>
      </c>
      <c r="R106" s="9">
        <f t="shared" si="44"/>
        <v>1.4999999999999999E-4</v>
      </c>
      <c r="S106" s="9">
        <f t="shared" si="45"/>
        <v>1.3740914993502847E-7</v>
      </c>
      <c r="T106" s="9">
        <f t="shared" si="40"/>
        <v>3.5363434210138835E-6</v>
      </c>
      <c r="U106" s="9">
        <f t="shared" si="41"/>
        <v>1.4986259085006496E-4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3.4941063050425578</v>
      </c>
      <c r="K108" s="55">
        <f t="shared" si="35"/>
        <v>4.9277352344150064E-3</v>
      </c>
      <c r="L108" s="55">
        <f t="shared" si="36"/>
        <v>1.0817009286128566E-3</v>
      </c>
      <c r="M108" s="55">
        <f t="shared" si="42"/>
        <v>0.99891829907138718</v>
      </c>
      <c r="N108" s="55">
        <f t="shared" si="37"/>
        <v>2.3386805394571145E-4</v>
      </c>
      <c r="O108" s="56">
        <f t="shared" si="43"/>
        <v>4.9537405519404665E-9</v>
      </c>
      <c r="P108" s="56">
        <f t="shared" si="38"/>
        <v>1.5453952109683706E-5</v>
      </c>
      <c r="Q108" s="56">
        <f t="shared" si="39"/>
        <v>6.6824121345567894E-5</v>
      </c>
      <c r="R108" s="9">
        <f t="shared" si="44"/>
        <v>1.4999999999999999E-4</v>
      </c>
      <c r="S108" s="9">
        <f t="shared" si="45"/>
        <v>1.6225513929192847E-7</v>
      </c>
      <c r="T108" s="9">
        <f t="shared" si="40"/>
        <v>7.3916028516225095E-7</v>
      </c>
      <c r="U108" s="9">
        <f t="shared" si="41"/>
        <v>1.4983774486070807E-4</v>
      </c>
      <c r="V108" s="100">
        <f t="shared" si="46"/>
        <v>4.9330713422668501E-3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3.8560205528257723</v>
      </c>
      <c r="K109" s="55">
        <f t="shared" si="35"/>
        <v>2.9562191139580174E-3</v>
      </c>
      <c r="L109" s="55">
        <f t="shared" si="36"/>
        <v>1.4931749852976847E-3</v>
      </c>
      <c r="M109" s="55">
        <f t="shared" si="42"/>
        <v>0.99850682501470234</v>
      </c>
      <c r="N109" s="55">
        <f t="shared" si="37"/>
        <v>6.8716361735129006E-4</v>
      </c>
      <c r="O109" s="56">
        <f t="shared" si="43"/>
        <v>2.9718200772963897E-9</v>
      </c>
      <c r="P109" s="56">
        <f t="shared" si="38"/>
        <v>2.1332564393523651E-5</v>
      </c>
      <c r="Q109" s="56">
        <f t="shared" si="39"/>
        <v>1.963462053727156E-4</v>
      </c>
      <c r="R109" s="9">
        <f t="shared" si="44"/>
        <v>1.4999999999999999E-4</v>
      </c>
      <c r="S109" s="9">
        <f t="shared" si="45"/>
        <v>2.2397624779465268E-7</v>
      </c>
      <c r="T109" s="9">
        <f t="shared" si="40"/>
        <v>4.4343286709370256E-7</v>
      </c>
      <c r="U109" s="9">
        <f t="shared" si="41"/>
        <v>1.4977602375220535E-4</v>
      </c>
      <c r="V109" s="100">
        <f t="shared" si="46"/>
        <v>2.9606398673484172E-3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1.978066061609729</v>
      </c>
      <c r="K110" s="55">
        <f t="shared" si="35"/>
        <v>0.11779513651347308</v>
      </c>
      <c r="L110" s="55">
        <f t="shared" si="36"/>
        <v>7.8803762533106829E-4</v>
      </c>
      <c r="M110" s="55">
        <f t="shared" si="42"/>
        <v>0.99921196237466892</v>
      </c>
      <c r="N110" s="55">
        <f t="shared" si="37"/>
        <v>1.0410003999427446E-5</v>
      </c>
      <c r="O110" s="56">
        <f t="shared" si="43"/>
        <v>1.1841678109912246E-7</v>
      </c>
      <c r="P110" s="56">
        <f t="shared" si="38"/>
        <v>1.1258468399497734E-5</v>
      </c>
      <c r="Q110" s="56">
        <f t="shared" si="39"/>
        <v>2.9744950570592582E-6</v>
      </c>
      <c r="R110" s="9">
        <f t="shared" si="44"/>
        <v>1.4999999999999999E-4</v>
      </c>
      <c r="S110" s="9">
        <f t="shared" si="45"/>
        <v>1.1820564379966023E-7</v>
      </c>
      <c r="T110" s="9">
        <f t="shared" si="40"/>
        <v>1.7669270477020961E-5</v>
      </c>
      <c r="U110" s="9">
        <f t="shared" si="41"/>
        <v>1.4988179435620032E-4</v>
      </c>
      <c r="V110" s="100">
        <f t="shared" si="46"/>
        <v>0.11788803672198642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2.3495507007911449</v>
      </c>
      <c r="K111" s="55">
        <f t="shared" si="35"/>
        <v>0.17467985294696975</v>
      </c>
      <c r="L111" s="55">
        <f t="shared" si="36"/>
        <v>2.7488247383180408E-3</v>
      </c>
      <c r="M111" s="55">
        <f t="shared" si="42"/>
        <v>0.99725117526168194</v>
      </c>
      <c r="N111" s="55">
        <f t="shared" si="37"/>
        <v>2.2299841008778789E-3</v>
      </c>
      <c r="O111" s="56">
        <f t="shared" si="43"/>
        <v>1.7560169732883942E-7</v>
      </c>
      <c r="P111" s="56">
        <f t="shared" si="38"/>
        <v>3.9271673657853192E-5</v>
      </c>
      <c r="Q111" s="56">
        <f t="shared" si="39"/>
        <v>6.3718291421855429E-4</v>
      </c>
      <c r="R111" s="9">
        <f t="shared" si="44"/>
        <v>1.4999999999999999E-4</v>
      </c>
      <c r="S111" s="9">
        <f t="shared" si="45"/>
        <v>4.1232371074770609E-7</v>
      </c>
      <c r="T111" s="9">
        <f t="shared" si="40"/>
        <v>2.6201977942045461E-5</v>
      </c>
      <c r="U111" s="9">
        <f t="shared" si="41"/>
        <v>1.4958767628925229E-4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5.4568603611336437</v>
      </c>
      <c r="K112" s="55">
        <f t="shared" si="35"/>
        <v>2.9808020507185229E-4</v>
      </c>
      <c r="L112" s="55">
        <f t="shared" si="36"/>
        <v>6.0054703853145482E-3</v>
      </c>
      <c r="M112" s="55">
        <f t="shared" si="42"/>
        <v>0.99399452961468548</v>
      </c>
      <c r="N112" s="55">
        <f t="shared" si="37"/>
        <v>5.6751020165622347E-3</v>
      </c>
      <c r="O112" s="56">
        <f t="shared" si="43"/>
        <v>2.9965327464888856E-10</v>
      </c>
      <c r="P112" s="56">
        <f t="shared" si="38"/>
        <v>8.5798439546307508E-5</v>
      </c>
      <c r="Q112" s="56">
        <f t="shared" si="39"/>
        <v>1.6215712210581124E-3</v>
      </c>
      <c r="R112" s="9">
        <f t="shared" si="44"/>
        <v>1.4999999999999999E-4</v>
      </c>
      <c r="S112" s="9">
        <f t="shared" si="45"/>
        <v>9.0082055779718214E-7</v>
      </c>
      <c r="T112" s="9">
        <f t="shared" si="40"/>
        <v>4.4712030760777842E-8</v>
      </c>
      <c r="U112" s="9">
        <f t="shared" si="41"/>
        <v>1.490991794422028E-4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5.8376711731613922</v>
      </c>
      <c r="K113" s="55">
        <f t="shared" si="35"/>
        <v>1.3435741274581822E-4</v>
      </c>
      <c r="L113" s="55">
        <f t="shared" si="36"/>
        <v>6.5055847307856742E-3</v>
      </c>
      <c r="M113" s="55">
        <f t="shared" si="42"/>
        <v>0.99349441526921434</v>
      </c>
      <c r="N113" s="55">
        <f t="shared" si="37"/>
        <v>6.2280511227730991E-3</v>
      </c>
      <c r="O113" s="56">
        <f t="shared" si="43"/>
        <v>1.3506646203806762E-10</v>
      </c>
      <c r="P113" s="56">
        <f t="shared" si="38"/>
        <v>9.2943430310240492E-5</v>
      </c>
      <c r="Q113" s="56">
        <f t="shared" si="39"/>
        <v>1.7795677389576263E-3</v>
      </c>
      <c r="R113" s="9">
        <f t="shared" si="44"/>
        <v>1.4999999999999999E-4</v>
      </c>
      <c r="S113" s="9">
        <f t="shared" si="45"/>
        <v>9.7583770961785096E-7</v>
      </c>
      <c r="T113" s="9">
        <f t="shared" si="40"/>
        <v>2.0153611911872732E-8</v>
      </c>
      <c r="U113" s="9">
        <f t="shared" si="41"/>
        <v>1.4902416229038213E-4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6.2686756056738835</v>
      </c>
      <c r="K114" s="55">
        <f t="shared" si="35"/>
        <v>5.3342759088915706E-5</v>
      </c>
      <c r="L114" s="55">
        <f t="shared" si="36"/>
        <v>6.967943382245421E-3</v>
      </c>
      <c r="M114" s="55">
        <f t="shared" si="42"/>
        <v>0.99303205661775462</v>
      </c>
      <c r="N114" s="55">
        <f t="shared" si="37"/>
        <v>6.7393189691282891E-3</v>
      </c>
      <c r="O114" s="56">
        <f t="shared" si="43"/>
        <v>5.3624266783993007E-11</v>
      </c>
      <c r="P114" s="56">
        <f t="shared" si="38"/>
        <v>9.9549016261174026E-5</v>
      </c>
      <c r="Q114" s="56">
        <f t="shared" si="39"/>
        <v>1.9256544918446075E-3</v>
      </c>
      <c r="R114" s="9">
        <f t="shared" si="44"/>
        <v>1.4999999999999999E-4</v>
      </c>
      <c r="S114" s="9">
        <f t="shared" si="45"/>
        <v>1.0451915073368131E-6</v>
      </c>
      <c r="T114" s="9">
        <f t="shared" si="40"/>
        <v>8.0014138633373547E-9</v>
      </c>
      <c r="U114" s="9">
        <f t="shared" si="41"/>
        <v>1.4895480849266317E-4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4.8544220902765449</v>
      </c>
      <c r="K115" s="55">
        <f t="shared" si="35"/>
        <v>1.3370359547370291E-3</v>
      </c>
      <c r="L115" s="55">
        <f t="shared" si="36"/>
        <v>6.728507001858829E-3</v>
      </c>
      <c r="M115" s="55">
        <f t="shared" si="42"/>
        <v>0.99327149299814121</v>
      </c>
      <c r="N115" s="55">
        <f t="shared" si="37"/>
        <v>6.475669194341371E-3</v>
      </c>
      <c r="O115" s="56">
        <f t="shared" si="43"/>
        <v>1.3440919435213009E-9</v>
      </c>
      <c r="P115" s="56">
        <f t="shared" si="38"/>
        <v>9.6128257104985168E-5</v>
      </c>
      <c r="Q115" s="56">
        <f t="shared" si="39"/>
        <v>1.8503207117671354E-3</v>
      </c>
      <c r="R115" s="9">
        <f t="shared" si="44"/>
        <v>1.4999999999999999E-4</v>
      </c>
      <c r="S115" s="9">
        <f t="shared" si="45"/>
        <v>1.0092760502788244E-6</v>
      </c>
      <c r="T115" s="9">
        <f t="shared" si="40"/>
        <v>2.0055539321055435E-7</v>
      </c>
      <c r="U115" s="9">
        <f t="shared" si="41"/>
        <v>1.4899072394972116E-4</v>
      </c>
      <c r="V115" s="100">
        <f t="shared" si="46"/>
        <v>1.3460931519349779E-3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-2.3915236456629588E-2</v>
      </c>
      <c r="K116" s="55">
        <f t="shared" si="35"/>
        <v>0.99622224935216885</v>
      </c>
      <c r="L116" s="55">
        <f t="shared" si="36"/>
        <v>6.6342912384035086E-5</v>
      </c>
      <c r="M116" s="55">
        <f t="shared" si="42"/>
        <v>0.99993365708761595</v>
      </c>
      <c r="N116" s="55">
        <f t="shared" si="37"/>
        <v>7.818956896062091E-7</v>
      </c>
      <c r="O116" s="56">
        <f t="shared" si="43"/>
        <v>1.0014796494940024E-6</v>
      </c>
      <c r="P116" s="56">
        <f t="shared" si="38"/>
        <v>9.4782223411288549E-7</v>
      </c>
      <c r="Q116" s="56">
        <f t="shared" si="39"/>
        <v>2.2341440637270901E-7</v>
      </c>
      <c r="R116" s="9">
        <f t="shared" si="44"/>
        <v>1.4999999999999999E-4</v>
      </c>
      <c r="S116" s="9">
        <f t="shared" si="45"/>
        <v>9.9514368576052627E-9</v>
      </c>
      <c r="T116" s="9">
        <f t="shared" si="40"/>
        <v>1.4943333740282533E-4</v>
      </c>
      <c r="U116" s="9">
        <f t="shared" si="41"/>
        <v>1.4999004856314238E-4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1.0376508814998808</v>
      </c>
      <c r="K117" s="55">
        <f t="shared" si="35"/>
        <v>0.73026842364167122</v>
      </c>
      <c r="L117" s="55">
        <f t="shared" si="36"/>
        <v>5.6038556033919285E-4</v>
      </c>
      <c r="M117" s="55">
        <f t="shared" si="42"/>
        <v>0.99943961443966078</v>
      </c>
      <c r="N117" s="55">
        <f t="shared" si="37"/>
        <v>3.084288957327251E-4</v>
      </c>
      <c r="O117" s="56">
        <f t="shared" si="43"/>
        <v>7.3412229592421361E-7</v>
      </c>
      <c r="P117" s="56">
        <f t="shared" si="38"/>
        <v>8.0060683904059543E-6</v>
      </c>
      <c r="Q117" s="56">
        <f t="shared" si="39"/>
        <v>8.8128710215836114E-5</v>
      </c>
      <c r="R117" s="9">
        <f t="shared" si="44"/>
        <v>1.4999999999999999E-4</v>
      </c>
      <c r="S117" s="9">
        <f t="shared" si="45"/>
        <v>8.4057834050878917E-8</v>
      </c>
      <c r="T117" s="9">
        <f t="shared" si="40"/>
        <v>1.0954026354625067E-4</v>
      </c>
      <c r="U117" s="9">
        <f t="shared" si="41"/>
        <v>1.499159421659491E-4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2.3631678945687002</v>
      </c>
      <c r="K118" s="55">
        <f t="shared" si="35"/>
        <v>0.17091330293948118</v>
      </c>
      <c r="L118" s="55">
        <f t="shared" si="36"/>
        <v>2.7752192154948808E-3</v>
      </c>
      <c r="M118" s="55">
        <f t="shared" si="42"/>
        <v>0.99722478078450516</v>
      </c>
      <c r="N118" s="55">
        <f t="shared" si="37"/>
        <v>2.2557937351329856E-3</v>
      </c>
      <c r="O118" s="56">
        <f t="shared" si="43"/>
        <v>1.7181526996912701E-7</v>
      </c>
      <c r="P118" s="56">
        <f t="shared" si="38"/>
        <v>3.964876401199951E-5</v>
      </c>
      <c r="Q118" s="56">
        <f t="shared" si="39"/>
        <v>6.4455761162698411E-4</v>
      </c>
      <c r="R118" s="9">
        <f t="shared" si="44"/>
        <v>1.4999999999999999E-4</v>
      </c>
      <c r="S118" s="9">
        <f t="shared" si="45"/>
        <v>4.1628288232423208E-7</v>
      </c>
      <c r="T118" s="9">
        <f t="shared" si="40"/>
        <v>2.5636995440922176E-5</v>
      </c>
      <c r="U118" s="9">
        <f t="shared" si="41"/>
        <v>1.4958371711767577E-4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-4.7308877203311103E-2</v>
      </c>
      <c r="K119" s="55">
        <f t="shared" si="35"/>
        <v>0.99943846533277403</v>
      </c>
      <c r="L119" s="55">
        <f t="shared" si="36"/>
        <v>6.3066788322986407E-5</v>
      </c>
      <c r="M119" s="55">
        <f t="shared" si="42"/>
        <v>0.99993693321167698</v>
      </c>
      <c r="N119" s="55">
        <f t="shared" si="37"/>
        <v>4.574622607270912E-8</v>
      </c>
      <c r="O119" s="56">
        <f t="shared" si="43"/>
        <v>1.0047128385289273E-6</v>
      </c>
      <c r="P119" s="56">
        <f t="shared" si="38"/>
        <v>9.0101718568812873E-7</v>
      </c>
      <c r="Q119" s="56">
        <f t="shared" si="39"/>
        <v>1.3071265231009772E-8</v>
      </c>
      <c r="R119" s="9">
        <f t="shared" si="44"/>
        <v>1.4999999999999999E-4</v>
      </c>
      <c r="S119" s="9">
        <f t="shared" si="45"/>
        <v>9.4600182484479594E-9</v>
      </c>
      <c r="T119" s="9">
        <f t="shared" si="40"/>
        <v>1.4991576979991609E-4</v>
      </c>
      <c r="U119" s="9">
        <f t="shared" si="41"/>
        <v>1.4999053998175152E-4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-5.0609991659574693E-2</v>
      </c>
      <c r="K120" s="55">
        <f t="shared" si="35"/>
        <v>0.99993737924764159</v>
      </c>
      <c r="L120" s="55">
        <f t="shared" si="36"/>
        <v>6.2620473020582522E-5</v>
      </c>
      <c r="M120" s="55">
        <f t="shared" si="42"/>
        <v>0.99993737952697936</v>
      </c>
      <c r="N120" s="55">
        <f t="shared" si="37"/>
        <v>5.9353500817998054E-17</v>
      </c>
      <c r="O120" s="56">
        <f t="shared" si="43"/>
        <v>1.0052143853804596E-6</v>
      </c>
      <c r="P120" s="56">
        <f t="shared" si="38"/>
        <v>8.9464080648134202E-7</v>
      </c>
      <c r="Q120" s="56">
        <f t="shared" si="39"/>
        <v>1.6959330160872946E-17</v>
      </c>
      <c r="R120" s="9">
        <f t="shared" si="44"/>
        <v>1.4999999999999999E-4</v>
      </c>
      <c r="S120" s="9">
        <f t="shared" si="45"/>
        <v>9.3930709530873776E-9</v>
      </c>
      <c r="T120" s="9">
        <f t="shared" si="40"/>
        <v>1.4999060688714622E-4</v>
      </c>
      <c r="U120" s="9">
        <f t="shared" si="41"/>
        <v>1.4999060692904689E-4</v>
      </c>
      <c r="V120" s="100">
        <f t="shared" si="46"/>
        <v>0.99999999972064468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0.22547827329253009</v>
      </c>
      <c r="K121" s="55">
        <f t="shared" si="35"/>
        <v>0.96087885002937512</v>
      </c>
      <c r="L121" s="55">
        <f t="shared" si="36"/>
        <v>1.1363194481483982E-4</v>
      </c>
      <c r="M121" s="55">
        <f t="shared" si="42"/>
        <v>0.99988636805518516</v>
      </c>
      <c r="N121" s="55">
        <f t="shared" si="37"/>
        <v>2.1354597241042448E-5</v>
      </c>
      <c r="O121" s="56">
        <f t="shared" si="43"/>
        <v>9.6594973115626659E-7</v>
      </c>
      <c r="P121" s="56">
        <f t="shared" si="38"/>
        <v>1.6234271292996697E-6</v>
      </c>
      <c r="Q121" s="56">
        <f t="shared" si="39"/>
        <v>6.1017405893855196E-6</v>
      </c>
      <c r="R121" s="9">
        <f t="shared" si="44"/>
        <v>1.4999999999999999E-4</v>
      </c>
      <c r="S121" s="9">
        <f t="shared" si="45"/>
        <v>1.7044791722225972E-8</v>
      </c>
      <c r="T121" s="9">
        <f t="shared" si="40"/>
        <v>1.4413182750440626E-4</v>
      </c>
      <c r="U121" s="9">
        <f t="shared" si="41"/>
        <v>1.4998295520827777E-4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5.5157795819294879</v>
      </c>
      <c r="K122" s="55">
        <f t="shared" si="35"/>
        <v>3.2204029155624253E-4</v>
      </c>
      <c r="L122" s="55">
        <f t="shared" si="36"/>
        <v>7.4309326531805135E-3</v>
      </c>
      <c r="M122" s="55">
        <f t="shared" si="42"/>
        <v>0.99256906734681949</v>
      </c>
      <c r="N122" s="55">
        <f t="shared" si="37"/>
        <v>7.2515981623524125E-3</v>
      </c>
      <c r="O122" s="56">
        <f t="shared" si="43"/>
        <v>3.2373980657470841E-10</v>
      </c>
      <c r="P122" s="56">
        <f t="shared" si="38"/>
        <v>1.0616361169237494E-4</v>
      </c>
      <c r="Q122" s="56">
        <f t="shared" si="39"/>
        <v>2.0720302212067932E-3</v>
      </c>
      <c r="R122" s="9">
        <f t="shared" si="44"/>
        <v>1.4999999999999999E-4</v>
      </c>
      <c r="S122" s="9">
        <f t="shared" si="45"/>
        <v>1.1146398979770769E-6</v>
      </c>
      <c r="T122" s="9">
        <f t="shared" si="40"/>
        <v>4.8306043733436372E-8</v>
      </c>
      <c r="U122" s="9">
        <f t="shared" si="41"/>
        <v>1.488853601020229E-4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0.91344044901976251</v>
      </c>
      <c r="K123" s="55">
        <f t="shared" ref="K123:K127" si="49">IF(D123=0,"",1/(1+10^D123*$J$15/$J$14+10^E123*$J$16/$J$14+10^J123*$J$19/$J$14))</f>
        <v>0.80108103862127489</v>
      </c>
      <c r="L123" s="55">
        <f t="shared" ref="L123:L127" si="50">IF(D123=0,"",1/(1+10^I123/10^J123*$J$13/$J$19))</f>
        <v>4.6181755052136846E-4</v>
      </c>
      <c r="M123" s="55">
        <f t="shared" si="42"/>
        <v>0.99953818244947867</v>
      </c>
      <c r="N123" s="55">
        <f t="shared" ref="N123:N127" si="51">IF(D123=0,"",1/(1/10^E123*$J$20/$J$22+10^D123/10^E123*$J$21/$J$22+10^I123/10^E123*$J$13/$J$22+1))</f>
        <v>2.6298379535084053E-4</v>
      </c>
      <c r="O123" s="56">
        <f t="shared" si="43"/>
        <v>8.0530861290884607E-7</v>
      </c>
      <c r="P123" s="56">
        <f t="shared" ref="P123:P127" si="52">IF(D123=0,"",O123*10^J123)</f>
        <v>6.597855396427215E-6</v>
      </c>
      <c r="Q123" s="56">
        <f t="shared" ref="Q123:Q127" si="53">IF(D123=0,"",F123*N123*$J$7/$J$22)</f>
        <v>7.5143486919004285E-5</v>
      </c>
      <c r="R123" s="9">
        <f t="shared" si="44"/>
        <v>1.4999999999999999E-4</v>
      </c>
      <c r="S123" s="9">
        <f t="shared" si="45"/>
        <v>6.927263257820526E-8</v>
      </c>
      <c r="T123" s="9">
        <f t="shared" si="40"/>
        <v>1.2016215579319122E-4</v>
      </c>
      <c r="U123" s="9">
        <f t="shared" si="41"/>
        <v>1.499307273674218E-4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0.97331271643662476</v>
      </c>
      <c r="K124" s="55">
        <f t="shared" si="49"/>
        <v>0.67057490804619357</v>
      </c>
      <c r="L124" s="55">
        <f t="shared" si="50"/>
        <v>4.4372464167239794E-4</v>
      </c>
      <c r="M124" s="55">
        <f t="shared" si="42"/>
        <v>0.99955627535832758</v>
      </c>
      <c r="N124" s="55">
        <f t="shared" si="51"/>
        <v>1.2582496992596454E-4</v>
      </c>
      <c r="O124" s="56">
        <f t="shared" si="43"/>
        <v>6.7411375755388592E-7</v>
      </c>
      <c r="P124" s="56">
        <f t="shared" si="52"/>
        <v>6.3393671771045015E-6</v>
      </c>
      <c r="Q124" s="56">
        <f t="shared" si="53"/>
        <v>3.5952507906816957E-5</v>
      </c>
      <c r="R124" s="9">
        <f t="shared" si="44"/>
        <v>1.4999999999999999E-4</v>
      </c>
      <c r="S124" s="9">
        <f t="shared" si="45"/>
        <v>6.6558696250859689E-8</v>
      </c>
      <c r="T124" s="9">
        <f t="shared" si="40"/>
        <v>1.0058623620692903E-4</v>
      </c>
      <c r="U124" s="9">
        <f t="shared" si="41"/>
        <v>1.4993344130374912E-4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7.3650487553540506E-2</v>
      </c>
      <c r="K125" s="55">
        <f t="shared" si="49"/>
        <v>0.98152790876809326</v>
      </c>
      <c r="L125" s="55">
        <f t="shared" si="50"/>
        <v>8.1828892364487103E-5</v>
      </c>
      <c r="M125" s="55">
        <f t="shared" si="42"/>
        <v>0.99991817110763548</v>
      </c>
      <c r="N125" s="55">
        <f t="shared" si="51"/>
        <v>4.7180353376806538E-6</v>
      </c>
      <c r="O125" s="56">
        <f t="shared" si="43"/>
        <v>9.8670776192849645E-7</v>
      </c>
      <c r="P125" s="56">
        <f t="shared" si="52"/>
        <v>1.1690660055278944E-6</v>
      </c>
      <c r="Q125" s="56">
        <f t="shared" si="53"/>
        <v>1.3481044571869404E-6</v>
      </c>
      <c r="R125" s="9">
        <f t="shared" si="44"/>
        <v>1.4999999999999999E-4</v>
      </c>
      <c r="S125" s="9">
        <f t="shared" si="45"/>
        <v>1.2274333854673065E-8</v>
      </c>
      <c r="T125" s="9">
        <f t="shared" si="40"/>
        <v>1.4722918631521399E-4</v>
      </c>
      <c r="U125" s="9">
        <f t="shared" si="41"/>
        <v>1.4998772566614531E-4</v>
      </c>
      <c r="V125" s="100">
        <f t="shared" si="46"/>
        <v>0.98160823268250952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4.4066096160793258</v>
      </c>
      <c r="K126" s="55">
        <f t="shared" si="49"/>
        <v>3.4312708053467378E-3</v>
      </c>
      <c r="L126" s="55">
        <f t="shared" si="50"/>
        <v>6.1576945687362222E-3</v>
      </c>
      <c r="M126" s="55">
        <f t="shared" si="42"/>
        <v>0.99384230543126373</v>
      </c>
      <c r="N126" s="55">
        <f t="shared" si="51"/>
        <v>5.8462652289308845E-3</v>
      </c>
      <c r="O126" s="56">
        <f t="shared" si="43"/>
        <v>3.4493787763646809E-9</v>
      </c>
      <c r="P126" s="56">
        <f t="shared" si="52"/>
        <v>8.797322296222913E-5</v>
      </c>
      <c r="Q126" s="56">
        <f t="shared" si="53"/>
        <v>1.670478419284831E-3</v>
      </c>
      <c r="R126" s="9">
        <f t="shared" si="44"/>
        <v>1.4999999999999999E-4</v>
      </c>
      <c r="S126" s="9">
        <f t="shared" si="45"/>
        <v>9.2365418531043321E-7</v>
      </c>
      <c r="T126" s="9">
        <f t="shared" si="40"/>
        <v>5.1469062080201059E-7</v>
      </c>
      <c r="U126" s="9">
        <f t="shared" si="41"/>
        <v>1.4907634581468954E-4</v>
      </c>
      <c r="V126" s="100">
        <f t="shared" si="46"/>
        <v>3.4525304332439204E-3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2.1831984223328189</v>
      </c>
      <c r="K127" s="55">
        <f t="shared" si="49"/>
        <v>0.22597212184130303</v>
      </c>
      <c r="L127" s="55">
        <f t="shared" si="50"/>
        <v>2.4244141948843679E-3</v>
      </c>
      <c r="M127" s="55">
        <f t="shared" si="42"/>
        <v>0.99757558580511563</v>
      </c>
      <c r="N127" s="55">
        <f t="shared" si="51"/>
        <v>1.9172483940804892E-3</v>
      </c>
      <c r="O127" s="56">
        <f t="shared" si="43"/>
        <v>2.2716465279129079E-7</v>
      </c>
      <c r="P127" s="56">
        <f t="shared" si="52"/>
        <v>3.4636912912542997E-5</v>
      </c>
      <c r="Q127" s="56">
        <f t="shared" si="53"/>
        <v>5.4782360041944985E-4</v>
      </c>
      <c r="R127" s="9">
        <f t="shared" si="44"/>
        <v>1.4999999999999999E-4</v>
      </c>
      <c r="S127" s="9">
        <f t="shared" si="45"/>
        <v>3.6366212923265513E-7</v>
      </c>
      <c r="T127" s="9">
        <f t="shared" si="40"/>
        <v>3.3895818276195453E-5</v>
      </c>
      <c r="U127" s="9">
        <f t="shared" si="41"/>
        <v>1.4963633787076734E-4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3.1029128175372134</v>
      </c>
      <c r="K128" s="55">
        <f t="shared" ref="K128:K134" si="56">IF(D128=0,"",1/(1+10^D128*$J$15/$J$14+10^E128*$J$16/$J$14+10^J128*$J$19/$J$14))</f>
        <v>3.5591266157381653E-2</v>
      </c>
      <c r="L128" s="55">
        <f t="shared" ref="L128:L134" si="57">IF(D128=0,"",1/(1+10^I128/10^J128*$J$13/$J$19))</f>
        <v>3.1740209431201068E-3</v>
      </c>
      <c r="M128" s="55">
        <f t="shared" ref="M128:M134" si="58">IF(D128=0,"",1-L128)</f>
        <v>0.99682597905687986</v>
      </c>
      <c r="N128" s="55">
        <f t="shared" ref="N128:N134" si="59">IF(D128=0,"",1/(1/10^E128*$J$20/$J$22+10^D128/10^E128*$J$21/$J$22+10^I128/10^E128*$J$13/$J$22+1))</f>
        <v>2.5753720307683261E-3</v>
      </c>
      <c r="O128" s="56">
        <f t="shared" ref="O128:O134" si="60">IF(D128=0,"",F128*K128*$J$7/$J$14)</f>
        <v>3.5779093249042707E-8</v>
      </c>
      <c r="P128" s="56">
        <f t="shared" ref="P128:P134" si="61">IF(D128=0,"",O128*10^J128)</f>
        <v>4.5346330351230382E-5</v>
      </c>
      <c r="Q128" s="56">
        <f t="shared" ref="Q128:Q134" si="62">IF(D128=0,"",F128*N128*$J$7/$J$22)</f>
        <v>7.3587208766013701E-4</v>
      </c>
      <c r="R128" s="9">
        <f t="shared" si="44"/>
        <v>1.4999999999999999E-4</v>
      </c>
      <c r="S128" s="9">
        <f t="shared" si="45"/>
        <v>4.7610314146801598E-7</v>
      </c>
      <c r="T128" s="9">
        <f t="shared" si="40"/>
        <v>5.3386899236072474E-6</v>
      </c>
      <c r="U128" s="9">
        <f t="shared" si="41"/>
        <v>1.4952389685853198E-4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-4.8884570023902327E-2</v>
      </c>
      <c r="K129" s="55">
        <f t="shared" si="56"/>
        <v>0.99967169793649613</v>
      </c>
      <c r="L129" s="55">
        <f t="shared" si="57"/>
        <v>6.2853050281530299E-5</v>
      </c>
      <c r="M129" s="55">
        <f t="shared" si="58"/>
        <v>0.99993714694971847</v>
      </c>
      <c r="N129" s="55">
        <f t="shared" si="59"/>
        <v>1.8726795642345934E-8</v>
      </c>
      <c r="O129" s="56">
        <f t="shared" si="60"/>
        <v>1.004947301979606E-6</v>
      </c>
      <c r="P129" s="56">
        <f t="shared" si="61"/>
        <v>8.9796357135785714E-7</v>
      </c>
      <c r="Q129" s="56">
        <f t="shared" si="62"/>
        <v>5.3508875765831132E-9</v>
      </c>
      <c r="R129" s="9">
        <f t="shared" si="44"/>
        <v>1.4999999999999999E-4</v>
      </c>
      <c r="S129" s="9">
        <f t="shared" si="45"/>
        <v>9.4279575422295437E-9</v>
      </c>
      <c r="T129" s="9">
        <f t="shared" si="40"/>
        <v>1.4995075469047441E-4</v>
      </c>
      <c r="U129" s="9">
        <f t="shared" si="41"/>
        <v>1.4999057204245775E-4</v>
      </c>
      <c r="V129" s="100">
        <f t="shared" si="46"/>
        <v>0.99973453430144876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1.4639587166510732</v>
      </c>
      <c r="K130" s="55">
        <f t="shared" si="56"/>
        <v>0.54163545613994768</v>
      </c>
      <c r="L130" s="55">
        <f t="shared" si="57"/>
        <v>1.1092241971936458E-3</v>
      </c>
      <c r="M130" s="55">
        <f t="shared" si="58"/>
        <v>0.99889077580280639</v>
      </c>
      <c r="N130" s="55">
        <f t="shared" si="59"/>
        <v>7.4608419898614488E-4</v>
      </c>
      <c r="O130" s="56">
        <f t="shared" si="60"/>
        <v>5.4449384875844617E-7</v>
      </c>
      <c r="P130" s="56">
        <f t="shared" si="61"/>
        <v>1.5847169184106421E-5</v>
      </c>
      <c r="Q130" s="56">
        <f t="shared" si="62"/>
        <v>2.1318183568002109E-4</v>
      </c>
      <c r="R130" s="9">
        <f t="shared" si="44"/>
        <v>1.4999999999999999E-4</v>
      </c>
      <c r="S130" s="9">
        <f t="shared" si="45"/>
        <v>1.6638362957904686E-7</v>
      </c>
      <c r="T130" s="9">
        <f t="shared" si="40"/>
        <v>8.1245318420992141E-5</v>
      </c>
      <c r="U130" s="9">
        <f t="shared" si="41"/>
        <v>1.4983361637042094E-4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6.9804088254701052E-2</v>
      </c>
      <c r="K131" s="55">
        <f t="shared" si="56"/>
        <v>0.98380633703288556</v>
      </c>
      <c r="L131" s="55">
        <f t="shared" si="57"/>
        <v>8.129563658300304E-5</v>
      </c>
      <c r="M131" s="55">
        <f t="shared" si="58"/>
        <v>0.99991870436341701</v>
      </c>
      <c r="N131" s="55">
        <f t="shared" si="59"/>
        <v>6.1735239136127759E-6</v>
      </c>
      <c r="O131" s="56">
        <f t="shared" si="60"/>
        <v>9.8899821422616929E-7</v>
      </c>
      <c r="P131" s="56">
        <f t="shared" si="61"/>
        <v>1.1614475325366263E-6</v>
      </c>
      <c r="Q131" s="56">
        <f t="shared" si="62"/>
        <v>1.7639874457962081E-6</v>
      </c>
      <c r="R131" s="9">
        <f t="shared" si="44"/>
        <v>1.4999999999999999E-4</v>
      </c>
      <c r="S131" s="9">
        <f t="shared" si="45"/>
        <v>1.2194345487450455E-8</v>
      </c>
      <c r="T131" s="9">
        <f t="shared" si="40"/>
        <v>1.4757095055493283E-4</v>
      </c>
      <c r="U131" s="9">
        <f t="shared" si="41"/>
        <v>1.4998780565451253E-4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0.23910923501822964</v>
      </c>
      <c r="K132" s="55">
        <f t="shared" si="56"/>
        <v>0.95866323638416762</v>
      </c>
      <c r="L132" s="55">
        <f t="shared" si="57"/>
        <v>1.1698463927309539E-4</v>
      </c>
      <c r="M132" s="55">
        <f t="shared" si="58"/>
        <v>0.99988301536072688</v>
      </c>
      <c r="N132" s="55">
        <f t="shared" si="59"/>
        <v>2.3073622201289034E-5</v>
      </c>
      <c r="O132" s="56">
        <f t="shared" si="60"/>
        <v>9.6372242497206984E-7</v>
      </c>
      <c r="P132" s="56">
        <f t="shared" si="61"/>
        <v>1.6713261171120645E-6</v>
      </c>
      <c r="Q132" s="56">
        <f t="shared" si="62"/>
        <v>6.5929249585266064E-6</v>
      </c>
      <c r="R132" s="9">
        <f t="shared" si="44"/>
        <v>1.4999999999999999E-4</v>
      </c>
      <c r="S132" s="9">
        <f t="shared" si="45"/>
        <v>1.7547695890964306E-8</v>
      </c>
      <c r="T132" s="9">
        <f t="shared" si="40"/>
        <v>1.4379948545762512E-4</v>
      </c>
      <c r="U132" s="9">
        <f t="shared" si="41"/>
        <v>1.4998245230410902E-4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2.4261279148275907</v>
      </c>
      <c r="K133" s="55">
        <f t="shared" si="56"/>
        <v>0.15432475464757661</v>
      </c>
      <c r="L133" s="55">
        <f t="shared" si="57"/>
        <v>2.8967901976573434E-3</v>
      </c>
      <c r="M133" s="55">
        <f t="shared" si="58"/>
        <v>0.99710320980234268</v>
      </c>
      <c r="N133" s="55">
        <f t="shared" si="59"/>
        <v>2.3753530995601407E-3</v>
      </c>
      <c r="O133" s="56">
        <f t="shared" si="60"/>
        <v>1.5513917832412087E-7</v>
      </c>
      <c r="P133" s="56">
        <f t="shared" si="61"/>
        <v>4.1385613899588287E-5</v>
      </c>
      <c r="Q133" s="56">
        <f t="shared" si="62"/>
        <v>6.787198212220314E-4</v>
      </c>
      <c r="R133" s="9">
        <f t="shared" si="44"/>
        <v>1.4999999999999999E-4</v>
      </c>
      <c r="S133" s="9">
        <f t="shared" si="45"/>
        <v>4.3451852964860146E-7</v>
      </c>
      <c r="T133" s="9">
        <f t="shared" si="40"/>
        <v>2.3148713197136489E-5</v>
      </c>
      <c r="U133" s="9">
        <f t="shared" si="41"/>
        <v>1.4956548147035138E-4</v>
      </c>
      <c r="V133" s="100">
        <f t="shared" si="46"/>
        <v>0.15477309984607174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-5.0078092325288211E-2</v>
      </c>
      <c r="K134" s="55">
        <f t="shared" si="56"/>
        <v>0.99985339070090018</v>
      </c>
      <c r="L134" s="55">
        <f t="shared" si="57"/>
        <v>6.2691947843274978E-5</v>
      </c>
      <c r="M134" s="55">
        <f t="shared" si="58"/>
        <v>0.99993730805215675</v>
      </c>
      <c r="N134" s="55">
        <f t="shared" si="59"/>
        <v>3.6542725860065885E-9</v>
      </c>
      <c r="O134" s="56">
        <f t="shared" si="60"/>
        <v>1.0051299535978863E-6</v>
      </c>
      <c r="P134" s="56">
        <f t="shared" si="61"/>
        <v>8.9566194685177155E-7</v>
      </c>
      <c r="Q134" s="56">
        <f t="shared" si="62"/>
        <v>1.0441509671678882E-9</v>
      </c>
      <c r="R134" s="9">
        <f t="shared" si="44"/>
        <v>1.4999999999999999E-4</v>
      </c>
      <c r="S134" s="9">
        <f t="shared" si="45"/>
        <v>9.4037921764912451E-9</v>
      </c>
      <c r="T134" s="9">
        <f t="shared" si="40"/>
        <v>1.4997800860513502E-4</v>
      </c>
      <c r="U134" s="9">
        <f t="shared" si="41"/>
        <v>1.499905962078235E-4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0.38035362640036097</v>
      </c>
      <c r="K135" s="55">
        <f t="shared" ref="K135:K143" si="65">IF(D135=0,"",1/(1+10^D135*$J$15/$J$14+10^E135*$J$16/$J$14+10^J135*$J$19/$J$14))</f>
        <v>0.93326246650615918</v>
      </c>
      <c r="L135" s="55">
        <f t="shared" ref="L135:L143" si="66">IF(D135=0,"",1/(1+10^I135/10^J135*$J$13/$J$19))</f>
        <v>1.5765616516130732E-4</v>
      </c>
      <c r="M135" s="55">
        <f t="shared" ref="M135:M143" si="67">IF(D135=0,"",1-L135)</f>
        <v>0.99984234383483872</v>
      </c>
      <c r="N135" s="55">
        <f t="shared" ref="N135:N143" si="68">IF(D135=0,"",1/(1/10^E135*$J$20/$J$22+10^D135/10^E135*$J$21/$J$22+10^I135/10^E135*$J$13/$J$22+1))</f>
        <v>4.52527908864443E-5</v>
      </c>
      <c r="O135" s="56">
        <f t="shared" ref="O135:O143" si="69">IF(D135=0,"",F135*K135*$J$7/$J$14)</f>
        <v>9.3818760668142425E-7</v>
      </c>
      <c r="P135" s="56">
        <f t="shared" ref="P135:P143" si="70">IF(D135=0,"",O135*10^J135)</f>
        <v>2.2523885870409803E-6</v>
      </c>
      <c r="Q135" s="56">
        <f t="shared" ref="Q135:Q143" si="71">IF(D135=0,"",F135*N135*$J$7/$J$22)</f>
        <v>1.2930273880516099E-5</v>
      </c>
      <c r="R135" s="9">
        <f t="shared" si="44"/>
        <v>1.4999999999999999E-4</v>
      </c>
      <c r="S135" s="9">
        <f t="shared" si="45"/>
        <v>2.3648424774196095E-8</v>
      </c>
      <c r="T135" s="9">
        <f t="shared" si="40"/>
        <v>1.3998936997592387E-4</v>
      </c>
      <c r="U135" s="9">
        <f t="shared" si="41"/>
        <v>1.4997635157522579E-4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-2.6530951628927751E-2</v>
      </c>
      <c r="K136" s="55">
        <f t="shared" si="65"/>
        <v>0.99657139295986297</v>
      </c>
      <c r="L136" s="55">
        <f t="shared" si="66"/>
        <v>6.5967647526643755E-5</v>
      </c>
      <c r="M136" s="55">
        <f t="shared" si="67"/>
        <v>0.99993403235247336</v>
      </c>
      <c r="N136" s="55">
        <f t="shared" si="68"/>
        <v>6.8028523172021112E-7</v>
      </c>
      <c r="O136" s="56">
        <f t="shared" si="69"/>
        <v>1.0018306356500374E-6</v>
      </c>
      <c r="P136" s="56">
        <f t="shared" si="70"/>
        <v>9.4246093231386618E-7</v>
      </c>
      <c r="Q136" s="56">
        <f t="shared" si="71"/>
        <v>1.9438081476755183E-7</v>
      </c>
      <c r="R136" s="9">
        <f t="shared" si="44"/>
        <v>1.4999999999999999E-4</v>
      </c>
      <c r="S136" s="9">
        <f t="shared" si="45"/>
        <v>9.8951471289965624E-9</v>
      </c>
      <c r="T136" s="9">
        <f t="shared" si="40"/>
        <v>1.4948570894397943E-4</v>
      </c>
      <c r="U136" s="9">
        <f t="shared" si="41"/>
        <v>1.4999010485287098E-4</v>
      </c>
      <c r="V136" s="100">
        <f t="shared" si="46"/>
        <v>0.99663713876734517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-5.0553856533599194E-2</v>
      </c>
      <c r="K137" s="55">
        <f t="shared" si="65"/>
        <v>0.99992828157224189</v>
      </c>
      <c r="L137" s="55">
        <f t="shared" si="66"/>
        <v>6.2627997799512904E-5</v>
      </c>
      <c r="M137" s="55">
        <f t="shared" si="67"/>
        <v>0.99993737200220045</v>
      </c>
      <c r="N137" s="55">
        <f t="shared" si="68"/>
        <v>1.5539624633469464E-10</v>
      </c>
      <c r="O137" s="56">
        <f t="shared" si="69"/>
        <v>1.0052052396935645E-6</v>
      </c>
      <c r="P137" s="56">
        <f t="shared" si="70"/>
        <v>8.9474831084798385E-7</v>
      </c>
      <c r="Q137" s="56">
        <f t="shared" si="71"/>
        <v>4.4402035449125153E-11</v>
      </c>
      <c r="R137" s="9">
        <f t="shared" si="44"/>
        <v>1.4999999999999999E-4</v>
      </c>
      <c r="S137" s="9">
        <f t="shared" si="45"/>
        <v>9.3941996699269344E-9</v>
      </c>
      <c r="T137" s="9">
        <f t="shared" si="40"/>
        <v>1.4998924223583627E-4</v>
      </c>
      <c r="U137" s="9">
        <f t="shared" si="41"/>
        <v>1.4999060580033006E-4</v>
      </c>
      <c r="V137" s="100">
        <f t="shared" si="46"/>
        <v>0.99999090900069032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-2.9301207680156056E-2</v>
      </c>
      <c r="K138" s="55">
        <f t="shared" si="65"/>
        <v>0.99694281692983944</v>
      </c>
      <c r="L138" s="55">
        <f t="shared" si="66"/>
        <v>6.5572625519518291E-5</v>
      </c>
      <c r="M138" s="55">
        <f t="shared" si="67"/>
        <v>0.99993442737448046</v>
      </c>
      <c r="N138" s="55">
        <f t="shared" si="68"/>
        <v>5.7682459213606513E-7</v>
      </c>
      <c r="O138" s="56">
        <f t="shared" si="69"/>
        <v>1.002204019749326E-6</v>
      </c>
      <c r="P138" s="56">
        <f t="shared" si="70"/>
        <v>9.3681736576149529E-7</v>
      </c>
      <c r="Q138" s="56">
        <f t="shared" si="71"/>
        <v>1.6481856281643273E-7</v>
      </c>
      <c r="R138" s="9">
        <f t="shared" si="44"/>
        <v>1.4999999999999999E-4</v>
      </c>
      <c r="S138" s="9">
        <f t="shared" si="45"/>
        <v>9.8358938279277421E-9</v>
      </c>
      <c r="T138" s="9">
        <f t="shared" si="40"/>
        <v>1.495414225394759E-4</v>
      </c>
      <c r="U138" s="9">
        <f t="shared" si="41"/>
        <v>1.4999016410617206E-4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0.26394098838273811</v>
      </c>
      <c r="K139" s="55">
        <f t="shared" si="65"/>
        <v>0.9485351334597627</v>
      </c>
      <c r="L139" s="55">
        <f t="shared" si="66"/>
        <v>1.2255977140506369E-4</v>
      </c>
      <c r="M139" s="55">
        <f t="shared" si="67"/>
        <v>0.99987744022859493</v>
      </c>
      <c r="N139" s="55">
        <f t="shared" si="68"/>
        <v>2.0147861566387581E-5</v>
      </c>
      <c r="O139" s="56">
        <f t="shared" si="69"/>
        <v>9.5354087263937677E-7</v>
      </c>
      <c r="P139" s="56">
        <f t="shared" si="70"/>
        <v>1.750976436986601E-6</v>
      </c>
      <c r="Q139" s="56">
        <f t="shared" si="71"/>
        <v>5.7569348333420644E-6</v>
      </c>
      <c r="R139" s="9">
        <f t="shared" si="44"/>
        <v>1.4999999999999999E-4</v>
      </c>
      <c r="S139" s="9">
        <f t="shared" si="45"/>
        <v>1.8383965710759554E-8</v>
      </c>
      <c r="T139" s="9">
        <f t="shared" si="40"/>
        <v>1.4228027001896438E-4</v>
      </c>
      <c r="U139" s="9">
        <f t="shared" si="41"/>
        <v>1.4998161603428921E-4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-5.0177410945668542E-2</v>
      </c>
      <c r="K140" s="55">
        <f t="shared" si="65"/>
        <v>0.99986883877484733</v>
      </c>
      <c r="L140" s="55">
        <f t="shared" si="66"/>
        <v>6.2678580877986037E-5</v>
      </c>
      <c r="M140" s="55">
        <f t="shared" si="67"/>
        <v>0.99993732141912206</v>
      </c>
      <c r="N140" s="55">
        <f t="shared" si="68"/>
        <v>2.7382251221272837E-9</v>
      </c>
      <c r="O140" s="56">
        <f t="shared" si="69"/>
        <v>1.0051454831965195E-6</v>
      </c>
      <c r="P140" s="56">
        <f t="shared" si="70"/>
        <v>8.9547097683782136E-7</v>
      </c>
      <c r="Q140" s="56">
        <f t="shared" si="71"/>
        <v>7.8240479939595207E-10</v>
      </c>
      <c r="R140" s="9">
        <f t="shared" si="44"/>
        <v>1.4999999999999999E-4</v>
      </c>
      <c r="S140" s="9">
        <f t="shared" si="45"/>
        <v>9.4017871316979039E-9</v>
      </c>
      <c r="T140" s="9">
        <f t="shared" si="40"/>
        <v>1.4998032581622708E-4</v>
      </c>
      <c r="U140" s="9">
        <f t="shared" si="41"/>
        <v>1.4999059821286828E-4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-4.9513743875137496E-2</v>
      </c>
      <c r="K141" s="55">
        <f t="shared" si="65"/>
        <v>0.99976672435831737</v>
      </c>
      <c r="L141" s="55">
        <f t="shared" si="66"/>
        <v>6.2768025351600003E-5</v>
      </c>
      <c r="M141" s="55">
        <f t="shared" si="67"/>
        <v>0.99993723197464845</v>
      </c>
      <c r="N141" s="55">
        <f t="shared" si="68"/>
        <v>9.9951052940439108E-9</v>
      </c>
      <c r="O141" s="56">
        <f t="shared" si="69"/>
        <v>1.0050428298878415E-6</v>
      </c>
      <c r="P141" s="56">
        <f t="shared" si="70"/>
        <v>8.967488444767802E-7</v>
      </c>
      <c r="Q141" s="56">
        <f t="shared" si="71"/>
        <v>2.8559442718327119E-9</v>
      </c>
      <c r="R141" s="9">
        <f t="shared" si="44"/>
        <v>1.4999999999999999E-4</v>
      </c>
      <c r="S141" s="9">
        <f t="shared" si="45"/>
        <v>9.4152038027400001E-9</v>
      </c>
      <c r="T141" s="9">
        <f t="shared" si="40"/>
        <v>1.4996500865374759E-4</v>
      </c>
      <c r="U141" s="9">
        <f t="shared" si="41"/>
        <v>1.4999058479619724E-4</v>
      </c>
      <c r="V141" s="100">
        <f t="shared" si="46"/>
        <v>0.99982948168057073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1.6664622346062494</v>
      </c>
      <c r="K142" s="55">
        <f t="shared" si="65"/>
        <v>0.44268972094775838</v>
      </c>
      <c r="L142" s="55">
        <f t="shared" si="66"/>
        <v>1.4451575788192415E-3</v>
      </c>
      <c r="M142" s="55">
        <f t="shared" si="67"/>
        <v>0.99855484242118075</v>
      </c>
      <c r="N142" s="55">
        <f t="shared" si="68"/>
        <v>1.0287872064806702E-3</v>
      </c>
      <c r="O142" s="56">
        <f t="shared" si="69"/>
        <v>4.4502594361615634E-7</v>
      </c>
      <c r="P142" s="56">
        <f t="shared" si="70"/>
        <v>2.0646553426425125E-5</v>
      </c>
      <c r="Q142" s="56">
        <f t="shared" si="71"/>
        <v>2.9395977759574967E-4</v>
      </c>
      <c r="R142" s="9">
        <f t="shared" si="44"/>
        <v>1.4999999999999999E-4</v>
      </c>
      <c r="S142" s="9">
        <f t="shared" si="45"/>
        <v>2.1677363682288622E-7</v>
      </c>
      <c r="T142" s="9">
        <f t="shared" si="40"/>
        <v>6.6403458142163754E-5</v>
      </c>
      <c r="U142" s="9">
        <f t="shared" si="41"/>
        <v>1.497832263631771E-4</v>
      </c>
      <c r="V142" s="100">
        <f t="shared" si="46"/>
        <v>0.44333040323992157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2.2900502163435572</v>
      </c>
      <c r="K143" s="55">
        <f t="shared" si="65"/>
        <v>6.6268351380227269E-2</v>
      </c>
      <c r="L143" s="55">
        <f t="shared" si="66"/>
        <v>9.0930570303949382E-4</v>
      </c>
      <c r="M143" s="55">
        <f t="shared" si="67"/>
        <v>0.99909069429696051</v>
      </c>
      <c r="N143" s="55">
        <f t="shared" si="68"/>
        <v>9.8271975267121125E-5</v>
      </c>
      <c r="O143" s="56">
        <f t="shared" si="69"/>
        <v>6.6618071776626815E-8</v>
      </c>
      <c r="P143" s="56">
        <f t="shared" si="70"/>
        <v>1.2990990777695819E-5</v>
      </c>
      <c r="Q143" s="56">
        <f t="shared" si="71"/>
        <v>2.8079672658682803E-5</v>
      </c>
      <c r="R143" s="9">
        <f t="shared" si="44"/>
        <v>1.4999999999999999E-4</v>
      </c>
      <c r="S143" s="9">
        <f t="shared" si="45"/>
        <v>1.3639585545592406E-7</v>
      </c>
      <c r="T143" s="9">
        <f t="shared" si="40"/>
        <v>9.9402527070340888E-6</v>
      </c>
      <c r="U143" s="9">
        <f t="shared" si="41"/>
        <v>1.4986360414454407E-4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2025-02-02T14:49:26Z</dcterms:modified>
</cp:coreProperties>
</file>