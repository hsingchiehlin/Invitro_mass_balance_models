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5331AD4B-F361-4968-8265-DF73B6ADBDDA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R127" i="4"/>
  <c r="U127" i="4" s="1"/>
  <c r="V126" i="4"/>
  <c r="R126" i="4"/>
  <c r="U126" i="4" s="1"/>
  <c r="V124" i="4"/>
  <c r="T124" i="4"/>
  <c r="R124" i="4"/>
  <c r="U124" i="4" s="1"/>
  <c r="V121" i="4"/>
  <c r="U121" i="4"/>
  <c r="T121" i="4"/>
  <c r="R121" i="4"/>
  <c r="S121" i="4" s="1"/>
  <c r="V120" i="4"/>
  <c r="S120" i="4"/>
  <c r="R120" i="4"/>
  <c r="V119" i="4"/>
  <c r="U119" i="4"/>
  <c r="T119" i="4"/>
  <c r="R119" i="4"/>
  <c r="S119" i="4" s="1"/>
  <c r="V116" i="4"/>
  <c r="R116" i="4"/>
  <c r="U116" i="4" s="1"/>
  <c r="V115" i="4"/>
  <c r="U115" i="4"/>
  <c r="T115" i="4"/>
  <c r="S115" i="4"/>
  <c r="R115" i="4"/>
  <c r="V114" i="4"/>
  <c r="U114" i="4"/>
  <c r="R114" i="4"/>
  <c r="T114" i="4" s="1"/>
  <c r="V108" i="4"/>
  <c r="R108" i="4"/>
  <c r="U108" i="4" s="1"/>
  <c r="V107" i="4"/>
  <c r="U107" i="4"/>
  <c r="T107" i="4"/>
  <c r="S107" i="4"/>
  <c r="R107" i="4"/>
  <c r="V93" i="4"/>
  <c r="R93" i="4"/>
  <c r="V92" i="4"/>
  <c r="R92" i="4"/>
  <c r="U92" i="4" s="1"/>
  <c r="V91" i="4"/>
  <c r="R91" i="4"/>
  <c r="U91" i="4" s="1"/>
  <c r="V90" i="4"/>
  <c r="U90" i="4"/>
  <c r="R90" i="4"/>
  <c r="T90" i="4" s="1"/>
  <c r="V89" i="4"/>
  <c r="U89" i="4"/>
  <c r="T89" i="4"/>
  <c r="R89" i="4"/>
  <c r="S89" i="4" s="1"/>
  <c r="V88" i="4"/>
  <c r="R88" i="4"/>
  <c r="V86" i="4"/>
  <c r="U86" i="4"/>
  <c r="R86" i="4"/>
  <c r="T86" i="4" s="1"/>
  <c r="V85" i="4"/>
  <c r="R85" i="4"/>
  <c r="U85" i="4" s="1"/>
  <c r="V84" i="4"/>
  <c r="R84" i="4"/>
  <c r="T84" i="4" s="1"/>
  <c r="V83" i="4"/>
  <c r="U83" i="4"/>
  <c r="R83" i="4"/>
  <c r="T83" i="4" s="1"/>
  <c r="V82" i="4"/>
  <c r="T82" i="4"/>
  <c r="S82" i="4"/>
  <c r="R82" i="4"/>
  <c r="U82" i="4" s="1"/>
  <c r="V81" i="4"/>
  <c r="U81" i="4"/>
  <c r="T81" i="4"/>
  <c r="S81" i="4"/>
  <c r="R81" i="4"/>
  <c r="V80" i="4"/>
  <c r="R80" i="4"/>
  <c r="V79" i="4"/>
  <c r="U79" i="4"/>
  <c r="T79" i="4"/>
  <c r="S79" i="4"/>
  <c r="R79" i="4"/>
  <c r="V78" i="4"/>
  <c r="R78" i="4"/>
  <c r="U78" i="4" s="1"/>
  <c r="V77" i="4"/>
  <c r="R77" i="4"/>
  <c r="U77" i="4" s="1"/>
  <c r="V76" i="4"/>
  <c r="U76" i="4"/>
  <c r="T76" i="4"/>
  <c r="R76" i="4"/>
  <c r="S76" i="4" s="1"/>
  <c r="V75" i="4"/>
  <c r="R75" i="4"/>
  <c r="V74" i="4"/>
  <c r="R74" i="4"/>
  <c r="U74" i="4" s="1"/>
  <c r="V73" i="4"/>
  <c r="R73" i="4"/>
  <c r="U73" i="4" s="1"/>
  <c r="V72" i="4"/>
  <c r="R72" i="4"/>
  <c r="U72" i="4" s="1"/>
  <c r="V71" i="4"/>
  <c r="U71" i="4"/>
  <c r="R71" i="4"/>
  <c r="T71" i="4" s="1"/>
  <c r="V70" i="4"/>
  <c r="T70" i="4"/>
  <c r="R70" i="4"/>
  <c r="U70" i="4" s="1"/>
  <c r="V69" i="4"/>
  <c r="U69" i="4"/>
  <c r="T69" i="4"/>
  <c r="S69" i="4"/>
  <c r="R69" i="4"/>
  <c r="V68" i="4"/>
  <c r="R68" i="4"/>
  <c r="V65" i="4"/>
  <c r="U65" i="4"/>
  <c r="T65" i="4"/>
  <c r="R65" i="4"/>
  <c r="S65" i="4" s="1"/>
  <c r="V64" i="4"/>
  <c r="R64" i="4"/>
  <c r="U64" i="4" s="1"/>
  <c r="V63" i="4"/>
  <c r="R63" i="4"/>
  <c r="S63" i="4" s="1"/>
  <c r="V62" i="4"/>
  <c r="U62" i="4"/>
  <c r="T62" i="4"/>
  <c r="R62" i="4"/>
  <c r="S62" i="4" s="1"/>
  <c r="V61" i="4"/>
  <c r="R61" i="4"/>
  <c r="V60" i="4"/>
  <c r="R60" i="4"/>
  <c r="S60" i="4" s="1"/>
  <c r="V58" i="4"/>
  <c r="R58" i="4"/>
  <c r="U58" i="4" s="1"/>
  <c r="V57" i="4"/>
  <c r="R57" i="4"/>
  <c r="U57" i="4" s="1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V45" i="4"/>
  <c r="R45" i="4"/>
  <c r="U45" i="4" s="1"/>
  <c r="V44" i="4"/>
  <c r="R44" i="4"/>
  <c r="U44" i="4" s="1"/>
  <c r="V43" i="4"/>
  <c r="U43" i="4"/>
  <c r="T43" i="4"/>
  <c r="R43" i="4"/>
  <c r="S43" i="4" s="1"/>
  <c r="V42" i="4"/>
  <c r="U42" i="4"/>
  <c r="T42" i="4"/>
  <c r="R42" i="4"/>
  <c r="S42" i="4" s="1"/>
  <c r="V41" i="4"/>
  <c r="S41" i="4"/>
  <c r="R41" i="4"/>
  <c r="V40" i="4"/>
  <c r="U40" i="4"/>
  <c r="T40" i="4"/>
  <c r="R40" i="4"/>
  <c r="S40" i="4" s="1"/>
  <c r="V39" i="4"/>
  <c r="R39" i="4"/>
  <c r="U39" i="4" s="1"/>
  <c r="V38" i="4"/>
  <c r="U38" i="4"/>
  <c r="T38" i="4"/>
  <c r="S38" i="4"/>
  <c r="R38" i="4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V33" i="4"/>
  <c r="R33" i="4"/>
  <c r="U33" i="4" s="1"/>
  <c r="V32" i="4"/>
  <c r="R32" i="4"/>
  <c r="U32" i="4" s="1"/>
  <c r="V31" i="4"/>
  <c r="U31" i="4"/>
  <c r="R31" i="4"/>
  <c r="T31" i="4" s="1"/>
  <c r="V30" i="4"/>
  <c r="U30" i="4"/>
  <c r="T30" i="4"/>
  <c r="R30" i="4"/>
  <c r="S30" i="4" s="1"/>
  <c r="V29" i="4"/>
  <c r="R29" i="4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3" i="4" l="1"/>
  <c r="S36" i="4"/>
  <c r="T60" i="4"/>
  <c r="T63" i="4"/>
  <c r="U75" i="4"/>
  <c r="T75" i="4"/>
  <c r="U84" i="4"/>
  <c r="S92" i="4"/>
  <c r="S108" i="4"/>
  <c r="T33" i="4"/>
  <c r="T36" i="4"/>
  <c r="U46" i="4"/>
  <c r="T46" i="4"/>
  <c r="S46" i="4"/>
  <c r="U60" i="4"/>
  <c r="U63" i="4"/>
  <c r="S72" i="4"/>
  <c r="S75" i="4"/>
  <c r="T92" i="4"/>
  <c r="T108" i="4"/>
  <c r="T72" i="4"/>
  <c r="S124" i="4"/>
  <c r="U80" i="4"/>
  <c r="T80" i="4"/>
  <c r="S80" i="4"/>
  <c r="S74" i="4"/>
  <c r="S77" i="4"/>
  <c r="S127" i="4"/>
  <c r="U29" i="4"/>
  <c r="T29" i="4"/>
  <c r="S45" i="4"/>
  <c r="S48" i="4"/>
  <c r="T74" i="4"/>
  <c r="T77" i="4"/>
  <c r="U88" i="4"/>
  <c r="T88" i="4"/>
  <c r="T127" i="4"/>
  <c r="S29" i="4"/>
  <c r="T45" i="4"/>
  <c r="T48" i="4"/>
  <c r="U68" i="4"/>
  <c r="T68" i="4"/>
  <c r="S68" i="4"/>
  <c r="S84" i="4"/>
  <c r="S88" i="4"/>
  <c r="U61" i="4"/>
  <c r="T61" i="4"/>
  <c r="U34" i="4"/>
  <c r="T34" i="4"/>
  <c r="S34" i="4"/>
  <c r="S57" i="4"/>
  <c r="S61" i="4"/>
  <c r="U93" i="4"/>
  <c r="T93" i="4"/>
  <c r="S93" i="4"/>
  <c r="S28" i="4"/>
  <c r="S31" i="4"/>
  <c r="T57" i="4"/>
  <c r="S86" i="4"/>
  <c r="S90" i="4"/>
  <c r="U41" i="4"/>
  <c r="T41" i="4"/>
  <c r="S70" i="4"/>
  <c r="U120" i="4"/>
  <c r="T120" i="4"/>
  <c r="S130" i="4"/>
  <c r="S39" i="4"/>
  <c r="S58" i="4"/>
  <c r="S73" i="4"/>
  <c r="S85" i="4"/>
  <c r="S116" i="4"/>
  <c r="T130" i="4"/>
  <c r="S32" i="4"/>
  <c r="T39" i="4"/>
  <c r="S44" i="4"/>
  <c r="T58" i="4"/>
  <c r="S64" i="4"/>
  <c r="T73" i="4"/>
  <c r="S78" i="4"/>
  <c r="T85" i="4"/>
  <c r="S91" i="4"/>
  <c r="T116" i="4"/>
  <c r="S126" i="4"/>
  <c r="T32" i="4"/>
  <c r="S37" i="4"/>
  <c r="T44" i="4"/>
  <c r="S49" i="4"/>
  <c r="T64" i="4"/>
  <c r="S71" i="4"/>
  <c r="T78" i="4"/>
  <c r="S83" i="4"/>
  <c r="T91" i="4"/>
  <c r="S114" i="4"/>
  <c r="T126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/>
  <c r="J101" i="4"/>
  <c r="K101" i="4"/>
  <c r="J86" i="4"/>
  <c r="K86" i="4" s="1"/>
  <c r="J85" i="4"/>
  <c r="K85" i="4" s="1"/>
  <c r="J88" i="4"/>
  <c r="K88" i="4" s="1"/>
  <c r="J119" i="4"/>
  <c r="K119" i="4"/>
  <c r="J72" i="4"/>
  <c r="K72" i="4" s="1"/>
  <c r="J103" i="4"/>
  <c r="K103" i="4"/>
  <c r="J118" i="4"/>
  <c r="K118" i="4"/>
  <c r="J104" i="4"/>
  <c r="K104" i="4"/>
  <c r="J90" i="4"/>
  <c r="K90" i="4" s="1"/>
  <c r="J71" i="4"/>
  <c r="K71" i="4" s="1"/>
  <c r="O71" i="4" s="1"/>
  <c r="P71" i="4" s="1"/>
  <c r="J110" i="4"/>
  <c r="K110" i="4"/>
  <c r="J82" i="4"/>
  <c r="L82" i="4" s="1"/>
  <c r="K82" i="4"/>
  <c r="J113" i="4"/>
  <c r="K113" i="4"/>
  <c r="J97" i="4"/>
  <c r="L97" i="4" s="1"/>
  <c r="K97" i="4"/>
  <c r="J81" i="4"/>
  <c r="K81" i="4" s="1"/>
  <c r="J116" i="4"/>
  <c r="K116" i="4"/>
  <c r="O116" i="4" s="1"/>
  <c r="P116" i="4" s="1"/>
  <c r="J100" i="4"/>
  <c r="K100" i="4"/>
  <c r="O100" i="4"/>
  <c r="J84" i="4"/>
  <c r="K84" i="4" s="1"/>
  <c r="J114" i="4"/>
  <c r="K114" i="4"/>
  <c r="J78" i="4"/>
  <c r="K78" i="4"/>
  <c r="J115" i="4"/>
  <c r="K115" i="4" s="1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/>
  <c r="J127" i="4"/>
  <c r="L127" i="4" s="1"/>
  <c r="M127" i="4" s="1"/>
  <c r="K127" i="4"/>
  <c r="O127" i="4" s="1"/>
  <c r="P127" i="4" s="1"/>
  <c r="J111" i="4"/>
  <c r="K111" i="4"/>
  <c r="J95" i="4"/>
  <c r="K95" i="4" s="1"/>
  <c r="J79" i="4"/>
  <c r="K79" i="4" s="1"/>
  <c r="J126" i="4"/>
  <c r="K126" i="4"/>
  <c r="J94" i="4"/>
  <c r="K94" i="4" s="1"/>
  <c r="J121" i="4"/>
  <c r="K121" i="4"/>
  <c r="O121" i="4" s="1"/>
  <c r="P121" i="4" s="1"/>
  <c r="J105" i="4"/>
  <c r="K105" i="4"/>
  <c r="J89" i="4"/>
  <c r="K89" i="4" s="1"/>
  <c r="J73" i="4"/>
  <c r="K73" i="4" s="1"/>
  <c r="J124" i="4"/>
  <c r="K124" i="4"/>
  <c r="O124" i="4" s="1"/>
  <c r="P124" i="4" s="1"/>
  <c r="J108" i="4"/>
  <c r="K108" i="4" s="1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J91" i="4"/>
  <c r="K91" i="4" s="1"/>
  <c r="O91" i="4" s="1"/>
  <c r="P91" i="4" s="1"/>
  <c r="J75" i="4"/>
  <c r="K75" i="4" s="1"/>
  <c r="P100" i="4"/>
  <c r="O107" i="4"/>
  <c r="P107" i="4"/>
  <c r="O112" i="4"/>
  <c r="P112" i="4"/>
  <c r="O98" i="4"/>
  <c r="P98" i="4"/>
  <c r="O105" i="4"/>
  <c r="P105" i="4"/>
  <c r="O126" i="4"/>
  <c r="P126" i="4"/>
  <c r="O111" i="4"/>
  <c r="P111" i="4"/>
  <c r="O104" i="4"/>
  <c r="P104" i="4"/>
  <c r="O120" i="4"/>
  <c r="P120" i="4" s="1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103" i="4"/>
  <c r="P103" i="4"/>
  <c r="O119" i="4"/>
  <c r="P119" i="4"/>
  <c r="O122" i="4"/>
  <c r="P122" i="4"/>
  <c r="O123" i="4"/>
  <c r="P123" i="4"/>
  <c r="O125" i="4"/>
  <c r="P125" i="4"/>
  <c r="O99" i="4"/>
  <c r="P99" i="4"/>
  <c r="O101" i="4"/>
  <c r="P101" i="4"/>
  <c r="I76" i="4"/>
  <c r="I77" i="4"/>
  <c r="N77" i="4" s="1"/>
  <c r="Q77" i="4" s="1"/>
  <c r="I81" i="4"/>
  <c r="L81" i="4" s="1"/>
  <c r="I89" i="4"/>
  <c r="I90" i="4"/>
  <c r="I96" i="4"/>
  <c r="I99" i="4"/>
  <c r="I102" i="4"/>
  <c r="I104" i="4"/>
  <c r="I108" i="4"/>
  <c r="I111" i="4"/>
  <c r="I113" i="4"/>
  <c r="I115" i="4"/>
  <c r="N115" i="4" s="1"/>
  <c r="Q115" i="4" s="1"/>
  <c r="I119" i="4"/>
  <c r="N119" i="4" s="1"/>
  <c r="Q119" i="4" s="1"/>
  <c r="I120" i="4"/>
  <c r="L120" i="4" s="1"/>
  <c r="M120" i="4" s="1"/>
  <c r="I123" i="4"/>
  <c r="I125" i="4"/>
  <c r="I79" i="4"/>
  <c r="N79" i="4" s="1"/>
  <c r="Q79" i="4" s="1"/>
  <c r="I92" i="4"/>
  <c r="I100" i="4"/>
  <c r="I103" i="4"/>
  <c r="I107" i="4"/>
  <c r="N107" i="4" s="1"/>
  <c r="Q107" i="4" s="1"/>
  <c r="I109" i="4"/>
  <c r="I110" i="4"/>
  <c r="I117" i="4"/>
  <c r="I124" i="4"/>
  <c r="L124" i="4" s="1"/>
  <c r="M124" i="4" s="1"/>
  <c r="I72" i="4"/>
  <c r="N72" i="4" s="1"/>
  <c r="Q72" i="4" s="1"/>
  <c r="I106" i="4"/>
  <c r="I71" i="4"/>
  <c r="L71" i="4" s="1"/>
  <c r="M71" i="4" s="1"/>
  <c r="I75" i="4"/>
  <c r="N75" i="4" s="1"/>
  <c r="Q75" i="4" s="1"/>
  <c r="I80" i="4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I78" i="4"/>
  <c r="I82" i="4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I122" i="4"/>
  <c r="I84" i="4"/>
  <c r="L84" i="4" s="1"/>
  <c r="I87" i="4"/>
  <c r="I91" i="4"/>
  <c r="N91" i="4" s="1"/>
  <c r="Q91" i="4" s="1"/>
  <c r="I97" i="4"/>
  <c r="I105" i="4"/>
  <c r="I116" i="4"/>
  <c r="I126" i="4"/>
  <c r="N126" i="4" s="1"/>
  <c r="Q126" i="4" s="1"/>
  <c r="L105" i="4"/>
  <c r="N105" i="4"/>
  <c r="Q105" i="4"/>
  <c r="N121" i="4"/>
  <c r="Q121" i="4"/>
  <c r="L121" i="4"/>
  <c r="M121" i="4" s="1"/>
  <c r="N101" i="4"/>
  <c r="Q101" i="4"/>
  <c r="L101" i="4"/>
  <c r="L106" i="4"/>
  <c r="N106" i="4"/>
  <c r="Q106" i="4"/>
  <c r="N124" i="4"/>
  <c r="Q124" i="4"/>
  <c r="N108" i="4"/>
  <c r="Q108" i="4"/>
  <c r="L108" i="4"/>
  <c r="M108" i="4" s="1"/>
  <c r="L96" i="4"/>
  <c r="N96" i="4"/>
  <c r="Q96" i="4" s="1"/>
  <c r="N97" i="4"/>
  <c r="Q97" i="4"/>
  <c r="N82" i="4"/>
  <c r="Q82" i="4" s="1"/>
  <c r="N98" i="4"/>
  <c r="Q98" i="4"/>
  <c r="L98" i="4"/>
  <c r="N71" i="4"/>
  <c r="Q71" i="4"/>
  <c r="N117" i="4"/>
  <c r="Q117" i="4"/>
  <c r="L117" i="4"/>
  <c r="N103" i="4"/>
  <c r="Q103" i="4"/>
  <c r="L103" i="4"/>
  <c r="L125" i="4"/>
  <c r="N125" i="4"/>
  <c r="Q125" i="4"/>
  <c r="L104" i="4"/>
  <c r="N104" i="4"/>
  <c r="Q104" i="4"/>
  <c r="N90" i="4"/>
  <c r="Q90" i="4" s="1"/>
  <c r="L90" i="4"/>
  <c r="N76" i="4"/>
  <c r="Q76" i="4" s="1"/>
  <c r="L126" i="4"/>
  <c r="M126" i="4" s="1"/>
  <c r="L112" i="4"/>
  <c r="N112" i="4"/>
  <c r="Q112" i="4"/>
  <c r="L78" i="4"/>
  <c r="N78" i="4"/>
  <c r="Q78" i="4"/>
  <c r="N127" i="4"/>
  <c r="Q127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M116" i="4" s="1"/>
  <c r="N87" i="4"/>
  <c r="Q87" i="4" s="1"/>
  <c r="L87" i="4"/>
  <c r="N122" i="4"/>
  <c r="Q122" i="4"/>
  <c r="L122" i="4"/>
  <c r="N74" i="4"/>
  <c r="Q74" i="4" s="1"/>
  <c r="L74" i="4"/>
  <c r="N118" i="4"/>
  <c r="Q118" i="4"/>
  <c r="L118" i="4"/>
  <c r="L94" i="4"/>
  <c r="N94" i="4"/>
  <c r="Q94" i="4"/>
  <c r="N80" i="4"/>
  <c r="Q80" i="4" s="1"/>
  <c r="N109" i="4"/>
  <c r="Q109" i="4"/>
  <c r="L109" i="4"/>
  <c r="L92" i="4"/>
  <c r="N92" i="4"/>
  <c r="Q92" i="4" s="1"/>
  <c r="N120" i="4"/>
  <c r="Q120" i="4" s="1"/>
  <c r="N111" i="4"/>
  <c r="Q111" i="4"/>
  <c r="L111" i="4"/>
  <c r="N99" i="4"/>
  <c r="Q99" i="4"/>
  <c r="L99" i="4"/>
  <c r="M81" i="4" l="1"/>
  <c r="O77" i="4"/>
  <c r="P77" i="4" s="1"/>
  <c r="M89" i="4"/>
  <c r="M84" i="4"/>
  <c r="O78" i="4"/>
  <c r="P78" i="4" s="1"/>
  <c r="O74" i="4"/>
  <c r="P74" i="4" s="1"/>
  <c r="L114" i="4"/>
  <c r="M114" i="4" s="1"/>
  <c r="O94" i="4"/>
  <c r="P94" i="4" s="1"/>
  <c r="O84" i="4"/>
  <c r="P84" i="4" s="1"/>
  <c r="O72" i="4"/>
  <c r="P72" i="4" s="1"/>
  <c r="L91" i="4"/>
  <c r="M91" i="4" s="1"/>
  <c r="L115" i="4"/>
  <c r="M115" i="4" s="1"/>
  <c r="L75" i="4"/>
  <c r="M86" i="4"/>
  <c r="O83" i="4"/>
  <c r="P83" i="4" s="1"/>
  <c r="L80" i="4"/>
  <c r="M87" i="4"/>
  <c r="M95" i="4"/>
  <c r="L72" i="4"/>
  <c r="L79" i="4"/>
  <c r="O75" i="4"/>
  <c r="P75" i="4" s="1"/>
  <c r="L83" i="4"/>
  <c r="O87" i="4"/>
  <c r="P87" i="4" s="1"/>
  <c r="M78" i="4"/>
  <c r="O89" i="4"/>
  <c r="P89" i="4" s="1"/>
  <c r="M97" i="4"/>
  <c r="M92" i="4"/>
  <c r="L119" i="4"/>
  <c r="M119" i="4" s="1"/>
  <c r="O76" i="4"/>
  <c r="P76" i="4" s="1"/>
  <c r="O82" i="4"/>
  <c r="P82" i="4" s="1"/>
  <c r="L76" i="4"/>
  <c r="O96" i="4"/>
  <c r="P96" i="4" s="1"/>
  <c r="M82" i="4"/>
  <c r="M90" i="4"/>
  <c r="O92" i="4"/>
  <c r="P92" i="4" s="1"/>
  <c r="O79" i="4"/>
  <c r="P79" i="4" s="1"/>
  <c r="O88" i="4"/>
  <c r="P88" i="4" s="1"/>
  <c r="N81" i="4"/>
  <c r="Q81" i="4" s="1"/>
  <c r="L77" i="4"/>
  <c r="O95" i="4"/>
  <c r="P95" i="4" s="1"/>
  <c r="O85" i="4"/>
  <c r="P85" i="4" s="1"/>
  <c r="O93" i="4"/>
  <c r="P93" i="4" s="1"/>
  <c r="O90" i="4"/>
  <c r="P90" i="4" s="1"/>
  <c r="O86" i="4"/>
  <c r="P86" i="4" s="1"/>
  <c r="M96" i="4"/>
  <c r="M74" i="4"/>
  <c r="O80" i="4"/>
  <c r="P80" i="4" s="1"/>
  <c r="L107" i="4"/>
  <c r="M107" i="4" s="1"/>
  <c r="M94" i="4"/>
  <c r="N86" i="4"/>
  <c r="Q86" i="4" s="1"/>
  <c r="L73" i="4"/>
  <c r="O73" i="4"/>
  <c r="P73" i="4" s="1"/>
  <c r="O81" i="4"/>
  <c r="P81" i="4" s="1"/>
  <c r="L85" i="4"/>
  <c r="L93" i="4"/>
  <c r="L88" i="4"/>
  <c r="N84" i="4"/>
  <c r="Q84" i="4" s="1"/>
  <c r="J14" i="4"/>
  <c r="J13" i="4" s="1"/>
  <c r="K16" i="4" s="1"/>
  <c r="M93" i="4" l="1"/>
  <c r="M77" i="4"/>
  <c r="M80" i="4"/>
  <c r="M85" i="4"/>
  <c r="M83" i="4"/>
  <c r="M79" i="4"/>
  <c r="M75" i="4"/>
  <c r="M88" i="4"/>
  <c r="M76" i="4"/>
  <c r="M72" i="4"/>
  <c r="M7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4" i="4" l="1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4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7" i="4"/>
  <c r="K52" i="4"/>
  <c r="O52" i="4" s="1"/>
  <c r="P52" i="4" s="1"/>
  <c r="L52" i="4"/>
  <c r="M52" i="4" s="1"/>
  <c r="L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K45" i="4" l="1"/>
  <c r="O49" i="4"/>
  <c r="P49" i="4" s="1"/>
  <c r="M49" i="4"/>
  <c r="O48" i="4"/>
  <c r="P48" i="4" s="1"/>
  <c r="M48" i="4"/>
  <c r="M35" i="4"/>
  <c r="O31" i="4"/>
  <c r="P31" i="4" s="1"/>
  <c r="M43" i="4"/>
  <c r="M47" i="4"/>
  <c r="O45" i="4"/>
  <c r="P45" i="4" s="1"/>
  <c r="M45" i="4"/>
  <c r="L31" i="4"/>
  <c r="O47" i="4"/>
  <c r="P47" i="4" s="1"/>
  <c r="O33" i="4"/>
  <c r="P33" i="4" s="1"/>
  <c r="O46" i="4"/>
  <c r="P46" i="4" s="1"/>
  <c r="K35" i="4"/>
  <c r="O28" i="4"/>
  <c r="P28" i="4" s="1"/>
  <c r="M44" i="4"/>
  <c r="O43" i="4"/>
  <c r="P43" i="4" s="1"/>
  <c r="O39" i="4"/>
  <c r="P39" i="4" s="1"/>
  <c r="O41" i="4"/>
  <c r="P41" i="4" s="1"/>
  <c r="O30" i="4"/>
  <c r="P30" i="4" s="1"/>
  <c r="M39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41" i="4" l="1"/>
  <c r="O35" i="4"/>
  <c r="P35" i="4" s="1"/>
  <c r="O38" i="4"/>
  <c r="P38" i="4" s="1"/>
  <c r="O37" i="4"/>
  <c r="P37" i="4" s="1"/>
  <c r="O44" i="4"/>
  <c r="P44" i="4" s="1"/>
  <c r="M46" i="4"/>
  <c r="O36" i="4"/>
  <c r="P36" i="4" s="1"/>
  <c r="O29" i="4"/>
  <c r="P29" i="4" s="1"/>
  <c r="O32" i="4"/>
  <c r="P32" i="4" s="1"/>
  <c r="O40" i="4"/>
  <c r="P40" i="4" s="1"/>
  <c r="M33" i="4"/>
  <c r="O34" i="4"/>
  <c r="P34" i="4" s="1"/>
  <c r="M31" i="4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<sst xmlns="http://schemas.openxmlformats.org/spreadsheetml/2006/main" count="318" uniqueCount="295">
  <si>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</si>
  <si>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</si>
  <si>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</si>
  <si>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</si>
  <si>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</si>
  <si>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</si>
  <si>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</si>
  <si>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</si>
  <si>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</si>
  <si>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</si>
  <si>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</si>
  <si>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</si>
  <si>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</si>
  <si>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</si>
  <si>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</si>
  <si>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</si>
  <si>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</si>
  <si>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</si>
  <si>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</si>
  <si>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</si>
  <si>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</si>
  <si>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</si>
  <si>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</si>
  <si>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</si>
  <si>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</si>
  <si>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</si>
  <si>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</si>
  <si>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</si>
  <si>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</si>
  <si>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</si>
  <si>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</si>
  <si>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</si>
  <si>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</si>
  <si>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</si>
  <si>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</si>
  <si>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</si>
  <si>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</si>
  <si>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</si>
  <si>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</si>
  <si>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</si>
  <si>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</si>
  <si>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</si>
  <si>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</si>
  <si>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</si>
  <si>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</si>
  <si>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</si>
  <si>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</si>
  <si>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</si>
  <si>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</si>
  <si>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</si>
  <si>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</si>
  <si>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</si>
  <si>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</si>
  <si>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</si>
  <si>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</si>
  <si>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</si>
  <si>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</si>
  <si>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</si>
  <si>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</si>
  <si>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</si>
  <si>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</si>
  <si>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</si>
  <si>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</si>
  <si>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</si>
  <si>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</si>
  <si>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</si>
  <si>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</si>
  <si>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</si>
  <si>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</si>
  <si>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</si>
  <si>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</si>
  <si>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</si>
  <si>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</si>
  <si>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</si>
  <si>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</si>
  <si>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</si>
  <si>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</si>
  <si>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</si>
  <si>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</si>
  <si>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</si>
  <si>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</si>
  <si>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</si>
  <si>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</si>
  <si>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</si>
  <si>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</si>
  <si>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</si>
  <si>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</si>
  <si>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</si>
  <si>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</si>
  <si>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</si>
  <si>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</si>
  <si>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</si>
  <si>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</si>
  <si>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</si>
  <si>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</si>
  <si>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</si>
  <si>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</si>
  <si>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</si>
  <si>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</si>
  <si>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</si>
  <si>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</si>
  <si>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</si>
  <si>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</si>
  <si>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</si>
  <si>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</si>
  <si>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</si>
  <si>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</si>
  <si>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</si>
  <si>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</si>
  <si>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</si>
  <si>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</si>
  <si>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</si>
  <si>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Rtgill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</si>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</sst>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4.6725E-4</v>
      </c>
      <c r="M17" s="81">
        <v>3.15E-5</v>
      </c>
      <c r="N17" s="81">
        <v>2.6250000000000001E-5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7" zoomScale="68" zoomScaleNormal="85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150.01050000000001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149.23234500000001</v>
      </c>
      <c r="K8" s="39">
        <f>J8/J7</f>
        <v>0.99481266311358207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0.7206300000000001</v>
      </c>
      <c r="K9" s="39">
        <f>J9/J7</f>
        <v>4.803863729538933E-3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5.7524999999999993E-2</v>
      </c>
      <c r="K10" s="39">
        <f>J10/J7</f>
        <v>3.8347315687901841E-4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1.0499999999999999E-2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9.3449999999999991E-3</v>
      </c>
      <c r="K20" s="39">
        <f>J20/J19</f>
        <v>0.89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6.3000000000000003E-4</v>
      </c>
      <c r="K21" s="39">
        <f>J21/J19</f>
        <v>6.0000000000000012E-2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5.2500000000000008E-4</v>
      </c>
      <c r="K22" s="39">
        <f>J22/J19</f>
        <v>5.000000000000001E-2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0.87654628857053851</v>
      </c>
      <c r="K28" s="95">
        <f t="shared" ref="K28:K47" si="3">IF(D28=0,"",1/(1+10^D28*$J$15/$J$14+10^E28*$J$16/$J$14+10^J28*$J$19/$J$14))</f>
        <v>0.80419926198764824</v>
      </c>
      <c r="L28" s="95">
        <f t="shared" ref="L28:L47" si="4">IF(D28=0,"",1/(1+10^I28/10^J28*$J$13/$J$19))</f>
        <v>4.2585670648275387E-4</v>
      </c>
      <c r="M28" s="95">
        <f t="shared" ref="M28:M47" si="5">IF(D28=0,"",1-L28)</f>
        <v>0.99957414329351724</v>
      </c>
      <c r="N28" s="95">
        <f t="shared" ref="N28:N47" si="6">IF(D28=0,"",1/(1/10^E28*$J$20/$J$22+10^D28/10^E28*$J$21/$J$22+10^I28/10^E28*$J$13/$J$22+1))</f>
        <v>2.260123686310849E-4</v>
      </c>
      <c r="O28" s="40">
        <f t="shared" ref="O28:O47" si="7">IF(D28=0,"",F28*K28*$J$7/$J$14)</f>
        <v>8.08443292189529E-7</v>
      </c>
      <c r="P28" s="40">
        <f t="shared" ref="P28:P47" si="8">IF(D28=0,"",O28*10^J28)</f>
        <v>6.0840930921743954E-6</v>
      </c>
      <c r="Q28" s="40">
        <f t="shared" ref="Q28:Q47" si="9">IF(D28=0,"",F28*N28*$J$7/$J$22)</f>
        <v>6.4579482713396862E-5</v>
      </c>
      <c r="R28" s="9">
        <f>F28*$C$14</f>
        <v>1.4999999999999999E-4</v>
      </c>
      <c r="S28" s="9">
        <f>$R28*L28</f>
        <v>6.387850597241307E-8</v>
      </c>
      <c r="T28" s="9">
        <f t="shared" ref="T28:T49" si="10">R28*K28</f>
        <v>1.2062988929814722E-4</v>
      </c>
      <c r="U28" s="9">
        <f t="shared" ref="U28:U49" si="11">$R28*M28</f>
        <v>1.4993612149402758E-4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4.5743714574945757</v>
      </c>
      <c r="K29" s="95">
        <f t="shared" si="3"/>
        <v>1.8883440128586934E-3</v>
      </c>
      <c r="L29" s="95">
        <f t="shared" si="4"/>
        <v>4.9866180573172421E-3</v>
      </c>
      <c r="M29" s="95">
        <f t="shared" si="5"/>
        <v>0.99501338194268274</v>
      </c>
      <c r="N29" s="95">
        <f t="shared" si="6"/>
        <v>4.5497407654458352E-3</v>
      </c>
      <c r="O29" s="40">
        <f t="shared" si="7"/>
        <v>1.8983094398379539E-9</v>
      </c>
      <c r="P29" s="40">
        <f t="shared" si="8"/>
        <v>7.124238743687511E-5</v>
      </c>
      <c r="Q29" s="40">
        <f t="shared" si="9"/>
        <v>1.300016927799833E-3</v>
      </c>
      <c r="R29" s="9">
        <f>F29*$C$14</f>
        <v>1.4999999999999999E-4</v>
      </c>
      <c r="S29" s="9">
        <f t="shared" ref="S29:S49" si="12">$R29*L29</f>
        <v>7.4799270859758629E-7</v>
      </c>
      <c r="T29" s="9">
        <f t="shared" si="10"/>
        <v>2.8325160192880401E-7</v>
      </c>
      <c r="U29" s="9">
        <f t="shared" si="11"/>
        <v>1.492520072914024E-4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8.0025110320676838</v>
      </c>
      <c r="K30" s="95">
        <f t="shared" si="3"/>
        <v>1.195944259060415E-6</v>
      </c>
      <c r="L30" s="95">
        <f t="shared" si="4"/>
        <v>8.4639970372904477E-3</v>
      </c>
      <c r="M30" s="95">
        <f t="shared" si="5"/>
        <v>0.99153600296270961</v>
      </c>
      <c r="N30" s="95">
        <f t="shared" si="6"/>
        <v>8.3938165814961361E-3</v>
      </c>
      <c r="O30" s="40">
        <f t="shared" si="7"/>
        <v>1.2022556594746278E-12</v>
      </c>
      <c r="P30" s="40">
        <f t="shared" si="8"/>
        <v>1.2092270738690122E-4</v>
      </c>
      <c r="Q30" s="40">
        <f t="shared" si="9"/>
        <v>2.3984011853305253E-3</v>
      </c>
      <c r="R30" s="9">
        <f t="shared" ref="R30:R49" si="14">F30*$C$14</f>
        <v>1.4999999999999999E-4</v>
      </c>
      <c r="S30" s="9">
        <f t="shared" si="12"/>
        <v>1.2695995555935671E-6</v>
      </c>
      <c r="T30" s="9">
        <f t="shared" si="10"/>
        <v>1.7939163885906224E-10</v>
      </c>
      <c r="U30" s="9">
        <f t="shared" si="11"/>
        <v>1.4873040044440642E-4</v>
      </c>
      <c r="V30" s="102">
        <f t="shared" si="13"/>
        <v>1.2061531356268795E-6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3.0509801020444232</v>
      </c>
      <c r="K31" s="95">
        <f t="shared" si="3"/>
        <v>5.1374142478498357E-2</v>
      </c>
      <c r="L31" s="95">
        <f t="shared" si="4"/>
        <v>4.0651653962091939E-3</v>
      </c>
      <c r="M31" s="95">
        <f t="shared" si="5"/>
        <v>0.99593483460379084</v>
      </c>
      <c r="N31" s="95">
        <f t="shared" si="6"/>
        <v>3.5750911779457869E-3</v>
      </c>
      <c r="O31" s="40">
        <f t="shared" si="7"/>
        <v>5.1645261121079036E-8</v>
      </c>
      <c r="P31" s="40">
        <f t="shared" si="8"/>
        <v>5.8077856539813306E-5</v>
      </c>
      <c r="Q31" s="40">
        <f t="shared" si="9"/>
        <v>1.0215261240937837E-3</v>
      </c>
      <c r="R31" s="9">
        <f t="shared" si="14"/>
        <v>1.4999999999999999E-4</v>
      </c>
      <c r="S31" s="9">
        <f t="shared" si="12"/>
        <v>6.0977480943137902E-7</v>
      </c>
      <c r="T31" s="9">
        <f t="shared" si="10"/>
        <v>7.7061213717747526E-6</v>
      </c>
      <c r="U31" s="9">
        <f t="shared" si="11"/>
        <v>1.4939022519056862E-4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5.7767955088211638</v>
      </c>
      <c r="K32" s="95">
        <f t="shared" si="3"/>
        <v>1.2149915106646723E-4</v>
      </c>
      <c r="L32" s="95">
        <f t="shared" si="4"/>
        <v>5.1135473823495951E-3</v>
      </c>
      <c r="M32" s="95">
        <f t="shared" si="5"/>
        <v>0.99488645261765041</v>
      </c>
      <c r="N32" s="95">
        <f t="shared" si="6"/>
        <v>4.6885308721056158E-3</v>
      </c>
      <c r="O32" s="40">
        <f t="shared" si="7"/>
        <v>1.2214034298369741E-10</v>
      </c>
      <c r="P32" s="40">
        <f t="shared" si="8"/>
        <v>7.3055790438090846E-5</v>
      </c>
      <c r="Q32" s="40">
        <f t="shared" si="9"/>
        <v>1.3396740197904749E-3</v>
      </c>
      <c r="R32" s="9">
        <f t="shared" si="14"/>
        <v>1.4999999999999999E-4</v>
      </c>
      <c r="S32" s="9">
        <f t="shared" si="12"/>
        <v>7.6703210735243921E-7</v>
      </c>
      <c r="T32" s="9">
        <f t="shared" si="10"/>
        <v>1.8224872659970083E-8</v>
      </c>
      <c r="U32" s="9">
        <f t="shared" si="11"/>
        <v>1.4923296789264755E-4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5.2786655449069544</v>
      </c>
      <c r="K33" s="95">
        <f t="shared" si="3"/>
        <v>3.3972546261009544E-4</v>
      </c>
      <c r="L33" s="95">
        <f t="shared" si="4"/>
        <v>4.5409547665408966E-3</v>
      </c>
      <c r="M33" s="95">
        <f t="shared" si="5"/>
        <v>0.99545904523345907</v>
      </c>
      <c r="N33" s="95">
        <f t="shared" si="6"/>
        <v>4.055474128884037E-3</v>
      </c>
      <c r="O33" s="40">
        <f t="shared" si="7"/>
        <v>3.4151830822910489E-10</v>
      </c>
      <c r="P33" s="40">
        <f t="shared" si="8"/>
        <v>6.487532333392225E-5</v>
      </c>
      <c r="Q33" s="40">
        <f t="shared" si="9"/>
        <v>1.1587880034494452E-3</v>
      </c>
      <c r="R33" s="9">
        <f t="shared" si="14"/>
        <v>1.4999999999999999E-4</v>
      </c>
      <c r="S33" s="9">
        <f t="shared" si="12"/>
        <v>6.8114321498113444E-7</v>
      </c>
      <c r="T33" s="9">
        <f t="shared" si="10"/>
        <v>5.095881939151431E-8</v>
      </c>
      <c r="U33" s="9">
        <f t="shared" si="11"/>
        <v>1.4931885678501884E-4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5.3078721995446587</v>
      </c>
      <c r="K34" s="95">
        <f t="shared" si="3"/>
        <v>3.4483807808537446E-4</v>
      </c>
      <c r="L34" s="95">
        <f t="shared" si="4"/>
        <v>4.9299322125872765E-3</v>
      </c>
      <c r="M34" s="95">
        <f t="shared" si="5"/>
        <v>0.99507006778741269</v>
      </c>
      <c r="N34" s="95">
        <f t="shared" si="6"/>
        <v>4.4856641340506234E-3</v>
      </c>
      <c r="O34" s="40">
        <f t="shared" si="7"/>
        <v>3.4665790469717176E-10</v>
      </c>
      <c r="P34" s="40">
        <f t="shared" si="8"/>
        <v>7.0432532969173751E-5</v>
      </c>
      <c r="Q34" s="40">
        <f t="shared" si="9"/>
        <v>1.2817080372971444E-3</v>
      </c>
      <c r="R34" s="9">
        <f t="shared" si="14"/>
        <v>1.4999999999999999E-4</v>
      </c>
      <c r="S34" s="9">
        <f t="shared" si="12"/>
        <v>7.3948983188809142E-7</v>
      </c>
      <c r="T34" s="9">
        <f t="shared" si="10"/>
        <v>5.1725711712806164E-8</v>
      </c>
      <c r="U34" s="9">
        <f t="shared" si="11"/>
        <v>1.492605101681119E-4</v>
      </c>
      <c r="V34" s="102">
        <f t="shared" si="13"/>
        <v>3.4654652898176197E-4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2.0837828896743456</v>
      </c>
      <c r="K35" s="95">
        <f t="shared" si="3"/>
        <v>0.23709668509978238</v>
      </c>
      <c r="L35" s="95">
        <f t="shared" si="4"/>
        <v>2.0233075585483363E-3</v>
      </c>
      <c r="M35" s="95">
        <f t="shared" si="5"/>
        <v>0.99797669244145171</v>
      </c>
      <c r="N35" s="95">
        <f t="shared" si="6"/>
        <v>1.483634824104501E-3</v>
      </c>
      <c r="O35" s="40">
        <f t="shared" si="7"/>
        <v>2.3834792411465327E-7</v>
      </c>
      <c r="P35" s="40">
        <f t="shared" si="8"/>
        <v>2.8906417001106226E-5</v>
      </c>
      <c r="Q35" s="40">
        <f t="shared" si="9"/>
        <v>4.2392533672633948E-4</v>
      </c>
      <c r="R35" s="9">
        <f t="shared" si="14"/>
        <v>1.4999999999999999E-4</v>
      </c>
      <c r="S35" s="9">
        <f t="shared" si="12"/>
        <v>3.0349613378225042E-7</v>
      </c>
      <c r="T35" s="9">
        <f t="shared" si="10"/>
        <v>3.5564502764967354E-5</v>
      </c>
      <c r="U35" s="9">
        <f t="shared" si="11"/>
        <v>1.4969650386621774E-4</v>
      </c>
      <c r="V35" s="102">
        <f t="shared" si="13"/>
        <v>0.23757737720281691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8.4483031900032319</v>
      </c>
      <c r="K36" s="95">
        <f t="shared" si="3"/>
        <v>4.3082784528062246E-7</v>
      </c>
      <c r="L36" s="95">
        <f t="shared" si="4"/>
        <v>8.5106060361145354E-3</v>
      </c>
      <c r="M36" s="95">
        <f t="shared" si="5"/>
        <v>0.99148939396388547</v>
      </c>
      <c r="N36" s="95">
        <f t="shared" si="6"/>
        <v>8.4453626147957574E-3</v>
      </c>
      <c r="O36" s="40">
        <f t="shared" si="7"/>
        <v>4.3310146883837482E-13</v>
      </c>
      <c r="P36" s="40">
        <f t="shared" si="8"/>
        <v>1.2158859683624394E-4</v>
      </c>
      <c r="Q36" s="40">
        <f t="shared" si="9"/>
        <v>2.4131296543367974E-3</v>
      </c>
      <c r="R36" s="9">
        <f t="shared" si="14"/>
        <v>1.4999999999999999E-4</v>
      </c>
      <c r="S36" s="9">
        <f t="shared" si="12"/>
        <v>1.2765909054171802E-6</v>
      </c>
      <c r="T36" s="9">
        <f t="shared" si="10"/>
        <v>6.4624176792093368E-11</v>
      </c>
      <c r="U36" s="9">
        <f t="shared" si="11"/>
        <v>1.487234090945828E-4</v>
      </c>
      <c r="V36" s="102">
        <f t="shared" si="13"/>
        <v>4.3452592423425877E-7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3.8585870053842997</v>
      </c>
      <c r="K37" s="95">
        <f t="shared" si="3"/>
        <v>8.89496967689213E-3</v>
      </c>
      <c r="L37" s="95">
        <f t="shared" si="4"/>
        <v>4.5194440004181959E-3</v>
      </c>
      <c r="M37" s="95">
        <f t="shared" si="5"/>
        <v>0.99548055599958185</v>
      </c>
      <c r="N37" s="95">
        <f t="shared" si="6"/>
        <v>4.0393641660739785E-3</v>
      </c>
      <c r="O37" s="40">
        <f t="shared" si="7"/>
        <v>8.9419114259559646E-9</v>
      </c>
      <c r="P37" s="40">
        <f t="shared" si="8"/>
        <v>6.4568005164260467E-5</v>
      </c>
      <c r="Q37" s="40">
        <f t="shared" si="9"/>
        <v>1.1541848347330294E-3</v>
      </c>
      <c r="R37" s="9">
        <f t="shared" si="14"/>
        <v>1.4999999999999999E-4</v>
      </c>
      <c r="S37" s="9">
        <f t="shared" si="12"/>
        <v>6.7791660006272933E-7</v>
      </c>
      <c r="T37" s="9">
        <f t="shared" si="10"/>
        <v>1.3342454515338193E-6</v>
      </c>
      <c r="U37" s="9">
        <f t="shared" si="11"/>
        <v>1.4932208339993726E-4</v>
      </c>
      <c r="V37" s="102">
        <f t="shared" si="13"/>
        <v>8.9353525021495916E-3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2.3639081225718592</v>
      </c>
      <c r="K38" s="95">
        <f t="shared" si="3"/>
        <v>0.17468578555149228</v>
      </c>
      <c r="L38" s="95">
        <f t="shared" si="4"/>
        <v>2.8413139395852185E-3</v>
      </c>
      <c r="M38" s="95">
        <f t="shared" si="5"/>
        <v>0.9971586860604148</v>
      </c>
      <c r="N38" s="95">
        <f t="shared" si="6"/>
        <v>2.3322768620065827E-3</v>
      </c>
      <c r="O38" s="40">
        <f t="shared" si="7"/>
        <v>1.7560766124171293E-7</v>
      </c>
      <c r="P38" s="40">
        <f t="shared" si="8"/>
        <v>4.0593040450871286E-5</v>
      </c>
      <c r="Q38" s="40">
        <f t="shared" si="9"/>
        <v>6.6641146325340656E-4</v>
      </c>
      <c r="R38" s="9">
        <f t="shared" si="14"/>
        <v>1.4999999999999999E-4</v>
      </c>
      <c r="S38" s="9">
        <f t="shared" si="12"/>
        <v>4.2619709093778276E-7</v>
      </c>
      <c r="T38" s="9">
        <f t="shared" si="10"/>
        <v>2.6202867832723839E-5</v>
      </c>
      <c r="U38" s="9">
        <f t="shared" si="11"/>
        <v>1.4957380290906222E-4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-2.1315410513044985E-2</v>
      </c>
      <c r="K39" s="95">
        <f t="shared" si="3"/>
        <v>0.99513878627828201</v>
      </c>
      <c r="L39" s="95">
        <f t="shared" si="4"/>
        <v>6.6668667531937054E-5</v>
      </c>
      <c r="M39" s="95">
        <f t="shared" si="5"/>
        <v>0.99993333133246809</v>
      </c>
      <c r="N39" s="95">
        <f t="shared" si="6"/>
        <v>1.6958763747598069E-7</v>
      </c>
      <c r="O39" s="40">
        <f t="shared" si="7"/>
        <v>1.000390468620777E-6</v>
      </c>
      <c r="P39" s="40">
        <f t="shared" si="8"/>
        <v>9.5247620483806134E-7</v>
      </c>
      <c r="Q39" s="40">
        <f t="shared" si="9"/>
        <v>4.8457002460172568E-8</v>
      </c>
      <c r="R39" s="9">
        <f t="shared" si="14"/>
        <v>1.4999999999999999E-4</v>
      </c>
      <c r="S39" s="9">
        <f t="shared" si="12"/>
        <v>1.0000300129790557E-8</v>
      </c>
      <c r="T39" s="9">
        <f t="shared" si="10"/>
        <v>1.4927081794174229E-4</v>
      </c>
      <c r="U39" s="9">
        <f t="shared" si="11"/>
        <v>1.499899996998702E-4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2.5889557991870298</v>
      </c>
      <c r="K40" s="95">
        <f t="shared" si="3"/>
        <v>8.7023799265504784E-2</v>
      </c>
      <c r="L40" s="95">
        <f t="shared" si="4"/>
        <v>2.3765522725818248E-3</v>
      </c>
      <c r="M40" s="95">
        <f t="shared" si="5"/>
        <v>0.99762344772741818</v>
      </c>
      <c r="N40" s="95">
        <f t="shared" si="6"/>
        <v>1.7395886933187815E-3</v>
      </c>
      <c r="O40" s="40">
        <f t="shared" si="7"/>
        <v>8.7483053146753537E-8</v>
      </c>
      <c r="P40" s="40">
        <f t="shared" si="8"/>
        <v>3.3953123303441511E-5</v>
      </c>
      <c r="Q40" s="40">
        <f t="shared" si="9"/>
        <v>4.9706013272208963E-4</v>
      </c>
      <c r="R40" s="9">
        <f t="shared" si="14"/>
        <v>1.4999999999999999E-4</v>
      </c>
      <c r="S40" s="9">
        <f t="shared" si="12"/>
        <v>3.5648284088727369E-7</v>
      </c>
      <c r="T40" s="9">
        <f t="shared" si="10"/>
        <v>1.3053569889825716E-5</v>
      </c>
      <c r="U40" s="9">
        <f t="shared" si="11"/>
        <v>1.4964351715911271E-4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2.6634845218157048</v>
      </c>
      <c r="K41" s="95">
        <f t="shared" si="3"/>
        <v>7.2002374729048038E-2</v>
      </c>
      <c r="L41" s="95">
        <f t="shared" si="4"/>
        <v>2.3344516005758104E-3</v>
      </c>
      <c r="M41" s="95">
        <f t="shared" si="5"/>
        <v>0.99766554839942423</v>
      </c>
      <c r="N41" s="95">
        <f t="shared" si="6"/>
        <v>1.679543887849878E-3</v>
      </c>
      <c r="O41" s="40">
        <f t="shared" si="7"/>
        <v>7.2382355496752249E-8</v>
      </c>
      <c r="P41" s="40">
        <f t="shared" si="8"/>
        <v>3.3351643031255033E-5</v>
      </c>
      <c r="Q41" s="40">
        <f t="shared" si="9"/>
        <v>4.7990327312057927E-4</v>
      </c>
      <c r="R41" s="9">
        <f t="shared" si="14"/>
        <v>1.4999999999999999E-4</v>
      </c>
      <c r="S41" s="9">
        <f t="shared" si="12"/>
        <v>3.5016774008637155E-7</v>
      </c>
      <c r="T41" s="9">
        <f t="shared" si="10"/>
        <v>1.0800356209357205E-5</v>
      </c>
      <c r="U41" s="9">
        <f t="shared" si="11"/>
        <v>1.4964983225991362E-4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4.3682400663002383</v>
      </c>
      <c r="K42" s="95">
        <f t="shared" si="3"/>
        <v>3.3792408007244702E-3</v>
      </c>
      <c r="L42" s="95">
        <f t="shared" si="4"/>
        <v>5.55153060917561E-3</v>
      </c>
      <c r="M42" s="95">
        <f t="shared" si="5"/>
        <v>0.99444846939082443</v>
      </c>
      <c r="N42" s="95">
        <f t="shared" si="6"/>
        <v>5.1758380234814549E-3</v>
      </c>
      <c r="O42" s="40">
        <f t="shared" si="7"/>
        <v>3.3970741918945339E-9</v>
      </c>
      <c r="P42" s="40">
        <f t="shared" si="8"/>
        <v>7.9313131661689354E-5</v>
      </c>
      <c r="Q42" s="40">
        <f t="shared" si="9"/>
        <v>1.4789143806123136E-3</v>
      </c>
      <c r="R42" s="9">
        <f t="shared" si="14"/>
        <v>1.4999999999999999E-4</v>
      </c>
      <c r="S42" s="9">
        <f t="shared" si="12"/>
        <v>8.3272959137634147E-7</v>
      </c>
      <c r="T42" s="9">
        <f t="shared" si="10"/>
        <v>5.0688612010867053E-7</v>
      </c>
      <c r="U42" s="9">
        <f t="shared" si="11"/>
        <v>1.4916727040862365E-4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4.0532477704684826</v>
      </c>
      <c r="K43" s="95">
        <f t="shared" si="3"/>
        <v>5.8666230562683976E-3</v>
      </c>
      <c r="L43" s="95">
        <f t="shared" si="4"/>
        <v>4.6664808441623075E-3</v>
      </c>
      <c r="M43" s="95">
        <f t="shared" si="5"/>
        <v>0.99533351915583768</v>
      </c>
      <c r="N43" s="95">
        <f t="shared" si="6"/>
        <v>4.1992595760876553E-3</v>
      </c>
      <c r="O43" s="40">
        <f t="shared" si="7"/>
        <v>5.8975832008628052E-9</v>
      </c>
      <c r="P43" s="40">
        <f t="shared" si="8"/>
        <v>6.666867854030579E-5</v>
      </c>
      <c r="Q43" s="40">
        <f t="shared" si="9"/>
        <v>1.1998724355022801E-3</v>
      </c>
      <c r="R43" s="9">
        <f t="shared" si="14"/>
        <v>1.4999999999999999E-4</v>
      </c>
      <c r="S43" s="9">
        <f t="shared" si="12"/>
        <v>6.9997212662434605E-7</v>
      </c>
      <c r="T43" s="9">
        <f t="shared" si="10"/>
        <v>8.7999345844025959E-7</v>
      </c>
      <c r="U43" s="9">
        <f t="shared" si="11"/>
        <v>1.4930002787337564E-4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2.3088898400463114</v>
      </c>
      <c r="K44" s="95">
        <f t="shared" si="3"/>
        <v>0.19552227085441048</v>
      </c>
      <c r="L44" s="95">
        <f t="shared" si="4"/>
        <v>2.8018159602856475E-3</v>
      </c>
      <c r="M44" s="95">
        <f t="shared" si="5"/>
        <v>0.99719818403971439</v>
      </c>
      <c r="N44" s="95">
        <f t="shared" si="6"/>
        <v>2.3072984225986832E-3</v>
      </c>
      <c r="O44" s="40">
        <f t="shared" si="7"/>
        <v>1.9655410769121075E-7</v>
      </c>
      <c r="P44" s="40">
        <f t="shared" si="8"/>
        <v>4.0028744105755254E-5</v>
      </c>
      <c r="Q44" s="40">
        <f t="shared" si="9"/>
        <v>6.592742667109328E-4</v>
      </c>
      <c r="R44" s="9">
        <f t="shared" si="14"/>
        <v>1.4999999999999999E-4</v>
      </c>
      <c r="S44" s="9">
        <f t="shared" si="12"/>
        <v>4.202723940428471E-7</v>
      </c>
      <c r="T44" s="9">
        <f t="shared" si="10"/>
        <v>2.9328340628161569E-5</v>
      </c>
      <c r="U44" s="9">
        <f t="shared" si="11"/>
        <v>1.4957972760595715E-4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4.041572503575793</v>
      </c>
      <c r="K45" s="95">
        <f t="shared" si="3"/>
        <v>4.6656767412598162E-3</v>
      </c>
      <c r="L45" s="95">
        <f t="shared" si="4"/>
        <v>3.6127730572240967E-3</v>
      </c>
      <c r="M45" s="95">
        <f t="shared" si="5"/>
        <v>0.99638722694277593</v>
      </c>
      <c r="N45" s="95">
        <f t="shared" si="6"/>
        <v>3.0328447686381803E-3</v>
      </c>
      <c r="O45" s="40">
        <f t="shared" si="7"/>
        <v>4.6902990879070623E-9</v>
      </c>
      <c r="P45" s="40">
        <f t="shared" si="8"/>
        <v>5.1614656447687174E-5</v>
      </c>
      <c r="Q45" s="40">
        <f t="shared" si="9"/>
        <v>8.6658773364913845E-4</v>
      </c>
      <c r="R45" s="9">
        <f t="shared" si="14"/>
        <v>1.4999999999999999E-4</v>
      </c>
      <c r="S45" s="9">
        <f t="shared" si="12"/>
        <v>5.4191595858361441E-7</v>
      </c>
      <c r="T45" s="9">
        <f t="shared" si="10"/>
        <v>6.9985151118897235E-7</v>
      </c>
      <c r="U45" s="9">
        <f t="shared" si="11"/>
        <v>1.4945808404141637E-4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2.21956631274778</v>
      </c>
      <c r="K46" s="95">
        <f t="shared" si="3"/>
        <v>0.22491295126898</v>
      </c>
      <c r="L46" s="95">
        <f t="shared" si="4"/>
        <v>2.6238216382352699E-3</v>
      </c>
      <c r="M46" s="95">
        <f t="shared" si="5"/>
        <v>0.99737617836176473</v>
      </c>
      <c r="N46" s="95">
        <f t="shared" si="6"/>
        <v>2.1368301405210082E-3</v>
      </c>
      <c r="O46" s="40">
        <f t="shared" si="7"/>
        <v>2.2609989261933699E-7</v>
      </c>
      <c r="P46" s="40">
        <f t="shared" si="8"/>
        <v>3.7485790082142096E-5</v>
      </c>
      <c r="Q46" s="40">
        <f t="shared" si="9"/>
        <v>6.1056563389452702E-4</v>
      </c>
      <c r="R46" s="9">
        <f t="shared" si="14"/>
        <v>1.4999999999999999E-4</v>
      </c>
      <c r="S46" s="9">
        <f t="shared" si="12"/>
        <v>3.9357324573529047E-7</v>
      </c>
      <c r="T46" s="9">
        <f t="shared" si="10"/>
        <v>3.3736942690346997E-5</v>
      </c>
      <c r="U46" s="9">
        <f t="shared" si="11"/>
        <v>1.496064267542647E-4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3.1296066711876311</v>
      </c>
      <c r="K47" s="95">
        <f t="shared" si="3"/>
        <v>2.3271518579360551E-2</v>
      </c>
      <c r="L47" s="95">
        <f t="shared" si="4"/>
        <v>2.2069115492348848E-3</v>
      </c>
      <c r="M47" s="95">
        <f t="shared" si="5"/>
        <v>0.99779308845076509</v>
      </c>
      <c r="N47" s="95">
        <f t="shared" si="6"/>
        <v>1.4947489622546635E-3</v>
      </c>
      <c r="O47" s="40">
        <f t="shared" si="7"/>
        <v>2.339433021618092E-8</v>
      </c>
      <c r="P47" s="40">
        <f t="shared" si="8"/>
        <v>3.152951475776189E-5</v>
      </c>
      <c r="Q47" s="40">
        <f t="shared" si="9"/>
        <v>4.2710102705200602E-4</v>
      </c>
      <c r="R47" s="9">
        <f t="shared" si="14"/>
        <v>1.4999999999999999E-4</v>
      </c>
      <c r="S47" s="9">
        <f t="shared" si="12"/>
        <v>3.3103673238523268E-7</v>
      </c>
      <c r="T47" s="9">
        <f t="shared" si="10"/>
        <v>3.4907277869040824E-6</v>
      </c>
      <c r="U47" s="9">
        <f t="shared" si="11"/>
        <v>1.4966896326761475E-4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1.2642800792666067</v>
      </c>
      <c r="K48" s="95">
        <f t="shared" ref="K48:K50" si="17">IF(D48=0,"",1/(1+10^D48*$J$15/$J$14+10^E48*$J$16/$J$14+10^J48*$J$19/$J$14))</f>
        <v>0.62871392854458941</v>
      </c>
      <c r="L48" s="95">
        <f t="shared" ref="L48:L50" si="18">IF(D48=0,"",1/(1+10^I48/10^J48*$J$13/$J$19))</f>
        <v>8.1299278854279628E-4</v>
      </c>
      <c r="M48" s="95">
        <f t="shared" ref="M48:M92" si="19">IF(D48=0,"",1-L48)</f>
        <v>0.99918700721145726</v>
      </c>
      <c r="N48" s="95">
        <f t="shared" ref="N48:N50" si="20">IF(D48=0,"",1/(1/10^E48*$J$20/$J$22+10^D48/10^E48*$J$21/$J$22+10^I48/10^E48*$J$13/$J$22+1))</f>
        <v>4.9663648144389544E-4</v>
      </c>
      <c r="O48" s="40">
        <f t="shared" ref="O48:O92" si="21">IF(D48=0,"",F48*K48*$J$7/$J$14)</f>
        <v>6.3203186357289509E-7</v>
      </c>
      <c r="P48" s="40">
        <f t="shared" ref="P48:P50" si="22">IF(D48=0,"",O48*10^J48)</f>
        <v>1.1614995686257061E-5</v>
      </c>
      <c r="Q48" s="40">
        <f t="shared" ref="Q48:Q50" si="23">IF(D48=0,"",F48*N48*$J$7/$J$22)</f>
        <v>1.4190607028502755E-4</v>
      </c>
      <c r="R48" s="9">
        <f t="shared" si="14"/>
        <v>1.4999999999999999E-4</v>
      </c>
      <c r="S48" s="9">
        <f t="shared" si="12"/>
        <v>1.2194891828141944E-7</v>
      </c>
      <c r="T48" s="9">
        <f t="shared" si="10"/>
        <v>9.4307089281688396E-5</v>
      </c>
      <c r="U48" s="9">
        <f t="shared" si="11"/>
        <v>1.4987805108171857E-4</v>
      </c>
      <c r="V48" s="102">
        <f t="shared" si="13"/>
        <v>0.62922548432571357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0.79270412978539384</v>
      </c>
      <c r="K49" s="95">
        <f t="shared" si="17"/>
        <v>0.85551902606236752</v>
      </c>
      <c r="L49" s="95">
        <f t="shared" si="18"/>
        <v>3.7349718620658073E-4</v>
      </c>
      <c r="M49" s="95">
        <f t="shared" si="19"/>
        <v>0.99962650281379339</v>
      </c>
      <c r="N49" s="95">
        <f t="shared" si="20"/>
        <v>2.1417324107853632E-4</v>
      </c>
      <c r="O49" s="40">
        <f t="shared" si="21"/>
        <v>8.6003388793368836E-7</v>
      </c>
      <c r="P49" s="40">
        <f t="shared" si="22"/>
        <v>5.3360475858516463E-6</v>
      </c>
      <c r="Q49" s="40">
        <f t="shared" si="23"/>
        <v>6.1196638058689083E-5</v>
      </c>
      <c r="R49" s="9">
        <f t="shared" si="14"/>
        <v>1.4999999999999999E-4</v>
      </c>
      <c r="S49" s="9">
        <f t="shared" si="12"/>
        <v>5.6024577930987102E-8</v>
      </c>
      <c r="T49" s="9">
        <f t="shared" si="10"/>
        <v>1.2832785390935511E-4</v>
      </c>
      <c r="U49" s="9">
        <f t="shared" si="11"/>
        <v>1.49943975422069E-4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8.6629514448579737E-3</v>
      </c>
      <c r="K57" s="55">
        <f t="shared" si="26"/>
        <v>0.99389692251550432</v>
      </c>
      <c r="L57" s="55">
        <f t="shared" si="27"/>
        <v>7.1344061523419023E-5</v>
      </c>
      <c r="M57" s="55">
        <f t="shared" si="28"/>
        <v>0.99992865593847657</v>
      </c>
      <c r="N57" s="55">
        <f t="shared" si="29"/>
        <v>4.2255270129666219E-6</v>
      </c>
      <c r="O57" s="56">
        <f t="shared" si="30"/>
        <v>9.9914205112490736E-7</v>
      </c>
      <c r="P57" s="56">
        <f t="shared" si="31"/>
        <v>1.0192722229675094E-6</v>
      </c>
      <c r="Q57" s="56">
        <f t="shared" si="32"/>
        <v>1.2073779428164367E-6</v>
      </c>
      <c r="R57" s="9">
        <f t="shared" ref="R57:R58" si="33">F57*$C$14</f>
        <v>1.4999999999999999E-4</v>
      </c>
      <c r="S57" s="9">
        <f t="shared" ref="S57:S58" si="34">$R57*L57</f>
        <v>1.0701609228512853E-8</v>
      </c>
      <c r="T57" s="9">
        <f t="shared" ref="T57:T58" si="35">R57*K57</f>
        <v>1.4908453837732564E-4</v>
      </c>
      <c r="U57" s="9">
        <f t="shared" ref="U57:U58" si="36">$R57*M57</f>
        <v>1.4998929839077149E-4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1.4682817666499364</v>
      </c>
      <c r="K58" s="55">
        <f t="shared" si="26"/>
        <v>0.53068914854890625</v>
      </c>
      <c r="L58" s="55">
        <f t="shared" si="27"/>
        <v>1.097679380429598E-3</v>
      </c>
      <c r="M58" s="55">
        <f t="shared" si="28"/>
        <v>0.99890232061957041</v>
      </c>
      <c r="N58" s="55">
        <f t="shared" si="29"/>
        <v>7.2349035176241089E-4</v>
      </c>
      <c r="O58" s="56">
        <f t="shared" si="30"/>
        <v>5.334897738176802E-7</v>
      </c>
      <c r="P58" s="56">
        <f t="shared" si="31"/>
        <v>1.5682231685517542E-5</v>
      </c>
      <c r="Q58" s="56">
        <f t="shared" si="32"/>
        <v>2.0672599888200974E-4</v>
      </c>
      <c r="R58" s="9">
        <f t="shared" si="33"/>
        <v>1.4999999999999999E-4</v>
      </c>
      <c r="S58" s="9">
        <f t="shared" si="34"/>
        <v>1.6465190706443969E-7</v>
      </c>
      <c r="T58" s="9">
        <f t="shared" si="35"/>
        <v>7.960337228233593E-5</v>
      </c>
      <c r="U58" s="9">
        <f t="shared" si="36"/>
        <v>1.4983534809293554E-4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1.5210188025338833</v>
      </c>
      <c r="K60" s="55">
        <f t="shared" si="26"/>
        <v>0.44327008942359847</v>
      </c>
      <c r="L60" s="55">
        <f t="shared" si="27"/>
        <v>1.0352393278356628E-3</v>
      </c>
      <c r="M60" s="55">
        <f t="shared" si="28"/>
        <v>0.99896476067216433</v>
      </c>
      <c r="N60" s="55">
        <f t="shared" si="29"/>
        <v>5.7596350232471912E-4</v>
      </c>
      <c r="O60" s="56">
        <f t="shared" si="30"/>
        <v>4.4560937489179756E-7</v>
      </c>
      <c r="P60" s="56">
        <f t="shared" si="31"/>
        <v>1.4790168494123016E-5</v>
      </c>
      <c r="Q60" s="56">
        <f t="shared" si="32"/>
        <v>1.6457251993425194E-4</v>
      </c>
      <c r="R60" s="9">
        <f t="shared" ref="R60:R65" si="38">F60*$C$14</f>
        <v>1.4999999999999999E-4</v>
      </c>
      <c r="S60" s="9">
        <f t="shared" ref="S60:S93" si="39">$R60*L60</f>
        <v>1.5528589917534941E-7</v>
      </c>
      <c r="T60" s="9">
        <f t="shared" ref="T60:T93" si="40">R60*K60</f>
        <v>6.6490513413539759E-5</v>
      </c>
      <c r="U60" s="9">
        <f t="shared" ref="U60:U93" si="41">$R60*M60</f>
        <v>1.4984471410082464E-4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2.5091055968760121</v>
      </c>
      <c r="K61" s="55">
        <f t="shared" si="26"/>
        <v>8.6488936025659907E-2</v>
      </c>
      <c r="L61" s="55">
        <f t="shared" si="27"/>
        <v>1.965258501215371E-3</v>
      </c>
      <c r="M61" s="55">
        <f t="shared" si="28"/>
        <v>0.99803474149878468</v>
      </c>
      <c r="N61" s="55">
        <f t="shared" si="29"/>
        <v>1.2842426565620958E-3</v>
      </c>
      <c r="O61" s="56">
        <f t="shared" si="30"/>
        <v>8.6945367253555114E-8</v>
      </c>
      <c r="P61" s="56">
        <f t="shared" si="31"/>
        <v>2.8077086704435104E-5</v>
      </c>
      <c r="Q61" s="56">
        <f t="shared" si="32"/>
        <v>3.6695215815658709E-4</v>
      </c>
      <c r="R61" s="9">
        <f t="shared" si="38"/>
        <v>1.4999999999999999E-4</v>
      </c>
      <c r="S61" s="9">
        <f t="shared" si="39"/>
        <v>2.9478877518230564E-7</v>
      </c>
      <c r="T61" s="9">
        <f t="shared" si="40"/>
        <v>1.2973340403848985E-5</v>
      </c>
      <c r="U61" s="9">
        <f t="shared" si="41"/>
        <v>1.497052112248177E-4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2.2508102103882899</v>
      </c>
      <c r="K62" s="55">
        <f t="shared" si="26"/>
        <v>0.16922014463510646</v>
      </c>
      <c r="L62" s="55">
        <f t="shared" si="27"/>
        <v>2.1213669796444246E-3</v>
      </c>
      <c r="M62" s="55">
        <f t="shared" si="28"/>
        <v>0.99787863302035562</v>
      </c>
      <c r="N62" s="55">
        <f t="shared" si="29"/>
        <v>1.5311530311995262E-3</v>
      </c>
      <c r="O62" s="56">
        <f t="shared" si="30"/>
        <v>1.7011317629845689E-7</v>
      </c>
      <c r="P62" s="56">
        <f t="shared" si="31"/>
        <v>3.0307363933328579E-5</v>
      </c>
      <c r="Q62" s="56">
        <f t="shared" si="32"/>
        <v>4.3750291768905998E-4</v>
      </c>
      <c r="R62" s="9">
        <f t="shared" si="38"/>
        <v>1.4999999999999999E-4</v>
      </c>
      <c r="S62" s="9">
        <f t="shared" si="39"/>
        <v>3.1820504694666368E-7</v>
      </c>
      <c r="T62" s="9">
        <f t="shared" si="40"/>
        <v>2.5383021695265966E-5</v>
      </c>
      <c r="U62" s="9">
        <f t="shared" si="41"/>
        <v>1.4968179495305334E-4</v>
      </c>
      <c r="V62" s="102">
        <f t="shared" si="42"/>
        <v>0.16957988580526562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2.1782102693561023</v>
      </c>
      <c r="K63" s="55">
        <f t="shared" si="26"/>
        <v>0.1886800936255294</v>
      </c>
      <c r="L63" s="55">
        <f t="shared" si="27"/>
        <v>2.0011971911570565E-3</v>
      </c>
      <c r="M63" s="55">
        <f t="shared" si="28"/>
        <v>0.9979988028088429</v>
      </c>
      <c r="N63" s="55">
        <f t="shared" si="29"/>
        <v>1.415720822132642E-3</v>
      </c>
      <c r="O63" s="56">
        <f t="shared" si="30"/>
        <v>1.8967582198999135E-7</v>
      </c>
      <c r="P63" s="56">
        <f t="shared" si="31"/>
        <v>2.8590532499434832E-5</v>
      </c>
      <c r="Q63" s="56">
        <f t="shared" si="32"/>
        <v>4.0451997788291174E-4</v>
      </c>
      <c r="R63" s="9">
        <f t="shared" si="38"/>
        <v>1.4999999999999999E-4</v>
      </c>
      <c r="S63" s="9">
        <f t="shared" si="39"/>
        <v>3.0017957867355847E-7</v>
      </c>
      <c r="T63" s="9">
        <f t="shared" si="40"/>
        <v>2.8302014043829408E-5</v>
      </c>
      <c r="U63" s="9">
        <f t="shared" si="41"/>
        <v>1.4969982042132643E-4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1.4306562944149122</v>
      </c>
      <c r="K64" s="55">
        <f t="shared" si="26"/>
        <v>0.58003151489329396</v>
      </c>
      <c r="L64" s="55">
        <f t="shared" si="27"/>
        <v>1.1001741017534167E-3</v>
      </c>
      <c r="M64" s="55">
        <f t="shared" si="28"/>
        <v>0.99889982589824655</v>
      </c>
      <c r="N64" s="55">
        <f t="shared" si="29"/>
        <v>7.7054166551663347E-4</v>
      </c>
      <c r="O64" s="56">
        <f t="shared" si="30"/>
        <v>5.8309253643808576E-7</v>
      </c>
      <c r="P64" s="56">
        <f t="shared" si="31"/>
        <v>1.5717873056293424E-5</v>
      </c>
      <c r="Q64" s="56">
        <f t="shared" si="32"/>
        <v>2.2017017240949131E-4</v>
      </c>
      <c r="R64" s="9">
        <f t="shared" si="38"/>
        <v>1.4999999999999999E-4</v>
      </c>
      <c r="S64" s="9">
        <f t="shared" si="39"/>
        <v>1.650261152630125E-7</v>
      </c>
      <c r="T64" s="9">
        <f t="shared" si="40"/>
        <v>8.700472723399409E-5</v>
      </c>
      <c r="U64" s="9">
        <f t="shared" si="41"/>
        <v>1.4983497388473696E-4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2.9136453532291715</v>
      </c>
      <c r="K65" s="55">
        <f t="shared" si="26"/>
        <v>5.1638780535687503E-2</v>
      </c>
      <c r="L65" s="55">
        <f t="shared" si="27"/>
        <v>2.9783440388118127E-3</v>
      </c>
      <c r="M65" s="55">
        <f t="shared" si="28"/>
        <v>0.99702165596118819</v>
      </c>
      <c r="N65" s="55">
        <f t="shared" si="29"/>
        <v>2.3733703596218992E-3</v>
      </c>
      <c r="O65" s="56">
        <f t="shared" si="30"/>
        <v>5.1911295762374101E-8</v>
      </c>
      <c r="P65" s="56">
        <f t="shared" si="31"/>
        <v>4.2550750327064753E-5</v>
      </c>
      <c r="Q65" s="56">
        <f t="shared" si="32"/>
        <v>6.7815328444202074E-4</v>
      </c>
      <c r="R65" s="9">
        <f t="shared" si="38"/>
        <v>1.4999999999999999E-4</v>
      </c>
      <c r="S65" s="9">
        <f t="shared" si="39"/>
        <v>4.4675160582177188E-7</v>
      </c>
      <c r="T65" s="9">
        <f t="shared" si="40"/>
        <v>7.7458170803531244E-6</v>
      </c>
      <c r="U65" s="9">
        <f t="shared" si="41"/>
        <v>1.4955324839417821E-4</v>
      </c>
      <c r="V65" s="102">
        <f t="shared" si="42"/>
        <v>5.1793038021731484E-2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1.4630863314519811</v>
      </c>
      <c r="K68" s="55">
        <f t="shared" si="26"/>
        <v>0.45964846543666954</v>
      </c>
      <c r="L68" s="55">
        <f t="shared" si="27"/>
        <v>9.3943271095388206E-4</v>
      </c>
      <c r="M68" s="55">
        <f t="shared" si="28"/>
        <v>0.99906056728904613</v>
      </c>
      <c r="N68" s="55">
        <f t="shared" si="29"/>
        <v>4.8470929841468527E-4</v>
      </c>
      <c r="O68" s="56">
        <f t="shared" si="30"/>
        <v>4.6207418510811009E-7</v>
      </c>
      <c r="P68" s="56">
        <f t="shared" si="31"/>
        <v>1.3421406732052124E-5</v>
      </c>
      <c r="Q68" s="56">
        <f t="shared" si="32"/>
        <v>1.3849806516159265E-4</v>
      </c>
      <c r="R68" s="9">
        <f>F68*$C$14</f>
        <v>1.4999999999999999E-4</v>
      </c>
      <c r="S68" s="9">
        <f t="shared" si="39"/>
        <v>1.4091490664308231E-7</v>
      </c>
      <c r="T68" s="9">
        <f t="shared" si="40"/>
        <v>6.894726981550043E-5</v>
      </c>
      <c r="U68" s="9">
        <f t="shared" si="41"/>
        <v>1.4985908509335691E-4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3.8581605774828258</v>
      </c>
      <c r="K69" s="55">
        <f t="shared" si="26"/>
        <v>6.6655946276901025E-3</v>
      </c>
      <c r="L69" s="55">
        <f t="shared" si="27"/>
        <v>3.3833973742640141E-3</v>
      </c>
      <c r="M69" s="55">
        <f t="shared" si="28"/>
        <v>0.99661660262573604</v>
      </c>
      <c r="N69" s="55">
        <f t="shared" si="29"/>
        <v>2.7809644347393287E-3</v>
      </c>
      <c r="O69" s="56">
        <f t="shared" si="30"/>
        <v>6.7007712142036149E-9</v>
      </c>
      <c r="P69" s="56">
        <f t="shared" si="31"/>
        <v>4.8337631601145924E-5</v>
      </c>
      <c r="Q69" s="56">
        <f t="shared" si="32"/>
        <v>7.9461688635707427E-4</v>
      </c>
      <c r="R69" s="9">
        <f>F69*$C$14</f>
        <v>1.4999999999999999E-4</v>
      </c>
      <c r="S69" s="9">
        <f t="shared" si="39"/>
        <v>5.0750960613960206E-7</v>
      </c>
      <c r="T69" s="9">
        <f t="shared" si="40"/>
        <v>9.9983919415351522E-7</v>
      </c>
      <c r="U69" s="9">
        <f t="shared" si="41"/>
        <v>1.4949249039386041E-4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0.63617430590334978</v>
      </c>
      <c r="K70" s="55">
        <f t="shared" si="26"/>
        <v>0.86200190854010361</v>
      </c>
      <c r="L70" s="55">
        <f t="shared" si="27"/>
        <v>2.6244364777487861E-4</v>
      </c>
      <c r="M70" s="55">
        <f t="shared" si="28"/>
        <v>0.99973755635222517</v>
      </c>
      <c r="N70" s="55">
        <f t="shared" si="29"/>
        <v>9.7174153013669838E-5</v>
      </c>
      <c r="O70" s="56">
        <f t="shared" si="30"/>
        <v>8.6655098276442093E-7</v>
      </c>
      <c r="P70" s="56">
        <f t="shared" si="31"/>
        <v>3.7494574118603263E-6</v>
      </c>
      <c r="Q70" s="56">
        <f t="shared" si="32"/>
        <v>2.7765987201251653E-5</v>
      </c>
      <c r="R70" s="9">
        <f t="shared" ref="R70:R86" si="43">F70*$C$14</f>
        <v>1.4999999999999999E-4</v>
      </c>
      <c r="S70" s="9">
        <f t="shared" si="39"/>
        <v>3.9366547166231786E-8</v>
      </c>
      <c r="T70" s="9">
        <f t="shared" si="40"/>
        <v>1.2930028628101552E-4</v>
      </c>
      <c r="U70" s="9">
        <f t="shared" si="41"/>
        <v>1.4996063345283376E-4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1.3625600825731248</v>
      </c>
      <c r="K71" s="55">
        <f t="shared" ref="K71:K122" si="46">IF(D71=0,"",1/(1+10^D71*$J$15/$J$14+10^E71*$J$16/$J$14+10^J71*$J$19/$J$14))</f>
        <v>0.59142595505436646</v>
      </c>
      <c r="L71" s="55">
        <f t="shared" ref="L71:L122" si="47">IF(D71=0,"",1/(1+10^I71/10^J71*$J$13/$J$19))</f>
        <v>9.5898981477391483E-4</v>
      </c>
      <c r="M71" s="55">
        <f t="shared" si="19"/>
        <v>0.99904101018522606</v>
      </c>
      <c r="N71" s="55">
        <f t="shared" ref="N71:N122" si="48">IF(D71=0,"",1/(1/10^E71*$J$20/$J$22+10^D71/10^E71*$J$21/$J$22+10^I71/10^E71*$J$13/$J$22+1))</f>
        <v>6.2462867324717427E-4</v>
      </c>
      <c r="O71" s="56">
        <f t="shared" si="21"/>
        <v>5.9454710889529792E-7</v>
      </c>
      <c r="P71" s="56">
        <f t="shared" ref="P71:P122" si="49">IF(D71=0,"",O71*10^J71)</f>
        <v>1.370081348658499E-5</v>
      </c>
      <c r="Q71" s="56">
        <f t="shared" ref="Q71:Q122" si="50">IF(D71=0,"",F71*N71*$J$7/$J$22)</f>
        <v>1.7847782778694329E-4</v>
      </c>
      <c r="R71" s="9">
        <f t="shared" si="43"/>
        <v>1.4999999999999999E-4</v>
      </c>
      <c r="S71" s="9">
        <f t="shared" si="39"/>
        <v>1.4384847221608721E-7</v>
      </c>
      <c r="T71" s="9">
        <f t="shared" si="40"/>
        <v>8.871389325815496E-5</v>
      </c>
      <c r="U71" s="9">
        <f t="shared" si="41"/>
        <v>1.4985615152778389E-4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1.4662062884307068</v>
      </c>
      <c r="K72" s="55">
        <f t="shared" si="46"/>
        <v>0.47487833937046986</v>
      </c>
      <c r="L72" s="55">
        <f t="shared" si="47"/>
        <v>9.7755720546352596E-4</v>
      </c>
      <c r="M72" s="55">
        <f t="shared" si="19"/>
        <v>0.99902244279453645</v>
      </c>
      <c r="N72" s="55">
        <f t="shared" si="48"/>
        <v>5.4054380836285072E-4</v>
      </c>
      <c r="O72" s="56">
        <f t="shared" si="21"/>
        <v>4.773844322130896E-7</v>
      </c>
      <c r="P72" s="56">
        <f t="shared" si="49"/>
        <v>1.3966080492398694E-5</v>
      </c>
      <c r="Q72" s="56">
        <f t="shared" si="50"/>
        <v>1.544518989798389E-4</v>
      </c>
      <c r="R72" s="9">
        <f t="shared" si="43"/>
        <v>1.4999999999999999E-4</v>
      </c>
      <c r="S72" s="9">
        <f t="shared" si="39"/>
        <v>1.4663358081952889E-7</v>
      </c>
      <c r="T72" s="9">
        <f t="shared" si="40"/>
        <v>7.1231750905570467E-5</v>
      </c>
      <c r="U72" s="9">
        <f t="shared" si="41"/>
        <v>1.4985336641918046E-4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5.7902923462368587</v>
      </c>
      <c r="K73" s="55">
        <f t="shared" si="46"/>
        <v>1.4641685137799527E-4</v>
      </c>
      <c r="L73" s="55">
        <f t="shared" si="47"/>
        <v>6.3567764938855815E-3</v>
      </c>
      <c r="M73" s="55">
        <f t="shared" si="19"/>
        <v>0.99364322350611445</v>
      </c>
      <c r="N73" s="55">
        <f t="shared" si="48"/>
        <v>6.0634890815425809E-3</v>
      </c>
      <c r="O73" s="56">
        <f t="shared" si="21"/>
        <v>1.471895423871572E-10</v>
      </c>
      <c r="P73" s="56">
        <f t="shared" si="49"/>
        <v>9.0817449546287953E-5</v>
      </c>
      <c r="Q73" s="56">
        <f t="shared" si="50"/>
        <v>1.7325467216509393E-3</v>
      </c>
      <c r="R73" s="9">
        <f t="shared" si="43"/>
        <v>1.4999999999999999E-4</v>
      </c>
      <c r="S73" s="9">
        <f t="shared" si="39"/>
        <v>9.5351647408283717E-7</v>
      </c>
      <c r="T73" s="9">
        <f t="shared" si="40"/>
        <v>2.1962527706699289E-8</v>
      </c>
      <c r="U73" s="9">
        <f t="shared" si="41"/>
        <v>1.4904648352591715E-4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0.50735979747220028</v>
      </c>
      <c r="K74" s="55">
        <f t="shared" si="46"/>
        <v>0.91120766921678664</v>
      </c>
      <c r="L74" s="55">
        <f t="shared" si="47"/>
        <v>2.0621995892968744E-4</v>
      </c>
      <c r="M74" s="55">
        <f t="shared" si="19"/>
        <v>0.99979378004107033</v>
      </c>
      <c r="N74" s="55">
        <f t="shared" si="48"/>
        <v>7.9163849209944715E-5</v>
      </c>
      <c r="O74" s="56">
        <f t="shared" si="21"/>
        <v>9.1601641880303154E-7</v>
      </c>
      <c r="P74" s="56">
        <f t="shared" si="49"/>
        <v>2.9462056332401794E-6</v>
      </c>
      <c r="Q74" s="56">
        <f t="shared" si="50"/>
        <v>2.2619825908396972E-5</v>
      </c>
      <c r="R74" s="9">
        <f t="shared" si="43"/>
        <v>1.4999999999999999E-4</v>
      </c>
      <c r="S74" s="9">
        <f t="shared" si="39"/>
        <v>3.0932993839453112E-8</v>
      </c>
      <c r="T74" s="9">
        <f t="shared" si="40"/>
        <v>1.3668115038251798E-4</v>
      </c>
      <c r="U74" s="9">
        <f t="shared" si="41"/>
        <v>1.4996906700616054E-4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0.50980800632319279</v>
      </c>
      <c r="K75" s="55">
        <f t="shared" si="46"/>
        <v>0.90655866899638371</v>
      </c>
      <c r="L75" s="55">
        <f t="shared" si="47"/>
        <v>2.0632766045387696E-4</v>
      </c>
      <c r="M75" s="55">
        <f t="shared" si="19"/>
        <v>0.99979367233954608</v>
      </c>
      <c r="N75" s="55">
        <f t="shared" si="48"/>
        <v>7.5109773401509179E-5</v>
      </c>
      <c r="O75" s="56">
        <f t="shared" si="21"/>
        <v>9.1134288424359512E-7</v>
      </c>
      <c r="P75" s="56">
        <f t="shared" si="49"/>
        <v>2.9477443341444105E-6</v>
      </c>
      <c r="Q75" s="56">
        <f t="shared" si="50"/>
        <v>2.1461437453042076E-5</v>
      </c>
      <c r="R75" s="9">
        <f t="shared" si="43"/>
        <v>1.4999999999999999E-4</v>
      </c>
      <c r="S75" s="9">
        <f t="shared" si="39"/>
        <v>3.0949149068081543E-8</v>
      </c>
      <c r="T75" s="9">
        <f t="shared" si="40"/>
        <v>1.3598380034945755E-4</v>
      </c>
      <c r="U75" s="9">
        <f t="shared" si="41"/>
        <v>1.499690508509319E-4</v>
      </c>
      <c r="V75" s="102">
        <f t="shared" si="42"/>
        <v>0.90674575572678939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2.6948578399819088</v>
      </c>
      <c r="K76" s="55">
        <f t="shared" si="46"/>
        <v>7.2365281048846569E-2</v>
      </c>
      <c r="L76" s="55">
        <f t="shared" si="47"/>
        <v>2.5219799254236185E-3</v>
      </c>
      <c r="M76" s="55">
        <f t="shared" si="19"/>
        <v>0.99747802007457642</v>
      </c>
      <c r="N76" s="55">
        <f t="shared" si="48"/>
        <v>1.8872645821851135E-3</v>
      </c>
      <c r="O76" s="56">
        <f t="shared" si="21"/>
        <v>7.274717699535592E-8</v>
      </c>
      <c r="P76" s="56">
        <f t="shared" si="49"/>
        <v>3.6030806628834276E-5</v>
      </c>
      <c r="Q76" s="56">
        <f t="shared" si="50"/>
        <v>5.3925619734453319E-4</v>
      </c>
      <c r="R76" s="9">
        <f t="shared" si="43"/>
        <v>1.4999999999999999E-4</v>
      </c>
      <c r="S76" s="9">
        <f t="shared" si="39"/>
        <v>3.7829698881354277E-7</v>
      </c>
      <c r="T76" s="9">
        <f t="shared" si="40"/>
        <v>1.0854792157326984E-5</v>
      </c>
      <c r="U76" s="9">
        <f t="shared" si="41"/>
        <v>1.4962170301118644E-4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3.5001380315971067E-2</v>
      </c>
      <c r="K77" s="55">
        <f t="shared" si="46"/>
        <v>0.98995583110905383</v>
      </c>
      <c r="L77" s="55">
        <f t="shared" si="47"/>
        <v>7.5504133977157995E-5</v>
      </c>
      <c r="M77" s="55">
        <f t="shared" si="19"/>
        <v>0.99992449586602283</v>
      </c>
      <c r="N77" s="55">
        <f t="shared" si="48"/>
        <v>5.2885833653965344E-6</v>
      </c>
      <c r="O77" s="56">
        <f t="shared" si="21"/>
        <v>9.9518016125251952E-7</v>
      </c>
      <c r="P77" s="56">
        <f t="shared" si="49"/>
        <v>1.0787059895219489E-6</v>
      </c>
      <c r="Q77" s="56">
        <f t="shared" si="50"/>
        <v>1.5111295903520318E-6</v>
      </c>
      <c r="R77" s="9">
        <f t="shared" si="43"/>
        <v>1.4999999999999999E-4</v>
      </c>
      <c r="S77" s="9">
        <f t="shared" si="39"/>
        <v>1.1325620096573698E-8</v>
      </c>
      <c r="T77" s="9">
        <f t="shared" si="40"/>
        <v>1.4849337466635805E-4</v>
      </c>
      <c r="U77" s="9">
        <f t="shared" si="41"/>
        <v>1.4998867437990342E-4</v>
      </c>
      <c r="V77" s="102">
        <f t="shared" si="42"/>
        <v>0.99003058251079723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0.86614766954915157</v>
      </c>
      <c r="K78" s="55">
        <f t="shared" si="46"/>
        <v>0.81245433863626559</v>
      </c>
      <c r="L78" s="55">
        <f t="shared" si="47"/>
        <v>4.2004920200081611E-4</v>
      </c>
      <c r="M78" s="55">
        <f t="shared" si="19"/>
        <v>0.99957995079799922</v>
      </c>
      <c r="N78" s="55">
        <f t="shared" si="48"/>
        <v>2.269998126572091E-4</v>
      </c>
      <c r="O78" s="56">
        <f t="shared" si="21"/>
        <v>8.1674193365630973E-7</v>
      </c>
      <c r="P78" s="56">
        <f t="shared" si="49"/>
        <v>6.0011229349279462E-6</v>
      </c>
      <c r="Q78" s="56">
        <f t="shared" si="50"/>
        <v>6.4861629326884307E-5</v>
      </c>
      <c r="R78" s="9">
        <f t="shared" si="43"/>
        <v>1.4999999999999999E-4</v>
      </c>
      <c r="S78" s="9">
        <f t="shared" si="39"/>
        <v>6.3007380300122413E-8</v>
      </c>
      <c r="T78" s="9">
        <f t="shared" si="40"/>
        <v>1.2186815079543983E-4</v>
      </c>
      <c r="U78" s="9">
        <f t="shared" si="41"/>
        <v>1.4993699261969988E-4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1.8465793817928891</v>
      </c>
      <c r="K79" s="55">
        <f t="shared" si="46"/>
        <v>0.3093172599274</v>
      </c>
      <c r="L79" s="55">
        <f t="shared" si="47"/>
        <v>1.5287521060840638E-3</v>
      </c>
      <c r="M79" s="55">
        <f t="shared" si="19"/>
        <v>0.99847124789391595</v>
      </c>
      <c r="N79" s="55">
        <f t="shared" si="48"/>
        <v>1.0015155365132021E-3</v>
      </c>
      <c r="O79" s="56">
        <f t="shared" si="21"/>
        <v>3.1094963122534216E-7</v>
      </c>
      <c r="P79" s="56">
        <f t="shared" si="49"/>
        <v>2.1840844553307E-5</v>
      </c>
      <c r="Q79" s="56">
        <f t="shared" si="50"/>
        <v>2.861673264573594E-4</v>
      </c>
      <c r="R79" s="9">
        <f t="shared" si="43"/>
        <v>1.4999999999999999E-4</v>
      </c>
      <c r="S79" s="9">
        <f t="shared" si="39"/>
        <v>2.2931281591260955E-7</v>
      </c>
      <c r="T79" s="9">
        <f t="shared" si="40"/>
        <v>4.6397588989109997E-5</v>
      </c>
      <c r="U79" s="9">
        <f t="shared" si="41"/>
        <v>1.4977068718408738E-4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4.7849539498028779</v>
      </c>
      <c r="K80" s="55">
        <f t="shared" si="46"/>
        <v>1.0422666902852055E-3</v>
      </c>
      <c r="L80" s="55">
        <f t="shared" si="47"/>
        <v>4.469781981097023E-3</v>
      </c>
      <c r="M80" s="55">
        <f t="shared" si="19"/>
        <v>0.99553021801890296</v>
      </c>
      <c r="N80" s="55">
        <f t="shared" si="48"/>
        <v>3.9773919915626942E-3</v>
      </c>
      <c r="O80" s="56">
        <f t="shared" si="21"/>
        <v>1.0477670824405677E-9</v>
      </c>
      <c r="P80" s="56">
        <f t="shared" si="49"/>
        <v>6.3858498083367137E-5</v>
      </c>
      <c r="Q80" s="56">
        <f t="shared" si="50"/>
        <v>1.1364772597148866E-3</v>
      </c>
      <c r="R80" s="9">
        <f t="shared" si="43"/>
        <v>1.4999999999999999E-4</v>
      </c>
      <c r="S80" s="9">
        <f t="shared" si="39"/>
        <v>6.7046729716455334E-7</v>
      </c>
      <c r="T80" s="9">
        <f t="shared" si="40"/>
        <v>1.5634000354278082E-7</v>
      </c>
      <c r="U80" s="9">
        <f t="shared" si="41"/>
        <v>1.4932953270283542E-4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2.1476419495508856</v>
      </c>
      <c r="K81" s="55">
        <f t="shared" si="46"/>
        <v>0.22534112359531899</v>
      </c>
      <c r="L81" s="55">
        <f t="shared" si="47"/>
        <v>2.2275934756663799E-3</v>
      </c>
      <c r="M81" s="55">
        <f t="shared" si="19"/>
        <v>0.99777240652433363</v>
      </c>
      <c r="N81" s="55">
        <f t="shared" si="48"/>
        <v>1.6990102228876263E-3</v>
      </c>
      <c r="O81" s="56">
        <f t="shared" si="21"/>
        <v>2.265303245551664E-7</v>
      </c>
      <c r="P81" s="56">
        <f t="shared" si="49"/>
        <v>3.1824991531566818E-5</v>
      </c>
      <c r="Q81" s="56">
        <f t="shared" si="50"/>
        <v>4.8546547245806521E-4</v>
      </c>
      <c r="R81" s="9">
        <f t="shared" si="43"/>
        <v>1.4999999999999999E-4</v>
      </c>
      <c r="S81" s="9">
        <f t="shared" si="39"/>
        <v>3.3413902134995695E-7</v>
      </c>
      <c r="T81" s="9">
        <f t="shared" si="40"/>
        <v>3.3801168539297844E-5</v>
      </c>
      <c r="U81" s="9">
        <f t="shared" si="41"/>
        <v>1.4966586097865003E-4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3.0007157776870899</v>
      </c>
      <c r="K82" s="55">
        <f t="shared" si="46"/>
        <v>4.816741009019021E-2</v>
      </c>
      <c r="L82" s="55">
        <f t="shared" si="47"/>
        <v>3.3948657540463249E-3</v>
      </c>
      <c r="M82" s="55">
        <f t="shared" si="19"/>
        <v>0.99660513424595365</v>
      </c>
      <c r="N82" s="55">
        <f t="shared" si="48"/>
        <v>2.8309019784807815E-3</v>
      </c>
      <c r="O82" s="56">
        <f t="shared" si="21"/>
        <v>4.8421605726560105E-8</v>
      </c>
      <c r="P82" s="56">
        <f t="shared" si="49"/>
        <v>4.8501477066415847E-5</v>
      </c>
      <c r="Q82" s="56">
        <f t="shared" si="50"/>
        <v>8.0888575474836425E-4</v>
      </c>
      <c r="R82" s="9">
        <f t="shared" si="43"/>
        <v>1.4999999999999999E-4</v>
      </c>
      <c r="S82" s="9">
        <f t="shared" si="39"/>
        <v>5.0922986310694865E-7</v>
      </c>
      <c r="T82" s="9">
        <f t="shared" si="40"/>
        <v>7.225111513528531E-6</v>
      </c>
      <c r="U82" s="9">
        <f t="shared" si="41"/>
        <v>1.4949077013689304E-4</v>
      </c>
      <c r="V82" s="102">
        <f t="shared" si="42"/>
        <v>4.8331489007062356E-2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2.3388959370141773</v>
      </c>
      <c r="K83" s="55">
        <f t="shared" si="46"/>
        <v>0.16325294245917973</v>
      </c>
      <c r="L83" s="55">
        <f t="shared" si="47"/>
        <v>2.5067469022958342E-3</v>
      </c>
      <c r="M83" s="55">
        <f t="shared" si="19"/>
        <v>0.9974932530977042</v>
      </c>
      <c r="N83" s="55">
        <f t="shared" si="48"/>
        <v>1.9520033302073728E-3</v>
      </c>
      <c r="O83" s="56">
        <f t="shared" si="21"/>
        <v>1.6411448318806605E-7</v>
      </c>
      <c r="P83" s="56">
        <f t="shared" si="49"/>
        <v>3.5813176779699939E-5</v>
      </c>
      <c r="Q83" s="56">
        <f t="shared" si="50"/>
        <v>5.5775427726871053E-4</v>
      </c>
      <c r="R83" s="9">
        <f t="shared" si="43"/>
        <v>1.4999999999999999E-4</v>
      </c>
      <c r="S83" s="9">
        <f t="shared" si="39"/>
        <v>3.7601203534437508E-7</v>
      </c>
      <c r="T83" s="9">
        <f t="shared" si="40"/>
        <v>2.4487941368876959E-5</v>
      </c>
      <c r="U83" s="9">
        <f t="shared" si="41"/>
        <v>1.4962398796465563E-4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0.66821968451796954</v>
      </c>
      <c r="K84" s="55">
        <f t="shared" si="46"/>
        <v>0.87341304082042115</v>
      </c>
      <c r="L84" s="55">
        <f t="shared" si="47"/>
        <v>2.8628123941237279E-4</v>
      </c>
      <c r="M84" s="55">
        <f t="shared" si="19"/>
        <v>0.99971371876058768</v>
      </c>
      <c r="N84" s="55">
        <f t="shared" si="48"/>
        <v>1.3378031326494728E-4</v>
      </c>
      <c r="O84" s="56">
        <f t="shared" si="21"/>
        <v>8.7802233543081019E-7</v>
      </c>
      <c r="P84" s="56">
        <f t="shared" si="49"/>
        <v>4.0900182728447384E-6</v>
      </c>
      <c r="Q84" s="56">
        <f t="shared" si="50"/>
        <v>3.8225622253393087E-5</v>
      </c>
      <c r="R84" s="9">
        <f t="shared" si="43"/>
        <v>1.4999999999999999E-4</v>
      </c>
      <c r="S84" s="9">
        <f t="shared" si="39"/>
        <v>4.2942185911855913E-8</v>
      </c>
      <c r="T84" s="9">
        <f t="shared" si="40"/>
        <v>1.3101195612306315E-4</v>
      </c>
      <c r="U84" s="9">
        <f t="shared" si="41"/>
        <v>1.4995705781408814E-4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2.1336193491516409</v>
      </c>
      <c r="K85" s="55">
        <f t="shared" si="46"/>
        <v>0.23886063821131481</v>
      </c>
      <c r="L85" s="55">
        <f t="shared" si="47"/>
        <v>2.2862171049761763E-3</v>
      </c>
      <c r="M85" s="55">
        <f t="shared" si="19"/>
        <v>0.99771378289502377</v>
      </c>
      <c r="N85" s="55">
        <f t="shared" si="48"/>
        <v>1.7759802216274429E-3</v>
      </c>
      <c r="O85" s="56">
        <f t="shared" si="21"/>
        <v>2.4012118620050823E-7</v>
      </c>
      <c r="P85" s="56">
        <f t="shared" si="49"/>
        <v>3.2662530573907502E-5</v>
      </c>
      <c r="Q85" s="56">
        <f t="shared" si="50"/>
        <v>5.0745844006941615E-4</v>
      </c>
      <c r="R85" s="9">
        <f t="shared" si="43"/>
        <v>1.4999999999999999E-4</v>
      </c>
      <c r="S85" s="9">
        <f t="shared" si="39"/>
        <v>3.429325657464264E-7</v>
      </c>
      <c r="T85" s="9">
        <f t="shared" si="40"/>
        <v>3.582909573169722E-5</v>
      </c>
      <c r="U85" s="9">
        <f t="shared" si="41"/>
        <v>1.4965706743425356E-4</v>
      </c>
      <c r="V85" s="102">
        <f t="shared" si="42"/>
        <v>0.23940797682299531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1.4736389783743882</v>
      </c>
      <c r="K86" s="55">
        <f t="shared" si="46"/>
        <v>0.54392521043545905</v>
      </c>
      <c r="L86" s="55">
        <f t="shared" si="47"/>
        <v>1.1390209156247218E-3</v>
      </c>
      <c r="M86" s="55">
        <f t="shared" si="19"/>
        <v>0.99886097908437532</v>
      </c>
      <c r="N86" s="55">
        <f t="shared" si="48"/>
        <v>7.8109296262402297E-4</v>
      </c>
      <c r="O86" s="56">
        <f t="shared" si="21"/>
        <v>5.4679568685811449E-7</v>
      </c>
      <c r="P86" s="56">
        <f t="shared" si="49"/>
        <v>1.627286638698308E-5</v>
      </c>
      <c r="Q86" s="56">
        <f t="shared" si="50"/>
        <v>2.2318503975183045E-4</v>
      </c>
      <c r="R86" s="9">
        <f t="shared" si="43"/>
        <v>1.4999999999999999E-4</v>
      </c>
      <c r="S86" s="9">
        <f t="shared" si="39"/>
        <v>1.7085313734370826E-7</v>
      </c>
      <c r="T86" s="9">
        <f t="shared" si="40"/>
        <v>8.1588781565318844E-5</v>
      </c>
      <c r="U86" s="9">
        <f t="shared" si="41"/>
        <v>1.4982914686265629E-4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3.9852799121672531</v>
      </c>
      <c r="K88" s="55">
        <f t="shared" si="46"/>
        <v>7.2317936856860542E-3</v>
      </c>
      <c r="L88" s="55">
        <f t="shared" si="47"/>
        <v>4.9190300102036457E-3</v>
      </c>
      <c r="M88" s="55">
        <f t="shared" si="19"/>
        <v>0.99508096998979634</v>
      </c>
      <c r="N88" s="55">
        <f t="shared" si="48"/>
        <v>4.4797890544064295E-3</v>
      </c>
      <c r="O88" s="56">
        <f t="shared" si="21"/>
        <v>7.269958295213257E-9</v>
      </c>
      <c r="P88" s="56">
        <f t="shared" si="49"/>
        <v>7.0276776318633729E-5</v>
      </c>
      <c r="Q88" s="56">
        <f t="shared" si="50"/>
        <v>1.2800293256114963E-3</v>
      </c>
      <c r="R88" s="9">
        <f>F88*$C$14</f>
        <v>1.4999999999999999E-4</v>
      </c>
      <c r="S88" s="9">
        <f t="shared" si="39"/>
        <v>7.3785450153054679E-7</v>
      </c>
      <c r="T88" s="9">
        <f t="shared" si="40"/>
        <v>1.0847690528529081E-6</v>
      </c>
      <c r="U88" s="9">
        <f t="shared" si="41"/>
        <v>1.4926214549846944E-4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5.4568603611336437</v>
      </c>
      <c r="K89" s="55">
        <f t="shared" si="46"/>
        <v>2.9808020507185229E-4</v>
      </c>
      <c r="L89" s="55">
        <f t="shared" si="47"/>
        <v>6.0054703853145482E-3</v>
      </c>
      <c r="M89" s="55">
        <f t="shared" si="19"/>
        <v>0.99399452961468548</v>
      </c>
      <c r="N89" s="55">
        <f t="shared" si="48"/>
        <v>5.6751020165622347E-3</v>
      </c>
      <c r="O89" s="56">
        <f t="shared" si="21"/>
        <v>2.9965327464888856E-10</v>
      </c>
      <c r="P89" s="56">
        <f t="shared" si="49"/>
        <v>8.5798439546307508E-5</v>
      </c>
      <c r="Q89" s="56">
        <f t="shared" si="50"/>
        <v>1.6215712210581124E-3</v>
      </c>
      <c r="R89" s="9">
        <f>F89*$C$14</f>
        <v>1.4999999999999999E-4</v>
      </c>
      <c r="S89" s="9">
        <f t="shared" si="39"/>
        <v>9.0082055779718214E-7</v>
      </c>
      <c r="T89" s="9">
        <f t="shared" si="40"/>
        <v>4.4712030760777842E-8</v>
      </c>
      <c r="U89" s="9">
        <f t="shared" si="41"/>
        <v>1.490991794422028E-4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5.8376711731613922</v>
      </c>
      <c r="K90" s="55">
        <f t="shared" si="46"/>
        <v>1.3435741274581822E-4</v>
      </c>
      <c r="L90" s="55">
        <f t="shared" si="47"/>
        <v>6.5055847307856742E-3</v>
      </c>
      <c r="M90" s="55">
        <f t="shared" si="19"/>
        <v>0.99349441526921434</v>
      </c>
      <c r="N90" s="55">
        <f t="shared" si="48"/>
        <v>6.2280511227730991E-3</v>
      </c>
      <c r="O90" s="56">
        <f t="shared" si="21"/>
        <v>1.3506646203806762E-10</v>
      </c>
      <c r="P90" s="56">
        <f t="shared" si="49"/>
        <v>9.2943430310240492E-5</v>
      </c>
      <c r="Q90" s="56">
        <f t="shared" si="50"/>
        <v>1.7795677389576263E-3</v>
      </c>
      <c r="R90" s="9">
        <f>F90*$C$14</f>
        <v>1.4999999999999999E-4</v>
      </c>
      <c r="S90" s="9">
        <f t="shared" si="39"/>
        <v>9.7583770961785096E-7</v>
      </c>
      <c r="T90" s="9">
        <f t="shared" si="40"/>
        <v>2.0153611911872732E-8</v>
      </c>
      <c r="U90" s="9">
        <f t="shared" si="41"/>
        <v>1.4902416229038213E-4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6.2686756056738835</v>
      </c>
      <c r="K91" s="55">
        <f t="shared" si="46"/>
        <v>5.3342759088915706E-5</v>
      </c>
      <c r="L91" s="55">
        <f t="shared" si="47"/>
        <v>6.967943382245421E-3</v>
      </c>
      <c r="M91" s="55">
        <f t="shared" si="19"/>
        <v>0.99303205661775462</v>
      </c>
      <c r="N91" s="55">
        <f t="shared" si="48"/>
        <v>6.7393189691282891E-3</v>
      </c>
      <c r="O91" s="56">
        <f t="shared" si="21"/>
        <v>5.3624266783993007E-11</v>
      </c>
      <c r="P91" s="56">
        <f t="shared" si="49"/>
        <v>9.9549016261174026E-5</v>
      </c>
      <c r="Q91" s="56">
        <f t="shared" si="50"/>
        <v>1.9256544918446075E-3</v>
      </c>
      <c r="R91" s="9">
        <f t="shared" ref="R91:R92" si="51">F91*$C$14</f>
        <v>1.4999999999999999E-4</v>
      </c>
      <c r="S91" s="9">
        <f t="shared" si="39"/>
        <v>1.0451915073368131E-6</v>
      </c>
      <c r="T91" s="9">
        <f t="shared" si="40"/>
        <v>8.0014138633373547E-9</v>
      </c>
      <c r="U91" s="9">
        <f t="shared" si="41"/>
        <v>1.4895480849266317E-4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7.5335977384937181</v>
      </c>
      <c r="K92" s="55">
        <f t="shared" si="46"/>
        <v>3.2091161928843073E-6</v>
      </c>
      <c r="L92" s="55">
        <f t="shared" si="47"/>
        <v>7.7150138961222699E-3</v>
      </c>
      <c r="M92" s="55">
        <f t="shared" si="19"/>
        <v>0.99228498610387772</v>
      </c>
      <c r="N92" s="55">
        <f t="shared" si="48"/>
        <v>7.5654885528056272E-3</v>
      </c>
      <c r="O92" s="56">
        <f t="shared" si="21"/>
        <v>3.226051779234242E-12</v>
      </c>
      <c r="P92" s="56">
        <f t="shared" si="49"/>
        <v>1.1022219924421443E-4</v>
      </c>
      <c r="Q92" s="56">
        <f t="shared" si="50"/>
        <v>2.1617194677155207E-3</v>
      </c>
      <c r="R92" s="9">
        <f t="shared" si="51"/>
        <v>1.4999999999999999E-4</v>
      </c>
      <c r="S92" s="9">
        <f t="shared" si="39"/>
        <v>1.1572520844183404E-6</v>
      </c>
      <c r="T92" s="9">
        <f t="shared" si="40"/>
        <v>4.8136742893264604E-10</v>
      </c>
      <c r="U92" s="9">
        <f t="shared" si="41"/>
        <v>1.4884274791558165E-4</v>
      </c>
      <c r="V92" s="102">
        <f t="shared" si="42"/>
        <v>3.2340670652335756E-6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1.270819636021709</v>
      </c>
      <c r="K93" s="55">
        <f t="shared" si="46"/>
        <v>0.56088142669982433</v>
      </c>
      <c r="L93" s="55">
        <f t="shared" si="47"/>
        <v>7.3628207408769127E-4</v>
      </c>
      <c r="M93" s="55">
        <f t="shared" ref="M93:M127" si="52">IF(D93=0,"",1-L93)</f>
        <v>0.99926371792591229</v>
      </c>
      <c r="N93" s="55">
        <f t="shared" si="48"/>
        <v>3.509090713905469E-4</v>
      </c>
      <c r="O93" s="56">
        <f t="shared" ref="O93:O127" si="53">IF(D93=0,"",F93*K93*$J$7/$J$14)</f>
        <v>5.638413867832304E-7</v>
      </c>
      <c r="P93" s="56">
        <f t="shared" si="49"/>
        <v>1.0519051626183965E-5</v>
      </c>
      <c r="Q93" s="56">
        <f t="shared" si="50"/>
        <v>1.002667528644412E-4</v>
      </c>
      <c r="R93" s="9">
        <f>F93*$C$14</f>
        <v>1.4999999999999999E-4</v>
      </c>
      <c r="S93" s="9">
        <f t="shared" si="39"/>
        <v>1.1044231111315368E-7</v>
      </c>
      <c r="T93" s="9">
        <f t="shared" si="40"/>
        <v>8.4132214004973641E-5</v>
      </c>
      <c r="U93" s="9">
        <f t="shared" si="41"/>
        <v>1.4988955768888683E-4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0.3105773051978919</v>
      </c>
      <c r="K107" s="55">
        <f t="shared" si="46"/>
        <v>0.95196141615364127</v>
      </c>
      <c r="L107" s="55">
        <f t="shared" si="47"/>
        <v>1.3694626240613554E-4</v>
      </c>
      <c r="M107" s="55">
        <f t="shared" si="52"/>
        <v>0.99986305373759388</v>
      </c>
      <c r="N107" s="55">
        <f t="shared" si="48"/>
        <v>3.9134057874919912E-5</v>
      </c>
      <c r="O107" s="56">
        <f t="shared" si="53"/>
        <v>9.5698523698033002E-7</v>
      </c>
      <c r="P107" s="56">
        <f t="shared" si="49"/>
        <v>1.9565121234929137E-6</v>
      </c>
      <c r="Q107" s="56">
        <f t="shared" si="50"/>
        <v>1.1181942073991757E-5</v>
      </c>
      <c r="R107" s="9">
        <f>F107*$C$14</f>
        <v>1.4999999999999999E-4</v>
      </c>
      <c r="S107" s="9">
        <f t="shared" ref="S107:S108" si="54">$R107*L107</f>
        <v>2.0541939360920329E-8</v>
      </c>
      <c r="T107" s="9">
        <f t="shared" ref="T107:T108" si="55">R107*K107</f>
        <v>1.4279421242304618E-4</v>
      </c>
      <c r="U107" s="9">
        <f t="shared" ref="U107:U108" si="56">$R107*M107</f>
        <v>1.4997945806063907E-4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1.0376508814998808</v>
      </c>
      <c r="K108" s="55">
        <f t="shared" si="46"/>
        <v>0.73026842364167122</v>
      </c>
      <c r="L108" s="55">
        <f t="shared" si="47"/>
        <v>5.6038556033919285E-4</v>
      </c>
      <c r="M108" s="55">
        <f t="shared" si="52"/>
        <v>0.99943961443966078</v>
      </c>
      <c r="N108" s="55">
        <f t="shared" si="48"/>
        <v>3.084288957327251E-4</v>
      </c>
      <c r="O108" s="56">
        <f t="shared" si="53"/>
        <v>7.3412229592421361E-7</v>
      </c>
      <c r="P108" s="56">
        <f t="shared" si="49"/>
        <v>8.0060683904059543E-6</v>
      </c>
      <c r="Q108" s="56">
        <f t="shared" si="50"/>
        <v>8.8128710215836114E-5</v>
      </c>
      <c r="R108" s="9">
        <f>F108*$C$14</f>
        <v>1.4999999999999999E-4</v>
      </c>
      <c r="S108" s="9">
        <f t="shared" si="54"/>
        <v>8.4057834050878917E-8</v>
      </c>
      <c r="T108" s="9">
        <f t="shared" si="55"/>
        <v>1.0954026354625067E-4</v>
      </c>
      <c r="U108" s="9">
        <f t="shared" si="56"/>
        <v>1.499159421659491E-4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0.91344044901976251</v>
      </c>
      <c r="K114" s="55">
        <f t="shared" si="46"/>
        <v>0.80108103862127489</v>
      </c>
      <c r="L114" s="55">
        <f t="shared" si="47"/>
        <v>4.6181755052136846E-4</v>
      </c>
      <c r="M114" s="55">
        <f t="shared" si="52"/>
        <v>0.99953818244947867</v>
      </c>
      <c r="N114" s="55">
        <f t="shared" si="48"/>
        <v>2.6298379535084053E-4</v>
      </c>
      <c r="O114" s="56">
        <f t="shared" si="53"/>
        <v>8.0530861290884607E-7</v>
      </c>
      <c r="P114" s="56">
        <f t="shared" si="49"/>
        <v>6.597855396427215E-6</v>
      </c>
      <c r="Q114" s="56">
        <f t="shared" si="50"/>
        <v>7.5143486919004285E-5</v>
      </c>
      <c r="R114" s="9">
        <f>F114*$C$14</f>
        <v>1.4999999999999999E-4</v>
      </c>
      <c r="S114" s="9">
        <f t="shared" ref="S114:S116" si="58">$R114*L114</f>
        <v>6.927263257820526E-8</v>
      </c>
      <c r="T114" s="9">
        <f t="shared" ref="T114:T116" si="59">R114*K114</f>
        <v>1.2016215579319122E-4</v>
      </c>
      <c r="U114" s="9">
        <f t="shared" ref="U114:U116" si="60">$R114*M114</f>
        <v>1.499307273674218E-4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0.97331271643662476</v>
      </c>
      <c r="K115" s="55">
        <f t="shared" si="46"/>
        <v>0.67057490804619357</v>
      </c>
      <c r="L115" s="55">
        <f t="shared" si="47"/>
        <v>4.4372464167239794E-4</v>
      </c>
      <c r="M115" s="55">
        <f t="shared" si="52"/>
        <v>0.99955627535832758</v>
      </c>
      <c r="N115" s="55">
        <f t="shared" si="48"/>
        <v>1.2582496992596454E-4</v>
      </c>
      <c r="O115" s="56">
        <f t="shared" si="53"/>
        <v>6.7411375755388592E-7</v>
      </c>
      <c r="P115" s="56">
        <f t="shared" si="49"/>
        <v>6.3393671771045015E-6</v>
      </c>
      <c r="Q115" s="56">
        <f t="shared" si="50"/>
        <v>3.5952507906816957E-5</v>
      </c>
      <c r="R115" s="9">
        <f>F115*$C$14</f>
        <v>1.4999999999999999E-4</v>
      </c>
      <c r="S115" s="9">
        <f t="shared" si="58"/>
        <v>6.6558696250859689E-8</v>
      </c>
      <c r="T115" s="9">
        <f t="shared" si="59"/>
        <v>1.0058623620692903E-4</v>
      </c>
      <c r="U115" s="9">
        <f t="shared" si="60"/>
        <v>1.4993344130374912E-4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7.3650487553540506E-2</v>
      </c>
      <c r="K116" s="55">
        <f t="shared" si="46"/>
        <v>0.98152790876809326</v>
      </c>
      <c r="L116" s="55">
        <f t="shared" si="47"/>
        <v>8.1828892364487103E-5</v>
      </c>
      <c r="M116" s="55">
        <f t="shared" si="52"/>
        <v>0.99991817110763548</v>
      </c>
      <c r="N116" s="55">
        <f t="shared" si="48"/>
        <v>4.7180353376806538E-6</v>
      </c>
      <c r="O116" s="56">
        <f t="shared" si="53"/>
        <v>9.8670776192849645E-7</v>
      </c>
      <c r="P116" s="56">
        <f t="shared" si="49"/>
        <v>1.1690660055278944E-6</v>
      </c>
      <c r="Q116" s="56">
        <f t="shared" si="50"/>
        <v>1.3481044571869404E-6</v>
      </c>
      <c r="R116" s="9">
        <f>F116*$C$14</f>
        <v>1.4999999999999999E-4</v>
      </c>
      <c r="S116" s="9">
        <f t="shared" si="58"/>
        <v>1.2274333854673065E-8</v>
      </c>
      <c r="T116" s="9">
        <f t="shared" si="59"/>
        <v>1.4722918631521399E-4</v>
      </c>
      <c r="U116" s="9">
        <f t="shared" si="60"/>
        <v>1.4998772566614531E-4</v>
      </c>
      <c r="V116" s="102">
        <f t="shared" si="61"/>
        <v>0.98160823268250952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3.1029128175372134</v>
      </c>
      <c r="K119" s="55">
        <f t="shared" si="46"/>
        <v>3.5591266157381653E-2</v>
      </c>
      <c r="L119" s="55">
        <f t="shared" si="47"/>
        <v>3.1740209431201068E-3</v>
      </c>
      <c r="M119" s="55">
        <f t="shared" si="52"/>
        <v>0.99682597905687986</v>
      </c>
      <c r="N119" s="55">
        <f t="shared" si="48"/>
        <v>2.5753720307683261E-3</v>
      </c>
      <c r="O119" s="56">
        <f t="shared" si="53"/>
        <v>3.5779093249042707E-8</v>
      </c>
      <c r="P119" s="56">
        <f t="shared" si="49"/>
        <v>4.5346330351230382E-5</v>
      </c>
      <c r="Q119" s="56">
        <f t="shared" si="50"/>
        <v>7.3587208766013701E-4</v>
      </c>
      <c r="R119" s="9">
        <f>F119*$C$14</f>
        <v>1.4999999999999999E-4</v>
      </c>
      <c r="S119" s="9">
        <f t="shared" ref="S119:S121" si="62">$R119*L119</f>
        <v>4.7610314146801598E-7</v>
      </c>
      <c r="T119" s="9">
        <f t="shared" ref="T119:T121" si="63">R119*K119</f>
        <v>5.3386899236072474E-6</v>
      </c>
      <c r="U119" s="9">
        <f t="shared" ref="U119:U121" si="64">$R119*M119</f>
        <v>1.4952389685853198E-4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1.186174744063935</v>
      </c>
      <c r="K120" s="55">
        <f t="shared" si="46"/>
        <v>0.63875607521138533</v>
      </c>
      <c r="L120" s="55">
        <f t="shared" si="47"/>
        <v>6.9002260761436137E-4</v>
      </c>
      <c r="M120" s="55">
        <f t="shared" si="52"/>
        <v>0.99930997739238558</v>
      </c>
      <c r="N120" s="55">
        <f t="shared" si="48"/>
        <v>3.6965329375725301E-4</v>
      </c>
      <c r="O120" s="56">
        <f t="shared" si="53"/>
        <v>6.4212700602787446E-7</v>
      </c>
      <c r="P120" s="56">
        <f t="shared" si="49"/>
        <v>9.8581558456699189E-6</v>
      </c>
      <c r="Q120" s="56">
        <f t="shared" si="50"/>
        <v>1.056226198536617E-4</v>
      </c>
      <c r="R120" s="9">
        <f>F120*$C$14</f>
        <v>1.4999999999999999E-4</v>
      </c>
      <c r="S120" s="9">
        <f t="shared" si="62"/>
        <v>1.0350339114215419E-7</v>
      </c>
      <c r="T120" s="9">
        <f t="shared" si="63"/>
        <v>9.5813411281707786E-5</v>
      </c>
      <c r="U120" s="9">
        <f t="shared" si="64"/>
        <v>1.4989649660885783E-4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3.5462712425453593</v>
      </c>
      <c r="K121" s="55">
        <f t="shared" si="46"/>
        <v>1.0053377589346902E-2</v>
      </c>
      <c r="L121" s="55">
        <f t="shared" si="47"/>
        <v>2.4884949803613918E-3</v>
      </c>
      <c r="M121" s="55">
        <f t="shared" si="52"/>
        <v>0.99751150501963859</v>
      </c>
      <c r="N121" s="55">
        <f t="shared" si="48"/>
        <v>1.7942978256100034E-3</v>
      </c>
      <c r="O121" s="56">
        <f t="shared" si="53"/>
        <v>1.0106432646889041E-8</v>
      </c>
      <c r="P121" s="56">
        <f t="shared" si="49"/>
        <v>3.5552416785857415E-5</v>
      </c>
      <c r="Q121" s="56">
        <f t="shared" si="50"/>
        <v>5.1269240755937029E-4</v>
      </c>
      <c r="R121" s="9">
        <f>F121*$C$14</f>
        <v>1.4999999999999999E-4</v>
      </c>
      <c r="S121" s="9">
        <f t="shared" si="62"/>
        <v>3.7327424705420874E-7</v>
      </c>
      <c r="T121" s="9">
        <f t="shared" si="63"/>
        <v>1.508006638402035E-6</v>
      </c>
      <c r="U121" s="9">
        <f t="shared" si="64"/>
        <v>1.4962672575294578E-4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2.2472155850103044</v>
      </c>
      <c r="K124" s="55">
        <f t="shared" si="68"/>
        <v>0.20681305491791735</v>
      </c>
      <c r="L124" s="55">
        <f t="shared" si="69"/>
        <v>2.5712663544145489E-3</v>
      </c>
      <c r="M124" s="55">
        <f t="shared" si="52"/>
        <v>0.99742873364558549</v>
      </c>
      <c r="N124" s="55">
        <f t="shared" si="70"/>
        <v>2.0624597715108097E-3</v>
      </c>
      <c r="O124" s="56">
        <f t="shared" si="53"/>
        <v>2.0790447702273941E-7</v>
      </c>
      <c r="P124" s="56">
        <f t="shared" si="71"/>
        <v>3.6734947757990846E-5</v>
      </c>
      <c r="Q124" s="56">
        <f t="shared" si="72"/>
        <v>5.8931546962709012E-4</v>
      </c>
      <c r="R124" s="9">
        <f>F124*$C$14</f>
        <v>1.4999999999999999E-4</v>
      </c>
      <c r="S124" s="9">
        <f t="shared" ref="S124:S127" si="73">$R124*L124</f>
        <v>3.8568995316218229E-7</v>
      </c>
      <c r="T124" s="9">
        <f t="shared" ref="T124:T127" si="74">R124*K124</f>
        <v>3.1021958237687596E-5</v>
      </c>
      <c r="U124" s="9">
        <f t="shared" ref="U124:U127" si="75">$R124*M124</f>
        <v>1.4961431004683782E-4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1.5520519557651959</v>
      </c>
      <c r="K126" s="55">
        <f t="shared" si="68"/>
        <v>0.45117717778830835</v>
      </c>
      <c r="L126" s="55">
        <f t="shared" si="69"/>
        <v>1.1317554936651696E-3</v>
      </c>
      <c r="M126" s="55">
        <f t="shared" si="52"/>
        <v>0.99886824450633482</v>
      </c>
      <c r="N126" s="55">
        <f t="shared" si="70"/>
        <v>6.8980233456086924E-4</v>
      </c>
      <c r="O126" s="56">
        <f t="shared" si="53"/>
        <v>4.5355819162336251E-7</v>
      </c>
      <c r="P126" s="56">
        <f t="shared" si="71"/>
        <v>1.6169067379281812E-5</v>
      </c>
      <c r="Q126" s="56">
        <f t="shared" si="72"/>
        <v>1.9710017734979671E-4</v>
      </c>
      <c r="R126" s="9">
        <f>F126*$C$14</f>
        <v>1.4999999999999999E-4</v>
      </c>
      <c r="S126" s="9">
        <f t="shared" si="73"/>
        <v>1.6976332404977543E-7</v>
      </c>
      <c r="T126" s="9">
        <f t="shared" si="74"/>
        <v>6.7676576668246243E-5</v>
      </c>
      <c r="U126" s="9">
        <f t="shared" si="75"/>
        <v>1.4983023667595021E-4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1.0401926303760755E-2</v>
      </c>
      <c r="K127" s="55">
        <f t="shared" si="68"/>
        <v>0.9934996771902902</v>
      </c>
      <c r="L127" s="55">
        <f t="shared" si="69"/>
        <v>7.1601676127471442E-5</v>
      </c>
      <c r="M127" s="55">
        <f t="shared" si="52"/>
        <v>0.99992839832387248</v>
      </c>
      <c r="N127" s="55">
        <f t="shared" si="70"/>
        <v>4.1538448087383915E-6</v>
      </c>
      <c r="O127" s="56">
        <f t="shared" si="53"/>
        <v>9.9874270940239771E-7</v>
      </c>
      <c r="P127" s="56">
        <f t="shared" si="71"/>
        <v>1.0229526892114338E-6</v>
      </c>
      <c r="Q127" s="56">
        <f t="shared" si="72"/>
        <v>1.1868958793928579E-6</v>
      </c>
      <c r="R127" s="9">
        <f>F127*$C$14</f>
        <v>1.4999999999999999E-4</v>
      </c>
      <c r="S127" s="9">
        <f t="shared" si="73"/>
        <v>1.0740251419120715E-8</v>
      </c>
      <c r="T127" s="9">
        <f t="shared" si="74"/>
        <v>1.4902495157854352E-4</v>
      </c>
      <c r="U127" s="9">
        <f t="shared" si="75"/>
        <v>1.4998925974858086E-4</v>
      </c>
      <c r="V127" s="102">
        <f t="shared" si="76"/>
        <v>0.99357081852624807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0.26394098838273811</v>
      </c>
      <c r="K130" s="55">
        <f t="shared" si="79"/>
        <v>0.9485351334597627</v>
      </c>
      <c r="L130" s="55">
        <f t="shared" si="80"/>
        <v>1.2255977140506369E-4</v>
      </c>
      <c r="M130" s="55">
        <f t="shared" si="81"/>
        <v>0.99987744022859493</v>
      </c>
      <c r="N130" s="55">
        <f t="shared" si="82"/>
        <v>2.0147861566387581E-5</v>
      </c>
      <c r="O130" s="56">
        <f t="shared" si="83"/>
        <v>9.5354087263937677E-7</v>
      </c>
      <c r="P130" s="56">
        <f t="shared" si="84"/>
        <v>1.750976436986601E-6</v>
      </c>
      <c r="Q130" s="56">
        <f t="shared" si="85"/>
        <v>5.7569348333420644E-6</v>
      </c>
      <c r="R130" s="9">
        <f>F130*$C$14</f>
        <v>1.4999999999999999E-4</v>
      </c>
      <c r="S130" s="9">
        <f t="shared" ref="S130:S131" si="86">$R130*L130</f>
        <v>1.8383965710759554E-8</v>
      </c>
      <c r="T130" s="9">
        <f t="shared" ref="T130:T131" si="87">R130*K130</f>
        <v>1.4228027001896438E-4</v>
      </c>
      <c r="U130" s="9">
        <f t="shared" ref="U130:U131" si="88">$R130*M130</f>
        <v>1.4998161603428921E-4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-1.6017347337335706E-2</v>
      </c>
      <c r="K131" s="55">
        <f t="shared" si="79"/>
        <v>0.9960899425227322</v>
      </c>
      <c r="L131" s="55">
        <f t="shared" si="80"/>
        <v>6.7551460001572956E-5</v>
      </c>
      <c r="M131" s="55">
        <f t="shared" si="81"/>
        <v>0.99993244853999841</v>
      </c>
      <c r="N131" s="55">
        <f t="shared" si="82"/>
        <v>1.9997103371308105E-6</v>
      </c>
      <c r="O131" s="56">
        <f t="shared" si="83"/>
        <v>1.0013466444368918E-6</v>
      </c>
      <c r="P131" s="56">
        <f t="shared" si="84"/>
        <v>9.6508840862532945E-7</v>
      </c>
      <c r="Q131" s="56">
        <f t="shared" si="85"/>
        <v>5.7138580481554546E-7</v>
      </c>
      <c r="R131" s="9">
        <f>F131*$C$14</f>
        <v>1.4999999999999999E-4</v>
      </c>
      <c r="S131" s="9">
        <f t="shared" si="86"/>
        <v>1.0132719000235942E-8</v>
      </c>
      <c r="T131" s="9">
        <f t="shared" si="87"/>
        <v>1.4941349137840982E-4</v>
      </c>
      <c r="U131" s="9">
        <f t="shared" si="88"/>
        <v>1.4998986728099976E-4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2024-10-28T22:41:26Z</dcterms:modified>
</cp:coreProperties>
</file>