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EC6DD1BD-8BC0-4792-95FB-BE9D48D7BCA1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U130" i="4" s="1"/>
  <c r="V127" i="4"/>
  <c r="U127" i="4"/>
  <c r="R127" i="4"/>
  <c r="T127" i="4" s="1"/>
  <c r="V126" i="4"/>
  <c r="R126" i="4"/>
  <c r="V124" i="4"/>
  <c r="U124" i="4"/>
  <c r="T124" i="4"/>
  <c r="S124" i="4"/>
  <c r="R124" i="4"/>
  <c r="V121" i="4"/>
  <c r="R121" i="4"/>
  <c r="U121" i="4" s="1"/>
  <c r="V120" i="4"/>
  <c r="R120" i="4"/>
  <c r="T120" i="4" s="1"/>
  <c r="V119" i="4"/>
  <c r="R119" i="4"/>
  <c r="U119" i="4" s="1"/>
  <c r="V116" i="4"/>
  <c r="R116" i="4"/>
  <c r="V115" i="4"/>
  <c r="U115" i="4"/>
  <c r="T115" i="4"/>
  <c r="S115" i="4"/>
  <c r="R115" i="4"/>
  <c r="V114" i="4"/>
  <c r="R114" i="4"/>
  <c r="V108" i="4"/>
  <c r="R108" i="4"/>
  <c r="U108" i="4" s="1"/>
  <c r="V107" i="4"/>
  <c r="R107" i="4"/>
  <c r="U107" i="4" s="1"/>
  <c r="V93" i="4"/>
  <c r="R93" i="4"/>
  <c r="U93" i="4" s="1"/>
  <c r="V92" i="4"/>
  <c r="U92" i="4"/>
  <c r="R92" i="4"/>
  <c r="T92" i="4" s="1"/>
  <c r="V91" i="4"/>
  <c r="R91" i="4"/>
  <c r="V90" i="4"/>
  <c r="U90" i="4"/>
  <c r="T90" i="4"/>
  <c r="S90" i="4"/>
  <c r="R90" i="4"/>
  <c r="V89" i="4"/>
  <c r="R89" i="4"/>
  <c r="U89" i="4" s="1"/>
  <c r="V88" i="4"/>
  <c r="R88" i="4"/>
  <c r="U88" i="4" s="1"/>
  <c r="V86" i="4"/>
  <c r="R86" i="4"/>
  <c r="U86" i="4" s="1"/>
  <c r="V85" i="4"/>
  <c r="R85" i="4"/>
  <c r="U85" i="4" s="1"/>
  <c r="V84" i="4"/>
  <c r="U84" i="4"/>
  <c r="T84" i="4"/>
  <c r="S84" i="4"/>
  <c r="R84" i="4"/>
  <c r="V83" i="4"/>
  <c r="R83" i="4"/>
  <c r="V82" i="4"/>
  <c r="R82" i="4"/>
  <c r="U82" i="4" s="1"/>
  <c r="V81" i="4"/>
  <c r="R81" i="4"/>
  <c r="U81" i="4" s="1"/>
  <c r="V80" i="4"/>
  <c r="R80" i="4"/>
  <c r="U80" i="4" s="1"/>
  <c r="V79" i="4"/>
  <c r="U79" i="4"/>
  <c r="R79" i="4"/>
  <c r="T79" i="4" s="1"/>
  <c r="V78" i="4"/>
  <c r="S78" i="4"/>
  <c r="R78" i="4"/>
  <c r="V77" i="4"/>
  <c r="U77" i="4"/>
  <c r="T77" i="4"/>
  <c r="S77" i="4"/>
  <c r="R77" i="4"/>
  <c r="V76" i="4"/>
  <c r="R76" i="4"/>
  <c r="U76" i="4" s="1"/>
  <c r="V75" i="4"/>
  <c r="U75" i="4"/>
  <c r="T75" i="4"/>
  <c r="S75" i="4"/>
  <c r="R75" i="4"/>
  <c r="V74" i="4"/>
  <c r="R74" i="4"/>
  <c r="U74" i="4" s="1"/>
  <c r="V73" i="4"/>
  <c r="R73" i="4"/>
  <c r="U73" i="4" s="1"/>
  <c r="V72" i="4"/>
  <c r="U72" i="4"/>
  <c r="T72" i="4"/>
  <c r="S72" i="4"/>
  <c r="R72" i="4"/>
  <c r="V71" i="4"/>
  <c r="R71" i="4"/>
  <c r="V70" i="4"/>
  <c r="R70" i="4"/>
  <c r="U70" i="4" s="1"/>
  <c r="V69" i="4"/>
  <c r="R69" i="4"/>
  <c r="U69" i="4" s="1"/>
  <c r="V68" i="4"/>
  <c r="U68" i="4"/>
  <c r="T68" i="4"/>
  <c r="S68" i="4"/>
  <c r="R68" i="4"/>
  <c r="V65" i="4"/>
  <c r="U65" i="4"/>
  <c r="R65" i="4"/>
  <c r="T65" i="4" s="1"/>
  <c r="V64" i="4"/>
  <c r="R64" i="4"/>
  <c r="V63" i="4"/>
  <c r="U63" i="4"/>
  <c r="T63" i="4"/>
  <c r="S63" i="4"/>
  <c r="R63" i="4"/>
  <c r="V62" i="4"/>
  <c r="R62" i="4"/>
  <c r="U62" i="4" s="1"/>
  <c r="V61" i="4"/>
  <c r="R61" i="4"/>
  <c r="U61" i="4" s="1"/>
  <c r="V60" i="4"/>
  <c r="R60" i="4"/>
  <c r="U60" i="4" s="1"/>
  <c r="V58" i="4"/>
  <c r="T58" i="4"/>
  <c r="S58" i="4"/>
  <c r="R58" i="4"/>
  <c r="U58" i="4" s="1"/>
  <c r="V57" i="4"/>
  <c r="U57" i="4"/>
  <c r="T57" i="4"/>
  <c r="S57" i="4"/>
  <c r="R57" i="4"/>
  <c r="V49" i="4"/>
  <c r="R49" i="4"/>
  <c r="V48" i="4"/>
  <c r="U48" i="4"/>
  <c r="T48" i="4"/>
  <c r="S48" i="4"/>
  <c r="R48" i="4"/>
  <c r="V47" i="4"/>
  <c r="R47" i="4"/>
  <c r="U47" i="4" s="1"/>
  <c r="V46" i="4"/>
  <c r="R46" i="4"/>
  <c r="U46" i="4" s="1"/>
  <c r="V45" i="4"/>
  <c r="U45" i="4"/>
  <c r="R45" i="4"/>
  <c r="T45" i="4" s="1"/>
  <c r="V44" i="4"/>
  <c r="R44" i="4"/>
  <c r="V43" i="4"/>
  <c r="U43" i="4"/>
  <c r="T43" i="4"/>
  <c r="S43" i="4"/>
  <c r="R43" i="4"/>
  <c r="V42" i="4"/>
  <c r="R42" i="4"/>
  <c r="U42" i="4" s="1"/>
  <c r="V41" i="4"/>
  <c r="U41" i="4"/>
  <c r="T41" i="4"/>
  <c r="R41" i="4"/>
  <c r="S41" i="4" s="1"/>
  <c r="V40" i="4"/>
  <c r="R40" i="4"/>
  <c r="U40" i="4" s="1"/>
  <c r="V39" i="4"/>
  <c r="R39" i="4"/>
  <c r="U39" i="4" s="1"/>
  <c r="V38" i="4"/>
  <c r="U38" i="4"/>
  <c r="T38" i="4"/>
  <c r="S38" i="4"/>
  <c r="R38" i="4"/>
  <c r="V37" i="4"/>
  <c r="R37" i="4"/>
  <c r="V36" i="4"/>
  <c r="R36" i="4"/>
  <c r="U36" i="4" s="1"/>
  <c r="V35" i="4"/>
  <c r="R35" i="4"/>
  <c r="U35" i="4" s="1"/>
  <c r="V34" i="4"/>
  <c r="U34" i="4"/>
  <c r="R34" i="4"/>
  <c r="T34" i="4" s="1"/>
  <c r="V33" i="4"/>
  <c r="U33" i="4"/>
  <c r="R33" i="4"/>
  <c r="T33" i="4" s="1"/>
  <c r="V32" i="4"/>
  <c r="R32" i="4"/>
  <c r="V31" i="4"/>
  <c r="U31" i="4"/>
  <c r="T31" i="4"/>
  <c r="S31" i="4"/>
  <c r="R31" i="4"/>
  <c r="V30" i="4"/>
  <c r="R30" i="4"/>
  <c r="U30" i="4" s="1"/>
  <c r="V29" i="4"/>
  <c r="R29" i="4"/>
  <c r="U29" i="4" s="1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114" i="4" l="1"/>
  <c r="T114" i="4"/>
  <c r="S114" i="4"/>
  <c r="U126" i="4"/>
  <c r="T126" i="4"/>
  <c r="S120" i="4"/>
  <c r="U120" i="4"/>
  <c r="S82" i="4"/>
  <c r="S85" i="4"/>
  <c r="S93" i="4"/>
  <c r="S126" i="4"/>
  <c r="U32" i="4"/>
  <c r="T32" i="4"/>
  <c r="T82" i="4"/>
  <c r="T85" i="4"/>
  <c r="T93" i="4"/>
  <c r="S29" i="4"/>
  <c r="S32" i="4"/>
  <c r="U49" i="4"/>
  <c r="T49" i="4"/>
  <c r="S49" i="4"/>
  <c r="T29" i="4"/>
  <c r="S36" i="4"/>
  <c r="S39" i="4"/>
  <c r="S46" i="4"/>
  <c r="U64" i="4"/>
  <c r="T64" i="4"/>
  <c r="T36" i="4"/>
  <c r="T39" i="4"/>
  <c r="T46" i="4"/>
  <c r="S61" i="4"/>
  <c r="S64" i="4"/>
  <c r="U83" i="4"/>
  <c r="T83" i="4"/>
  <c r="S83" i="4"/>
  <c r="T61" i="4"/>
  <c r="S70" i="4"/>
  <c r="S73" i="4"/>
  <c r="S80" i="4"/>
  <c r="U91" i="4"/>
  <c r="T91" i="4"/>
  <c r="T70" i="4"/>
  <c r="T73" i="4"/>
  <c r="T80" i="4"/>
  <c r="S88" i="4"/>
  <c r="S91" i="4"/>
  <c r="U116" i="4"/>
  <c r="T116" i="4"/>
  <c r="S130" i="4"/>
  <c r="U37" i="4"/>
  <c r="T37" i="4"/>
  <c r="S37" i="4"/>
  <c r="T88" i="4"/>
  <c r="S108" i="4"/>
  <c r="S116" i="4"/>
  <c r="T130" i="4"/>
  <c r="S34" i="4"/>
  <c r="U44" i="4"/>
  <c r="T44" i="4"/>
  <c r="T108" i="4"/>
  <c r="S44" i="4"/>
  <c r="U71" i="4"/>
  <c r="T71" i="4"/>
  <c r="S71" i="4"/>
  <c r="U78" i="4"/>
  <c r="T78" i="4"/>
  <c r="S121" i="4"/>
  <c r="S30" i="4"/>
  <c r="S42" i="4"/>
  <c r="S62" i="4"/>
  <c r="S76" i="4"/>
  <c r="S89" i="4"/>
  <c r="T30" i="4"/>
  <c r="S35" i="4"/>
  <c r="T42" i="4"/>
  <c r="S47" i="4"/>
  <c r="T62" i="4"/>
  <c r="S69" i="4"/>
  <c r="T76" i="4"/>
  <c r="S81" i="4"/>
  <c r="T89" i="4"/>
  <c r="S107" i="4"/>
  <c r="T121" i="4"/>
  <c r="S131" i="4"/>
  <c r="S28" i="4"/>
  <c r="T35" i="4"/>
  <c r="S40" i="4"/>
  <c r="T47" i="4"/>
  <c r="S60" i="4"/>
  <c r="T69" i="4"/>
  <c r="S74" i="4"/>
  <c r="T81" i="4"/>
  <c r="S86" i="4"/>
  <c r="T107" i="4"/>
  <c r="S119" i="4"/>
  <c r="T131" i="4"/>
  <c r="T28" i="4"/>
  <c r="S33" i="4"/>
  <c r="T40" i="4"/>
  <c r="S45" i="4"/>
  <c r="T60" i="4"/>
  <c r="S65" i="4"/>
  <c r="T74" i="4"/>
  <c r="S79" i="4"/>
  <c r="T86" i="4"/>
  <c r="S92" i="4"/>
  <c r="T119" i="4"/>
  <c r="S127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4" i="4"/>
  <c r="M125" i="4"/>
  <c r="J16" i="4"/>
  <c r="J15" i="4"/>
  <c r="J87" i="4"/>
  <c r="K87" i="4" s="1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 s="1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 s="1"/>
  <c r="J113" i="4"/>
  <c r="K113" i="4"/>
  <c r="J97" i="4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J78" i="4"/>
  <c r="L78" i="4" s="1"/>
  <c r="K78" i="4"/>
  <c r="J115" i="4"/>
  <c r="K115" i="4"/>
  <c r="O115" i="4" s="1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/>
  <c r="J77" i="4"/>
  <c r="K77" i="4" s="1"/>
  <c r="J112" i="4"/>
  <c r="K112" i="4"/>
  <c r="J96" i="4"/>
  <c r="K96" i="4" s="1"/>
  <c r="J80" i="4"/>
  <c r="K80" i="4" s="1"/>
  <c r="J106" i="4"/>
  <c r="K106" i="4"/>
  <c r="J127" i="4"/>
  <c r="K127" i="4"/>
  <c r="J111" i="4"/>
  <c r="K111" i="4"/>
  <c r="J95" i="4"/>
  <c r="K95" i="4" s="1"/>
  <c r="J79" i="4"/>
  <c r="K79" i="4" s="1"/>
  <c r="J126" i="4"/>
  <c r="K126" i="4" s="1"/>
  <c r="O126" i="4" s="1"/>
  <c r="P126" i="4" s="1"/>
  <c r="J94" i="4"/>
  <c r="K94" i="4"/>
  <c r="J121" i="4"/>
  <c r="L121" i="4" s="1"/>
  <c r="M121" i="4" s="1"/>
  <c r="K121" i="4"/>
  <c r="O121" i="4" s="1"/>
  <c r="P121" i="4" s="1"/>
  <c r="J105" i="4"/>
  <c r="K105" i="4"/>
  <c r="J89" i="4"/>
  <c r="K89" i="4" s="1"/>
  <c r="J73" i="4"/>
  <c r="K73" i="4" s="1"/>
  <c r="J124" i="4"/>
  <c r="K124" i="4"/>
  <c r="J108" i="4"/>
  <c r="K108" i="4" s="1"/>
  <c r="O108" i="4" s="1"/>
  <c r="P108" i="4" s="1"/>
  <c r="J92" i="4"/>
  <c r="K92" i="4"/>
  <c r="J76" i="4"/>
  <c r="L76" i="4" s="1"/>
  <c r="K76" i="4"/>
  <c r="J98" i="4"/>
  <c r="K98" i="4"/>
  <c r="J123" i="4"/>
  <c r="K123" i="4"/>
  <c r="J107" i="4"/>
  <c r="K107" i="4"/>
  <c r="O107" i="4" s="1"/>
  <c r="P107" i="4" s="1"/>
  <c r="J91" i="4"/>
  <c r="K91" i="4" s="1"/>
  <c r="O91" i="4" s="1"/>
  <c r="P91" i="4" s="1"/>
  <c r="J75" i="4"/>
  <c r="K75" i="4"/>
  <c r="P100" i="4"/>
  <c r="O112" i="4"/>
  <c r="P112" i="4"/>
  <c r="O98" i="4"/>
  <c r="P98" i="4"/>
  <c r="O105" i="4"/>
  <c r="P105" i="4"/>
  <c r="O111" i="4"/>
  <c r="P111" i="4"/>
  <c r="O104" i="4"/>
  <c r="P104" i="4"/>
  <c r="O124" i="4"/>
  <c r="P124" i="4"/>
  <c r="O127" i="4"/>
  <c r="P127" i="4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4" i="4"/>
  <c r="P114" i="4" s="1"/>
  <c r="O113" i="4"/>
  <c r="P113" i="4"/>
  <c r="O71" i="4"/>
  <c r="P71" i="4" s="1"/>
  <c r="O103" i="4"/>
  <c r="P103" i="4"/>
  <c r="O122" i="4"/>
  <c r="P122" i="4"/>
  <c r="O123" i="4"/>
  <c r="P123" i="4"/>
  <c r="O94" i="4"/>
  <c r="P94" i="4"/>
  <c r="O125" i="4"/>
  <c r="P125" i="4"/>
  <c r="O99" i="4"/>
  <c r="P99" i="4"/>
  <c r="O101" i="4"/>
  <c r="P101" i="4"/>
  <c r="I76" i="4"/>
  <c r="I77" i="4"/>
  <c r="I81" i="4"/>
  <c r="I89" i="4"/>
  <c r="N89" i="4" s="1"/>
  <c r="Q89" i="4" s="1"/>
  <c r="I90" i="4"/>
  <c r="L90" i="4" s="1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L107" i="4" s="1"/>
  <c r="M107" i="4" s="1"/>
  <c r="I109" i="4"/>
  <c r="I110" i="4"/>
  <c r="I117" i="4"/>
  <c r="I124" i="4"/>
  <c r="I72" i="4"/>
  <c r="I106" i="4"/>
  <c r="I71" i="4"/>
  <c r="L71" i="4" s="1"/>
  <c r="M71" i="4" s="1"/>
  <c r="I75" i="4"/>
  <c r="N75" i="4" s="1"/>
  <c r="Q75" i="4" s="1"/>
  <c r="I80" i="4"/>
  <c r="I83" i="4"/>
  <c r="L83" i="4" s="1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I78" i="4"/>
  <c r="I82" i="4"/>
  <c r="L82" i="4" s="1"/>
  <c r="I85" i="4"/>
  <c r="N85" i="4" s="1"/>
  <c r="Q85" i="4" s="1"/>
  <c r="I93" i="4"/>
  <c r="L93" i="4" s="1"/>
  <c r="I112" i="4"/>
  <c r="I114" i="4"/>
  <c r="I121" i="4"/>
  <c r="I122" i="4"/>
  <c r="I84" i="4"/>
  <c r="L84" i="4" s="1"/>
  <c r="I87" i="4"/>
  <c r="I91" i="4"/>
  <c r="L91" i="4" s="1"/>
  <c r="M91" i="4" s="1"/>
  <c r="I97" i="4"/>
  <c r="L97" i="4" s="1"/>
  <c r="I105" i="4"/>
  <c r="I116" i="4"/>
  <c r="I126" i="4"/>
  <c r="N126" i="4" s="1"/>
  <c r="Q126" i="4" s="1"/>
  <c r="L105" i="4"/>
  <c r="N105" i="4"/>
  <c r="Q105" i="4"/>
  <c r="N121" i="4"/>
  <c r="Q121" i="4" s="1"/>
  <c r="L85" i="4"/>
  <c r="L73" i="4"/>
  <c r="N101" i="4"/>
  <c r="Q101" i="4"/>
  <c r="L101" i="4"/>
  <c r="L75" i="4"/>
  <c r="L106" i="4"/>
  <c r="N106" i="4"/>
  <c r="Q106" i="4"/>
  <c r="L124" i="4"/>
  <c r="N124" i="4"/>
  <c r="Q124" i="4"/>
  <c r="N107" i="4"/>
  <c r="Q107" i="4"/>
  <c r="N79" i="4"/>
  <c r="Q79" i="4" s="1"/>
  <c r="L79" i="4"/>
  <c r="N119" i="4"/>
  <c r="Q119" i="4" s="1"/>
  <c r="L119" i="4"/>
  <c r="M119" i="4" s="1"/>
  <c r="N108" i="4"/>
  <c r="Q108" i="4" s="1"/>
  <c r="L108" i="4"/>
  <c r="M108" i="4" s="1"/>
  <c r="L96" i="4"/>
  <c r="N96" i="4"/>
  <c r="Q96" i="4" s="1"/>
  <c r="N77" i="4"/>
  <c r="Q77" i="4"/>
  <c r="L77" i="4"/>
  <c r="N114" i="4"/>
  <c r="Q114" i="4" s="1"/>
  <c r="L114" i="4"/>
  <c r="M114" i="4" s="1"/>
  <c r="N98" i="4"/>
  <c r="Q98" i="4"/>
  <c r="L98" i="4"/>
  <c r="L72" i="4"/>
  <c r="N72" i="4"/>
  <c r="Q72" i="4" s="1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N76" i="4"/>
  <c r="Q76" i="4" s="1"/>
  <c r="L126" i="4"/>
  <c r="M126" i="4" s="1"/>
  <c r="N91" i="4"/>
  <c r="Q91" i="4" s="1"/>
  <c r="L112" i="4"/>
  <c r="N112" i="4"/>
  <c r="Q112" i="4"/>
  <c r="N78" i="4"/>
  <c r="Q78" i="4" s="1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116" i="4"/>
  <c r="Q116" i="4"/>
  <c r="L116" i="4"/>
  <c r="M116" i="4" s="1"/>
  <c r="N87" i="4"/>
  <c r="Q87" i="4" s="1"/>
  <c r="L87" i="4"/>
  <c r="N122" i="4"/>
  <c r="Q122" i="4"/>
  <c r="L122" i="4"/>
  <c r="N74" i="4"/>
  <c r="Q74" i="4"/>
  <c r="L74" i="4"/>
  <c r="N118" i="4"/>
  <c r="Q118" i="4"/>
  <c r="L118" i="4"/>
  <c r="L94" i="4"/>
  <c r="N94" i="4"/>
  <c r="Q94" i="4"/>
  <c r="L80" i="4"/>
  <c r="N80" i="4"/>
  <c r="Q80" i="4" s="1"/>
  <c r="N109" i="4"/>
  <c r="Q109" i="4"/>
  <c r="L109" i="4"/>
  <c r="L92" i="4"/>
  <c r="N92" i="4"/>
  <c r="Q92" i="4" s="1"/>
  <c r="N120" i="4"/>
  <c r="Q120" i="4"/>
  <c r="L120" i="4"/>
  <c r="M120" i="4" s="1"/>
  <c r="N111" i="4"/>
  <c r="Q111" i="4"/>
  <c r="L111" i="4"/>
  <c r="N99" i="4"/>
  <c r="Q99" i="4"/>
  <c r="L99" i="4"/>
  <c r="L81" i="4"/>
  <c r="N81" i="4"/>
  <c r="Q81" i="4" s="1"/>
  <c r="O77" i="4" l="1"/>
  <c r="P77" i="4" s="1"/>
  <c r="M78" i="4"/>
  <c r="O82" i="4"/>
  <c r="P82" i="4" s="1"/>
  <c r="O72" i="4"/>
  <c r="P72" i="4" s="1"/>
  <c r="N71" i="4"/>
  <c r="Q71" i="4" s="1"/>
  <c r="M76" i="4"/>
  <c r="N127" i="4"/>
  <c r="Q127" i="4" s="1"/>
  <c r="N86" i="4"/>
  <c r="Q86" i="4" s="1"/>
  <c r="M84" i="4"/>
  <c r="O92" i="4"/>
  <c r="P92" i="4" s="1"/>
  <c r="O80" i="4"/>
  <c r="P80" i="4" s="1"/>
  <c r="O74" i="4"/>
  <c r="P74" i="4" s="1"/>
  <c r="L89" i="4"/>
  <c r="O96" i="4"/>
  <c r="P96" i="4" s="1"/>
  <c r="M96" i="4"/>
  <c r="M92" i="4"/>
  <c r="M74" i="4"/>
  <c r="O84" i="4"/>
  <c r="P84" i="4" s="1"/>
  <c r="M81" i="4"/>
  <c r="N90" i="4"/>
  <c r="Q90" i="4" s="1"/>
  <c r="O78" i="4"/>
  <c r="P78" i="4" s="1"/>
  <c r="O83" i="4"/>
  <c r="P83" i="4" s="1"/>
  <c r="M85" i="4"/>
  <c r="O79" i="4"/>
  <c r="P79" i="4" s="1"/>
  <c r="M79" i="4"/>
  <c r="M94" i="4"/>
  <c r="M90" i="4"/>
  <c r="M93" i="4"/>
  <c r="O75" i="4"/>
  <c r="P75" i="4" s="1"/>
  <c r="O95" i="4"/>
  <c r="P95" i="4" s="1"/>
  <c r="O87" i="4"/>
  <c r="P87" i="4" s="1"/>
  <c r="M86" i="4"/>
  <c r="O73" i="4"/>
  <c r="P73" i="4" s="1"/>
  <c r="O93" i="4"/>
  <c r="P93" i="4" s="1"/>
  <c r="O88" i="4"/>
  <c r="P88" i="4" s="1"/>
  <c r="M73" i="4"/>
  <c r="O76" i="4"/>
  <c r="P76" i="4" s="1"/>
  <c r="M77" i="4"/>
  <c r="M82" i="4"/>
  <c r="M83" i="4"/>
  <c r="O89" i="4"/>
  <c r="P89" i="4" s="1"/>
  <c r="O90" i="4"/>
  <c r="P90" i="4" s="1"/>
  <c r="O85" i="4"/>
  <c r="P85" i="4" s="1"/>
  <c r="M87" i="4"/>
  <c r="M95" i="4"/>
  <c r="O81" i="4"/>
  <c r="P81" i="4" s="1"/>
  <c r="O86" i="4"/>
  <c r="P86" i="4" s="1"/>
  <c r="M75" i="4"/>
  <c r="M80" i="4"/>
  <c r="M72" i="4"/>
  <c r="M97" i="4"/>
  <c r="N97" i="4"/>
  <c r="Q97" i="4" s="1"/>
  <c r="L88" i="4"/>
  <c r="N82" i="4"/>
  <c r="Q82" i="4" s="1"/>
  <c r="N93" i="4"/>
  <c r="Q93" i="4" s="1"/>
  <c r="N84" i="4"/>
  <c r="Q84" i="4" s="1"/>
  <c r="J14" i="4"/>
  <c r="J13" i="4" s="1"/>
  <c r="K16" i="4" s="1"/>
  <c r="M89" i="4" l="1"/>
  <c r="M88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7" i="4" l="1"/>
  <c r="P67" i="4" s="1"/>
  <c r="M65" i="4"/>
  <c r="M67" i="4"/>
  <c r="M68" i="4"/>
  <c r="M64" i="4"/>
  <c r="M69" i="4"/>
  <c r="M58" i="4"/>
  <c r="M57" i="4"/>
  <c r="O66" i="4"/>
  <c r="P66" i="4" s="1"/>
  <c r="M66" i="4"/>
  <c r="O68" i="4"/>
  <c r="P68" i="4" s="1"/>
  <c r="O64" i="4"/>
  <c r="P64" i="4" s="1"/>
  <c r="O69" i="4"/>
  <c r="P69" i="4" s="1"/>
  <c r="O65" i="4"/>
  <c r="P65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L45" i="4" s="1"/>
  <c r="J30" i="4"/>
  <c r="K30" i="4" s="1"/>
  <c r="J43" i="4"/>
  <c r="K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7" i="4"/>
  <c r="K44" i="4"/>
  <c r="K52" i="4"/>
  <c r="O52" i="4" s="1"/>
  <c r="P52" i="4" s="1"/>
  <c r="L52" i="4"/>
  <c r="M52" i="4" s="1"/>
  <c r="L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8" i="4" l="1"/>
  <c r="P48" i="4" s="1"/>
  <c r="M48" i="4"/>
  <c r="O49" i="4"/>
  <c r="P49" i="4" s="1"/>
  <c r="M49" i="4"/>
  <c r="O43" i="4"/>
  <c r="P43" i="4" s="1"/>
  <c r="M35" i="4"/>
  <c r="M43" i="4"/>
  <c r="O39" i="4"/>
  <c r="P39" i="4" s="1"/>
  <c r="M47" i="4"/>
  <c r="O28" i="4"/>
  <c r="P28" i="4" s="1"/>
  <c r="O41" i="4"/>
  <c r="P41" i="4" s="1"/>
  <c r="L30" i="4"/>
  <c r="O31" i="4"/>
  <c r="P31" i="4" s="1"/>
  <c r="O33" i="4"/>
  <c r="P33" i="4" s="1"/>
  <c r="O46" i="4"/>
  <c r="P46" i="4" s="1"/>
  <c r="K35" i="4"/>
  <c r="M44" i="4"/>
  <c r="O44" i="4"/>
  <c r="P44" i="4" s="1"/>
  <c r="O47" i="4"/>
  <c r="P47" i="4" s="1"/>
  <c r="M31" i="4"/>
  <c r="O30" i="4"/>
  <c r="P30" i="4" s="1"/>
  <c r="M39" i="4"/>
  <c r="M45" i="4"/>
  <c r="K4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O40" i="4" l="1"/>
  <c r="P40" i="4" s="1"/>
  <c r="O34" i="4"/>
  <c r="P34" i="4" s="1"/>
  <c r="O35" i="4"/>
  <c r="P35" i="4" s="1"/>
  <c r="O29" i="4"/>
  <c r="P29" i="4" s="1"/>
  <c r="O32" i="4"/>
  <c r="P32" i="4" s="1"/>
  <c r="O36" i="4"/>
  <c r="P36" i="4" s="1"/>
  <c r="O45" i="4"/>
  <c r="P45" i="4" s="1"/>
  <c r="M33" i="4"/>
  <c r="O42" i="4"/>
  <c r="P42" i="4" s="1"/>
  <c r="M41" i="4"/>
  <c r="O37" i="4"/>
  <c r="P37" i="4" s="1"/>
  <c r="O38" i="4"/>
  <c r="P38" i="4" s="1"/>
  <c r="M30" i="4"/>
  <c r="M46" i="4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<sst xmlns="http://schemas.openxmlformats.org/spreadsheetml/2006/main" count="318" uniqueCount="295">
  <si>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</si>
  <si>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</si>
  <si>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</si>
  <si>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</si>
  <si>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</si>
  <si>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</si>
  <si>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</si>
  <si>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</si>
  <si>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</si>
  <si>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</si>
  <si>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</si>
  <si>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</si>
  <si>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</si>
  <si>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</si>
  <si>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</si>
  <si>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</si>
  <si>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</si>
  <si>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</si>
  <si>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</si>
  <si>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</si>
  <si>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</si>
  <si>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</si>
  <si>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</si>
  <si>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</si>
  <si>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</si>
  <si>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</si>
  <si>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</si>
  <si>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</si>
  <si>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</si>
  <si>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</si>
  <si>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</si>
  <si>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</si>
  <si>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</si>
  <si>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</si>
  <si>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</si>
  <si>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</si>
  <si>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</si>
  <si>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</si>
  <si>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</si>
  <si>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</si>
  <si>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</si>
  <si>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</si>
  <si>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</si>
  <si>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</si>
  <si>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</si>
  <si>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</si>
  <si>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</si>
  <si>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</si>
  <si>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</si>
  <si>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</si>
  <si>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</si>
  <si>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</si>
  <si>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</si>
  <si>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</si>
  <si>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</si>
  <si>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</si>
  <si>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</si>
  <si>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</si>
  <si>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</si>
  <si>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</si>
  <si>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</si>
  <si>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</si>
  <si>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</si>
  <si>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</si>
  <si>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</si>
  <si>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</si>
  <si>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</si>
  <si>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</si>
  <si>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</si>
  <si>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</si>
  <si>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</si>
  <si>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</si>
  <si>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</si>
  <si>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</si>
  <si>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</si>
  <si>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</si>
  <si>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</si>
  <si>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</si>
  <si>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</si>
  <si>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</si>
  <si>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</si>
  <si>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</si>
  <si>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</si>
  <si>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</si>
  <si>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</si>
  <si>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</si>
  <si>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</si>
  <si>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</si>
  <si>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</si>
  <si>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</si>
  <si>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</si>
  <si>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</si>
  <si>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</si>
  <si>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</si>
  <si>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</si>
  <si>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</si>
  <si>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</si>
  <si>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</si>
  <si>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</si>
  <si>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</si>
  <si>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</si>
  <si>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</si>
  <si>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</si>
  <si>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</si>
  <si>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</si>
  <si>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</si>
  <si>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</si>
  <si>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</si>
  <si>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</si>
  <si>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</si>
  <si>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</si>
  <si>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</si>
  <si>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Rtgut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</si>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</sst>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0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8.9000000000000006E-4</v>
      </c>
      <c r="M17" s="81">
        <v>6.0000000000000002E-5</v>
      </c>
      <c r="N17" s="81">
        <v>5.0000000000000002E-5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2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150.02000000000001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149.24080000000001</v>
      </c>
      <c r="K8" s="39">
        <f>J8/J7</f>
        <v>0.9948060258632182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0.72120000000000006</v>
      </c>
      <c r="K9" s="39">
        <f>J9/J7</f>
        <v>4.8073590187974937E-3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5.7999999999999996E-2</v>
      </c>
      <c r="K10" s="39">
        <f>J10/J7</f>
        <v>3.8661511798426871E-4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2.0000000000000004E-2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1.7800000000000003E-2</v>
      </c>
      <c r="K20" s="39">
        <f>J20/J19</f>
        <v>0.89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1.2000000000000001E-3</v>
      </c>
      <c r="K21" s="39">
        <f>J21/J19</f>
        <v>5.9999999999999991E-2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1.0000000000000002E-3</v>
      </c>
      <c r="K22" s="39">
        <f>J22/J19</f>
        <v>0.05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0.87654628857053851</v>
      </c>
      <c r="K28" s="95">
        <f t="shared" ref="K28:K47" si="3">IF(D28=0,"",1/(1+10^D28*$J$15/$J$14+10^E28*$J$16/$J$14+10^J28*$J$19/$J$14))</f>
        <v>0.80388952421821802</v>
      </c>
      <c r="L28" s="95">
        <f t="shared" ref="L28:L47" si="4">IF(D28=0,"",1/(1+10^I28/10^J28*$J$13/$J$19))</f>
        <v>8.1084321437694957E-4</v>
      </c>
      <c r="M28" s="95">
        <f t="shared" ref="M28:M47" si="5">IF(D28=0,"",1-L28)</f>
        <v>0.99918915678562303</v>
      </c>
      <c r="N28" s="95">
        <f t="shared" ref="N28:N47" si="6">IF(D28=0,"",1/(1/10^E28*$J$20/$J$22+10^D28/10^E28*$J$21/$J$22+10^I28/10^E28*$J$13/$J$22+1))</f>
        <v>4.3033394256807017E-4</v>
      </c>
      <c r="O28" s="40">
        <f t="shared" ref="O28:O47" si="7">IF(D28=0,"",F28*K28*$J$7/$J$14)</f>
        <v>8.0818309793541918E-7</v>
      </c>
      <c r="P28" s="40">
        <f t="shared" ref="P28:P47" si="8">IF(D28=0,"",O28*10^J28)</f>
        <v>6.0821349510414962E-6</v>
      </c>
      <c r="Q28" s="40">
        <f t="shared" ref="Q28:Q47" si="9">IF(D28=0,"",F28*N28*$J$7/$J$22)</f>
        <v>6.4558698064061878E-5</v>
      </c>
      <c r="R28" s="9">
        <f>F28*$C$14</f>
        <v>1.4999999999999999E-4</v>
      </c>
      <c r="S28" s="9">
        <f>$R28*L28</f>
        <v>1.2162648215654242E-7</v>
      </c>
      <c r="T28" s="9">
        <f t="shared" ref="T28:T49" si="10">R28*K28</f>
        <v>1.2058342863273269E-4</v>
      </c>
      <c r="U28" s="9">
        <f t="shared" ref="U28:U49" si="11">$R28*M28</f>
        <v>1.4987837351784344E-4</v>
      </c>
      <c r="V28" s="102">
        <f>K28/M28</f>
        <v>0.80454188154354966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4.5743714574945749</v>
      </c>
      <c r="K29" s="95">
        <f t="shared" si="3"/>
        <v>1.8798626327612526E-3</v>
      </c>
      <c r="L29" s="95">
        <f t="shared" si="4"/>
        <v>9.4556589930948655E-3</v>
      </c>
      <c r="M29" s="95">
        <f t="shared" si="5"/>
        <v>0.99054434100690514</v>
      </c>
      <c r="N29" s="95">
        <f t="shared" si="6"/>
        <v>8.6272493081579853E-3</v>
      </c>
      <c r="O29" s="40">
        <f t="shared" si="7"/>
        <v>1.8899029785411304E-9</v>
      </c>
      <c r="P29" s="40">
        <f t="shared" si="8"/>
        <v>7.0926898107204618E-5</v>
      </c>
      <c r="Q29" s="40">
        <f t="shared" si="9"/>
        <v>1.2942599412098608E-3</v>
      </c>
      <c r="R29" s="9">
        <f>F29*$C$14</f>
        <v>1.4999999999999999E-4</v>
      </c>
      <c r="S29" s="9">
        <f t="shared" ref="S29:S49" si="12">$R29*L29</f>
        <v>1.4183488489642297E-6</v>
      </c>
      <c r="T29" s="9">
        <f t="shared" si="10"/>
        <v>2.8197939491418785E-7</v>
      </c>
      <c r="U29" s="9">
        <f t="shared" si="11"/>
        <v>1.4858165115103577E-4</v>
      </c>
      <c r="V29" s="102">
        <f t="shared" ref="V29:V49" si="13">K29/M29</f>
        <v>1.8978076547793311E-3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8.0025110320676838</v>
      </c>
      <c r="K30" s="95">
        <f t="shared" si="3"/>
        <v>1.1868554363441638E-6</v>
      </c>
      <c r="L30" s="95">
        <f t="shared" si="4"/>
        <v>1.5999377452752612E-2</v>
      </c>
      <c r="M30" s="95">
        <f t="shared" si="5"/>
        <v>0.98400062254724741</v>
      </c>
      <c r="N30" s="95">
        <f t="shared" si="6"/>
        <v>1.5866716300212927E-2</v>
      </c>
      <c r="O30" s="40">
        <f t="shared" si="7"/>
        <v>1.1931944308876745E-12</v>
      </c>
      <c r="P30" s="40">
        <f t="shared" si="8"/>
        <v>1.2001133027309766E-4</v>
      </c>
      <c r="Q30" s="40">
        <f t="shared" si="9"/>
        <v>2.3803247793579424E-3</v>
      </c>
      <c r="R30" s="9">
        <f t="shared" ref="R30:R49" si="14">F30*$C$14</f>
        <v>1.4999999999999999E-4</v>
      </c>
      <c r="S30" s="9">
        <f t="shared" si="12"/>
        <v>2.3999066179128917E-6</v>
      </c>
      <c r="T30" s="9">
        <f t="shared" si="10"/>
        <v>1.7802831545162456E-10</v>
      </c>
      <c r="U30" s="9">
        <f t="shared" si="11"/>
        <v>1.4760009338208709E-4</v>
      </c>
      <c r="V30" s="102">
        <f t="shared" si="13"/>
        <v>1.2061531356268793E-6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3.0509801020444232</v>
      </c>
      <c r="K31" s="95">
        <f t="shared" si="3"/>
        <v>5.11858804627554E-2</v>
      </c>
      <c r="L31" s="95">
        <f t="shared" si="4"/>
        <v>7.7147971071348815E-3</v>
      </c>
      <c r="M31" s="95">
        <f t="shared" si="5"/>
        <v>0.99228520289286515</v>
      </c>
      <c r="N31" s="95">
        <f t="shared" si="6"/>
        <v>6.7847431504457914E-3</v>
      </c>
      <c r="O31" s="40">
        <f t="shared" si="7"/>
        <v>5.1459264235557278E-8</v>
      </c>
      <c r="P31" s="40">
        <f t="shared" si="8"/>
        <v>5.7868693100618771E-5</v>
      </c>
      <c r="Q31" s="40">
        <f t="shared" si="9"/>
        <v>1.0178471674298774E-3</v>
      </c>
      <c r="R31" s="9">
        <f t="shared" si="14"/>
        <v>1.4999999999999999E-4</v>
      </c>
      <c r="S31" s="9">
        <f t="shared" si="12"/>
        <v>1.1572195660702321E-6</v>
      </c>
      <c r="T31" s="9">
        <f t="shared" si="10"/>
        <v>7.6778820694133087E-6</v>
      </c>
      <c r="U31" s="9">
        <f t="shared" si="11"/>
        <v>1.4884278043392977E-4</v>
      </c>
      <c r="V31" s="102">
        <f t="shared" si="13"/>
        <v>5.1583839317093823E-2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5.7767955088211638</v>
      </c>
      <c r="K32" s="95">
        <f t="shared" si="3"/>
        <v>1.2093961873573574E-4</v>
      </c>
      <c r="L32" s="95">
        <f t="shared" si="4"/>
        <v>9.6952348325096208E-3</v>
      </c>
      <c r="M32" s="95">
        <f t="shared" si="5"/>
        <v>0.99030476516749033</v>
      </c>
      <c r="N32" s="95">
        <f t="shared" si="6"/>
        <v>8.889407768359928E-3</v>
      </c>
      <c r="O32" s="40">
        <f t="shared" si="7"/>
        <v>1.2158555720455342E-10</v>
      </c>
      <c r="P32" s="40">
        <f t="shared" si="8"/>
        <v>7.2723956478654649E-5</v>
      </c>
      <c r="Q32" s="40">
        <f t="shared" si="9"/>
        <v>1.3335889534093562E-3</v>
      </c>
      <c r="R32" s="9">
        <f t="shared" si="14"/>
        <v>1.4999999999999999E-4</v>
      </c>
      <c r="S32" s="9">
        <f t="shared" si="12"/>
        <v>1.454285224876443E-6</v>
      </c>
      <c r="T32" s="9">
        <f t="shared" si="10"/>
        <v>1.8140942810360359E-8</v>
      </c>
      <c r="U32" s="9">
        <f t="shared" si="11"/>
        <v>1.4854571477512354E-4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5.2786655449069544</v>
      </c>
      <c r="K33" s="95">
        <f t="shared" si="3"/>
        <v>3.3833541733890312E-4</v>
      </c>
      <c r="L33" s="95">
        <f t="shared" si="4"/>
        <v>8.6140469859502296E-3</v>
      </c>
      <c r="M33" s="95">
        <f t="shared" si="5"/>
        <v>0.99138595301404975</v>
      </c>
      <c r="N33" s="95">
        <f t="shared" si="6"/>
        <v>7.693105633625132E-3</v>
      </c>
      <c r="O33" s="40">
        <f t="shared" si="7"/>
        <v>3.4014246670541569E-10</v>
      </c>
      <c r="P33" s="40">
        <f t="shared" si="8"/>
        <v>6.4613966441612691E-5</v>
      </c>
      <c r="Q33" s="40">
        <f t="shared" si="9"/>
        <v>1.1541197071564422E-3</v>
      </c>
      <c r="R33" s="9">
        <f t="shared" si="14"/>
        <v>1.4999999999999999E-4</v>
      </c>
      <c r="S33" s="9">
        <f t="shared" si="12"/>
        <v>1.2921070478925344E-6</v>
      </c>
      <c r="T33" s="9">
        <f t="shared" si="10"/>
        <v>5.0750312600835464E-8</v>
      </c>
      <c r="U33" s="9">
        <f t="shared" si="11"/>
        <v>1.4870789295210745E-4</v>
      </c>
      <c r="V33" s="102">
        <f t="shared" si="13"/>
        <v>3.4127517775522513E-4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5.3078721995446587</v>
      </c>
      <c r="K34" s="95">
        <f t="shared" si="3"/>
        <v>3.4330678738970328E-4</v>
      </c>
      <c r="L34" s="95">
        <f t="shared" si="4"/>
        <v>9.3486482221530887E-3</v>
      </c>
      <c r="M34" s="95">
        <f t="shared" si="5"/>
        <v>0.99065135177784691</v>
      </c>
      <c r="N34" s="95">
        <f t="shared" si="6"/>
        <v>8.5061810636865524E-3</v>
      </c>
      <c r="O34" s="40">
        <f t="shared" si="7"/>
        <v>3.451403888422246E-10</v>
      </c>
      <c r="P34" s="40">
        <f t="shared" si="8"/>
        <v>7.0124210314370365E-5</v>
      </c>
      <c r="Q34" s="40">
        <f t="shared" si="9"/>
        <v>1.2760972831742563E-3</v>
      </c>
      <c r="R34" s="9">
        <f t="shared" si="14"/>
        <v>1.4999999999999999E-4</v>
      </c>
      <c r="S34" s="9">
        <f t="shared" si="12"/>
        <v>1.4022972333229632E-6</v>
      </c>
      <c r="T34" s="9">
        <f t="shared" si="10"/>
        <v>5.1496018108455487E-8</v>
      </c>
      <c r="U34" s="9">
        <f t="shared" si="11"/>
        <v>1.4859770276667703E-4</v>
      </c>
      <c r="V34" s="102">
        <f t="shared" si="13"/>
        <v>3.4654652898176197E-4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2.0837828896743456</v>
      </c>
      <c r="K35" s="95">
        <f t="shared" si="3"/>
        <v>0.23666344624964183</v>
      </c>
      <c r="L35" s="95">
        <f t="shared" si="4"/>
        <v>3.8468770214381957E-3</v>
      </c>
      <c r="M35" s="95">
        <f t="shared" si="5"/>
        <v>0.99615312297856184</v>
      </c>
      <c r="N35" s="95">
        <f t="shared" si="6"/>
        <v>2.820807290982478E-3</v>
      </c>
      <c r="O35" s="40">
        <f t="shared" si="7"/>
        <v>2.379274656478644E-7</v>
      </c>
      <c r="P35" s="40">
        <f t="shared" si="8"/>
        <v>2.8855424537807917E-5</v>
      </c>
      <c r="Q35" s="40">
        <f t="shared" si="9"/>
        <v>4.2317750979319128E-4</v>
      </c>
      <c r="R35" s="9">
        <f t="shared" si="14"/>
        <v>1.4999999999999999E-4</v>
      </c>
      <c r="S35" s="9">
        <f t="shared" si="12"/>
        <v>5.7703155321572928E-7</v>
      </c>
      <c r="T35" s="9">
        <f t="shared" si="10"/>
        <v>3.5499516937446272E-5</v>
      </c>
      <c r="U35" s="9">
        <f t="shared" si="11"/>
        <v>1.4942296844678427E-4</v>
      </c>
      <c r="V35" s="102">
        <f t="shared" si="13"/>
        <v>0.23757737720281691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8.4483031900032319</v>
      </c>
      <c r="K36" s="95">
        <f t="shared" si="3"/>
        <v>4.2753578886906644E-7</v>
      </c>
      <c r="L36" s="95">
        <f t="shared" si="4"/>
        <v>1.6086808577671686E-2</v>
      </c>
      <c r="M36" s="95">
        <f t="shared" si="5"/>
        <v>0.98391319142232836</v>
      </c>
      <c r="N36" s="95">
        <f t="shared" si="6"/>
        <v>1.5963484994691367E-2</v>
      </c>
      <c r="O36" s="40">
        <f t="shared" si="7"/>
        <v>4.2981925739421763E-13</v>
      </c>
      <c r="P36" s="40">
        <f t="shared" si="8"/>
        <v>1.2066715114111548E-4</v>
      </c>
      <c r="Q36" s="40">
        <f t="shared" si="9"/>
        <v>2.3948420189035986E-3</v>
      </c>
      <c r="R36" s="9">
        <f t="shared" si="14"/>
        <v>1.4999999999999999E-4</v>
      </c>
      <c r="S36" s="9">
        <f t="shared" si="12"/>
        <v>2.4130212866507525E-6</v>
      </c>
      <c r="T36" s="9">
        <f t="shared" si="10"/>
        <v>6.4130368330359957E-11</v>
      </c>
      <c r="U36" s="9">
        <f t="shared" si="11"/>
        <v>1.4758697871334925E-4</v>
      </c>
      <c r="V36" s="102">
        <f t="shared" si="13"/>
        <v>4.3452592423425882E-7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3.8585870053842997</v>
      </c>
      <c r="K37" s="95">
        <f t="shared" si="3"/>
        <v>8.858746080242225E-3</v>
      </c>
      <c r="L37" s="95">
        <f t="shared" si="4"/>
        <v>8.5734079197140947E-3</v>
      </c>
      <c r="M37" s="95">
        <f t="shared" si="5"/>
        <v>0.99142659208028594</v>
      </c>
      <c r="N37" s="95">
        <f t="shared" si="6"/>
        <v>7.6626940678595551E-3</v>
      </c>
      <c r="O37" s="40">
        <f t="shared" si="7"/>
        <v>8.9060606405040666E-9</v>
      </c>
      <c r="P37" s="40">
        <f t="shared" si="8"/>
        <v>6.4309132805775488E-5</v>
      </c>
      <c r="Q37" s="40">
        <f t="shared" si="9"/>
        <v>1.1495573640602904E-3</v>
      </c>
      <c r="R37" s="9">
        <f t="shared" si="14"/>
        <v>1.4999999999999999E-4</v>
      </c>
      <c r="S37" s="9">
        <f t="shared" si="12"/>
        <v>1.2860111879571141E-6</v>
      </c>
      <c r="T37" s="9">
        <f t="shared" si="10"/>
        <v>1.3288119120363336E-6</v>
      </c>
      <c r="U37" s="9">
        <f t="shared" si="11"/>
        <v>1.4871398881204288E-4</v>
      </c>
      <c r="V37" s="102">
        <f t="shared" si="13"/>
        <v>8.9353525021495916E-3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2.3639081225718592</v>
      </c>
      <c r="K38" s="95">
        <f t="shared" si="3"/>
        <v>0.17423787006143632</v>
      </c>
      <c r="L38" s="95">
        <f t="shared" si="4"/>
        <v>5.3981494606908046E-3</v>
      </c>
      <c r="M38" s="95">
        <f t="shared" si="5"/>
        <v>0.99460185053930916</v>
      </c>
      <c r="N38" s="95">
        <f t="shared" si="6"/>
        <v>4.4310411846500801E-3</v>
      </c>
      <c r="O38" s="40">
        <f t="shared" si="7"/>
        <v>1.7516847447522616E-7</v>
      </c>
      <c r="P38" s="40">
        <f t="shared" si="8"/>
        <v>4.0491519104641721E-5</v>
      </c>
      <c r="Q38" s="40">
        <f t="shared" si="9"/>
        <v>6.6474479852120488E-4</v>
      </c>
      <c r="R38" s="9">
        <f t="shared" si="14"/>
        <v>1.4999999999999999E-4</v>
      </c>
      <c r="S38" s="9">
        <f t="shared" si="12"/>
        <v>8.0972241910362057E-7</v>
      </c>
      <c r="T38" s="9">
        <f t="shared" si="10"/>
        <v>2.6135680509215445E-5</v>
      </c>
      <c r="U38" s="9">
        <f t="shared" si="11"/>
        <v>1.4919027758089636E-4</v>
      </c>
      <c r="V38" s="102">
        <f t="shared" si="13"/>
        <v>0.1751835369770911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-2.1315410513044985E-2</v>
      </c>
      <c r="K39" s="95">
        <f t="shared" si="3"/>
        <v>0.99507876385303284</v>
      </c>
      <c r="L39" s="95">
        <f t="shared" si="4"/>
        <v>1.2698027879826985E-4</v>
      </c>
      <c r="M39" s="95">
        <f t="shared" si="5"/>
        <v>0.99987301972120168</v>
      </c>
      <c r="N39" s="95">
        <f t="shared" si="6"/>
        <v>3.2300458798166511E-7</v>
      </c>
      <c r="O39" s="40">
        <f t="shared" si="7"/>
        <v>1.0003934792440308E-6</v>
      </c>
      <c r="P39" s="40">
        <f t="shared" si="8"/>
        <v>9.5247907126582211E-7</v>
      </c>
      <c r="Q39" s="40">
        <f t="shared" si="9"/>
        <v>4.8457148289009391E-8</v>
      </c>
      <c r="R39" s="9">
        <f t="shared" si="14"/>
        <v>1.4999999999999999E-4</v>
      </c>
      <c r="S39" s="9">
        <f t="shared" si="12"/>
        <v>1.9047041819740475E-8</v>
      </c>
      <c r="T39" s="9">
        <f t="shared" si="10"/>
        <v>1.4926181457795493E-4</v>
      </c>
      <c r="U39" s="9">
        <f t="shared" si="11"/>
        <v>1.4998095295818025E-4</v>
      </c>
      <c r="V39" s="102">
        <f t="shared" si="13"/>
        <v>0.99520513527857202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2.5889557991870298</v>
      </c>
      <c r="K40" s="95">
        <f t="shared" si="3"/>
        <v>8.6837080961696511E-2</v>
      </c>
      <c r="L40" s="95">
        <f t="shared" si="4"/>
        <v>4.517053601772493E-3</v>
      </c>
      <c r="M40" s="95">
        <f t="shared" si="5"/>
        <v>0.99548294639822754</v>
      </c>
      <c r="N40" s="95">
        <f t="shared" si="6"/>
        <v>3.3063928209842316E-3</v>
      </c>
      <c r="O40" s="40">
        <f t="shared" si="7"/>
        <v>8.7300877786090011E-8</v>
      </c>
      <c r="P40" s="40">
        <f t="shared" si="8"/>
        <v>3.3882419066895469E-5</v>
      </c>
      <c r="Q40" s="40">
        <f t="shared" si="9"/>
        <v>4.9602505100405437E-4</v>
      </c>
      <c r="R40" s="9">
        <f t="shared" si="14"/>
        <v>1.4999999999999999E-4</v>
      </c>
      <c r="S40" s="9">
        <f t="shared" si="12"/>
        <v>6.7755804026587393E-7</v>
      </c>
      <c r="T40" s="9">
        <f t="shared" si="10"/>
        <v>1.3025562144254475E-5</v>
      </c>
      <c r="U40" s="9">
        <f t="shared" si="11"/>
        <v>1.4932244195973413E-4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2.6634845218157044</v>
      </c>
      <c r="K41" s="95">
        <f t="shared" si="3"/>
        <v>7.1850617396339383E-2</v>
      </c>
      <c r="L41" s="95">
        <f t="shared" si="4"/>
        <v>4.437202560251147E-3</v>
      </c>
      <c r="M41" s="95">
        <f t="shared" si="5"/>
        <v>0.99556279743974885</v>
      </c>
      <c r="N41" s="95">
        <f t="shared" si="6"/>
        <v>3.1923884981738056E-3</v>
      </c>
      <c r="O41" s="40">
        <f t="shared" si="7"/>
        <v>7.2234371523148809E-8</v>
      </c>
      <c r="P41" s="40">
        <f t="shared" si="8"/>
        <v>3.3283456404443867E-5</v>
      </c>
      <c r="Q41" s="40">
        <f t="shared" si="9"/>
        <v>4.7892212249603421E-4</v>
      </c>
      <c r="R41" s="9">
        <f t="shared" si="14"/>
        <v>1.4999999999999999E-4</v>
      </c>
      <c r="S41" s="9">
        <f t="shared" si="12"/>
        <v>6.6558038403767203E-7</v>
      </c>
      <c r="T41" s="9">
        <f t="shared" si="10"/>
        <v>1.0777592609450907E-5</v>
      </c>
      <c r="U41" s="9">
        <f t="shared" si="11"/>
        <v>1.493344196159623E-4</v>
      </c>
      <c r="V41" s="102">
        <f t="shared" si="13"/>
        <v>7.2170854094904813E-2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4.3682400663002383</v>
      </c>
      <c r="K42" s="95">
        <f t="shared" si="3"/>
        <v>3.3623523323461275E-3</v>
      </c>
      <c r="L42" s="95">
        <f t="shared" si="4"/>
        <v>1.0521496503762856E-2</v>
      </c>
      <c r="M42" s="95">
        <f t="shared" si="5"/>
        <v>0.98947850349623712</v>
      </c>
      <c r="N42" s="95">
        <f t="shared" si="6"/>
        <v>9.8094679651221078E-3</v>
      </c>
      <c r="O42" s="40">
        <f t="shared" si="7"/>
        <v>3.3803106551842946E-9</v>
      </c>
      <c r="P42" s="40">
        <f t="shared" si="8"/>
        <v>7.8921745274725206E-5</v>
      </c>
      <c r="Q42" s="40">
        <f t="shared" si="9"/>
        <v>1.4716163841276182E-3</v>
      </c>
      <c r="R42" s="9">
        <f t="shared" si="14"/>
        <v>1.4999999999999999E-4</v>
      </c>
      <c r="S42" s="9">
        <f t="shared" si="12"/>
        <v>1.5782244755644282E-6</v>
      </c>
      <c r="T42" s="9">
        <f t="shared" si="10"/>
        <v>5.0435284985191911E-7</v>
      </c>
      <c r="U42" s="9">
        <f t="shared" si="11"/>
        <v>1.4842177552443556E-4</v>
      </c>
      <c r="V42" s="102">
        <f t="shared" si="13"/>
        <v>3.3981054873507056E-3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4.0532477704684826</v>
      </c>
      <c r="K43" s="95">
        <f t="shared" si="3"/>
        <v>5.8419579935864944E-3</v>
      </c>
      <c r="L43" s="95">
        <f t="shared" si="4"/>
        <v>8.8511648444658617E-3</v>
      </c>
      <c r="M43" s="95">
        <f t="shared" si="5"/>
        <v>0.99114883515553409</v>
      </c>
      <c r="N43" s="95">
        <f t="shared" si="6"/>
        <v>7.964961171789799E-3</v>
      </c>
      <c r="O43" s="40">
        <f t="shared" si="7"/>
        <v>5.8731598895468247E-9</v>
      </c>
      <c r="P43" s="40">
        <f t="shared" si="8"/>
        <v>6.6392587498338509E-5</v>
      </c>
      <c r="Q43" s="40">
        <f t="shared" si="9"/>
        <v>1.1949034749919054E-3</v>
      </c>
      <c r="R43" s="9">
        <f t="shared" si="14"/>
        <v>1.4999999999999999E-4</v>
      </c>
      <c r="S43" s="9">
        <f t="shared" si="12"/>
        <v>1.3276747266698792E-6</v>
      </c>
      <c r="T43" s="9">
        <f t="shared" si="10"/>
        <v>8.7629369903797407E-7</v>
      </c>
      <c r="U43" s="9">
        <f t="shared" si="11"/>
        <v>1.4867232527333011E-4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2.3088898400463114</v>
      </c>
      <c r="K44" s="95">
        <f t="shared" si="3"/>
        <v>0.19502787979251698</v>
      </c>
      <c r="L44" s="95">
        <f t="shared" si="4"/>
        <v>5.3232978711251974E-3</v>
      </c>
      <c r="M44" s="95">
        <f t="shared" si="5"/>
        <v>0.99467670212887482</v>
      </c>
      <c r="N44" s="95">
        <f t="shared" si="6"/>
        <v>4.3837414573860475E-3</v>
      </c>
      <c r="O44" s="40">
        <f t="shared" si="7"/>
        <v>1.960695236422897E-7</v>
      </c>
      <c r="P44" s="40">
        <f t="shared" si="8"/>
        <v>3.9930057331310095E-5</v>
      </c>
      <c r="Q44" s="40">
        <f t="shared" si="9"/>
        <v>6.5764889343705463E-4</v>
      </c>
      <c r="R44" s="9">
        <f t="shared" si="14"/>
        <v>1.4999999999999999E-4</v>
      </c>
      <c r="S44" s="9">
        <f t="shared" si="12"/>
        <v>7.9849468066877956E-7</v>
      </c>
      <c r="T44" s="9">
        <f t="shared" si="10"/>
        <v>2.9254181968877546E-5</v>
      </c>
      <c r="U44" s="9">
        <f t="shared" si="11"/>
        <v>1.492015053193312E-4</v>
      </c>
      <c r="V44" s="102">
        <f t="shared" si="13"/>
        <v>0.19607162746961404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4.041572503575793</v>
      </c>
      <c r="K45" s="95">
        <f t="shared" si="3"/>
        <v>4.6504757338666179E-3</v>
      </c>
      <c r="L45" s="95">
        <f t="shared" si="4"/>
        <v>6.8590523095573711E-3</v>
      </c>
      <c r="M45" s="95">
        <f t="shared" si="5"/>
        <v>0.99314094769044259</v>
      </c>
      <c r="N45" s="95">
        <f t="shared" si="6"/>
        <v>5.7580259222926172E-3</v>
      </c>
      <c r="O45" s="40">
        <f t="shared" si="7"/>
        <v>4.6753139234211207E-9</v>
      </c>
      <c r="P45" s="40">
        <f t="shared" si="8"/>
        <v>5.1449751373989816E-5</v>
      </c>
      <c r="Q45" s="40">
        <f t="shared" si="9"/>
        <v>8.6381904886233827E-4</v>
      </c>
      <c r="R45" s="9">
        <f t="shared" si="14"/>
        <v>1.4999999999999999E-4</v>
      </c>
      <c r="S45" s="9">
        <f t="shared" si="12"/>
        <v>1.0288578464336055E-6</v>
      </c>
      <c r="T45" s="9">
        <f t="shared" si="10"/>
        <v>6.975713600799926E-7</v>
      </c>
      <c r="U45" s="9">
        <f t="shared" si="11"/>
        <v>1.4897114215356636E-4</v>
      </c>
      <c r="V45" s="102">
        <f t="shared" si="13"/>
        <v>4.6825938903046318E-3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2.21956631274778</v>
      </c>
      <c r="K46" s="95">
        <f t="shared" si="3"/>
        <v>0.22438028730671583</v>
      </c>
      <c r="L46" s="95">
        <f t="shared" si="4"/>
        <v>4.9859192588329639E-3</v>
      </c>
      <c r="M46" s="95">
        <f t="shared" si="5"/>
        <v>0.99501408074116704</v>
      </c>
      <c r="N46" s="95">
        <f t="shared" si="6"/>
        <v>4.0605132586848209E-3</v>
      </c>
      <c r="O46" s="40">
        <f t="shared" si="7"/>
        <v>2.2557870235656375E-7</v>
      </c>
      <c r="P46" s="40">
        <f t="shared" si="8"/>
        <v>3.7399380360506064E-5</v>
      </c>
      <c r="Q46" s="40">
        <f t="shared" si="9"/>
        <v>6.0915819906789677E-4</v>
      </c>
      <c r="R46" s="9">
        <f t="shared" si="14"/>
        <v>1.4999999999999999E-4</v>
      </c>
      <c r="S46" s="9">
        <f t="shared" si="12"/>
        <v>7.4788788882494452E-7</v>
      </c>
      <c r="T46" s="9">
        <f t="shared" si="10"/>
        <v>3.3657043096007374E-5</v>
      </c>
      <c r="U46" s="9">
        <f t="shared" si="11"/>
        <v>1.4925211211117505E-4</v>
      </c>
      <c r="V46" s="102">
        <f t="shared" si="13"/>
        <v>0.22550463521036732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3.1296066711876311</v>
      </c>
      <c r="K47" s="95">
        <f t="shared" si="3"/>
        <v>2.3225144248768658E-2</v>
      </c>
      <c r="L47" s="95">
        <f t="shared" si="4"/>
        <v>4.1952642383096513E-3</v>
      </c>
      <c r="M47" s="95">
        <f t="shared" si="5"/>
        <v>0.99580473576169037</v>
      </c>
      <c r="N47" s="95">
        <f t="shared" si="6"/>
        <v>2.8414672390343421E-3</v>
      </c>
      <c r="O47" s="40">
        <f t="shared" si="7"/>
        <v>2.3349189737508788E-8</v>
      </c>
      <c r="P47" s="40">
        <f t="shared" si="8"/>
        <v>3.1468677051560708E-5</v>
      </c>
      <c r="Q47" s="40">
        <f t="shared" si="9"/>
        <v>4.2627691519993191E-4</v>
      </c>
      <c r="R47" s="9">
        <f t="shared" si="14"/>
        <v>1.4999999999999999E-4</v>
      </c>
      <c r="S47" s="9">
        <f t="shared" si="12"/>
        <v>6.2928963574644762E-7</v>
      </c>
      <c r="T47" s="9">
        <f t="shared" si="10"/>
        <v>3.4837716373152986E-6</v>
      </c>
      <c r="U47" s="9">
        <f t="shared" si="11"/>
        <v>1.4937071036425355E-4</v>
      </c>
      <c r="V47" s="102">
        <f t="shared" si="13"/>
        <v>2.3322990356140213E-2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1.2642800792666067</v>
      </c>
      <c r="K48" s="95">
        <f t="shared" ref="K48:K50" si="17">IF(D48=0,"",1/(1+10^D48*$J$15/$J$14+10^E48*$J$16/$J$14+10^J48*$J$19/$J$14))</f>
        <v>0.62825180856338603</v>
      </c>
      <c r="L48" s="95">
        <f t="shared" ref="L48:L50" si="18">IF(D48=0,"",1/(1+10^I48/10^J48*$J$13/$J$19))</f>
        <v>1.5474194650123641E-3</v>
      </c>
      <c r="M48" s="95">
        <f t="shared" ref="M48:M92" si="19">IF(D48=0,"",1-L48)</f>
        <v>0.99845258053498764</v>
      </c>
      <c r="N48" s="95">
        <f t="shared" ref="N48:N50" si="20">IF(D48=0,"",1/(1/10^E48*$J$20/$J$22+10^D48/10^E48*$J$21/$J$22+10^I48/10^E48*$J$13/$J$22+1))</f>
        <v>9.452789363593242E-4</v>
      </c>
      <c r="O48" s="40">
        <f t="shared" ref="O48:O92" si="21">IF(D48=0,"",F48*K48*$J$7/$J$14)</f>
        <v>6.3160730129188642E-7</v>
      </c>
      <c r="P48" s="40">
        <f t="shared" ref="P48:P50" si="22">IF(D48=0,"",O48*10^J48)</f>
        <v>1.160719340705774E-5</v>
      </c>
      <c r="Q48" s="40">
        <f t="shared" ref="Q48:Q50" si="23">IF(D48=0,"",F48*N48*$J$7/$J$22)</f>
        <v>1.4181074603262578E-4</v>
      </c>
      <c r="R48" s="9">
        <f t="shared" si="14"/>
        <v>1.4999999999999999E-4</v>
      </c>
      <c r="S48" s="9">
        <f t="shared" si="12"/>
        <v>2.3211291975185459E-7</v>
      </c>
      <c r="T48" s="9">
        <f t="shared" si="10"/>
        <v>9.4237771284507899E-5</v>
      </c>
      <c r="U48" s="9">
        <f t="shared" si="11"/>
        <v>1.4976788708024813E-4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0.79270412978539373</v>
      </c>
      <c r="K49" s="95">
        <f t="shared" si="17"/>
        <v>0.8552300215801879</v>
      </c>
      <c r="L49" s="95">
        <f t="shared" si="18"/>
        <v>7.111828846163746E-4</v>
      </c>
      <c r="M49" s="95">
        <f t="shared" si="19"/>
        <v>0.99928881711538364</v>
      </c>
      <c r="N49" s="95">
        <f t="shared" si="20"/>
        <v>4.078112206008045E-4</v>
      </c>
      <c r="O49" s="40">
        <f t="shared" si="21"/>
        <v>8.5979780487900514E-7</v>
      </c>
      <c r="P49" s="40">
        <f t="shared" si="22"/>
        <v>5.3345828175074239E-6</v>
      </c>
      <c r="Q49" s="40">
        <f t="shared" si="23"/>
        <v>6.1179839314532675E-5</v>
      </c>
      <c r="R49" s="9">
        <f t="shared" si="14"/>
        <v>1.4999999999999999E-4</v>
      </c>
      <c r="S49" s="9">
        <f t="shared" si="12"/>
        <v>1.0667743269245619E-7</v>
      </c>
      <c r="T49" s="9">
        <f t="shared" si="10"/>
        <v>1.2828450323702819E-4</v>
      </c>
      <c r="U49" s="9">
        <f t="shared" si="11"/>
        <v>1.4989332256730754E-4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8.6629514448579737E-3</v>
      </c>
      <c r="K57" s="55">
        <f t="shared" si="26"/>
        <v>0.99383277121735669</v>
      </c>
      <c r="L57" s="55">
        <f t="shared" si="27"/>
        <v>1.3588467924777862E-4</v>
      </c>
      <c r="M57" s="55">
        <f t="shared" si="28"/>
        <v>0.99986411532075226</v>
      </c>
      <c r="N57" s="55">
        <f t="shared" si="29"/>
        <v>8.048103381685311E-6</v>
      </c>
      <c r="O57" s="56">
        <f t="shared" si="30"/>
        <v>9.9914083176204641E-7</v>
      </c>
      <c r="P57" s="56">
        <f t="shared" si="31"/>
        <v>1.0192709790375871E-6</v>
      </c>
      <c r="Q57" s="56">
        <f t="shared" si="32"/>
        <v>1.2073764693204302E-6</v>
      </c>
      <c r="R57" s="9">
        <f t="shared" ref="R57:R58" si="33">F57*$C$14</f>
        <v>1.4999999999999999E-4</v>
      </c>
      <c r="S57" s="9">
        <f t="shared" ref="S57:S58" si="34">$R57*L57</f>
        <v>2.038270188716679E-8</v>
      </c>
      <c r="T57" s="9">
        <f t="shared" ref="T57:T58" si="35">R57*K57</f>
        <v>1.4907491568260349E-4</v>
      </c>
      <c r="U57" s="9">
        <f t="shared" ref="U57:U58" si="36">$R57*M57</f>
        <v>1.4997961729811284E-4</v>
      </c>
      <c r="V57" s="102">
        <f t="shared" ref="V57:V58" si="37">K57/M57</f>
        <v>0.9939678362179637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1.4682817666499361</v>
      </c>
      <c r="K58" s="55">
        <f t="shared" si="26"/>
        <v>0.53016262364296818</v>
      </c>
      <c r="L58" s="55">
        <f t="shared" si="27"/>
        <v>2.0887434559692399E-3</v>
      </c>
      <c r="M58" s="55">
        <f t="shared" si="28"/>
        <v>0.99791125654403079</v>
      </c>
      <c r="N58" s="55">
        <f t="shared" si="29"/>
        <v>1.3767095972133392E-3</v>
      </c>
      <c r="O58" s="56">
        <f t="shared" si="30"/>
        <v>5.3299422206307402E-7</v>
      </c>
      <c r="P58" s="56">
        <f t="shared" si="31"/>
        <v>1.5667664663225267E-5</v>
      </c>
      <c r="Q58" s="56">
        <f t="shared" si="32"/>
        <v>2.0653397377394509E-4</v>
      </c>
      <c r="R58" s="9">
        <f t="shared" si="33"/>
        <v>1.4999999999999999E-4</v>
      </c>
      <c r="S58" s="9">
        <f t="shared" si="34"/>
        <v>3.1331151839538597E-7</v>
      </c>
      <c r="T58" s="9">
        <f t="shared" si="35"/>
        <v>7.9524393546445221E-5</v>
      </c>
      <c r="U58" s="9">
        <f t="shared" si="36"/>
        <v>1.496866884816046E-4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1.5210188025338833</v>
      </c>
      <c r="K60" s="55">
        <f t="shared" si="26"/>
        <v>0.44285529118238565</v>
      </c>
      <c r="L60" s="55">
        <f t="shared" si="27"/>
        <v>1.9700392063911271E-3</v>
      </c>
      <c r="M60" s="55">
        <f t="shared" si="28"/>
        <v>0.99802996079360884</v>
      </c>
      <c r="N60" s="55">
        <f t="shared" si="29"/>
        <v>1.0960467309547237E-3</v>
      </c>
      <c r="O60" s="56">
        <f t="shared" si="30"/>
        <v>4.4522058116497788E-7</v>
      </c>
      <c r="P60" s="56">
        <f t="shared" si="31"/>
        <v>1.4777264087139842E-5</v>
      </c>
      <c r="Q60" s="56">
        <f t="shared" si="32"/>
        <v>1.644289305778276E-4</v>
      </c>
      <c r="R60" s="9">
        <f t="shared" ref="R60:R65" si="38">F60*$C$14</f>
        <v>1.4999999999999999E-4</v>
      </c>
      <c r="S60" s="9">
        <f t="shared" ref="S60:S93" si="39">$R60*L60</f>
        <v>2.9550588095866904E-7</v>
      </c>
      <c r="T60" s="9">
        <f t="shared" ref="T60:T93" si="40">R60*K60</f>
        <v>6.6428293677357845E-5</v>
      </c>
      <c r="U60" s="9">
        <f t="shared" ref="U60:U93" si="41">$R60*M60</f>
        <v>1.4970449411904133E-4</v>
      </c>
      <c r="V60" s="102">
        <f t="shared" ref="V60:V93" si="42">K60/M60</f>
        <v>0.44372945560696198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2.5091055968760121</v>
      </c>
      <c r="K61" s="55">
        <f t="shared" si="26"/>
        <v>8.6335423783498733E-2</v>
      </c>
      <c r="L61" s="55">
        <f t="shared" si="27"/>
        <v>3.7367053239253157E-3</v>
      </c>
      <c r="M61" s="55">
        <f t="shared" si="28"/>
        <v>0.99626329467607466</v>
      </c>
      <c r="N61" s="55">
        <f t="shared" si="29"/>
        <v>2.4418346843531461E-3</v>
      </c>
      <c r="O61" s="56">
        <f t="shared" si="30"/>
        <v>8.6796541257048039E-8</v>
      </c>
      <c r="P61" s="56">
        <f t="shared" si="31"/>
        <v>2.8029026634763797E-5</v>
      </c>
      <c r="Q61" s="56">
        <f t="shared" si="32"/>
        <v>3.6632403934665892E-4</v>
      </c>
      <c r="R61" s="9">
        <f t="shared" si="38"/>
        <v>1.4999999999999999E-4</v>
      </c>
      <c r="S61" s="9">
        <f t="shared" si="39"/>
        <v>5.6050579858879731E-7</v>
      </c>
      <c r="T61" s="9">
        <f t="shared" si="40"/>
        <v>1.2950313567524808E-5</v>
      </c>
      <c r="U61" s="9">
        <f t="shared" si="41"/>
        <v>1.4943949420141118E-4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2.2508102103882899</v>
      </c>
      <c r="K62" s="55">
        <f t="shared" si="26"/>
        <v>0.16889597717650817</v>
      </c>
      <c r="L62" s="55">
        <f t="shared" si="27"/>
        <v>4.0329584225736381E-3</v>
      </c>
      <c r="M62" s="55">
        <f t="shared" si="28"/>
        <v>0.99596704157742633</v>
      </c>
      <c r="N62" s="55">
        <f t="shared" si="29"/>
        <v>2.9108949902012364E-3</v>
      </c>
      <c r="O62" s="56">
        <f t="shared" si="30"/>
        <v>1.6979805054193895E-7</v>
      </c>
      <c r="P62" s="56">
        <f t="shared" si="31"/>
        <v>3.0251221127724864E-5</v>
      </c>
      <c r="Q62" s="56">
        <f t="shared" si="32"/>
        <v>4.3669246642998938E-4</v>
      </c>
      <c r="R62" s="9">
        <f t="shared" si="38"/>
        <v>1.4999999999999999E-4</v>
      </c>
      <c r="S62" s="9">
        <f t="shared" si="39"/>
        <v>6.049437633860457E-7</v>
      </c>
      <c r="T62" s="9">
        <f t="shared" si="40"/>
        <v>2.5334396576476223E-5</v>
      </c>
      <c r="U62" s="9">
        <f t="shared" si="41"/>
        <v>1.4939505623661395E-4</v>
      </c>
      <c r="V62" s="102">
        <f t="shared" si="42"/>
        <v>0.16957988580526559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2.1782102693561018</v>
      </c>
      <c r="K63" s="55">
        <f t="shared" si="26"/>
        <v>0.18833908556213755</v>
      </c>
      <c r="L63" s="55">
        <f t="shared" si="27"/>
        <v>3.8049149680236564E-3</v>
      </c>
      <c r="M63" s="55">
        <f t="shared" si="28"/>
        <v>0.99619508503197629</v>
      </c>
      <c r="N63" s="55">
        <f t="shared" si="29"/>
        <v>2.6917374112247075E-3</v>
      </c>
      <c r="O63" s="56">
        <f t="shared" si="30"/>
        <v>1.8934500456385326E-7</v>
      </c>
      <c r="P63" s="56">
        <f t="shared" si="31"/>
        <v>2.854066717514545E-5</v>
      </c>
      <c r="Q63" s="56">
        <f t="shared" si="32"/>
        <v>4.0381444643193055E-4</v>
      </c>
      <c r="R63" s="9">
        <f t="shared" si="38"/>
        <v>1.4999999999999999E-4</v>
      </c>
      <c r="S63" s="9">
        <f t="shared" si="39"/>
        <v>5.7073724520354837E-7</v>
      </c>
      <c r="T63" s="9">
        <f t="shared" si="40"/>
        <v>2.825086283432063E-5</v>
      </c>
      <c r="U63" s="9">
        <f t="shared" si="41"/>
        <v>1.4942926275479643E-4</v>
      </c>
      <c r="V63" s="102">
        <f t="shared" si="42"/>
        <v>0.18905843683829474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1.4306562944149122</v>
      </c>
      <c r="K64" s="55">
        <f t="shared" si="26"/>
        <v>0.57945472819724997</v>
      </c>
      <c r="L64" s="55">
        <f t="shared" si="27"/>
        <v>2.0934858709677046E-3</v>
      </c>
      <c r="M64" s="55">
        <f t="shared" si="28"/>
        <v>0.99790651412903231</v>
      </c>
      <c r="N64" s="55">
        <f t="shared" si="29"/>
        <v>1.4662389227123845E-3</v>
      </c>
      <c r="O64" s="56">
        <f t="shared" si="30"/>
        <v>5.8254959573357622E-7</v>
      </c>
      <c r="P64" s="56">
        <f t="shared" si="31"/>
        <v>1.5703237518128753E-5</v>
      </c>
      <c r="Q64" s="56">
        <f t="shared" si="32"/>
        <v>2.1996516318531186E-4</v>
      </c>
      <c r="R64" s="9">
        <f t="shared" si="38"/>
        <v>1.4999999999999999E-4</v>
      </c>
      <c r="S64" s="9">
        <f t="shared" si="39"/>
        <v>3.1402288064515569E-7</v>
      </c>
      <c r="T64" s="9">
        <f t="shared" si="40"/>
        <v>8.6918209229587483E-5</v>
      </c>
      <c r="U64" s="9">
        <f t="shared" si="41"/>
        <v>1.4968597711935484E-4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2.9136453532291715</v>
      </c>
      <c r="K65" s="55">
        <f t="shared" si="26"/>
        <v>5.1500003875625908E-2</v>
      </c>
      <c r="L65" s="55">
        <f t="shared" si="27"/>
        <v>5.6577902609731816E-3</v>
      </c>
      <c r="M65" s="55">
        <f t="shared" si="28"/>
        <v>0.99434220973902687</v>
      </c>
      <c r="N65" s="55">
        <f t="shared" si="29"/>
        <v>4.5085562753550135E-3</v>
      </c>
      <c r="O65" s="56">
        <f t="shared" si="30"/>
        <v>5.1775065381485411E-8</v>
      </c>
      <c r="P65" s="56">
        <f t="shared" si="31"/>
        <v>4.2439084747559859E-5</v>
      </c>
      <c r="Q65" s="56">
        <f t="shared" si="32"/>
        <v>6.7637361242875893E-4</v>
      </c>
      <c r="R65" s="9">
        <f t="shared" si="38"/>
        <v>1.4999999999999999E-4</v>
      </c>
      <c r="S65" s="9">
        <f t="shared" si="39"/>
        <v>8.4866853914597716E-7</v>
      </c>
      <c r="T65" s="9">
        <f t="shared" si="40"/>
        <v>7.7250005813438852E-6</v>
      </c>
      <c r="U65" s="9">
        <f t="shared" si="41"/>
        <v>1.4915133146085403E-4</v>
      </c>
      <c r="V65" s="102">
        <f t="shared" si="42"/>
        <v>5.179303802173147E-2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1.4630863314519809</v>
      </c>
      <c r="K68" s="55">
        <f t="shared" si="26"/>
        <v>0.45925811306574033</v>
      </c>
      <c r="L68" s="55">
        <f t="shared" si="27"/>
        <v>1.7878760115807384E-3</v>
      </c>
      <c r="M68" s="55">
        <f t="shared" si="28"/>
        <v>0.9982121239884193</v>
      </c>
      <c r="N68" s="55">
        <f t="shared" si="29"/>
        <v>9.2247173972238687E-4</v>
      </c>
      <c r="O68" s="56">
        <f t="shared" si="30"/>
        <v>4.617110105152849E-7</v>
      </c>
      <c r="P68" s="56">
        <f t="shared" si="31"/>
        <v>1.3410857962867115E-5</v>
      </c>
      <c r="Q68" s="56">
        <f t="shared" si="32"/>
        <v>1.3838921039315246E-4</v>
      </c>
      <c r="R68" s="9">
        <f>F68*$C$14</f>
        <v>1.4999999999999999E-4</v>
      </c>
      <c r="S68" s="9">
        <f t="shared" si="39"/>
        <v>2.6818140173711074E-7</v>
      </c>
      <c r="T68" s="9">
        <f t="shared" si="40"/>
        <v>6.8888716959861036E-5</v>
      </c>
      <c r="U68" s="9">
        <f t="shared" si="41"/>
        <v>1.4973181859826289E-4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3.8581605774828258</v>
      </c>
      <c r="K69" s="55">
        <f t="shared" si="26"/>
        <v>6.6452523867350823E-3</v>
      </c>
      <c r="L69" s="55">
        <f t="shared" si="27"/>
        <v>6.4248987260214028E-3</v>
      </c>
      <c r="M69" s="55">
        <f t="shared" si="28"/>
        <v>0.99357510127397863</v>
      </c>
      <c r="N69" s="55">
        <f t="shared" si="29"/>
        <v>5.2809093574928412E-3</v>
      </c>
      <c r="O69" s="56">
        <f t="shared" si="30"/>
        <v>6.6807446778177433E-9</v>
      </c>
      <c r="P69" s="56">
        <f t="shared" si="31"/>
        <v>4.819316534388657E-5</v>
      </c>
      <c r="Q69" s="56">
        <f t="shared" si="32"/>
        <v>7.9224202181107581E-4</v>
      </c>
      <c r="R69" s="9">
        <f>F69*$C$14</f>
        <v>1.4999999999999999E-4</v>
      </c>
      <c r="S69" s="9">
        <f t="shared" si="39"/>
        <v>9.6373480890321033E-7</v>
      </c>
      <c r="T69" s="9">
        <f t="shared" si="40"/>
        <v>9.9678785801026215E-7</v>
      </c>
      <c r="U69" s="9">
        <f t="shared" si="41"/>
        <v>1.4903626519109677E-4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0.63617430590334967</v>
      </c>
      <c r="K70" s="55">
        <f t="shared" si="26"/>
        <v>0.86179727562617514</v>
      </c>
      <c r="L70" s="55">
        <f t="shared" si="27"/>
        <v>4.9977399158648861E-4</v>
      </c>
      <c r="M70" s="55">
        <f t="shared" si="28"/>
        <v>0.99950022600841348</v>
      </c>
      <c r="N70" s="55">
        <f t="shared" si="29"/>
        <v>1.8504968492259581E-4</v>
      </c>
      <c r="O70" s="56">
        <f t="shared" si="30"/>
        <v>8.6640013462695953E-7</v>
      </c>
      <c r="P70" s="56">
        <f t="shared" si="31"/>
        <v>3.7488047108902502E-6</v>
      </c>
      <c r="Q70" s="56">
        <f t="shared" si="32"/>
        <v>2.7761153732087814E-5</v>
      </c>
      <c r="R70" s="9">
        <f t="shared" ref="R70:R86" si="43">F70*$C$14</f>
        <v>1.4999999999999999E-4</v>
      </c>
      <c r="S70" s="9">
        <f t="shared" si="39"/>
        <v>7.4966098737973282E-8</v>
      </c>
      <c r="T70" s="9">
        <f t="shared" si="40"/>
        <v>1.2926959134392627E-4</v>
      </c>
      <c r="U70" s="9">
        <f t="shared" si="41"/>
        <v>1.49925033901262E-4</v>
      </c>
      <c r="V70" s="102">
        <f t="shared" si="42"/>
        <v>0.86222819485277513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1.3625600825731248</v>
      </c>
      <c r="K71" s="55">
        <f t="shared" ref="K71:K122" si="46">IF(D71=0,"",1/(1+10^D71*$J$15/$J$14+10^E71*$J$16/$J$14+10^J71*$J$19/$J$14))</f>
        <v>0.59091324477437035</v>
      </c>
      <c r="L71" s="55">
        <f t="shared" ref="L71:L122" si="47">IF(D71=0,"",1/(1+10^I71/10^J71*$J$13/$J$19))</f>
        <v>1.8250637360860207E-3</v>
      </c>
      <c r="M71" s="55">
        <f t="shared" si="19"/>
        <v>0.99817493626391396</v>
      </c>
      <c r="N71" s="55">
        <f t="shared" ref="N71:N122" si="48">IF(D71=0,"",1/(1/10^E71*$J$20/$J$22+10^D71/10^E71*$J$21/$J$22+10^I71/10^E71*$J$13/$J$22+1))</f>
        <v>1.1887374844869419E-3</v>
      </c>
      <c r="O71" s="56">
        <f t="shared" si="21"/>
        <v>5.9406931224443297E-7</v>
      </c>
      <c r="P71" s="56">
        <f t="shared" ref="P71:P122" si="49">IF(D71=0,"",O71*10^J71)</f>
        <v>1.3689803084381236E-5</v>
      </c>
      <c r="Q71" s="56">
        <f t="shared" ref="Q71:Q122" si="50">IF(D71=0,"",F71*N71*$J$7/$J$22)</f>
        <v>1.78334397422731E-4</v>
      </c>
      <c r="R71" s="9">
        <f t="shared" si="43"/>
        <v>1.4999999999999999E-4</v>
      </c>
      <c r="S71" s="9">
        <f t="shared" si="39"/>
        <v>2.7375956041290307E-7</v>
      </c>
      <c r="T71" s="9">
        <f t="shared" si="40"/>
        <v>8.8636986716155542E-5</v>
      </c>
      <c r="U71" s="9">
        <f t="shared" si="41"/>
        <v>1.4972624043958709E-4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1.4662062884307066</v>
      </c>
      <c r="K72" s="55">
        <f t="shared" si="46"/>
        <v>0.47445870127901885</v>
      </c>
      <c r="L72" s="55">
        <f t="shared" si="47"/>
        <v>1.8603683098126491E-3</v>
      </c>
      <c r="M72" s="55">
        <f t="shared" si="19"/>
        <v>0.99813963169018738</v>
      </c>
      <c r="N72" s="55">
        <f t="shared" si="48"/>
        <v>1.028697415888681E-3</v>
      </c>
      <c r="O72" s="56">
        <f t="shared" si="21"/>
        <v>4.7699278506583037E-7</v>
      </c>
      <c r="P72" s="56">
        <f t="shared" si="49"/>
        <v>1.3954622691904684E-5</v>
      </c>
      <c r="Q72" s="56">
        <f t="shared" si="50"/>
        <v>1.5432518633161989E-4</v>
      </c>
      <c r="R72" s="9">
        <f t="shared" si="43"/>
        <v>1.4999999999999999E-4</v>
      </c>
      <c r="S72" s="9">
        <f t="shared" si="39"/>
        <v>2.7905524647189733E-7</v>
      </c>
      <c r="T72" s="9">
        <f t="shared" si="40"/>
        <v>7.1168805191852816E-5</v>
      </c>
      <c r="U72" s="9">
        <f t="shared" si="41"/>
        <v>1.4972094475352809E-4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5.7902923462368587</v>
      </c>
      <c r="K73" s="55">
        <f t="shared" si="46"/>
        <v>1.4557956952440898E-4</v>
      </c>
      <c r="L73" s="55">
        <f t="shared" si="47"/>
        <v>1.2038905512169422E-2</v>
      </c>
      <c r="M73" s="55">
        <f t="shared" si="19"/>
        <v>0.98796109448783054</v>
      </c>
      <c r="N73" s="55">
        <f t="shared" si="48"/>
        <v>1.1483457409109275E-2</v>
      </c>
      <c r="O73" s="56">
        <f t="shared" si="21"/>
        <v>1.4635710996328871E-10</v>
      </c>
      <c r="P73" s="56">
        <f t="shared" si="49"/>
        <v>9.0303830246782829E-5</v>
      </c>
      <c r="Q73" s="56">
        <f t="shared" si="50"/>
        <v>1.722748280514573E-3</v>
      </c>
      <c r="R73" s="9">
        <f t="shared" si="43"/>
        <v>1.4999999999999999E-4</v>
      </c>
      <c r="S73" s="9">
        <f t="shared" si="39"/>
        <v>1.8058358268254131E-6</v>
      </c>
      <c r="T73" s="9">
        <f t="shared" si="40"/>
        <v>2.1836935428661347E-8</v>
      </c>
      <c r="U73" s="9">
        <f t="shared" si="41"/>
        <v>1.4819416417317458E-4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0.50735979747220017</v>
      </c>
      <c r="K74" s="55">
        <f t="shared" si="46"/>
        <v>0.91103768783884276</v>
      </c>
      <c r="L74" s="55">
        <f t="shared" si="47"/>
        <v>3.9272664684765761E-4</v>
      </c>
      <c r="M74" s="55">
        <f t="shared" si="19"/>
        <v>0.99960727335315236</v>
      </c>
      <c r="N74" s="55">
        <f t="shared" si="48"/>
        <v>1.5076015538522883E-4</v>
      </c>
      <c r="O74" s="56">
        <f t="shared" si="21"/>
        <v>9.1590353986706593E-7</v>
      </c>
      <c r="P74" s="56">
        <f t="shared" si="49"/>
        <v>2.9458425780042795E-6</v>
      </c>
      <c r="Q74" s="56">
        <f t="shared" si="50"/>
        <v>2.2617038510892023E-5</v>
      </c>
      <c r="R74" s="9">
        <f t="shared" si="43"/>
        <v>1.4999999999999999E-4</v>
      </c>
      <c r="S74" s="9">
        <f t="shared" si="39"/>
        <v>5.8908997027148634E-8</v>
      </c>
      <c r="T74" s="9">
        <f t="shared" si="40"/>
        <v>1.366556531758264E-4</v>
      </c>
      <c r="U74" s="9">
        <f t="shared" si="41"/>
        <v>1.4994109100297285E-4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0.50980800632319279</v>
      </c>
      <c r="K75" s="55">
        <f t="shared" si="46"/>
        <v>0.90638946656096386</v>
      </c>
      <c r="L75" s="55">
        <f t="shared" si="47"/>
        <v>3.9293171605728238E-4</v>
      </c>
      <c r="M75" s="55">
        <f t="shared" si="19"/>
        <v>0.99960706828394275</v>
      </c>
      <c r="N75" s="55">
        <f t="shared" si="48"/>
        <v>1.4303953280140076E-4</v>
      </c>
      <c r="O75" s="56">
        <f t="shared" si="21"/>
        <v>9.112304924406813E-7</v>
      </c>
      <c r="P75" s="56">
        <f t="shared" si="49"/>
        <v>2.947380802145674E-6</v>
      </c>
      <c r="Q75" s="56">
        <f t="shared" si="50"/>
        <v>2.1458790710866134E-5</v>
      </c>
      <c r="R75" s="9">
        <f t="shared" si="43"/>
        <v>1.4999999999999999E-4</v>
      </c>
      <c r="S75" s="9">
        <f t="shared" si="39"/>
        <v>5.8939757408592351E-8</v>
      </c>
      <c r="T75" s="9">
        <f t="shared" si="40"/>
        <v>1.3595841998414456E-4</v>
      </c>
      <c r="U75" s="9">
        <f t="shared" si="41"/>
        <v>1.4994106024259139E-4</v>
      </c>
      <c r="V75" s="102">
        <f t="shared" si="42"/>
        <v>0.90674575572678917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2.6948578399819088</v>
      </c>
      <c r="K76" s="55">
        <f t="shared" si="46"/>
        <v>7.2200534492973867E-2</v>
      </c>
      <c r="L76" s="55">
        <f t="shared" si="47"/>
        <v>4.7928350369387269E-3</v>
      </c>
      <c r="M76" s="55">
        <f t="shared" si="19"/>
        <v>0.99520716496306127</v>
      </c>
      <c r="N76" s="55">
        <f t="shared" si="48"/>
        <v>3.5866057942356483E-3</v>
      </c>
      <c r="O76" s="56">
        <f t="shared" si="21"/>
        <v>7.2586157526895587E-8</v>
      </c>
      <c r="P76" s="56">
        <f t="shared" si="49"/>
        <v>3.5951055612077404E-5</v>
      </c>
      <c r="Q76" s="56">
        <f t="shared" si="50"/>
        <v>5.3806260125123181E-4</v>
      </c>
      <c r="R76" s="9">
        <f t="shared" si="43"/>
        <v>1.4999999999999999E-4</v>
      </c>
      <c r="S76" s="9">
        <f t="shared" si="39"/>
        <v>7.1892525554080898E-7</v>
      </c>
      <c r="T76" s="9">
        <f t="shared" si="40"/>
        <v>1.083008017394608E-5</v>
      </c>
      <c r="U76" s="9">
        <f t="shared" si="41"/>
        <v>1.4928107474445918E-4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3.5001380315971067E-2</v>
      </c>
      <c r="K77" s="55">
        <f t="shared" si="46"/>
        <v>0.98988820861445437</v>
      </c>
      <c r="L77" s="55">
        <f t="shared" si="47"/>
        <v>1.4380757408694503E-4</v>
      </c>
      <c r="M77" s="55">
        <f t="shared" si="19"/>
        <v>0.99985619242591306</v>
      </c>
      <c r="N77" s="55">
        <f t="shared" si="48"/>
        <v>1.0072804018443946E-5</v>
      </c>
      <c r="O77" s="56">
        <f t="shared" si="21"/>
        <v>9.951752012514186E-7</v>
      </c>
      <c r="P77" s="56">
        <f t="shared" si="49"/>
        <v>1.0787006132261745E-6</v>
      </c>
      <c r="Q77" s="56">
        <f t="shared" si="50"/>
        <v>1.5111220588469605E-6</v>
      </c>
      <c r="R77" s="9">
        <f t="shared" si="43"/>
        <v>1.4999999999999999E-4</v>
      </c>
      <c r="S77" s="9">
        <f t="shared" si="39"/>
        <v>2.1571136113041753E-8</v>
      </c>
      <c r="T77" s="9">
        <f t="shared" si="40"/>
        <v>1.4848323129216815E-4</v>
      </c>
      <c r="U77" s="9">
        <f t="shared" si="41"/>
        <v>1.4997842886388694E-4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0.86614766954915146</v>
      </c>
      <c r="K78" s="55">
        <f t="shared" si="46"/>
        <v>0.81214568712160395</v>
      </c>
      <c r="L78" s="55">
        <f t="shared" si="47"/>
        <v>7.99789762383569E-4</v>
      </c>
      <c r="M78" s="55">
        <f t="shared" si="19"/>
        <v>0.9992002102376164</v>
      </c>
      <c r="N78" s="55">
        <f t="shared" si="48"/>
        <v>4.3221633409000314E-4</v>
      </c>
      <c r="O78" s="56">
        <f t="shared" si="21"/>
        <v>8.1648335700249305E-7</v>
      </c>
      <c r="P78" s="56">
        <f t="shared" si="49"/>
        <v>5.9992230076391501E-6</v>
      </c>
      <c r="Q78" s="56">
        <f t="shared" si="50"/>
        <v>6.4841094440182262E-5</v>
      </c>
      <c r="R78" s="9">
        <f t="shared" si="43"/>
        <v>1.4999999999999999E-4</v>
      </c>
      <c r="S78" s="9">
        <f t="shared" si="39"/>
        <v>1.1996846435753533E-7</v>
      </c>
      <c r="T78" s="9">
        <f t="shared" si="40"/>
        <v>1.2182185306824058E-4</v>
      </c>
      <c r="U78" s="9">
        <f t="shared" si="41"/>
        <v>1.4988003153564245E-4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1.8465793817928891</v>
      </c>
      <c r="K79" s="55">
        <f t="shared" si="46"/>
        <v>0.30889001664138627</v>
      </c>
      <c r="L79" s="55">
        <f t="shared" si="47"/>
        <v>2.9078867106016159E-3</v>
      </c>
      <c r="M79" s="55">
        <f t="shared" si="19"/>
        <v>0.9970921132893984</v>
      </c>
      <c r="N79" s="55">
        <f t="shared" si="48"/>
        <v>1.9050137085650199E-3</v>
      </c>
      <c r="O79" s="56">
        <f t="shared" si="21"/>
        <v>3.1053979813125838E-7</v>
      </c>
      <c r="P79" s="56">
        <f t="shared" si="49"/>
        <v>2.181205821622272E-5</v>
      </c>
      <c r="Q79" s="56">
        <f t="shared" si="50"/>
        <v>2.8579015655892426E-4</v>
      </c>
      <c r="R79" s="9">
        <f t="shared" si="43"/>
        <v>1.4999999999999999E-4</v>
      </c>
      <c r="S79" s="9">
        <f t="shared" si="39"/>
        <v>4.3618300659024234E-7</v>
      </c>
      <c r="T79" s="9">
        <f t="shared" si="40"/>
        <v>4.6333502496207938E-5</v>
      </c>
      <c r="U79" s="9">
        <f t="shared" si="41"/>
        <v>1.4956381699340974E-4</v>
      </c>
      <c r="V79" s="102">
        <f t="shared" si="42"/>
        <v>0.30979085334689965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4.7849539498028779</v>
      </c>
      <c r="K80" s="55">
        <f t="shared" si="46"/>
        <v>1.0380686488426802E-3</v>
      </c>
      <c r="L80" s="55">
        <f t="shared" si="47"/>
        <v>8.479578275542755E-3</v>
      </c>
      <c r="M80" s="55">
        <f t="shared" si="19"/>
        <v>0.9915204217244572</v>
      </c>
      <c r="N80" s="55">
        <f t="shared" si="48"/>
        <v>7.545470196892062E-3</v>
      </c>
      <c r="O80" s="56">
        <f t="shared" si="21"/>
        <v>1.0436129731970196E-9</v>
      </c>
      <c r="P80" s="56">
        <f t="shared" si="49"/>
        <v>6.3605316644846179E-5</v>
      </c>
      <c r="Q80" s="56">
        <f t="shared" si="50"/>
        <v>1.1319714389377469E-3</v>
      </c>
      <c r="R80" s="9">
        <f t="shared" si="43"/>
        <v>1.4999999999999999E-4</v>
      </c>
      <c r="S80" s="9">
        <f t="shared" si="39"/>
        <v>1.2719367413314131E-6</v>
      </c>
      <c r="T80" s="9">
        <f t="shared" si="40"/>
        <v>1.55710297326402E-7</v>
      </c>
      <c r="U80" s="9">
        <f t="shared" si="41"/>
        <v>1.4872806325866856E-4</v>
      </c>
      <c r="V80" s="102">
        <f t="shared" si="42"/>
        <v>1.0469463120459648E-3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2.1476419495508856</v>
      </c>
      <c r="K81" s="55">
        <f t="shared" si="46"/>
        <v>0.22488787519022024</v>
      </c>
      <c r="L81" s="55">
        <f t="shared" si="47"/>
        <v>4.2345008021819983E-3</v>
      </c>
      <c r="M81" s="55">
        <f t="shared" si="19"/>
        <v>0.99576549919781798</v>
      </c>
      <c r="N81" s="55">
        <f t="shared" si="48"/>
        <v>3.2297006748867678E-3</v>
      </c>
      <c r="O81" s="56">
        <f t="shared" si="21"/>
        <v>2.2608900126680766E-7</v>
      </c>
      <c r="P81" s="56">
        <f t="shared" si="49"/>
        <v>3.1762990517167181E-5</v>
      </c>
      <c r="Q81" s="56">
        <f t="shared" si="50"/>
        <v>4.845196952465128E-4</v>
      </c>
      <c r="R81" s="9">
        <f t="shared" si="43"/>
        <v>1.4999999999999999E-4</v>
      </c>
      <c r="S81" s="9">
        <f t="shared" si="39"/>
        <v>6.3517512032729971E-7</v>
      </c>
      <c r="T81" s="9">
        <f t="shared" si="40"/>
        <v>3.3733181278533035E-5</v>
      </c>
      <c r="U81" s="9">
        <f t="shared" si="41"/>
        <v>1.4936482487967268E-4</v>
      </c>
      <c r="V81" s="102">
        <f t="shared" si="42"/>
        <v>0.2258442126900243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3.0007157776870899</v>
      </c>
      <c r="K82" s="55">
        <f t="shared" si="46"/>
        <v>4.801991475124149E-2</v>
      </c>
      <c r="L82" s="55">
        <f t="shared" si="47"/>
        <v>6.4466099063352133E-3</v>
      </c>
      <c r="M82" s="55">
        <f t="shared" si="19"/>
        <v>0.99355339009366483</v>
      </c>
      <c r="N82" s="55">
        <f t="shared" si="48"/>
        <v>5.3756825926287062E-3</v>
      </c>
      <c r="O82" s="56">
        <f t="shared" si="21"/>
        <v>4.8276389102090482E-8</v>
      </c>
      <c r="P82" s="56">
        <f t="shared" si="49"/>
        <v>4.8356020907420437E-5</v>
      </c>
      <c r="Q82" s="56">
        <f t="shared" si="50"/>
        <v>8.0645990254615829E-4</v>
      </c>
      <c r="R82" s="9">
        <f t="shared" si="43"/>
        <v>1.4999999999999999E-4</v>
      </c>
      <c r="S82" s="9">
        <f t="shared" si="39"/>
        <v>9.6699148595028197E-7</v>
      </c>
      <c r="T82" s="9">
        <f t="shared" si="40"/>
        <v>7.202987212686223E-6</v>
      </c>
      <c r="U82" s="9">
        <f t="shared" si="41"/>
        <v>1.490330085140497E-4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2.3388959370141773</v>
      </c>
      <c r="K83" s="55">
        <f t="shared" si="46"/>
        <v>0.1628835211506317</v>
      </c>
      <c r="L83" s="55">
        <f t="shared" si="47"/>
        <v>4.7639513194187248E-3</v>
      </c>
      <c r="M83" s="55">
        <f t="shared" si="19"/>
        <v>0.99523604868058124</v>
      </c>
      <c r="N83" s="55">
        <f t="shared" si="48"/>
        <v>3.7096879752536354E-3</v>
      </c>
      <c r="O83" s="56">
        <f t="shared" si="21"/>
        <v>1.6375348199016081E-7</v>
      </c>
      <c r="P83" s="56">
        <f t="shared" si="49"/>
        <v>3.5734398846959847E-5</v>
      </c>
      <c r="Q83" s="56">
        <f t="shared" si="50"/>
        <v>5.5652739004755016E-4</v>
      </c>
      <c r="R83" s="9">
        <f t="shared" si="43"/>
        <v>1.4999999999999999E-4</v>
      </c>
      <c r="S83" s="9">
        <f t="shared" si="39"/>
        <v>7.1459269791280864E-7</v>
      </c>
      <c r="T83" s="9">
        <f t="shared" si="40"/>
        <v>2.4432528172594754E-5</v>
      </c>
      <c r="U83" s="9">
        <f t="shared" si="41"/>
        <v>1.4928540730208716E-4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0.66821968451796943</v>
      </c>
      <c r="K84" s="55">
        <f t="shared" si="46"/>
        <v>0.87318687113592408</v>
      </c>
      <c r="L84" s="55">
        <f t="shared" si="47"/>
        <v>5.4515639445607716E-4</v>
      </c>
      <c r="M84" s="55">
        <f t="shared" si="19"/>
        <v>0.99945484360554393</v>
      </c>
      <c r="N84" s="55">
        <f t="shared" si="48"/>
        <v>2.5475365894888312E-4</v>
      </c>
      <c r="O84" s="56">
        <f t="shared" si="21"/>
        <v>8.7785056196304407E-7</v>
      </c>
      <c r="P84" s="56">
        <f t="shared" si="49"/>
        <v>4.0892181148150338E-6</v>
      </c>
      <c r="Q84" s="56">
        <f t="shared" si="50"/>
        <v>3.8218143915511445E-5</v>
      </c>
      <c r="R84" s="9">
        <f t="shared" si="43"/>
        <v>1.4999999999999999E-4</v>
      </c>
      <c r="S84" s="9">
        <f t="shared" si="39"/>
        <v>8.1773459168411562E-8</v>
      </c>
      <c r="T84" s="9">
        <f t="shared" si="40"/>
        <v>1.3097803067038861E-4</v>
      </c>
      <c r="U84" s="9">
        <f t="shared" si="41"/>
        <v>1.4991822654083158E-4</v>
      </c>
      <c r="V84" s="102">
        <f t="shared" si="42"/>
        <v>0.87366315419103202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2.1336193491516409</v>
      </c>
      <c r="K85" s="55">
        <f t="shared" si="46"/>
        <v>0.23836757913050916</v>
      </c>
      <c r="L85" s="55">
        <f t="shared" si="47"/>
        <v>4.3457102235792931E-3</v>
      </c>
      <c r="M85" s="55">
        <f t="shared" si="19"/>
        <v>0.99565428977642068</v>
      </c>
      <c r="N85" s="55">
        <f t="shared" si="48"/>
        <v>3.3758366120182717E-3</v>
      </c>
      <c r="O85" s="56">
        <f t="shared" si="21"/>
        <v>2.3964070030195734E-7</v>
      </c>
      <c r="P85" s="56">
        <f t="shared" si="49"/>
        <v>3.2597172387068277E-5</v>
      </c>
      <c r="Q85" s="56">
        <f t="shared" si="50"/>
        <v>5.0644300853498097E-4</v>
      </c>
      <c r="R85" s="9">
        <f t="shared" si="43"/>
        <v>1.4999999999999999E-4</v>
      </c>
      <c r="S85" s="9">
        <f t="shared" si="39"/>
        <v>6.5185653353689388E-7</v>
      </c>
      <c r="T85" s="9">
        <f t="shared" si="40"/>
        <v>3.5755136869576368E-5</v>
      </c>
      <c r="U85" s="9">
        <f t="shared" si="41"/>
        <v>1.493481434664631E-4</v>
      </c>
      <c r="V85" s="102">
        <f t="shared" si="42"/>
        <v>0.23940797682299528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1.473638978374388</v>
      </c>
      <c r="K86" s="55">
        <f t="shared" si="46"/>
        <v>0.54336524932630093</v>
      </c>
      <c r="L86" s="55">
        <f t="shared" si="47"/>
        <v>2.1673301225008388E-3</v>
      </c>
      <c r="M86" s="55">
        <f t="shared" si="19"/>
        <v>0.99783266987749919</v>
      </c>
      <c r="N86" s="55">
        <f t="shared" si="48"/>
        <v>1.4862644602447583E-3</v>
      </c>
      <c r="O86" s="56">
        <f t="shared" si="21"/>
        <v>5.4626736296637697E-7</v>
      </c>
      <c r="P86" s="56">
        <f t="shared" si="49"/>
        <v>1.6257143248878793E-5</v>
      </c>
      <c r="Q86" s="56">
        <f t="shared" si="50"/>
        <v>2.229693943259186E-4</v>
      </c>
      <c r="R86" s="9">
        <f t="shared" si="43"/>
        <v>1.4999999999999999E-4</v>
      </c>
      <c r="S86" s="9">
        <f t="shared" si="39"/>
        <v>3.2509951837512576E-7</v>
      </c>
      <c r="T86" s="9">
        <f t="shared" si="40"/>
        <v>8.1504787398945129E-5</v>
      </c>
      <c r="U86" s="9">
        <f t="shared" si="41"/>
        <v>1.4967490048162487E-4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3.9852799121672526</v>
      </c>
      <c r="K88" s="55">
        <f t="shared" si="46"/>
        <v>7.1997508277163889E-3</v>
      </c>
      <c r="L88" s="55">
        <f t="shared" si="47"/>
        <v>9.3280659389817291E-3</v>
      </c>
      <c r="M88" s="55">
        <f t="shared" si="19"/>
        <v>0.99067193406101828</v>
      </c>
      <c r="N88" s="55">
        <f t="shared" si="48"/>
        <v>8.4951235519097525E-3</v>
      </c>
      <c r="O88" s="56">
        <f t="shared" si="21"/>
        <v>7.2382046948125468E-9</v>
      </c>
      <c r="P88" s="56">
        <f t="shared" si="49"/>
        <v>6.9969822608301958E-5</v>
      </c>
      <c r="Q88" s="56">
        <f t="shared" si="50"/>
        <v>1.2744384352575007E-3</v>
      </c>
      <c r="R88" s="9">
        <f>F88*$C$14</f>
        <v>1.4999999999999999E-4</v>
      </c>
      <c r="S88" s="9">
        <f t="shared" si="39"/>
        <v>1.3992098908472593E-6</v>
      </c>
      <c r="T88" s="9">
        <f t="shared" si="40"/>
        <v>1.0799626241574583E-6</v>
      </c>
      <c r="U88" s="9">
        <f t="shared" si="41"/>
        <v>1.4860079010915273E-4</v>
      </c>
      <c r="V88" s="102">
        <f t="shared" si="42"/>
        <v>7.2675429475454745E-3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5.4568603611336437</v>
      </c>
      <c r="K89" s="55">
        <f t="shared" si="46"/>
        <v>2.9646933277828442E-4</v>
      </c>
      <c r="L89" s="55">
        <f t="shared" si="47"/>
        <v>1.1377173103139595E-2</v>
      </c>
      <c r="M89" s="55">
        <f t="shared" si="19"/>
        <v>0.98862282689686043</v>
      </c>
      <c r="N89" s="55">
        <f t="shared" si="48"/>
        <v>1.0751300710481033E-2</v>
      </c>
      <c r="O89" s="56">
        <f t="shared" si="21"/>
        <v>2.9805277539922283E-10</v>
      </c>
      <c r="P89" s="56">
        <f t="shared" si="49"/>
        <v>8.5340175446650134E-5</v>
      </c>
      <c r="Q89" s="56">
        <f t="shared" si="50"/>
        <v>1.6129101325863644E-3</v>
      </c>
      <c r="R89" s="9">
        <f>F89*$C$14</f>
        <v>1.4999999999999999E-4</v>
      </c>
      <c r="S89" s="9">
        <f t="shared" si="39"/>
        <v>1.7065759654709391E-6</v>
      </c>
      <c r="T89" s="9">
        <f t="shared" si="40"/>
        <v>4.4470399916742659E-8</v>
      </c>
      <c r="U89" s="9">
        <f t="shared" si="41"/>
        <v>1.4829342403452906E-4</v>
      </c>
      <c r="V89" s="102">
        <f t="shared" si="42"/>
        <v>2.9988113233118176E-4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5.8376711731613922</v>
      </c>
      <c r="K90" s="55">
        <f t="shared" si="46"/>
        <v>1.3357121189368519E-4</v>
      </c>
      <c r="L90" s="55">
        <f t="shared" si="47"/>
        <v>1.2319079795265347E-2</v>
      </c>
      <c r="M90" s="55">
        <f t="shared" si="19"/>
        <v>0.98768092020473464</v>
      </c>
      <c r="N90" s="55">
        <f t="shared" si="48"/>
        <v>1.1793537694984082E-2</v>
      </c>
      <c r="O90" s="56">
        <f t="shared" si="21"/>
        <v>1.3428461569791954E-10</v>
      </c>
      <c r="P90" s="56">
        <f t="shared" si="49"/>
        <v>9.2405417544285396E-5</v>
      </c>
      <c r="Q90" s="56">
        <f t="shared" si="50"/>
        <v>1.7692665250015117E-3</v>
      </c>
      <c r="R90" s="9">
        <f>F90*$C$14</f>
        <v>1.4999999999999999E-4</v>
      </c>
      <c r="S90" s="9">
        <f t="shared" si="39"/>
        <v>1.8478619692898019E-6</v>
      </c>
      <c r="T90" s="9">
        <f t="shared" si="40"/>
        <v>2.0035681784052778E-8</v>
      </c>
      <c r="U90" s="9">
        <f t="shared" si="41"/>
        <v>1.4815213803071018E-4</v>
      </c>
      <c r="V90" s="102">
        <f t="shared" si="42"/>
        <v>1.352372098734047E-4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6.2686756056738835</v>
      </c>
      <c r="K91" s="55">
        <f t="shared" si="46"/>
        <v>5.300857555029898E-5</v>
      </c>
      <c r="L91" s="55">
        <f t="shared" si="47"/>
        <v>1.3189124519261739E-2</v>
      </c>
      <c r="M91" s="55">
        <f t="shared" si="19"/>
        <v>0.98681087548073831</v>
      </c>
      <c r="N91" s="55">
        <f t="shared" si="48"/>
        <v>1.275637762576254E-2</v>
      </c>
      <c r="O91" s="56">
        <f t="shared" si="21"/>
        <v>5.3291694337038211E-11</v>
      </c>
      <c r="P91" s="56">
        <f t="shared" si="49"/>
        <v>9.8931623018982343E-5</v>
      </c>
      <c r="Q91" s="56">
        <f t="shared" si="50"/>
        <v>1.9137117714168961E-3</v>
      </c>
      <c r="R91" s="9">
        <f t="shared" ref="R91:R92" si="51">F91*$C$14</f>
        <v>1.4999999999999999E-4</v>
      </c>
      <c r="S91" s="9">
        <f t="shared" si="39"/>
        <v>1.9783686778892607E-6</v>
      </c>
      <c r="T91" s="9">
        <f t="shared" si="40"/>
        <v>7.9512863325448469E-9</v>
      </c>
      <c r="U91" s="9">
        <f t="shared" si="41"/>
        <v>1.4802163132211074E-4</v>
      </c>
      <c r="V91" s="102">
        <f t="shared" si="42"/>
        <v>5.3717056497249418E-5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7.5335977384937181</v>
      </c>
      <c r="K92" s="55">
        <f t="shared" si="46"/>
        <v>3.1868710342191237E-6</v>
      </c>
      <c r="L92" s="55">
        <f t="shared" si="47"/>
        <v>1.4593398981057668E-2</v>
      </c>
      <c r="M92" s="55">
        <f t="shared" si="19"/>
        <v>0.98540660101894229</v>
      </c>
      <c r="N92" s="55">
        <f t="shared" si="48"/>
        <v>1.4310563068876597E-2</v>
      </c>
      <c r="O92" s="56">
        <f t="shared" si="21"/>
        <v>3.2038921114945612E-12</v>
      </c>
      <c r="P92" s="56">
        <f t="shared" si="49"/>
        <v>1.0946508575691372E-4</v>
      </c>
      <c r="Q92" s="56">
        <f t="shared" si="50"/>
        <v>2.1468706715928663E-3</v>
      </c>
      <c r="R92" s="9">
        <f t="shared" si="51"/>
        <v>1.4999999999999999E-4</v>
      </c>
      <c r="S92" s="9">
        <f t="shared" si="39"/>
        <v>2.1890098471586501E-6</v>
      </c>
      <c r="T92" s="9">
        <f t="shared" si="40"/>
        <v>4.7803065513286855E-10</v>
      </c>
      <c r="U92" s="9">
        <f t="shared" si="41"/>
        <v>1.4781099015284132E-4</v>
      </c>
      <c r="V92" s="102">
        <f t="shared" si="42"/>
        <v>3.2340670652335756E-6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1.270819636021709</v>
      </c>
      <c r="K93" s="55">
        <f t="shared" si="46"/>
        <v>0.56050803868058674</v>
      </c>
      <c r="L93" s="55">
        <f t="shared" si="47"/>
        <v>1.4015084170737307E-3</v>
      </c>
      <c r="M93" s="55">
        <f t="shared" ref="M93:M127" si="52">IF(D93=0,"",1-L93)</f>
        <v>0.99859849158292624</v>
      </c>
      <c r="N93" s="55">
        <f t="shared" si="48"/>
        <v>6.6795326749025845E-4</v>
      </c>
      <c r="O93" s="56">
        <f t="shared" ref="O93:O127" si="53">IF(D93=0,"",F93*K93*$J$7/$J$14)</f>
        <v>5.6350171195366417E-7</v>
      </c>
      <c r="P93" s="56">
        <f t="shared" si="49"/>
        <v>1.0512714636470054E-5</v>
      </c>
      <c r="Q93" s="56">
        <f t="shared" si="50"/>
        <v>1.0020634918888855E-4</v>
      </c>
      <c r="R93" s="9">
        <f>F93*$C$14</f>
        <v>1.4999999999999999E-4</v>
      </c>
      <c r="S93" s="9">
        <f t="shared" si="39"/>
        <v>2.1022626256105958E-7</v>
      </c>
      <c r="T93" s="9">
        <f t="shared" si="40"/>
        <v>8.4076205802088004E-5</v>
      </c>
      <c r="U93" s="9">
        <f t="shared" si="41"/>
        <v>1.4978977373743892E-4</v>
      </c>
      <c r="V93" s="102">
        <f t="shared" si="42"/>
        <v>0.5612946979241864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0.3105773051978919</v>
      </c>
      <c r="K107" s="55">
        <f t="shared" si="46"/>
        <v>0.95184347916647538</v>
      </c>
      <c r="L107" s="55">
        <f t="shared" si="47"/>
        <v>2.6081770733580158E-4</v>
      </c>
      <c r="M107" s="55">
        <f t="shared" si="52"/>
        <v>0.99973918229266423</v>
      </c>
      <c r="N107" s="55">
        <f t="shared" si="48"/>
        <v>7.453182784509412E-5</v>
      </c>
      <c r="O107" s="56">
        <f t="shared" si="53"/>
        <v>9.5692727491442092E-7</v>
      </c>
      <c r="P107" s="56">
        <f t="shared" si="49"/>
        <v>1.9563936227258466E-6</v>
      </c>
      <c r="Q107" s="56">
        <f t="shared" si="50"/>
        <v>1.1181264813321018E-5</v>
      </c>
      <c r="R107" s="9">
        <f>F107*$C$14</f>
        <v>1.4999999999999999E-4</v>
      </c>
      <c r="S107" s="9">
        <f t="shared" ref="S107:S108" si="54">$R107*L107</f>
        <v>3.9122656100370236E-8</v>
      </c>
      <c r="T107" s="9">
        <f t="shared" ref="T107:T108" si="55">R107*K107</f>
        <v>1.427765218749713E-4</v>
      </c>
      <c r="U107" s="9">
        <f t="shared" ref="U107:U108" si="56">$R107*M107</f>
        <v>1.4996087734389963E-4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1.0376508814998808</v>
      </c>
      <c r="K108" s="55">
        <f t="shared" si="46"/>
        <v>0.72989835385775081</v>
      </c>
      <c r="L108" s="55">
        <f t="shared" si="47"/>
        <v>1.066860152671572E-3</v>
      </c>
      <c r="M108" s="55">
        <f t="shared" si="52"/>
        <v>0.99893313984732846</v>
      </c>
      <c r="N108" s="55">
        <f t="shared" si="48"/>
        <v>5.8718589856342847E-4</v>
      </c>
      <c r="O108" s="56">
        <f t="shared" si="53"/>
        <v>7.3379674075537805E-7</v>
      </c>
      <c r="P108" s="56">
        <f t="shared" si="49"/>
        <v>8.0025180051894601E-6</v>
      </c>
      <c r="Q108" s="56">
        <f t="shared" si="50"/>
        <v>8.8089628502485519E-5</v>
      </c>
      <c r="R108" s="9">
        <f>F108*$C$14</f>
        <v>1.4999999999999999E-4</v>
      </c>
      <c r="S108" s="9">
        <f t="shared" si="54"/>
        <v>1.6002902290073577E-7</v>
      </c>
      <c r="T108" s="9">
        <f t="shared" si="55"/>
        <v>1.0948475307866262E-4</v>
      </c>
      <c r="U108" s="9">
        <f t="shared" si="56"/>
        <v>1.4983997097709926E-4</v>
      </c>
      <c r="V108" s="102">
        <f t="shared" si="57"/>
        <v>0.73067788497767183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0.9134404490197624</v>
      </c>
      <c r="K114" s="55">
        <f t="shared" si="46"/>
        <v>0.80074645878339412</v>
      </c>
      <c r="L114" s="55">
        <f t="shared" si="47"/>
        <v>8.7928508116615512E-4</v>
      </c>
      <c r="M114" s="55">
        <f t="shared" si="52"/>
        <v>0.99912071491883381</v>
      </c>
      <c r="N114" s="55">
        <f t="shared" si="48"/>
        <v>5.0071229986688821E-4</v>
      </c>
      <c r="O114" s="56">
        <f t="shared" si="53"/>
        <v>8.050232453890136E-7</v>
      </c>
      <c r="P114" s="56">
        <f t="shared" si="49"/>
        <v>6.5955173938273289E-6</v>
      </c>
      <c r="Q114" s="56">
        <f t="shared" si="50"/>
        <v>7.5116859226030552E-5</v>
      </c>
      <c r="R114" s="9">
        <f>F114*$C$14</f>
        <v>1.4999999999999999E-4</v>
      </c>
      <c r="S114" s="9">
        <f t="shared" ref="S114:S116" si="58">$R114*L114</f>
        <v>1.3189276217492325E-7</v>
      </c>
      <c r="T114" s="9">
        <f t="shared" ref="T114:T116" si="59">R114*K114</f>
        <v>1.201119688175091E-4</v>
      </c>
      <c r="U114" s="9">
        <f t="shared" ref="U114:U116" si="60">$R114*M114</f>
        <v>1.4986810723782506E-4</v>
      </c>
      <c r="V114" s="102">
        <f t="shared" ref="V114:V116" si="61">K114/M114</f>
        <v>0.80145116283415752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0.97331271643662465</v>
      </c>
      <c r="K115" s="55">
        <f t="shared" si="46"/>
        <v>0.67030580362486192</v>
      </c>
      <c r="L115" s="55">
        <f t="shared" si="47"/>
        <v>8.4485061558091834E-4</v>
      </c>
      <c r="M115" s="55">
        <f t="shared" si="52"/>
        <v>0.99915514938441907</v>
      </c>
      <c r="N115" s="55">
        <f t="shared" si="48"/>
        <v>2.3957043020361583E-4</v>
      </c>
      <c r="O115" s="56">
        <f t="shared" si="53"/>
        <v>6.7388590672886733E-7</v>
      </c>
      <c r="P115" s="56">
        <f t="shared" si="49"/>
        <v>6.3372244674724648E-6</v>
      </c>
      <c r="Q115" s="56">
        <f t="shared" si="50"/>
        <v>3.5940355939146441E-5</v>
      </c>
      <c r="R115" s="9">
        <f>F115*$C$14</f>
        <v>1.4999999999999999E-4</v>
      </c>
      <c r="S115" s="9">
        <f t="shared" si="58"/>
        <v>1.2672759233713775E-7</v>
      </c>
      <c r="T115" s="9">
        <f t="shared" si="59"/>
        <v>1.0054587054372927E-4</v>
      </c>
      <c r="U115" s="9">
        <f t="shared" si="60"/>
        <v>1.4987327240766285E-4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7.3650487553540506E-2</v>
      </c>
      <c r="K116" s="55">
        <f t="shared" si="46"/>
        <v>0.98145524607675305</v>
      </c>
      <c r="L116" s="55">
        <f t="shared" si="47"/>
        <v>1.5585301820296728E-4</v>
      </c>
      <c r="M116" s="55">
        <f t="shared" si="52"/>
        <v>0.99984414698179702</v>
      </c>
      <c r="N116" s="55">
        <f t="shared" si="48"/>
        <v>8.9860686869679159E-6</v>
      </c>
      <c r="O116" s="56">
        <f t="shared" si="53"/>
        <v>9.8669719826323329E-7</v>
      </c>
      <c r="P116" s="56">
        <f t="shared" si="49"/>
        <v>1.1690534895404569E-6</v>
      </c>
      <c r="Q116" s="56">
        <f t="shared" si="50"/>
        <v>1.3480900244189265E-6</v>
      </c>
      <c r="R116" s="9">
        <f>F116*$C$14</f>
        <v>1.4999999999999999E-4</v>
      </c>
      <c r="S116" s="9">
        <f t="shared" si="58"/>
        <v>2.337795273044509E-8</v>
      </c>
      <c r="T116" s="9">
        <f t="shared" si="59"/>
        <v>1.4721828691151295E-4</v>
      </c>
      <c r="U116" s="9">
        <f t="shared" si="60"/>
        <v>1.4997662204726953E-4</v>
      </c>
      <c r="V116" s="102">
        <f t="shared" si="61"/>
        <v>0.98160823268250952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3.1029128175372134</v>
      </c>
      <c r="K119" s="55">
        <f t="shared" si="46"/>
        <v>3.5489350210918966E-2</v>
      </c>
      <c r="L119" s="55">
        <f t="shared" si="47"/>
        <v>6.028442099842754E-3</v>
      </c>
      <c r="M119" s="55">
        <f t="shared" si="52"/>
        <v>0.99397155790015723</v>
      </c>
      <c r="N119" s="55">
        <f t="shared" si="48"/>
        <v>4.8914236708783466E-3</v>
      </c>
      <c r="O119" s="56">
        <f t="shared" si="53"/>
        <v>3.5678898820168899E-8</v>
      </c>
      <c r="P119" s="56">
        <f t="shared" si="49"/>
        <v>4.5219344190920518E-5</v>
      </c>
      <c r="Q119" s="56">
        <f t="shared" si="50"/>
        <v>7.3381137910516936E-4</v>
      </c>
      <c r="R119" s="9">
        <f>F119*$C$14</f>
        <v>1.4999999999999999E-4</v>
      </c>
      <c r="S119" s="9">
        <f t="shared" ref="S119:S121" si="62">$R119*L119</f>
        <v>9.0426631497641305E-7</v>
      </c>
      <c r="T119" s="9">
        <f t="shared" ref="T119:T121" si="63">R119*K119</f>
        <v>5.3234025316378443E-6</v>
      </c>
      <c r="U119" s="9">
        <f t="shared" ref="U119:U121" si="64">$R119*M119</f>
        <v>1.4909573368502356E-4</v>
      </c>
      <c r="V119" s="102">
        <f t="shared" ref="V119:V121" si="65">K119/M119</f>
        <v>3.5704593284231388E-2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1.1861747440639347</v>
      </c>
      <c r="K120" s="55">
        <f t="shared" si="46"/>
        <v>0.63835754465835903</v>
      </c>
      <c r="L120" s="55">
        <f t="shared" si="47"/>
        <v>1.3135087447961654E-3</v>
      </c>
      <c r="M120" s="55">
        <f t="shared" si="52"/>
        <v>0.99868649125520381</v>
      </c>
      <c r="N120" s="55">
        <f t="shared" si="48"/>
        <v>7.0366221125934072E-4</v>
      </c>
      <c r="O120" s="56">
        <f t="shared" si="53"/>
        <v>6.4176701212043064E-7</v>
      </c>
      <c r="P120" s="56">
        <f t="shared" si="49"/>
        <v>9.8526290947160344E-6</v>
      </c>
      <c r="Q120" s="56">
        <f t="shared" si="50"/>
        <v>1.0556340493312626E-4</v>
      </c>
      <c r="R120" s="9">
        <f>F120*$C$14</f>
        <v>1.4999999999999999E-4</v>
      </c>
      <c r="S120" s="9">
        <f t="shared" si="62"/>
        <v>1.9702631171942478E-7</v>
      </c>
      <c r="T120" s="9">
        <f t="shared" si="63"/>
        <v>9.5753631698753842E-5</v>
      </c>
      <c r="U120" s="9">
        <f t="shared" si="64"/>
        <v>1.4980297368828057E-4</v>
      </c>
      <c r="V120" s="102">
        <f t="shared" si="65"/>
        <v>0.63919713568573089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3.5462712425453593</v>
      </c>
      <c r="K121" s="55">
        <f t="shared" si="46"/>
        <v>1.0030793303779073E-2</v>
      </c>
      <c r="L121" s="55">
        <f t="shared" si="47"/>
        <v>4.7293423459703289E-3</v>
      </c>
      <c r="M121" s="55">
        <f t="shared" si="52"/>
        <v>0.99527065765402967</v>
      </c>
      <c r="N121" s="55">
        <f t="shared" si="48"/>
        <v>3.4100324713966326E-3</v>
      </c>
      <c r="O121" s="56">
        <f t="shared" si="53"/>
        <v>1.0084367767924089E-8</v>
      </c>
      <c r="P121" s="56">
        <f t="shared" si="49"/>
        <v>3.5474796937123457E-5</v>
      </c>
      <c r="Q121" s="56">
        <f t="shared" si="50"/>
        <v>5.1157307135892276E-4</v>
      </c>
      <c r="R121" s="9">
        <f>F121*$C$14</f>
        <v>1.4999999999999999E-4</v>
      </c>
      <c r="S121" s="9">
        <f t="shared" si="62"/>
        <v>7.0940135189554926E-7</v>
      </c>
      <c r="T121" s="9">
        <f t="shared" si="63"/>
        <v>1.5046189955668609E-6</v>
      </c>
      <c r="U121" s="9">
        <f t="shared" si="64"/>
        <v>1.4929059864810442E-4</v>
      </c>
      <c r="V121" s="102">
        <f t="shared" si="65"/>
        <v>1.0078457780944568E-2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2.2472155850103039</v>
      </c>
      <c r="K124" s="55">
        <f t="shared" si="68"/>
        <v>0.2063330450553203</v>
      </c>
      <c r="L124" s="55">
        <f t="shared" si="69"/>
        <v>4.8862828294509043E-3</v>
      </c>
      <c r="M124" s="55">
        <f t="shared" si="52"/>
        <v>0.99511371717054908</v>
      </c>
      <c r="N124" s="55">
        <f t="shared" si="70"/>
        <v>3.9193768279448113E-3</v>
      </c>
      <c r="O124" s="56">
        <f t="shared" si="53"/>
        <v>2.0743506978950394E-7</v>
      </c>
      <c r="P124" s="56">
        <f t="shared" si="71"/>
        <v>3.6652007503711235E-5</v>
      </c>
      <c r="Q124" s="56">
        <f t="shared" si="72"/>
        <v>5.8798491172828038E-4</v>
      </c>
      <c r="R124" s="9">
        <f>F124*$C$14</f>
        <v>1.4999999999999999E-4</v>
      </c>
      <c r="S124" s="9">
        <f t="shared" ref="S124:S127" si="73">$R124*L124</f>
        <v>7.3294242441763558E-7</v>
      </c>
      <c r="T124" s="9">
        <f t="shared" ref="T124:T127" si="74">R124*K124</f>
        <v>3.094995675829804E-5</v>
      </c>
      <c r="U124" s="9">
        <f t="shared" ref="U124:U127" si="75">$R124*M124</f>
        <v>1.4926705757558234E-4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1.5520519557651959</v>
      </c>
      <c r="K126" s="55">
        <f t="shared" si="68"/>
        <v>0.45071565881041065</v>
      </c>
      <c r="L126" s="55">
        <f t="shared" si="69"/>
        <v>2.1535196119632028E-3</v>
      </c>
      <c r="M126" s="55">
        <f t="shared" si="52"/>
        <v>0.99784648038803681</v>
      </c>
      <c r="N126" s="55">
        <f t="shared" si="70"/>
        <v>1.3125651822939776E-3</v>
      </c>
      <c r="O126" s="56">
        <f t="shared" si="53"/>
        <v>4.5312293101423906E-7</v>
      </c>
      <c r="P126" s="56">
        <f t="shared" si="71"/>
        <v>1.6153550609335987E-5</v>
      </c>
      <c r="Q126" s="56">
        <f t="shared" si="72"/>
        <v>1.9691102864774249E-4</v>
      </c>
      <c r="R126" s="9">
        <f>F126*$C$14</f>
        <v>1.4999999999999999E-4</v>
      </c>
      <c r="S126" s="9">
        <f t="shared" si="73"/>
        <v>3.2302794179448037E-7</v>
      </c>
      <c r="T126" s="9">
        <f t="shared" si="74"/>
        <v>6.7607348821561593E-5</v>
      </c>
      <c r="U126" s="9">
        <f t="shared" si="75"/>
        <v>1.496769720582055E-4</v>
      </c>
      <c r="V126" s="102">
        <f t="shared" si="76"/>
        <v>0.45168837859220484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1.0401926303760755E-2</v>
      </c>
      <c r="K127" s="55">
        <f t="shared" si="68"/>
        <v>0.99343531999759072</v>
      </c>
      <c r="L127" s="55">
        <f t="shared" si="69"/>
        <v>1.36375310275414E-4</v>
      </c>
      <c r="M127" s="55">
        <f t="shared" si="52"/>
        <v>0.99986362468972456</v>
      </c>
      <c r="N127" s="55">
        <f t="shared" si="70"/>
        <v>7.9115728187579887E-6</v>
      </c>
      <c r="O127" s="56">
        <f t="shared" si="53"/>
        <v>9.9874125775543006E-7</v>
      </c>
      <c r="P127" s="56">
        <f t="shared" si="71"/>
        <v>1.0229512023758802E-6</v>
      </c>
      <c r="Q127" s="56">
        <f t="shared" si="72"/>
        <v>1.1868941542700731E-6</v>
      </c>
      <c r="R127" s="9">
        <f>F127*$C$14</f>
        <v>1.4999999999999999E-4</v>
      </c>
      <c r="S127" s="9">
        <f t="shared" si="73"/>
        <v>2.0456296541312098E-8</v>
      </c>
      <c r="T127" s="9">
        <f t="shared" si="74"/>
        <v>1.4901529799963859E-4</v>
      </c>
      <c r="U127" s="9">
        <f t="shared" si="75"/>
        <v>1.4997954370345867E-4</v>
      </c>
      <c r="V127" s="102">
        <f t="shared" si="76"/>
        <v>0.99357081852624785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0.263940988382738</v>
      </c>
      <c r="K130" s="55">
        <f t="shared" si="79"/>
        <v>0.94842996451532224</v>
      </c>
      <c r="L130" s="55">
        <f t="shared" si="80"/>
        <v>2.3342130014476187E-4</v>
      </c>
      <c r="M130" s="55">
        <f t="shared" si="81"/>
        <v>0.99976657869985519</v>
      </c>
      <c r="N130" s="55">
        <f t="shared" si="82"/>
        <v>3.8372624133081234E-5</v>
      </c>
      <c r="O130" s="56">
        <f t="shared" si="83"/>
        <v>9.5349552868249948E-7</v>
      </c>
      <c r="P130" s="56">
        <f t="shared" si="84"/>
        <v>1.7508931723858583E-6</v>
      </c>
      <c r="Q130" s="56">
        <f t="shared" si="85"/>
        <v>5.7566610724448461E-6</v>
      </c>
      <c r="R130" s="9">
        <f>F130*$C$14</f>
        <v>1.4999999999999999E-4</v>
      </c>
      <c r="S130" s="9">
        <f t="shared" ref="S130:S131" si="86">$R130*L130</f>
        <v>3.5013195021714275E-8</v>
      </c>
      <c r="T130" s="9">
        <f t="shared" ref="T130:T131" si="87">R130*K130</f>
        <v>1.4226449467729833E-4</v>
      </c>
      <c r="U130" s="9">
        <f t="shared" ref="U130:U131" si="88">$R130*M130</f>
        <v>1.4996498680497827E-4</v>
      </c>
      <c r="V130" s="102">
        <f t="shared" ref="V130:V131" si="89">K130/M130</f>
        <v>0.9486513999584848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-1.6017347337335754E-2</v>
      </c>
      <c r="K131" s="55">
        <f t="shared" si="79"/>
        <v>0.99602906723053164</v>
      </c>
      <c r="L131" s="55">
        <f t="shared" si="80"/>
        <v>1.286615840849404E-4</v>
      </c>
      <c r="M131" s="55">
        <f t="shared" si="81"/>
        <v>0.99987133841591502</v>
      </c>
      <c r="N131" s="55">
        <f t="shared" si="82"/>
        <v>3.8087392882446848E-6</v>
      </c>
      <c r="O131" s="56">
        <f t="shared" si="83"/>
        <v>1.0013488581915949E-6</v>
      </c>
      <c r="P131" s="56">
        <f t="shared" si="84"/>
        <v>9.6509054222113773E-7</v>
      </c>
      <c r="Q131" s="56">
        <f t="shared" si="85"/>
        <v>5.7138706802246748E-7</v>
      </c>
      <c r="R131" s="9">
        <f>F131*$C$14</f>
        <v>1.4999999999999999E-4</v>
      </c>
      <c r="S131" s="9">
        <f t="shared" si="86"/>
        <v>1.9299237612741059E-8</v>
      </c>
      <c r="T131" s="9">
        <f t="shared" si="87"/>
        <v>1.4940436008457973E-4</v>
      </c>
      <c r="U131" s="9">
        <f t="shared" si="88"/>
        <v>1.4998070076238724E-4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2024-10-28T22:41:21Z</dcterms:modified>
</cp:coreProperties>
</file>