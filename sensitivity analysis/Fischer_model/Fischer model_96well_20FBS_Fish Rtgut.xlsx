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CFE533F1-58B8-4B04-B27C-EBD09F5CD259}" xr6:coauthVersionLast="47" xr6:coauthVersionMax="47" xr10:uidLastSave="{00000000-0000-0000-0000-000000000000}"/>
  <bookViews>
    <workbookView xWindow="43080" yWindow="-120" windowWidth="29040" windowHeight="15720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3" i="4" l="1"/>
  <c r="T143" i="4" s="1"/>
  <c r="R142" i="4"/>
  <c r="U141" i="4"/>
  <c r="S141" i="4"/>
  <c r="R141" i="4"/>
  <c r="T141" i="4" s="1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I135" i="4"/>
  <c r="J135" i="4"/>
  <c r="K135" i="4" s="1"/>
  <c r="O135" i="4" s="1"/>
  <c r="P135" i="4" s="1"/>
  <c r="I136" i="4"/>
  <c r="L136" i="4" s="1"/>
  <c r="M136" i="4" s="1"/>
  <c r="U136" i="4" s="1"/>
  <c r="J136" i="4"/>
  <c r="K136" i="4"/>
  <c r="I137" i="4"/>
  <c r="L137" i="4" s="1"/>
  <c r="J137" i="4"/>
  <c r="K137" i="4" s="1"/>
  <c r="I138" i="4"/>
  <c r="J138" i="4"/>
  <c r="K138" i="4" s="1"/>
  <c r="O138" i="4" s="1"/>
  <c r="P138" i="4" s="1"/>
  <c r="L138" i="4"/>
  <c r="M138" i="4" s="1"/>
  <c r="V138" i="4" s="1"/>
  <c r="N138" i="4"/>
  <c r="Q138" i="4"/>
  <c r="I139" i="4"/>
  <c r="J139" i="4"/>
  <c r="K139" i="4" s="1"/>
  <c r="I140" i="4"/>
  <c r="N140" i="4" s="1"/>
  <c r="Q140" i="4" s="1"/>
  <c r="J140" i="4"/>
  <c r="K140" i="4"/>
  <c r="I141" i="4"/>
  <c r="J141" i="4"/>
  <c r="K141" i="4"/>
  <c r="L141" i="4"/>
  <c r="M141" i="4" s="1"/>
  <c r="V141" i="4" s="1"/>
  <c r="N141" i="4"/>
  <c r="Q141" i="4" s="1"/>
  <c r="O141" i="4"/>
  <c r="P141" i="4" s="1"/>
  <c r="I142" i="4"/>
  <c r="N142" i="4" s="1"/>
  <c r="Q142" i="4" s="1"/>
  <c r="J142" i="4"/>
  <c r="K142" i="4" s="1"/>
  <c r="O142" i="4" s="1"/>
  <c r="P142" i="4" s="1"/>
  <c r="L142" i="4"/>
  <c r="M142" i="4" s="1"/>
  <c r="I143" i="4"/>
  <c r="J143" i="4"/>
  <c r="K143" i="4" s="1"/>
  <c r="O143" i="4" s="1"/>
  <c r="P143" i="4" s="1"/>
  <c r="O137" i="4" l="1"/>
  <c r="P137" i="4" s="1"/>
  <c r="S137" i="4"/>
  <c r="M137" i="4"/>
  <c r="V137" i="4" s="1"/>
  <c r="O139" i="4"/>
  <c r="P139" i="4" s="1"/>
  <c r="T139" i="4"/>
  <c r="L139" i="4"/>
  <c r="O136" i="4"/>
  <c r="P136" i="4" s="1"/>
  <c r="V136" i="4"/>
  <c r="T136" i="4"/>
  <c r="N137" i="4"/>
  <c r="Q137" i="4" s="1"/>
  <c r="U137" i="4"/>
  <c r="V142" i="4"/>
  <c r="O140" i="4"/>
  <c r="P140" i="4" s="1"/>
  <c r="V140" i="4"/>
  <c r="L140" i="4"/>
  <c r="M140" i="4" s="1"/>
  <c r="U138" i="4"/>
  <c r="S136" i="4"/>
  <c r="L143" i="4"/>
  <c r="M143" i="4" s="1"/>
  <c r="L135" i="4"/>
  <c r="M135" i="4" s="1"/>
  <c r="V135" i="4" s="1"/>
  <c r="S140" i="4"/>
  <c r="T135" i="4"/>
  <c r="U142" i="4"/>
  <c r="T142" i="4"/>
  <c r="S142" i="4"/>
  <c r="T137" i="4"/>
  <c r="T140" i="4"/>
  <c r="S138" i="4"/>
  <c r="U140" i="4"/>
  <c r="T138" i="4"/>
  <c r="N143" i="4"/>
  <c r="Q143" i="4" s="1"/>
  <c r="N139" i="4"/>
  <c r="Q139" i="4" s="1"/>
  <c r="N135" i="4"/>
  <c r="Q135" i="4" s="1"/>
  <c r="N136" i="4"/>
  <c r="Q136" i="4" s="1"/>
  <c r="S135" i="4" l="1"/>
  <c r="V143" i="4"/>
  <c r="U143" i="4"/>
  <c r="U135" i="4"/>
  <c r="M139" i="4"/>
  <c r="S139" i="4"/>
  <c r="S143" i="4"/>
  <c r="U139" i="4" l="1"/>
  <c r="V139" i="4"/>
  <c r="I128" i="4" l="1"/>
  <c r="J128" i="4"/>
  <c r="K128" i="4" s="1"/>
  <c r="I129" i="4"/>
  <c r="N129" i="4" s="1"/>
  <c r="Q129" i="4" s="1"/>
  <c r="J129" i="4"/>
  <c r="K129" i="4"/>
  <c r="L129" i="4"/>
  <c r="I130" i="4"/>
  <c r="N130" i="4" s="1"/>
  <c r="Q130" i="4" s="1"/>
  <c r="J130" i="4"/>
  <c r="K130" i="4"/>
  <c r="L130" i="4"/>
  <c r="S130" i="4" s="1"/>
  <c r="I131" i="4"/>
  <c r="J131" i="4"/>
  <c r="K131" i="4" s="1"/>
  <c r="I132" i="4"/>
  <c r="N132" i="4" s="1"/>
  <c r="Q132" i="4" s="1"/>
  <c r="J132" i="4"/>
  <c r="K132" i="4"/>
  <c r="L132" i="4"/>
  <c r="I133" i="4"/>
  <c r="N133" i="4" s="1"/>
  <c r="Q133" i="4" s="1"/>
  <c r="J133" i="4"/>
  <c r="K133" i="4"/>
  <c r="O133" i="4" s="1"/>
  <c r="P133" i="4" s="1"/>
  <c r="L133" i="4"/>
  <c r="S133" i="4" s="1"/>
  <c r="I134" i="4"/>
  <c r="J134" i="4"/>
  <c r="K134" i="4" s="1"/>
  <c r="L134" i="4"/>
  <c r="S134" i="4" s="1"/>
  <c r="M134" i="4"/>
  <c r="U134" i="4" s="1"/>
  <c r="N134" i="4"/>
  <c r="Q134" i="4"/>
  <c r="O130" i="4" l="1"/>
  <c r="P130" i="4" s="1"/>
  <c r="T130" i="4"/>
  <c r="M132" i="4"/>
  <c r="U132" i="4" s="1"/>
  <c r="S132" i="4"/>
  <c r="O129" i="4"/>
  <c r="P129" i="4" s="1"/>
  <c r="V129" i="4"/>
  <c r="T129" i="4"/>
  <c r="O128" i="4"/>
  <c r="P128" i="4" s="1"/>
  <c r="T128" i="4"/>
  <c r="L131" i="4"/>
  <c r="T133" i="4"/>
  <c r="M129" i="4"/>
  <c r="U129" i="4" s="1"/>
  <c r="S129" i="4"/>
  <c r="O132" i="4"/>
  <c r="P132" i="4" s="1"/>
  <c r="V132" i="4"/>
  <c r="T132" i="4"/>
  <c r="O134" i="4"/>
  <c r="P134" i="4" s="1"/>
  <c r="V134" i="4"/>
  <c r="T134" i="4"/>
  <c r="T131" i="4"/>
  <c r="L128" i="4"/>
  <c r="M133" i="4"/>
  <c r="U133" i="4" s="1"/>
  <c r="M130" i="4"/>
  <c r="U130" i="4" s="1"/>
  <c r="O131" i="4"/>
  <c r="P131" i="4" s="1"/>
  <c r="N131" i="4"/>
  <c r="Q131" i="4" s="1"/>
  <c r="N128" i="4"/>
  <c r="Q128" i="4" s="1"/>
  <c r="M131" i="4" l="1"/>
  <c r="S131" i="4"/>
  <c r="V130" i="4"/>
  <c r="M128" i="4"/>
  <c r="S128" i="4"/>
  <c r="V133" i="4"/>
  <c r="O15" i="1"/>
  <c r="L15" i="1"/>
  <c r="N15" i="1"/>
  <c r="J16" i="4"/>
  <c r="J15" i="4"/>
  <c r="J87" i="4"/>
  <c r="K87" i="4" s="1"/>
  <c r="J122" i="4"/>
  <c r="K122" i="4" s="1"/>
  <c r="J117" i="4"/>
  <c r="K117" i="4"/>
  <c r="J120" i="4"/>
  <c r="K120" i="4"/>
  <c r="J101" i="4"/>
  <c r="K101" i="4"/>
  <c r="J86" i="4"/>
  <c r="K86" i="4" s="1"/>
  <c r="J85" i="4"/>
  <c r="K85" i="4" s="1"/>
  <c r="J88" i="4"/>
  <c r="K88" i="4" s="1"/>
  <c r="J119" i="4"/>
  <c r="K119" i="4" s="1"/>
  <c r="J72" i="4"/>
  <c r="K72" i="4" s="1"/>
  <c r="J103" i="4"/>
  <c r="K103" i="4"/>
  <c r="O103" i="4" s="1"/>
  <c r="P103" i="4" s="1"/>
  <c r="J118" i="4"/>
  <c r="K118" i="4"/>
  <c r="J104" i="4"/>
  <c r="L104" i="4" s="1"/>
  <c r="K104" i="4"/>
  <c r="J90" i="4"/>
  <c r="K90" i="4" s="1"/>
  <c r="J71" i="4"/>
  <c r="K71" i="4"/>
  <c r="J110" i="4"/>
  <c r="K110" i="4" s="1"/>
  <c r="J82" i="4"/>
  <c r="K82" i="4" s="1"/>
  <c r="J113" i="4"/>
  <c r="K113" i="4"/>
  <c r="J97" i="4"/>
  <c r="K97" i="4"/>
  <c r="O97" i="4" s="1"/>
  <c r="P97" i="4" s="1"/>
  <c r="J81" i="4"/>
  <c r="K81" i="4" s="1"/>
  <c r="J116" i="4"/>
  <c r="K116" i="4" s="1"/>
  <c r="J100" i="4"/>
  <c r="L100" i="4" s="1"/>
  <c r="M100" i="4" s="1"/>
  <c r="K100" i="4"/>
  <c r="O100" i="4" s="1"/>
  <c r="P100" i="4" s="1"/>
  <c r="J84" i="4"/>
  <c r="K84" i="4" s="1"/>
  <c r="J114" i="4"/>
  <c r="K114" i="4" s="1"/>
  <c r="J78" i="4"/>
  <c r="K78" i="4"/>
  <c r="J115" i="4"/>
  <c r="K115" i="4"/>
  <c r="J99" i="4"/>
  <c r="K99" i="4"/>
  <c r="J83" i="4"/>
  <c r="K83" i="4"/>
  <c r="J102" i="4"/>
  <c r="K102" i="4" s="1"/>
  <c r="J74" i="4"/>
  <c r="K74" i="4" s="1"/>
  <c r="J125" i="4"/>
  <c r="K125" i="4" s="1"/>
  <c r="J109" i="4"/>
  <c r="K109" i="4"/>
  <c r="J93" i="4"/>
  <c r="K93" i="4"/>
  <c r="J77" i="4"/>
  <c r="K77" i="4" s="1"/>
  <c r="J112" i="4"/>
  <c r="K112" i="4"/>
  <c r="J96" i="4"/>
  <c r="K96" i="4" s="1"/>
  <c r="J80" i="4"/>
  <c r="K80" i="4" s="1"/>
  <c r="J106" i="4"/>
  <c r="K106" i="4"/>
  <c r="J127" i="4"/>
  <c r="K127" i="4" s="1"/>
  <c r="J111" i="4"/>
  <c r="K111" i="4"/>
  <c r="J95" i="4"/>
  <c r="K95" i="4" s="1"/>
  <c r="J79" i="4"/>
  <c r="K79" i="4" s="1"/>
  <c r="J126" i="4"/>
  <c r="K126" i="4" s="1"/>
  <c r="J94" i="4"/>
  <c r="K94" i="4"/>
  <c r="J121" i="4"/>
  <c r="K121" i="4" s="1"/>
  <c r="J105" i="4"/>
  <c r="K105" i="4" s="1"/>
  <c r="J89" i="4"/>
  <c r="K89" i="4" s="1"/>
  <c r="J73" i="4"/>
  <c r="K73" i="4" s="1"/>
  <c r="J124" i="4"/>
  <c r="K124" i="4"/>
  <c r="J108" i="4"/>
  <c r="K108" i="4" s="1"/>
  <c r="J92" i="4"/>
  <c r="K92" i="4"/>
  <c r="J76" i="4"/>
  <c r="J98" i="4"/>
  <c r="K98" i="4"/>
  <c r="J123" i="4"/>
  <c r="K123" i="4"/>
  <c r="J107" i="4"/>
  <c r="K107" i="4"/>
  <c r="J91" i="4"/>
  <c r="K91" i="4" s="1"/>
  <c r="J75" i="4"/>
  <c r="K75" i="4"/>
  <c r="O124" i="4"/>
  <c r="P124" i="4"/>
  <c r="O118" i="4"/>
  <c r="P118" i="4"/>
  <c r="O117" i="4"/>
  <c r="P117" i="4"/>
  <c r="O106" i="4"/>
  <c r="P106" i="4" s="1"/>
  <c r="I76" i="4"/>
  <c r="I77" i="4"/>
  <c r="N77" i="4" s="1"/>
  <c r="Q77" i="4" s="1"/>
  <c r="I81" i="4"/>
  <c r="N81" i="4" s="1"/>
  <c r="Q81" i="4" s="1"/>
  <c r="I89" i="4"/>
  <c r="N89" i="4" s="1"/>
  <c r="Q89" i="4" s="1"/>
  <c r="I90" i="4"/>
  <c r="I96" i="4"/>
  <c r="I99" i="4"/>
  <c r="L99" i="4" s="1"/>
  <c r="I102" i="4"/>
  <c r="I104" i="4"/>
  <c r="I108" i="4"/>
  <c r="N108" i="4" s="1"/>
  <c r="Q108" i="4" s="1"/>
  <c r="I111" i="4"/>
  <c r="N111" i="4" s="1"/>
  <c r="Q111" i="4" s="1"/>
  <c r="I113" i="4"/>
  <c r="L113" i="4" s="1"/>
  <c r="I115" i="4"/>
  <c r="L115" i="4" s="1"/>
  <c r="S115" i="4" s="1"/>
  <c r="I119" i="4"/>
  <c r="N119" i="4" s="1"/>
  <c r="Q119" i="4" s="1"/>
  <c r="I120" i="4"/>
  <c r="L120" i="4" s="1"/>
  <c r="S120" i="4" s="1"/>
  <c r="I123" i="4"/>
  <c r="L123" i="4" s="1"/>
  <c r="I125" i="4"/>
  <c r="L125" i="4" s="1"/>
  <c r="I79" i="4"/>
  <c r="N79" i="4" s="1"/>
  <c r="Q79" i="4" s="1"/>
  <c r="I92" i="4"/>
  <c r="L92" i="4" s="1"/>
  <c r="S92" i="4" s="1"/>
  <c r="I100" i="4"/>
  <c r="I103" i="4"/>
  <c r="I107" i="4"/>
  <c r="I109" i="4"/>
  <c r="N109" i="4" s="1"/>
  <c r="Q109" i="4" s="1"/>
  <c r="I110" i="4"/>
  <c r="N110" i="4" s="1"/>
  <c r="Q110" i="4" s="1"/>
  <c r="I117" i="4"/>
  <c r="L117" i="4" s="1"/>
  <c r="I124" i="4"/>
  <c r="L124" i="4" s="1"/>
  <c r="S124" i="4" s="1"/>
  <c r="I72" i="4"/>
  <c r="N72" i="4" s="1"/>
  <c r="Q72" i="4" s="1"/>
  <c r="I106" i="4"/>
  <c r="N106" i="4" s="1"/>
  <c r="Q106" i="4" s="1"/>
  <c r="I71" i="4"/>
  <c r="I75" i="4"/>
  <c r="N75" i="4" s="1"/>
  <c r="Q75" i="4" s="1"/>
  <c r="I80" i="4"/>
  <c r="N80" i="4" s="1"/>
  <c r="Q80" i="4" s="1"/>
  <c r="I83" i="4"/>
  <c r="N83" i="4" s="1"/>
  <c r="Q83" i="4" s="1"/>
  <c r="I86" i="4"/>
  <c r="I88" i="4"/>
  <c r="N88" i="4" s="1"/>
  <c r="Q88" i="4" s="1"/>
  <c r="I94" i="4"/>
  <c r="I95" i="4"/>
  <c r="L95" i="4" s="1"/>
  <c r="S95" i="4" s="1"/>
  <c r="I98" i="4"/>
  <c r="N98" i="4" s="1"/>
  <c r="Q98" i="4" s="1"/>
  <c r="I101" i="4"/>
  <c r="N101" i="4" s="1"/>
  <c r="Q101" i="4" s="1"/>
  <c r="I118" i="4"/>
  <c r="L118" i="4" s="1"/>
  <c r="I127" i="4"/>
  <c r="I73" i="4"/>
  <c r="N73" i="4" s="1"/>
  <c r="Q73" i="4" s="1"/>
  <c r="I74" i="4"/>
  <c r="L74" i="4" s="1"/>
  <c r="S74" i="4" s="1"/>
  <c r="I78" i="4"/>
  <c r="N78" i="4" s="1"/>
  <c r="Q78" i="4" s="1"/>
  <c r="I82" i="4"/>
  <c r="L82" i="4" s="1"/>
  <c r="S82" i="4" s="1"/>
  <c r="I85" i="4"/>
  <c r="N85" i="4" s="1"/>
  <c r="Q85" i="4" s="1"/>
  <c r="I93" i="4"/>
  <c r="L93" i="4" s="1"/>
  <c r="S93" i="4" s="1"/>
  <c r="I112" i="4"/>
  <c r="I114" i="4"/>
  <c r="I121" i="4"/>
  <c r="I122" i="4"/>
  <c r="L122" i="4" s="1"/>
  <c r="I84" i="4"/>
  <c r="I87" i="4"/>
  <c r="N87" i="4" s="1"/>
  <c r="Q87" i="4" s="1"/>
  <c r="I91" i="4"/>
  <c r="I97" i="4"/>
  <c r="I105" i="4"/>
  <c r="N105" i="4" s="1"/>
  <c r="Q105" i="4" s="1"/>
  <c r="I116" i="4"/>
  <c r="I126" i="4"/>
  <c r="N126" i="4" s="1"/>
  <c r="Q126" i="4" s="1"/>
  <c r="N121" i="4"/>
  <c r="Q121" i="4" s="1"/>
  <c r="N107" i="4"/>
  <c r="Q107" i="4"/>
  <c r="N96" i="4"/>
  <c r="Q96" i="4" s="1"/>
  <c r="L77" i="4"/>
  <c r="S77" i="4" s="1"/>
  <c r="N103" i="4"/>
  <c r="Q103" i="4"/>
  <c r="L103" i="4"/>
  <c r="N104" i="4"/>
  <c r="Q104" i="4"/>
  <c r="N76" i="4"/>
  <c r="Q76" i="4" s="1"/>
  <c r="L126" i="4"/>
  <c r="S126" i="4" s="1"/>
  <c r="N91" i="4"/>
  <c r="Q91" i="4" s="1"/>
  <c r="N100" i="4"/>
  <c r="Q100" i="4" s="1"/>
  <c r="N102" i="4"/>
  <c r="Q102" i="4"/>
  <c r="N116" i="4"/>
  <c r="Q116" i="4" s="1"/>
  <c r="N74" i="4"/>
  <c r="Q74" i="4"/>
  <c r="M99" i="4" l="1"/>
  <c r="U99" i="4" s="1"/>
  <c r="S99" i="4"/>
  <c r="S125" i="4"/>
  <c r="M125" i="4"/>
  <c r="U125" i="4" s="1"/>
  <c r="O114" i="4"/>
  <c r="P114" i="4" s="1"/>
  <c r="T114" i="4"/>
  <c r="T127" i="4"/>
  <c r="V127" i="4"/>
  <c r="O127" i="4"/>
  <c r="P127" i="4" s="1"/>
  <c r="T88" i="4"/>
  <c r="T84" i="4"/>
  <c r="T90" i="4"/>
  <c r="O101" i="4"/>
  <c r="P101" i="4" s="1"/>
  <c r="T101" i="4"/>
  <c r="T96" i="4"/>
  <c r="O104" i="4"/>
  <c r="P104" i="4" s="1"/>
  <c r="V104" i="4"/>
  <c r="T104" i="4"/>
  <c r="M122" i="4"/>
  <c r="U122" i="4" s="1"/>
  <c r="S122" i="4"/>
  <c r="M104" i="4"/>
  <c r="U104" i="4" s="1"/>
  <c r="S104" i="4"/>
  <c r="T126" i="4"/>
  <c r="L114" i="4"/>
  <c r="S114" i="4" s="1"/>
  <c r="T92" i="4"/>
  <c r="V77" i="4"/>
  <c r="T77" i="4"/>
  <c r="T115" i="4"/>
  <c r="T117" i="4"/>
  <c r="V95" i="4"/>
  <c r="T95" i="4"/>
  <c r="L105" i="4"/>
  <c r="T75" i="4"/>
  <c r="T108" i="4"/>
  <c r="O111" i="4"/>
  <c r="P111" i="4" s="1"/>
  <c r="T111" i="4"/>
  <c r="T78" i="4"/>
  <c r="V113" i="4"/>
  <c r="T113" i="4"/>
  <c r="O122" i="4"/>
  <c r="P122" i="4" s="1"/>
  <c r="T122" i="4"/>
  <c r="V122" i="4"/>
  <c r="T106" i="4"/>
  <c r="T71" i="4"/>
  <c r="O102" i="4"/>
  <c r="P102" i="4" s="1"/>
  <c r="T102" i="4"/>
  <c r="L127" i="4"/>
  <c r="S127" i="4" s="1"/>
  <c r="M123" i="4"/>
  <c r="U123" i="4" s="1"/>
  <c r="S123" i="4"/>
  <c r="V80" i="4"/>
  <c r="T80" i="4"/>
  <c r="O94" i="4"/>
  <c r="P94" i="4" s="1"/>
  <c r="T94" i="4"/>
  <c r="N99" i="4"/>
  <c r="Q99" i="4" s="1"/>
  <c r="T116" i="4"/>
  <c r="M117" i="4"/>
  <c r="U117" i="4" s="1"/>
  <c r="S117" i="4"/>
  <c r="T81" i="4"/>
  <c r="N92" i="4"/>
  <c r="Q92" i="4" s="1"/>
  <c r="L107" i="4"/>
  <c r="T124" i="4"/>
  <c r="O109" i="4"/>
  <c r="P109" i="4" s="1"/>
  <c r="T109" i="4"/>
  <c r="T72" i="4"/>
  <c r="T87" i="4"/>
  <c r="T73" i="4"/>
  <c r="O125" i="4"/>
  <c r="P125" i="4" s="1"/>
  <c r="V125" i="4"/>
  <c r="T125" i="4"/>
  <c r="O110" i="4"/>
  <c r="P110" i="4" s="1"/>
  <c r="T110" i="4"/>
  <c r="T89" i="4"/>
  <c r="V74" i="4"/>
  <c r="T74" i="4"/>
  <c r="T85" i="4"/>
  <c r="V123" i="4"/>
  <c r="T123" i="4"/>
  <c r="O105" i="4"/>
  <c r="P105" i="4" s="1"/>
  <c r="T105" i="4"/>
  <c r="T86" i="4"/>
  <c r="T121" i="4"/>
  <c r="T83" i="4"/>
  <c r="L84" i="4"/>
  <c r="S84" i="4" s="1"/>
  <c r="M118" i="4"/>
  <c r="U118" i="4" s="1"/>
  <c r="S118" i="4"/>
  <c r="O98" i="4"/>
  <c r="P98" i="4" s="1"/>
  <c r="T98" i="4"/>
  <c r="L73" i="4"/>
  <c r="S73" i="4" s="1"/>
  <c r="T112" i="4"/>
  <c r="O99" i="4"/>
  <c r="P99" i="4" s="1"/>
  <c r="V99" i="4"/>
  <c r="T99" i="4"/>
  <c r="T120" i="4"/>
  <c r="N120" i="4"/>
  <c r="Q120" i="4" s="1"/>
  <c r="N125" i="4"/>
  <c r="Q125" i="4" s="1"/>
  <c r="L76" i="4"/>
  <c r="S76" i="4" s="1"/>
  <c r="V118" i="4"/>
  <c r="T118" i="4"/>
  <c r="L110" i="4"/>
  <c r="M113" i="4"/>
  <c r="U113" i="4" s="1"/>
  <c r="S113" i="4"/>
  <c r="O123" i="4"/>
  <c r="P123" i="4" s="1"/>
  <c r="T79" i="4"/>
  <c r="M103" i="4"/>
  <c r="U103" i="4" s="1"/>
  <c r="S103" i="4"/>
  <c r="L112" i="4"/>
  <c r="L94" i="4"/>
  <c r="S94" i="4" s="1"/>
  <c r="O112" i="4"/>
  <c r="P112" i="4" s="1"/>
  <c r="T93" i="4"/>
  <c r="T103" i="4"/>
  <c r="U128" i="4"/>
  <c r="V128" i="4"/>
  <c r="L109" i="4"/>
  <c r="N114" i="4"/>
  <c r="Q114" i="4" s="1"/>
  <c r="O113" i="4"/>
  <c r="P113" i="4" s="1"/>
  <c r="T91" i="4"/>
  <c r="V82" i="4"/>
  <c r="T82" i="4"/>
  <c r="T119" i="4"/>
  <c r="U131" i="4"/>
  <c r="V131" i="4"/>
  <c r="M115" i="4"/>
  <c r="U115" i="4" s="1"/>
  <c r="M114" i="4"/>
  <c r="U114" i="4" s="1"/>
  <c r="O121" i="4"/>
  <c r="P121" i="4" s="1"/>
  <c r="M124" i="4"/>
  <c r="U124" i="4" s="1"/>
  <c r="M120" i="4"/>
  <c r="U120" i="4" s="1"/>
  <c r="O107" i="4"/>
  <c r="P107" i="4" s="1"/>
  <c r="O115" i="4"/>
  <c r="P115" i="4" s="1"/>
  <c r="L108" i="4"/>
  <c r="S108" i="4" s="1"/>
  <c r="L111" i="4"/>
  <c r="L80" i="4"/>
  <c r="S80" i="4" s="1"/>
  <c r="N122" i="4"/>
  <c r="Q122" i="4" s="1"/>
  <c r="N95" i="4"/>
  <c r="Q95" i="4" s="1"/>
  <c r="L72" i="4"/>
  <c r="S72" i="4" s="1"/>
  <c r="L106" i="4"/>
  <c r="L83" i="4"/>
  <c r="S83" i="4" s="1"/>
  <c r="O91" i="4"/>
  <c r="P91" i="4" s="1"/>
  <c r="M107" i="4"/>
  <c r="O71" i="4"/>
  <c r="P71" i="4" s="1"/>
  <c r="L87" i="4"/>
  <c r="S87" i="4" s="1"/>
  <c r="N123" i="4"/>
  <c r="Q123" i="4" s="1"/>
  <c r="N115" i="4"/>
  <c r="Q115" i="4" s="1"/>
  <c r="L98" i="4"/>
  <c r="L119" i="4"/>
  <c r="S119" i="4" s="1"/>
  <c r="L75" i="4"/>
  <c r="S75" i="4" s="1"/>
  <c r="L78" i="4"/>
  <c r="S78" i="4" s="1"/>
  <c r="O126" i="4"/>
  <c r="P126" i="4" s="1"/>
  <c r="L81" i="4"/>
  <c r="S81" i="4" s="1"/>
  <c r="L102" i="4"/>
  <c r="L96" i="4"/>
  <c r="S96" i="4" s="1"/>
  <c r="N113" i="4"/>
  <c r="Q113" i="4" s="1"/>
  <c r="L86" i="4"/>
  <c r="S86" i="4" s="1"/>
  <c r="L97" i="4"/>
  <c r="M97" i="4" s="1"/>
  <c r="N124" i="4"/>
  <c r="Q124" i="4" s="1"/>
  <c r="O108" i="4"/>
  <c r="P108" i="4" s="1"/>
  <c r="O116" i="4"/>
  <c r="P116" i="4" s="1"/>
  <c r="O120" i="4"/>
  <c r="P120" i="4" s="1"/>
  <c r="N117" i="4"/>
  <c r="Q117" i="4" s="1"/>
  <c r="N94" i="4"/>
  <c r="Q94" i="4" s="1"/>
  <c r="L101" i="4"/>
  <c r="L116" i="4"/>
  <c r="S116" i="4" s="1"/>
  <c r="N112" i="4"/>
  <c r="Q112" i="4" s="1"/>
  <c r="L79" i="4"/>
  <c r="S79" i="4" s="1"/>
  <c r="L91" i="4"/>
  <c r="S91" i="4" s="1"/>
  <c r="L71" i="4"/>
  <c r="S71" i="4" s="1"/>
  <c r="L90" i="4"/>
  <c r="S90" i="4" s="1"/>
  <c r="O119" i="4"/>
  <c r="P119" i="4" s="1"/>
  <c r="N118" i="4"/>
  <c r="Q118" i="4" s="1"/>
  <c r="M126" i="4"/>
  <c r="U126" i="4" s="1"/>
  <c r="L85" i="4"/>
  <c r="S85" i="4" s="1"/>
  <c r="M127" i="4"/>
  <c r="U127" i="4" s="1"/>
  <c r="K76" i="4"/>
  <c r="L121" i="4"/>
  <c r="S121" i="4" s="1"/>
  <c r="O77" i="4"/>
  <c r="P77" i="4" s="1"/>
  <c r="O82" i="4"/>
  <c r="P82" i="4" s="1"/>
  <c r="O72" i="4"/>
  <c r="P72" i="4" s="1"/>
  <c r="N71" i="4"/>
  <c r="Q71" i="4" s="1"/>
  <c r="N127" i="4"/>
  <c r="Q127" i="4" s="1"/>
  <c r="N86" i="4"/>
  <c r="Q86" i="4" s="1"/>
  <c r="O92" i="4"/>
  <c r="P92" i="4" s="1"/>
  <c r="O80" i="4"/>
  <c r="P80" i="4" s="1"/>
  <c r="O74" i="4"/>
  <c r="P74" i="4" s="1"/>
  <c r="L89" i="4"/>
  <c r="S89" i="4" s="1"/>
  <c r="O96" i="4"/>
  <c r="P96" i="4" s="1"/>
  <c r="M96" i="4"/>
  <c r="U96" i="4" s="1"/>
  <c r="M92" i="4"/>
  <c r="U92" i="4" s="1"/>
  <c r="M74" i="4"/>
  <c r="U74" i="4" s="1"/>
  <c r="O84" i="4"/>
  <c r="P84" i="4" s="1"/>
  <c r="N90" i="4"/>
  <c r="Q90" i="4" s="1"/>
  <c r="O78" i="4"/>
  <c r="P78" i="4" s="1"/>
  <c r="O83" i="4"/>
  <c r="P83" i="4" s="1"/>
  <c r="M85" i="4"/>
  <c r="U85" i="4" s="1"/>
  <c r="O79" i="4"/>
  <c r="P79" i="4" s="1"/>
  <c r="M90" i="4"/>
  <c r="U90" i="4" s="1"/>
  <c r="M93" i="4"/>
  <c r="U93" i="4" s="1"/>
  <c r="O75" i="4"/>
  <c r="P75" i="4" s="1"/>
  <c r="O95" i="4"/>
  <c r="P95" i="4" s="1"/>
  <c r="O87" i="4"/>
  <c r="P87" i="4" s="1"/>
  <c r="O73" i="4"/>
  <c r="P73" i="4" s="1"/>
  <c r="O93" i="4"/>
  <c r="P93" i="4" s="1"/>
  <c r="O88" i="4"/>
  <c r="P88" i="4" s="1"/>
  <c r="M73" i="4"/>
  <c r="U73" i="4" s="1"/>
  <c r="M77" i="4"/>
  <c r="U77" i="4" s="1"/>
  <c r="M82" i="4"/>
  <c r="U82" i="4" s="1"/>
  <c r="O89" i="4"/>
  <c r="P89" i="4" s="1"/>
  <c r="O90" i="4"/>
  <c r="P90" i="4" s="1"/>
  <c r="O85" i="4"/>
  <c r="P85" i="4" s="1"/>
  <c r="M87" i="4"/>
  <c r="U87" i="4" s="1"/>
  <c r="M95" i="4"/>
  <c r="U95" i="4" s="1"/>
  <c r="O81" i="4"/>
  <c r="P81" i="4" s="1"/>
  <c r="O86" i="4"/>
  <c r="P86" i="4" s="1"/>
  <c r="M80" i="4"/>
  <c r="U80" i="4" s="1"/>
  <c r="N97" i="4"/>
  <c r="Q97" i="4" s="1"/>
  <c r="L88" i="4"/>
  <c r="S88" i="4" s="1"/>
  <c r="N82" i="4"/>
  <c r="Q82" i="4" s="1"/>
  <c r="N93" i="4"/>
  <c r="Q93" i="4" s="1"/>
  <c r="N84" i="4"/>
  <c r="Q84" i="4" s="1"/>
  <c r="J14" i="4"/>
  <c r="J13" i="4" s="1"/>
  <c r="K16" i="4" s="1"/>
  <c r="M94" i="4" l="1"/>
  <c r="M102" i="4"/>
  <c r="S102" i="4"/>
  <c r="M106" i="4"/>
  <c r="S106" i="4"/>
  <c r="V120" i="4"/>
  <c r="V73" i="4"/>
  <c r="M112" i="4"/>
  <c r="S112" i="4"/>
  <c r="V76" i="4"/>
  <c r="T76" i="4"/>
  <c r="M101" i="4"/>
  <c r="S101" i="4"/>
  <c r="V92" i="4"/>
  <c r="M109" i="4"/>
  <c r="S109" i="4"/>
  <c r="V85" i="4"/>
  <c r="S105" i="4"/>
  <c r="M105" i="4"/>
  <c r="V114" i="4"/>
  <c r="M84" i="4"/>
  <c r="V126" i="4"/>
  <c r="V87" i="4"/>
  <c r="M81" i="4"/>
  <c r="M98" i="4"/>
  <c r="S98" i="4"/>
  <c r="V103" i="4"/>
  <c r="V90" i="4"/>
  <c r="M76" i="4"/>
  <c r="U76" i="4" s="1"/>
  <c r="M111" i="4"/>
  <c r="S111" i="4"/>
  <c r="M110" i="4"/>
  <c r="S110" i="4"/>
  <c r="V117" i="4"/>
  <c r="V124" i="4"/>
  <c r="V96" i="4"/>
  <c r="V93" i="4"/>
  <c r="V115" i="4"/>
  <c r="M116" i="4"/>
  <c r="M91" i="4"/>
  <c r="M86" i="4"/>
  <c r="M72" i="4"/>
  <c r="M78" i="4"/>
  <c r="M119" i="4"/>
  <c r="M108" i="4"/>
  <c r="M121" i="4"/>
  <c r="M83" i="4"/>
  <c r="O76" i="4"/>
  <c r="P76" i="4" s="1"/>
  <c r="M79" i="4"/>
  <c r="M75" i="4"/>
  <c r="M71" i="4"/>
  <c r="M89" i="4"/>
  <c r="M88" i="4"/>
  <c r="K14" i="4"/>
  <c r="K13" i="4"/>
  <c r="K15" i="4"/>
  <c r="U81" i="4" l="1"/>
  <c r="V81" i="4"/>
  <c r="U101" i="4"/>
  <c r="V101" i="4"/>
  <c r="U84" i="4"/>
  <c r="V84" i="4"/>
  <c r="U110" i="4"/>
  <c r="V110" i="4"/>
  <c r="U112" i="4"/>
  <c r="V112" i="4"/>
  <c r="U78" i="4"/>
  <c r="V78" i="4"/>
  <c r="U72" i="4"/>
  <c r="V72" i="4"/>
  <c r="U111" i="4"/>
  <c r="V111" i="4"/>
  <c r="U88" i="4"/>
  <c r="V88" i="4"/>
  <c r="U91" i="4"/>
  <c r="V91" i="4"/>
  <c r="U106" i="4"/>
  <c r="V106" i="4"/>
  <c r="U71" i="4"/>
  <c r="V71" i="4"/>
  <c r="U75" i="4"/>
  <c r="V75" i="4"/>
  <c r="U83" i="4"/>
  <c r="V83" i="4"/>
  <c r="U121" i="4"/>
  <c r="V121" i="4"/>
  <c r="U108" i="4"/>
  <c r="V108" i="4"/>
  <c r="U119" i="4"/>
  <c r="V119" i="4"/>
  <c r="U105" i="4"/>
  <c r="V105" i="4"/>
  <c r="U86" i="4"/>
  <c r="V86" i="4"/>
  <c r="U89" i="4"/>
  <c r="V89" i="4"/>
  <c r="U116" i="4"/>
  <c r="V116" i="4"/>
  <c r="U109" i="4"/>
  <c r="V109" i="4"/>
  <c r="U102" i="4"/>
  <c r="V102" i="4"/>
  <c r="U79" i="4"/>
  <c r="V79" i="4"/>
  <c r="U98" i="4"/>
  <c r="V98" i="4"/>
  <c r="U94" i="4"/>
  <c r="V94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6" i="4" l="1"/>
  <c r="P56" i="4" s="1"/>
  <c r="T56" i="4"/>
  <c r="T60" i="4"/>
  <c r="T62" i="4"/>
  <c r="T57" i="4"/>
  <c r="T61" i="4"/>
  <c r="T58" i="4"/>
  <c r="O59" i="4"/>
  <c r="P59" i="4" s="1"/>
  <c r="T59" i="4"/>
  <c r="O55" i="4"/>
  <c r="P55" i="4" s="1"/>
  <c r="T55" i="4"/>
  <c r="T63" i="4"/>
  <c r="O60" i="4"/>
  <c r="P60" i="4" s="1"/>
  <c r="O62" i="4"/>
  <c r="P62" i="4" s="1"/>
  <c r="O61" i="4"/>
  <c r="P61" i="4" s="1"/>
  <c r="O58" i="4"/>
  <c r="P58" i="4" s="1"/>
  <c r="O57" i="4"/>
  <c r="P57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M56" i="4" l="1"/>
  <c r="S56" i="4"/>
  <c r="T65" i="4"/>
  <c r="T68" i="4"/>
  <c r="M55" i="4"/>
  <c r="S55" i="4"/>
  <c r="T64" i="4"/>
  <c r="V64" i="4"/>
  <c r="V69" i="4"/>
  <c r="T69" i="4"/>
  <c r="T70" i="4"/>
  <c r="T66" i="4"/>
  <c r="M59" i="4"/>
  <c r="S59" i="4"/>
  <c r="V67" i="4"/>
  <c r="T67" i="4"/>
  <c r="M62" i="4"/>
  <c r="M60" i="4"/>
  <c r="M70" i="4"/>
  <c r="U70" i="4" s="1"/>
  <c r="M61" i="4"/>
  <c r="M63" i="4"/>
  <c r="O67" i="4"/>
  <c r="P67" i="4" s="1"/>
  <c r="M65" i="4"/>
  <c r="U65" i="4" s="1"/>
  <c r="M67" i="4"/>
  <c r="U67" i="4" s="1"/>
  <c r="M68" i="4"/>
  <c r="U68" i="4" s="1"/>
  <c r="M64" i="4"/>
  <c r="U64" i="4" s="1"/>
  <c r="M69" i="4"/>
  <c r="U69" i="4" s="1"/>
  <c r="M58" i="4"/>
  <c r="M57" i="4"/>
  <c r="O66" i="4"/>
  <c r="P66" i="4" s="1"/>
  <c r="M66" i="4"/>
  <c r="U66" i="4" s="1"/>
  <c r="O68" i="4"/>
  <c r="P68" i="4" s="1"/>
  <c r="O64" i="4"/>
  <c r="P64" i="4" s="1"/>
  <c r="O69" i="4"/>
  <c r="P69" i="4" s="1"/>
  <c r="O65" i="4"/>
  <c r="P65" i="4" s="1"/>
  <c r="O70" i="4"/>
  <c r="P70" i="4" s="1"/>
  <c r="U61" i="4" l="1"/>
  <c r="V61" i="4"/>
  <c r="U60" i="4"/>
  <c r="V60" i="4"/>
  <c r="U58" i="4"/>
  <c r="V58" i="4"/>
  <c r="U55" i="4"/>
  <c r="V55" i="4"/>
  <c r="U59" i="4"/>
  <c r="V59" i="4"/>
  <c r="V68" i="4"/>
  <c r="V65" i="4"/>
  <c r="U57" i="4"/>
  <c r="V57" i="4"/>
  <c r="V66" i="4"/>
  <c r="U62" i="4"/>
  <c r="V62" i="4"/>
  <c r="U63" i="4"/>
  <c r="V63" i="4"/>
  <c r="V70" i="4"/>
  <c r="U56" i="4"/>
  <c r="V56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45" i="4" l="1"/>
  <c r="L45" i="4" s="1"/>
  <c r="S45" i="4" s="1"/>
  <c r="J30" i="4"/>
  <c r="K30" i="4" s="1"/>
  <c r="J43" i="4"/>
  <c r="K43" i="4" s="1"/>
  <c r="J31" i="4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S31" i="4" s="1"/>
  <c r="L47" i="4"/>
  <c r="S47" i="4" s="1"/>
  <c r="K44" i="4"/>
  <c r="K52" i="4"/>
  <c r="L52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T39" i="4" l="1"/>
  <c r="T48" i="4"/>
  <c r="T47" i="4"/>
  <c r="T31" i="4"/>
  <c r="T28" i="4"/>
  <c r="O51" i="4"/>
  <c r="P51" i="4" s="1"/>
  <c r="V51" i="4"/>
  <c r="T51" i="4"/>
  <c r="O54" i="4"/>
  <c r="P54" i="4" s="1"/>
  <c r="V54" i="4"/>
  <c r="T54" i="4"/>
  <c r="T30" i="4"/>
  <c r="O52" i="4"/>
  <c r="P52" i="4" s="1"/>
  <c r="V52" i="4"/>
  <c r="T52" i="4"/>
  <c r="V44" i="4"/>
  <c r="T44" i="4"/>
  <c r="O53" i="4"/>
  <c r="P53" i="4" s="1"/>
  <c r="T53" i="4"/>
  <c r="T33" i="4"/>
  <c r="M53" i="4"/>
  <c r="U53" i="4" s="1"/>
  <c r="S53" i="4"/>
  <c r="T46" i="4"/>
  <c r="M51" i="4"/>
  <c r="U51" i="4" s="1"/>
  <c r="S51" i="4"/>
  <c r="V49" i="4"/>
  <c r="T49" i="4"/>
  <c r="M54" i="4"/>
  <c r="U54" i="4" s="1"/>
  <c r="S54" i="4"/>
  <c r="T43" i="4"/>
  <c r="O50" i="4"/>
  <c r="P50" i="4" s="1"/>
  <c r="T50" i="4"/>
  <c r="L43" i="4"/>
  <c r="S43" i="4" s="1"/>
  <c r="T41" i="4"/>
  <c r="M50" i="4"/>
  <c r="U50" i="4" s="1"/>
  <c r="S50" i="4"/>
  <c r="M52" i="4"/>
  <c r="U52" i="4" s="1"/>
  <c r="S52" i="4"/>
  <c r="O48" i="4"/>
  <c r="P48" i="4" s="1"/>
  <c r="M48" i="4"/>
  <c r="U48" i="4" s="1"/>
  <c r="O49" i="4"/>
  <c r="P49" i="4" s="1"/>
  <c r="M49" i="4"/>
  <c r="U49" i="4" s="1"/>
  <c r="O43" i="4"/>
  <c r="P43" i="4" s="1"/>
  <c r="M35" i="4"/>
  <c r="U35" i="4" s="1"/>
  <c r="M43" i="4"/>
  <c r="U43" i="4" s="1"/>
  <c r="O39" i="4"/>
  <c r="P39" i="4" s="1"/>
  <c r="M47" i="4"/>
  <c r="U47" i="4" s="1"/>
  <c r="O28" i="4"/>
  <c r="P28" i="4" s="1"/>
  <c r="O41" i="4"/>
  <c r="P41" i="4" s="1"/>
  <c r="L30" i="4"/>
  <c r="S30" i="4" s="1"/>
  <c r="O31" i="4"/>
  <c r="P31" i="4" s="1"/>
  <c r="O33" i="4"/>
  <c r="P33" i="4" s="1"/>
  <c r="O46" i="4"/>
  <c r="P46" i="4" s="1"/>
  <c r="K35" i="4"/>
  <c r="M44" i="4"/>
  <c r="U44" i="4" s="1"/>
  <c r="O44" i="4"/>
  <c r="P44" i="4" s="1"/>
  <c r="O47" i="4"/>
  <c r="P47" i="4" s="1"/>
  <c r="M31" i="4"/>
  <c r="U31" i="4" s="1"/>
  <c r="O30" i="4"/>
  <c r="P30" i="4" s="1"/>
  <c r="M39" i="4"/>
  <c r="U39" i="4" s="1"/>
  <c r="M45" i="4"/>
  <c r="U45" i="4" s="1"/>
  <c r="K45" i="4"/>
  <c r="K36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6" i="4"/>
  <c r="U36" i="4" s="1"/>
  <c r="K40" i="4"/>
  <c r="K32" i="4"/>
  <c r="L28" i="4"/>
  <c r="S28" i="4" s="1"/>
  <c r="V29" i="4" l="1"/>
  <c r="T29" i="4"/>
  <c r="V50" i="4"/>
  <c r="T38" i="4"/>
  <c r="V38" i="4"/>
  <c r="V32" i="4"/>
  <c r="T32" i="4"/>
  <c r="T34" i="4"/>
  <c r="V34" i="4"/>
  <c r="V42" i="4"/>
  <c r="T42" i="4"/>
  <c r="V31" i="4"/>
  <c r="V47" i="4"/>
  <c r="V43" i="4"/>
  <c r="V36" i="4"/>
  <c r="T36" i="4"/>
  <c r="V48" i="4"/>
  <c r="V45" i="4"/>
  <c r="T45" i="4"/>
  <c r="V40" i="4"/>
  <c r="T40" i="4"/>
  <c r="V35" i="4"/>
  <c r="T35" i="4"/>
  <c r="V37" i="4"/>
  <c r="T37" i="4"/>
  <c r="V53" i="4"/>
  <c r="V39" i="4"/>
  <c r="O40" i="4"/>
  <c r="P40" i="4" s="1"/>
  <c r="O34" i="4"/>
  <c r="P34" i="4" s="1"/>
  <c r="O35" i="4"/>
  <c r="P35" i="4" s="1"/>
  <c r="O29" i="4"/>
  <c r="P29" i="4" s="1"/>
  <c r="O32" i="4"/>
  <c r="P32" i="4" s="1"/>
  <c r="O36" i="4"/>
  <c r="P36" i="4" s="1"/>
  <c r="O45" i="4"/>
  <c r="P45" i="4" s="1"/>
  <c r="M33" i="4"/>
  <c r="O42" i="4"/>
  <c r="P42" i="4" s="1"/>
  <c r="M41" i="4"/>
  <c r="O37" i="4"/>
  <c r="P37" i="4" s="1"/>
  <c r="O38" i="4"/>
  <c r="P38" i="4" s="1"/>
  <c r="M30" i="4"/>
  <c r="M46" i="4"/>
  <c r="M28" i="4"/>
  <c r="U33" i="4" l="1"/>
  <c r="V33" i="4"/>
  <c r="U28" i="4"/>
  <c r="V28" i="4"/>
  <c r="U46" i="4"/>
  <c r="V46" i="4"/>
  <c r="U30" i="4"/>
  <c r="V30" i="4"/>
  <c r="U41" i="4"/>
  <c r="V4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<sst xmlns="http://schemas.openxmlformats.org/spreadsheetml/2006/main" count="340" uniqueCount="315">
  <si>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</si>
  <si>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</si>
  <si>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</si>
  <si>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</si>
  <si>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</si>
  <si>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</si>
  <si>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</si>
  <si>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</si>
  <si>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</si>
  <si>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</si>
  <si>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</si>
  <si>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</si>
  <si>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</si>
  <si>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</si>
  <si>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</si>
  <si>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</si>
  <si>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</si>
  <si>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</si>
  <si>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</si>
  <si>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</si>
  <si>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</si>
  <si>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</si>
  <si>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</si>
  <si>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</si>
  <si>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</si>
  <si>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</si>
  <si>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</si>
  <si>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</si>
  <si>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</si>
  <si>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</si>
  <si>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</si>
  <si>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</si>
  <si>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</si>
  <si>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</si>
  <si>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</si>
  <si>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</si>
  <si>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</si>
  <si>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</si>
  <si>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</si>
  <si>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</si>
  <si>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</si>
  <si>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</si>
  <si>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</si>
  <si>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</si>
  <si>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</si>
  <si>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</si>
  <si>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</si>
  <si>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</si>
  <si>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</si>
  <si>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</si>
  <si>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</si>
  <si>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</si>
  <si>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</si>
  <si>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</si>
  <si>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</si>
  <si>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</si>
  <si>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</si>
  <si>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</si>
  <si>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</si>
  <si>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</si>
  <si>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</si>
  <si>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</si>
  <si>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</si>
  <si>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</si>
  <si>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</si>
  <si>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</si>
  <si>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</si>
  <si>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</si>
  <si>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</si>
  <si>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</si>
  <si>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</si>
  <si>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</si>
  <si>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</si>
  <si>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</si>
  <si>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</si>
  <si>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</si>
  <si>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</si>
  <si>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</si>
  <si>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</si>
  <si>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</si>
  <si>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</si>
  <si>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</si>
  <si>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</si>
  <si>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</si>
  <si>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</si>
  <si>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</si>
  <si>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</si>
  <si>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</si>
  <si>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</si>
  <si>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</si>
  <si>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</si>
  <si>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</si>
  <si>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</si>
  <si>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</si>
  <si>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</si>
  <si>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</si>
  <si>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</si>
  <si>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</si>
  <si>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</si>
  <si>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</si>
  <si>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</si>
  <si>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</si>
  <si>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</si>
  <si>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</si>
  <si>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</si>
  <si>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</si>
  <si>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</si>
  <si>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</si>
  <si>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</si>
  <si>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</si>
  <si>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</si>
  <si>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</si>
  <si>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Rtgut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</si>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</sst>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0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8.9000000000000006E-4</v>
      </c>
      <c r="M17" s="80">
        <v>6.0000000000000002E-5</v>
      </c>
      <c r="N17" s="80">
        <v>5.0000000000000002E-5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3" zoomScale="70" zoomScaleNormal="70" workbookViewId="0">
      <selection activeCell="D28" sqref="D28:E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150.02000000000001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149.24080000000001</v>
      </c>
      <c r="K8" s="39">
        <f>J8/J7</f>
        <v>0.9948060258632182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0.72120000000000006</v>
      </c>
      <c r="K9" s="39">
        <f>J9/J7</f>
        <v>4.8073590187974937E-3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5.7999999999999996E-2</v>
      </c>
      <c r="K10" s="39">
        <f>J10/J7</f>
        <v>3.8661511798426871E-4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2.0000000000000004E-2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1.7800000000000003E-2</v>
      </c>
      <c r="K20" s="39">
        <f>J20/J19</f>
        <v>0.89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1.2000000000000001E-3</v>
      </c>
      <c r="K21" s="39">
        <f>J21/J19</f>
        <v>5.9999999999999991E-2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1.0000000000000002E-3</v>
      </c>
      <c r="K22" s="39">
        <f>J22/J19</f>
        <v>0.05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8.6629514448579737E-3</v>
      </c>
      <c r="K28" s="93">
        <f t="shared" ref="K28:K47" si="3">IF(D28=0,"",1/(1+10^D28*$J$15/$J$14+10^E28*$J$16/$J$14+10^J28*$J$19/$J$14))</f>
        <v>0.99383277121735669</v>
      </c>
      <c r="L28" s="93">
        <f t="shared" ref="L28:L47" si="4">IF(D28=0,"",1/(1+10^I28/10^J28*$J$13/$J$19))</f>
        <v>1.3588467924777862E-4</v>
      </c>
      <c r="M28" s="93">
        <f t="shared" ref="M28:M47" si="5">IF(D28=0,"",1-L28)</f>
        <v>0.99986411532075226</v>
      </c>
      <c r="N28" s="93">
        <f t="shared" ref="N28:N47" si="6">IF(D28=0,"",1/(1/10^E28*$J$20/$J$22+10^D28/10^E28*$J$21/$J$22+10^I28/10^E28*$J$13/$J$22+1))</f>
        <v>8.048103381685311E-6</v>
      </c>
      <c r="O28" s="40">
        <f t="shared" ref="O28:O47" si="7">IF(D28=0,"",F28*K28*$J$7/$J$14)</f>
        <v>9.9914083176204641E-7</v>
      </c>
      <c r="P28" s="40">
        <f t="shared" ref="P28:P47" si="8">IF(D28=0,"",O28*10^J28)</f>
        <v>1.0192709790375871E-6</v>
      </c>
      <c r="Q28" s="40">
        <f t="shared" ref="Q28:Q47" si="9">IF(D28=0,"",F28*N28*$J$7/$J$22)</f>
        <v>1.2073764693204302E-6</v>
      </c>
      <c r="R28" s="9">
        <f>F28*$C$14</f>
        <v>1.4999999999999999E-4</v>
      </c>
      <c r="S28" s="9">
        <f>$R28*L28</f>
        <v>2.038270188716679E-8</v>
      </c>
      <c r="T28" s="9">
        <f t="shared" ref="T28:T91" si="10">R28*K28</f>
        <v>1.4907491568260349E-4</v>
      </c>
      <c r="U28" s="9">
        <f t="shared" ref="U28:U91" si="11">$R28*M28</f>
        <v>1.4997961729811284E-4</v>
      </c>
      <c r="V28" s="100">
        <f>K28/M28</f>
        <v>0.9939678362179637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0.32619780382173885</v>
      </c>
      <c r="J29" s="92">
        <f t="shared" si="2"/>
        <v>1.5071795924333535</v>
      </c>
      <c r="K29" s="93">
        <f t="shared" si="3"/>
        <v>0.46845638839993725</v>
      </c>
      <c r="L29" s="93">
        <f t="shared" si="4"/>
        <v>2.0185661543869354E-3</v>
      </c>
      <c r="M29" s="93">
        <f t="shared" si="5"/>
        <v>0.99798143384561311</v>
      </c>
      <c r="N29" s="93">
        <f t="shared" si="6"/>
        <v>1.193530162966049E-3</v>
      </c>
      <c r="O29" s="40">
        <f t="shared" si="7"/>
        <v>4.7095841383539121E-7</v>
      </c>
      <c r="P29" s="40">
        <f t="shared" si="8"/>
        <v>1.5141264724056401E-5</v>
      </c>
      <c r="Q29" s="40">
        <f t="shared" si="9"/>
        <v>1.7905339504816666E-4</v>
      </c>
      <c r="R29" s="9">
        <f t="shared" ref="R29:R92" si="12">F29*$C$14</f>
        <v>1.4999999999999999E-4</v>
      </c>
      <c r="S29" s="9">
        <f t="shared" ref="S29:S92" si="13">$R29*L29</f>
        <v>3.0278492315804029E-7</v>
      </c>
      <c r="T29" s="9">
        <f t="shared" si="10"/>
        <v>7.0268458259990581E-5</v>
      </c>
      <c r="U29" s="9">
        <f t="shared" si="11"/>
        <v>1.4969721507684196E-4</v>
      </c>
      <c r="V29" s="100">
        <f t="shared" ref="V29:V92" si="14">K29/M29</f>
        <v>0.46940391124791914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2.0854020627961285</v>
      </c>
      <c r="J30" s="92">
        <f t="shared" si="2"/>
        <v>3.1846481838673779</v>
      </c>
      <c r="K30" s="93">
        <f t="shared" si="3"/>
        <v>8.1585940795133628E-3</v>
      </c>
      <c r="L30" s="93">
        <f t="shared" si="4"/>
        <v>1.6728528422658201E-3</v>
      </c>
      <c r="M30" s="93">
        <f t="shared" si="5"/>
        <v>0.99832714715773418</v>
      </c>
      <c r="N30" s="93">
        <f t="shared" si="6"/>
        <v>2.3865995754866656E-5</v>
      </c>
      <c r="O30" s="40">
        <f t="shared" si="7"/>
        <v>8.2021691281410672E-9</v>
      </c>
      <c r="P30" s="40">
        <f t="shared" si="8"/>
        <v>1.2548069169835921E-5</v>
      </c>
      <c r="Q30" s="40">
        <f t="shared" si="9"/>
        <v>3.5803766831450953E-6</v>
      </c>
      <c r="R30" s="9">
        <f t="shared" si="12"/>
        <v>1.4999999999999999E-4</v>
      </c>
      <c r="S30" s="9">
        <f t="shared" si="13"/>
        <v>2.5092792633987301E-7</v>
      </c>
      <c r="T30" s="9">
        <f t="shared" si="10"/>
        <v>1.2237891119270043E-6</v>
      </c>
      <c r="U30" s="9">
        <f t="shared" si="11"/>
        <v>1.497490720736601E-4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-2.0020416091501053E-3</v>
      </c>
      <c r="J31" s="92">
        <f t="shared" si="2"/>
        <v>-4.6726110400890343E-2</v>
      </c>
      <c r="K31" s="93">
        <f t="shared" si="3"/>
        <v>0.99929637746072364</v>
      </c>
      <c r="L31" s="93">
        <f t="shared" si="4"/>
        <v>1.2027141803594574E-4</v>
      </c>
      <c r="M31" s="93">
        <f t="shared" si="5"/>
        <v>0.99987972858196406</v>
      </c>
      <c r="N31" s="93">
        <f t="shared" si="6"/>
        <v>1.0888042171842331E-7</v>
      </c>
      <c r="O31" s="40">
        <f t="shared" si="7"/>
        <v>1.0046336191247849E-6</v>
      </c>
      <c r="P31" s="40">
        <f t="shared" si="8"/>
        <v>9.0215590668762913E-7</v>
      </c>
      <c r="Q31" s="40">
        <f t="shared" si="9"/>
        <v>1.6334240866197861E-8</v>
      </c>
      <c r="R31" s="9">
        <f t="shared" si="12"/>
        <v>1.4999999999999999E-4</v>
      </c>
      <c r="S31" s="9">
        <f t="shared" si="13"/>
        <v>1.804071270539186E-8</v>
      </c>
      <c r="T31" s="9">
        <f t="shared" si="10"/>
        <v>1.4989445661910854E-4</v>
      </c>
      <c r="U31" s="9">
        <f t="shared" si="11"/>
        <v>1.499819592872946E-4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5.4008424806920542E-3</v>
      </c>
      <c r="J32" s="92">
        <f t="shared" si="2"/>
        <v>7.9809959531048844E-2</v>
      </c>
      <c r="K32" s="93">
        <f t="shared" si="3"/>
        <v>0.98236966445344942</v>
      </c>
      <c r="L32" s="93">
        <f t="shared" si="4"/>
        <v>1.5822646714735959E-4</v>
      </c>
      <c r="M32" s="93">
        <f t="shared" si="5"/>
        <v>0.99984177353285264</v>
      </c>
      <c r="N32" s="93">
        <f t="shared" si="6"/>
        <v>1.3176520981009759E-5</v>
      </c>
      <c r="O32" s="40">
        <f t="shared" si="7"/>
        <v>9.8761650054821604E-7</v>
      </c>
      <c r="P32" s="40">
        <f t="shared" si="8"/>
        <v>1.186856730072344E-6</v>
      </c>
      <c r="Q32" s="40">
        <f t="shared" si="9"/>
        <v>1.9767416775710835E-6</v>
      </c>
      <c r="R32" s="9">
        <f t="shared" si="12"/>
        <v>1.4999999999999999E-4</v>
      </c>
      <c r="S32" s="9">
        <f t="shared" si="13"/>
        <v>2.3733970072103937E-8</v>
      </c>
      <c r="T32" s="9">
        <f t="shared" si="10"/>
        <v>1.473554496680174E-4</v>
      </c>
      <c r="U32" s="9">
        <f t="shared" si="11"/>
        <v>1.4997626602992789E-4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9.1527063522880606E-2</v>
      </c>
      <c r="J33" s="92">
        <f t="shared" si="2"/>
        <v>0.85658284176588462</v>
      </c>
      <c r="K33" s="93">
        <f t="shared" si="3"/>
        <v>0.80515678948592773</v>
      </c>
      <c r="L33" s="93">
        <f t="shared" si="4"/>
        <v>7.7563523566179422E-4</v>
      </c>
      <c r="M33" s="93">
        <f t="shared" si="5"/>
        <v>0.99922436476433818</v>
      </c>
      <c r="N33" s="93">
        <f t="shared" si="6"/>
        <v>3.9353204745105083E-4</v>
      </c>
      <c r="O33" s="40">
        <f t="shared" si="7"/>
        <v>8.0945713166655857E-7</v>
      </c>
      <c r="P33" s="40">
        <f t="shared" si="8"/>
        <v>5.8180399026991166E-6</v>
      </c>
      <c r="Q33" s="40">
        <f t="shared" si="9"/>
        <v>5.9037677758606634E-5</v>
      </c>
      <c r="R33" s="9">
        <f t="shared" si="12"/>
        <v>1.4999999999999999E-4</v>
      </c>
      <c r="S33" s="9">
        <f t="shared" si="13"/>
        <v>1.1634528534926913E-7</v>
      </c>
      <c r="T33" s="9">
        <f t="shared" si="10"/>
        <v>1.2077351842288915E-4</v>
      </c>
      <c r="U33" s="9">
        <f t="shared" si="11"/>
        <v>1.4988365471465073E-4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3.1608226539332684E-3</v>
      </c>
      <c r="J34" s="92">
        <f t="shared" si="2"/>
        <v>4.2050150361398808E-2</v>
      </c>
      <c r="K34" s="93">
        <f t="shared" si="3"/>
        <v>0.98746192601121952</v>
      </c>
      <c r="L34" s="93">
        <f t="shared" si="4"/>
        <v>1.4580242205975146E-4</v>
      </c>
      <c r="M34" s="93">
        <f t="shared" si="5"/>
        <v>0.99985419757794025</v>
      </c>
      <c r="N34" s="93">
        <f t="shared" si="6"/>
        <v>8.1322365434630678E-6</v>
      </c>
      <c r="O34" s="40">
        <f t="shared" si="7"/>
        <v>9.9273595987349885E-7</v>
      </c>
      <c r="P34" s="40">
        <f t="shared" si="8"/>
        <v>1.0936639678701953E-6</v>
      </c>
      <c r="Q34" s="40">
        <f t="shared" si="9"/>
        <v>1.2199981262503291E-6</v>
      </c>
      <c r="R34" s="9">
        <f t="shared" si="12"/>
        <v>1.4999999999999999E-4</v>
      </c>
      <c r="S34" s="9">
        <f t="shared" si="13"/>
        <v>2.1870363308962715E-8</v>
      </c>
      <c r="T34" s="9">
        <f t="shared" si="10"/>
        <v>1.4811928890168293E-4</v>
      </c>
      <c r="U34" s="9">
        <f t="shared" si="11"/>
        <v>1.4997812963669102E-4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1.8333114105419375E-3</v>
      </c>
      <c r="J35" s="92">
        <f t="shared" si="2"/>
        <v>1.913510872444386E-2</v>
      </c>
      <c r="K35" s="93">
        <f t="shared" si="3"/>
        <v>0.99049192926362684</v>
      </c>
      <c r="L35" s="93">
        <f t="shared" si="4"/>
        <v>1.3873316004733139E-4</v>
      </c>
      <c r="M35" s="93">
        <f t="shared" si="5"/>
        <v>0.99986126683995269</v>
      </c>
      <c r="N35" s="93">
        <f t="shared" si="6"/>
        <v>5.4886218451746775E-6</v>
      </c>
      <c r="O35" s="40">
        <f t="shared" si="7"/>
        <v>9.9578214637240427E-7</v>
      </c>
      <c r="P35" s="40">
        <f t="shared" si="8"/>
        <v>1.0406374335150322E-6</v>
      </c>
      <c r="Q35" s="40">
        <f t="shared" si="9"/>
        <v>8.2340304921310488E-7</v>
      </c>
      <c r="R35" s="9">
        <f t="shared" si="12"/>
        <v>1.4999999999999999E-4</v>
      </c>
      <c r="S35" s="9">
        <f t="shared" si="13"/>
        <v>2.0809974007099705E-8</v>
      </c>
      <c r="T35" s="9">
        <f t="shared" si="10"/>
        <v>1.4857378938954401E-4</v>
      </c>
      <c r="U35" s="9">
        <f t="shared" si="11"/>
        <v>1.4997919002599289E-4</v>
      </c>
      <c r="V35" s="100">
        <f t="shared" si="14"/>
        <v>0.99062936240550903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1.2834731216469764</v>
      </c>
      <c r="J36" s="92">
        <f t="shared" si="2"/>
        <v>2.9136453532291715</v>
      </c>
      <c r="K36" s="93">
        <f t="shared" si="3"/>
        <v>5.1500003875625908E-2</v>
      </c>
      <c r="L36" s="93">
        <f t="shared" si="4"/>
        <v>5.6577902609731816E-3</v>
      </c>
      <c r="M36" s="93">
        <f t="shared" si="5"/>
        <v>0.99434220973902687</v>
      </c>
      <c r="N36" s="93">
        <f t="shared" si="6"/>
        <v>4.5085562753550135E-3</v>
      </c>
      <c r="O36" s="40">
        <f t="shared" si="7"/>
        <v>5.1775065381485411E-8</v>
      </c>
      <c r="P36" s="40">
        <f t="shared" si="8"/>
        <v>4.2439084747559859E-5</v>
      </c>
      <c r="Q36" s="40">
        <f t="shared" si="9"/>
        <v>6.7637361242875893E-4</v>
      </c>
      <c r="R36" s="9">
        <f t="shared" si="12"/>
        <v>1.4999999999999999E-4</v>
      </c>
      <c r="S36" s="9">
        <f t="shared" si="13"/>
        <v>8.4866853914597716E-7</v>
      </c>
      <c r="T36" s="9">
        <f t="shared" si="10"/>
        <v>7.7250005813438852E-6</v>
      </c>
      <c r="U36" s="9">
        <f t="shared" si="11"/>
        <v>1.4915133146085403E-4</v>
      </c>
      <c r="V36" s="100">
        <f t="shared" si="14"/>
        <v>5.179303802173147E-2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3.1977472098667894</v>
      </c>
      <c r="J37" s="92">
        <f t="shared" si="2"/>
        <v>5.2086075661318931</v>
      </c>
      <c r="K37" s="93">
        <f t="shared" si="3"/>
        <v>6.2244401010697514E-4</v>
      </c>
      <c r="L37" s="93">
        <f t="shared" si="4"/>
        <v>1.3486587889322013E-2</v>
      </c>
      <c r="M37" s="93">
        <f t="shared" si="5"/>
        <v>0.986513412110678</v>
      </c>
      <c r="N37" s="93">
        <f t="shared" si="6"/>
        <v>1.3086587876089208E-2</v>
      </c>
      <c r="O37" s="40">
        <f t="shared" si="7"/>
        <v>6.2576848338559333E-10</v>
      </c>
      <c r="P37" s="40">
        <f t="shared" si="8"/>
        <v>1.0116289575780452E-4</v>
      </c>
      <c r="Q37" s="40">
        <f t="shared" si="9"/>
        <v>1.9632499131709024E-3</v>
      </c>
      <c r="R37" s="9">
        <f t="shared" si="12"/>
        <v>1.4999999999999999E-4</v>
      </c>
      <c r="S37" s="9">
        <f t="shared" si="13"/>
        <v>2.022988183398302E-6</v>
      </c>
      <c r="T37" s="9">
        <f t="shared" si="10"/>
        <v>9.336660151604626E-8</v>
      </c>
      <c r="U37" s="9">
        <f t="shared" si="11"/>
        <v>1.4797701181660169E-4</v>
      </c>
      <c r="V37" s="100">
        <f t="shared" si="14"/>
        <v>6.309534188442868E-4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-1.5996885357091404E-3</v>
      </c>
      <c r="J38" s="92">
        <f t="shared" si="2"/>
        <v>-4.0187315675825341E-2</v>
      </c>
      <c r="K38" s="93">
        <f t="shared" si="3"/>
        <v>0.99836929719842971</v>
      </c>
      <c r="L38" s="93">
        <f t="shared" si="4"/>
        <v>1.2198266851681669E-4</v>
      </c>
      <c r="M38" s="93">
        <f t="shared" si="5"/>
        <v>0.99987801733148318</v>
      </c>
      <c r="N38" s="93">
        <f t="shared" si="6"/>
        <v>4.1778114694375035E-7</v>
      </c>
      <c r="O38" s="40">
        <f t="shared" si="7"/>
        <v>1.0037015873270771E-6</v>
      </c>
      <c r="P38" s="40">
        <f t="shared" si="8"/>
        <v>9.1499199654464177E-7</v>
      </c>
      <c r="Q38" s="40">
        <f t="shared" si="9"/>
        <v>6.2675527664501413E-8</v>
      </c>
      <c r="R38" s="9">
        <f t="shared" si="12"/>
        <v>1.4999999999999999E-4</v>
      </c>
      <c r="S38" s="9">
        <f t="shared" si="13"/>
        <v>1.8297400277522504E-8</v>
      </c>
      <c r="T38" s="9">
        <f t="shared" si="10"/>
        <v>1.4975539457976443E-4</v>
      </c>
      <c r="U38" s="9">
        <f t="shared" si="11"/>
        <v>1.4998170259972247E-4</v>
      </c>
      <c r="V38" s="100">
        <f t="shared" si="14"/>
        <v>0.99849109580678652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0.33491051106253611</v>
      </c>
      <c r="J39" s="92">
        <f t="shared" si="2"/>
        <v>1.4630863314519809</v>
      </c>
      <c r="K39" s="93">
        <f t="shared" si="3"/>
        <v>0.45925811306574033</v>
      </c>
      <c r="L39" s="93">
        <f t="shared" si="4"/>
        <v>1.7878760115807384E-3</v>
      </c>
      <c r="M39" s="93">
        <f t="shared" si="5"/>
        <v>0.9982121239884193</v>
      </c>
      <c r="N39" s="93">
        <f t="shared" si="6"/>
        <v>9.2247173972238687E-4</v>
      </c>
      <c r="O39" s="40">
        <f t="shared" si="7"/>
        <v>4.617110105152849E-7</v>
      </c>
      <c r="P39" s="40">
        <f t="shared" si="8"/>
        <v>1.3410857962867115E-5</v>
      </c>
      <c r="Q39" s="40">
        <f t="shared" si="9"/>
        <v>1.3838921039315246E-4</v>
      </c>
      <c r="R39" s="9">
        <f t="shared" si="12"/>
        <v>1.4999999999999999E-4</v>
      </c>
      <c r="S39" s="9">
        <f t="shared" si="13"/>
        <v>2.6818140173711074E-7</v>
      </c>
      <c r="T39" s="9">
        <f t="shared" si="10"/>
        <v>6.8888716959861036E-5</v>
      </c>
      <c r="U39" s="9">
        <f t="shared" si="11"/>
        <v>1.4973181859826289E-4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0.37071855582347524</v>
      </c>
      <c r="J40" s="92">
        <f t="shared" si="2"/>
        <v>1.7075818611730444</v>
      </c>
      <c r="K40" s="93">
        <f t="shared" si="3"/>
        <v>0.42244487212086446</v>
      </c>
      <c r="L40" s="93">
        <f t="shared" si="4"/>
        <v>2.8876605033754969E-3</v>
      </c>
      <c r="M40" s="93">
        <f t="shared" si="5"/>
        <v>0.99711233949662448</v>
      </c>
      <c r="N40" s="93">
        <f t="shared" si="6"/>
        <v>2.0767847956855694E-3</v>
      </c>
      <c r="O40" s="40">
        <f t="shared" si="7"/>
        <v>4.2470115006113055E-7</v>
      </c>
      <c r="P40" s="40">
        <f t="shared" si="8"/>
        <v>2.1660341435819602E-5</v>
      </c>
      <c r="Q40" s="40">
        <f t="shared" si="9"/>
        <v>3.1155925504874909E-4</v>
      </c>
      <c r="R40" s="9">
        <f t="shared" si="12"/>
        <v>1.4999999999999999E-4</v>
      </c>
      <c r="S40" s="9">
        <f t="shared" si="13"/>
        <v>4.331490755063245E-7</v>
      </c>
      <c r="T40" s="9">
        <f t="shared" si="10"/>
        <v>6.3366730818129662E-5</v>
      </c>
      <c r="U40" s="9">
        <f t="shared" si="11"/>
        <v>1.4956685092449367E-4</v>
      </c>
      <c r="V40" s="100">
        <f t="shared" si="14"/>
        <v>0.42366828228615516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6.2122287627494992E-2</v>
      </c>
      <c r="J41" s="92">
        <f t="shared" si="2"/>
        <v>0.63617430590334967</v>
      </c>
      <c r="K41" s="93">
        <f t="shared" si="3"/>
        <v>0.86179727562617514</v>
      </c>
      <c r="L41" s="93">
        <f t="shared" si="4"/>
        <v>4.9977399158648861E-4</v>
      </c>
      <c r="M41" s="93">
        <f t="shared" si="5"/>
        <v>0.99950022600841348</v>
      </c>
      <c r="N41" s="93">
        <f t="shared" si="6"/>
        <v>1.8504968492259581E-4</v>
      </c>
      <c r="O41" s="40">
        <f t="shared" si="7"/>
        <v>8.6640013462695953E-7</v>
      </c>
      <c r="P41" s="40">
        <f t="shared" si="8"/>
        <v>3.7488047108902502E-6</v>
      </c>
      <c r="Q41" s="40">
        <f t="shared" si="9"/>
        <v>2.7761153732087814E-5</v>
      </c>
      <c r="R41" s="9">
        <f t="shared" si="12"/>
        <v>1.4999999999999999E-4</v>
      </c>
      <c r="S41" s="9">
        <f t="shared" si="13"/>
        <v>7.4966098737973282E-8</v>
      </c>
      <c r="T41" s="9">
        <f t="shared" si="10"/>
        <v>1.2926959134392627E-4</v>
      </c>
      <c r="U41" s="9">
        <f t="shared" si="11"/>
        <v>1.49925033901262E-4</v>
      </c>
      <c r="V41" s="100">
        <f t="shared" si="14"/>
        <v>0.86222819485277513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0.22542744412672311</v>
      </c>
      <c r="J42" s="92">
        <f t="shared" si="2"/>
        <v>1.3625600825731248</v>
      </c>
      <c r="K42" s="93">
        <f t="shared" si="3"/>
        <v>0.59091324477437035</v>
      </c>
      <c r="L42" s="93">
        <f t="shared" si="4"/>
        <v>1.8250637360860207E-3</v>
      </c>
      <c r="M42" s="93">
        <f t="shared" si="5"/>
        <v>0.99817493626391396</v>
      </c>
      <c r="N42" s="93">
        <f t="shared" si="6"/>
        <v>1.1887374844869419E-3</v>
      </c>
      <c r="O42" s="40">
        <f t="shared" si="7"/>
        <v>5.9406931224443297E-7</v>
      </c>
      <c r="P42" s="40">
        <f t="shared" si="8"/>
        <v>1.3689803084381236E-5</v>
      </c>
      <c r="Q42" s="40">
        <f t="shared" si="9"/>
        <v>1.78334397422731E-4</v>
      </c>
      <c r="R42" s="9">
        <f t="shared" si="12"/>
        <v>1.4999999999999999E-4</v>
      </c>
      <c r="S42" s="9">
        <f t="shared" si="13"/>
        <v>2.7375956041290307E-7</v>
      </c>
      <c r="T42" s="9">
        <f t="shared" si="10"/>
        <v>8.8636986716155542E-5</v>
      </c>
      <c r="U42" s="9">
        <f t="shared" si="11"/>
        <v>1.4972624043958709E-4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0.32073739190116707</v>
      </c>
      <c r="J43" s="92">
        <f t="shared" si="2"/>
        <v>1.4662062884307066</v>
      </c>
      <c r="K43" s="93">
        <f t="shared" si="3"/>
        <v>0.47445870127901885</v>
      </c>
      <c r="L43" s="93">
        <f t="shared" si="4"/>
        <v>1.8603683098126491E-3</v>
      </c>
      <c r="M43" s="93">
        <f t="shared" si="5"/>
        <v>0.99813963169018738</v>
      </c>
      <c r="N43" s="93">
        <f t="shared" si="6"/>
        <v>1.028697415888681E-3</v>
      </c>
      <c r="O43" s="40">
        <f t="shared" si="7"/>
        <v>4.7699278506583037E-7</v>
      </c>
      <c r="P43" s="40">
        <f t="shared" si="8"/>
        <v>1.3954622691904684E-5</v>
      </c>
      <c r="Q43" s="40">
        <f t="shared" si="9"/>
        <v>1.5432518633161989E-4</v>
      </c>
      <c r="R43" s="9">
        <f t="shared" si="12"/>
        <v>1.4999999999999999E-4</v>
      </c>
      <c r="S43" s="9">
        <f t="shared" si="13"/>
        <v>2.7905524647189733E-7</v>
      </c>
      <c r="T43" s="9">
        <f t="shared" si="10"/>
        <v>7.1168805191852816E-5</v>
      </c>
      <c r="U43" s="9">
        <f t="shared" si="11"/>
        <v>1.4972094475352809E-4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3.8293839195374848</v>
      </c>
      <c r="J44" s="92">
        <f t="shared" si="2"/>
        <v>5.7902923462368587</v>
      </c>
      <c r="K44" s="93">
        <f t="shared" si="3"/>
        <v>1.4557956952440898E-4</v>
      </c>
      <c r="L44" s="93">
        <f t="shared" si="4"/>
        <v>1.2038905512169422E-2</v>
      </c>
      <c r="M44" s="93">
        <f t="shared" si="5"/>
        <v>0.98796109448783054</v>
      </c>
      <c r="N44" s="93">
        <f t="shared" si="6"/>
        <v>1.1483457409109275E-2</v>
      </c>
      <c r="O44" s="40">
        <f t="shared" si="7"/>
        <v>1.4635710996328871E-10</v>
      </c>
      <c r="P44" s="40">
        <f t="shared" si="8"/>
        <v>9.0303830246782829E-5</v>
      </c>
      <c r="Q44" s="40">
        <f t="shared" si="9"/>
        <v>1.722748280514573E-3</v>
      </c>
      <c r="R44" s="9">
        <f t="shared" si="12"/>
        <v>1.4999999999999999E-4</v>
      </c>
      <c r="S44" s="9">
        <f t="shared" si="13"/>
        <v>1.8058358268254131E-6</v>
      </c>
      <c r="T44" s="9">
        <f t="shared" si="10"/>
        <v>2.1836935428661347E-8</v>
      </c>
      <c r="U44" s="9">
        <f t="shared" si="11"/>
        <v>1.4819416417317458E-4</v>
      </c>
      <c r="V44" s="100">
        <f t="shared" si="14"/>
        <v>1.4735354492868868E-4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3.8037572032670899E-2</v>
      </c>
      <c r="J45" s="92">
        <f t="shared" si="2"/>
        <v>0.50735979747220017</v>
      </c>
      <c r="K45" s="93">
        <f t="shared" si="3"/>
        <v>0.91103768783884276</v>
      </c>
      <c r="L45" s="93">
        <f t="shared" si="4"/>
        <v>3.9272664684765761E-4</v>
      </c>
      <c r="M45" s="93">
        <f t="shared" si="5"/>
        <v>0.99960727335315236</v>
      </c>
      <c r="N45" s="93">
        <f t="shared" si="6"/>
        <v>1.5076015538522883E-4</v>
      </c>
      <c r="O45" s="40">
        <f t="shared" si="7"/>
        <v>9.1590353986706593E-7</v>
      </c>
      <c r="P45" s="40">
        <f t="shared" si="8"/>
        <v>2.9458425780042795E-6</v>
      </c>
      <c r="Q45" s="40">
        <f t="shared" si="9"/>
        <v>2.2617038510892023E-5</v>
      </c>
      <c r="R45" s="9">
        <f t="shared" si="12"/>
        <v>1.4999999999999999E-4</v>
      </c>
      <c r="S45" s="9">
        <f t="shared" si="13"/>
        <v>5.8908997027148634E-8</v>
      </c>
      <c r="T45" s="9">
        <f t="shared" si="10"/>
        <v>1.366556531758264E-4</v>
      </c>
      <c r="U45" s="9">
        <f t="shared" si="11"/>
        <v>1.4994109100297285E-4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4.0258976380178252E-2</v>
      </c>
      <c r="J46" s="92">
        <f t="shared" si="2"/>
        <v>0.50980800632319279</v>
      </c>
      <c r="K46" s="93">
        <f t="shared" si="3"/>
        <v>0.90638946656096386</v>
      </c>
      <c r="L46" s="93">
        <f t="shared" si="4"/>
        <v>3.9293171605728238E-4</v>
      </c>
      <c r="M46" s="93">
        <f t="shared" si="5"/>
        <v>0.99960706828394275</v>
      </c>
      <c r="N46" s="93">
        <f t="shared" si="6"/>
        <v>1.4303953280140076E-4</v>
      </c>
      <c r="O46" s="40">
        <f t="shared" si="7"/>
        <v>9.112304924406813E-7</v>
      </c>
      <c r="P46" s="40">
        <f t="shared" si="8"/>
        <v>2.947380802145674E-6</v>
      </c>
      <c r="Q46" s="40">
        <f t="shared" si="9"/>
        <v>2.1458790710866134E-5</v>
      </c>
      <c r="R46" s="9">
        <f t="shared" si="12"/>
        <v>1.4999999999999999E-4</v>
      </c>
      <c r="S46" s="9">
        <f t="shared" si="13"/>
        <v>5.8939757408592351E-8</v>
      </c>
      <c r="T46" s="9">
        <f t="shared" si="10"/>
        <v>1.3595841998414456E-4</v>
      </c>
      <c r="U46" s="9">
        <f t="shared" si="11"/>
        <v>1.4994106024259139E-4</v>
      </c>
      <c r="V46" s="100">
        <f t="shared" si="14"/>
        <v>0.90674575572678917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0.50587648659747519</v>
      </c>
      <c r="J47" s="92">
        <f t="shared" si="2"/>
        <v>1.9607549023758677</v>
      </c>
      <c r="K47" s="93">
        <f t="shared" si="3"/>
        <v>0.30918662796935437</v>
      </c>
      <c r="L47" s="93">
        <f t="shared" si="4"/>
        <v>3.785906063748097E-3</v>
      </c>
      <c r="M47" s="93">
        <f t="shared" si="5"/>
        <v>0.99621409393625193</v>
      </c>
      <c r="N47" s="93">
        <f t="shared" si="6"/>
        <v>2.8773249680085398E-3</v>
      </c>
      <c r="O47" s="40">
        <f t="shared" si="7"/>
        <v>3.1083799366024367E-7</v>
      </c>
      <c r="P47" s="40">
        <f t="shared" si="8"/>
        <v>2.839808138417448E-5</v>
      </c>
      <c r="Q47" s="40">
        <f t="shared" si="9"/>
        <v>4.3165629170064106E-4</v>
      </c>
      <c r="R47" s="9">
        <f t="shared" si="12"/>
        <v>1.4999999999999999E-4</v>
      </c>
      <c r="S47" s="9">
        <f t="shared" si="13"/>
        <v>5.6788590956221454E-7</v>
      </c>
      <c r="T47" s="9">
        <f t="shared" si="10"/>
        <v>4.6377994195403148E-5</v>
      </c>
      <c r="U47" s="9">
        <f t="shared" si="11"/>
        <v>1.4943211409043777E-4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3.5001380315971067E-2</v>
      </c>
      <c r="K48" s="93">
        <f t="shared" ref="K48:K50" si="17">IF(D48=0,"",1/(1+10^D48*$J$15/$J$14+10^E48*$J$16/$J$14+10^J48*$J$19/$J$14))</f>
        <v>0.98988820861445437</v>
      </c>
      <c r="L48" s="93">
        <f t="shared" ref="L48:L50" si="18">IF(D48=0,"",1/(1+10^I48/10^J48*$J$13/$J$19))</f>
        <v>1.4380757408694503E-4</v>
      </c>
      <c r="M48" s="93">
        <f t="shared" ref="M48:M92" si="19">IF(D48=0,"",1-L48)</f>
        <v>0.99985619242591306</v>
      </c>
      <c r="N48" s="93">
        <f t="shared" ref="N48:N50" si="20">IF(D48=0,"",1/(1/10^E48*$J$20/$J$22+10^D48/10^E48*$J$21/$J$22+10^I48/10^E48*$J$13/$J$22+1))</f>
        <v>1.0072804018443946E-5</v>
      </c>
      <c r="O48" s="40">
        <f t="shared" ref="O48:O92" si="21">IF(D48=0,"",F48*K48*$J$7/$J$14)</f>
        <v>9.951752012514186E-7</v>
      </c>
      <c r="P48" s="40">
        <f t="shared" ref="P48:P50" si="22">IF(D48=0,"",O48*10^J48)</f>
        <v>1.0787006132261745E-6</v>
      </c>
      <c r="Q48" s="40">
        <f t="shared" ref="Q48:Q50" si="23">IF(D48=0,"",F48*N48*$J$7/$J$22)</f>
        <v>1.5111220588469605E-6</v>
      </c>
      <c r="R48" s="9">
        <f t="shared" si="12"/>
        <v>1.4999999999999999E-4</v>
      </c>
      <c r="S48" s="9">
        <f t="shared" si="13"/>
        <v>2.1571136113041753E-8</v>
      </c>
      <c r="T48" s="9">
        <f t="shared" si="10"/>
        <v>1.4848323129216815E-4</v>
      </c>
      <c r="U48" s="9">
        <f t="shared" si="11"/>
        <v>1.4997842886388694E-4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8.7763082204907472E-2</v>
      </c>
      <c r="J49" s="92">
        <f t="shared" si="16"/>
        <v>0.86614766954915146</v>
      </c>
      <c r="K49" s="93">
        <f t="shared" si="17"/>
        <v>0.81214568712160395</v>
      </c>
      <c r="L49" s="93">
        <f t="shared" si="18"/>
        <v>7.99789762383569E-4</v>
      </c>
      <c r="M49" s="93">
        <f t="shared" si="19"/>
        <v>0.9992002102376164</v>
      </c>
      <c r="N49" s="93">
        <f t="shared" si="20"/>
        <v>4.3221633409000314E-4</v>
      </c>
      <c r="O49" s="40">
        <f t="shared" si="21"/>
        <v>8.1648335700249305E-7</v>
      </c>
      <c r="P49" s="40">
        <f t="shared" si="22"/>
        <v>5.9992230076391501E-6</v>
      </c>
      <c r="Q49" s="40">
        <f t="shared" si="23"/>
        <v>6.4841094440182262E-5</v>
      </c>
      <c r="R49" s="9">
        <f t="shared" si="12"/>
        <v>1.4999999999999999E-4</v>
      </c>
      <c r="S49" s="9">
        <f t="shared" si="13"/>
        <v>1.1996846435753533E-7</v>
      </c>
      <c r="T49" s="9">
        <f t="shared" si="10"/>
        <v>1.2182185306824058E-4</v>
      </c>
      <c r="U49" s="9">
        <f t="shared" si="11"/>
        <v>1.4988003153564245E-4</v>
      </c>
      <c r="V49" s="100">
        <f t="shared" si="14"/>
        <v>0.81279575284363714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0.50667591684415281</v>
      </c>
      <c r="J50" s="92">
        <f t="shared" si="16"/>
        <v>1.8465793817928891</v>
      </c>
      <c r="K50" s="93">
        <f t="shared" si="17"/>
        <v>0.30889001664138627</v>
      </c>
      <c r="L50" s="93">
        <f t="shared" si="18"/>
        <v>2.9078867106016159E-3</v>
      </c>
      <c r="M50" s="93">
        <f t="shared" si="19"/>
        <v>0.9970921132893984</v>
      </c>
      <c r="N50" s="93">
        <f t="shared" si="20"/>
        <v>1.9050137085650199E-3</v>
      </c>
      <c r="O50" s="40">
        <f t="shared" si="21"/>
        <v>3.1053979813125838E-7</v>
      </c>
      <c r="P50" s="40">
        <f t="shared" si="22"/>
        <v>2.181205821622272E-5</v>
      </c>
      <c r="Q50" s="40">
        <f t="shared" si="23"/>
        <v>2.8579015655892426E-4</v>
      </c>
      <c r="R50" s="9">
        <f t="shared" si="12"/>
        <v>1.4999999999999999E-4</v>
      </c>
      <c r="S50" s="9">
        <f t="shared" si="13"/>
        <v>4.3618300659024234E-7</v>
      </c>
      <c r="T50" s="9">
        <f t="shared" si="10"/>
        <v>4.6333502496207938E-5</v>
      </c>
      <c r="U50" s="9">
        <f t="shared" si="11"/>
        <v>1.4956381699340974E-4</v>
      </c>
      <c r="V50" s="100">
        <f t="shared" si="14"/>
        <v>0.30979085334689965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4.7849539498028779</v>
      </c>
      <c r="K51" s="93">
        <f t="shared" ref="K51:K70" si="26">IF(D51=0,"",1/(1+10^D51*$J$15/$J$14+10^E51*$J$16/$J$14+10^J51*$J$19/$J$14))</f>
        <v>1.0380686488426802E-3</v>
      </c>
      <c r="L51" s="93">
        <f t="shared" ref="L51:L70" si="27">IF(D51=0,"",1/(1+10^I51/10^J51*$J$13/$J$19))</f>
        <v>8.479578275542755E-3</v>
      </c>
      <c r="M51" s="93">
        <f t="shared" ref="M51:M70" si="28">IF(D51=0,"",1-L51)</f>
        <v>0.9915204217244572</v>
      </c>
      <c r="N51" s="93">
        <f t="shared" ref="N51:N70" si="29">IF(D51=0,"",1/(1/10^E51*$J$20/$J$22+10^D51/10^E51*$J$21/$J$22+10^I51/10^E51*$J$13/$J$22+1))</f>
        <v>7.545470196892062E-3</v>
      </c>
      <c r="O51" s="40">
        <f t="shared" ref="O51:O70" si="30">IF(D51=0,"",F51*K51*$J$7/$J$14)</f>
        <v>1.0436129731970196E-9</v>
      </c>
      <c r="P51" s="40">
        <f t="shared" ref="P51:P70" si="31">IF(D51=0,"",O51*10^J51)</f>
        <v>6.3605316644846179E-5</v>
      </c>
      <c r="Q51" s="40">
        <f t="shared" ref="Q51:Q70" si="32">IF(D51=0,"",F51*N51*$J$7/$J$22)</f>
        <v>1.1319714389377469E-3</v>
      </c>
      <c r="R51" s="9">
        <f t="shared" si="12"/>
        <v>1.4999999999999999E-4</v>
      </c>
      <c r="S51" s="9">
        <f t="shared" si="13"/>
        <v>1.2719367413314131E-6</v>
      </c>
      <c r="T51" s="9">
        <f t="shared" si="10"/>
        <v>1.55710297326402E-7</v>
      </c>
      <c r="U51" s="9">
        <f t="shared" si="11"/>
        <v>1.4872806325866856E-4</v>
      </c>
      <c r="V51" s="100">
        <f t="shared" si="14"/>
        <v>1.0469463120459648E-3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0.64393554165863076</v>
      </c>
      <c r="J52" s="92">
        <f t="shared" si="25"/>
        <v>2.1476419495508856</v>
      </c>
      <c r="K52" s="93">
        <f t="shared" si="26"/>
        <v>0.22488787519022024</v>
      </c>
      <c r="L52" s="93">
        <f t="shared" si="27"/>
        <v>4.2345008021819983E-3</v>
      </c>
      <c r="M52" s="93">
        <f t="shared" si="28"/>
        <v>0.99576549919781798</v>
      </c>
      <c r="N52" s="93">
        <f t="shared" si="29"/>
        <v>3.2297006748867678E-3</v>
      </c>
      <c r="O52" s="40">
        <f t="shared" si="30"/>
        <v>2.2608900126680766E-7</v>
      </c>
      <c r="P52" s="40">
        <f t="shared" si="31"/>
        <v>3.1762990517167181E-5</v>
      </c>
      <c r="Q52" s="40">
        <f t="shared" si="32"/>
        <v>4.845196952465128E-4</v>
      </c>
      <c r="R52" s="9">
        <f t="shared" si="12"/>
        <v>1.4999999999999999E-4</v>
      </c>
      <c r="S52" s="9">
        <f t="shared" si="13"/>
        <v>6.3517512032729971E-7</v>
      </c>
      <c r="T52" s="9">
        <f t="shared" si="10"/>
        <v>3.3733181278533035E-5</v>
      </c>
      <c r="U52" s="9">
        <f t="shared" si="11"/>
        <v>1.4936482487967268E-4</v>
      </c>
      <c r="V52" s="100">
        <f t="shared" si="14"/>
        <v>0.2258442126900243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1.3135143326183101</v>
      </c>
      <c r="J53" s="92">
        <f t="shared" si="25"/>
        <v>3.0007157776870899</v>
      </c>
      <c r="K53" s="93">
        <f t="shared" si="26"/>
        <v>4.801991475124149E-2</v>
      </c>
      <c r="L53" s="93">
        <f t="shared" si="27"/>
        <v>6.4466099063352133E-3</v>
      </c>
      <c r="M53" s="93">
        <f t="shared" si="28"/>
        <v>0.99355339009366483</v>
      </c>
      <c r="N53" s="93">
        <f t="shared" si="29"/>
        <v>5.3756825926287062E-3</v>
      </c>
      <c r="O53" s="40">
        <f t="shared" si="30"/>
        <v>4.8276389102090482E-8</v>
      </c>
      <c r="P53" s="40">
        <f t="shared" si="31"/>
        <v>4.8356020907420437E-5</v>
      </c>
      <c r="Q53" s="40">
        <f t="shared" si="32"/>
        <v>8.0645990254615829E-4</v>
      </c>
      <c r="R53" s="9">
        <f t="shared" si="12"/>
        <v>1.4999999999999999E-4</v>
      </c>
      <c r="S53" s="9">
        <f t="shared" si="13"/>
        <v>9.6699148595028197E-7</v>
      </c>
      <c r="T53" s="9">
        <f t="shared" si="10"/>
        <v>7.202987212686223E-6</v>
      </c>
      <c r="U53" s="9">
        <f t="shared" si="11"/>
        <v>1.490330085140497E-4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0.78379345695532832</v>
      </c>
      <c r="J54" s="92">
        <f t="shared" si="25"/>
        <v>2.3388959370141773</v>
      </c>
      <c r="K54" s="93">
        <f t="shared" si="26"/>
        <v>0.1628835211506317</v>
      </c>
      <c r="L54" s="93">
        <f t="shared" si="27"/>
        <v>4.7639513194187248E-3</v>
      </c>
      <c r="M54" s="93">
        <f t="shared" si="28"/>
        <v>0.99523604868058124</v>
      </c>
      <c r="N54" s="93">
        <f t="shared" si="29"/>
        <v>3.7096879752536354E-3</v>
      </c>
      <c r="O54" s="40">
        <f t="shared" si="30"/>
        <v>1.6375348199016081E-7</v>
      </c>
      <c r="P54" s="40">
        <f t="shared" si="31"/>
        <v>3.5734398846959847E-5</v>
      </c>
      <c r="Q54" s="40">
        <f t="shared" si="32"/>
        <v>5.5652739004755016E-4</v>
      </c>
      <c r="R54" s="9">
        <f t="shared" si="12"/>
        <v>1.4999999999999999E-4</v>
      </c>
      <c r="S54" s="9">
        <f t="shared" si="13"/>
        <v>7.1459269791280864E-7</v>
      </c>
      <c r="T54" s="9">
        <f t="shared" si="10"/>
        <v>2.4432528172594754E-5</v>
      </c>
      <c r="U54" s="9">
        <f t="shared" si="11"/>
        <v>1.4928540730208716E-4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5.6400487609719711E-2</v>
      </c>
      <c r="J55" s="54">
        <f t="shared" si="25"/>
        <v>0.66821968451796943</v>
      </c>
      <c r="K55" s="55">
        <f t="shared" si="26"/>
        <v>0.87318687113592408</v>
      </c>
      <c r="L55" s="55">
        <f t="shared" si="27"/>
        <v>5.4515639445607716E-4</v>
      </c>
      <c r="M55" s="55">
        <f t="shared" si="28"/>
        <v>0.99945484360554393</v>
      </c>
      <c r="N55" s="55">
        <f t="shared" si="29"/>
        <v>2.5475365894888312E-4</v>
      </c>
      <c r="O55" s="56">
        <f t="shared" si="30"/>
        <v>8.7785056196304407E-7</v>
      </c>
      <c r="P55" s="56">
        <f t="shared" si="31"/>
        <v>4.0892181148150338E-6</v>
      </c>
      <c r="Q55" s="56">
        <f t="shared" si="32"/>
        <v>3.8218143915511445E-5</v>
      </c>
      <c r="R55" s="9">
        <f t="shared" si="12"/>
        <v>1.4999999999999999E-4</v>
      </c>
      <c r="S55" s="9">
        <f t="shared" si="13"/>
        <v>8.1773459168411562E-8</v>
      </c>
      <c r="T55" s="9">
        <f t="shared" si="10"/>
        <v>1.3097803067038861E-4</v>
      </c>
      <c r="U55" s="9">
        <f t="shared" si="11"/>
        <v>1.4991822654083158E-4</v>
      </c>
      <c r="V55" s="100">
        <f t="shared" si="14"/>
        <v>0.87366315419103202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0.61860589125383414</v>
      </c>
      <c r="J56" s="54">
        <f t="shared" si="25"/>
        <v>2.1336193491516409</v>
      </c>
      <c r="K56" s="55">
        <f t="shared" si="26"/>
        <v>0.23836757913050916</v>
      </c>
      <c r="L56" s="55">
        <f t="shared" si="27"/>
        <v>4.3457102235792931E-3</v>
      </c>
      <c r="M56" s="55">
        <f t="shared" si="28"/>
        <v>0.99565428977642068</v>
      </c>
      <c r="N56" s="55">
        <f t="shared" si="29"/>
        <v>3.3758366120182717E-3</v>
      </c>
      <c r="O56" s="56">
        <f t="shared" si="30"/>
        <v>2.3964070030195734E-7</v>
      </c>
      <c r="P56" s="56">
        <f t="shared" si="31"/>
        <v>3.2597172387068277E-5</v>
      </c>
      <c r="Q56" s="56">
        <f t="shared" si="32"/>
        <v>5.0644300853498097E-4</v>
      </c>
      <c r="R56" s="9">
        <f t="shared" si="12"/>
        <v>1.4999999999999999E-4</v>
      </c>
      <c r="S56" s="9">
        <f t="shared" si="13"/>
        <v>6.5185653353689388E-7</v>
      </c>
      <c r="T56" s="9">
        <f t="shared" si="10"/>
        <v>3.5755136869576368E-5</v>
      </c>
      <c r="U56" s="9">
        <f t="shared" si="11"/>
        <v>1.493481434664631E-4</v>
      </c>
      <c r="V56" s="100">
        <f t="shared" si="14"/>
        <v>0.23940797682299528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0.26171036693668792</v>
      </c>
      <c r="J57" s="54">
        <f t="shared" si="25"/>
        <v>1.473638978374388</v>
      </c>
      <c r="K57" s="55">
        <f t="shared" si="26"/>
        <v>0.54336524932630093</v>
      </c>
      <c r="L57" s="55">
        <f t="shared" si="27"/>
        <v>2.1673301225008388E-3</v>
      </c>
      <c r="M57" s="55">
        <f t="shared" si="28"/>
        <v>0.99783266987749919</v>
      </c>
      <c r="N57" s="55">
        <f t="shared" si="29"/>
        <v>1.4862644602447583E-3</v>
      </c>
      <c r="O57" s="56">
        <f t="shared" si="30"/>
        <v>5.4626736296637697E-7</v>
      </c>
      <c r="P57" s="56">
        <f t="shared" si="31"/>
        <v>1.6257143248878793E-5</v>
      </c>
      <c r="Q57" s="56">
        <f t="shared" si="32"/>
        <v>2.229693943259186E-4</v>
      </c>
      <c r="R57" s="9">
        <f t="shared" si="12"/>
        <v>1.4999999999999999E-4</v>
      </c>
      <c r="S57" s="9">
        <f t="shared" si="13"/>
        <v>3.2509951837512576E-7</v>
      </c>
      <c r="T57" s="9">
        <f t="shared" si="10"/>
        <v>8.1504787398945129E-5</v>
      </c>
      <c r="U57" s="9">
        <f t="shared" si="11"/>
        <v>1.4967490048162487E-4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0.19893820408979257</v>
      </c>
      <c r="J58" s="54">
        <f t="shared" si="25"/>
        <v>1.2642800792666067</v>
      </c>
      <c r="K58" s="55">
        <f t="shared" si="26"/>
        <v>0.62825180856338603</v>
      </c>
      <c r="L58" s="55">
        <f t="shared" si="27"/>
        <v>1.5474194650123641E-3</v>
      </c>
      <c r="M58" s="55">
        <f t="shared" si="28"/>
        <v>0.99845258053498764</v>
      </c>
      <c r="N58" s="55">
        <f t="shared" si="29"/>
        <v>9.452789363593242E-4</v>
      </c>
      <c r="O58" s="56">
        <f t="shared" si="30"/>
        <v>6.3160730129188642E-7</v>
      </c>
      <c r="P58" s="56">
        <f t="shared" si="31"/>
        <v>1.160719340705774E-5</v>
      </c>
      <c r="Q58" s="56">
        <f t="shared" si="32"/>
        <v>1.4181074603262578E-4</v>
      </c>
      <c r="R58" s="9">
        <f t="shared" si="12"/>
        <v>1.4999999999999999E-4</v>
      </c>
      <c r="S58" s="9">
        <f t="shared" si="13"/>
        <v>2.3211291975185459E-7</v>
      </c>
      <c r="T58" s="9">
        <f t="shared" si="10"/>
        <v>9.4237771284507899E-5</v>
      </c>
      <c r="U58" s="9">
        <f t="shared" si="11"/>
        <v>1.4976788708024813E-4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6.5352597387686409E-2</v>
      </c>
      <c r="J59" s="54">
        <f t="shared" si="25"/>
        <v>0.79270412978539373</v>
      </c>
      <c r="K59" s="55">
        <f t="shared" si="26"/>
        <v>0.8552300215801879</v>
      </c>
      <c r="L59" s="55">
        <f t="shared" si="27"/>
        <v>7.111828846163746E-4</v>
      </c>
      <c r="M59" s="55">
        <f t="shared" si="28"/>
        <v>0.99928881711538364</v>
      </c>
      <c r="N59" s="55">
        <f t="shared" si="29"/>
        <v>4.078112206008045E-4</v>
      </c>
      <c r="O59" s="56">
        <f t="shared" si="30"/>
        <v>8.5979780487900514E-7</v>
      </c>
      <c r="P59" s="56">
        <f t="shared" si="31"/>
        <v>5.3345828175074239E-6</v>
      </c>
      <c r="Q59" s="56">
        <f t="shared" si="32"/>
        <v>6.1179839314532675E-5</v>
      </c>
      <c r="R59" s="9">
        <f t="shared" si="12"/>
        <v>1.4999999999999999E-4</v>
      </c>
      <c r="S59" s="9">
        <f t="shared" si="13"/>
        <v>1.0667743269245619E-7</v>
      </c>
      <c r="T59" s="9">
        <f t="shared" si="10"/>
        <v>1.2828450323702819E-4</v>
      </c>
      <c r="U59" s="9">
        <f t="shared" si="11"/>
        <v>1.4989332256730754E-4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0.6487673116742505</v>
      </c>
      <c r="J60" s="54">
        <f t="shared" si="25"/>
        <v>2.1926316771695706</v>
      </c>
      <c r="K60" s="55">
        <f t="shared" si="26"/>
        <v>0.22230854115620505</v>
      </c>
      <c r="L60" s="55">
        <f t="shared" si="27"/>
        <v>4.6428222248543786E-3</v>
      </c>
      <c r="M60" s="55">
        <f t="shared" si="28"/>
        <v>0.99535717777514565</v>
      </c>
      <c r="N60" s="55">
        <f t="shared" si="29"/>
        <v>3.6772263578119207E-3</v>
      </c>
      <c r="O60" s="56">
        <f t="shared" si="30"/>
        <v>2.2349589101046004E-7</v>
      </c>
      <c r="P60" s="56">
        <f t="shared" si="31"/>
        <v>3.4825809508632699E-5</v>
      </c>
      <c r="Q60" s="56">
        <f t="shared" si="32"/>
        <v>5.5165749819894422E-4</v>
      </c>
      <c r="R60" s="9">
        <f t="shared" si="12"/>
        <v>1.4999999999999999E-4</v>
      </c>
      <c r="S60" s="9">
        <f t="shared" si="13"/>
        <v>6.964233337281567E-7</v>
      </c>
      <c r="T60" s="9">
        <f t="shared" si="10"/>
        <v>3.3346281173430752E-5</v>
      </c>
      <c r="U60" s="9">
        <f t="shared" si="11"/>
        <v>1.4930357666627183E-4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1.4117733403846819</v>
      </c>
      <c r="J61" s="54">
        <f t="shared" si="25"/>
        <v>3.2027420384680658</v>
      </c>
      <c r="K61" s="55">
        <f t="shared" si="26"/>
        <v>3.8230273571769571E-2</v>
      </c>
      <c r="L61" s="55">
        <f t="shared" si="27"/>
        <v>8.1722881852761345E-3</v>
      </c>
      <c r="M61" s="55">
        <f t="shared" si="28"/>
        <v>0.99182771181472384</v>
      </c>
      <c r="N61" s="55">
        <f t="shared" si="29"/>
        <v>7.2689489946406206E-3</v>
      </c>
      <c r="O61" s="56">
        <f t="shared" si="30"/>
        <v>3.8434461451899982E-8</v>
      </c>
      <c r="P61" s="56">
        <f t="shared" si="31"/>
        <v>6.1300333677756323E-5</v>
      </c>
      <c r="Q61" s="56">
        <f t="shared" si="32"/>
        <v>1.0904877281759859E-3</v>
      </c>
      <c r="R61" s="9">
        <f t="shared" si="12"/>
        <v>1.4999999999999999E-4</v>
      </c>
      <c r="S61" s="9">
        <f t="shared" si="13"/>
        <v>1.2258432277914201E-6</v>
      </c>
      <c r="T61" s="9">
        <f t="shared" si="10"/>
        <v>5.7345410357654355E-6</v>
      </c>
      <c r="U61" s="9">
        <f t="shared" si="11"/>
        <v>1.4877415677220856E-4</v>
      </c>
      <c r="V61" s="100">
        <f t="shared" si="14"/>
        <v>3.8545276680987811E-2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2.2542758302531842</v>
      </c>
      <c r="J62" s="54">
        <f t="shared" si="25"/>
        <v>4.1780835037756168</v>
      </c>
      <c r="K62" s="55">
        <f t="shared" si="26"/>
        <v>5.4781868030358049E-3</v>
      </c>
      <c r="L62" s="55">
        <f t="shared" si="27"/>
        <v>1.1064061214545525E-2</v>
      </c>
      <c r="M62" s="55">
        <f t="shared" si="28"/>
        <v>0.98893593878545449</v>
      </c>
      <c r="N62" s="55">
        <f t="shared" si="29"/>
        <v>1.0413603865342881E-2</v>
      </c>
      <c r="O62" s="56">
        <f t="shared" si="30"/>
        <v>5.5074457971722276E-9</v>
      </c>
      <c r="P62" s="56">
        <f t="shared" si="31"/>
        <v>8.2991523170306019E-5</v>
      </c>
      <c r="Q62" s="56">
        <f t="shared" si="32"/>
        <v>1.5622488518787386E-3</v>
      </c>
      <c r="R62" s="9">
        <f t="shared" si="12"/>
        <v>1.4999999999999999E-4</v>
      </c>
      <c r="S62" s="9">
        <f t="shared" si="13"/>
        <v>1.6596091821818288E-6</v>
      </c>
      <c r="T62" s="9">
        <f t="shared" si="10"/>
        <v>8.2172802045537063E-7</v>
      </c>
      <c r="U62" s="9">
        <f t="shared" si="11"/>
        <v>1.4834039081781816E-4</v>
      </c>
      <c r="V62" s="100">
        <f t="shared" si="14"/>
        <v>5.539475903528949E-3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3.3259932392561606</v>
      </c>
      <c r="J63" s="54">
        <f t="shared" si="25"/>
        <v>5.3453840366218301</v>
      </c>
      <c r="K63" s="55">
        <f t="shared" si="26"/>
        <v>4.6316751761421885E-4</v>
      </c>
      <c r="L63" s="55">
        <f t="shared" si="27"/>
        <v>1.3750432539138097E-2</v>
      </c>
      <c r="M63" s="55">
        <f t="shared" si="28"/>
        <v>0.9862495674608619</v>
      </c>
      <c r="N63" s="55">
        <f t="shared" si="29"/>
        <v>1.3378342494105499E-2</v>
      </c>
      <c r="O63" s="56">
        <f t="shared" si="30"/>
        <v>4.6564129519233033E-10</v>
      </c>
      <c r="P63" s="56">
        <f t="shared" si="31"/>
        <v>1.0314199447607496E-4</v>
      </c>
      <c r="Q63" s="56">
        <f t="shared" si="32"/>
        <v>2.0070189409657066E-3</v>
      </c>
      <c r="R63" s="9">
        <f t="shared" si="12"/>
        <v>1.4999999999999999E-4</v>
      </c>
      <c r="S63" s="9">
        <f t="shared" si="13"/>
        <v>2.0625648808707143E-6</v>
      </c>
      <c r="T63" s="9">
        <f t="shared" si="10"/>
        <v>6.9475127642132821E-8</v>
      </c>
      <c r="U63" s="9">
        <f t="shared" si="11"/>
        <v>1.4793743511912926E-4</v>
      </c>
      <c r="V63" s="100">
        <f t="shared" si="14"/>
        <v>4.6962506539461582E-4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2.6313958666363746</v>
      </c>
      <c r="J64" s="54">
        <f t="shared" si="25"/>
        <v>4.5957959641970998</v>
      </c>
      <c r="K64" s="55">
        <f t="shared" si="26"/>
        <v>2.2963933495755858E-3</v>
      </c>
      <c r="L64" s="55">
        <f t="shared" si="27"/>
        <v>1.2134907591067216E-2</v>
      </c>
      <c r="M64" s="55">
        <f t="shared" si="28"/>
        <v>0.98786509240893283</v>
      </c>
      <c r="N64" s="55">
        <f t="shared" si="29"/>
        <v>1.1593391346257521E-2</v>
      </c>
      <c r="O64" s="56">
        <f t="shared" si="30"/>
        <v>2.3086583857939415E-9</v>
      </c>
      <c r="P64" s="56">
        <f t="shared" si="31"/>
        <v>9.1023941840595287E-5</v>
      </c>
      <c r="Q64" s="56">
        <f t="shared" si="32"/>
        <v>1.7392405697655529E-3</v>
      </c>
      <c r="R64" s="9">
        <f t="shared" si="12"/>
        <v>1.4999999999999999E-4</v>
      </c>
      <c r="S64" s="9">
        <f t="shared" si="13"/>
        <v>1.8202361386600824E-6</v>
      </c>
      <c r="T64" s="9">
        <f t="shared" si="10"/>
        <v>3.4445900243633783E-7</v>
      </c>
      <c r="U64" s="9">
        <f t="shared" si="11"/>
        <v>1.4817976386133992E-4</v>
      </c>
      <c r="V64" s="100">
        <f t="shared" si="14"/>
        <v>2.3246021822430989E-3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2.3610319672695166</v>
      </c>
      <c r="J65" s="54">
        <f t="shared" si="25"/>
        <v>4.297243414913436</v>
      </c>
      <c r="K65" s="55">
        <f t="shared" si="26"/>
        <v>4.2829352425249496E-3</v>
      </c>
      <c r="L65" s="55">
        <f t="shared" si="27"/>
        <v>1.1380966675335197E-2</v>
      </c>
      <c r="M65" s="55">
        <f t="shared" si="28"/>
        <v>0.98861903332466483</v>
      </c>
      <c r="N65" s="55">
        <f t="shared" si="29"/>
        <v>1.0762315606426624E-2</v>
      </c>
      <c r="O65" s="56">
        <f t="shared" si="30"/>
        <v>4.3058103984211072E-9</v>
      </c>
      <c r="P65" s="56">
        <f t="shared" si="31"/>
        <v>8.5368631031689413E-5</v>
      </c>
      <c r="Q65" s="56">
        <f t="shared" si="32"/>
        <v>1.6145625872761216E-3</v>
      </c>
      <c r="R65" s="9">
        <f t="shared" si="12"/>
        <v>1.4999999999999999E-4</v>
      </c>
      <c r="S65" s="9">
        <f t="shared" si="13"/>
        <v>1.7071450013002793E-6</v>
      </c>
      <c r="T65" s="9">
        <f t="shared" si="10"/>
        <v>6.4244028637874242E-7</v>
      </c>
      <c r="U65" s="9">
        <f t="shared" si="11"/>
        <v>1.4829285499869972E-4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2.6313958666363746</v>
      </c>
      <c r="J66" s="54">
        <f t="shared" si="25"/>
        <v>4.5957959641970998</v>
      </c>
      <c r="K66" s="55">
        <f t="shared" si="26"/>
        <v>2.2963933495755858E-3</v>
      </c>
      <c r="L66" s="55">
        <f t="shared" si="27"/>
        <v>1.2134907591067216E-2</v>
      </c>
      <c r="M66" s="55">
        <f t="shared" si="28"/>
        <v>0.98786509240893283</v>
      </c>
      <c r="N66" s="55">
        <f t="shared" si="29"/>
        <v>1.1593391346257521E-2</v>
      </c>
      <c r="O66" s="56">
        <f t="shared" si="30"/>
        <v>2.3086583857939415E-9</v>
      </c>
      <c r="P66" s="56">
        <f t="shared" si="31"/>
        <v>9.1023941840595287E-5</v>
      </c>
      <c r="Q66" s="56">
        <f t="shared" si="32"/>
        <v>1.7392405697655529E-3</v>
      </c>
      <c r="R66" s="9">
        <f t="shared" si="12"/>
        <v>1.4999999999999999E-4</v>
      </c>
      <c r="S66" s="9">
        <f t="shared" si="13"/>
        <v>1.8202361386600824E-6</v>
      </c>
      <c r="T66" s="9">
        <f t="shared" si="10"/>
        <v>3.4445900243633783E-7</v>
      </c>
      <c r="U66" s="9">
        <f t="shared" si="11"/>
        <v>1.4817976386133992E-4</v>
      </c>
      <c r="V66" s="100">
        <f t="shared" si="14"/>
        <v>2.3246021822430989E-3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-1.8671766444063711E-3</v>
      </c>
      <c r="J67" s="54">
        <f t="shared" si="25"/>
        <v>-4.4567291494222658E-2</v>
      </c>
      <c r="K67" s="55">
        <f t="shared" si="26"/>
        <v>0.9989855448407412</v>
      </c>
      <c r="L67" s="55">
        <f t="shared" si="27"/>
        <v>1.2083316228513868E-4</v>
      </c>
      <c r="M67" s="55">
        <f t="shared" si="28"/>
        <v>0.99987916683771483</v>
      </c>
      <c r="N67" s="55">
        <f t="shared" si="29"/>
        <v>1.9916070403251185E-7</v>
      </c>
      <c r="O67" s="56">
        <f t="shared" si="30"/>
        <v>1.0043211263478686E-6</v>
      </c>
      <c r="P67" s="56">
        <f t="shared" si="31"/>
        <v>9.0636955030082522E-7</v>
      </c>
      <c r="Q67" s="56">
        <f t="shared" si="32"/>
        <v>2.9878088818957424E-8</v>
      </c>
      <c r="R67" s="9">
        <f t="shared" si="12"/>
        <v>1.4999999999999999E-4</v>
      </c>
      <c r="S67" s="9">
        <f t="shared" si="13"/>
        <v>1.8124974342770802E-8</v>
      </c>
      <c r="T67" s="9">
        <f t="shared" si="10"/>
        <v>1.4984783172611118E-4</v>
      </c>
      <c r="U67" s="9">
        <f t="shared" si="11"/>
        <v>1.4998187502565722E-4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2.7194923137791687</v>
      </c>
      <c r="J68" s="54">
        <f t="shared" si="25"/>
        <v>4.5743714574945749</v>
      </c>
      <c r="K68" s="55">
        <f t="shared" si="26"/>
        <v>1.8798626327612526E-3</v>
      </c>
      <c r="L68" s="55">
        <f t="shared" si="27"/>
        <v>9.4556589930948655E-3</v>
      </c>
      <c r="M68" s="55">
        <f t="shared" si="28"/>
        <v>0.99054434100690514</v>
      </c>
      <c r="N68" s="55">
        <f t="shared" si="29"/>
        <v>8.6272493081579853E-3</v>
      </c>
      <c r="O68" s="56">
        <f t="shared" si="30"/>
        <v>1.8899029785411304E-9</v>
      </c>
      <c r="P68" s="56">
        <f t="shared" si="31"/>
        <v>7.0926898107204618E-5</v>
      </c>
      <c r="Q68" s="56">
        <f t="shared" si="32"/>
        <v>1.2942599412098608E-3</v>
      </c>
      <c r="R68" s="9">
        <f t="shared" si="12"/>
        <v>1.4999999999999999E-4</v>
      </c>
      <c r="S68" s="9">
        <f t="shared" si="13"/>
        <v>1.4183488489642297E-6</v>
      </c>
      <c r="T68" s="9">
        <f t="shared" si="10"/>
        <v>2.8197939491418785E-7</v>
      </c>
      <c r="U68" s="9">
        <f t="shared" si="11"/>
        <v>1.4858165115103577E-4</v>
      </c>
      <c r="V68" s="100">
        <f t="shared" si="14"/>
        <v>1.8978076547793311E-3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0.38500856866688477</v>
      </c>
      <c r="J69" s="54">
        <f t="shared" si="25"/>
        <v>1.7365957830383385</v>
      </c>
      <c r="K69" s="55">
        <f t="shared" si="26"/>
        <v>0.40873025429775106</v>
      </c>
      <c r="L69" s="55">
        <f t="shared" si="27"/>
        <v>2.986942052910121E-3</v>
      </c>
      <c r="M69" s="55">
        <f t="shared" si="28"/>
        <v>0.99701305794708983</v>
      </c>
      <c r="N69" s="55">
        <f t="shared" si="29"/>
        <v>2.1632215521210042E-3</v>
      </c>
      <c r="O69" s="56">
        <f t="shared" si="30"/>
        <v>4.1091328246817582E-7</v>
      </c>
      <c r="P69" s="56">
        <f t="shared" si="31"/>
        <v>2.2405052338878809E-5</v>
      </c>
      <c r="Q69" s="56">
        <f t="shared" si="32"/>
        <v>3.2452649724919294E-4</v>
      </c>
      <c r="R69" s="9">
        <f t="shared" si="12"/>
        <v>1.4999999999999999E-4</v>
      </c>
      <c r="S69" s="9">
        <f t="shared" si="13"/>
        <v>4.4804130793651812E-7</v>
      </c>
      <c r="T69" s="9">
        <f t="shared" si="10"/>
        <v>6.1309538144662653E-5</v>
      </c>
      <c r="U69" s="9">
        <f t="shared" si="11"/>
        <v>1.4955195869206347E-4</v>
      </c>
      <c r="V69" s="100">
        <f t="shared" si="14"/>
        <v>0.40995476542639409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1.2852308448323728</v>
      </c>
      <c r="J70" s="54">
        <f t="shared" si="25"/>
        <v>3.0509801020444232</v>
      </c>
      <c r="K70" s="55">
        <f t="shared" si="26"/>
        <v>5.11858804627554E-2</v>
      </c>
      <c r="L70" s="55">
        <f t="shared" si="27"/>
        <v>7.7147971071348815E-3</v>
      </c>
      <c r="M70" s="55">
        <f t="shared" si="28"/>
        <v>0.99228520289286515</v>
      </c>
      <c r="N70" s="55">
        <f t="shared" si="29"/>
        <v>6.7847431504457914E-3</v>
      </c>
      <c r="O70" s="56">
        <f t="shared" si="30"/>
        <v>5.1459264235557278E-8</v>
      </c>
      <c r="P70" s="56">
        <f t="shared" si="31"/>
        <v>5.7868693100618771E-5</v>
      </c>
      <c r="Q70" s="56">
        <f t="shared" si="32"/>
        <v>1.0178471674298774E-3</v>
      </c>
      <c r="R70" s="9">
        <f t="shared" si="12"/>
        <v>1.4999999999999999E-4</v>
      </c>
      <c r="S70" s="9">
        <f t="shared" si="13"/>
        <v>1.1572195660702321E-6</v>
      </c>
      <c r="T70" s="9">
        <f t="shared" si="10"/>
        <v>7.6778820694133087E-6</v>
      </c>
      <c r="U70" s="9">
        <f t="shared" si="11"/>
        <v>1.4884278043392977E-4</v>
      </c>
      <c r="V70" s="100">
        <f t="shared" si="14"/>
        <v>5.1583839317093823E-2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5.7767955088211638</v>
      </c>
      <c r="K71" s="55">
        <f t="shared" ref="K71:K122" si="35">IF(D71=0,"",1/(1+10^D71*$J$15/$J$14+10^E71*$J$16/$J$14+10^J71*$J$19/$J$14))</f>
        <v>1.2093961873573574E-4</v>
      </c>
      <c r="L71" s="55">
        <f t="shared" ref="L71:L122" si="36">IF(D71=0,"",1/(1+10^I71/10^J71*$J$13/$J$19))</f>
        <v>9.6952348325096208E-3</v>
      </c>
      <c r="M71" s="55">
        <f t="shared" si="19"/>
        <v>0.99030476516749033</v>
      </c>
      <c r="N71" s="55">
        <f t="shared" ref="N71:N122" si="37">IF(D71=0,"",1/(1/10^E71*$J$20/$J$22+10^D71/10^E71*$J$21/$J$22+10^I71/10^E71*$J$13/$J$22+1))</f>
        <v>8.889407768359928E-3</v>
      </c>
      <c r="O71" s="56">
        <f t="shared" si="21"/>
        <v>1.2158555720455342E-10</v>
      </c>
      <c r="P71" s="56">
        <f t="shared" ref="P71:P122" si="38">IF(D71=0,"",O71*10^J71)</f>
        <v>7.2723956478654649E-5</v>
      </c>
      <c r="Q71" s="56">
        <f t="shared" ref="Q71:Q122" si="39">IF(D71=0,"",F71*N71*$J$7/$J$22)</f>
        <v>1.3335889534093562E-3</v>
      </c>
      <c r="R71" s="9">
        <f t="shared" si="12"/>
        <v>1.4999999999999999E-4</v>
      </c>
      <c r="S71" s="9">
        <f t="shared" si="13"/>
        <v>1.454285224876443E-6</v>
      </c>
      <c r="T71" s="9">
        <f t="shared" si="10"/>
        <v>1.8140942810360359E-8</v>
      </c>
      <c r="U71" s="9">
        <f t="shared" si="11"/>
        <v>1.4854571477512354E-4</v>
      </c>
      <c r="V71" s="100">
        <f t="shared" si="14"/>
        <v>1.2212363606599552E-4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3.4646398062685488</v>
      </c>
      <c r="J72" s="54">
        <f t="shared" si="34"/>
        <v>5.2786655449069544</v>
      </c>
      <c r="K72" s="55">
        <f t="shared" si="35"/>
        <v>3.3833541733890312E-4</v>
      </c>
      <c r="L72" s="55">
        <f t="shared" si="36"/>
        <v>8.6140469859502296E-3</v>
      </c>
      <c r="M72" s="55">
        <f t="shared" si="19"/>
        <v>0.99138595301404975</v>
      </c>
      <c r="N72" s="55">
        <f t="shared" si="37"/>
        <v>7.693105633625132E-3</v>
      </c>
      <c r="O72" s="56">
        <f t="shared" si="21"/>
        <v>3.4014246670541569E-10</v>
      </c>
      <c r="P72" s="56">
        <f t="shared" si="38"/>
        <v>6.4613966441612691E-5</v>
      </c>
      <c r="Q72" s="56">
        <f t="shared" si="39"/>
        <v>1.1541197071564422E-3</v>
      </c>
      <c r="R72" s="9">
        <f t="shared" si="12"/>
        <v>1.4999999999999999E-4</v>
      </c>
      <c r="S72" s="9">
        <f t="shared" si="13"/>
        <v>1.2921070478925344E-6</v>
      </c>
      <c r="T72" s="9">
        <f t="shared" si="10"/>
        <v>5.0750312600835464E-8</v>
      </c>
      <c r="U72" s="9">
        <f t="shared" si="11"/>
        <v>1.4870789295210745E-4</v>
      </c>
      <c r="V72" s="100">
        <f t="shared" si="14"/>
        <v>3.4127517775522513E-4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3.4579829545014036</v>
      </c>
      <c r="J73" s="54">
        <f t="shared" si="34"/>
        <v>5.3078721995446587</v>
      </c>
      <c r="K73" s="55">
        <f t="shared" si="35"/>
        <v>3.4330678738970328E-4</v>
      </c>
      <c r="L73" s="55">
        <f t="shared" si="36"/>
        <v>9.3486482221530887E-3</v>
      </c>
      <c r="M73" s="55">
        <f t="shared" si="19"/>
        <v>0.99065135177784691</v>
      </c>
      <c r="N73" s="55">
        <f t="shared" si="37"/>
        <v>8.5061810636865524E-3</v>
      </c>
      <c r="O73" s="56">
        <f t="shared" si="21"/>
        <v>3.451403888422246E-10</v>
      </c>
      <c r="P73" s="56">
        <f t="shared" si="38"/>
        <v>7.0124210314370365E-5</v>
      </c>
      <c r="Q73" s="56">
        <f t="shared" si="39"/>
        <v>1.2760972831742563E-3</v>
      </c>
      <c r="R73" s="9">
        <f t="shared" si="12"/>
        <v>1.4999999999999999E-4</v>
      </c>
      <c r="S73" s="9">
        <f t="shared" si="13"/>
        <v>1.4022972333229632E-6</v>
      </c>
      <c r="T73" s="9">
        <f t="shared" si="10"/>
        <v>5.1496018108455487E-8</v>
      </c>
      <c r="U73" s="9">
        <f t="shared" si="11"/>
        <v>1.4859770276667703E-4</v>
      </c>
      <c r="V73" s="100">
        <f t="shared" si="14"/>
        <v>3.4654652898176197E-4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0.62193942428688143</v>
      </c>
      <c r="J74" s="54">
        <f t="shared" si="34"/>
        <v>2.0837828896743456</v>
      </c>
      <c r="K74" s="55">
        <f t="shared" si="35"/>
        <v>0.23666344624964183</v>
      </c>
      <c r="L74" s="55">
        <f t="shared" si="36"/>
        <v>3.8468770214381957E-3</v>
      </c>
      <c r="M74" s="55">
        <f t="shared" si="19"/>
        <v>0.99615312297856184</v>
      </c>
      <c r="N74" s="55">
        <f t="shared" si="37"/>
        <v>2.820807290982478E-3</v>
      </c>
      <c r="O74" s="56">
        <f t="shared" si="21"/>
        <v>2.379274656478644E-7</v>
      </c>
      <c r="P74" s="56">
        <f t="shared" si="38"/>
        <v>2.8855424537807917E-5</v>
      </c>
      <c r="Q74" s="56">
        <f t="shared" si="39"/>
        <v>4.2317750979319128E-4</v>
      </c>
      <c r="R74" s="9">
        <f t="shared" si="12"/>
        <v>1.4999999999999999E-4</v>
      </c>
      <c r="S74" s="9">
        <f t="shared" si="13"/>
        <v>5.7703155321572928E-7</v>
      </c>
      <c r="T74" s="9">
        <f t="shared" si="10"/>
        <v>3.5499516937446272E-5</v>
      </c>
      <c r="U74" s="9">
        <f t="shared" si="11"/>
        <v>1.4942296844678427E-4</v>
      </c>
      <c r="V74" s="100">
        <f t="shared" si="14"/>
        <v>0.23757737720281691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2.0259693417507676</v>
      </c>
      <c r="J75" s="54">
        <f t="shared" si="34"/>
        <v>3.9204939710794475</v>
      </c>
      <c r="K75" s="55">
        <f t="shared" si="35"/>
        <v>9.2737791024925555E-3</v>
      </c>
      <c r="L75" s="55">
        <f t="shared" si="36"/>
        <v>1.0350109556683534E-2</v>
      </c>
      <c r="M75" s="55">
        <f t="shared" si="19"/>
        <v>0.98964989044331642</v>
      </c>
      <c r="N75" s="55">
        <f t="shared" si="37"/>
        <v>9.6298819364080777E-3</v>
      </c>
      <c r="O75" s="56">
        <f t="shared" si="21"/>
        <v>9.3233103540066419E-9</v>
      </c>
      <c r="P75" s="56">
        <f t="shared" si="38"/>
        <v>7.7636171784683253E-5</v>
      </c>
      <c r="Q75" s="56">
        <f t="shared" si="39"/>
        <v>1.4446748880999397E-3</v>
      </c>
      <c r="R75" s="9">
        <f t="shared" si="12"/>
        <v>1.4999999999999999E-4</v>
      </c>
      <c r="S75" s="9">
        <f t="shared" si="13"/>
        <v>1.55251643350253E-6</v>
      </c>
      <c r="T75" s="9">
        <f t="shared" si="10"/>
        <v>1.3910668653738832E-6</v>
      </c>
      <c r="U75" s="9">
        <f t="shared" si="11"/>
        <v>1.4844748356649746E-4</v>
      </c>
      <c r="V75" s="100">
        <f t="shared" si="14"/>
        <v>9.3707675735085882E-3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2.0466328175843658</v>
      </c>
      <c r="J76" s="54">
        <f t="shared" si="34"/>
        <v>3.8585870053842997</v>
      </c>
      <c r="K76" s="55">
        <f t="shared" si="35"/>
        <v>8.858746080242225E-3</v>
      </c>
      <c r="L76" s="55">
        <f t="shared" si="36"/>
        <v>8.5734079197140947E-3</v>
      </c>
      <c r="M76" s="55">
        <f t="shared" si="19"/>
        <v>0.99142659208028594</v>
      </c>
      <c r="N76" s="55">
        <f t="shared" si="37"/>
        <v>7.6626940678595551E-3</v>
      </c>
      <c r="O76" s="56">
        <f t="shared" si="21"/>
        <v>8.9060606405040666E-9</v>
      </c>
      <c r="P76" s="56">
        <f t="shared" si="38"/>
        <v>6.4309132805775488E-5</v>
      </c>
      <c r="Q76" s="56">
        <f t="shared" si="39"/>
        <v>1.1495573640602904E-3</v>
      </c>
      <c r="R76" s="9">
        <f t="shared" si="12"/>
        <v>1.4999999999999999E-4</v>
      </c>
      <c r="S76" s="9">
        <f t="shared" si="13"/>
        <v>1.2860111879571141E-6</v>
      </c>
      <c r="T76" s="9">
        <f t="shared" si="10"/>
        <v>1.3288119120363336E-6</v>
      </c>
      <c r="U76" s="9">
        <f t="shared" si="11"/>
        <v>1.4871398881204288E-4</v>
      </c>
      <c r="V76" s="100">
        <f t="shared" si="14"/>
        <v>8.9353525021495916E-3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0.75425121724867172</v>
      </c>
      <c r="J77" s="54">
        <f t="shared" si="34"/>
        <v>2.3639081225718592</v>
      </c>
      <c r="K77" s="55">
        <f t="shared" si="35"/>
        <v>0.17423787006143632</v>
      </c>
      <c r="L77" s="55">
        <f t="shared" si="36"/>
        <v>5.3981494606908046E-3</v>
      </c>
      <c r="M77" s="55">
        <f t="shared" si="19"/>
        <v>0.99460185053930916</v>
      </c>
      <c r="N77" s="55">
        <f t="shared" si="37"/>
        <v>4.4310411846500801E-3</v>
      </c>
      <c r="O77" s="56">
        <f t="shared" si="21"/>
        <v>1.7516847447522616E-7</v>
      </c>
      <c r="P77" s="56">
        <f t="shared" si="38"/>
        <v>4.0491519104641721E-5</v>
      </c>
      <c r="Q77" s="56">
        <f t="shared" si="39"/>
        <v>6.6474479852120488E-4</v>
      </c>
      <c r="R77" s="9">
        <f t="shared" si="12"/>
        <v>1.4999999999999999E-4</v>
      </c>
      <c r="S77" s="9">
        <f t="shared" si="13"/>
        <v>8.0972241910362057E-7</v>
      </c>
      <c r="T77" s="9">
        <f t="shared" si="10"/>
        <v>2.6135680509215445E-5</v>
      </c>
      <c r="U77" s="9">
        <f t="shared" si="11"/>
        <v>1.4919027758089636E-4</v>
      </c>
      <c r="V77" s="100">
        <f t="shared" si="14"/>
        <v>0.1751835369770911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2.7169932228905553</v>
      </c>
      <c r="K78" s="55">
        <f t="shared" si="35"/>
        <v>0.10284242351196314</v>
      </c>
      <c r="L78" s="55">
        <f t="shared" si="36"/>
        <v>7.1838913280963179E-3</v>
      </c>
      <c r="M78" s="55">
        <f t="shared" si="19"/>
        <v>0.99281610867190373</v>
      </c>
      <c r="N78" s="55">
        <f t="shared" si="37"/>
        <v>6.285452308862678E-3</v>
      </c>
      <c r="O78" s="56">
        <f t="shared" si="21"/>
        <v>1.0339170486630553E-7</v>
      </c>
      <c r="P78" s="56">
        <f t="shared" si="38"/>
        <v>5.3886368852050491E-5</v>
      </c>
      <c r="Q78" s="56">
        <f t="shared" si="39"/>
        <v>9.4294355537557877E-4</v>
      </c>
      <c r="R78" s="9">
        <f t="shared" si="12"/>
        <v>1.4999999999999999E-4</v>
      </c>
      <c r="S78" s="9">
        <f t="shared" si="13"/>
        <v>1.0775836992144477E-6</v>
      </c>
      <c r="T78" s="9">
        <f t="shared" si="10"/>
        <v>1.542636352679447E-5</v>
      </c>
      <c r="U78" s="9">
        <f t="shared" si="11"/>
        <v>1.4892241630078555E-4</v>
      </c>
      <c r="V78" s="100">
        <f t="shared" si="14"/>
        <v>0.10358657823303863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2.5889557991870298</v>
      </c>
      <c r="K79" s="55">
        <f t="shared" si="35"/>
        <v>8.6837080961696511E-2</v>
      </c>
      <c r="L79" s="55">
        <f t="shared" si="36"/>
        <v>4.517053601772493E-3</v>
      </c>
      <c r="M79" s="55">
        <f t="shared" si="19"/>
        <v>0.99548294639822754</v>
      </c>
      <c r="N79" s="55">
        <f t="shared" si="37"/>
        <v>3.3063928209842316E-3</v>
      </c>
      <c r="O79" s="56">
        <f t="shared" si="21"/>
        <v>8.7300877786090011E-8</v>
      </c>
      <c r="P79" s="56">
        <f t="shared" si="38"/>
        <v>3.3882419066895469E-5</v>
      </c>
      <c r="Q79" s="56">
        <f t="shared" si="39"/>
        <v>4.9602505100405437E-4</v>
      </c>
      <c r="R79" s="9">
        <f t="shared" si="12"/>
        <v>1.4999999999999999E-4</v>
      </c>
      <c r="S79" s="9">
        <f t="shared" si="13"/>
        <v>6.7755804026587393E-7</v>
      </c>
      <c r="T79" s="9">
        <f t="shared" si="10"/>
        <v>1.3025562144254475E-5</v>
      </c>
      <c r="U79" s="9">
        <f t="shared" si="11"/>
        <v>1.4932244195973413E-4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2.6634845218157044</v>
      </c>
      <c r="K80" s="55">
        <f t="shared" si="35"/>
        <v>7.1850617396339383E-2</v>
      </c>
      <c r="L80" s="55">
        <f t="shared" si="36"/>
        <v>4.437202560251147E-3</v>
      </c>
      <c r="M80" s="55">
        <f t="shared" si="19"/>
        <v>0.99556279743974885</v>
      </c>
      <c r="N80" s="55">
        <f t="shared" si="37"/>
        <v>3.1923884981738056E-3</v>
      </c>
      <c r="O80" s="56">
        <f t="shared" si="21"/>
        <v>7.2234371523148809E-8</v>
      </c>
      <c r="P80" s="56">
        <f t="shared" si="38"/>
        <v>3.3283456404443867E-5</v>
      </c>
      <c r="Q80" s="56">
        <f t="shared" si="39"/>
        <v>4.7892212249603421E-4</v>
      </c>
      <c r="R80" s="9">
        <f t="shared" si="12"/>
        <v>1.4999999999999999E-4</v>
      </c>
      <c r="S80" s="9">
        <f t="shared" si="13"/>
        <v>6.6558038403767203E-7</v>
      </c>
      <c r="T80" s="9">
        <f t="shared" si="10"/>
        <v>1.0777592609450907E-5</v>
      </c>
      <c r="U80" s="9">
        <f t="shared" si="11"/>
        <v>1.493344196159623E-4</v>
      </c>
      <c r="V80" s="100">
        <f t="shared" si="14"/>
        <v>7.2170854094904813E-2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4.3682400663002383</v>
      </c>
      <c r="K81" s="55">
        <f t="shared" si="35"/>
        <v>3.3623523323461275E-3</v>
      </c>
      <c r="L81" s="55">
        <f t="shared" si="36"/>
        <v>1.0521496503762856E-2</v>
      </c>
      <c r="M81" s="55">
        <f t="shared" si="19"/>
        <v>0.98947850349623712</v>
      </c>
      <c r="N81" s="55">
        <f t="shared" si="37"/>
        <v>9.8094679651221078E-3</v>
      </c>
      <c r="O81" s="56">
        <f t="shared" si="21"/>
        <v>3.3803106551842946E-9</v>
      </c>
      <c r="P81" s="56">
        <f t="shared" si="38"/>
        <v>7.8921745274725206E-5</v>
      </c>
      <c r="Q81" s="56">
        <f t="shared" si="39"/>
        <v>1.4716163841276182E-3</v>
      </c>
      <c r="R81" s="9">
        <f t="shared" si="12"/>
        <v>1.4999999999999999E-4</v>
      </c>
      <c r="S81" s="9">
        <f t="shared" si="13"/>
        <v>1.5782244755644282E-6</v>
      </c>
      <c r="T81" s="9">
        <f t="shared" si="10"/>
        <v>5.0435284985191911E-7</v>
      </c>
      <c r="U81" s="9">
        <f t="shared" si="11"/>
        <v>1.4842177552443556E-4</v>
      </c>
      <c r="V81" s="100">
        <f t="shared" si="14"/>
        <v>3.3981054873507056E-3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4.0532477704684826</v>
      </c>
      <c r="K82" s="55">
        <f t="shared" si="35"/>
        <v>5.8419579935864944E-3</v>
      </c>
      <c r="L82" s="55">
        <f t="shared" si="36"/>
        <v>8.8511648444658617E-3</v>
      </c>
      <c r="M82" s="55">
        <f t="shared" si="19"/>
        <v>0.99114883515553409</v>
      </c>
      <c r="N82" s="55">
        <f t="shared" si="37"/>
        <v>7.964961171789799E-3</v>
      </c>
      <c r="O82" s="56">
        <f t="shared" si="21"/>
        <v>5.8731598895468247E-9</v>
      </c>
      <c r="P82" s="56">
        <f t="shared" si="38"/>
        <v>6.6392587498338509E-5</v>
      </c>
      <c r="Q82" s="56">
        <f t="shared" si="39"/>
        <v>1.1949034749919054E-3</v>
      </c>
      <c r="R82" s="9">
        <f t="shared" si="12"/>
        <v>1.4999999999999999E-4</v>
      </c>
      <c r="S82" s="9">
        <f t="shared" si="13"/>
        <v>1.3276747266698792E-6</v>
      </c>
      <c r="T82" s="9">
        <f t="shared" si="10"/>
        <v>8.7629369903797407E-7</v>
      </c>
      <c r="U82" s="9">
        <f t="shared" si="11"/>
        <v>1.4867232527333011E-4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0.70532975413914467</v>
      </c>
      <c r="J83" s="54">
        <f t="shared" si="34"/>
        <v>2.3088898400463114</v>
      </c>
      <c r="K83" s="55">
        <f t="shared" si="35"/>
        <v>0.19502787979251698</v>
      </c>
      <c r="L83" s="55">
        <f t="shared" si="36"/>
        <v>5.3232978711251974E-3</v>
      </c>
      <c r="M83" s="55">
        <f t="shared" si="19"/>
        <v>0.99467670212887482</v>
      </c>
      <c r="N83" s="55">
        <f t="shared" si="37"/>
        <v>4.3837414573860475E-3</v>
      </c>
      <c r="O83" s="56">
        <f t="shared" si="21"/>
        <v>1.960695236422897E-7</v>
      </c>
      <c r="P83" s="56">
        <f t="shared" si="38"/>
        <v>3.9930057331310095E-5</v>
      </c>
      <c r="Q83" s="56">
        <f t="shared" si="39"/>
        <v>6.5764889343705463E-4</v>
      </c>
      <c r="R83" s="9">
        <f t="shared" si="12"/>
        <v>1.4999999999999999E-4</v>
      </c>
      <c r="S83" s="9">
        <f t="shared" si="13"/>
        <v>7.9849468066877956E-7</v>
      </c>
      <c r="T83" s="9">
        <f t="shared" si="10"/>
        <v>2.9254181968877546E-5</v>
      </c>
      <c r="U83" s="9">
        <f t="shared" si="11"/>
        <v>1.492015053193312E-4</v>
      </c>
      <c r="V83" s="100">
        <f t="shared" si="14"/>
        <v>0.19607162746961404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4.041572503575793</v>
      </c>
      <c r="K84" s="55">
        <f t="shared" si="35"/>
        <v>4.6504757338666179E-3</v>
      </c>
      <c r="L84" s="55">
        <f t="shared" si="36"/>
        <v>6.8590523095573711E-3</v>
      </c>
      <c r="M84" s="55">
        <f t="shared" si="19"/>
        <v>0.99314094769044259</v>
      </c>
      <c r="N84" s="55">
        <f t="shared" si="37"/>
        <v>5.7580259222926172E-3</v>
      </c>
      <c r="O84" s="56">
        <f t="shared" si="21"/>
        <v>4.6753139234211207E-9</v>
      </c>
      <c r="P84" s="56">
        <f t="shared" si="38"/>
        <v>5.1449751373989816E-5</v>
      </c>
      <c r="Q84" s="56">
        <f t="shared" si="39"/>
        <v>8.6381904886233827E-4</v>
      </c>
      <c r="R84" s="9">
        <f t="shared" si="12"/>
        <v>1.4999999999999999E-4</v>
      </c>
      <c r="S84" s="9">
        <f t="shared" si="13"/>
        <v>1.0288578464336055E-6</v>
      </c>
      <c r="T84" s="9">
        <f t="shared" si="10"/>
        <v>6.975713600799926E-7</v>
      </c>
      <c r="U84" s="9">
        <f t="shared" si="11"/>
        <v>1.4897114215356636E-4</v>
      </c>
      <c r="V84" s="100">
        <f t="shared" si="14"/>
        <v>4.6825938903046318E-3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2.21956631274778</v>
      </c>
      <c r="K85" s="55">
        <f t="shared" si="35"/>
        <v>0.22438028730671583</v>
      </c>
      <c r="L85" s="55">
        <f t="shared" si="36"/>
        <v>4.9859192588329639E-3</v>
      </c>
      <c r="M85" s="55">
        <f t="shared" si="19"/>
        <v>0.99501408074116704</v>
      </c>
      <c r="N85" s="55">
        <f t="shared" si="37"/>
        <v>4.0605132586848209E-3</v>
      </c>
      <c r="O85" s="56">
        <f t="shared" si="21"/>
        <v>2.2557870235656375E-7</v>
      </c>
      <c r="P85" s="56">
        <f t="shared" si="38"/>
        <v>3.7399380360506064E-5</v>
      </c>
      <c r="Q85" s="56">
        <f t="shared" si="39"/>
        <v>6.0915819906789677E-4</v>
      </c>
      <c r="R85" s="9">
        <f t="shared" si="12"/>
        <v>1.4999999999999999E-4</v>
      </c>
      <c r="S85" s="9">
        <f t="shared" si="13"/>
        <v>7.4788788882494452E-7</v>
      </c>
      <c r="T85" s="9">
        <f t="shared" si="10"/>
        <v>3.3657043096007374E-5</v>
      </c>
      <c r="U85" s="9">
        <f t="shared" si="11"/>
        <v>1.4925211211117505E-4</v>
      </c>
      <c r="V85" s="100">
        <f t="shared" si="14"/>
        <v>0.22550463521036732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3.1296066711876311</v>
      </c>
      <c r="K86" s="55">
        <f t="shared" si="35"/>
        <v>2.3225144248768658E-2</v>
      </c>
      <c r="L86" s="55">
        <f t="shared" si="36"/>
        <v>4.1952642383096513E-3</v>
      </c>
      <c r="M86" s="55">
        <f t="shared" si="19"/>
        <v>0.99580473576169037</v>
      </c>
      <c r="N86" s="55">
        <f t="shared" si="37"/>
        <v>2.8414672390343421E-3</v>
      </c>
      <c r="O86" s="56">
        <f t="shared" si="21"/>
        <v>2.3349189737508788E-8</v>
      </c>
      <c r="P86" s="56">
        <f t="shared" si="38"/>
        <v>3.1468677051560708E-5</v>
      </c>
      <c r="Q86" s="56">
        <f t="shared" si="39"/>
        <v>4.2627691519993191E-4</v>
      </c>
      <c r="R86" s="9">
        <f t="shared" si="12"/>
        <v>1.4999999999999999E-4</v>
      </c>
      <c r="S86" s="9">
        <f t="shared" si="13"/>
        <v>6.2928963574644762E-7</v>
      </c>
      <c r="T86" s="9">
        <f t="shared" si="10"/>
        <v>3.4837716373152986E-6</v>
      </c>
      <c r="U86" s="9">
        <f t="shared" si="11"/>
        <v>1.4937071036425355E-4</v>
      </c>
      <c r="V86" s="100">
        <f t="shared" si="14"/>
        <v>2.3322990356140213E-2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1.9159264962867857</v>
      </c>
      <c r="K87" s="55">
        <f t="shared" si="35"/>
        <v>0.32801960597099727</v>
      </c>
      <c r="L87" s="55">
        <f t="shared" si="36"/>
        <v>3.6226012086158122E-3</v>
      </c>
      <c r="M87" s="55">
        <f t="shared" si="19"/>
        <v>0.99637739879138421</v>
      </c>
      <c r="N87" s="55">
        <f t="shared" si="37"/>
        <v>2.728777767203166E-3</v>
      </c>
      <c r="O87" s="56">
        <f t="shared" si="21"/>
        <v>3.2977155859196645E-7</v>
      </c>
      <c r="P87" s="56">
        <f t="shared" si="38"/>
        <v>2.7173131665827203E-5</v>
      </c>
      <c r="Q87" s="56">
        <f t="shared" si="39"/>
        <v>4.0937124063581884E-4</v>
      </c>
      <c r="R87" s="9">
        <f t="shared" si="12"/>
        <v>1.4999999999999999E-4</v>
      </c>
      <c r="S87" s="9">
        <f t="shared" si="13"/>
        <v>5.4339018129237176E-7</v>
      </c>
      <c r="T87" s="9">
        <f t="shared" si="10"/>
        <v>4.9202940895649588E-5</v>
      </c>
      <c r="U87" s="9">
        <f t="shared" si="11"/>
        <v>1.4945660981870762E-4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0.83796499600185581</v>
      </c>
      <c r="K88" s="55">
        <f t="shared" si="35"/>
        <v>0.70502515612632244</v>
      </c>
      <c r="L88" s="55">
        <f t="shared" si="36"/>
        <v>6.5067457669581519E-4</v>
      </c>
      <c r="M88" s="55">
        <f t="shared" si="19"/>
        <v>0.99934932542330424</v>
      </c>
      <c r="N88" s="55">
        <f t="shared" si="37"/>
        <v>8.4017324319904895E-5</v>
      </c>
      <c r="O88" s="56">
        <f t="shared" si="21"/>
        <v>7.0879069528203351E-7</v>
      </c>
      <c r="P88" s="56">
        <f t="shared" si="38"/>
        <v>4.880709999795309E-6</v>
      </c>
      <c r="Q88" s="56">
        <f t="shared" si="39"/>
        <v>1.2604278994472131E-5</v>
      </c>
      <c r="R88" s="9">
        <f t="shared" si="12"/>
        <v>1.4999999999999999E-4</v>
      </c>
      <c r="S88" s="9">
        <f t="shared" si="13"/>
        <v>9.7601186504372268E-8</v>
      </c>
      <c r="T88" s="9">
        <f t="shared" si="10"/>
        <v>1.0575377341894835E-4</v>
      </c>
      <c r="U88" s="9">
        <f t="shared" si="11"/>
        <v>1.4990239881349562E-4</v>
      </c>
      <c r="V88" s="100">
        <f t="shared" si="14"/>
        <v>0.70548419675741314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0.47829368809571571</v>
      </c>
      <c r="K89" s="55">
        <f t="shared" si="35"/>
        <v>0.91253319675558475</v>
      </c>
      <c r="L89" s="55">
        <f t="shared" si="36"/>
        <v>3.679057617791605E-4</v>
      </c>
      <c r="M89" s="55">
        <f t="shared" si="19"/>
        <v>0.99963209423822086</v>
      </c>
      <c r="N89" s="55">
        <f t="shared" si="37"/>
        <v>1.2584509519386481E-4</v>
      </c>
      <c r="O89" s="56">
        <f t="shared" si="21"/>
        <v>9.1740703629650124E-7</v>
      </c>
      <c r="P89" s="56">
        <f t="shared" si="38"/>
        <v>2.759661119105482E-6</v>
      </c>
      <c r="Q89" s="56">
        <f t="shared" si="39"/>
        <v>1.8879281180983594E-5</v>
      </c>
      <c r="R89" s="9">
        <f t="shared" si="12"/>
        <v>1.4999999999999999E-4</v>
      </c>
      <c r="S89" s="9">
        <f t="shared" si="13"/>
        <v>5.5185864266874067E-8</v>
      </c>
      <c r="T89" s="9">
        <f t="shared" si="10"/>
        <v>1.368799795133377E-4</v>
      </c>
      <c r="U89" s="9">
        <f t="shared" si="11"/>
        <v>1.4994481413573311E-4</v>
      </c>
      <c r="V89" s="100">
        <f t="shared" si="14"/>
        <v>0.91286904653755574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9.6802248814160784E-3</v>
      </c>
      <c r="K90" s="55">
        <f t="shared" si="35"/>
        <v>0.99173460451445561</v>
      </c>
      <c r="L90" s="55">
        <f t="shared" si="36"/>
        <v>1.3591579225829363E-4</v>
      </c>
      <c r="M90" s="55">
        <f t="shared" si="19"/>
        <v>0.99986408420774175</v>
      </c>
      <c r="N90" s="55">
        <f t="shared" si="37"/>
        <v>4.4950638834634616E-6</v>
      </c>
      <c r="O90" s="56">
        <f t="shared" si="21"/>
        <v>9.9703145875138972E-7</v>
      </c>
      <c r="P90" s="56">
        <f t="shared" si="38"/>
        <v>1.0195043577294603E-6</v>
      </c>
      <c r="Q90" s="56">
        <f t="shared" si="39"/>
        <v>6.7434948379718832E-7</v>
      </c>
      <c r="R90" s="9">
        <f t="shared" si="12"/>
        <v>1.4999999999999999E-4</v>
      </c>
      <c r="S90" s="9">
        <f t="shared" si="13"/>
        <v>2.0387368838744042E-8</v>
      </c>
      <c r="T90" s="9">
        <f t="shared" si="10"/>
        <v>1.4876019067716834E-4</v>
      </c>
      <c r="U90" s="9">
        <f t="shared" si="11"/>
        <v>1.4997961263116125E-4</v>
      </c>
      <c r="V90" s="100">
        <f t="shared" si="14"/>
        <v>0.99186941523184358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-1.6805454315982515E-2</v>
      </c>
      <c r="K91" s="55">
        <f t="shared" si="35"/>
        <v>0.99521839163053583</v>
      </c>
      <c r="L91" s="55">
        <f t="shared" si="36"/>
        <v>1.2832378698595935E-4</v>
      </c>
      <c r="M91" s="55">
        <f t="shared" si="19"/>
        <v>0.99987167621301409</v>
      </c>
      <c r="N91" s="55">
        <f t="shared" si="37"/>
        <v>2.0487558503102245E-6</v>
      </c>
      <c r="O91" s="56">
        <f t="shared" si="21"/>
        <v>1.0005338527734529E-6</v>
      </c>
      <c r="P91" s="56">
        <f t="shared" si="38"/>
        <v>9.6255672618168099E-7</v>
      </c>
      <c r="Q91" s="56">
        <f t="shared" si="39"/>
        <v>3.073543526635398E-7</v>
      </c>
      <c r="R91" s="9">
        <f t="shared" si="12"/>
        <v>1.4999999999999999E-4</v>
      </c>
      <c r="S91" s="9">
        <f t="shared" si="13"/>
        <v>1.92485680478939E-8</v>
      </c>
      <c r="T91" s="9">
        <f t="shared" si="10"/>
        <v>1.4928275874458036E-4</v>
      </c>
      <c r="U91" s="9">
        <f t="shared" si="11"/>
        <v>1.4998075143195211E-4</v>
      </c>
      <c r="V91" s="100">
        <f t="shared" si="14"/>
        <v>0.99534611821378671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0.56631779831251761</v>
      </c>
      <c r="K92" s="55">
        <f t="shared" si="35"/>
        <v>0.89167559599722013</v>
      </c>
      <c r="L92" s="55">
        <f t="shared" si="36"/>
        <v>4.4026981165117414E-4</v>
      </c>
      <c r="M92" s="55">
        <f t="shared" si="19"/>
        <v>0.99955973018834887</v>
      </c>
      <c r="N92" s="55">
        <f t="shared" si="37"/>
        <v>1.7027601059134905E-4</v>
      </c>
      <c r="O92" s="56">
        <f t="shared" si="21"/>
        <v>8.964380350984965E-7</v>
      </c>
      <c r="P92" s="56">
        <f t="shared" si="38"/>
        <v>3.3024638571954565E-6</v>
      </c>
      <c r="Q92" s="56">
        <f t="shared" si="39"/>
        <v>2.5544807108914179E-5</v>
      </c>
      <c r="R92" s="9">
        <f t="shared" si="12"/>
        <v>1.4999999999999999E-4</v>
      </c>
      <c r="S92" s="9">
        <f t="shared" si="13"/>
        <v>6.6040471747676117E-8</v>
      </c>
      <c r="T92" s="9">
        <f t="shared" ref="T92:T143" si="40">R92*K92</f>
        <v>1.33751339399583E-4</v>
      </c>
      <c r="U92" s="9">
        <f t="shared" ref="U92:U143" si="41">$R92*M92</f>
        <v>1.4993395952825231E-4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-1.5761133146324342E-2</v>
      </c>
      <c r="K93" s="55">
        <f t="shared" si="35"/>
        <v>0.99508028050749464</v>
      </c>
      <c r="L93" s="55">
        <f t="shared" si="36"/>
        <v>1.2861487961906607E-4</v>
      </c>
      <c r="M93" s="55">
        <f t="shared" ref="M93:M127" si="42">IF(D93=0,"",1-L93)</f>
        <v>0.99987138512038098</v>
      </c>
      <c r="N93" s="55">
        <f t="shared" si="37"/>
        <v>2.1347968525920899E-6</v>
      </c>
      <c r="O93" s="56">
        <f t="shared" ref="O93:O127" si="43">IF(D93=0,"",F93*K93*$J$7/$J$14)</f>
        <v>1.0003950039989434E-6</v>
      </c>
      <c r="P93" s="56">
        <f t="shared" si="38"/>
        <v>9.6474021202261453E-7</v>
      </c>
      <c r="Q93" s="56">
        <f t="shared" si="39"/>
        <v>3.2026222382586533E-7</v>
      </c>
      <c r="R93" s="9">
        <f t="shared" ref="R93:R143" si="44">F93*$C$14</f>
        <v>1.4999999999999999E-4</v>
      </c>
      <c r="S93" s="9">
        <f t="shared" ref="S93:S143" si="45">$R93*L93</f>
        <v>1.9292231942859908E-8</v>
      </c>
      <c r="T93" s="9">
        <f t="shared" si="40"/>
        <v>1.4926204207612418E-4</v>
      </c>
      <c r="U93" s="9">
        <f t="shared" si="41"/>
        <v>1.4998070776805713E-4</v>
      </c>
      <c r="V93" s="100">
        <f t="shared" ref="V93:V143" si="46">K93/M93</f>
        <v>0.99520827910050702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-4.1307694405703282E-2</v>
      </c>
      <c r="K94" s="55">
        <f t="shared" si="35"/>
        <v>0.99852549762299836</v>
      </c>
      <c r="L94" s="55">
        <f t="shared" si="36"/>
        <v>1.2168742286583104E-4</v>
      </c>
      <c r="M94" s="55">
        <f t="shared" si="42"/>
        <v>0.99987831257713422</v>
      </c>
      <c r="N94" s="55">
        <f t="shared" si="37"/>
        <v>3.5807287606306465E-7</v>
      </c>
      <c r="O94" s="56">
        <f t="shared" si="43"/>
        <v>1.0038586220180683E-6</v>
      </c>
      <c r="P94" s="56">
        <f t="shared" si="38"/>
        <v>9.1277735891659838E-7</v>
      </c>
      <c r="Q94" s="56">
        <f t="shared" si="39"/>
        <v>5.3718092866980945E-8</v>
      </c>
      <c r="R94" s="9">
        <f t="shared" si="44"/>
        <v>1.4999999999999999E-4</v>
      </c>
      <c r="S94" s="9">
        <f t="shared" si="45"/>
        <v>1.8253113429874655E-8</v>
      </c>
      <c r="T94" s="9">
        <f t="shared" si="40"/>
        <v>1.4977882464344973E-4</v>
      </c>
      <c r="U94" s="9">
        <f t="shared" si="41"/>
        <v>1.4998174688657013E-4</v>
      </c>
      <c r="V94" s="100">
        <f t="shared" si="46"/>
        <v>0.9986470204052641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3.7792037681406621</v>
      </c>
      <c r="K95" s="55">
        <f t="shared" si="35"/>
        <v>1.2334039081727158E-2</v>
      </c>
      <c r="L95" s="55">
        <f t="shared" si="36"/>
        <v>9.9426766815501957E-3</v>
      </c>
      <c r="M95" s="55">
        <f t="shared" si="42"/>
        <v>0.99005732331844976</v>
      </c>
      <c r="N95" s="55">
        <f t="shared" si="37"/>
        <v>9.1841620044812947E-3</v>
      </c>
      <c r="O95" s="56">
        <f t="shared" si="43"/>
        <v>1.2399915180908492E-8</v>
      </c>
      <c r="P95" s="56">
        <f t="shared" si="38"/>
        <v>7.4580017788308025E-5</v>
      </c>
      <c r="Q95" s="56">
        <f t="shared" si="39"/>
        <v>1.3778079839122835E-3</v>
      </c>
      <c r="R95" s="9">
        <f t="shared" si="44"/>
        <v>1.4999999999999999E-4</v>
      </c>
      <c r="S95" s="9">
        <f t="shared" si="45"/>
        <v>1.4914015022325291E-6</v>
      </c>
      <c r="T95" s="9">
        <f t="shared" si="40"/>
        <v>1.8501058622590735E-6</v>
      </c>
      <c r="U95" s="9">
        <f t="shared" si="41"/>
        <v>1.4850859849776745E-4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-5.0609949807824094E-2</v>
      </c>
      <c r="K96" s="55">
        <f t="shared" si="35"/>
        <v>0.99988072248588922</v>
      </c>
      <c r="L96" s="55">
        <f t="shared" si="36"/>
        <v>1.1927034468456465E-4</v>
      </c>
      <c r="M96" s="55">
        <f t="shared" si="42"/>
        <v>0.99988072965531538</v>
      </c>
      <c r="N96" s="55">
        <f t="shared" si="37"/>
        <v>1.1431742369812475E-14</v>
      </c>
      <c r="O96" s="56">
        <f t="shared" si="43"/>
        <v>1.0052210851365613E-6</v>
      </c>
      <c r="P96" s="56">
        <f t="shared" si="38"/>
        <v>8.9464685547891942E-7</v>
      </c>
      <c r="Q96" s="56">
        <f t="shared" si="39"/>
        <v>1.7149899903192671E-15</v>
      </c>
      <c r="R96" s="9">
        <f t="shared" si="44"/>
        <v>1.4999999999999999E-4</v>
      </c>
      <c r="S96" s="9">
        <f t="shared" si="45"/>
        <v>1.7890551702684696E-8</v>
      </c>
      <c r="T96" s="9">
        <f t="shared" si="40"/>
        <v>1.4998210837288337E-4</v>
      </c>
      <c r="U96" s="9">
        <f t="shared" si="41"/>
        <v>1.499821094482973E-4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3.4728223646217145</v>
      </c>
      <c r="K98" s="55">
        <f t="shared" si="35"/>
        <v>5.6982955206025072E-3</v>
      </c>
      <c r="L98" s="55">
        <f t="shared" si="36"/>
        <v>2.2686189839213095E-3</v>
      </c>
      <c r="M98" s="55">
        <f t="shared" si="42"/>
        <v>0.99773138101607872</v>
      </c>
      <c r="N98" s="55">
        <f t="shared" si="37"/>
        <v>6.7906164576536177E-4</v>
      </c>
      <c r="O98" s="56">
        <f t="shared" si="43"/>
        <v>5.7287301153360274E-9</v>
      </c>
      <c r="P98" s="56">
        <f t="shared" si="38"/>
        <v>1.7016910998393758E-5</v>
      </c>
      <c r="Q98" s="56">
        <f t="shared" si="39"/>
        <v>1.0187282809771955E-4</v>
      </c>
      <c r="R98" s="9">
        <f t="shared" si="44"/>
        <v>1.4999999999999999E-4</v>
      </c>
      <c r="S98" s="9">
        <f t="shared" si="45"/>
        <v>3.402928475881964E-7</v>
      </c>
      <c r="T98" s="9">
        <f t="shared" si="40"/>
        <v>8.54744328090376E-7</v>
      </c>
      <c r="U98" s="9">
        <f t="shared" si="41"/>
        <v>1.4965970715241181E-4</v>
      </c>
      <c r="V98" s="100">
        <f t="shared" si="46"/>
        <v>5.7112521757102849E-3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1.7151795679439035</v>
      </c>
      <c r="K99" s="55">
        <f t="shared" si="35"/>
        <v>0.22994538149654009</v>
      </c>
      <c r="L99" s="55">
        <f t="shared" si="36"/>
        <v>1.5995524591870998E-3</v>
      </c>
      <c r="M99" s="55">
        <f t="shared" si="42"/>
        <v>0.99840044754081292</v>
      </c>
      <c r="N99" s="55">
        <f t="shared" si="37"/>
        <v>3.2195036681240645E-4</v>
      </c>
      <c r="O99" s="56">
        <f t="shared" si="43"/>
        <v>2.3117351971285219E-7</v>
      </c>
      <c r="P99" s="56">
        <f t="shared" si="38"/>
        <v>1.1998242996362435E-5</v>
      </c>
      <c r="Q99" s="56">
        <f t="shared" si="39"/>
        <v>4.8298994029197202E-5</v>
      </c>
      <c r="R99" s="9">
        <f t="shared" si="44"/>
        <v>1.4999999999999999E-4</v>
      </c>
      <c r="S99" s="9">
        <f t="shared" si="45"/>
        <v>2.3993286887806493E-7</v>
      </c>
      <c r="T99" s="9">
        <f t="shared" si="40"/>
        <v>3.449180722448101E-5</v>
      </c>
      <c r="U99" s="9">
        <f t="shared" si="41"/>
        <v>1.4976006713112193E-4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3.0482053541141561</v>
      </c>
      <c r="K101" s="55">
        <f t="shared" si="35"/>
        <v>1.2676584109764995E-2</v>
      </c>
      <c r="L101" s="55">
        <f t="shared" si="36"/>
        <v>1.8984616355134936E-3</v>
      </c>
      <c r="M101" s="55">
        <f t="shared" si="42"/>
        <v>0.99810153836448645</v>
      </c>
      <c r="N101" s="55">
        <f t="shared" si="37"/>
        <v>2.8129789059561035E-4</v>
      </c>
      <c r="O101" s="56">
        <f t="shared" si="43"/>
        <v>1.2744289741842373E-8</v>
      </c>
      <c r="P101" s="56">
        <f t="shared" si="38"/>
        <v>1.4240360727986719E-5</v>
      </c>
      <c r="Q101" s="56">
        <f t="shared" si="39"/>
        <v>4.2200309547153449E-5</v>
      </c>
      <c r="R101" s="9">
        <f t="shared" si="44"/>
        <v>1.4999999999999999E-4</v>
      </c>
      <c r="S101" s="9">
        <f t="shared" si="45"/>
        <v>2.84769245327024E-7</v>
      </c>
      <c r="T101" s="9">
        <f t="shared" si="40"/>
        <v>1.9014876164647491E-6</v>
      </c>
      <c r="U101" s="9">
        <f t="shared" si="41"/>
        <v>1.4971523075467296E-4</v>
      </c>
      <c r="V101" s="100">
        <f t="shared" si="46"/>
        <v>1.270069589366344E-2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2.2204840859111705</v>
      </c>
      <c r="K102" s="55">
        <f t="shared" si="35"/>
        <v>6.9874347397541892E-2</v>
      </c>
      <c r="L102" s="55">
        <f t="shared" si="36"/>
        <v>1.555951585411634E-3</v>
      </c>
      <c r="M102" s="55">
        <f t="shared" si="42"/>
        <v>0.99844404841458834</v>
      </c>
      <c r="N102" s="55">
        <f t="shared" si="37"/>
        <v>5.3725635247535146E-10</v>
      </c>
      <c r="O102" s="56">
        <f t="shared" si="43"/>
        <v>7.0247546266857203E-8</v>
      </c>
      <c r="P102" s="56">
        <f t="shared" si="38"/>
        <v>1.1671192842172665E-5</v>
      </c>
      <c r="Q102" s="56">
        <f t="shared" si="39"/>
        <v>8.0599197998352205E-11</v>
      </c>
      <c r="R102" s="9">
        <f t="shared" si="44"/>
        <v>1.4999999999999999E-4</v>
      </c>
      <c r="S102" s="9">
        <f t="shared" si="45"/>
        <v>2.3339273781174508E-7</v>
      </c>
      <c r="T102" s="9">
        <f t="shared" si="40"/>
        <v>1.0481152109631282E-5</v>
      </c>
      <c r="U102" s="9">
        <f t="shared" si="41"/>
        <v>1.4976660726218825E-4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3.2683598845020718</v>
      </c>
      <c r="K103" s="55">
        <f t="shared" si="35"/>
        <v>6.6509177215423329E-3</v>
      </c>
      <c r="L103" s="55">
        <f t="shared" si="36"/>
        <v>1.6536198942197666E-3</v>
      </c>
      <c r="M103" s="55">
        <f t="shared" si="42"/>
        <v>0.99834638010578025</v>
      </c>
      <c r="N103" s="55">
        <f t="shared" si="37"/>
        <v>8.5279642231669794E-10</v>
      </c>
      <c r="O103" s="56">
        <f t="shared" si="43"/>
        <v>6.6864402711765665E-9</v>
      </c>
      <c r="P103" s="56">
        <f t="shared" si="38"/>
        <v>1.2403802826542472E-5</v>
      </c>
      <c r="Q103" s="56">
        <f t="shared" si="39"/>
        <v>1.2793651927595101E-10</v>
      </c>
      <c r="R103" s="9">
        <f t="shared" si="44"/>
        <v>1.4999999999999999E-4</v>
      </c>
      <c r="S103" s="9">
        <f t="shared" si="45"/>
        <v>2.4804298413296497E-7</v>
      </c>
      <c r="T103" s="9">
        <f t="shared" si="40"/>
        <v>9.976376582313499E-7</v>
      </c>
      <c r="U103" s="9">
        <f t="shared" si="41"/>
        <v>1.4975195701586702E-4</v>
      </c>
      <c r="V103" s="100">
        <f t="shared" si="46"/>
        <v>6.66193402818532E-3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4.0256836428663529</v>
      </c>
      <c r="K104" s="55">
        <f t="shared" si="35"/>
        <v>1.3711113502595787E-3</v>
      </c>
      <c r="L104" s="55">
        <f t="shared" si="36"/>
        <v>1.9496228116087798E-3</v>
      </c>
      <c r="M104" s="55">
        <f t="shared" si="42"/>
        <v>0.99805037718839118</v>
      </c>
      <c r="N104" s="55">
        <f t="shared" si="37"/>
        <v>3.1859353531876733E-4</v>
      </c>
      <c r="O104" s="56">
        <f t="shared" si="43"/>
        <v>1.3784344555862166E-9</v>
      </c>
      <c r="P104" s="56">
        <f t="shared" si="38"/>
        <v>1.4624120709877477E-5</v>
      </c>
      <c r="Q104" s="56">
        <f t="shared" si="39"/>
        <v>4.7795402168521466E-5</v>
      </c>
      <c r="R104" s="9">
        <f t="shared" si="44"/>
        <v>1.4999999999999999E-4</v>
      </c>
      <c r="S104" s="9">
        <f t="shared" si="45"/>
        <v>2.9244342174131695E-7</v>
      </c>
      <c r="T104" s="9">
        <f t="shared" si="40"/>
        <v>2.0566670253893677E-7</v>
      </c>
      <c r="U104" s="9">
        <f t="shared" si="41"/>
        <v>1.4970755657825867E-4</v>
      </c>
      <c r="V104" s="100">
        <f t="shared" si="46"/>
        <v>1.3737897220400216E-3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3.8653862162210095</v>
      </c>
      <c r="K105" s="55">
        <f t="shared" si="35"/>
        <v>3.233280155193142E-3</v>
      </c>
      <c r="L105" s="55">
        <f t="shared" si="36"/>
        <v>3.1785114610123457E-3</v>
      </c>
      <c r="M105" s="55">
        <f t="shared" si="42"/>
        <v>0.99682148853898767</v>
      </c>
      <c r="N105" s="55">
        <f t="shared" si="37"/>
        <v>1.6819286555835511E-3</v>
      </c>
      <c r="O105" s="56">
        <f t="shared" si="43"/>
        <v>3.2505491035703285E-9</v>
      </c>
      <c r="P105" s="56">
        <f t="shared" si="38"/>
        <v>2.3842014469053617E-5</v>
      </c>
      <c r="Q105" s="56">
        <f t="shared" si="39"/>
        <v>2.5232293691064431E-4</v>
      </c>
      <c r="R105" s="9">
        <f t="shared" si="44"/>
        <v>1.4999999999999999E-4</v>
      </c>
      <c r="S105" s="9">
        <f t="shared" si="45"/>
        <v>4.767767191518518E-7</v>
      </c>
      <c r="T105" s="9">
        <f t="shared" si="40"/>
        <v>4.8499202327897124E-7</v>
      </c>
      <c r="U105" s="9">
        <f t="shared" si="41"/>
        <v>1.4952322328084814E-4</v>
      </c>
      <c r="V105" s="100">
        <f t="shared" si="46"/>
        <v>3.2435899430017976E-3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2.7421076871513792</v>
      </c>
      <c r="K106" s="55">
        <f t="shared" si="35"/>
        <v>2.3556099109129685E-2</v>
      </c>
      <c r="L106" s="55">
        <f t="shared" si="36"/>
        <v>1.7434331072500508E-3</v>
      </c>
      <c r="M106" s="55">
        <f t="shared" si="42"/>
        <v>0.99825656689275</v>
      </c>
      <c r="N106" s="55">
        <f t="shared" si="37"/>
        <v>1.2831209798547526E-4</v>
      </c>
      <c r="O106" s="56">
        <f t="shared" si="43"/>
        <v>2.3681912227683636E-8</v>
      </c>
      <c r="P106" s="56">
        <f t="shared" si="38"/>
        <v>1.3077491737482629E-5</v>
      </c>
      <c r="Q106" s="56">
        <f t="shared" si="39"/>
        <v>1.9249380939780993E-5</v>
      </c>
      <c r="R106" s="9">
        <f t="shared" si="44"/>
        <v>1.4999999999999999E-4</v>
      </c>
      <c r="S106" s="9">
        <f t="shared" si="45"/>
        <v>2.6151496608750759E-7</v>
      </c>
      <c r="T106" s="9">
        <f t="shared" si="40"/>
        <v>3.5334148663694523E-6</v>
      </c>
      <c r="U106" s="9">
        <f t="shared" si="41"/>
        <v>1.4973848503391248E-4</v>
      </c>
      <c r="V106" s="100">
        <f t="shared" si="46"/>
        <v>2.3597239317395335E-2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3.4941063050425574</v>
      </c>
      <c r="K108" s="55">
        <f t="shared" si="35"/>
        <v>4.9229172649215749E-3</v>
      </c>
      <c r="L108" s="55">
        <f t="shared" si="36"/>
        <v>2.058368233654692E-3</v>
      </c>
      <c r="M108" s="55">
        <f t="shared" si="42"/>
        <v>0.99794163176634532</v>
      </c>
      <c r="N108" s="55">
        <f t="shared" si="37"/>
        <v>4.4502741966378091E-4</v>
      </c>
      <c r="O108" s="56">
        <f t="shared" si="43"/>
        <v>4.9492105646149359E-9</v>
      </c>
      <c r="P108" s="56">
        <f t="shared" si="38"/>
        <v>1.543982012064384E-5</v>
      </c>
      <c r="Q108" s="56">
        <f t="shared" si="39"/>
        <v>6.676301349796041E-5</v>
      </c>
      <c r="R108" s="9">
        <f t="shared" si="44"/>
        <v>1.4999999999999999E-4</v>
      </c>
      <c r="S108" s="9">
        <f t="shared" si="45"/>
        <v>3.0875523504820379E-7</v>
      </c>
      <c r="T108" s="9">
        <f t="shared" si="40"/>
        <v>7.384375897382362E-7</v>
      </c>
      <c r="U108" s="9">
        <f t="shared" si="41"/>
        <v>1.496912447649518E-4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3.8560205528257723</v>
      </c>
      <c r="K109" s="55">
        <f t="shared" si="35"/>
        <v>2.9522307451537162E-3</v>
      </c>
      <c r="L109" s="55">
        <f t="shared" si="36"/>
        <v>2.8403056675149565E-3</v>
      </c>
      <c r="M109" s="55">
        <f t="shared" si="42"/>
        <v>0.99715969433248508</v>
      </c>
      <c r="N109" s="55">
        <f t="shared" si="37"/>
        <v>1.307117207353858E-3</v>
      </c>
      <c r="O109" s="56">
        <f t="shared" si="43"/>
        <v>2.9679986087128692E-9</v>
      </c>
      <c r="P109" s="56">
        <f t="shared" si="38"/>
        <v>2.1305132812029681E-5</v>
      </c>
      <c r="Q109" s="56">
        <f t="shared" si="39"/>
        <v>1.9609372344722573E-4</v>
      </c>
      <c r="R109" s="9">
        <f t="shared" si="44"/>
        <v>1.4999999999999999E-4</v>
      </c>
      <c r="S109" s="9">
        <f t="shared" si="45"/>
        <v>4.2604585012724342E-7</v>
      </c>
      <c r="T109" s="9">
        <f t="shared" si="40"/>
        <v>4.4283461177305738E-7</v>
      </c>
      <c r="U109" s="9">
        <f t="shared" si="41"/>
        <v>1.4957395414987276E-4</v>
      </c>
      <c r="V109" s="100">
        <f t="shared" si="46"/>
        <v>2.9606398673484163E-3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1.9780660616097288</v>
      </c>
      <c r="K110" s="55">
        <f t="shared" si="35"/>
        <v>0.11771121001890429</v>
      </c>
      <c r="L110" s="55">
        <f t="shared" si="36"/>
        <v>1.4999546009841571E-3</v>
      </c>
      <c r="M110" s="55">
        <f t="shared" si="42"/>
        <v>0.99850004539901582</v>
      </c>
      <c r="N110" s="55">
        <f t="shared" si="37"/>
        <v>1.9814451611551856E-5</v>
      </c>
      <c r="O110" s="56">
        <f t="shared" si="43"/>
        <v>1.1833990555769568E-7</v>
      </c>
      <c r="P110" s="56">
        <f t="shared" si="38"/>
        <v>1.125115946198216E-5</v>
      </c>
      <c r="Q110" s="56">
        <f t="shared" si="39"/>
        <v>2.9725640307650087E-6</v>
      </c>
      <c r="R110" s="9">
        <f t="shared" si="44"/>
        <v>1.4999999999999999E-4</v>
      </c>
      <c r="S110" s="9">
        <f t="shared" si="45"/>
        <v>2.2499319014762356E-7</v>
      </c>
      <c r="T110" s="9">
        <f t="shared" si="40"/>
        <v>1.7656681502835642E-5</v>
      </c>
      <c r="U110" s="9">
        <f t="shared" si="41"/>
        <v>1.4977500680985237E-4</v>
      </c>
      <c r="V110" s="100">
        <f t="shared" si="46"/>
        <v>0.11788803672198643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2.3495507007911449</v>
      </c>
      <c r="K111" s="55">
        <f t="shared" si="35"/>
        <v>0.1742464963510191</v>
      </c>
      <c r="L111" s="55">
        <f t="shared" si="36"/>
        <v>5.2228672070301239E-3</v>
      </c>
      <c r="M111" s="55">
        <f t="shared" si="42"/>
        <v>0.99477713279296986</v>
      </c>
      <c r="N111" s="55">
        <f t="shared" si="37"/>
        <v>4.2370510823473498E-3</v>
      </c>
      <c r="O111" s="56">
        <f t="shared" si="43"/>
        <v>1.7517714683781912E-7</v>
      </c>
      <c r="P111" s="56">
        <f t="shared" si="38"/>
        <v>3.9176726919932951E-5</v>
      </c>
      <c r="Q111" s="56">
        <f t="shared" si="39"/>
        <v>6.3564240337374918E-4</v>
      </c>
      <c r="R111" s="9">
        <f t="shared" si="44"/>
        <v>1.4999999999999999E-4</v>
      </c>
      <c r="S111" s="9">
        <f t="shared" si="45"/>
        <v>7.8343008105451848E-7</v>
      </c>
      <c r="T111" s="9">
        <f t="shared" si="40"/>
        <v>2.6136974452652862E-5</v>
      </c>
      <c r="U111" s="9">
        <f t="shared" si="41"/>
        <v>1.4921656991894545E-4</v>
      </c>
      <c r="V111" s="100">
        <f t="shared" si="46"/>
        <v>0.17516134077368542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5.4568603611336437</v>
      </c>
      <c r="K112" s="55">
        <f t="shared" si="35"/>
        <v>2.9646933277828442E-4</v>
      </c>
      <c r="L112" s="55">
        <f t="shared" si="36"/>
        <v>1.1377173103139595E-2</v>
      </c>
      <c r="M112" s="55">
        <f t="shared" si="42"/>
        <v>0.98862282689686043</v>
      </c>
      <c r="N112" s="55">
        <f t="shared" si="37"/>
        <v>1.0751300710481033E-2</v>
      </c>
      <c r="O112" s="56">
        <f t="shared" si="43"/>
        <v>2.9805277539922283E-10</v>
      </c>
      <c r="P112" s="56">
        <f t="shared" si="38"/>
        <v>8.5340175446650134E-5</v>
      </c>
      <c r="Q112" s="56">
        <f t="shared" si="39"/>
        <v>1.6129101325863644E-3</v>
      </c>
      <c r="R112" s="9">
        <f t="shared" si="44"/>
        <v>1.4999999999999999E-4</v>
      </c>
      <c r="S112" s="9">
        <f t="shared" si="45"/>
        <v>1.7065759654709391E-6</v>
      </c>
      <c r="T112" s="9">
        <f t="shared" si="40"/>
        <v>4.4470399916742659E-8</v>
      </c>
      <c r="U112" s="9">
        <f t="shared" si="41"/>
        <v>1.4829342403452906E-4</v>
      </c>
      <c r="V112" s="100">
        <f t="shared" si="46"/>
        <v>2.9988113233118176E-4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5.8376711731613922</v>
      </c>
      <c r="K113" s="55">
        <f t="shared" si="35"/>
        <v>1.3357121189368519E-4</v>
      </c>
      <c r="L113" s="55">
        <f t="shared" si="36"/>
        <v>1.2319079795265347E-2</v>
      </c>
      <c r="M113" s="55">
        <f t="shared" si="42"/>
        <v>0.98768092020473464</v>
      </c>
      <c r="N113" s="55">
        <f t="shared" si="37"/>
        <v>1.1793537694984082E-2</v>
      </c>
      <c r="O113" s="56">
        <f t="shared" si="43"/>
        <v>1.3428461569791954E-10</v>
      </c>
      <c r="P113" s="56">
        <f t="shared" si="38"/>
        <v>9.2405417544285396E-5</v>
      </c>
      <c r="Q113" s="56">
        <f t="shared" si="39"/>
        <v>1.7692665250015117E-3</v>
      </c>
      <c r="R113" s="9">
        <f t="shared" si="44"/>
        <v>1.4999999999999999E-4</v>
      </c>
      <c r="S113" s="9">
        <f t="shared" si="45"/>
        <v>1.8478619692898019E-6</v>
      </c>
      <c r="T113" s="9">
        <f t="shared" si="40"/>
        <v>2.0035681784052778E-8</v>
      </c>
      <c r="U113" s="9">
        <f t="shared" si="41"/>
        <v>1.4815213803071018E-4</v>
      </c>
      <c r="V113" s="100">
        <f t="shared" si="46"/>
        <v>1.352372098734047E-4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6.2686756056738835</v>
      </c>
      <c r="K114" s="55">
        <f t="shared" si="35"/>
        <v>5.300857555029898E-5</v>
      </c>
      <c r="L114" s="55">
        <f t="shared" si="36"/>
        <v>1.3189124519261739E-2</v>
      </c>
      <c r="M114" s="55">
        <f t="shared" si="42"/>
        <v>0.98681087548073831</v>
      </c>
      <c r="N114" s="55">
        <f t="shared" si="37"/>
        <v>1.275637762576254E-2</v>
      </c>
      <c r="O114" s="56">
        <f t="shared" si="43"/>
        <v>5.3291694337038211E-11</v>
      </c>
      <c r="P114" s="56">
        <f t="shared" si="38"/>
        <v>9.8931623018982343E-5</v>
      </c>
      <c r="Q114" s="56">
        <f t="shared" si="39"/>
        <v>1.9137117714168961E-3</v>
      </c>
      <c r="R114" s="9">
        <f t="shared" si="44"/>
        <v>1.4999999999999999E-4</v>
      </c>
      <c r="S114" s="9">
        <f t="shared" si="45"/>
        <v>1.9783686778892607E-6</v>
      </c>
      <c r="T114" s="9">
        <f t="shared" si="40"/>
        <v>7.9512863325448469E-9</v>
      </c>
      <c r="U114" s="9">
        <f t="shared" si="41"/>
        <v>1.4802163132211074E-4</v>
      </c>
      <c r="V114" s="100">
        <f t="shared" si="46"/>
        <v>5.3717056497249418E-5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4.8544220902765449</v>
      </c>
      <c r="K115" s="55">
        <f t="shared" si="35"/>
        <v>1.3289457360176093E-3</v>
      </c>
      <c r="L115" s="55">
        <f t="shared" si="36"/>
        <v>1.2738654745193079E-2</v>
      </c>
      <c r="M115" s="55">
        <f t="shared" si="42"/>
        <v>0.98726134525480691</v>
      </c>
      <c r="N115" s="55">
        <f t="shared" si="37"/>
        <v>1.2259972990740461E-2</v>
      </c>
      <c r="O115" s="56">
        <f t="shared" si="43"/>
        <v>1.3360436348107312E-9</v>
      </c>
      <c r="P115" s="56">
        <f t="shared" si="38"/>
        <v>9.5552649243693295E-5</v>
      </c>
      <c r="Q115" s="56">
        <f t="shared" si="39"/>
        <v>1.8392411480708836E-3</v>
      </c>
      <c r="R115" s="9">
        <f t="shared" si="44"/>
        <v>1.4999999999999999E-4</v>
      </c>
      <c r="S115" s="9">
        <f t="shared" si="45"/>
        <v>1.9107982117789619E-6</v>
      </c>
      <c r="T115" s="9">
        <f t="shared" si="40"/>
        <v>1.9934186040264138E-7</v>
      </c>
      <c r="U115" s="9">
        <f t="shared" si="41"/>
        <v>1.4808920178822102E-4</v>
      </c>
      <c r="V115" s="100">
        <f t="shared" si="46"/>
        <v>1.3460931519349776E-3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-2.3915236456629588E-2</v>
      </c>
      <c r="K116" s="55">
        <f t="shared" si="35"/>
        <v>0.99616245515925583</v>
      </c>
      <c r="L116" s="55">
        <f t="shared" si="36"/>
        <v>1.2635986746717599E-4</v>
      </c>
      <c r="M116" s="55">
        <f t="shared" si="42"/>
        <v>0.99987364013253277</v>
      </c>
      <c r="N116" s="55">
        <f t="shared" si="37"/>
        <v>1.4892357323699923E-6</v>
      </c>
      <c r="O116" s="56">
        <f t="shared" si="43"/>
        <v>1.0014829585452079E-6</v>
      </c>
      <c r="P116" s="56">
        <f t="shared" si="38"/>
        <v>9.4782536587128716E-7</v>
      </c>
      <c r="Q116" s="56">
        <f t="shared" si="39"/>
        <v>2.234151445701462E-7</v>
      </c>
      <c r="R116" s="9">
        <f t="shared" si="44"/>
        <v>1.4999999999999999E-4</v>
      </c>
      <c r="S116" s="9">
        <f t="shared" si="45"/>
        <v>1.8953980120076396E-8</v>
      </c>
      <c r="T116" s="9">
        <f t="shared" si="40"/>
        <v>1.4942436827388835E-4</v>
      </c>
      <c r="U116" s="9">
        <f t="shared" si="41"/>
        <v>1.499810460198799E-4</v>
      </c>
      <c r="V116" s="100">
        <f t="shared" si="46"/>
        <v>0.9962883460226184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1.0376508814998808</v>
      </c>
      <c r="K117" s="55">
        <f t="shared" si="35"/>
        <v>0.72989835385775081</v>
      </c>
      <c r="L117" s="55">
        <f t="shared" si="36"/>
        <v>1.066860152671572E-3</v>
      </c>
      <c r="M117" s="55">
        <f t="shared" si="42"/>
        <v>0.99893313984732846</v>
      </c>
      <c r="N117" s="55">
        <f t="shared" si="37"/>
        <v>5.8718589856342847E-4</v>
      </c>
      <c r="O117" s="56">
        <f t="shared" si="43"/>
        <v>7.3379674075537805E-7</v>
      </c>
      <c r="P117" s="56">
        <f t="shared" si="38"/>
        <v>8.0025180051894601E-6</v>
      </c>
      <c r="Q117" s="56">
        <f t="shared" si="39"/>
        <v>8.8089628502485519E-5</v>
      </c>
      <c r="R117" s="9">
        <f t="shared" si="44"/>
        <v>1.4999999999999999E-4</v>
      </c>
      <c r="S117" s="9">
        <f t="shared" si="45"/>
        <v>1.6002902290073577E-7</v>
      </c>
      <c r="T117" s="9">
        <f t="shared" si="40"/>
        <v>1.0948475307866262E-4</v>
      </c>
      <c r="U117" s="9">
        <f t="shared" si="41"/>
        <v>1.4983997097709926E-4</v>
      </c>
      <c r="V117" s="100">
        <f t="shared" si="46"/>
        <v>0.73067788497767183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2.3631678945687002</v>
      </c>
      <c r="K118" s="55">
        <f t="shared" si="35"/>
        <v>0.17048522942479086</v>
      </c>
      <c r="L118" s="55">
        <f t="shared" si="36"/>
        <v>5.2728920677822949E-3</v>
      </c>
      <c r="M118" s="55">
        <f t="shared" si="42"/>
        <v>0.99472710793221775</v>
      </c>
      <c r="N118" s="55">
        <f t="shared" si="37"/>
        <v>4.2859882297314883E-3</v>
      </c>
      <c r="O118" s="56">
        <f t="shared" si="43"/>
        <v>1.7139579098602175E-7</v>
      </c>
      <c r="P118" s="56">
        <f t="shared" si="38"/>
        <v>3.9551963400434991E-5</v>
      </c>
      <c r="Q118" s="56">
        <f t="shared" si="39"/>
        <v>6.4298395422431769E-4</v>
      </c>
      <c r="R118" s="9">
        <f t="shared" si="44"/>
        <v>1.4999999999999999E-4</v>
      </c>
      <c r="S118" s="9">
        <f t="shared" si="45"/>
        <v>7.9093381016734412E-7</v>
      </c>
      <c r="T118" s="9">
        <f t="shared" si="40"/>
        <v>2.5572784413718626E-5</v>
      </c>
      <c r="U118" s="9">
        <f t="shared" si="41"/>
        <v>1.4920906618983264E-4</v>
      </c>
      <c r="V118" s="100">
        <f t="shared" si="46"/>
        <v>0.17138894483250375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-4.7308877203311103E-2</v>
      </c>
      <c r="K119" s="55">
        <f t="shared" si="35"/>
        <v>0.99938144020053032</v>
      </c>
      <c r="L119" s="55">
        <f t="shared" si="36"/>
        <v>1.2012036173411183E-4</v>
      </c>
      <c r="M119" s="55">
        <f t="shared" si="42"/>
        <v>0.99987987963826586</v>
      </c>
      <c r="N119" s="55">
        <f t="shared" si="37"/>
        <v>8.7130696995100577E-8</v>
      </c>
      <c r="O119" s="56">
        <f t="shared" si="43"/>
        <v>1.0047191361846602E-6</v>
      </c>
      <c r="P119" s="56">
        <f t="shared" si="38"/>
        <v>9.0102283336757245E-7</v>
      </c>
      <c r="Q119" s="56">
        <f t="shared" si="39"/>
        <v>1.3071347163204986E-8</v>
      </c>
      <c r="R119" s="9">
        <f t="shared" si="44"/>
        <v>1.4999999999999999E-4</v>
      </c>
      <c r="S119" s="9">
        <f t="shared" si="45"/>
        <v>1.8018054260116774E-8</v>
      </c>
      <c r="T119" s="9">
        <f t="shared" si="40"/>
        <v>1.4990721603007953E-4</v>
      </c>
      <c r="U119" s="9">
        <f t="shared" si="41"/>
        <v>1.4998198194573987E-4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-5.0609991659574693E-2</v>
      </c>
      <c r="K120" s="55">
        <f t="shared" si="35"/>
        <v>0.99988072938666406</v>
      </c>
      <c r="L120" s="55">
        <f t="shared" si="36"/>
        <v>1.1927033401396997E-4</v>
      </c>
      <c r="M120" s="55">
        <f t="shared" si="42"/>
        <v>0.99988072966598607</v>
      </c>
      <c r="N120" s="55">
        <f t="shared" si="37"/>
        <v>1.1304788236164E-16</v>
      </c>
      <c r="O120" s="56">
        <f t="shared" si="43"/>
        <v>1.0052210920741931E-6</v>
      </c>
      <c r="P120" s="56">
        <f t="shared" si="38"/>
        <v>8.9464677543878819E-7</v>
      </c>
      <c r="Q120" s="56">
        <f t="shared" si="39"/>
        <v>1.6959443311893232E-17</v>
      </c>
      <c r="R120" s="9">
        <f t="shared" si="44"/>
        <v>1.4999999999999999E-4</v>
      </c>
      <c r="S120" s="9">
        <f t="shared" si="45"/>
        <v>1.7890550102095495E-8</v>
      </c>
      <c r="T120" s="9">
        <f t="shared" si="40"/>
        <v>1.4998210940799959E-4</v>
      </c>
      <c r="U120" s="9">
        <f t="shared" si="41"/>
        <v>1.499821094498979E-4</v>
      </c>
      <c r="V120" s="100">
        <f t="shared" si="46"/>
        <v>0.99999999972064468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0.22547827329253009</v>
      </c>
      <c r="K121" s="55">
        <f t="shared" si="35"/>
        <v>0.96078007236960894</v>
      </c>
      <c r="L121" s="55">
        <f t="shared" si="36"/>
        <v>2.1641954958483831E-4</v>
      </c>
      <c r="M121" s="55">
        <f t="shared" si="42"/>
        <v>0.99978358045041515</v>
      </c>
      <c r="N121" s="55">
        <f t="shared" si="37"/>
        <v>4.0671241911794528E-5</v>
      </c>
      <c r="O121" s="56">
        <f t="shared" si="43"/>
        <v>9.6591159845927722E-7</v>
      </c>
      <c r="P121" s="56">
        <f t="shared" si="38"/>
        <v>1.6233630414358718E-6</v>
      </c>
      <c r="Q121" s="56">
        <f t="shared" si="39"/>
        <v>6.1014997116074135E-6</v>
      </c>
      <c r="R121" s="9">
        <f t="shared" si="44"/>
        <v>1.4999999999999999E-4</v>
      </c>
      <c r="S121" s="9">
        <f t="shared" si="45"/>
        <v>3.2462932437725745E-8</v>
      </c>
      <c r="T121" s="9">
        <f t="shared" si="40"/>
        <v>1.4411701085544133E-4</v>
      </c>
      <c r="U121" s="9">
        <f t="shared" si="41"/>
        <v>1.4996753706756225E-4</v>
      </c>
      <c r="V121" s="100">
        <f t="shared" si="46"/>
        <v>0.96098804897032353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5.5157795819294879</v>
      </c>
      <c r="K122" s="55">
        <f t="shared" si="35"/>
        <v>3.1988960185770491E-4</v>
      </c>
      <c r="L122" s="55">
        <f t="shared" si="36"/>
        <v>1.4059631372567471E-2</v>
      </c>
      <c r="M122" s="55">
        <f t="shared" si="42"/>
        <v>0.98594036862743251</v>
      </c>
      <c r="N122" s="55">
        <f t="shared" si="37"/>
        <v>1.3720323111934664E-2</v>
      </c>
      <c r="O122" s="56">
        <f t="shared" si="43"/>
        <v>3.2159813212904776E-10</v>
      </c>
      <c r="P122" s="56">
        <f t="shared" si="38"/>
        <v>1.0546129492562872E-4</v>
      </c>
      <c r="Q122" s="56">
        <f t="shared" si="39"/>
        <v>2.0583228732524378E-3</v>
      </c>
      <c r="R122" s="9">
        <f t="shared" si="44"/>
        <v>1.4999999999999999E-4</v>
      </c>
      <c r="S122" s="9">
        <f t="shared" si="45"/>
        <v>2.1089447058851203E-6</v>
      </c>
      <c r="T122" s="9">
        <f t="shared" si="40"/>
        <v>4.7983440278655729E-8</v>
      </c>
      <c r="U122" s="9">
        <f t="shared" si="41"/>
        <v>1.4789105529411487E-4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0.9134404490197624</v>
      </c>
      <c r="K123" s="55">
        <f t="shared" ref="K123:K127" si="49">IF(D123=0,"",1/(1+10^D123*$J$15/$J$14+10^E123*$J$16/$J$14+10^J123*$J$19/$J$14))</f>
        <v>0.80074645878339412</v>
      </c>
      <c r="L123" s="55">
        <f t="shared" ref="L123:L127" si="50">IF(D123=0,"",1/(1+10^I123/10^J123*$J$13/$J$19))</f>
        <v>8.7928508116615512E-4</v>
      </c>
      <c r="M123" s="55">
        <f t="shared" si="42"/>
        <v>0.99912071491883381</v>
      </c>
      <c r="N123" s="55">
        <f t="shared" ref="N123:N127" si="51">IF(D123=0,"",1/(1/10^E123*$J$20/$J$22+10^D123/10^E123*$J$21/$J$22+10^I123/10^E123*$J$13/$J$22+1))</f>
        <v>5.0071229986688821E-4</v>
      </c>
      <c r="O123" s="56">
        <f t="shared" si="43"/>
        <v>8.050232453890136E-7</v>
      </c>
      <c r="P123" s="56">
        <f t="shared" ref="P123:P127" si="52">IF(D123=0,"",O123*10^J123)</f>
        <v>6.5955173938273289E-6</v>
      </c>
      <c r="Q123" s="56">
        <f t="shared" ref="Q123:Q127" si="53">IF(D123=0,"",F123*N123*$J$7/$J$22)</f>
        <v>7.5116859226030552E-5</v>
      </c>
      <c r="R123" s="9">
        <f t="shared" si="44"/>
        <v>1.4999999999999999E-4</v>
      </c>
      <c r="S123" s="9">
        <f t="shared" si="45"/>
        <v>1.3189276217492325E-7</v>
      </c>
      <c r="T123" s="9">
        <f t="shared" si="40"/>
        <v>1.201119688175091E-4</v>
      </c>
      <c r="U123" s="9">
        <f t="shared" si="41"/>
        <v>1.4986810723782506E-4</v>
      </c>
      <c r="V123" s="100">
        <f t="shared" si="46"/>
        <v>0.80145116283415752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0.17110445915344094</v>
      </c>
      <c r="J124" s="54">
        <f t="shared" si="48"/>
        <v>0.97331271643662465</v>
      </c>
      <c r="K124" s="55">
        <f t="shared" si="49"/>
        <v>0.67030580362486192</v>
      </c>
      <c r="L124" s="55">
        <f t="shared" si="50"/>
        <v>8.4485061558091834E-4</v>
      </c>
      <c r="M124" s="55">
        <f t="shared" si="42"/>
        <v>0.99915514938441907</v>
      </c>
      <c r="N124" s="55">
        <f t="shared" si="51"/>
        <v>2.3957043020361583E-4</v>
      </c>
      <c r="O124" s="56">
        <f t="shared" si="43"/>
        <v>6.7388590672886733E-7</v>
      </c>
      <c r="P124" s="56">
        <f t="shared" si="52"/>
        <v>6.3372244674724648E-6</v>
      </c>
      <c r="Q124" s="56">
        <f t="shared" si="53"/>
        <v>3.5940355939146441E-5</v>
      </c>
      <c r="R124" s="9">
        <f t="shared" si="44"/>
        <v>1.4999999999999999E-4</v>
      </c>
      <c r="S124" s="9">
        <f t="shared" si="45"/>
        <v>1.2672759233713775E-7</v>
      </c>
      <c r="T124" s="9">
        <f t="shared" si="40"/>
        <v>1.0054587054372927E-4</v>
      </c>
      <c r="U124" s="9">
        <f t="shared" si="41"/>
        <v>1.4987327240766285E-4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7.3650487553540506E-2</v>
      </c>
      <c r="K125" s="55">
        <f t="shared" si="49"/>
        <v>0.98145524607675305</v>
      </c>
      <c r="L125" s="55">
        <f t="shared" si="50"/>
        <v>1.5585301820296728E-4</v>
      </c>
      <c r="M125" s="55">
        <f t="shared" si="42"/>
        <v>0.99984414698179702</v>
      </c>
      <c r="N125" s="55">
        <f t="shared" si="51"/>
        <v>8.9860686869679159E-6</v>
      </c>
      <c r="O125" s="56">
        <f t="shared" si="43"/>
        <v>9.8669719826323329E-7</v>
      </c>
      <c r="P125" s="56">
        <f t="shared" si="52"/>
        <v>1.1690534895404569E-6</v>
      </c>
      <c r="Q125" s="56">
        <f t="shared" si="53"/>
        <v>1.3480900244189265E-6</v>
      </c>
      <c r="R125" s="9">
        <f t="shared" si="44"/>
        <v>1.4999999999999999E-4</v>
      </c>
      <c r="S125" s="9">
        <f t="shared" si="45"/>
        <v>2.337795273044509E-8</v>
      </c>
      <c r="T125" s="9">
        <f t="shared" si="40"/>
        <v>1.4721828691151295E-4</v>
      </c>
      <c r="U125" s="9">
        <f t="shared" si="41"/>
        <v>1.4997662204726953E-4</v>
      </c>
      <c r="V125" s="100">
        <f t="shared" si="46"/>
        <v>0.98160823268250952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4.4066096160793249</v>
      </c>
      <c r="K126" s="55">
        <f t="shared" si="49"/>
        <v>3.4122602590220806E-3</v>
      </c>
      <c r="L126" s="55">
        <f t="shared" si="50"/>
        <v>1.1663959232360108E-2</v>
      </c>
      <c r="M126" s="55">
        <f t="shared" si="42"/>
        <v>0.98833604076763992</v>
      </c>
      <c r="N126" s="55">
        <f t="shared" si="51"/>
        <v>1.1074047036699569E-2</v>
      </c>
      <c r="O126" s="56">
        <f t="shared" si="43"/>
        <v>3.4304851400822429E-9</v>
      </c>
      <c r="P126" s="56">
        <f t="shared" si="52"/>
        <v>8.7491358201933223E-5</v>
      </c>
      <c r="Q126" s="56">
        <f t="shared" si="53"/>
        <v>1.661328536445669E-3</v>
      </c>
      <c r="R126" s="9">
        <f t="shared" si="44"/>
        <v>1.4999999999999999E-4</v>
      </c>
      <c r="S126" s="9">
        <f t="shared" si="45"/>
        <v>1.7495938848540161E-6</v>
      </c>
      <c r="T126" s="9">
        <f t="shared" si="40"/>
        <v>5.1183903885331207E-7</v>
      </c>
      <c r="U126" s="9">
        <f t="shared" si="41"/>
        <v>1.4825040611514599E-4</v>
      </c>
      <c r="V126" s="100">
        <f t="shared" si="46"/>
        <v>3.45253043324392E-3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2.1831984223328189</v>
      </c>
      <c r="K127" s="55">
        <f t="shared" si="49"/>
        <v>0.22547753290337111</v>
      </c>
      <c r="L127" s="55">
        <f t="shared" si="50"/>
        <v>4.6078244557158695E-3</v>
      </c>
      <c r="M127" s="55">
        <f t="shared" si="42"/>
        <v>0.99539217554428416</v>
      </c>
      <c r="N127" s="55">
        <f t="shared" si="51"/>
        <v>3.6439087250713809E-3</v>
      </c>
      <c r="O127" s="56">
        <f t="shared" si="43"/>
        <v>2.2668180834163452E-7</v>
      </c>
      <c r="P127" s="56">
        <f t="shared" si="52"/>
        <v>3.4563291242324725E-5</v>
      </c>
      <c r="Q127" s="56">
        <f t="shared" si="53"/>
        <v>5.4665918693520854E-4</v>
      </c>
      <c r="R127" s="9">
        <f t="shared" si="44"/>
        <v>1.4999999999999999E-4</v>
      </c>
      <c r="S127" s="9">
        <f t="shared" si="45"/>
        <v>6.9117366835738039E-7</v>
      </c>
      <c r="T127" s="9">
        <f t="shared" si="40"/>
        <v>3.3821629935505661E-5</v>
      </c>
      <c r="U127" s="9">
        <f t="shared" si="41"/>
        <v>1.4930882633164261E-4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3.1029128175372134</v>
      </c>
      <c r="K128" s="55">
        <f t="shared" ref="K128:K134" si="56">IF(D128=0,"",1/(1+10^D128*$J$15/$J$14+10^E128*$J$16/$J$14+10^J128*$J$19/$J$14))</f>
        <v>3.5489350210918966E-2</v>
      </c>
      <c r="L128" s="55">
        <f t="shared" ref="L128:L134" si="57">IF(D128=0,"",1/(1+10^I128/10^J128*$J$13/$J$19))</f>
        <v>6.028442099842754E-3</v>
      </c>
      <c r="M128" s="55">
        <f t="shared" ref="M128:M134" si="58">IF(D128=0,"",1-L128)</f>
        <v>0.99397155790015723</v>
      </c>
      <c r="N128" s="55">
        <f t="shared" ref="N128:N134" si="59">IF(D128=0,"",1/(1/10^E128*$J$20/$J$22+10^D128/10^E128*$J$21/$J$22+10^I128/10^E128*$J$13/$J$22+1))</f>
        <v>4.8914236708783466E-3</v>
      </c>
      <c r="O128" s="56">
        <f t="shared" ref="O128:O134" si="60">IF(D128=0,"",F128*K128*$J$7/$J$14)</f>
        <v>3.5678898820168899E-8</v>
      </c>
      <c r="P128" s="56">
        <f t="shared" ref="P128:P134" si="61">IF(D128=0,"",O128*10^J128)</f>
        <v>4.5219344190920518E-5</v>
      </c>
      <c r="Q128" s="56">
        <f t="shared" ref="Q128:Q134" si="62">IF(D128=0,"",F128*N128*$J$7/$J$22)</f>
        <v>7.3381137910516936E-4</v>
      </c>
      <c r="R128" s="9">
        <f t="shared" si="44"/>
        <v>1.4999999999999999E-4</v>
      </c>
      <c r="S128" s="9">
        <f t="shared" si="45"/>
        <v>9.0426631497641305E-7</v>
      </c>
      <c r="T128" s="9">
        <f t="shared" si="40"/>
        <v>5.3234025316378443E-6</v>
      </c>
      <c r="U128" s="9">
        <f t="shared" si="41"/>
        <v>1.4909573368502356E-4</v>
      </c>
      <c r="V128" s="100">
        <f t="shared" si="46"/>
        <v>3.5704593284231388E-2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-4.8884570023902327E-2</v>
      </c>
      <c r="K129" s="55">
        <f t="shared" si="56"/>
        <v>0.99961485279318707</v>
      </c>
      <c r="L129" s="55">
        <f t="shared" si="57"/>
        <v>1.1971328803334678E-4</v>
      </c>
      <c r="M129" s="55">
        <f t="shared" si="58"/>
        <v>0.9998802867119666</v>
      </c>
      <c r="N129" s="55">
        <f t="shared" si="59"/>
        <v>3.5668058600690697E-8</v>
      </c>
      <c r="O129" s="56">
        <f t="shared" si="60"/>
        <v>1.0049537954339071E-6</v>
      </c>
      <c r="P129" s="56">
        <f t="shared" si="61"/>
        <v>8.97969373538134E-7</v>
      </c>
      <c r="Q129" s="56">
        <f t="shared" si="62"/>
        <v>5.350922151275617E-9</v>
      </c>
      <c r="R129" s="9">
        <f t="shared" si="44"/>
        <v>1.4999999999999999E-4</v>
      </c>
      <c r="S129" s="9">
        <f t="shared" si="45"/>
        <v>1.7956993205002015E-8</v>
      </c>
      <c r="T129" s="9">
        <f t="shared" si="40"/>
        <v>1.4994222791897804E-4</v>
      </c>
      <c r="U129" s="9">
        <f t="shared" si="41"/>
        <v>1.4998204300679499E-4</v>
      </c>
      <c r="V129" s="100">
        <f t="shared" si="46"/>
        <v>0.99973453430144887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1.4639587166510732</v>
      </c>
      <c r="K130" s="55">
        <f t="shared" si="56"/>
        <v>0.54109242454974082</v>
      </c>
      <c r="L130" s="55">
        <f t="shared" si="57"/>
        <v>2.1106897406294014E-3</v>
      </c>
      <c r="M130" s="55">
        <f t="shared" si="58"/>
        <v>0.99788931025937055</v>
      </c>
      <c r="N130" s="55">
        <f t="shared" si="59"/>
        <v>1.4196879841153016E-3</v>
      </c>
      <c r="O130" s="56">
        <f t="shared" si="60"/>
        <v>5.4398239903334017E-7</v>
      </c>
      <c r="P130" s="56">
        <f t="shared" si="61"/>
        <v>1.5832283744461141E-5</v>
      </c>
      <c r="Q130" s="56">
        <f t="shared" si="62"/>
        <v>2.129815913769775E-4</v>
      </c>
      <c r="R130" s="9">
        <f t="shared" si="44"/>
        <v>1.4999999999999999E-4</v>
      </c>
      <c r="S130" s="9">
        <f t="shared" si="45"/>
        <v>3.1660346109441016E-7</v>
      </c>
      <c r="T130" s="9">
        <f t="shared" si="40"/>
        <v>8.1163863682461116E-5</v>
      </c>
      <c r="U130" s="9">
        <f t="shared" si="41"/>
        <v>1.4968339653890556E-4</v>
      </c>
      <c r="V130" s="100">
        <f t="shared" si="46"/>
        <v>0.54223691845050481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6.9804088254700969E-2</v>
      </c>
      <c r="K131" s="55">
        <f t="shared" si="56"/>
        <v>0.9837339802556041</v>
      </c>
      <c r="L131" s="55">
        <f t="shared" si="57"/>
        <v>1.5483744279804843E-4</v>
      </c>
      <c r="M131" s="55">
        <f t="shared" si="58"/>
        <v>0.99984516255720191</v>
      </c>
      <c r="N131" s="55">
        <f t="shared" si="59"/>
        <v>1.1758228313526198E-5</v>
      </c>
      <c r="O131" s="56">
        <f t="shared" si="60"/>
        <v>9.8898810316067719E-7</v>
      </c>
      <c r="P131" s="56">
        <f t="shared" si="61"/>
        <v>1.1614356584281614E-6</v>
      </c>
      <c r="Q131" s="56">
        <f t="shared" si="62"/>
        <v>1.7639694115952E-6</v>
      </c>
      <c r="R131" s="9">
        <f t="shared" si="44"/>
        <v>1.4999999999999999E-4</v>
      </c>
      <c r="S131" s="9">
        <f t="shared" si="45"/>
        <v>2.3225616419707263E-8</v>
      </c>
      <c r="T131" s="9">
        <f t="shared" si="40"/>
        <v>1.4756009703834061E-4</v>
      </c>
      <c r="U131" s="9">
        <f t="shared" si="41"/>
        <v>1.4997677438358028E-4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0.23910923501822964</v>
      </c>
      <c r="K132" s="55">
        <f t="shared" si="56"/>
        <v>0.95856177909488094</v>
      </c>
      <c r="L132" s="55">
        <f t="shared" si="57"/>
        <v>2.2280430199936939E-4</v>
      </c>
      <c r="M132" s="55">
        <f t="shared" si="58"/>
        <v>0.99977719569800061</v>
      </c>
      <c r="N132" s="55">
        <f t="shared" si="59"/>
        <v>4.3945105281336539E-5</v>
      </c>
      <c r="O132" s="56">
        <f t="shared" si="60"/>
        <v>9.6368145728080831E-7</v>
      </c>
      <c r="P132" s="56">
        <f t="shared" si="61"/>
        <v>1.6712550692972696E-6</v>
      </c>
      <c r="Q132" s="56">
        <f t="shared" si="62"/>
        <v>6.5926446943061066E-6</v>
      </c>
      <c r="R132" s="9">
        <f t="shared" si="44"/>
        <v>1.4999999999999999E-4</v>
      </c>
      <c r="S132" s="9">
        <f t="shared" si="45"/>
        <v>3.3420645299905403E-8</v>
      </c>
      <c r="T132" s="9">
        <f t="shared" si="40"/>
        <v>1.4378426686423212E-4</v>
      </c>
      <c r="U132" s="9">
        <f t="shared" si="41"/>
        <v>1.4996657935470009E-4</v>
      </c>
      <c r="V132" s="100">
        <f t="shared" si="46"/>
        <v>0.95877539837829084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2.4261279148275903</v>
      </c>
      <c r="K133" s="55">
        <f t="shared" si="56"/>
        <v>0.15392134137019864</v>
      </c>
      <c r="L133" s="55">
        <f t="shared" si="57"/>
        <v>5.5032720590350572E-3</v>
      </c>
      <c r="M133" s="55">
        <f t="shared" si="58"/>
        <v>0.994496727940965</v>
      </c>
      <c r="N133" s="55">
        <f t="shared" si="59"/>
        <v>4.5126548528517021E-3</v>
      </c>
      <c r="O133" s="56">
        <f t="shared" si="60"/>
        <v>1.5474343521010299E-7</v>
      </c>
      <c r="P133" s="56">
        <f t="shared" si="61"/>
        <v>4.1280043714821969E-5</v>
      </c>
      <c r="Q133" s="56">
        <f t="shared" si="62"/>
        <v>6.7698848102481222E-4</v>
      </c>
      <c r="R133" s="9">
        <f t="shared" si="44"/>
        <v>1.4999999999999999E-4</v>
      </c>
      <c r="S133" s="9">
        <f t="shared" si="45"/>
        <v>8.2549080885525847E-7</v>
      </c>
      <c r="T133" s="9">
        <f t="shared" si="40"/>
        <v>2.3088201205529793E-5</v>
      </c>
      <c r="U133" s="9">
        <f t="shared" si="41"/>
        <v>1.4917450919114473E-4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-5.0078092325288211E-2</v>
      </c>
      <c r="K134" s="55">
        <f t="shared" si="56"/>
        <v>0.99979668094727447</v>
      </c>
      <c r="L134" s="55">
        <f t="shared" si="57"/>
        <v>1.1940646109914303E-4</v>
      </c>
      <c r="M134" s="55">
        <f t="shared" si="58"/>
        <v>0.99988059353890091</v>
      </c>
      <c r="N134" s="55">
        <f t="shared" si="59"/>
        <v>6.9601244242320583E-9</v>
      </c>
      <c r="O134" s="56">
        <f t="shared" si="60"/>
        <v>1.0051365947321131E-6</v>
      </c>
      <c r="P134" s="56">
        <f t="shared" si="61"/>
        <v>8.9566786470467176E-7</v>
      </c>
      <c r="Q134" s="56">
        <f t="shared" si="62"/>
        <v>1.0441578661232932E-9</v>
      </c>
      <c r="R134" s="9">
        <f t="shared" si="44"/>
        <v>1.4999999999999999E-4</v>
      </c>
      <c r="S134" s="9">
        <f t="shared" si="45"/>
        <v>1.7910969164871453E-8</v>
      </c>
      <c r="T134" s="9">
        <f t="shared" si="40"/>
        <v>1.4996950214209116E-4</v>
      </c>
      <c r="U134" s="9">
        <f t="shared" si="41"/>
        <v>1.4998208903083511E-4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0.38035362640036091</v>
      </c>
      <c r="K135" s="55">
        <f t="shared" ref="K135:K143" si="65">IF(D135=0,"",1/(1+10^D135*$J$15/$J$14+10^E135*$J$16/$J$14+10^J135*$J$19/$J$14))</f>
        <v>0.93312936372784439</v>
      </c>
      <c r="L135" s="55">
        <f t="shared" ref="L135:L143" si="66">IF(D135=0,"",1/(1+10^I135/10^J135*$J$13/$J$19))</f>
        <v>3.0025462874184978E-4</v>
      </c>
      <c r="M135" s="55">
        <f t="shared" ref="M135:M143" si="67">IF(D135=0,"",1-L135)</f>
        <v>0.99969974537125816</v>
      </c>
      <c r="N135" s="55">
        <f t="shared" ref="N135:N143" si="68">IF(D135=0,"",1/(1/10^E135*$J$20/$J$22+10^D135/10^E135*$J$21/$J$22+10^I135/10^E135*$J$13/$J$22+1))</f>
        <v>8.6183498839007453E-5</v>
      </c>
      <c r="O135" s="56">
        <f t="shared" ref="O135:O143" si="69">IF(D135=0,"",F135*K135*$J$7/$J$14)</f>
        <v>9.3811320739062472E-7</v>
      </c>
      <c r="P135" s="56">
        <f t="shared" ref="P135:P143" si="70">IF(D135=0,"",O135*10^J135)</f>
        <v>2.2522099701926146E-6</v>
      </c>
      <c r="Q135" s="56">
        <f t="shared" ref="Q135:Q143" si="71">IF(D135=0,"",F135*N135*$J$7/$J$22)</f>
        <v>1.2929248495827894E-5</v>
      </c>
      <c r="R135" s="9">
        <f t="shared" si="44"/>
        <v>1.4999999999999999E-4</v>
      </c>
      <c r="S135" s="9">
        <f t="shared" si="45"/>
        <v>4.503819431127746E-8</v>
      </c>
      <c r="T135" s="9">
        <f t="shared" si="40"/>
        <v>1.3996940455917665E-4</v>
      </c>
      <c r="U135" s="9">
        <f t="shared" si="41"/>
        <v>1.4995496180568872E-4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-2.6530951628927751E-2</v>
      </c>
      <c r="K136" s="55">
        <f t="shared" si="65"/>
        <v>0.99651191613177004</v>
      </c>
      <c r="L136" s="55">
        <f t="shared" si="66"/>
        <v>1.2564516282215598E-4</v>
      </c>
      <c r="M136" s="55">
        <f t="shared" si="67"/>
        <v>0.99987435483717779</v>
      </c>
      <c r="N136" s="55">
        <f t="shared" si="68"/>
        <v>1.2957040596372883E-6</v>
      </c>
      <c r="O136" s="56">
        <f t="shared" si="69"/>
        <v>1.0018342859886758E-6</v>
      </c>
      <c r="P136" s="56">
        <f t="shared" si="70"/>
        <v>9.4246436632899204E-7</v>
      </c>
      <c r="Q136" s="56">
        <f t="shared" si="71"/>
        <v>1.9438152302678592E-7</v>
      </c>
      <c r="R136" s="9">
        <f t="shared" si="44"/>
        <v>1.4999999999999999E-4</v>
      </c>
      <c r="S136" s="9">
        <f t="shared" si="45"/>
        <v>1.8846774423323394E-8</v>
      </c>
      <c r="T136" s="9">
        <f t="shared" si="40"/>
        <v>1.4947678741976549E-4</v>
      </c>
      <c r="U136" s="9">
        <f t="shared" si="41"/>
        <v>1.4998115322557666E-4</v>
      </c>
      <c r="V136" s="100">
        <f t="shared" si="46"/>
        <v>0.99663713876734517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-5.0553856533599194E-2</v>
      </c>
      <c r="K137" s="55">
        <f t="shared" si="65"/>
        <v>0.99987162541980523</v>
      </c>
      <c r="L137" s="55">
        <f t="shared" si="66"/>
        <v>1.1928466530215007E-4</v>
      </c>
      <c r="M137" s="55">
        <f t="shared" si="67"/>
        <v>0.9998807153346978</v>
      </c>
      <c r="N137" s="55">
        <f t="shared" si="68"/>
        <v>2.9597607914249309E-10</v>
      </c>
      <c r="O137" s="56">
        <f t="shared" si="69"/>
        <v>1.0052119394830499E-6</v>
      </c>
      <c r="P137" s="56">
        <f t="shared" si="70"/>
        <v>8.9475427443142758E-7</v>
      </c>
      <c r="Q137" s="56">
        <f t="shared" si="71"/>
        <v>4.4402331392956801E-11</v>
      </c>
      <c r="R137" s="9">
        <f t="shared" si="44"/>
        <v>1.4999999999999999E-4</v>
      </c>
      <c r="S137" s="9">
        <f t="shared" si="45"/>
        <v>1.7892699795322509E-8</v>
      </c>
      <c r="T137" s="9">
        <f t="shared" si="40"/>
        <v>1.4998074381297077E-4</v>
      </c>
      <c r="U137" s="9">
        <f t="shared" si="41"/>
        <v>1.4998210730020467E-4</v>
      </c>
      <c r="V137" s="100">
        <f t="shared" si="46"/>
        <v>0.99999090900069065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-2.9301207680156056E-2</v>
      </c>
      <c r="K138" s="55">
        <f t="shared" si="65"/>
        <v>0.99688367420044699</v>
      </c>
      <c r="L138" s="55">
        <f t="shared" si="66"/>
        <v>1.2489282949127166E-4</v>
      </c>
      <c r="M138" s="55">
        <f t="shared" si="67"/>
        <v>0.99987510717050876</v>
      </c>
      <c r="N138" s="55">
        <f t="shared" si="68"/>
        <v>1.0986483286471142E-6</v>
      </c>
      <c r="O138" s="56">
        <f t="shared" si="69"/>
        <v>1.0022080296170901E-6</v>
      </c>
      <c r="P138" s="56">
        <f t="shared" si="70"/>
        <v>9.3682111401402847E-7</v>
      </c>
      <c r="Q138" s="56">
        <f t="shared" si="71"/>
        <v>1.6481922226364006E-7</v>
      </c>
      <c r="R138" s="9">
        <f t="shared" si="44"/>
        <v>1.4999999999999999E-4</v>
      </c>
      <c r="S138" s="9">
        <f t="shared" si="45"/>
        <v>1.8733924423690747E-8</v>
      </c>
      <c r="T138" s="9">
        <f t="shared" si="40"/>
        <v>1.4953255113006703E-4</v>
      </c>
      <c r="U138" s="9">
        <f t="shared" si="41"/>
        <v>1.499812660755763E-4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0.263940988382738</v>
      </c>
      <c r="K139" s="55">
        <f t="shared" si="65"/>
        <v>0.94842996451532224</v>
      </c>
      <c r="L139" s="55">
        <f t="shared" si="66"/>
        <v>2.3342130014476187E-4</v>
      </c>
      <c r="M139" s="55">
        <f t="shared" si="67"/>
        <v>0.99976657869985519</v>
      </c>
      <c r="N139" s="55">
        <f t="shared" si="68"/>
        <v>3.8372624133081234E-5</v>
      </c>
      <c r="O139" s="56">
        <f t="shared" si="69"/>
        <v>9.5349552868249948E-7</v>
      </c>
      <c r="P139" s="56">
        <f t="shared" si="70"/>
        <v>1.7508931723858583E-6</v>
      </c>
      <c r="Q139" s="56">
        <f t="shared" si="71"/>
        <v>5.7566610724448461E-6</v>
      </c>
      <c r="R139" s="9">
        <f t="shared" si="44"/>
        <v>1.4999999999999999E-4</v>
      </c>
      <c r="S139" s="9">
        <f t="shared" si="45"/>
        <v>3.5013195021714275E-8</v>
      </c>
      <c r="T139" s="9">
        <f t="shared" si="40"/>
        <v>1.4226449467729833E-4</v>
      </c>
      <c r="U139" s="9">
        <f t="shared" si="41"/>
        <v>1.4996498680497827E-4</v>
      </c>
      <c r="V139" s="100">
        <f t="shared" si="46"/>
        <v>0.9486513999584848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-5.0177410945668542E-2</v>
      </c>
      <c r="K140" s="55">
        <f t="shared" si="65"/>
        <v>0.99981214023599996</v>
      </c>
      <c r="L140" s="55">
        <f t="shared" si="66"/>
        <v>1.193810031006732E-4</v>
      </c>
      <c r="M140" s="55">
        <f t="shared" si="67"/>
        <v>0.99988061899689928</v>
      </c>
      <c r="N140" s="55">
        <f t="shared" si="68"/>
        <v>5.2153711398055837E-9</v>
      </c>
      <c r="O140" s="56">
        <f t="shared" si="69"/>
        <v>1.0051521365888951E-6</v>
      </c>
      <c r="P140" s="56">
        <f t="shared" si="70"/>
        <v>8.954769042581495E-7</v>
      </c>
      <c r="Q140" s="56">
        <f t="shared" si="71"/>
        <v>7.8240997839363356E-10</v>
      </c>
      <c r="R140" s="9">
        <f t="shared" si="44"/>
        <v>1.4999999999999999E-4</v>
      </c>
      <c r="S140" s="9">
        <f t="shared" si="45"/>
        <v>1.7907150465100978E-8</v>
      </c>
      <c r="T140" s="9">
        <f t="shared" si="40"/>
        <v>1.4997182103539998E-4</v>
      </c>
      <c r="U140" s="9">
        <f t="shared" si="41"/>
        <v>1.4998209284953489E-4</v>
      </c>
      <c r="V140" s="100">
        <f t="shared" si="46"/>
        <v>0.99993151306306149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-4.9513743875137496E-2</v>
      </c>
      <c r="K141" s="55">
        <f t="shared" si="65"/>
        <v>0.99970995071207547</v>
      </c>
      <c r="L141" s="55">
        <f t="shared" si="66"/>
        <v>1.1955135419132465E-4</v>
      </c>
      <c r="M141" s="55">
        <f t="shared" si="67"/>
        <v>0.99988044864580872</v>
      </c>
      <c r="N141" s="55">
        <f t="shared" si="68"/>
        <v>1.9037214672507899E-8</v>
      </c>
      <c r="O141" s="56">
        <f t="shared" si="69"/>
        <v>1.0050494012707529E-6</v>
      </c>
      <c r="P141" s="56">
        <f t="shared" si="70"/>
        <v>8.9675470778912592E-7</v>
      </c>
      <c r="Q141" s="56">
        <f t="shared" si="71"/>
        <v>2.8559629451696344E-9</v>
      </c>
      <c r="R141" s="9">
        <f t="shared" si="44"/>
        <v>1.4999999999999999E-4</v>
      </c>
      <c r="S141" s="9">
        <f t="shared" si="45"/>
        <v>1.7932703128698696E-8</v>
      </c>
      <c r="T141" s="9">
        <f t="shared" si="40"/>
        <v>1.499564926068113E-4</v>
      </c>
      <c r="U141" s="9">
        <f t="shared" si="41"/>
        <v>1.4998206729687128E-4</v>
      </c>
      <c r="V141" s="100">
        <f t="shared" si="46"/>
        <v>0.99982948168057073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1.6664622346062492</v>
      </c>
      <c r="K142" s="55">
        <f t="shared" si="65"/>
        <v>0.44211164956585208</v>
      </c>
      <c r="L142" s="55">
        <f t="shared" si="66"/>
        <v>2.7490866071053794E-3</v>
      </c>
      <c r="M142" s="55">
        <f t="shared" si="67"/>
        <v>0.99725091339289462</v>
      </c>
      <c r="N142" s="55">
        <f t="shared" si="68"/>
        <v>1.9570358086542744E-3</v>
      </c>
      <c r="O142" s="56">
        <f t="shared" si="69"/>
        <v>4.4447296775878474E-7</v>
      </c>
      <c r="P142" s="56">
        <f t="shared" si="70"/>
        <v>2.0620898639897449E-5</v>
      </c>
      <c r="Q142" s="56">
        <f t="shared" si="71"/>
        <v>2.9359451201431419E-4</v>
      </c>
      <c r="R142" s="9">
        <f t="shared" si="44"/>
        <v>1.4999999999999999E-4</v>
      </c>
      <c r="S142" s="9">
        <f t="shared" si="45"/>
        <v>4.1236299106580686E-7</v>
      </c>
      <c r="T142" s="9">
        <f t="shared" si="40"/>
        <v>6.6316747434877805E-5</v>
      </c>
      <c r="U142" s="9">
        <f t="shared" si="41"/>
        <v>1.4958763700893417E-4</v>
      </c>
      <c r="V142" s="100">
        <f t="shared" si="46"/>
        <v>0.44333040323992157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2.2900502163435572</v>
      </c>
      <c r="K143" s="55">
        <f t="shared" si="65"/>
        <v>6.6213876882059888E-2</v>
      </c>
      <c r="L143" s="55">
        <f t="shared" si="66"/>
        <v>1.7305870999955594E-3</v>
      </c>
      <c r="M143" s="55">
        <f t="shared" si="67"/>
        <v>0.99826941290000448</v>
      </c>
      <c r="N143" s="55">
        <f t="shared" si="68"/>
        <v>1.8703084355446508E-4</v>
      </c>
      <c r="O143" s="56">
        <f t="shared" si="69"/>
        <v>6.6567525179406834E-8</v>
      </c>
      <c r="P143" s="56">
        <f t="shared" si="70"/>
        <v>1.2981133837066699E-5</v>
      </c>
      <c r="Q143" s="56">
        <f t="shared" si="71"/>
        <v>2.8058367150040843E-5</v>
      </c>
      <c r="R143" s="9">
        <f t="shared" si="44"/>
        <v>1.4999999999999999E-4</v>
      </c>
      <c r="S143" s="9">
        <f t="shared" si="45"/>
        <v>2.5958806499933389E-7</v>
      </c>
      <c r="T143" s="9">
        <f t="shared" si="40"/>
        <v>9.9320815323089829E-6</v>
      </c>
      <c r="U143" s="9">
        <f t="shared" si="41"/>
        <v>1.4974041193500066E-4</v>
      </c>
      <c r="V143" s="100">
        <f t="shared" si="46"/>
        <v>6.6328664413053046E-2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2025-02-02T14:49:22Z</dcterms:modified>
</cp:coreProperties>
</file>