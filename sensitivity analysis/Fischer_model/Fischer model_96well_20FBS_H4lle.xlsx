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FD5FBA1B-FD31-4C32-BF1F-634C62A18378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S131" i="4" s="1"/>
  <c r="V130" i="4"/>
  <c r="R130" i="4"/>
  <c r="U130" i="4" s="1"/>
  <c r="V127" i="4"/>
  <c r="U127" i="4"/>
  <c r="R127" i="4"/>
  <c r="T127" i="4" s="1"/>
  <c r="V126" i="4"/>
  <c r="R126" i="4"/>
  <c r="V124" i="4"/>
  <c r="U124" i="4"/>
  <c r="T124" i="4"/>
  <c r="S124" i="4"/>
  <c r="R124" i="4"/>
  <c r="V121" i="4"/>
  <c r="R121" i="4"/>
  <c r="U121" i="4" s="1"/>
  <c r="V120" i="4"/>
  <c r="R120" i="4"/>
  <c r="U120" i="4" s="1"/>
  <c r="V119" i="4"/>
  <c r="R119" i="4"/>
  <c r="U119" i="4" s="1"/>
  <c r="V116" i="4"/>
  <c r="R116" i="4"/>
  <c r="V115" i="4"/>
  <c r="U115" i="4"/>
  <c r="T115" i="4"/>
  <c r="R115" i="4"/>
  <c r="S115" i="4" s="1"/>
  <c r="V114" i="4"/>
  <c r="R114" i="4"/>
  <c r="U114" i="4" s="1"/>
  <c r="V108" i="4"/>
  <c r="U108" i="4"/>
  <c r="R108" i="4"/>
  <c r="T108" i="4" s="1"/>
  <c r="V107" i="4"/>
  <c r="R107" i="4"/>
  <c r="T107" i="4" s="1"/>
  <c r="V93" i="4"/>
  <c r="R93" i="4"/>
  <c r="U93" i="4" s="1"/>
  <c r="V92" i="4"/>
  <c r="U92" i="4"/>
  <c r="R92" i="4"/>
  <c r="T92" i="4" s="1"/>
  <c r="V91" i="4"/>
  <c r="R91" i="4"/>
  <c r="V90" i="4"/>
  <c r="U90" i="4"/>
  <c r="T90" i="4"/>
  <c r="S90" i="4"/>
  <c r="R90" i="4"/>
  <c r="V89" i="4"/>
  <c r="R89" i="4"/>
  <c r="U89" i="4" s="1"/>
  <c r="V88" i="4"/>
  <c r="U88" i="4"/>
  <c r="T88" i="4"/>
  <c r="R88" i="4"/>
  <c r="S88" i="4" s="1"/>
  <c r="V86" i="4"/>
  <c r="R86" i="4"/>
  <c r="U86" i="4" s="1"/>
  <c r="V85" i="4"/>
  <c r="R85" i="4"/>
  <c r="V84" i="4"/>
  <c r="U84" i="4"/>
  <c r="T84" i="4"/>
  <c r="R84" i="4"/>
  <c r="S84" i="4" s="1"/>
  <c r="V83" i="4"/>
  <c r="R83" i="4"/>
  <c r="U83" i="4" s="1"/>
  <c r="V82" i="4"/>
  <c r="R82" i="4"/>
  <c r="U82" i="4" s="1"/>
  <c r="V81" i="4"/>
  <c r="R81" i="4"/>
  <c r="T81" i="4" s="1"/>
  <c r="V80" i="4"/>
  <c r="R80" i="4"/>
  <c r="U80" i="4" s="1"/>
  <c r="V79" i="4"/>
  <c r="U79" i="4"/>
  <c r="R79" i="4"/>
  <c r="T79" i="4" s="1"/>
  <c r="V78" i="4"/>
  <c r="R78" i="4"/>
  <c r="V77" i="4"/>
  <c r="U77" i="4"/>
  <c r="T77" i="4"/>
  <c r="S77" i="4"/>
  <c r="R77" i="4"/>
  <c r="V76" i="4"/>
  <c r="R76" i="4"/>
  <c r="U76" i="4" s="1"/>
  <c r="V75" i="4"/>
  <c r="R75" i="4"/>
  <c r="U75" i="4" s="1"/>
  <c r="V74" i="4"/>
  <c r="R74" i="4"/>
  <c r="U74" i="4" s="1"/>
  <c r="V73" i="4"/>
  <c r="R73" i="4"/>
  <c r="V72" i="4"/>
  <c r="U72" i="4"/>
  <c r="T72" i="4"/>
  <c r="R72" i="4"/>
  <c r="S72" i="4" s="1"/>
  <c r="V71" i="4"/>
  <c r="R71" i="4"/>
  <c r="U71" i="4" s="1"/>
  <c r="V70" i="4"/>
  <c r="R70" i="4"/>
  <c r="U70" i="4" s="1"/>
  <c r="V69" i="4"/>
  <c r="R69" i="4"/>
  <c r="T69" i="4" s="1"/>
  <c r="V68" i="4"/>
  <c r="R68" i="4"/>
  <c r="U68" i="4" s="1"/>
  <c r="V65" i="4"/>
  <c r="U65" i="4"/>
  <c r="R65" i="4"/>
  <c r="T65" i="4" s="1"/>
  <c r="V64" i="4"/>
  <c r="R64" i="4"/>
  <c r="V63" i="4"/>
  <c r="U63" i="4"/>
  <c r="T63" i="4"/>
  <c r="S63" i="4"/>
  <c r="R63" i="4"/>
  <c r="V62" i="4"/>
  <c r="R62" i="4"/>
  <c r="U62" i="4" s="1"/>
  <c r="V61" i="4"/>
  <c r="R61" i="4"/>
  <c r="U61" i="4" s="1"/>
  <c r="V60" i="4"/>
  <c r="R60" i="4"/>
  <c r="U60" i="4" s="1"/>
  <c r="V58" i="4"/>
  <c r="S58" i="4"/>
  <c r="R58" i="4"/>
  <c r="V57" i="4"/>
  <c r="U57" i="4"/>
  <c r="T57" i="4"/>
  <c r="R57" i="4"/>
  <c r="S57" i="4" s="1"/>
  <c r="V49" i="4"/>
  <c r="R49" i="4"/>
  <c r="U49" i="4" s="1"/>
  <c r="V48" i="4"/>
  <c r="R48" i="4"/>
  <c r="U48" i="4" s="1"/>
  <c r="V47" i="4"/>
  <c r="R47" i="4"/>
  <c r="U47" i="4" s="1"/>
  <c r="V46" i="4"/>
  <c r="R46" i="4"/>
  <c r="U46" i="4" s="1"/>
  <c r="V45" i="4"/>
  <c r="U45" i="4"/>
  <c r="R45" i="4"/>
  <c r="T45" i="4" s="1"/>
  <c r="V44" i="4"/>
  <c r="R44" i="4"/>
  <c r="V43" i="4"/>
  <c r="U43" i="4"/>
  <c r="T43" i="4"/>
  <c r="S43" i="4"/>
  <c r="R43" i="4"/>
  <c r="V42" i="4"/>
  <c r="R42" i="4"/>
  <c r="T42" i="4" s="1"/>
  <c r="V41" i="4"/>
  <c r="R41" i="4"/>
  <c r="U41" i="4" s="1"/>
  <c r="V40" i="4"/>
  <c r="R40" i="4"/>
  <c r="U40" i="4" s="1"/>
  <c r="V39" i="4"/>
  <c r="R39" i="4"/>
  <c r="U39" i="4" s="1"/>
  <c r="V38" i="4"/>
  <c r="U38" i="4"/>
  <c r="T38" i="4"/>
  <c r="R38" i="4"/>
  <c r="S38" i="4" s="1"/>
  <c r="V37" i="4"/>
  <c r="R37" i="4"/>
  <c r="V36" i="4"/>
  <c r="R36" i="4"/>
  <c r="U36" i="4" s="1"/>
  <c r="V35" i="4"/>
  <c r="R35" i="4"/>
  <c r="T35" i="4" s="1"/>
  <c r="V34" i="4"/>
  <c r="R34" i="4"/>
  <c r="U34" i="4" s="1"/>
  <c r="V33" i="4"/>
  <c r="U33" i="4"/>
  <c r="R33" i="4"/>
  <c r="T33" i="4" s="1"/>
  <c r="V32" i="4"/>
  <c r="R32" i="4"/>
  <c r="V31" i="4"/>
  <c r="U31" i="4"/>
  <c r="T31" i="4"/>
  <c r="S31" i="4"/>
  <c r="R31" i="4"/>
  <c r="V30" i="4"/>
  <c r="R30" i="4"/>
  <c r="U30" i="4" s="1"/>
  <c r="V29" i="4"/>
  <c r="R29" i="4"/>
  <c r="U29" i="4" s="1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O130" i="4" s="1"/>
  <c r="P130" i="4" s="1"/>
  <c r="L130" i="4"/>
  <c r="M130" i="4"/>
  <c r="N130" i="4"/>
  <c r="Q130" i="4" s="1"/>
  <c r="I131" i="4"/>
  <c r="L131" i="4" s="1"/>
  <c r="M131" i="4" s="1"/>
  <c r="J131" i="4"/>
  <c r="K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U37" i="4" l="1"/>
  <c r="S37" i="4"/>
  <c r="T37" i="4"/>
  <c r="T44" i="4"/>
  <c r="S44" i="4"/>
  <c r="U44" i="4"/>
  <c r="S48" i="4"/>
  <c r="S80" i="4"/>
  <c r="U126" i="4"/>
  <c r="T126" i="4"/>
  <c r="S126" i="4"/>
  <c r="S34" i="4"/>
  <c r="S41" i="4"/>
  <c r="T48" i="4"/>
  <c r="U73" i="4"/>
  <c r="T73" i="4"/>
  <c r="T80" i="4"/>
  <c r="S120" i="4"/>
  <c r="T34" i="4"/>
  <c r="T41" i="4"/>
  <c r="S73" i="4"/>
  <c r="T120" i="4"/>
  <c r="T64" i="4"/>
  <c r="S64" i="4"/>
  <c r="U64" i="4"/>
  <c r="S70" i="4"/>
  <c r="S93" i="4"/>
  <c r="S61" i="4"/>
  <c r="T70" i="4"/>
  <c r="U85" i="4"/>
  <c r="T85" i="4"/>
  <c r="T93" i="4"/>
  <c r="T61" i="4"/>
  <c r="S85" i="4"/>
  <c r="T32" i="4"/>
  <c r="U32" i="4"/>
  <c r="S46" i="4"/>
  <c r="U78" i="4"/>
  <c r="T78" i="4"/>
  <c r="S78" i="4"/>
  <c r="S82" i="4"/>
  <c r="S130" i="4"/>
  <c r="S29" i="4"/>
  <c r="S32" i="4"/>
  <c r="S39" i="4"/>
  <c r="T46" i="4"/>
  <c r="S75" i="4"/>
  <c r="T82" i="4"/>
  <c r="U116" i="4"/>
  <c r="T116" i="4"/>
  <c r="T130" i="4"/>
  <c r="T29" i="4"/>
  <c r="S36" i="4"/>
  <c r="T39" i="4"/>
  <c r="T75" i="4"/>
  <c r="S116" i="4"/>
  <c r="T36" i="4"/>
  <c r="S68" i="4"/>
  <c r="U91" i="4"/>
  <c r="T91" i="4"/>
  <c r="S91" i="4"/>
  <c r="S108" i="4"/>
  <c r="T58" i="4"/>
  <c r="U58" i="4"/>
  <c r="T68" i="4"/>
  <c r="T30" i="4"/>
  <c r="S47" i="4"/>
  <c r="U42" i="4"/>
  <c r="T47" i="4"/>
  <c r="S74" i="4"/>
  <c r="T131" i="4"/>
  <c r="T28" i="4"/>
  <c r="S33" i="4"/>
  <c r="U35" i="4"/>
  <c r="T40" i="4"/>
  <c r="S45" i="4"/>
  <c r="T60" i="4"/>
  <c r="S65" i="4"/>
  <c r="U69" i="4"/>
  <c r="T74" i="4"/>
  <c r="S79" i="4"/>
  <c r="U81" i="4"/>
  <c r="T86" i="4"/>
  <c r="S92" i="4"/>
  <c r="U107" i="4"/>
  <c r="T119" i="4"/>
  <c r="S127" i="4"/>
  <c r="U131" i="4"/>
  <c r="S49" i="4"/>
  <c r="S71" i="4"/>
  <c r="S83" i="4"/>
  <c r="S114" i="4"/>
  <c r="S30" i="4"/>
  <c r="S42" i="4"/>
  <c r="T49" i="4"/>
  <c r="S62" i="4"/>
  <c r="T71" i="4"/>
  <c r="S76" i="4"/>
  <c r="T83" i="4"/>
  <c r="S89" i="4"/>
  <c r="T114" i="4"/>
  <c r="S121" i="4"/>
  <c r="S35" i="4"/>
  <c r="T62" i="4"/>
  <c r="S69" i="4"/>
  <c r="T76" i="4"/>
  <c r="S81" i="4"/>
  <c r="T89" i="4"/>
  <c r="S107" i="4"/>
  <c r="T121" i="4"/>
  <c r="S28" i="4"/>
  <c r="S40" i="4"/>
  <c r="S60" i="4"/>
  <c r="S86" i="4"/>
  <c r="S119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/>
  <c r="J122" i="4"/>
  <c r="K122" i="4"/>
  <c r="J117" i="4"/>
  <c r="K117" i="4"/>
  <c r="J120" i="4"/>
  <c r="K120" i="4"/>
  <c r="O120" i="4" s="1"/>
  <c r="P120" i="4" s="1"/>
  <c r="J101" i="4"/>
  <c r="K101" i="4"/>
  <c r="J86" i="4"/>
  <c r="K86" i="4" s="1"/>
  <c r="J85" i="4"/>
  <c r="K85" i="4"/>
  <c r="J88" i="4"/>
  <c r="K88" i="4" s="1"/>
  <c r="J119" i="4"/>
  <c r="K119" i="4"/>
  <c r="O119" i="4" s="1"/>
  <c r="P119" i="4" s="1"/>
  <c r="J72" i="4"/>
  <c r="K72" i="4" s="1"/>
  <c r="J103" i="4"/>
  <c r="K103" i="4"/>
  <c r="J118" i="4"/>
  <c r="K118" i="4"/>
  <c r="J104" i="4"/>
  <c r="K104" i="4"/>
  <c r="J90" i="4"/>
  <c r="K90" i="4" s="1"/>
  <c r="J71" i="4"/>
  <c r="K71" i="4"/>
  <c r="O71" i="4" s="1"/>
  <c r="P71" i="4" s="1"/>
  <c r="J110" i="4"/>
  <c r="K110" i="4"/>
  <c r="J82" i="4"/>
  <c r="L82" i="4" s="1"/>
  <c r="K82" i="4"/>
  <c r="J113" i="4"/>
  <c r="K113" i="4"/>
  <c r="J97" i="4"/>
  <c r="K97" i="4"/>
  <c r="J81" i="4"/>
  <c r="K81" i="4" s="1"/>
  <c r="J116" i="4"/>
  <c r="K116" i="4"/>
  <c r="J100" i="4"/>
  <c r="K100" i="4"/>
  <c r="O100" i="4"/>
  <c r="J84" i="4"/>
  <c r="K84" i="4" s="1"/>
  <c r="J114" i="4"/>
  <c r="K114" i="4"/>
  <c r="O114" i="4" s="1"/>
  <c r="P114" i="4" s="1"/>
  <c r="J78" i="4"/>
  <c r="K78" i="4" s="1"/>
  <c r="J115" i="4"/>
  <c r="K115" i="4"/>
  <c r="O115" i="4"/>
  <c r="P115" i="4" s="1"/>
  <c r="J99" i="4"/>
  <c r="K99" i="4"/>
  <c r="J83" i="4"/>
  <c r="L83" i="4" s="1"/>
  <c r="K83" i="4"/>
  <c r="J102" i="4"/>
  <c r="K102" i="4"/>
  <c r="J74" i="4"/>
  <c r="L74" i="4" s="1"/>
  <c r="K74" i="4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/>
  <c r="J111" i="4"/>
  <c r="K111" i="4"/>
  <c r="J95" i="4"/>
  <c r="K95" i="4" s="1"/>
  <c r="J79" i="4"/>
  <c r="L79" i="4" s="1"/>
  <c r="K79" i="4"/>
  <c r="J126" i="4"/>
  <c r="K126" i="4"/>
  <c r="J94" i="4"/>
  <c r="K94" i="4"/>
  <c r="J121" i="4"/>
  <c r="K121" i="4"/>
  <c r="J105" i="4"/>
  <c r="K105" i="4"/>
  <c r="J89" i="4"/>
  <c r="K89" i="4" s="1"/>
  <c r="J73" i="4"/>
  <c r="L73" i="4" s="1"/>
  <c r="K73" i="4"/>
  <c r="J124" i="4"/>
  <c r="K124" i="4" s="1"/>
  <c r="O124" i="4" s="1"/>
  <c r="P124" i="4" s="1"/>
  <c r="J108" i="4"/>
  <c r="K108" i="4"/>
  <c r="O108" i="4" s="1"/>
  <c r="P108" i="4" s="1"/>
  <c r="J92" i="4"/>
  <c r="K92" i="4" s="1"/>
  <c r="J76" i="4"/>
  <c r="K76" i="4"/>
  <c r="J98" i="4"/>
  <c r="K98" i="4"/>
  <c r="J123" i="4"/>
  <c r="K123" i="4"/>
  <c r="J107" i="4"/>
  <c r="K107" i="4"/>
  <c r="O107" i="4" s="1"/>
  <c r="P107" i="4" s="1"/>
  <c r="J91" i="4"/>
  <c r="L91" i="4" s="1"/>
  <c r="M91" i="4" s="1"/>
  <c r="K91" i="4"/>
  <c r="J75" i="4"/>
  <c r="K75" i="4" s="1"/>
  <c r="P100" i="4"/>
  <c r="O112" i="4"/>
  <c r="P112" i="4"/>
  <c r="O98" i="4"/>
  <c r="P98" i="4"/>
  <c r="O105" i="4"/>
  <c r="P105" i="4"/>
  <c r="O126" i="4"/>
  <c r="P126" i="4" s="1"/>
  <c r="O111" i="4"/>
  <c r="P111" i="4"/>
  <c r="O104" i="4"/>
  <c r="P104" i="4"/>
  <c r="O85" i="4"/>
  <c r="P85" i="4" s="1"/>
  <c r="O91" i="4"/>
  <c r="P91" i="4"/>
  <c r="O121" i="4"/>
  <c r="P121" i="4"/>
  <c r="O127" i="4"/>
  <c r="P127" i="4"/>
  <c r="O102" i="4"/>
  <c r="P102" i="4"/>
  <c r="O97" i="4"/>
  <c r="P97" i="4"/>
  <c r="O110" i="4"/>
  <c r="P110" i="4"/>
  <c r="O118" i="4"/>
  <c r="P118" i="4"/>
  <c r="O117" i="4"/>
  <c r="P117" i="4"/>
  <c r="O106" i="4"/>
  <c r="P106" i="4"/>
  <c r="O109" i="4"/>
  <c r="P109" i="4"/>
  <c r="O116" i="4"/>
  <c r="P116" i="4"/>
  <c r="O113" i="4"/>
  <c r="P113" i="4"/>
  <c r="O103" i="4"/>
  <c r="P103" i="4"/>
  <c r="O122" i="4"/>
  <c r="P122" i="4"/>
  <c r="O123" i="4"/>
  <c r="P123" i="4"/>
  <c r="O94" i="4"/>
  <c r="P94" i="4" s="1"/>
  <c r="O125" i="4"/>
  <c r="P125" i="4"/>
  <c r="O99" i="4"/>
  <c r="P99" i="4"/>
  <c r="O101" i="4"/>
  <c r="P101" i="4"/>
  <c r="O87" i="4"/>
  <c r="P87" i="4" s="1"/>
  <c r="I76" i="4"/>
  <c r="I77" i="4"/>
  <c r="I81" i="4"/>
  <c r="N81" i="4" s="1"/>
  <c r="Q81" i="4" s="1"/>
  <c r="I89" i="4"/>
  <c r="N89" i="4" s="1"/>
  <c r="Q89" i="4" s="1"/>
  <c r="I90" i="4"/>
  <c r="I96" i="4"/>
  <c r="L96" i="4" s="1"/>
  <c r="I99" i="4"/>
  <c r="I102" i="4"/>
  <c r="I104" i="4"/>
  <c r="I108" i="4"/>
  <c r="I111" i="4"/>
  <c r="I113" i="4"/>
  <c r="I115" i="4"/>
  <c r="N115" i="4" s="1"/>
  <c r="Q115" i="4" s="1"/>
  <c r="I119" i="4"/>
  <c r="L119" i="4" s="1"/>
  <c r="M119" i="4" s="1"/>
  <c r="I120" i="4"/>
  <c r="L120" i="4" s="1"/>
  <c r="M120" i="4" s="1"/>
  <c r="I123" i="4"/>
  <c r="I125" i="4"/>
  <c r="I79" i="4"/>
  <c r="N79" i="4" s="1"/>
  <c r="Q79" i="4" s="1"/>
  <c r="I92" i="4"/>
  <c r="I100" i="4"/>
  <c r="I103" i="4"/>
  <c r="I107" i="4"/>
  <c r="N107" i="4" s="1"/>
  <c r="Q107" i="4" s="1"/>
  <c r="I109" i="4"/>
  <c r="I110" i="4"/>
  <c r="I117" i="4"/>
  <c r="I124" i="4"/>
  <c r="L124" i="4" s="1"/>
  <c r="M124" i="4" s="1"/>
  <c r="I72" i="4"/>
  <c r="L72" i="4" s="1"/>
  <c r="I106" i="4"/>
  <c r="I71" i="4"/>
  <c r="I75" i="4"/>
  <c r="N75" i="4" s="1"/>
  <c r="Q75" i="4" s="1"/>
  <c r="I80" i="4"/>
  <c r="I83" i="4"/>
  <c r="I86" i="4"/>
  <c r="L86" i="4" s="1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N73" i="4" s="1"/>
  <c r="Q73" i="4" s="1"/>
  <c r="I74" i="4"/>
  <c r="I78" i="4"/>
  <c r="I82" i="4"/>
  <c r="I85" i="4"/>
  <c r="N85" i="4" s="1"/>
  <c r="Q85" i="4" s="1"/>
  <c r="I93" i="4"/>
  <c r="L93" i="4" s="1"/>
  <c r="I112" i="4"/>
  <c r="I114" i="4"/>
  <c r="N114" i="4" s="1"/>
  <c r="Q114" i="4" s="1"/>
  <c r="I121" i="4"/>
  <c r="I122" i="4"/>
  <c r="I84" i="4"/>
  <c r="L84" i="4" s="1"/>
  <c r="I87" i="4"/>
  <c r="L87" i="4" s="1"/>
  <c r="I91" i="4"/>
  <c r="I97" i="4"/>
  <c r="L97" i="4" s="1"/>
  <c r="I105" i="4"/>
  <c r="I116" i="4"/>
  <c r="I126" i="4"/>
  <c r="L126" i="4" s="1"/>
  <c r="M126" i="4" s="1"/>
  <c r="L105" i="4"/>
  <c r="N105" i="4"/>
  <c r="Q105" i="4"/>
  <c r="N121" i="4"/>
  <c r="Q121" i="4"/>
  <c r="L121" i="4"/>
  <c r="M121" i="4" s="1"/>
  <c r="N101" i="4"/>
  <c r="Q101" i="4"/>
  <c r="L101" i="4"/>
  <c r="L106" i="4"/>
  <c r="N106" i="4"/>
  <c r="Q106" i="4"/>
  <c r="N124" i="4"/>
  <c r="Q124" i="4"/>
  <c r="N108" i="4"/>
  <c r="Q108" i="4"/>
  <c r="L108" i="4"/>
  <c r="M108" i="4" s="1"/>
  <c r="N77" i="4"/>
  <c r="Q77" i="4" s="1"/>
  <c r="L77" i="4"/>
  <c r="N82" i="4"/>
  <c r="Q82" i="4"/>
  <c r="N98" i="4"/>
  <c r="Q98" i="4"/>
  <c r="L98" i="4"/>
  <c r="N86" i="4"/>
  <c r="Q86" i="4" s="1"/>
  <c r="N71" i="4"/>
  <c r="Q71" i="4"/>
  <c r="L71" i="4"/>
  <c r="M71" i="4" s="1"/>
  <c r="N117" i="4"/>
  <c r="Q117" i="4"/>
  <c r="L117" i="4"/>
  <c r="N103" i="4"/>
  <c r="Q103" i="4"/>
  <c r="L103" i="4"/>
  <c r="L125" i="4"/>
  <c r="N125" i="4"/>
  <c r="Q125" i="4"/>
  <c r="L104" i="4"/>
  <c r="N104" i="4"/>
  <c r="Q104" i="4"/>
  <c r="N90" i="4"/>
  <c r="Q90" i="4" s="1"/>
  <c r="L90" i="4"/>
  <c r="N76" i="4"/>
  <c r="Q76" i="4"/>
  <c r="N126" i="4"/>
  <c r="Q126" i="4"/>
  <c r="N91" i="4"/>
  <c r="Q91" i="4"/>
  <c r="L112" i="4"/>
  <c r="N112" i="4"/>
  <c r="Q112" i="4"/>
  <c r="N78" i="4"/>
  <c r="Q78" i="4" s="1"/>
  <c r="N95" i="4"/>
  <c r="Q95" i="4" s="1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116" i="4"/>
  <c r="Q116" i="4"/>
  <c r="L116" i="4"/>
  <c r="M116" i="4" s="1"/>
  <c r="N87" i="4"/>
  <c r="Q87" i="4" s="1"/>
  <c r="N122" i="4"/>
  <c r="Q122" i="4"/>
  <c r="L122" i="4"/>
  <c r="N74" i="4"/>
  <c r="Q74" i="4" s="1"/>
  <c r="N118" i="4"/>
  <c r="Q118" i="4"/>
  <c r="L118" i="4"/>
  <c r="L94" i="4"/>
  <c r="N94" i="4"/>
  <c r="Q94" i="4" s="1"/>
  <c r="L80" i="4"/>
  <c r="N80" i="4"/>
  <c r="Q80" i="4" s="1"/>
  <c r="N109" i="4"/>
  <c r="Q109" i="4"/>
  <c r="L109" i="4"/>
  <c r="N92" i="4"/>
  <c r="Q92" i="4" s="1"/>
  <c r="N111" i="4"/>
  <c r="Q111" i="4"/>
  <c r="L111" i="4"/>
  <c r="N99" i="4"/>
  <c r="Q99" i="4"/>
  <c r="L99" i="4"/>
  <c r="M74" i="4" l="1"/>
  <c r="M79" i="4"/>
  <c r="M73" i="4"/>
  <c r="M72" i="4"/>
  <c r="O78" i="4"/>
  <c r="P78" i="4" s="1"/>
  <c r="L89" i="4"/>
  <c r="O84" i="4"/>
  <c r="P84" i="4" s="1"/>
  <c r="M82" i="4"/>
  <c r="O72" i="4"/>
  <c r="P72" i="4" s="1"/>
  <c r="M94" i="4"/>
  <c r="O73" i="4"/>
  <c r="P73" i="4" s="1"/>
  <c r="M93" i="4"/>
  <c r="L92" i="4"/>
  <c r="O74" i="4"/>
  <c r="P74" i="4" s="1"/>
  <c r="O93" i="4"/>
  <c r="P93" i="4" s="1"/>
  <c r="O90" i="4"/>
  <c r="P90" i="4" s="1"/>
  <c r="M80" i="4"/>
  <c r="N127" i="4"/>
  <c r="Q127" i="4" s="1"/>
  <c r="M84" i="4"/>
  <c r="O80" i="4"/>
  <c r="P80" i="4" s="1"/>
  <c r="O82" i="4"/>
  <c r="P82" i="4" s="1"/>
  <c r="N120" i="4"/>
  <c r="Q120" i="4" s="1"/>
  <c r="O77" i="4"/>
  <c r="P77" i="4" s="1"/>
  <c r="M86" i="4"/>
  <c r="L81" i="4"/>
  <c r="L115" i="4"/>
  <c r="M115" i="4" s="1"/>
  <c r="O81" i="4"/>
  <c r="P81" i="4" s="1"/>
  <c r="O86" i="4"/>
  <c r="P86" i="4" s="1"/>
  <c r="M87" i="4"/>
  <c r="O92" i="4"/>
  <c r="P92" i="4" s="1"/>
  <c r="O75" i="4"/>
  <c r="P75" i="4" s="1"/>
  <c r="N84" i="4"/>
  <c r="Q84" i="4" s="1"/>
  <c r="L78" i="4"/>
  <c r="M90" i="4"/>
  <c r="O95" i="4"/>
  <c r="P95" i="4" s="1"/>
  <c r="O88" i="4"/>
  <c r="P88" i="4" s="1"/>
  <c r="N119" i="4"/>
  <c r="Q119" i="4" s="1"/>
  <c r="L107" i="4"/>
  <c r="M107" i="4" s="1"/>
  <c r="M95" i="4"/>
  <c r="N72" i="4"/>
  <c r="Q72" i="4" s="1"/>
  <c r="M97" i="4"/>
  <c r="M96" i="4"/>
  <c r="O76" i="4"/>
  <c r="P76" i="4" s="1"/>
  <c r="M77" i="4"/>
  <c r="O96" i="4"/>
  <c r="P96" i="4" s="1"/>
  <c r="O79" i="4"/>
  <c r="P79" i="4" s="1"/>
  <c r="O83" i="4"/>
  <c r="P83" i="4" s="1"/>
  <c r="L75" i="4"/>
  <c r="M83" i="4"/>
  <c r="O89" i="4"/>
  <c r="P89" i="4" s="1"/>
  <c r="L114" i="4"/>
  <c r="M114" i="4" s="1"/>
  <c r="L85" i="4"/>
  <c r="L76" i="4"/>
  <c r="N97" i="4"/>
  <c r="Q97" i="4" s="1"/>
  <c r="L88" i="4"/>
  <c r="N96" i="4"/>
  <c r="Q96" i="4" s="1"/>
  <c r="N93" i="4"/>
  <c r="Q93" i="4" s="1"/>
  <c r="J14" i="4"/>
  <c r="J13" i="4" s="1"/>
  <c r="K16" i="4" s="1"/>
  <c r="M85" i="4" l="1"/>
  <c r="M81" i="4"/>
  <c r="M78" i="4"/>
  <c r="M92" i="4"/>
  <c r="M89" i="4"/>
  <c r="M76" i="4"/>
  <c r="M75" i="4"/>
  <c r="M88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9" i="4"/>
  <c r="P69" i="4" s="1"/>
  <c r="O67" i="4"/>
  <c r="P67" i="4" s="1"/>
  <c r="O68" i="4"/>
  <c r="P68" i="4" s="1"/>
  <c r="O64" i="4"/>
  <c r="P64" i="4" s="1"/>
  <c r="M58" i="4"/>
  <c r="M57" i="4"/>
  <c r="O66" i="4"/>
  <c r="P66" i="4" s="1"/>
  <c r="M66" i="4"/>
  <c r="M68" i="4"/>
  <c r="M69" i="4"/>
  <c r="O65" i="4"/>
  <c r="P65" i="4" s="1"/>
  <c r="M65" i="4"/>
  <c r="M67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J30" i="4"/>
  <c r="K30" i="4" s="1"/>
  <c r="J43" i="4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O49" i="4" l="1"/>
  <c r="P49" i="4" s="1"/>
  <c r="M49" i="4"/>
  <c r="K35" i="4"/>
  <c r="O35" i="4" s="1"/>
  <c r="P35" i="4" s="1"/>
  <c r="O48" i="4"/>
  <c r="P48" i="4" s="1"/>
  <c r="M48" i="4"/>
  <c r="M47" i="4"/>
  <c r="O28" i="4"/>
  <c r="P28" i="4" s="1"/>
  <c r="O39" i="4"/>
  <c r="P39" i="4" s="1"/>
  <c r="M44" i="4"/>
  <c r="M45" i="4"/>
  <c r="M31" i="4"/>
  <c r="M35" i="4"/>
  <c r="O31" i="4"/>
  <c r="P31" i="4" s="1"/>
  <c r="O43" i="4"/>
  <c r="P43" i="4" s="1"/>
  <c r="O46" i="4"/>
  <c r="P46" i="4" s="1"/>
  <c r="M39" i="4"/>
  <c r="K36" i="4"/>
  <c r="O41" i="4"/>
  <c r="P41" i="4" s="1"/>
  <c r="O30" i="4"/>
  <c r="P30" i="4" s="1"/>
  <c r="O45" i="4"/>
  <c r="P45" i="4" s="1"/>
  <c r="O47" i="4"/>
  <c r="P47" i="4" s="1"/>
  <c r="O33" i="4"/>
  <c r="P33" i="4" s="1"/>
  <c r="M43" i="4"/>
  <c r="K44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29" i="4" l="1"/>
  <c r="P29" i="4" s="1"/>
  <c r="O40" i="4"/>
  <c r="P40" i="4" s="1"/>
  <c r="O42" i="4"/>
  <c r="P42" i="4" s="1"/>
  <c r="O32" i="4"/>
  <c r="P32" i="4" s="1"/>
  <c r="M33" i="4"/>
  <c r="O34" i="4"/>
  <c r="P34" i="4" s="1"/>
  <c r="M41" i="4"/>
  <c r="O38" i="4"/>
  <c r="P38" i="4" s="1"/>
  <c r="O36" i="4"/>
  <c r="P36" i="4" s="1"/>
  <c r="O37" i="4"/>
  <c r="P37" i="4" s="1"/>
  <c r="M46" i="4"/>
  <c r="O44" i="4"/>
  <c r="P44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<sst xmlns="http://schemas.openxmlformats.org/spreadsheetml/2006/main" count="318" uniqueCount="295">
  <si>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</si>
  <si>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</si>
  <si>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</si>
  <si>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</si>
  <si>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</si>
  <si>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</si>
  <si>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</si>
  <si>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</si>
  <si>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</si>
  <si>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</si>
  <si>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</si>
  <si>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</si>
  <si>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</si>
  <si>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</si>
  <si>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</si>
  <si>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</si>
  <si>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</si>
  <si>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</si>
  <si>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</si>
  <si>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</si>
  <si>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</si>
  <si>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</si>
  <si>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</si>
  <si>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</si>
  <si>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</si>
  <si>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</si>
  <si>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</si>
  <si>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</si>
  <si>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</si>
  <si>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</si>
  <si>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</si>
  <si>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</si>
  <si>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</si>
  <si>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</si>
  <si>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</si>
  <si>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</si>
  <si>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</si>
  <si>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</si>
  <si>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</si>
  <si>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</si>
  <si>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</si>
  <si>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</si>
  <si>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</si>
  <si>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</si>
  <si>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</si>
  <si>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</si>
  <si>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</si>
  <si>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</si>
  <si>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</si>
  <si>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</si>
  <si>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</si>
  <si>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</si>
  <si>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</si>
  <si>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</si>
  <si>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</si>
  <si>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</si>
  <si>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</si>
  <si>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</si>
  <si>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</si>
  <si>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</si>
  <si>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</si>
  <si>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</si>
  <si>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</si>
  <si>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</si>
  <si>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</si>
  <si>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</si>
  <si>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</si>
  <si>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</si>
  <si>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</si>
  <si>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</si>
  <si>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</si>
  <si>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</si>
  <si>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</si>
  <si>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</si>
  <si>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</si>
  <si>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</si>
  <si>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</si>
  <si>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</si>
  <si>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</si>
  <si>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</si>
  <si>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</si>
  <si>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</si>
  <si>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</si>
  <si>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</si>
  <si>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</si>
  <si>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</si>
  <si>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</si>
  <si>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</si>
  <si>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</si>
  <si>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</si>
  <si>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</si>
  <si>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</si>
  <si>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</si>
  <si>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</si>
  <si>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</si>
  <si>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</si>
  <si>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</si>
  <si>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</si>
  <si>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</si>
  <si>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</si>
  <si>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</si>
  <si>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</si>
  <si>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</si>
  <si>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</si>
  <si>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</si>
  <si>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</si>
  <si>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</si>
  <si>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</si>
  <si>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</si>
  <si>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</si>
  <si>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</si>
  <si>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</si>
  <si>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H4lle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</si>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</sst>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N20" sqref="N20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3.2865000000000004E-3</v>
      </c>
      <c r="M17" s="81">
        <v>1.9250000000000002E-4</v>
      </c>
      <c r="N17" s="81">
        <v>2.1000000000000002E-5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42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150.07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149.28873000000002</v>
      </c>
      <c r="K8" s="39">
        <f>J8/J7</f>
        <v>0.994793962817352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0.7238500000000001</v>
      </c>
      <c r="K9" s="39">
        <f>J9/J7</f>
        <v>4.8234157393216509E-3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5.7419999999999992E-2</v>
      </c>
      <c r="K10" s="39">
        <f>J10/J7</f>
        <v>3.8262144332644764E-4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7.0000000000000021E-2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6.5730000000000011E-2</v>
      </c>
      <c r="K20" s="39">
        <f>J20/J19</f>
        <v>0.93899999999999983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3.8500000000000006E-3</v>
      </c>
      <c r="K21" s="39">
        <f>J21/J19</f>
        <v>5.4999999999999993E-2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4.2000000000000007E-4</v>
      </c>
      <c r="K22" s="39">
        <f>J22/J19</f>
        <v>5.9999999999999993E-3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0.58430608394951877</v>
      </c>
      <c r="K28" s="95">
        <f t="shared" ref="K28:K47" si="3">IF(D28=0,"",1/(1+10^D28*$J$15/$J$14+10^E28*$J$16/$J$14+10^J28*$J$19/$J$14))</f>
        <v>0.80337765696632002</v>
      </c>
      <c r="L28" s="95">
        <f t="shared" ref="L28:L47" si="4">IF(D28=0,"",1/(1+10^I28/10^J28*$J$13/$J$19))</f>
        <v>1.447065223001319E-3</v>
      </c>
      <c r="M28" s="95">
        <f t="shared" ref="M28:M47" si="5">IF(D28=0,"",1-L28)</f>
        <v>0.99855293477699869</v>
      </c>
      <c r="N28" s="95">
        <f t="shared" ref="N28:N47" si="6">IF(D28=0,"",1/(1/10^E28*$J$20/$J$22+10^D28/10^E28*$J$21/$J$22+10^I28/10^E28*$J$13/$J$22+1))</f>
        <v>1.8062517163467681E-4</v>
      </c>
      <c r="O28" s="40">
        <f t="shared" ref="O28:O47" si="7">IF(D28=0,"",F28*K28*$J$7/$J$14)</f>
        <v>8.0793768374135101E-7</v>
      </c>
      <c r="P28" s="40">
        <f t="shared" ref="P28:P47" si="8">IF(D28=0,"",O28*10^J28)</f>
        <v>3.1023011145115405E-6</v>
      </c>
      <c r="Q28" s="40">
        <f t="shared" ref="Q28:Q47" si="9">IF(D28=0,"",F28*N28*$J$7/$J$22)</f>
        <v>6.4539094064799867E-5</v>
      </c>
      <c r="R28" s="9">
        <f>F28*$C$14</f>
        <v>1.4999999999999999E-4</v>
      </c>
      <c r="S28" s="9">
        <f>$R28*L28</f>
        <v>2.1705978345019782E-7</v>
      </c>
      <c r="T28" s="9">
        <f t="shared" ref="T28:T49" si="10">R28*K28</f>
        <v>1.20506648544948E-4</v>
      </c>
      <c r="U28" s="9">
        <f t="shared" ref="U28:U49" si="11">$R28*M28</f>
        <v>1.497829402165498E-4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2.7194923137791687</v>
      </c>
      <c r="J29" s="94">
        <f t="shared" si="2"/>
        <v>3.8526658305484731</v>
      </c>
      <c r="K29" s="95">
        <f t="shared" si="3"/>
        <v>1.8858488663445882E-3</v>
      </c>
      <c r="L29" s="95">
        <f t="shared" si="4"/>
        <v>6.30137011231152E-3</v>
      </c>
      <c r="M29" s="95">
        <f t="shared" si="5"/>
        <v>0.99369862988768853</v>
      </c>
      <c r="N29" s="95">
        <f t="shared" si="6"/>
        <v>3.6349832048615596E-3</v>
      </c>
      <c r="O29" s="40">
        <f t="shared" si="7"/>
        <v>1.8965530740725777E-9</v>
      </c>
      <c r="P29" s="40">
        <f t="shared" si="8"/>
        <v>1.3509237325065567E-5</v>
      </c>
      <c r="Q29" s="40">
        <f t="shared" si="9"/>
        <v>1.2988141179847005E-3</v>
      </c>
      <c r="R29" s="9">
        <f>F29*$C$14</f>
        <v>1.4999999999999999E-4</v>
      </c>
      <c r="S29" s="9">
        <f t="shared" ref="S29:S49" si="12">$R29*L29</f>
        <v>9.4520551684672787E-7</v>
      </c>
      <c r="T29" s="9">
        <f t="shared" si="10"/>
        <v>2.8287732995168821E-7</v>
      </c>
      <c r="U29" s="9">
        <f t="shared" si="11"/>
        <v>1.4905479448315326E-4</v>
      </c>
      <c r="V29" s="102">
        <f t="shared" ref="V29:V49" si="13">K29/M29</f>
        <v>1.8978076547793306E-3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5.9163420575972845</v>
      </c>
      <c r="J30" s="94">
        <f t="shared" si="2"/>
        <v>7.1049642158418802</v>
      </c>
      <c r="K30" s="95">
        <f t="shared" si="3"/>
        <v>1.1975250677613629E-6</v>
      </c>
      <c r="L30" s="95">
        <f t="shared" si="4"/>
        <v>7.1533768065298771E-3</v>
      </c>
      <c r="M30" s="95">
        <f t="shared" si="5"/>
        <v>0.99284662319347017</v>
      </c>
      <c r="N30" s="95">
        <f t="shared" si="6"/>
        <v>6.7239292763893472E-3</v>
      </c>
      <c r="O30" s="40">
        <f t="shared" si="7"/>
        <v>1.2043223023189972E-12</v>
      </c>
      <c r="P30" s="40">
        <f t="shared" si="8"/>
        <v>1.5335817962227734E-5</v>
      </c>
      <c r="Q30" s="40">
        <f t="shared" si="9"/>
        <v>2.4025239678755932E-3</v>
      </c>
      <c r="R30" s="9">
        <f t="shared" ref="R30:R49" si="14">F30*$C$14</f>
        <v>1.4999999999999999E-4</v>
      </c>
      <c r="S30" s="9">
        <f t="shared" si="12"/>
        <v>1.0730065209794815E-6</v>
      </c>
      <c r="T30" s="9">
        <f t="shared" si="10"/>
        <v>1.7962876016420441E-10</v>
      </c>
      <c r="U30" s="9">
        <f t="shared" si="11"/>
        <v>1.489269934790205E-4</v>
      </c>
      <c r="V30" s="102">
        <f t="shared" si="13"/>
        <v>1.2061531356268795E-6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1.2852308448323728</v>
      </c>
      <c r="J31" s="94">
        <f t="shared" si="2"/>
        <v>2.3857380000561275</v>
      </c>
      <c r="K31" s="95">
        <f t="shared" si="3"/>
        <v>5.1282205085138033E-2</v>
      </c>
      <c r="L31" s="95">
        <f t="shared" si="4"/>
        <v>5.8474560240002159E-3</v>
      </c>
      <c r="M31" s="95">
        <f t="shared" si="5"/>
        <v>0.99415254397599984</v>
      </c>
      <c r="N31" s="95">
        <f t="shared" si="6"/>
        <v>2.8549546544698631E-3</v>
      </c>
      <c r="O31" s="40">
        <f t="shared" si="7"/>
        <v>5.1573286404419315E-8</v>
      </c>
      <c r="P31" s="40">
        <f t="shared" si="8"/>
        <v>1.2536110364595894E-5</v>
      </c>
      <c r="Q31" s="40">
        <f t="shared" si="9"/>
        <v>1.02010248808641E-3</v>
      </c>
      <c r="R31" s="9">
        <f t="shared" si="14"/>
        <v>1.4999999999999999E-4</v>
      </c>
      <c r="S31" s="9">
        <f t="shared" si="12"/>
        <v>8.771184036000323E-7</v>
      </c>
      <c r="T31" s="9">
        <f t="shared" si="10"/>
        <v>7.6923307627707039E-6</v>
      </c>
      <c r="U31" s="9">
        <f t="shared" si="11"/>
        <v>1.4912288159639995E-4</v>
      </c>
      <c r="V31" s="102">
        <f t="shared" si="13"/>
        <v>5.158383931709383E-2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3.9109447814528924</v>
      </c>
      <c r="J32" s="94">
        <f t="shared" si="2"/>
        <v>5.0468119943247247</v>
      </c>
      <c r="K32" s="95">
        <f t="shared" si="3"/>
        <v>1.2134933227637897E-4</v>
      </c>
      <c r="L32" s="95">
        <f t="shared" si="4"/>
        <v>6.3403270207097557E-3</v>
      </c>
      <c r="M32" s="95">
        <f t="shared" si="5"/>
        <v>0.99365967297929025</v>
      </c>
      <c r="N32" s="95">
        <f t="shared" si="6"/>
        <v>3.7461996117220992E-3</v>
      </c>
      <c r="O32" s="40">
        <f t="shared" si="7"/>
        <v>1.2203811942338772E-10</v>
      </c>
      <c r="P32" s="40">
        <f t="shared" si="8"/>
        <v>1.359275537139875E-5</v>
      </c>
      <c r="Q32" s="40">
        <f t="shared" si="9"/>
        <v>1.3385527993598457E-3</v>
      </c>
      <c r="R32" s="9">
        <f t="shared" si="14"/>
        <v>1.4999999999999999E-4</v>
      </c>
      <c r="S32" s="9">
        <f t="shared" si="12"/>
        <v>9.510490531064633E-7</v>
      </c>
      <c r="T32" s="9">
        <f t="shared" si="10"/>
        <v>1.8202399841456845E-8</v>
      </c>
      <c r="U32" s="9">
        <f t="shared" si="11"/>
        <v>1.4904895094689354E-4</v>
      </c>
      <c r="V32" s="102">
        <f t="shared" si="13"/>
        <v>1.2212363606599552E-4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3.4646398062685488</v>
      </c>
      <c r="J33" s="94">
        <f t="shared" si="2"/>
        <v>4.5907868934066363</v>
      </c>
      <c r="K33" s="95">
        <f t="shared" si="3"/>
        <v>3.3915897545187351E-4</v>
      </c>
      <c r="L33" s="95">
        <f t="shared" si="4"/>
        <v>6.2008679250310974E-3</v>
      </c>
      <c r="M33" s="95">
        <f t="shared" si="5"/>
        <v>0.99379913207496895</v>
      </c>
      <c r="N33" s="95">
        <f t="shared" si="6"/>
        <v>3.2389693488533125E-3</v>
      </c>
      <c r="O33" s="40">
        <f t="shared" si="7"/>
        <v>3.4108406509762333E-10</v>
      </c>
      <c r="P33" s="40">
        <f t="shared" si="8"/>
        <v>1.3293774992991673E-5</v>
      </c>
      <c r="Q33" s="40">
        <f t="shared" si="9"/>
        <v>1.1573145956724202E-3</v>
      </c>
      <c r="R33" s="9">
        <f t="shared" si="14"/>
        <v>1.4999999999999999E-4</v>
      </c>
      <c r="S33" s="9">
        <f t="shared" si="12"/>
        <v>9.3013018875466456E-7</v>
      </c>
      <c r="T33" s="9">
        <f t="shared" si="10"/>
        <v>5.087384631778102E-8</v>
      </c>
      <c r="U33" s="9">
        <f t="shared" si="11"/>
        <v>1.4906986981124532E-4</v>
      </c>
      <c r="V33" s="102">
        <f t="shared" si="13"/>
        <v>3.4127517775522513E-4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3.4579829545014036</v>
      </c>
      <c r="J34" s="94">
        <f t="shared" si="2"/>
        <v>4.5907058404500249</v>
      </c>
      <c r="K34" s="95">
        <f t="shared" si="3"/>
        <v>3.4436506147071839E-4</v>
      </c>
      <c r="L34" s="95">
        <f t="shared" si="4"/>
        <v>6.2948762391394518E-3</v>
      </c>
      <c r="M34" s="95">
        <f t="shared" si="5"/>
        <v>0.99370512376086051</v>
      </c>
      <c r="N34" s="95">
        <f t="shared" si="6"/>
        <v>3.5836088957134351E-3</v>
      </c>
      <c r="O34" s="40">
        <f t="shared" si="7"/>
        <v>3.4631970121838256E-10</v>
      </c>
      <c r="P34" s="40">
        <f t="shared" si="8"/>
        <v>1.3495315388680828E-5</v>
      </c>
      <c r="Q34" s="40">
        <f t="shared" si="9"/>
        <v>1.2804575880469406E-3</v>
      </c>
      <c r="R34" s="9">
        <f t="shared" si="14"/>
        <v>1.4999999999999999E-4</v>
      </c>
      <c r="S34" s="9">
        <f t="shared" si="12"/>
        <v>9.4423143587091768E-7</v>
      </c>
      <c r="T34" s="9">
        <f t="shared" si="10"/>
        <v>5.1654759220607753E-8</v>
      </c>
      <c r="U34" s="9">
        <f t="shared" si="11"/>
        <v>1.4905576856412908E-4</v>
      </c>
      <c r="V34" s="102">
        <f t="shared" si="13"/>
        <v>3.4654652898176197E-4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0.62193942428688143</v>
      </c>
      <c r="J35" s="94">
        <f t="shared" si="2"/>
        <v>1.6068902660030961</v>
      </c>
      <c r="K35" s="95">
        <f t="shared" si="3"/>
        <v>0.23651124901920767</v>
      </c>
      <c r="L35" s="95">
        <f t="shared" si="4"/>
        <v>4.4874987516134186E-3</v>
      </c>
      <c r="M35" s="95">
        <f t="shared" si="5"/>
        <v>0.99551250124838653</v>
      </c>
      <c r="N35" s="95">
        <f t="shared" si="6"/>
        <v>1.1839771616871757E-3</v>
      </c>
      <c r="O35" s="40">
        <f t="shared" si="7"/>
        <v>2.3785370311756557E-7</v>
      </c>
      <c r="P35" s="40">
        <f t="shared" si="8"/>
        <v>9.6205562522089359E-6</v>
      </c>
      <c r="Q35" s="40">
        <f t="shared" si="9"/>
        <v>4.2304631584379627E-4</v>
      </c>
      <c r="R35" s="9">
        <f t="shared" si="14"/>
        <v>1.4999999999999999E-4</v>
      </c>
      <c r="S35" s="9">
        <f t="shared" si="12"/>
        <v>6.7312481274201269E-7</v>
      </c>
      <c r="T35" s="9">
        <f t="shared" si="10"/>
        <v>3.5476687352881146E-5</v>
      </c>
      <c r="U35" s="9">
        <f t="shared" si="11"/>
        <v>1.4932687518725798E-4</v>
      </c>
      <c r="V35" s="102">
        <f t="shared" si="13"/>
        <v>0.23757737720281691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6.3597288158186656</v>
      </c>
      <c r="J36" s="94">
        <f t="shared" si="2"/>
        <v>7.5490435948305716</v>
      </c>
      <c r="K36" s="95">
        <f t="shared" si="3"/>
        <v>4.3141267093864413E-7</v>
      </c>
      <c r="L36" s="95">
        <f t="shared" si="4"/>
        <v>7.1647124417281291E-3</v>
      </c>
      <c r="M36" s="95">
        <f t="shared" si="5"/>
        <v>0.99283528755827188</v>
      </c>
      <c r="N36" s="95">
        <f t="shared" si="6"/>
        <v>6.7654613927216967E-3</v>
      </c>
      <c r="O36" s="40">
        <f t="shared" si="7"/>
        <v>4.3386139889804056E-13</v>
      </c>
      <c r="P36" s="40">
        <f t="shared" si="8"/>
        <v>1.5360119944716304E-5</v>
      </c>
      <c r="Q36" s="40">
        <f t="shared" si="9"/>
        <v>2.4173637885851066E-3</v>
      </c>
      <c r="R36" s="9">
        <f t="shared" si="14"/>
        <v>1.4999999999999999E-4</v>
      </c>
      <c r="S36" s="9">
        <f t="shared" si="12"/>
        <v>1.0747068662592192E-6</v>
      </c>
      <c r="T36" s="9">
        <f t="shared" si="10"/>
        <v>6.4711900640796619E-11</v>
      </c>
      <c r="U36" s="9">
        <f t="shared" si="11"/>
        <v>1.4892529313374078E-4</v>
      </c>
      <c r="V36" s="102">
        <f t="shared" si="13"/>
        <v>4.3452592423425871E-7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2.0466328175843658</v>
      </c>
      <c r="J37" s="94">
        <f t="shared" si="2"/>
        <v>3.1695845526459681</v>
      </c>
      <c r="K37" s="95">
        <f t="shared" si="3"/>
        <v>8.8803492256213871E-3</v>
      </c>
      <c r="L37" s="95">
        <f t="shared" si="4"/>
        <v>6.1556918448346411E-3</v>
      </c>
      <c r="M37" s="95">
        <f t="shared" si="5"/>
        <v>0.99384430815516533</v>
      </c>
      <c r="N37" s="95">
        <f t="shared" si="6"/>
        <v>3.2261798069878091E-3</v>
      </c>
      <c r="O37" s="40">
        <f t="shared" si="7"/>
        <v>8.9307546979286126E-9</v>
      </c>
      <c r="P37" s="40">
        <f t="shared" si="8"/>
        <v>1.3196923930776222E-5</v>
      </c>
      <c r="Q37" s="40">
        <f t="shared" si="9"/>
        <v>1.1527447705587152E-3</v>
      </c>
      <c r="R37" s="9">
        <f t="shared" si="14"/>
        <v>1.4999999999999999E-4</v>
      </c>
      <c r="S37" s="9">
        <f t="shared" si="12"/>
        <v>9.233537767251961E-7</v>
      </c>
      <c r="T37" s="9">
        <f t="shared" si="10"/>
        <v>1.332052383843208E-6</v>
      </c>
      <c r="U37" s="9">
        <f t="shared" si="11"/>
        <v>1.4907664622327478E-4</v>
      </c>
      <c r="V37" s="102">
        <f t="shared" si="13"/>
        <v>8.9353525021495916E-3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0.75425121724867172</v>
      </c>
      <c r="J38" s="94">
        <f t="shared" si="2"/>
        <v>1.7842930933369672</v>
      </c>
      <c r="K38" s="95">
        <f t="shared" si="3"/>
        <v>0.1743118200193734</v>
      </c>
      <c r="L38" s="95">
        <f t="shared" si="4"/>
        <v>4.9760209935236534E-3</v>
      </c>
      <c r="M38" s="95">
        <f t="shared" si="5"/>
        <v>0.99502397900647632</v>
      </c>
      <c r="N38" s="95">
        <f t="shared" si="6"/>
        <v>1.8618271581604025E-3</v>
      </c>
      <c r="O38" s="40">
        <f t="shared" si="7"/>
        <v>1.7530122588546912E-7</v>
      </c>
      <c r="P38" s="40">
        <f t="shared" si="8"/>
        <v>1.0667878149972777E-5</v>
      </c>
      <c r="Q38" s="40">
        <f t="shared" si="9"/>
        <v>6.6524857529793213E-4</v>
      </c>
      <c r="R38" s="9">
        <f t="shared" si="14"/>
        <v>1.4999999999999999E-4</v>
      </c>
      <c r="S38" s="9">
        <f t="shared" si="12"/>
        <v>7.4640314902854792E-7</v>
      </c>
      <c r="T38" s="9">
        <f t="shared" si="10"/>
        <v>2.6146773002906009E-5</v>
      </c>
      <c r="U38" s="9">
        <f t="shared" si="11"/>
        <v>1.4925359685097144E-4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-1.6810051832329899E-4</v>
      </c>
      <c r="J39" s="94">
        <f t="shared" si="2"/>
        <v>-2.6137826958623372E-3</v>
      </c>
      <c r="K39" s="95">
        <f t="shared" si="3"/>
        <v>0.99474352845375635</v>
      </c>
      <c r="L39" s="95">
        <f t="shared" si="4"/>
        <v>4.6383083090336075E-4</v>
      </c>
      <c r="M39" s="95">
        <f t="shared" si="5"/>
        <v>0.9995361691690966</v>
      </c>
      <c r="N39" s="95">
        <f t="shared" si="6"/>
        <v>1.3561622335385016E-7</v>
      </c>
      <c r="O39" s="40">
        <f t="shared" si="7"/>
        <v>1.0003897610626726E-6</v>
      </c>
      <c r="P39" s="40">
        <f t="shared" si="8"/>
        <v>9.9438703990953303E-7</v>
      </c>
      <c r="Q39" s="40">
        <f t="shared" si="9"/>
        <v>4.8456968187410213E-8</v>
      </c>
      <c r="R39" s="9">
        <f t="shared" si="14"/>
        <v>1.4999999999999999E-4</v>
      </c>
      <c r="S39" s="9">
        <f t="shared" si="12"/>
        <v>6.9574624635504109E-8</v>
      </c>
      <c r="T39" s="9">
        <f t="shared" si="10"/>
        <v>1.4921152926806344E-4</v>
      </c>
      <c r="U39" s="9">
        <f t="shared" si="11"/>
        <v>1.4993042537536449E-4</v>
      </c>
      <c r="V39" s="102">
        <f t="shared" si="13"/>
        <v>0.99520513527857191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1.0570731161685156</v>
      </c>
      <c r="J40" s="94">
        <f t="shared" si="2"/>
        <v>2.1124941218662863</v>
      </c>
      <c r="K40" s="95">
        <f t="shared" si="3"/>
        <v>8.6771061033924693E-2</v>
      </c>
      <c r="L40" s="95">
        <f t="shared" si="4"/>
        <v>5.2738928631966579E-3</v>
      </c>
      <c r="M40" s="95">
        <f t="shared" si="5"/>
        <v>0.99472610713680332</v>
      </c>
      <c r="N40" s="95">
        <f t="shared" si="6"/>
        <v>1.3876292044787571E-3</v>
      </c>
      <c r="O40" s="40">
        <f t="shared" si="7"/>
        <v>8.7263579537746028E-8</v>
      </c>
      <c r="P40" s="40">
        <f t="shared" si="8"/>
        <v>1.1306472885427461E-5</v>
      </c>
      <c r="Q40" s="40">
        <f t="shared" si="9"/>
        <v>4.9581313027649294E-4</v>
      </c>
      <c r="R40" s="9">
        <f t="shared" si="14"/>
        <v>1.4999999999999999E-4</v>
      </c>
      <c r="S40" s="9">
        <f t="shared" si="12"/>
        <v>7.9108392947949865E-7</v>
      </c>
      <c r="T40" s="9">
        <f t="shared" si="10"/>
        <v>1.3015659155088703E-5</v>
      </c>
      <c r="U40" s="9">
        <f t="shared" si="11"/>
        <v>1.4920891607052048E-4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1.1393826628828596</v>
      </c>
      <c r="J41" s="94">
        <f t="shared" si="2"/>
        <v>2.1997454188827374</v>
      </c>
      <c r="K41" s="95">
        <f t="shared" si="3"/>
        <v>7.1785900226731411E-2</v>
      </c>
      <c r="L41" s="95">
        <f t="shared" si="4"/>
        <v>5.3339242413173865E-3</v>
      </c>
      <c r="M41" s="95">
        <f t="shared" si="5"/>
        <v>0.9946660757586826</v>
      </c>
      <c r="N41" s="95">
        <f t="shared" si="6"/>
        <v>1.3395954832136076E-3</v>
      </c>
      <c r="O41" s="40">
        <f t="shared" si="7"/>
        <v>7.2193361928292434E-8</v>
      </c>
      <c r="P41" s="40">
        <f t="shared" si="8"/>
        <v>1.1435171584207147E-5</v>
      </c>
      <c r="Q41" s="40">
        <f t="shared" si="9"/>
        <v>4.78650224204443E-4</v>
      </c>
      <c r="R41" s="9">
        <f t="shared" si="14"/>
        <v>1.4999999999999999E-4</v>
      </c>
      <c r="S41" s="9">
        <f t="shared" si="12"/>
        <v>8.0008863619760796E-7</v>
      </c>
      <c r="T41" s="9">
        <f t="shared" si="10"/>
        <v>1.0767885034009711E-5</v>
      </c>
      <c r="U41" s="9">
        <f t="shared" si="11"/>
        <v>1.4919991136380238E-4</v>
      </c>
      <c r="V41" s="102">
        <f t="shared" si="13"/>
        <v>7.2170854094904799E-2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2.466507651261447</v>
      </c>
      <c r="J42" s="94">
        <f t="shared" si="2"/>
        <v>3.6085862266525122</v>
      </c>
      <c r="K42" s="95">
        <f t="shared" si="3"/>
        <v>3.3762520270061835E-3</v>
      </c>
      <c r="L42" s="95">
        <f t="shared" si="4"/>
        <v>6.431071791582213E-3</v>
      </c>
      <c r="M42" s="95">
        <f t="shared" si="5"/>
        <v>0.9935689282084178</v>
      </c>
      <c r="N42" s="95">
        <f t="shared" si="6"/>
        <v>4.137008197696598E-3</v>
      </c>
      <c r="O42" s="40">
        <f t="shared" si="7"/>
        <v>3.39541586546858E-9</v>
      </c>
      <c r="P42" s="40">
        <f t="shared" si="8"/>
        <v>1.3787299196610613E-5</v>
      </c>
      <c r="Q42" s="40">
        <f t="shared" si="9"/>
        <v>1.4781924291150672E-3</v>
      </c>
      <c r="R42" s="9">
        <f t="shared" si="14"/>
        <v>1.4999999999999999E-4</v>
      </c>
      <c r="S42" s="9">
        <f t="shared" si="12"/>
        <v>9.6466076873733185E-7</v>
      </c>
      <c r="T42" s="9">
        <f t="shared" si="10"/>
        <v>5.0643780405092749E-7</v>
      </c>
      <c r="U42" s="9">
        <f t="shared" si="11"/>
        <v>1.4903533923126265E-4</v>
      </c>
      <c r="V42" s="102">
        <f t="shared" si="13"/>
        <v>3.3981054873507052E-3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2.2273249528367836</v>
      </c>
      <c r="J43" s="94">
        <f t="shared" si="2"/>
        <v>3.3537898155867572</v>
      </c>
      <c r="K43" s="95">
        <f t="shared" si="3"/>
        <v>5.8575525959163729E-3</v>
      </c>
      <c r="L43" s="95">
        <f t="shared" si="4"/>
        <v>6.2053786284502737E-3</v>
      </c>
      <c r="M43" s="95">
        <f t="shared" si="5"/>
        <v>0.99379462137154972</v>
      </c>
      <c r="N43" s="95">
        <f t="shared" si="6"/>
        <v>3.3542136380563261E-3</v>
      </c>
      <c r="O43" s="40">
        <f t="shared" si="7"/>
        <v>5.8908004668795697E-9</v>
      </c>
      <c r="P43" s="40">
        <f t="shared" si="8"/>
        <v>1.3303445296736196E-5</v>
      </c>
      <c r="Q43" s="40">
        <f t="shared" si="9"/>
        <v>1.1984924777693159E-3</v>
      </c>
      <c r="R43" s="9">
        <f t="shared" si="14"/>
        <v>1.4999999999999999E-4</v>
      </c>
      <c r="S43" s="9">
        <f t="shared" si="12"/>
        <v>9.3080679426754099E-7</v>
      </c>
      <c r="T43" s="9">
        <f t="shared" si="10"/>
        <v>8.7863288938745587E-7</v>
      </c>
      <c r="U43" s="9">
        <f t="shared" si="11"/>
        <v>1.4906919320573244E-4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0.70532975413914467</v>
      </c>
      <c r="J44" s="94">
        <f t="shared" si="2"/>
        <v>1.7258889627774656</v>
      </c>
      <c r="K44" s="95">
        <f t="shared" si="3"/>
        <v>0.19511694056105722</v>
      </c>
      <c r="L44" s="95">
        <f t="shared" si="4"/>
        <v>4.8690721899819914E-3</v>
      </c>
      <c r="M44" s="95">
        <f t="shared" si="5"/>
        <v>0.995130927810018</v>
      </c>
      <c r="N44" s="95">
        <f t="shared" si="6"/>
        <v>1.84201219517967E-3</v>
      </c>
      <c r="O44" s="40">
        <f t="shared" si="7"/>
        <v>1.962244377207123E-7</v>
      </c>
      <c r="P44" s="40">
        <f t="shared" si="8"/>
        <v>1.0438595193579959E-5</v>
      </c>
      <c r="Q44" s="40">
        <f t="shared" si="9"/>
        <v>6.5816850031098328E-4</v>
      </c>
      <c r="R44" s="9">
        <f t="shared" si="14"/>
        <v>1.4999999999999999E-4</v>
      </c>
      <c r="S44" s="9">
        <f t="shared" si="12"/>
        <v>7.3036082849729868E-7</v>
      </c>
      <c r="T44" s="9">
        <f t="shared" si="10"/>
        <v>2.9267541084158581E-5</v>
      </c>
      <c r="U44" s="9">
        <f t="shared" si="11"/>
        <v>1.492696391715027E-4</v>
      </c>
      <c r="V44" s="102">
        <f t="shared" si="13"/>
        <v>0.19607162746961401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2.3272580136650043</v>
      </c>
      <c r="J45" s="94">
        <f t="shared" si="2"/>
        <v>3.4358375366577767</v>
      </c>
      <c r="K45" s="95">
        <f t="shared" si="3"/>
        <v>4.6547019848340362E-3</v>
      </c>
      <c r="L45" s="95">
        <f t="shared" si="4"/>
        <v>5.9565074665872695E-3</v>
      </c>
      <c r="M45" s="95">
        <f t="shared" si="5"/>
        <v>0.99404349253341273</v>
      </c>
      <c r="N45" s="95">
        <f t="shared" si="6"/>
        <v>2.4205686501052913E-3</v>
      </c>
      <c r="O45" s="40">
        <f t="shared" si="7"/>
        <v>4.6811223930898299E-9</v>
      </c>
      <c r="P45" s="40">
        <f t="shared" si="8"/>
        <v>1.2769901078725015E-5</v>
      </c>
      <c r="Q45" s="40">
        <f t="shared" si="9"/>
        <v>8.6489223171738315E-4</v>
      </c>
      <c r="R45" s="9">
        <f t="shared" si="14"/>
        <v>1.4999999999999999E-4</v>
      </c>
      <c r="S45" s="9">
        <f t="shared" si="12"/>
        <v>8.9347611998809038E-7</v>
      </c>
      <c r="T45" s="9">
        <f t="shared" si="10"/>
        <v>6.982052977251054E-7</v>
      </c>
      <c r="U45" s="9">
        <f t="shared" si="11"/>
        <v>1.4910652388001189E-4</v>
      </c>
      <c r="V45" s="102">
        <f t="shared" si="13"/>
        <v>4.6825938903046318E-3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0.64458903464573347</v>
      </c>
      <c r="J46" s="94">
        <f t="shared" si="2"/>
        <v>1.6486841643977075</v>
      </c>
      <c r="K46" s="95">
        <f t="shared" si="3"/>
        <v>0.22444729127356422</v>
      </c>
      <c r="L46" s="95">
        <f t="shared" si="4"/>
        <v>4.6887902584207015E-3</v>
      </c>
      <c r="M46" s="95">
        <f t="shared" si="5"/>
        <v>0.99531120974157927</v>
      </c>
      <c r="N46" s="95">
        <f t="shared" si="6"/>
        <v>1.7059248362379109E-3</v>
      </c>
      <c r="O46" s="40">
        <f t="shared" si="7"/>
        <v>2.2572126951893324E-7</v>
      </c>
      <c r="P46" s="40">
        <f t="shared" si="8"/>
        <v>1.0052096486874205E-5</v>
      </c>
      <c r="Q46" s="40">
        <f t="shared" si="9"/>
        <v>6.095431908910078E-4</v>
      </c>
      <c r="R46" s="9">
        <f t="shared" si="14"/>
        <v>1.4999999999999999E-4</v>
      </c>
      <c r="S46" s="9">
        <f t="shared" si="12"/>
        <v>7.0331853876310513E-7</v>
      </c>
      <c r="T46" s="9">
        <f t="shared" si="10"/>
        <v>3.3667093691034628E-5</v>
      </c>
      <c r="U46" s="9">
        <f t="shared" si="11"/>
        <v>1.4929668146123687E-4</v>
      </c>
      <c r="V46" s="102">
        <f t="shared" si="13"/>
        <v>0.22550463521036732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1.6299602750984028</v>
      </c>
      <c r="J47" s="94">
        <f t="shared" si="2"/>
        <v>2.7061471704995403</v>
      </c>
      <c r="K47" s="95">
        <f t="shared" si="3"/>
        <v>2.3193996429727286E-2</v>
      </c>
      <c r="L47" s="95">
        <f t="shared" si="4"/>
        <v>5.5307627556843353E-3</v>
      </c>
      <c r="M47" s="95">
        <f t="shared" si="5"/>
        <v>0.99446923724431568</v>
      </c>
      <c r="N47" s="95">
        <f t="shared" si="6"/>
        <v>1.1918157201695036E-3</v>
      </c>
      <c r="O47" s="40">
        <f t="shared" si="7"/>
        <v>2.3325647146949016E-8</v>
      </c>
      <c r="P47" s="40">
        <f t="shared" si="8"/>
        <v>1.1857165239222121E-5</v>
      </c>
      <c r="Q47" s="40">
        <f t="shared" si="9"/>
        <v>4.2584710744246988E-4</v>
      </c>
      <c r="R47" s="9">
        <f t="shared" si="14"/>
        <v>1.4999999999999999E-4</v>
      </c>
      <c r="S47" s="9">
        <f t="shared" si="12"/>
        <v>8.2961441335265025E-7</v>
      </c>
      <c r="T47" s="9">
        <f t="shared" si="10"/>
        <v>3.4790994644590927E-6</v>
      </c>
      <c r="U47" s="9">
        <f t="shared" si="11"/>
        <v>1.4917038558664734E-4</v>
      </c>
      <c r="V47" s="102">
        <f t="shared" si="13"/>
        <v>2.3322990356140213E-2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0.90446876984667557</v>
      </c>
      <c r="K48" s="95">
        <f t="shared" ref="K48:K50" si="17">IF(D48=0,"",1/(1+10^D48*$J$15/$J$14+10^E48*$J$16/$J$14+10^J48*$J$19/$J$14))</f>
        <v>0.62773846679323686</v>
      </c>
      <c r="L48" s="95">
        <f t="shared" ref="L48:L50" si="18">IF(D48=0,"",1/(1+10^I48/10^J48*$J$13/$J$19))</f>
        <v>2.3632506462609808E-3</v>
      </c>
      <c r="M48" s="95">
        <f t="shared" ref="M48:M92" si="19">IF(D48=0,"",1-L48)</f>
        <v>0.99763674935373903</v>
      </c>
      <c r="N48" s="95">
        <f t="shared" ref="N48:N50" si="20">IF(D48=0,"",1/(1/10^E48*$J$20/$J$22+10^D48/10^E48*$J$21/$J$22+10^I48/10^E48*$J$13/$J$22+1))</f>
        <v>3.9669275231343115E-4</v>
      </c>
      <c r="O48" s="40">
        <f t="shared" ref="O48:O92" si="21">IF(D48=0,"",F48*K48*$J$7/$J$14)</f>
        <v>6.3130155345798597E-7</v>
      </c>
      <c r="P48" s="40">
        <f t="shared" ref="P48:P50" si="22">IF(D48=0,"",O48*10^J48)</f>
        <v>5.0664717783483605E-6</v>
      </c>
      <c r="Q48" s="40">
        <f t="shared" ref="Q48:Q50" si="23">IF(D48=0,"",F48*N48*$J$7/$J$22)</f>
        <v>1.417420984278014E-4</v>
      </c>
      <c r="R48" s="9">
        <f t="shared" si="14"/>
        <v>1.4999999999999999E-4</v>
      </c>
      <c r="S48" s="9">
        <f t="shared" si="12"/>
        <v>3.544875969391471E-7</v>
      </c>
      <c r="T48" s="9">
        <f t="shared" si="10"/>
        <v>9.4160770018985525E-5</v>
      </c>
      <c r="U48" s="9">
        <f t="shared" si="11"/>
        <v>1.4964551240306085E-4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6.5352597387686409E-2</v>
      </c>
      <c r="J49" s="94">
        <f t="shared" si="16"/>
        <v>0.47366304909312135</v>
      </c>
      <c r="K49" s="95">
        <f t="shared" si="17"/>
        <v>0.85481729191755085</v>
      </c>
      <c r="L49" s="95">
        <f t="shared" si="18"/>
        <v>1.193434589956438E-3</v>
      </c>
      <c r="M49" s="95">
        <f t="shared" si="19"/>
        <v>0.99880656541004353</v>
      </c>
      <c r="N49" s="95">
        <f t="shared" si="20"/>
        <v>1.7119805345076E-4</v>
      </c>
      <c r="O49" s="40">
        <f t="shared" si="21"/>
        <v>8.5966929359459892E-7</v>
      </c>
      <c r="P49" s="40">
        <f t="shared" si="22"/>
        <v>2.5585532702108943E-6</v>
      </c>
      <c r="Q49" s="40">
        <f t="shared" si="23"/>
        <v>6.1170694955608453E-5</v>
      </c>
      <c r="R49" s="9">
        <f t="shared" si="14"/>
        <v>1.4999999999999999E-4</v>
      </c>
      <c r="S49" s="9">
        <f t="shared" si="12"/>
        <v>1.7901518849346568E-7</v>
      </c>
      <c r="T49" s="9">
        <f t="shared" si="10"/>
        <v>1.2822259378763261E-4</v>
      </c>
      <c r="U49" s="9">
        <f t="shared" si="11"/>
        <v>1.4982098481150651E-4</v>
      </c>
      <c r="V49" s="102">
        <f t="shared" si="13"/>
        <v>0.85583867940097058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3.7217650281818146E-4</v>
      </c>
      <c r="J57" s="54">
        <f t="shared" si="25"/>
        <v>4.393026591181153E-3</v>
      </c>
      <c r="K57" s="55">
        <f t="shared" si="26"/>
        <v>0.99349989052466336</v>
      </c>
      <c r="L57" s="55">
        <f t="shared" si="27"/>
        <v>4.707855488371715E-4</v>
      </c>
      <c r="M57" s="55">
        <f t="shared" si="28"/>
        <v>0.99952921445116283</v>
      </c>
      <c r="N57" s="55">
        <f t="shared" si="29"/>
        <v>3.3790712333961248E-6</v>
      </c>
      <c r="O57" s="56">
        <f t="shared" si="30"/>
        <v>9.9913906415925313E-7</v>
      </c>
      <c r="P57" s="56">
        <f t="shared" si="31"/>
        <v>1.0092969616284901E-6</v>
      </c>
      <c r="Q57" s="56">
        <f t="shared" si="32"/>
        <v>1.2073743333232293E-6</v>
      </c>
      <c r="R57" s="9">
        <f t="shared" ref="R57:R58" si="33">F57*$C$14</f>
        <v>1.4999999999999999E-4</v>
      </c>
      <c r="S57" s="9">
        <f t="shared" ref="S57:S58" si="34">$R57*L57</f>
        <v>7.0617832325575712E-8</v>
      </c>
      <c r="T57" s="9">
        <f t="shared" ref="T57:T58" si="35">R57*K57</f>
        <v>1.4902498357869949E-4</v>
      </c>
      <c r="U57" s="9">
        <f t="shared" ref="U57:U58" si="36">$R57*M57</f>
        <v>1.4992938216767441E-4</v>
      </c>
      <c r="V57" s="102">
        <f t="shared" ref="V57:V58" si="37">K57/M57</f>
        <v>0.9939678362179637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0.27242732253974722</v>
      </c>
      <c r="J58" s="54">
        <f t="shared" si="25"/>
        <v>1.0657207712099641</v>
      </c>
      <c r="K58" s="55">
        <f t="shared" si="26"/>
        <v>0.52973642537918586</v>
      </c>
      <c r="L58" s="55">
        <f t="shared" si="27"/>
        <v>2.8909653139068759E-3</v>
      </c>
      <c r="M58" s="55">
        <f t="shared" si="28"/>
        <v>0.99710903468609313</v>
      </c>
      <c r="N58" s="55">
        <f t="shared" si="29"/>
        <v>5.7775320077588439E-4</v>
      </c>
      <c r="O58" s="56">
        <f t="shared" si="30"/>
        <v>5.3274324572387908E-7</v>
      </c>
      <c r="P58" s="56">
        <f t="shared" si="31"/>
        <v>6.1978166379714954E-6</v>
      </c>
      <c r="Q58" s="56">
        <f t="shared" si="32"/>
        <v>2.0643672104865939E-4</v>
      </c>
      <c r="R58" s="9">
        <f t="shared" si="33"/>
        <v>1.4999999999999999E-4</v>
      </c>
      <c r="S58" s="9">
        <f t="shared" si="34"/>
        <v>4.3364479708603133E-7</v>
      </c>
      <c r="T58" s="9">
        <f t="shared" si="35"/>
        <v>7.9460463806877875E-5</v>
      </c>
      <c r="U58" s="9">
        <f t="shared" si="36"/>
        <v>1.4956635520291397E-4</v>
      </c>
      <c r="V58" s="102">
        <f t="shared" si="37"/>
        <v>0.53127231521471063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0.35062624883359406</v>
      </c>
      <c r="J60" s="54">
        <f t="shared" si="25"/>
        <v>1.1996698987962189</v>
      </c>
      <c r="K60" s="55">
        <f t="shared" si="26"/>
        <v>0.44227151644632567</v>
      </c>
      <c r="L60" s="55">
        <f t="shared" si="27"/>
        <v>3.2856488164438018E-3</v>
      </c>
      <c r="M60" s="55">
        <f t="shared" si="28"/>
        <v>0.99671435118355622</v>
      </c>
      <c r="N60" s="55">
        <f t="shared" si="29"/>
        <v>4.597328042992996E-4</v>
      </c>
      <c r="O60" s="56">
        <f t="shared" si="30"/>
        <v>4.4478187995885408E-7</v>
      </c>
      <c r="P60" s="56">
        <f t="shared" si="31"/>
        <v>7.0439616840531599E-6</v>
      </c>
      <c r="Q60" s="56">
        <f t="shared" si="32"/>
        <v>1.642669093837997E-4</v>
      </c>
      <c r="R60" s="9">
        <f t="shared" ref="R60:R65" si="38">F60*$C$14</f>
        <v>1.4999999999999999E-4</v>
      </c>
      <c r="S60" s="9">
        <f t="shared" ref="S60:S93" si="39">$R60*L60</f>
        <v>4.928473224665702E-7</v>
      </c>
      <c r="T60" s="9">
        <f t="shared" ref="T60:T93" si="40">R60*K60</f>
        <v>6.6340727466948841E-5</v>
      </c>
      <c r="U60" s="9">
        <f t="shared" ref="U60:U93" si="41">$R60*M60</f>
        <v>1.4950715267753341E-4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1.0599296125914559</v>
      </c>
      <c r="J61" s="54">
        <f t="shared" si="25"/>
        <v>2.1072920523713807</v>
      </c>
      <c r="K61" s="55">
        <f t="shared" si="26"/>
        <v>8.6210571040785111E-2</v>
      </c>
      <c r="L61" s="55">
        <f t="shared" si="27"/>
        <v>5.1774372894872337E-3</v>
      </c>
      <c r="M61" s="55">
        <f t="shared" si="28"/>
        <v>0.99482256271051273</v>
      </c>
      <c r="N61" s="55">
        <f t="shared" si="29"/>
        <v>1.0240874531679349E-3</v>
      </c>
      <c r="O61" s="56">
        <f t="shared" si="30"/>
        <v>8.6699908164898296E-8</v>
      </c>
      <c r="P61" s="56">
        <f t="shared" si="31"/>
        <v>1.1099685914762132E-5</v>
      </c>
      <c r="Q61" s="56">
        <f t="shared" si="32"/>
        <v>3.6591620023074272E-4</v>
      </c>
      <c r="R61" s="9">
        <f t="shared" si="38"/>
        <v>1.4999999999999999E-4</v>
      </c>
      <c r="S61" s="9">
        <f t="shared" si="39"/>
        <v>7.7661559342308494E-7</v>
      </c>
      <c r="T61" s="9">
        <f t="shared" si="40"/>
        <v>1.2931585656117766E-5</v>
      </c>
      <c r="U61" s="9">
        <f t="shared" si="41"/>
        <v>1.4922338440657689E-4</v>
      </c>
      <c r="V61" s="102">
        <f t="shared" si="42"/>
        <v>8.6659243841327976E-2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0.76837016932652724</v>
      </c>
      <c r="J62" s="54">
        <f t="shared" si="25"/>
        <v>1.7852712062489944</v>
      </c>
      <c r="K62" s="55">
        <f t="shared" si="26"/>
        <v>0.16876108149953242</v>
      </c>
      <c r="L62" s="55">
        <f t="shared" si="27"/>
        <v>4.8284282174445954E-3</v>
      </c>
      <c r="M62" s="55">
        <f t="shared" si="28"/>
        <v>0.99517157178255544</v>
      </c>
      <c r="N62" s="55">
        <f t="shared" si="29"/>
        <v>1.2215994356639349E-3</v>
      </c>
      <c r="O62" s="56">
        <f t="shared" si="30"/>
        <v>1.697189809924397E-7</v>
      </c>
      <c r="P62" s="56">
        <f t="shared" si="31"/>
        <v>1.0351460322741577E-5</v>
      </c>
      <c r="Q62" s="56">
        <f t="shared" si="32"/>
        <v>4.3648911264306353E-4</v>
      </c>
      <c r="R62" s="9">
        <f t="shared" si="38"/>
        <v>1.4999999999999999E-4</v>
      </c>
      <c r="S62" s="9">
        <f t="shared" si="39"/>
        <v>7.2426423261668927E-7</v>
      </c>
      <c r="T62" s="9">
        <f t="shared" si="40"/>
        <v>2.5314162224929862E-5</v>
      </c>
      <c r="U62" s="9">
        <f t="shared" si="41"/>
        <v>1.4927573576738331E-4</v>
      </c>
      <c r="V62" s="102">
        <f t="shared" si="42"/>
        <v>0.16957988580526559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0.7211484450377651</v>
      </c>
      <c r="J63" s="54">
        <f t="shared" si="25"/>
        <v>1.7270814445025906</v>
      </c>
      <c r="K63" s="55">
        <f t="shared" si="26"/>
        <v>0.18816823988619769</v>
      </c>
      <c r="L63" s="55">
        <f t="shared" si="27"/>
        <v>4.7085809392279545E-3</v>
      </c>
      <c r="M63" s="55">
        <f t="shared" si="28"/>
        <v>0.99529141906077201</v>
      </c>
      <c r="N63" s="55">
        <f t="shared" si="29"/>
        <v>1.1295041894547613E-3</v>
      </c>
      <c r="O63" s="56">
        <f t="shared" si="30"/>
        <v>1.8923629574342885E-7</v>
      </c>
      <c r="P63" s="56">
        <f t="shared" si="31"/>
        <v>1.0094524879284843E-5</v>
      </c>
      <c r="Q63" s="56">
        <f t="shared" si="32"/>
        <v>4.0358260407494278E-4</v>
      </c>
      <c r="R63" s="9">
        <f t="shared" si="38"/>
        <v>1.4999999999999999E-4</v>
      </c>
      <c r="S63" s="9">
        <f t="shared" si="39"/>
        <v>7.0628714088419309E-7</v>
      </c>
      <c r="T63" s="9">
        <f t="shared" si="40"/>
        <v>2.8225235982929651E-5</v>
      </c>
      <c r="U63" s="9">
        <f t="shared" si="41"/>
        <v>1.4929371285911578E-4</v>
      </c>
      <c r="V63" s="102">
        <f t="shared" si="42"/>
        <v>0.18905843683829471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0.2338148544799136</v>
      </c>
      <c r="J64" s="54">
        <f t="shared" si="25"/>
        <v>0.99088006690224351</v>
      </c>
      <c r="K64" s="55">
        <f t="shared" si="26"/>
        <v>0.57912565107188207</v>
      </c>
      <c r="L64" s="55">
        <f t="shared" si="27"/>
        <v>2.6602052212043007E-3</v>
      </c>
      <c r="M64" s="55">
        <f t="shared" si="28"/>
        <v>0.99733979477879575</v>
      </c>
      <c r="N64" s="55">
        <f t="shared" si="29"/>
        <v>6.1547061807829646E-4</v>
      </c>
      <c r="O64" s="56">
        <f t="shared" si="30"/>
        <v>5.8241280805477255E-7</v>
      </c>
      <c r="P64" s="56">
        <f t="shared" si="31"/>
        <v>5.7030999649447043E-6</v>
      </c>
      <c r="Q64" s="56">
        <f t="shared" si="32"/>
        <v>2.1991351346430934E-4</v>
      </c>
      <c r="R64" s="9">
        <f t="shared" si="38"/>
        <v>1.4999999999999999E-4</v>
      </c>
      <c r="S64" s="9">
        <f t="shared" si="39"/>
        <v>3.9903078318064505E-7</v>
      </c>
      <c r="T64" s="9">
        <f t="shared" si="40"/>
        <v>8.6868847660782301E-5</v>
      </c>
      <c r="U64" s="9">
        <f t="shared" si="41"/>
        <v>1.4960096921681936E-4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1.2834731216469764</v>
      </c>
      <c r="J65" s="54">
        <f t="shared" si="25"/>
        <v>2.3638521417655052</v>
      </c>
      <c r="K65" s="55">
        <f t="shared" si="26"/>
        <v>5.1503820071904384E-2</v>
      </c>
      <c r="L65" s="55">
        <f t="shared" si="27"/>
        <v>5.5841086152494043E-3</v>
      </c>
      <c r="M65" s="55">
        <f t="shared" si="28"/>
        <v>0.99441589138475062</v>
      </c>
      <c r="N65" s="55">
        <f t="shared" si="29"/>
        <v>1.8937339526285521E-3</v>
      </c>
      <c r="O65" s="56">
        <f t="shared" si="30"/>
        <v>5.179615929307607E-8</v>
      </c>
      <c r="P65" s="56">
        <f t="shared" si="31"/>
        <v>1.197153114129255E-5</v>
      </c>
      <c r="Q65" s="56">
        <f t="shared" si="32"/>
        <v>6.7664917683563509E-4</v>
      </c>
      <c r="R65" s="9">
        <f t="shared" si="38"/>
        <v>1.4999999999999999E-4</v>
      </c>
      <c r="S65" s="9">
        <f t="shared" si="39"/>
        <v>8.3761629228741062E-7</v>
      </c>
      <c r="T65" s="9">
        <f t="shared" si="40"/>
        <v>7.7255730107856573E-6</v>
      </c>
      <c r="U65" s="9">
        <f t="shared" si="41"/>
        <v>1.4916238370771257E-4</v>
      </c>
      <c r="V65" s="102">
        <f t="shared" si="42"/>
        <v>5.179303802173147E-2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0.33491051106253611</v>
      </c>
      <c r="J68" s="54">
        <f t="shared" si="25"/>
        <v>1.1705366559659576</v>
      </c>
      <c r="K68" s="55">
        <f t="shared" si="26"/>
        <v>0.45861485891243975</v>
      </c>
      <c r="L68" s="55">
        <f t="shared" si="27"/>
        <v>3.1860093844334118E-3</v>
      </c>
      <c r="M68" s="55">
        <f t="shared" si="28"/>
        <v>0.99681399061556664</v>
      </c>
      <c r="N68" s="55">
        <f t="shared" si="29"/>
        <v>3.8689547029348477E-4</v>
      </c>
      <c r="O68" s="56">
        <f t="shared" si="30"/>
        <v>4.6121798835963505E-7</v>
      </c>
      <c r="P68" s="56">
        <f t="shared" si="31"/>
        <v>6.830348976027456E-6</v>
      </c>
      <c r="Q68" s="56">
        <f t="shared" si="32"/>
        <v>1.3824143625462676E-4</v>
      </c>
      <c r="R68" s="9">
        <f>F68*$C$14</f>
        <v>1.4999999999999999E-4</v>
      </c>
      <c r="S68" s="9">
        <f t="shared" si="39"/>
        <v>4.7790140766501174E-7</v>
      </c>
      <c r="T68" s="9">
        <f t="shared" si="40"/>
        <v>6.8792228836865962E-5</v>
      </c>
      <c r="U68" s="9">
        <f t="shared" si="41"/>
        <v>1.4952209859233498E-4</v>
      </c>
      <c r="V68" s="102">
        <f t="shared" si="42"/>
        <v>0.46008068027740001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2.1724337273682748</v>
      </c>
      <c r="J69" s="54">
        <f t="shared" si="25"/>
        <v>3.2762431023863434</v>
      </c>
      <c r="K69" s="55">
        <f t="shared" si="26"/>
        <v>6.6488177063802056E-3</v>
      </c>
      <c r="L69" s="55">
        <f t="shared" si="27"/>
        <v>5.891824491768425E-3</v>
      </c>
      <c r="M69" s="55">
        <f t="shared" si="28"/>
        <v>0.99410817550823161</v>
      </c>
      <c r="N69" s="55">
        <f t="shared" si="29"/>
        <v>2.2191719247608719E-3</v>
      </c>
      <c r="O69" s="56">
        <f t="shared" si="30"/>
        <v>6.686556852472322E-9</v>
      </c>
      <c r="P69" s="56">
        <f t="shared" si="31"/>
        <v>1.2631230021138401E-5</v>
      </c>
      <c r="Q69" s="56">
        <f t="shared" si="32"/>
        <v>7.9293126368777125E-4</v>
      </c>
      <c r="R69" s="9">
        <f>F69*$C$14</f>
        <v>1.4999999999999999E-4</v>
      </c>
      <c r="S69" s="9">
        <f t="shared" si="39"/>
        <v>8.8377367376526368E-7</v>
      </c>
      <c r="T69" s="9">
        <f t="shared" si="40"/>
        <v>9.9732265595703085E-7</v>
      </c>
      <c r="U69" s="9">
        <f t="shared" si="41"/>
        <v>1.4911622632623472E-4</v>
      </c>
      <c r="V69" s="102">
        <f t="shared" si="42"/>
        <v>6.6882235456730242E-3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6.2122287627494992E-2</v>
      </c>
      <c r="J70" s="54">
        <f t="shared" si="25"/>
        <v>0.44918987949517508</v>
      </c>
      <c r="K70" s="55">
        <f t="shared" si="26"/>
        <v>0.8612482475451263</v>
      </c>
      <c r="L70" s="55">
        <f t="shared" si="27"/>
        <v>1.136528953122645E-3</v>
      </c>
      <c r="M70" s="55">
        <f t="shared" si="28"/>
        <v>0.99886347104687734</v>
      </c>
      <c r="N70" s="55">
        <f t="shared" si="29"/>
        <v>7.7671353773631696E-5</v>
      </c>
      <c r="O70" s="56">
        <f t="shared" si="30"/>
        <v>8.6613675176813952E-7</v>
      </c>
      <c r="P70" s="56">
        <f t="shared" si="31"/>
        <v>2.4365557142159326E-6</v>
      </c>
      <c r="Q70" s="56">
        <f t="shared" si="32"/>
        <v>2.7752714430497395E-5</v>
      </c>
      <c r="R70" s="9">
        <f t="shared" ref="R70:R86" si="43">F70*$C$14</f>
        <v>1.4999999999999999E-4</v>
      </c>
      <c r="S70" s="9">
        <f t="shared" si="39"/>
        <v>1.7047934296839673E-7</v>
      </c>
      <c r="T70" s="9">
        <f t="shared" si="40"/>
        <v>1.2918723713176893E-4</v>
      </c>
      <c r="U70" s="9">
        <f t="shared" si="41"/>
        <v>1.498295206570316E-4</v>
      </c>
      <c r="V70" s="102">
        <f t="shared" si="42"/>
        <v>0.86222819485277513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0.96798410137931923</v>
      </c>
      <c r="K71" s="55">
        <f t="shared" ref="K71:K122" si="46">IF(D71=0,"",1/(1+10^D71*$J$15/$J$14+10^E71*$J$16/$J$14+10^J71*$J$19/$J$14))</f>
        <v>0.59047045454516034</v>
      </c>
      <c r="L71" s="55">
        <f t="shared" ref="L71:L122" si="47">IF(D71=0,"",1/(1+10^I71/10^J71*$J$13/$J$19))</f>
        <v>2.5730282007999589E-3</v>
      </c>
      <c r="M71" s="55">
        <f t="shared" si="19"/>
        <v>0.99742697179920004</v>
      </c>
      <c r="N71" s="55">
        <f t="shared" ref="N71:N122" si="48">IF(D71=0,"",1/(1/10^E71*$J$20/$J$22+10^D71/10^E71*$J$21/$J$22+10^I71/10^E71*$J$13/$J$22+1))</f>
        <v>4.9889562466739611E-4</v>
      </c>
      <c r="O71" s="56">
        <f t="shared" si="21"/>
        <v>5.9382200541198203E-7</v>
      </c>
      <c r="P71" s="56">
        <f t="shared" ref="P71:P122" si="49">IF(D71=0,"",O71*10^J71)</f>
        <v>5.5162048870578535E-6</v>
      </c>
      <c r="Q71" s="56">
        <f t="shared" ref="Q71:Q122" si="50">IF(D71=0,"",F71*N71*$J$7/$J$22)</f>
        <v>1.7826015808056217E-4</v>
      </c>
      <c r="R71" s="9">
        <f t="shared" si="43"/>
        <v>1.4999999999999999E-4</v>
      </c>
      <c r="S71" s="9">
        <f t="shared" si="39"/>
        <v>3.8595423011999379E-7</v>
      </c>
      <c r="T71" s="9">
        <f t="shared" si="40"/>
        <v>8.8570568181774037E-5</v>
      </c>
      <c r="U71" s="9">
        <f t="shared" si="41"/>
        <v>1.4961404576988E-4</v>
      </c>
      <c r="V71" s="102">
        <f t="shared" si="42"/>
        <v>0.59199367095522326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0.32073739190116707</v>
      </c>
      <c r="J72" s="54">
        <f t="shared" si="45"/>
        <v>1.1477703991585053</v>
      </c>
      <c r="K72" s="55">
        <f t="shared" si="46"/>
        <v>0.47385814536583876</v>
      </c>
      <c r="L72" s="55">
        <f t="shared" si="47"/>
        <v>3.1237841906363011E-3</v>
      </c>
      <c r="M72" s="55">
        <f t="shared" si="19"/>
        <v>0.9968762158093637</v>
      </c>
      <c r="N72" s="55">
        <f t="shared" si="48"/>
        <v>4.3150603476143447E-4</v>
      </c>
      <c r="O72" s="56">
        <f t="shared" si="21"/>
        <v>4.7654779675419619E-7</v>
      </c>
      <c r="P72" s="56">
        <f t="shared" si="49"/>
        <v>6.6969470498398519E-6</v>
      </c>
      <c r="Q72" s="56">
        <f t="shared" si="50"/>
        <v>1.5418121580154396E-4</v>
      </c>
      <c r="R72" s="9">
        <f t="shared" si="43"/>
        <v>1.4999999999999999E-4</v>
      </c>
      <c r="S72" s="9">
        <f t="shared" si="39"/>
        <v>4.6856762859544515E-7</v>
      </c>
      <c r="T72" s="9">
        <f t="shared" si="40"/>
        <v>7.1078721804875811E-5</v>
      </c>
      <c r="U72" s="9">
        <f t="shared" si="41"/>
        <v>1.4953143237140455E-4</v>
      </c>
      <c r="V72" s="102">
        <f t="shared" si="42"/>
        <v>0.47534301435922349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3.8293839195374848</v>
      </c>
      <c r="J73" s="54">
        <f t="shared" si="45"/>
        <v>4.9855182177090152</v>
      </c>
      <c r="K73" s="55">
        <f t="shared" si="46"/>
        <v>1.463749390812407E-4</v>
      </c>
      <c r="L73" s="55">
        <f t="shared" si="47"/>
        <v>6.641210076904251E-3</v>
      </c>
      <c r="M73" s="55">
        <f t="shared" si="19"/>
        <v>0.99335878992309579</v>
      </c>
      <c r="N73" s="55">
        <f t="shared" si="48"/>
        <v>4.8494027105623208E-3</v>
      </c>
      <c r="O73" s="56">
        <f t="shared" si="21"/>
        <v>1.4720577329179673E-10</v>
      </c>
      <c r="P73" s="56">
        <f t="shared" si="49"/>
        <v>1.4237805660586008E-5</v>
      </c>
      <c r="Q73" s="56">
        <f t="shared" si="50"/>
        <v>1.7327377732716366E-3</v>
      </c>
      <c r="R73" s="9">
        <f t="shared" si="43"/>
        <v>1.4999999999999999E-4</v>
      </c>
      <c r="S73" s="9">
        <f t="shared" si="39"/>
        <v>9.9618151153563764E-7</v>
      </c>
      <c r="T73" s="9">
        <f t="shared" si="40"/>
        <v>2.1956240862186104E-8</v>
      </c>
      <c r="U73" s="9">
        <f t="shared" si="41"/>
        <v>1.4900381848846435E-4</v>
      </c>
      <c r="V73" s="102">
        <f t="shared" si="42"/>
        <v>1.4735354492868868E-4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3.8037572032670899E-2</v>
      </c>
      <c r="J74" s="54">
        <f t="shared" si="45"/>
        <v>0.31969548815041149</v>
      </c>
      <c r="K74" s="55">
        <f t="shared" si="46"/>
        <v>0.91058281633649252</v>
      </c>
      <c r="L74" s="55">
        <f t="shared" si="47"/>
        <v>8.9182000847250859E-4</v>
      </c>
      <c r="M74" s="55">
        <f t="shared" si="19"/>
        <v>0.99910817999152746</v>
      </c>
      <c r="N74" s="55">
        <f t="shared" si="48"/>
        <v>6.3287650620929073E-5</v>
      </c>
      <c r="O74" s="56">
        <f t="shared" si="21"/>
        <v>9.1575134696137593E-7</v>
      </c>
      <c r="P74" s="56">
        <f t="shared" si="49"/>
        <v>1.9119346953067043E-6</v>
      </c>
      <c r="Q74" s="56">
        <f t="shared" si="50"/>
        <v>2.2613280306387675E-5</v>
      </c>
      <c r="R74" s="9">
        <f t="shared" si="43"/>
        <v>1.4999999999999999E-4</v>
      </c>
      <c r="S74" s="9">
        <f t="shared" si="39"/>
        <v>1.3377300127087629E-7</v>
      </c>
      <c r="T74" s="9">
        <f t="shared" si="40"/>
        <v>1.3658742245047385E-4</v>
      </c>
      <c r="U74" s="9">
        <f t="shared" si="41"/>
        <v>1.498662269987291E-4</v>
      </c>
      <c r="V74" s="102">
        <f t="shared" si="42"/>
        <v>0.91139561718353101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4.0258976380178252E-2</v>
      </c>
      <c r="J75" s="54">
        <f t="shared" si="45"/>
        <v>0.33245580247164863</v>
      </c>
      <c r="K75" s="55">
        <f t="shared" si="46"/>
        <v>0.90591725643888199</v>
      </c>
      <c r="L75" s="55">
        <f t="shared" si="47"/>
        <v>9.1370627618012231E-4</v>
      </c>
      <c r="M75" s="55">
        <f t="shared" si="19"/>
        <v>0.99908629372381985</v>
      </c>
      <c r="N75" s="55">
        <f t="shared" si="48"/>
        <v>6.0045305111444694E-5</v>
      </c>
      <c r="O75" s="56">
        <f t="shared" si="21"/>
        <v>9.1105930502525071E-7</v>
      </c>
      <c r="P75" s="56">
        <f t="shared" si="49"/>
        <v>1.9588557266621554E-6</v>
      </c>
      <c r="Q75" s="56">
        <f t="shared" si="50"/>
        <v>2.145475937636786E-5</v>
      </c>
      <c r="R75" s="9">
        <f t="shared" si="43"/>
        <v>1.4999999999999999E-4</v>
      </c>
      <c r="S75" s="9">
        <f t="shared" si="39"/>
        <v>1.3705594142701832E-7</v>
      </c>
      <c r="T75" s="9">
        <f t="shared" si="40"/>
        <v>1.3588758846583228E-4</v>
      </c>
      <c r="U75" s="9">
        <f t="shared" si="41"/>
        <v>1.4986294405857297E-4</v>
      </c>
      <c r="V75" s="102">
        <f t="shared" si="42"/>
        <v>0.90674575572678928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1.137117589232139</v>
      </c>
      <c r="J76" s="54">
        <f t="shared" si="45"/>
        <v>2.2010224889171557</v>
      </c>
      <c r="K76" s="55">
        <f t="shared" si="46"/>
        <v>7.2158127419925444E-2</v>
      </c>
      <c r="L76" s="55">
        <f t="shared" si="47"/>
        <v>5.3773711936208213E-3</v>
      </c>
      <c r="M76" s="55">
        <f t="shared" si="19"/>
        <v>0.99462262880637919</v>
      </c>
      <c r="N76" s="55">
        <f t="shared" si="48"/>
        <v>1.5054896626961569E-3</v>
      </c>
      <c r="O76" s="56">
        <f t="shared" si="21"/>
        <v>7.2567701908607987E-8</v>
      </c>
      <c r="P76" s="56">
        <f t="shared" si="49"/>
        <v>1.152831564323824E-5</v>
      </c>
      <c r="Q76" s="56">
        <f t="shared" si="50"/>
        <v>5.3792579447812432E-4</v>
      </c>
      <c r="R76" s="9">
        <f t="shared" si="43"/>
        <v>1.4999999999999999E-4</v>
      </c>
      <c r="S76" s="9">
        <f t="shared" si="39"/>
        <v>8.0660567904312318E-7</v>
      </c>
      <c r="T76" s="9">
        <f t="shared" si="40"/>
        <v>1.0823719112988816E-5</v>
      </c>
      <c r="U76" s="9">
        <f t="shared" si="41"/>
        <v>1.4919339432095687E-4</v>
      </c>
      <c r="V76" s="102">
        <f t="shared" si="42"/>
        <v>7.2548246269563105E-2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2.0958974367173925E-3</v>
      </c>
      <c r="J77" s="54">
        <f t="shared" si="45"/>
        <v>2.3780964476400657E-2</v>
      </c>
      <c r="K77" s="55">
        <f t="shared" si="46"/>
        <v>0.98954515156000233</v>
      </c>
      <c r="L77" s="55">
        <f t="shared" si="47"/>
        <v>4.9031914707493168E-4</v>
      </c>
      <c r="M77" s="55">
        <f t="shared" si="19"/>
        <v>0.99950968085292502</v>
      </c>
      <c r="N77" s="55">
        <f t="shared" si="48"/>
        <v>4.2291115327730376E-6</v>
      </c>
      <c r="O77" s="56">
        <f t="shared" si="21"/>
        <v>9.9516187782452782E-7</v>
      </c>
      <c r="P77" s="56">
        <f t="shared" si="49"/>
        <v>1.0511742057362136E-6</v>
      </c>
      <c r="Q77" s="56">
        <f t="shared" si="50"/>
        <v>1.5111018279124993E-6</v>
      </c>
      <c r="R77" s="9">
        <f t="shared" si="43"/>
        <v>1.4999999999999999E-4</v>
      </c>
      <c r="S77" s="9">
        <f t="shared" si="39"/>
        <v>7.3547872061239744E-8</v>
      </c>
      <c r="T77" s="9">
        <f t="shared" si="40"/>
        <v>1.4843177273400032E-4</v>
      </c>
      <c r="U77" s="9">
        <f t="shared" si="41"/>
        <v>1.4992645212793873E-4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0.56763004094837866</v>
      </c>
      <c r="K78" s="55">
        <f t="shared" si="46"/>
        <v>0.81165223294178346</v>
      </c>
      <c r="L78" s="55">
        <f t="shared" si="47"/>
        <v>1.4068969945437925E-3</v>
      </c>
      <c r="M78" s="55">
        <f t="shared" si="19"/>
        <v>0.99859310300545623</v>
      </c>
      <c r="N78" s="55">
        <f t="shared" si="48"/>
        <v>1.8142056340530067E-4</v>
      </c>
      <c r="O78" s="56">
        <f t="shared" si="21"/>
        <v>8.1625922677853565E-7</v>
      </c>
      <c r="P78" s="56">
        <f t="shared" si="49"/>
        <v>3.016186171016955E-6</v>
      </c>
      <c r="Q78" s="56">
        <f t="shared" si="50"/>
        <v>6.4823295119603491E-5</v>
      </c>
      <c r="R78" s="9">
        <f t="shared" si="43"/>
        <v>1.4999999999999999E-4</v>
      </c>
      <c r="S78" s="9">
        <f t="shared" si="39"/>
        <v>2.1103454918156886E-7</v>
      </c>
      <c r="T78" s="9">
        <f t="shared" si="40"/>
        <v>1.217478349412675E-4</v>
      </c>
      <c r="U78" s="9">
        <f t="shared" si="41"/>
        <v>1.4978896545081842E-4</v>
      </c>
      <c r="V78" s="102">
        <f t="shared" si="42"/>
        <v>0.81279575284363714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1.4448315719926914</v>
      </c>
      <c r="K79" s="55">
        <f t="shared" si="46"/>
        <v>0.30854209942159994</v>
      </c>
      <c r="L79" s="55">
        <f t="shared" si="47"/>
        <v>4.0309580215442484E-3</v>
      </c>
      <c r="M79" s="55">
        <f t="shared" si="19"/>
        <v>0.9959690419784557</v>
      </c>
      <c r="N79" s="55">
        <f t="shared" si="48"/>
        <v>7.9920456119819813E-4</v>
      </c>
      <c r="O79" s="56">
        <f t="shared" si="21"/>
        <v>3.1029340557554462E-7</v>
      </c>
      <c r="P79" s="56">
        <f t="shared" si="49"/>
        <v>8.6417981470449302E-6</v>
      </c>
      <c r="Q79" s="56">
        <f t="shared" si="50"/>
        <v>2.855634011881275E-4</v>
      </c>
      <c r="R79" s="9">
        <f t="shared" si="43"/>
        <v>1.4999999999999999E-4</v>
      </c>
      <c r="S79" s="9">
        <f t="shared" si="39"/>
        <v>6.0464370323163718E-7</v>
      </c>
      <c r="T79" s="9">
        <f t="shared" si="40"/>
        <v>4.6281314913239989E-5</v>
      </c>
      <c r="U79" s="9">
        <f t="shared" si="41"/>
        <v>1.4939535629676835E-4</v>
      </c>
      <c r="V79" s="102">
        <f t="shared" si="42"/>
        <v>0.30979085334689965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4.1025213383811421</v>
      </c>
      <c r="K80" s="55">
        <f t="shared" si="46"/>
        <v>1.0404757799149474E-3</v>
      </c>
      <c r="L80" s="55">
        <f t="shared" si="47"/>
        <v>6.1803858102068825E-3</v>
      </c>
      <c r="M80" s="55">
        <f t="shared" si="19"/>
        <v>0.99381961418979314</v>
      </c>
      <c r="N80" s="55">
        <f t="shared" si="48"/>
        <v>3.1764461614454819E-3</v>
      </c>
      <c r="O80" s="56">
        <f t="shared" si="21"/>
        <v>1.0463815919250794E-9</v>
      </c>
      <c r="P80" s="56">
        <f t="shared" si="49"/>
        <v>1.3249864264824949E-5</v>
      </c>
      <c r="Q80" s="56">
        <f t="shared" si="50"/>
        <v>1.1349744653526745E-3</v>
      </c>
      <c r="R80" s="9">
        <f t="shared" si="43"/>
        <v>1.4999999999999999E-4</v>
      </c>
      <c r="S80" s="9">
        <f t="shared" si="39"/>
        <v>9.2705787153103232E-7</v>
      </c>
      <c r="T80" s="9">
        <f t="shared" si="40"/>
        <v>1.560713669872421E-7</v>
      </c>
      <c r="U80" s="9">
        <f t="shared" si="41"/>
        <v>1.4907294212846895E-4</v>
      </c>
      <c r="V80" s="102">
        <f t="shared" si="42"/>
        <v>1.0469463120459648E-3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1.6388871729377372</v>
      </c>
      <c r="K81" s="55">
        <f t="shared" si="46"/>
        <v>0.22480723670314223</v>
      </c>
      <c r="L81" s="55">
        <f t="shared" si="47"/>
        <v>4.5915543928741033E-3</v>
      </c>
      <c r="M81" s="55">
        <f t="shared" si="19"/>
        <v>0.99540844560712594</v>
      </c>
      <c r="N81" s="55">
        <f t="shared" si="48"/>
        <v>1.355987889804562E-3</v>
      </c>
      <c r="O81" s="56">
        <f t="shared" si="21"/>
        <v>2.2608325802349872E-7</v>
      </c>
      <c r="P81" s="56">
        <f t="shared" si="49"/>
        <v>9.8436366819802378E-6</v>
      </c>
      <c r="Q81" s="56">
        <f t="shared" si="50"/>
        <v>4.8450738719754899E-4</v>
      </c>
      <c r="R81" s="9">
        <f t="shared" si="43"/>
        <v>1.4999999999999999E-4</v>
      </c>
      <c r="S81" s="9">
        <f t="shared" si="39"/>
        <v>6.8873315893111544E-7</v>
      </c>
      <c r="T81" s="9">
        <f t="shared" si="40"/>
        <v>3.3721085505471333E-5</v>
      </c>
      <c r="U81" s="9">
        <f t="shared" si="41"/>
        <v>1.4931126684106889E-4</v>
      </c>
      <c r="V81" s="102">
        <f t="shared" si="42"/>
        <v>0.2258442126900243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2.4029208557650041</v>
      </c>
      <c r="K82" s="55">
        <f t="shared" si="46"/>
        <v>4.8055964267770278E-2</v>
      </c>
      <c r="L82" s="55">
        <f t="shared" si="47"/>
        <v>5.7007293785592784E-3</v>
      </c>
      <c r="M82" s="55">
        <f t="shared" si="19"/>
        <v>0.99429927062144075</v>
      </c>
      <c r="N82" s="55">
        <f t="shared" si="48"/>
        <v>2.2594816548152158E-3</v>
      </c>
      <c r="O82" s="56">
        <f t="shared" si="21"/>
        <v>4.832873322252122E-8</v>
      </c>
      <c r="P82" s="56">
        <f t="shared" si="49"/>
        <v>1.2221549397719867E-5</v>
      </c>
      <c r="Q82" s="56">
        <f t="shared" si="50"/>
        <v>8.0733431413837931E-4</v>
      </c>
      <c r="R82" s="9">
        <f t="shared" si="43"/>
        <v>1.4999999999999999E-4</v>
      </c>
      <c r="S82" s="9">
        <f t="shared" si="39"/>
        <v>8.5510940678389172E-7</v>
      </c>
      <c r="T82" s="9">
        <f t="shared" si="40"/>
        <v>7.2083946401655411E-6</v>
      </c>
      <c r="U82" s="9">
        <f t="shared" si="41"/>
        <v>1.491448905932161E-4</v>
      </c>
      <c r="V82" s="102">
        <f t="shared" si="42"/>
        <v>4.8331489007062349E-2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1.8114577144785691</v>
      </c>
      <c r="K83" s="55">
        <f t="shared" si="46"/>
        <v>0.16285323748521083</v>
      </c>
      <c r="L83" s="55">
        <f t="shared" si="47"/>
        <v>4.9489878123686474E-3</v>
      </c>
      <c r="M83" s="55">
        <f t="shared" si="19"/>
        <v>0.99505101218763137</v>
      </c>
      <c r="N83" s="55">
        <f t="shared" si="48"/>
        <v>1.5577792699726432E-3</v>
      </c>
      <c r="O83" s="56">
        <f t="shared" si="21"/>
        <v>1.6377760364960888E-7</v>
      </c>
      <c r="P83" s="56">
        <f t="shared" si="49"/>
        <v>1.0609922871459468E-5</v>
      </c>
      <c r="Q83" s="56">
        <f t="shared" si="50"/>
        <v>5.5660936915427259E-4</v>
      </c>
      <c r="R83" s="9">
        <f t="shared" si="43"/>
        <v>1.4999999999999999E-4</v>
      </c>
      <c r="S83" s="9">
        <f t="shared" si="39"/>
        <v>7.4234817185529703E-7</v>
      </c>
      <c r="T83" s="9">
        <f t="shared" si="40"/>
        <v>2.4427985622781621E-5</v>
      </c>
      <c r="U83" s="9">
        <f t="shared" si="41"/>
        <v>1.4925765182814468E-4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0.4247204129571146</v>
      </c>
      <c r="K84" s="55">
        <f t="shared" si="46"/>
        <v>0.87271211653733938</v>
      </c>
      <c r="L84" s="55">
        <f t="shared" si="47"/>
        <v>1.0885633085593877E-3</v>
      </c>
      <c r="M84" s="55">
        <f t="shared" si="19"/>
        <v>0.99891143669144056</v>
      </c>
      <c r="N84" s="55">
        <f t="shared" si="48"/>
        <v>1.0693836238654033E-4</v>
      </c>
      <c r="O84" s="56">
        <f t="shared" si="21"/>
        <v>8.7766569046834922E-7</v>
      </c>
      <c r="P84" s="56">
        <f t="shared" si="49"/>
        <v>2.3337242245072457E-6</v>
      </c>
      <c r="Q84" s="56">
        <f t="shared" si="50"/>
        <v>3.8210095341305002E-5</v>
      </c>
      <c r="R84" s="9">
        <f t="shared" si="43"/>
        <v>1.4999999999999999E-4</v>
      </c>
      <c r="S84" s="9">
        <f t="shared" si="39"/>
        <v>1.6328449628390815E-7</v>
      </c>
      <c r="T84" s="9">
        <f t="shared" si="40"/>
        <v>1.309068174806009E-4</v>
      </c>
      <c r="U84" s="9">
        <f t="shared" si="41"/>
        <v>1.4983671550371607E-4</v>
      </c>
      <c r="V84" s="102">
        <f t="shared" si="42"/>
        <v>0.87366315419103202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0.61860589125383414</v>
      </c>
      <c r="J85" s="54">
        <f t="shared" si="45"/>
        <v>1.6088620889783687</v>
      </c>
      <c r="K85" s="55">
        <f t="shared" si="46"/>
        <v>0.23832048910642514</v>
      </c>
      <c r="L85" s="55">
        <f t="shared" si="47"/>
        <v>4.5424038538788552E-3</v>
      </c>
      <c r="M85" s="55">
        <f t="shared" si="19"/>
        <v>0.99545759614612117</v>
      </c>
      <c r="N85" s="55">
        <f t="shared" si="48"/>
        <v>1.4175712774815491E-3</v>
      </c>
      <c r="O85" s="56">
        <f t="shared" si="21"/>
        <v>2.3967321257581748E-7</v>
      </c>
      <c r="P85" s="56">
        <f t="shared" si="49"/>
        <v>9.7382649478799931E-6</v>
      </c>
      <c r="Q85" s="56">
        <f t="shared" si="50"/>
        <v>5.0651171812299051E-4</v>
      </c>
      <c r="R85" s="9">
        <f t="shared" si="43"/>
        <v>1.4999999999999999E-4</v>
      </c>
      <c r="S85" s="9">
        <f t="shared" si="39"/>
        <v>6.8136057808182824E-7</v>
      </c>
      <c r="T85" s="9">
        <f t="shared" si="40"/>
        <v>3.5748073365963767E-5</v>
      </c>
      <c r="U85" s="9">
        <f t="shared" si="41"/>
        <v>1.4931863942191817E-4</v>
      </c>
      <c r="V85" s="102">
        <f t="shared" si="42"/>
        <v>0.23940797682299525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1.0470728875357567</v>
      </c>
      <c r="K86" s="55">
        <f t="shared" si="46"/>
        <v>0.54299960389170432</v>
      </c>
      <c r="L86" s="55">
        <f t="shared" si="47"/>
        <v>2.8387991954392159E-3</v>
      </c>
      <c r="M86" s="55">
        <f t="shared" si="19"/>
        <v>0.99716120080456083</v>
      </c>
      <c r="N86" s="55">
        <f t="shared" si="48"/>
        <v>6.2381101102908926E-4</v>
      </c>
      <c r="O86" s="56">
        <f t="shared" si="21"/>
        <v>5.4608170694884871E-7</v>
      </c>
      <c r="P86" s="56">
        <f t="shared" si="49"/>
        <v>6.0859799322794721E-6</v>
      </c>
      <c r="Q86" s="56">
        <f t="shared" si="50"/>
        <v>2.2289361529794142E-4</v>
      </c>
      <c r="R86" s="9">
        <f t="shared" si="43"/>
        <v>1.4999999999999999E-4</v>
      </c>
      <c r="S86" s="9">
        <f t="shared" si="39"/>
        <v>4.2581987931588238E-7</v>
      </c>
      <c r="T86" s="9">
        <f t="shared" si="40"/>
        <v>8.1449940583755643E-5</v>
      </c>
      <c r="U86" s="9">
        <f t="shared" si="41"/>
        <v>1.495741801206841E-4</v>
      </c>
      <c r="V86" s="102">
        <f t="shared" si="42"/>
        <v>0.54454545910288565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3.2666552850062542</v>
      </c>
      <c r="K88" s="55">
        <f t="shared" si="46"/>
        <v>7.2220477535943853E-3</v>
      </c>
      <c r="L88" s="55">
        <f t="shared" si="47"/>
        <v>6.2600516129671007E-3</v>
      </c>
      <c r="M88" s="55">
        <f t="shared" si="19"/>
        <v>0.99373994838703295</v>
      </c>
      <c r="N88" s="55">
        <f t="shared" si="48"/>
        <v>3.5790014907078676E-3</v>
      </c>
      <c r="O88" s="56">
        <f t="shared" si="21"/>
        <v>7.263040592816852E-9</v>
      </c>
      <c r="P88" s="56">
        <f t="shared" si="49"/>
        <v>1.3420656365113896E-5</v>
      </c>
      <c r="Q88" s="56">
        <f t="shared" si="50"/>
        <v>1.2788113183584038E-3</v>
      </c>
      <c r="R88" s="9">
        <f>F88*$C$14</f>
        <v>1.4999999999999999E-4</v>
      </c>
      <c r="S88" s="9">
        <f t="shared" si="39"/>
        <v>9.3900774194506499E-7</v>
      </c>
      <c r="T88" s="9">
        <f t="shared" si="40"/>
        <v>1.0833071630391576E-6</v>
      </c>
      <c r="U88" s="9">
        <f t="shared" si="41"/>
        <v>1.4906099225805492E-4</v>
      </c>
      <c r="V88" s="102">
        <f t="shared" si="42"/>
        <v>7.2675429475454745E-3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4.6712433234986683</v>
      </c>
      <c r="K89" s="55">
        <f t="shared" si="46"/>
        <v>2.9791529517465707E-4</v>
      </c>
      <c r="L89" s="55">
        <f t="shared" si="47"/>
        <v>6.5553879340221688E-3</v>
      </c>
      <c r="M89" s="55">
        <f t="shared" si="19"/>
        <v>0.99344461206597778</v>
      </c>
      <c r="N89" s="55">
        <f t="shared" si="48"/>
        <v>4.5375698584289052E-3</v>
      </c>
      <c r="O89" s="56">
        <f t="shared" si="21"/>
        <v>2.996062828576076E-10</v>
      </c>
      <c r="P89" s="56">
        <f t="shared" si="49"/>
        <v>1.4053815246552958E-5</v>
      </c>
      <c r="Q89" s="56">
        <f t="shared" si="50"/>
        <v>1.6213169253676801E-3</v>
      </c>
      <c r="R89" s="9">
        <f>F89*$C$14</f>
        <v>1.4999999999999999E-4</v>
      </c>
      <c r="S89" s="9">
        <f t="shared" si="39"/>
        <v>9.8330819010332514E-7</v>
      </c>
      <c r="T89" s="9">
        <f t="shared" si="40"/>
        <v>4.4687294276198554E-8</v>
      </c>
      <c r="U89" s="9">
        <f t="shared" si="41"/>
        <v>1.4901669180989667E-4</v>
      </c>
      <c r="V89" s="102">
        <f t="shared" si="42"/>
        <v>2.9988113233118182E-4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5.0251542040134112</v>
      </c>
      <c r="K90" s="55">
        <f t="shared" si="46"/>
        <v>1.3433418600963018E-4</v>
      </c>
      <c r="L90" s="55">
        <f t="shared" si="47"/>
        <v>6.6773328481109177E-3</v>
      </c>
      <c r="M90" s="55">
        <f t="shared" si="19"/>
        <v>0.9933226671518891</v>
      </c>
      <c r="N90" s="55">
        <f t="shared" si="48"/>
        <v>4.9815795699303667E-3</v>
      </c>
      <c r="O90" s="56">
        <f t="shared" si="21"/>
        <v>1.3509667607852138E-10</v>
      </c>
      <c r="P90" s="56">
        <f t="shared" si="49"/>
        <v>1.4315247721657228E-5</v>
      </c>
      <c r="Q90" s="56">
        <f t="shared" si="50"/>
        <v>1.7799658239510711E-3</v>
      </c>
      <c r="R90" s="9">
        <f>F90*$C$14</f>
        <v>1.4999999999999999E-4</v>
      </c>
      <c r="S90" s="9">
        <f t="shared" si="39"/>
        <v>1.0015999272166375E-6</v>
      </c>
      <c r="T90" s="9">
        <f t="shared" si="40"/>
        <v>2.0150127901444523E-8</v>
      </c>
      <c r="U90" s="9">
        <f t="shared" si="41"/>
        <v>1.4899840007278335E-4</v>
      </c>
      <c r="V90" s="102">
        <f t="shared" si="42"/>
        <v>1.3523720987340473E-4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5.4334429478670883</v>
      </c>
      <c r="K91" s="55">
        <f t="shared" si="46"/>
        <v>5.3352327078306476E-5</v>
      </c>
      <c r="L91" s="55">
        <f t="shared" si="47"/>
        <v>6.7898251081872484E-3</v>
      </c>
      <c r="M91" s="55">
        <f t="shared" si="19"/>
        <v>0.99321017489181274</v>
      </c>
      <c r="N91" s="55">
        <f t="shared" si="48"/>
        <v>5.3924222303781324E-3</v>
      </c>
      <c r="O91" s="56">
        <f t="shared" si="21"/>
        <v>5.3655158552243634E-11</v>
      </c>
      <c r="P91" s="56">
        <f t="shared" si="49"/>
        <v>1.4556415056938006E-5</v>
      </c>
      <c r="Q91" s="56">
        <f t="shared" si="50"/>
        <v>1.9267638193163001E-3</v>
      </c>
      <c r="R91" s="9">
        <f t="shared" ref="R91:R92" si="51">F91*$C$14</f>
        <v>1.4999999999999999E-4</v>
      </c>
      <c r="S91" s="9">
        <f t="shared" si="39"/>
        <v>1.0184737662280871E-6</v>
      </c>
      <c r="T91" s="9">
        <f t="shared" si="40"/>
        <v>8.0028490617459709E-9</v>
      </c>
      <c r="U91" s="9">
        <f t="shared" si="41"/>
        <v>1.4898152623377191E-4</v>
      </c>
      <c r="V91" s="102">
        <f t="shared" si="42"/>
        <v>5.3717056497249412E-5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6.6653455439762812</v>
      </c>
      <c r="K92" s="55">
        <f t="shared" si="46"/>
        <v>3.2115211626071024E-6</v>
      </c>
      <c r="L92" s="55">
        <f t="shared" si="47"/>
        <v>6.9713775786664029E-3</v>
      </c>
      <c r="M92" s="55">
        <f t="shared" si="19"/>
        <v>0.99302862242133361</v>
      </c>
      <c r="N92" s="55">
        <f t="shared" si="48"/>
        <v>6.0569266134198807E-3</v>
      </c>
      <c r="O92" s="56">
        <f t="shared" si="21"/>
        <v>3.2297499773657402E-12</v>
      </c>
      <c r="P92" s="56">
        <f t="shared" si="49"/>
        <v>1.494563761757812E-5</v>
      </c>
      <c r="Q92" s="56">
        <f t="shared" si="50"/>
        <v>2.1641975639902886E-3</v>
      </c>
      <c r="R92" s="9">
        <f t="shared" si="51"/>
        <v>1.4999999999999999E-4</v>
      </c>
      <c r="S92" s="9">
        <f t="shared" si="39"/>
        <v>1.0457066367999603E-6</v>
      </c>
      <c r="T92" s="9">
        <f t="shared" si="40"/>
        <v>4.8172817439106529E-10</v>
      </c>
      <c r="U92" s="9">
        <f t="shared" si="41"/>
        <v>1.4895429336320002E-4</v>
      </c>
      <c r="V92" s="102">
        <f t="shared" si="42"/>
        <v>3.2340670652335752E-6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1.006083514165347</v>
      </c>
      <c r="K93" s="55">
        <f t="shared" si="46"/>
        <v>0.55979994442707504</v>
      </c>
      <c r="L93" s="55">
        <f t="shared" si="47"/>
        <v>2.6630458164656101E-3</v>
      </c>
      <c r="M93" s="55">
        <f t="shared" ref="M93:M127" si="52">IF(D93=0,"",1-L93)</f>
        <v>0.99733695418353441</v>
      </c>
      <c r="N93" s="55">
        <f t="shared" si="48"/>
        <v>2.8018596346712814E-4</v>
      </c>
      <c r="O93" s="56">
        <f t="shared" ref="O93:O127" si="53">IF(D93=0,"",F93*K93*$J$7/$J$14)</f>
        <v>5.6297740737132436E-7</v>
      </c>
      <c r="P93" s="56">
        <f t="shared" si="49"/>
        <v>5.7091897953856277E-6</v>
      </c>
      <c r="Q93" s="56">
        <f t="shared" si="50"/>
        <v>1.0011311318455218E-4</v>
      </c>
      <c r="R93" s="9">
        <f>F93*$C$14</f>
        <v>1.4999999999999999E-4</v>
      </c>
      <c r="S93" s="9">
        <f t="shared" si="39"/>
        <v>3.9945687246984149E-7</v>
      </c>
      <c r="T93" s="9">
        <f t="shared" si="40"/>
        <v>8.3969991664061247E-5</v>
      </c>
      <c r="U93" s="9">
        <f t="shared" si="41"/>
        <v>1.4960054312753015E-4</v>
      </c>
      <c r="V93" s="102">
        <f t="shared" si="42"/>
        <v>0.5612946979241864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0.18520624729215926</v>
      </c>
      <c r="K107" s="55">
        <f t="shared" si="46"/>
        <v>0.95144087926310372</v>
      </c>
      <c r="L107" s="55">
        <f t="shared" si="47"/>
        <v>6.8367598918315608E-4</v>
      </c>
      <c r="M107" s="55">
        <f t="shared" si="52"/>
        <v>0.99931632401081683</v>
      </c>
      <c r="N107" s="55">
        <f t="shared" si="48"/>
        <v>3.1290127353344471E-5</v>
      </c>
      <c r="O107" s="56">
        <f t="shared" si="53"/>
        <v>9.5684132306021151E-7</v>
      </c>
      <c r="P107" s="56">
        <f t="shared" si="49"/>
        <v>1.4657036528102308E-6</v>
      </c>
      <c r="Q107" s="56">
        <f t="shared" si="50"/>
        <v>1.1180260504562867E-5</v>
      </c>
      <c r="R107" s="9">
        <f>F107*$C$14</f>
        <v>1.4999999999999999E-4</v>
      </c>
      <c r="S107" s="9">
        <f t="shared" ref="S107:S108" si="54">$R107*L107</f>
        <v>1.0255139837747341E-7</v>
      </c>
      <c r="T107" s="9">
        <f t="shared" ref="T107:T108" si="55">R107*K107</f>
        <v>1.4271613188946556E-4</v>
      </c>
      <c r="U107" s="9">
        <f t="shared" ref="U107:U108" si="56">$R107*M107</f>
        <v>1.498974486016225E-4</v>
      </c>
      <c r="V107" s="102">
        <f t="shared" ref="V107:V108" si="57">K107/M107</f>
        <v>0.95209180156733342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0.72739079489951752</v>
      </c>
      <c r="K108" s="55">
        <f t="shared" si="46"/>
        <v>0.72934340797752772</v>
      </c>
      <c r="L108" s="55">
        <f t="shared" si="47"/>
        <v>1.8263547146838942E-3</v>
      </c>
      <c r="M108" s="55">
        <f t="shared" si="52"/>
        <v>0.99817364528531616</v>
      </c>
      <c r="N108" s="55">
        <f t="shared" si="48"/>
        <v>2.4643057226621121E-4</v>
      </c>
      <c r="O108" s="56">
        <f t="shared" si="53"/>
        <v>7.3348321126895692E-7</v>
      </c>
      <c r="P108" s="56">
        <f t="shared" si="49"/>
        <v>3.9154436004658838E-6</v>
      </c>
      <c r="Q108" s="56">
        <f t="shared" si="50"/>
        <v>8.8051990428548353E-5</v>
      </c>
      <c r="R108" s="9">
        <f>F108*$C$14</f>
        <v>1.4999999999999999E-4</v>
      </c>
      <c r="S108" s="9">
        <f t="shared" si="54"/>
        <v>2.739532072025841E-7</v>
      </c>
      <c r="T108" s="9">
        <f t="shared" si="55"/>
        <v>1.0940151119662915E-4</v>
      </c>
      <c r="U108" s="9">
        <f t="shared" si="56"/>
        <v>1.497260467927974E-4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0.59290013383231577</v>
      </c>
      <c r="K114" s="55">
        <f t="shared" si="46"/>
        <v>0.80027280409043755</v>
      </c>
      <c r="L114" s="55">
        <f t="shared" si="47"/>
        <v>1.4702814074819216E-3</v>
      </c>
      <c r="M114" s="55">
        <f t="shared" si="52"/>
        <v>0.99852971859251805</v>
      </c>
      <c r="N114" s="55">
        <f t="shared" si="48"/>
        <v>2.1017477053056151E-4</v>
      </c>
      <c r="O114" s="56">
        <f t="shared" si="53"/>
        <v>8.0481520750723372E-7</v>
      </c>
      <c r="P114" s="56">
        <f t="shared" si="49"/>
        <v>3.1520732974401699E-6</v>
      </c>
      <c r="Q114" s="56">
        <f t="shared" si="50"/>
        <v>7.5097447175050857E-5</v>
      </c>
      <c r="R114" s="9">
        <f>F114*$C$14</f>
        <v>1.4999999999999999E-4</v>
      </c>
      <c r="S114" s="9">
        <f t="shared" ref="S114:S116" si="58">$R114*L114</f>
        <v>2.2054221112228823E-7</v>
      </c>
      <c r="T114" s="9">
        <f t="shared" ref="T114:T116" si="59">R114*K114</f>
        <v>1.2004092061356563E-4</v>
      </c>
      <c r="U114" s="9">
        <f t="shared" ref="U114:U116" si="60">$R114*M114</f>
        <v>1.4977945778887769E-4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0.17110445915344094</v>
      </c>
      <c r="J115" s="54">
        <f t="shared" si="45"/>
        <v>0.82079702681253663</v>
      </c>
      <c r="K115" s="55">
        <f t="shared" si="46"/>
        <v>0.66947803563484465</v>
      </c>
      <c r="L115" s="55">
        <f t="shared" si="47"/>
        <v>2.0787182700884145E-3</v>
      </c>
      <c r="M115" s="55">
        <f t="shared" si="52"/>
        <v>0.99792128172991157</v>
      </c>
      <c r="N115" s="55">
        <f t="shared" si="48"/>
        <v>1.0049532446155336E-4</v>
      </c>
      <c r="O115" s="56">
        <f t="shared" si="53"/>
        <v>6.7327803895995338E-7</v>
      </c>
      <c r="P115" s="56">
        <f t="shared" si="49"/>
        <v>4.4564750113166884E-6</v>
      </c>
      <c r="Q115" s="56">
        <f t="shared" si="50"/>
        <v>3.5907936528441217E-5</v>
      </c>
      <c r="R115" s="9">
        <f>F115*$C$14</f>
        <v>1.4999999999999999E-4</v>
      </c>
      <c r="S115" s="9">
        <f t="shared" si="58"/>
        <v>3.1180774051326215E-7</v>
      </c>
      <c r="T115" s="9">
        <f t="shared" si="59"/>
        <v>1.0042170534522669E-4</v>
      </c>
      <c r="U115" s="9">
        <f t="shared" si="60"/>
        <v>1.4968819225948671E-4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6.2515818411451873E-2</v>
      </c>
      <c r="K116" s="55">
        <f t="shared" si="46"/>
        <v>0.98108652936734997</v>
      </c>
      <c r="L116" s="55">
        <f t="shared" si="47"/>
        <v>5.3147813739696246E-4</v>
      </c>
      <c r="M116" s="55">
        <f t="shared" si="52"/>
        <v>0.99946852186260304</v>
      </c>
      <c r="N116" s="55">
        <f t="shared" si="48"/>
        <v>3.7727309624336141E-6</v>
      </c>
      <c r="O116" s="56">
        <f t="shared" si="53"/>
        <v>9.8665524391118105E-7</v>
      </c>
      <c r="P116" s="56">
        <f t="shared" si="49"/>
        <v>1.1394132011308871E-6</v>
      </c>
      <c r="Q116" s="56">
        <f t="shared" si="50"/>
        <v>1.3480327036486009E-6</v>
      </c>
      <c r="R116" s="9">
        <f>F116*$C$14</f>
        <v>1.4999999999999999E-4</v>
      </c>
      <c r="S116" s="9">
        <f t="shared" si="58"/>
        <v>7.9721720609544358E-8</v>
      </c>
      <c r="T116" s="9">
        <f t="shared" si="59"/>
        <v>1.4716297940510248E-4</v>
      </c>
      <c r="U116" s="9">
        <f t="shared" si="60"/>
        <v>1.4992027827939044E-4</v>
      </c>
      <c r="V116" s="102">
        <f t="shared" si="61"/>
        <v>0.98160823268250963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2.5348483209025892</v>
      </c>
      <c r="K119" s="55">
        <f t="shared" si="46"/>
        <v>3.5500854602290403E-2</v>
      </c>
      <c r="L119" s="55">
        <f t="shared" si="47"/>
        <v>5.706231697392458E-3</v>
      </c>
      <c r="M119" s="55">
        <f t="shared" si="52"/>
        <v>0.99429376830260752</v>
      </c>
      <c r="N119" s="55">
        <f t="shared" si="48"/>
        <v>2.0550639048765506E-3</v>
      </c>
      <c r="O119" s="56">
        <f t="shared" si="53"/>
        <v>3.5702359892012087E-8</v>
      </c>
      <c r="P119" s="56">
        <f t="shared" si="49"/>
        <v>1.2233345583252661E-5</v>
      </c>
      <c r="Q119" s="56">
        <f t="shared" si="50"/>
        <v>7.342939052495806E-4</v>
      </c>
      <c r="R119" s="9">
        <f>F119*$C$14</f>
        <v>1.4999999999999999E-4</v>
      </c>
      <c r="S119" s="9">
        <f t="shared" ref="S119:S121" si="62">$R119*L119</f>
        <v>8.5593475460886867E-7</v>
      </c>
      <c r="T119" s="9">
        <f t="shared" ref="T119:T121" si="63">R119*K119</f>
        <v>5.32512819034356E-6</v>
      </c>
      <c r="U119" s="9">
        <f t="shared" ref="U119:U121" si="64">$R119*M119</f>
        <v>1.491440652453911E-4</v>
      </c>
      <c r="V119" s="102">
        <f t="shared" ref="V119:V121" si="65">K119/M119</f>
        <v>3.5704593284231388E-2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0.88332170856564241</v>
      </c>
      <c r="K120" s="55">
        <f t="shared" si="46"/>
        <v>0.63773543197809801</v>
      </c>
      <c r="L120" s="55">
        <f t="shared" si="47"/>
        <v>2.2867807535852007E-3</v>
      </c>
      <c r="M120" s="55">
        <f t="shared" si="52"/>
        <v>0.99771321924641476</v>
      </c>
      <c r="N120" s="55">
        <f t="shared" si="48"/>
        <v>2.9525011142745721E-4</v>
      </c>
      <c r="O120" s="56">
        <f t="shared" si="53"/>
        <v>6.4135526210405338E-7</v>
      </c>
      <c r="P120" s="56">
        <f t="shared" si="49"/>
        <v>4.9025312527218715E-6</v>
      </c>
      <c r="Q120" s="56">
        <f t="shared" si="50"/>
        <v>1.0549567671885355E-4</v>
      </c>
      <c r="R120" s="9">
        <f>F120*$C$14</f>
        <v>1.4999999999999999E-4</v>
      </c>
      <c r="S120" s="9">
        <f t="shared" si="62"/>
        <v>3.4301711303778007E-7</v>
      </c>
      <c r="T120" s="9">
        <f t="shared" si="63"/>
        <v>9.5660314796714699E-5</v>
      </c>
      <c r="U120" s="9">
        <f t="shared" si="64"/>
        <v>1.4965698288696221E-4</v>
      </c>
      <c r="V120" s="102">
        <f t="shared" si="65"/>
        <v>0.639197135685731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3.0806467478593547</v>
      </c>
      <c r="K121" s="55">
        <f t="shared" si="46"/>
        <v>1.0021410891223324E-2</v>
      </c>
      <c r="L121" s="55">
        <f t="shared" si="47"/>
        <v>5.6602796738506557E-3</v>
      </c>
      <c r="M121" s="55">
        <f t="shared" si="52"/>
        <v>0.99433972032614937</v>
      </c>
      <c r="N121" s="55">
        <f t="shared" si="48"/>
        <v>1.430874001248732E-3</v>
      </c>
      <c r="O121" s="56">
        <f t="shared" si="53"/>
        <v>1.0078293107938348E-8</v>
      </c>
      <c r="P121" s="56">
        <f t="shared" si="49"/>
        <v>1.213483100935383E-5</v>
      </c>
      <c r="Q121" s="56">
        <f t="shared" si="50"/>
        <v>5.1126490801761226E-4</v>
      </c>
      <c r="R121" s="9">
        <f>F121*$C$14</f>
        <v>1.4999999999999999E-4</v>
      </c>
      <c r="S121" s="9">
        <f t="shared" si="62"/>
        <v>8.4904195107759824E-7</v>
      </c>
      <c r="T121" s="9">
        <f t="shared" si="63"/>
        <v>1.5032116336834984E-6</v>
      </c>
      <c r="U121" s="9">
        <f t="shared" si="64"/>
        <v>1.4915095804892239E-4</v>
      </c>
      <c r="V121" s="102">
        <f t="shared" si="65"/>
        <v>1.0078457780944567E-2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1.6917956300821193</v>
      </c>
      <c r="K124" s="55">
        <f t="shared" si="68"/>
        <v>0.20635906001760279</v>
      </c>
      <c r="L124" s="55">
        <f t="shared" si="69"/>
        <v>4.7608165193305414E-3</v>
      </c>
      <c r="M124" s="55">
        <f t="shared" si="52"/>
        <v>0.99523918348066942</v>
      </c>
      <c r="N124" s="55">
        <f t="shared" si="70"/>
        <v>1.6463458167745204E-3</v>
      </c>
      <c r="O124" s="56">
        <f t="shared" si="53"/>
        <v>2.0753036821965543E-7</v>
      </c>
      <c r="P124" s="56">
        <f t="shared" si="71"/>
        <v>1.0206510500799059E-5</v>
      </c>
      <c r="Q124" s="56">
        <f t="shared" si="72"/>
        <v>5.882550398175054E-4</v>
      </c>
      <c r="R124" s="9">
        <f>F124*$C$14</f>
        <v>1.4999999999999999E-4</v>
      </c>
      <c r="S124" s="9">
        <f t="shared" ref="S124:S127" si="73">$R124*L124</f>
        <v>7.1412247789958115E-7</v>
      </c>
      <c r="T124" s="9">
        <f t="shared" ref="T124:T127" si="74">R124*K124</f>
        <v>3.0953859002640415E-5</v>
      </c>
      <c r="U124" s="9">
        <f t="shared" ref="U124:U127" si="75">$R124*M124</f>
        <v>1.492858775221004E-4</v>
      </c>
      <c r="V124" s="102">
        <f t="shared" ref="V124:V127" si="76">K124/M124</f>
        <v>0.2073461972185412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1.1900968435828845</v>
      </c>
      <c r="K126" s="55">
        <f t="shared" si="68"/>
        <v>0.45021058514910733</v>
      </c>
      <c r="L126" s="55">
        <f t="shared" si="69"/>
        <v>3.2717101283485286E-3</v>
      </c>
      <c r="M126" s="55">
        <f t="shared" si="52"/>
        <v>0.99672828987165152</v>
      </c>
      <c r="N126" s="55">
        <f t="shared" si="70"/>
        <v>5.5065961306328623E-4</v>
      </c>
      <c r="O126" s="56">
        <f t="shared" si="53"/>
        <v>4.5276601136102692E-7</v>
      </c>
      <c r="P126" s="56">
        <f t="shared" si="71"/>
        <v>7.0140791280180511E-6</v>
      </c>
      <c r="Q126" s="56">
        <f t="shared" si="72"/>
        <v>1.9675592412477942E-4</v>
      </c>
      <c r="R126" s="9">
        <f>F126*$C$14</f>
        <v>1.4999999999999999E-4</v>
      </c>
      <c r="S126" s="9">
        <f t="shared" si="73"/>
        <v>4.9075651925227929E-7</v>
      </c>
      <c r="T126" s="9">
        <f t="shared" si="74"/>
        <v>6.7531587772366099E-5</v>
      </c>
      <c r="U126" s="9">
        <f t="shared" si="75"/>
        <v>1.4950924348074772E-4</v>
      </c>
      <c r="V126" s="102">
        <f t="shared" si="76"/>
        <v>0.45168837859220473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6.344600861861672E-3</v>
      </c>
      <c r="K127" s="55">
        <f t="shared" si="68"/>
        <v>0.99310114164581076</v>
      </c>
      <c r="L127" s="55">
        <f t="shared" si="69"/>
        <v>4.7271605775812248E-4</v>
      </c>
      <c r="M127" s="55">
        <f t="shared" si="52"/>
        <v>0.99952728394224188</v>
      </c>
      <c r="N127" s="55">
        <f t="shared" si="70"/>
        <v>3.3217428180301281E-6</v>
      </c>
      <c r="O127" s="56">
        <f t="shared" si="53"/>
        <v>9.9873805195436889E-7</v>
      </c>
      <c r="P127" s="56">
        <f t="shared" si="71"/>
        <v>1.0134356969680202E-6</v>
      </c>
      <c r="Q127" s="56">
        <f t="shared" si="72"/>
        <v>1.1868903445280506E-6</v>
      </c>
      <c r="R127" s="9">
        <f>F127*$C$14</f>
        <v>1.4999999999999999E-4</v>
      </c>
      <c r="S127" s="9">
        <f t="shared" si="73"/>
        <v>7.0907408663718367E-8</v>
      </c>
      <c r="T127" s="9">
        <f t="shared" si="74"/>
        <v>1.4896517124687159E-4</v>
      </c>
      <c r="U127" s="9">
        <f t="shared" si="75"/>
        <v>1.4992909259133627E-4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0.19477525924393749</v>
      </c>
      <c r="K130" s="55">
        <f t="shared" si="79"/>
        <v>0.94799078515684876</v>
      </c>
      <c r="L130" s="55">
        <f t="shared" si="80"/>
        <v>6.963725575746219E-4</v>
      </c>
      <c r="M130" s="55">
        <f t="shared" si="81"/>
        <v>0.9993036274424254</v>
      </c>
      <c r="N130" s="55">
        <f t="shared" si="82"/>
        <v>1.6109039238965834E-5</v>
      </c>
      <c r="O130" s="56">
        <f t="shared" si="83"/>
        <v>9.5337164598277919E-7</v>
      </c>
      <c r="P130" s="56">
        <f t="shared" si="84"/>
        <v>1.4929232816460494E-6</v>
      </c>
      <c r="Q130" s="56">
        <f t="shared" si="85"/>
        <v>5.7559131395038141E-6</v>
      </c>
      <c r="R130" s="9">
        <f>F130*$C$14</f>
        <v>1.4999999999999999E-4</v>
      </c>
      <c r="S130" s="9">
        <f t="shared" ref="S130:S131" si="86">$R130*L130</f>
        <v>1.0445588363619327E-7</v>
      </c>
      <c r="T130" s="9">
        <f t="shared" ref="T130:T131" si="87">R130*K130</f>
        <v>1.421986177735273E-4</v>
      </c>
      <c r="U130" s="9">
        <f t="shared" ref="U130:U131" si="88">$R130*M130</f>
        <v>1.498955441163638E-4</v>
      </c>
      <c r="V130" s="102">
        <f t="shared" ref="V130:V131" si="89">K130/M130</f>
        <v>0.94865139995848458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-7.0438651482899592E-3</v>
      </c>
      <c r="K131" s="55">
        <f t="shared" si="79"/>
        <v>0.99569943569071528</v>
      </c>
      <c r="L131" s="55">
        <f t="shared" si="80"/>
        <v>4.5956470703954061E-4</v>
      </c>
      <c r="M131" s="55">
        <f t="shared" si="81"/>
        <v>0.99954043529296044</v>
      </c>
      <c r="N131" s="55">
        <f t="shared" si="82"/>
        <v>1.5991410969843004E-6</v>
      </c>
      <c r="O131" s="56">
        <f t="shared" si="83"/>
        <v>1.0013510940947816E-6</v>
      </c>
      <c r="P131" s="56">
        <f t="shared" si="84"/>
        <v>9.8524107979176844E-7</v>
      </c>
      <c r="Q131" s="56">
        <f t="shared" si="85"/>
        <v>5.7138834386769971E-7</v>
      </c>
      <c r="R131" s="9">
        <f>F131*$C$14</f>
        <v>1.4999999999999999E-4</v>
      </c>
      <c r="S131" s="9">
        <f t="shared" si="86"/>
        <v>6.8934706055931088E-8</v>
      </c>
      <c r="T131" s="9">
        <f t="shared" si="87"/>
        <v>1.4935491535360729E-4</v>
      </c>
      <c r="U131" s="9">
        <f t="shared" si="88"/>
        <v>1.4993106529394406E-4</v>
      </c>
      <c r="V131" s="102">
        <f t="shared" si="89"/>
        <v>0.99615723439830683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2024-10-28T22:41:47Z</dcterms:modified>
</cp:coreProperties>
</file>