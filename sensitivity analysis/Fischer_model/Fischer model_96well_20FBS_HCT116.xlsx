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CCE8DCFB-D2CE-47C9-A52A-3BD2F094F367}" xr6:coauthVersionLast="47" xr6:coauthVersionMax="47" xr10:uidLastSave="{00000000-0000-0000-0000-000000000000}"/>
  <bookViews>
    <workbookView xWindow="43080" yWindow="-120" windowWidth="29040" windowHeight="15720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3" i="4" l="1"/>
  <c r="R142" i="4"/>
  <c r="R141" i="4"/>
  <c r="T141" i="4" s="1"/>
  <c r="V140" i="4"/>
  <c r="R140" i="4"/>
  <c r="R139" i="4"/>
  <c r="R138" i="4"/>
  <c r="U137" i="4"/>
  <c r="T137" i="4"/>
  <c r="S137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I135" i="4"/>
  <c r="J135" i="4"/>
  <c r="K135" i="4"/>
  <c r="V135" i="4" s="1"/>
  <c r="L135" i="4"/>
  <c r="M135" i="4" s="1"/>
  <c r="N135" i="4"/>
  <c r="O135" i="4"/>
  <c r="P135" i="4"/>
  <c r="Q135" i="4"/>
  <c r="I136" i="4"/>
  <c r="L136" i="4" s="1"/>
  <c r="M136" i="4" s="1"/>
  <c r="J136" i="4"/>
  <c r="K136" i="4"/>
  <c r="O136" i="4" s="1"/>
  <c r="P136" i="4" s="1"/>
  <c r="I137" i="4"/>
  <c r="J137" i="4"/>
  <c r="K137" i="4"/>
  <c r="O137" i="4" s="1"/>
  <c r="P137" i="4" s="1"/>
  <c r="L137" i="4"/>
  <c r="M137" i="4"/>
  <c r="V137" i="4" s="1"/>
  <c r="N137" i="4"/>
  <c r="Q137" i="4" s="1"/>
  <c r="I138" i="4"/>
  <c r="N138" i="4" s="1"/>
  <c r="Q138" i="4" s="1"/>
  <c r="J138" i="4"/>
  <c r="K138" i="4"/>
  <c r="L138" i="4"/>
  <c r="M138" i="4" s="1"/>
  <c r="I139" i="4"/>
  <c r="J139" i="4"/>
  <c r="K139" i="4"/>
  <c r="L139" i="4"/>
  <c r="N139" i="4"/>
  <c r="Q139" i="4" s="1"/>
  <c r="O139" i="4"/>
  <c r="P139" i="4" s="1"/>
  <c r="I140" i="4"/>
  <c r="L140" i="4" s="1"/>
  <c r="M140" i="4" s="1"/>
  <c r="J140" i="4"/>
  <c r="K140" i="4"/>
  <c r="O140" i="4" s="1"/>
  <c r="P140" i="4" s="1"/>
  <c r="I141" i="4"/>
  <c r="J141" i="4"/>
  <c r="K141" i="4"/>
  <c r="O141" i="4" s="1"/>
  <c r="P141" i="4" s="1"/>
  <c r="L141" i="4"/>
  <c r="M141" i="4"/>
  <c r="U141" i="4" s="1"/>
  <c r="N141" i="4"/>
  <c r="Q141" i="4" s="1"/>
  <c r="I142" i="4"/>
  <c r="J142" i="4"/>
  <c r="K142" i="4" s="1"/>
  <c r="I143" i="4"/>
  <c r="J143" i="4"/>
  <c r="K143" i="4"/>
  <c r="L143" i="4"/>
  <c r="M143" i="4" s="1"/>
  <c r="N143" i="4"/>
  <c r="Q143" i="4" s="1"/>
  <c r="V138" i="4" l="1"/>
  <c r="O138" i="4"/>
  <c r="P138" i="4" s="1"/>
  <c r="O143" i="4"/>
  <c r="P143" i="4" s="1"/>
  <c r="V143" i="4"/>
  <c r="V142" i="4"/>
  <c r="O142" i="4"/>
  <c r="P142" i="4" s="1"/>
  <c r="L142" i="4"/>
  <c r="M142" i="4" s="1"/>
  <c r="N142" i="4"/>
  <c r="Q142" i="4" s="1"/>
  <c r="M139" i="4"/>
  <c r="U139" i="4" s="1"/>
  <c r="S139" i="4"/>
  <c r="V139" i="4"/>
  <c r="T139" i="4"/>
  <c r="V141" i="4"/>
  <c r="U135" i="4"/>
  <c r="U143" i="4"/>
  <c r="T138" i="4"/>
  <c r="U142" i="4"/>
  <c r="U136" i="4"/>
  <c r="V136" i="4"/>
  <c r="U140" i="4"/>
  <c r="T140" i="4"/>
  <c r="S140" i="4"/>
  <c r="S135" i="4"/>
  <c r="S142" i="4"/>
  <c r="T135" i="4"/>
  <c r="T142" i="4"/>
  <c r="S138" i="4"/>
  <c r="S143" i="4"/>
  <c r="S136" i="4"/>
  <c r="U138" i="4"/>
  <c r="T143" i="4"/>
  <c r="T136" i="4"/>
  <c r="S141" i="4"/>
  <c r="N140" i="4"/>
  <c r="Q140" i="4" s="1"/>
  <c r="N136" i="4"/>
  <c r="Q136" i="4" s="1"/>
  <c r="I128" i="4" l="1"/>
  <c r="N128" i="4" s="1"/>
  <c r="Q128" i="4" s="1"/>
  <c r="J128" i="4"/>
  <c r="K128" i="4"/>
  <c r="I129" i="4"/>
  <c r="J129" i="4"/>
  <c r="K129" i="4"/>
  <c r="L129" i="4"/>
  <c r="S129" i="4" s="1"/>
  <c r="M129" i="4"/>
  <c r="U129" i="4" s="1"/>
  <c r="N129" i="4"/>
  <c r="Q129" i="4" s="1"/>
  <c r="O129" i="4"/>
  <c r="P129" i="4"/>
  <c r="I130" i="4"/>
  <c r="L130" i="4" s="1"/>
  <c r="J130" i="4"/>
  <c r="K130" i="4" s="1"/>
  <c r="I131" i="4"/>
  <c r="N131" i="4" s="1"/>
  <c r="Q131" i="4" s="1"/>
  <c r="J131" i="4"/>
  <c r="K131" i="4"/>
  <c r="L131" i="4"/>
  <c r="S131" i="4" s="1"/>
  <c r="M131" i="4"/>
  <c r="U131" i="4" s="1"/>
  <c r="I132" i="4"/>
  <c r="N132" i="4" s="1"/>
  <c r="Q132" i="4" s="1"/>
  <c r="J132" i="4"/>
  <c r="K132" i="4"/>
  <c r="L132" i="4"/>
  <c r="I133" i="4"/>
  <c r="L133" i="4" s="1"/>
  <c r="J133" i="4"/>
  <c r="K133" i="4"/>
  <c r="I134" i="4"/>
  <c r="J134" i="4"/>
  <c r="K134" i="4"/>
  <c r="L134" i="4"/>
  <c r="S134" i="4" s="1"/>
  <c r="M134" i="4"/>
  <c r="U134" i="4" s="1"/>
  <c r="N134" i="4"/>
  <c r="Q134" i="4" s="1"/>
  <c r="O134" i="4"/>
  <c r="P134" i="4"/>
  <c r="S133" i="4" l="1"/>
  <c r="M133" i="4"/>
  <c r="U133" i="4" s="1"/>
  <c r="O130" i="4"/>
  <c r="P130" i="4" s="1"/>
  <c r="V130" i="4"/>
  <c r="T130" i="4"/>
  <c r="O131" i="4"/>
  <c r="P131" i="4" s="1"/>
  <c r="V131" i="4"/>
  <c r="T131" i="4"/>
  <c r="V133" i="4"/>
  <c r="T133" i="4"/>
  <c r="O128" i="4"/>
  <c r="P128" i="4" s="1"/>
  <c r="T128" i="4"/>
  <c r="M132" i="4"/>
  <c r="U132" i="4" s="1"/>
  <c r="S132" i="4"/>
  <c r="O132" i="4"/>
  <c r="P132" i="4" s="1"/>
  <c r="T132" i="4"/>
  <c r="V132" i="4"/>
  <c r="T134" i="4"/>
  <c r="V134" i="4"/>
  <c r="V129" i="4"/>
  <c r="T129" i="4"/>
  <c r="O133" i="4"/>
  <c r="P133" i="4" s="1"/>
  <c r="N133" i="4"/>
  <c r="Q133" i="4" s="1"/>
  <c r="L128" i="4"/>
  <c r="M130" i="4"/>
  <c r="U130" i="4" s="1"/>
  <c r="S130" i="4"/>
  <c r="N130" i="4"/>
  <c r="Q130" i="4" s="1"/>
  <c r="S128" i="4" l="1"/>
  <c r="M128" i="4"/>
  <c r="O15" i="1"/>
  <c r="L15" i="1"/>
  <c r="N15" i="1"/>
  <c r="J16" i="4"/>
  <c r="J15" i="4"/>
  <c r="J87" i="4"/>
  <c r="K87" i="4" s="1"/>
  <c r="J122" i="4"/>
  <c r="K122" i="4" s="1"/>
  <c r="J117" i="4"/>
  <c r="K117" i="4"/>
  <c r="J120" i="4"/>
  <c r="K120" i="4"/>
  <c r="J101" i="4"/>
  <c r="K101" i="4"/>
  <c r="J86" i="4"/>
  <c r="K86" i="4" s="1"/>
  <c r="J85" i="4"/>
  <c r="K85" i="4" s="1"/>
  <c r="J88" i="4"/>
  <c r="K88" i="4" s="1"/>
  <c r="J119" i="4"/>
  <c r="K119" i="4"/>
  <c r="J72" i="4"/>
  <c r="K72" i="4" s="1"/>
  <c r="J103" i="4"/>
  <c r="K103" i="4"/>
  <c r="J118" i="4"/>
  <c r="K118" i="4"/>
  <c r="J104" i="4"/>
  <c r="L104" i="4" s="1"/>
  <c r="K104" i="4"/>
  <c r="J90" i="4"/>
  <c r="K90" i="4" s="1"/>
  <c r="J71" i="4"/>
  <c r="K71" i="4"/>
  <c r="J110" i="4"/>
  <c r="K110" i="4"/>
  <c r="J82" i="4"/>
  <c r="K82" i="4" s="1"/>
  <c r="J113" i="4"/>
  <c r="K113" i="4"/>
  <c r="J97" i="4"/>
  <c r="K97" i="4"/>
  <c r="O97" i="4" s="1"/>
  <c r="P97" i="4" s="1"/>
  <c r="J81" i="4"/>
  <c r="K81" i="4" s="1"/>
  <c r="J116" i="4"/>
  <c r="K116" i="4" s="1"/>
  <c r="J100" i="4"/>
  <c r="K100" i="4"/>
  <c r="O100" i="4" s="1"/>
  <c r="P100" i="4" s="1"/>
  <c r="J84" i="4"/>
  <c r="K84" i="4" s="1"/>
  <c r="J114" i="4"/>
  <c r="K114" i="4" s="1"/>
  <c r="J78" i="4"/>
  <c r="K78" i="4" s="1"/>
  <c r="J115" i="4"/>
  <c r="K115" i="4"/>
  <c r="J99" i="4"/>
  <c r="L99" i="4" s="1"/>
  <c r="K99" i="4"/>
  <c r="J83" i="4"/>
  <c r="K83" i="4" s="1"/>
  <c r="J102" i="4"/>
  <c r="K102" i="4" s="1"/>
  <c r="J74" i="4"/>
  <c r="K74" i="4" s="1"/>
  <c r="J125" i="4"/>
  <c r="K125" i="4"/>
  <c r="J109" i="4"/>
  <c r="K109" i="4" s="1"/>
  <c r="J93" i="4"/>
  <c r="K93" i="4" s="1"/>
  <c r="J77" i="4"/>
  <c r="K77" i="4"/>
  <c r="J112" i="4"/>
  <c r="K112" i="4" s="1"/>
  <c r="J96" i="4"/>
  <c r="K96" i="4" s="1"/>
  <c r="J80" i="4"/>
  <c r="K80" i="4" s="1"/>
  <c r="J106" i="4"/>
  <c r="K106" i="4"/>
  <c r="J127" i="4"/>
  <c r="K127" i="4"/>
  <c r="J111" i="4"/>
  <c r="K111" i="4" s="1"/>
  <c r="J95" i="4"/>
  <c r="K95" i="4" s="1"/>
  <c r="J79" i="4"/>
  <c r="K79" i="4" s="1"/>
  <c r="J126" i="4"/>
  <c r="K126" i="4" s="1"/>
  <c r="J94" i="4"/>
  <c r="K94" i="4" s="1"/>
  <c r="J121" i="4"/>
  <c r="K121" i="4" s="1"/>
  <c r="J105" i="4"/>
  <c r="L105" i="4" s="1"/>
  <c r="K105" i="4"/>
  <c r="J89" i="4"/>
  <c r="K89" i="4" s="1"/>
  <c r="J73" i="4"/>
  <c r="K73" i="4" s="1"/>
  <c r="J124" i="4"/>
  <c r="K124" i="4"/>
  <c r="J108" i="4"/>
  <c r="K108" i="4" s="1"/>
  <c r="J92" i="4"/>
  <c r="K92" i="4" s="1"/>
  <c r="J76" i="4"/>
  <c r="K76" i="4" s="1"/>
  <c r="J98" i="4"/>
  <c r="K98" i="4"/>
  <c r="J123" i="4"/>
  <c r="K123" i="4"/>
  <c r="J107" i="4"/>
  <c r="K107" i="4"/>
  <c r="J91" i="4"/>
  <c r="K91" i="4"/>
  <c r="J75" i="4"/>
  <c r="K75" i="4" s="1"/>
  <c r="O104" i="4"/>
  <c r="P104" i="4"/>
  <c r="O118" i="4"/>
  <c r="P118" i="4" s="1"/>
  <c r="O117" i="4"/>
  <c r="P117" i="4" s="1"/>
  <c r="O103" i="4"/>
  <c r="P103" i="4"/>
  <c r="I76" i="4"/>
  <c r="N76" i="4" s="1"/>
  <c r="Q76" i="4" s="1"/>
  <c r="I77" i="4"/>
  <c r="N77" i="4" s="1"/>
  <c r="Q77" i="4" s="1"/>
  <c r="I81" i="4"/>
  <c r="I89" i="4"/>
  <c r="N89" i="4" s="1"/>
  <c r="Q89" i="4" s="1"/>
  <c r="I90" i="4"/>
  <c r="N90" i="4" s="1"/>
  <c r="Q90" i="4" s="1"/>
  <c r="I96" i="4"/>
  <c r="L96" i="4" s="1"/>
  <c r="S96" i="4" s="1"/>
  <c r="I99" i="4"/>
  <c r="N99" i="4" s="1"/>
  <c r="Q99" i="4" s="1"/>
  <c r="I102" i="4"/>
  <c r="I104" i="4"/>
  <c r="I108" i="4"/>
  <c r="N108" i="4" s="1"/>
  <c r="Q108" i="4" s="1"/>
  <c r="I111" i="4"/>
  <c r="I113" i="4"/>
  <c r="L113" i="4" s="1"/>
  <c r="I115" i="4"/>
  <c r="L115" i="4" s="1"/>
  <c r="S115" i="4" s="1"/>
  <c r="I119" i="4"/>
  <c r="N119" i="4" s="1"/>
  <c r="Q119" i="4" s="1"/>
  <c r="I120" i="4"/>
  <c r="N120" i="4" s="1"/>
  <c r="Q120" i="4" s="1"/>
  <c r="I123" i="4"/>
  <c r="N123" i="4" s="1"/>
  <c r="Q123" i="4" s="1"/>
  <c r="I125" i="4"/>
  <c r="L125" i="4" s="1"/>
  <c r="I79" i="4"/>
  <c r="I92" i="4"/>
  <c r="I100" i="4"/>
  <c r="I103" i="4"/>
  <c r="I107" i="4"/>
  <c r="I109" i="4"/>
  <c r="N109" i="4" s="1"/>
  <c r="Q109" i="4" s="1"/>
  <c r="I110" i="4"/>
  <c r="N110" i="4" s="1"/>
  <c r="Q110" i="4" s="1"/>
  <c r="I117" i="4"/>
  <c r="I124" i="4"/>
  <c r="N124" i="4" s="1"/>
  <c r="Q124" i="4" s="1"/>
  <c r="I72" i="4"/>
  <c r="L72" i="4" s="1"/>
  <c r="S72" i="4" s="1"/>
  <c r="I106" i="4"/>
  <c r="N106" i="4" s="1"/>
  <c r="Q106" i="4" s="1"/>
  <c r="I71" i="4"/>
  <c r="N71" i="4" s="1"/>
  <c r="Q71" i="4" s="1"/>
  <c r="I75" i="4"/>
  <c r="N75" i="4" s="1"/>
  <c r="Q75" i="4" s="1"/>
  <c r="I80" i="4"/>
  <c r="I83" i="4"/>
  <c r="I86" i="4"/>
  <c r="I88" i="4"/>
  <c r="N88" i="4" s="1"/>
  <c r="Q88" i="4" s="1"/>
  <c r="I94" i="4"/>
  <c r="L94" i="4" s="1"/>
  <c r="S94" i="4" s="1"/>
  <c r="I95" i="4"/>
  <c r="I98" i="4"/>
  <c r="L98" i="4" s="1"/>
  <c r="I101" i="4"/>
  <c r="N101" i="4" s="1"/>
  <c r="Q101" i="4" s="1"/>
  <c r="I118" i="4"/>
  <c r="N118" i="4" s="1"/>
  <c r="Q118" i="4" s="1"/>
  <c r="I127" i="4"/>
  <c r="L127" i="4" s="1"/>
  <c r="S127" i="4" s="1"/>
  <c r="I73" i="4"/>
  <c r="N73" i="4" s="1"/>
  <c r="Q73" i="4" s="1"/>
  <c r="I74" i="4"/>
  <c r="N74" i="4" s="1"/>
  <c r="Q74" i="4" s="1"/>
  <c r="I78" i="4"/>
  <c r="I82" i="4"/>
  <c r="I85" i="4"/>
  <c r="I93" i="4"/>
  <c r="N93" i="4" s="1"/>
  <c r="Q93" i="4" s="1"/>
  <c r="I112" i="4"/>
  <c r="L112" i="4" s="1"/>
  <c r="I114" i="4"/>
  <c r="N114" i="4" s="1"/>
  <c r="Q114" i="4" s="1"/>
  <c r="I121" i="4"/>
  <c r="N121" i="4" s="1"/>
  <c r="Q121" i="4" s="1"/>
  <c r="I122" i="4"/>
  <c r="I84" i="4"/>
  <c r="I87" i="4"/>
  <c r="L87" i="4" s="1"/>
  <c r="S87" i="4" s="1"/>
  <c r="I91" i="4"/>
  <c r="N91" i="4" s="1"/>
  <c r="Q91" i="4" s="1"/>
  <c r="I97" i="4"/>
  <c r="I105" i="4"/>
  <c r="I116" i="4"/>
  <c r="I126" i="4"/>
  <c r="N105" i="4"/>
  <c r="Q105" i="4"/>
  <c r="N107" i="4"/>
  <c r="Q107" i="4" s="1"/>
  <c r="N79" i="4"/>
  <c r="Q79" i="4" s="1"/>
  <c r="N96" i="4"/>
  <c r="Q96" i="4" s="1"/>
  <c r="N117" i="4"/>
  <c r="Q117" i="4"/>
  <c r="L117" i="4"/>
  <c r="N103" i="4"/>
  <c r="Q103" i="4"/>
  <c r="N104" i="4"/>
  <c r="Q104" i="4" s="1"/>
  <c r="N126" i="4"/>
  <c r="Q126" i="4" s="1"/>
  <c r="N95" i="4"/>
  <c r="Q95" i="4"/>
  <c r="L95" i="4"/>
  <c r="S95" i="4" s="1"/>
  <c r="N83" i="4"/>
  <c r="Q83" i="4" s="1"/>
  <c r="L100" i="4"/>
  <c r="M100" i="4" s="1"/>
  <c r="N100" i="4"/>
  <c r="Q100" i="4" s="1"/>
  <c r="N102" i="4"/>
  <c r="Q102" i="4"/>
  <c r="N116" i="4"/>
  <c r="Q116" i="4"/>
  <c r="N122" i="4"/>
  <c r="Q122" i="4"/>
  <c r="N94" i="4"/>
  <c r="Q94" i="4"/>
  <c r="N80" i="4"/>
  <c r="Q80" i="4" s="1"/>
  <c r="S105" i="4" l="1"/>
  <c r="M105" i="4"/>
  <c r="U105" i="4" s="1"/>
  <c r="T82" i="4"/>
  <c r="T108" i="4"/>
  <c r="T122" i="4"/>
  <c r="O122" i="4"/>
  <c r="P122" i="4" s="1"/>
  <c r="T114" i="4"/>
  <c r="O109" i="4"/>
  <c r="P109" i="4" s="1"/>
  <c r="T109" i="4"/>
  <c r="T111" i="4"/>
  <c r="O111" i="4"/>
  <c r="P111" i="4" s="1"/>
  <c r="T124" i="4"/>
  <c r="T110" i="4"/>
  <c r="O125" i="4"/>
  <c r="P125" i="4" s="1"/>
  <c r="V125" i="4"/>
  <c r="T125" i="4"/>
  <c r="T85" i="4"/>
  <c r="M98" i="4"/>
  <c r="U98" i="4" s="1"/>
  <c r="S98" i="4"/>
  <c r="T123" i="4"/>
  <c r="T116" i="4"/>
  <c r="T80" i="4"/>
  <c r="O101" i="4"/>
  <c r="P101" i="4" s="1"/>
  <c r="T101" i="4"/>
  <c r="M112" i="4"/>
  <c r="U112" i="4" s="1"/>
  <c r="S112" i="4"/>
  <c r="L107" i="4"/>
  <c r="T92" i="4"/>
  <c r="T79" i="4"/>
  <c r="T103" i="4"/>
  <c r="T117" i="4"/>
  <c r="V117" i="4"/>
  <c r="T84" i="4"/>
  <c r="T87" i="4"/>
  <c r="M117" i="4"/>
  <c r="U117" i="4" s="1"/>
  <c r="S117" i="4"/>
  <c r="L84" i="4"/>
  <c r="S84" i="4" s="1"/>
  <c r="O110" i="4"/>
  <c r="P110" i="4" s="1"/>
  <c r="T88" i="4"/>
  <c r="L106" i="4"/>
  <c r="T89" i="4"/>
  <c r="O106" i="4"/>
  <c r="P106" i="4" s="1"/>
  <c r="T106" i="4"/>
  <c r="T74" i="4"/>
  <c r="V105" i="4"/>
  <c r="T105" i="4"/>
  <c r="O102" i="4"/>
  <c r="P102" i="4" s="1"/>
  <c r="T102" i="4"/>
  <c r="T90" i="4"/>
  <c r="N98" i="4"/>
  <c r="Q98" i="4" s="1"/>
  <c r="M113" i="4"/>
  <c r="U113" i="4" s="1"/>
  <c r="S113" i="4"/>
  <c r="O123" i="4"/>
  <c r="P123" i="4" s="1"/>
  <c r="T83" i="4"/>
  <c r="T81" i="4"/>
  <c r="L77" i="4"/>
  <c r="S77" i="4" s="1"/>
  <c r="L111" i="4"/>
  <c r="V98" i="4"/>
  <c r="T98" i="4"/>
  <c r="T121" i="4"/>
  <c r="T96" i="4"/>
  <c r="O99" i="4"/>
  <c r="P99" i="4" s="1"/>
  <c r="T99" i="4"/>
  <c r="V99" i="4"/>
  <c r="M104" i="4"/>
  <c r="U104" i="4" s="1"/>
  <c r="S104" i="4"/>
  <c r="N111" i="4"/>
  <c r="Q111" i="4" s="1"/>
  <c r="N112" i="4"/>
  <c r="Q112" i="4" s="1"/>
  <c r="T94" i="4"/>
  <c r="O112" i="4"/>
  <c r="P112" i="4" s="1"/>
  <c r="V112" i="4"/>
  <c r="T112" i="4"/>
  <c r="M99" i="4"/>
  <c r="U99" i="4" s="1"/>
  <c r="S99" i="4"/>
  <c r="T118" i="4"/>
  <c r="T120" i="4"/>
  <c r="L109" i="4"/>
  <c r="L102" i="4"/>
  <c r="L85" i="4"/>
  <c r="S85" i="4" s="1"/>
  <c r="O105" i="4"/>
  <c r="P105" i="4" s="1"/>
  <c r="T76" i="4"/>
  <c r="T126" i="4"/>
  <c r="T77" i="4"/>
  <c r="V115" i="4"/>
  <c r="T115" i="4"/>
  <c r="O113" i="4"/>
  <c r="P113" i="4" s="1"/>
  <c r="V113" i="4"/>
  <c r="T113" i="4"/>
  <c r="N113" i="4"/>
  <c r="Q113" i="4" s="1"/>
  <c r="L80" i="4"/>
  <c r="S80" i="4" s="1"/>
  <c r="O98" i="4"/>
  <c r="P98" i="4" s="1"/>
  <c r="T95" i="4"/>
  <c r="T93" i="4"/>
  <c r="T78" i="4"/>
  <c r="L103" i="4"/>
  <c r="U128" i="4"/>
  <c r="V128" i="4"/>
  <c r="M125" i="4"/>
  <c r="U125" i="4" s="1"/>
  <c r="S125" i="4"/>
  <c r="T91" i="4"/>
  <c r="T119" i="4"/>
  <c r="T127" i="4"/>
  <c r="V127" i="4"/>
  <c r="T73" i="4"/>
  <c r="T71" i="4"/>
  <c r="L122" i="4"/>
  <c r="L101" i="4"/>
  <c r="T86" i="4"/>
  <c r="T104" i="4"/>
  <c r="T75" i="4"/>
  <c r="L108" i="4"/>
  <c r="S108" i="4" s="1"/>
  <c r="V72" i="4"/>
  <c r="T72" i="4"/>
  <c r="M127" i="4"/>
  <c r="U127" i="4" s="1"/>
  <c r="O121" i="4"/>
  <c r="P121" i="4" s="1"/>
  <c r="M107" i="4"/>
  <c r="M115" i="4"/>
  <c r="U115" i="4" s="1"/>
  <c r="O126" i="4"/>
  <c r="P126" i="4" s="1"/>
  <c r="L116" i="4"/>
  <c r="S116" i="4" s="1"/>
  <c r="N127" i="4"/>
  <c r="Q127" i="4" s="1"/>
  <c r="O107" i="4"/>
  <c r="P107" i="4" s="1"/>
  <c r="O115" i="4"/>
  <c r="P115" i="4" s="1"/>
  <c r="O120" i="4"/>
  <c r="P120" i="4" s="1"/>
  <c r="L123" i="4"/>
  <c r="N72" i="4"/>
  <c r="Q72" i="4" s="1"/>
  <c r="L89" i="4"/>
  <c r="S89" i="4" s="1"/>
  <c r="O114" i="4"/>
  <c r="P114" i="4" s="1"/>
  <c r="N115" i="4"/>
  <c r="Q115" i="4" s="1"/>
  <c r="L71" i="4"/>
  <c r="S71" i="4" s="1"/>
  <c r="L114" i="4"/>
  <c r="S114" i="4" s="1"/>
  <c r="L118" i="4"/>
  <c r="L110" i="4"/>
  <c r="L91" i="4"/>
  <c r="S91" i="4" s="1"/>
  <c r="L86" i="4"/>
  <c r="S86" i="4" s="1"/>
  <c r="O119" i="4"/>
  <c r="P119" i="4" s="1"/>
  <c r="N125" i="4"/>
  <c r="Q125" i="4" s="1"/>
  <c r="N86" i="4"/>
  <c r="Q86" i="4" s="1"/>
  <c r="L82" i="4"/>
  <c r="S82" i="4" s="1"/>
  <c r="O127" i="4"/>
  <c r="P127" i="4" s="1"/>
  <c r="O116" i="4"/>
  <c r="P116" i="4" s="1"/>
  <c r="O108" i="4"/>
  <c r="P108" i="4" s="1"/>
  <c r="N87" i="4"/>
  <c r="Q87" i="4" s="1"/>
  <c r="L92" i="4"/>
  <c r="S92" i="4" s="1"/>
  <c r="L76" i="4"/>
  <c r="S76" i="4" s="1"/>
  <c r="L121" i="4"/>
  <c r="S121" i="4" s="1"/>
  <c r="O71" i="4"/>
  <c r="P71" i="4" s="1"/>
  <c r="O91" i="4"/>
  <c r="P91" i="4" s="1"/>
  <c r="L81" i="4"/>
  <c r="S81" i="4" s="1"/>
  <c r="L78" i="4"/>
  <c r="S78" i="4" s="1"/>
  <c r="L97" i="4"/>
  <c r="L79" i="4"/>
  <c r="S79" i="4" s="1"/>
  <c r="O124" i="4"/>
  <c r="P124" i="4" s="1"/>
  <c r="O93" i="4"/>
  <c r="P93" i="4" s="1"/>
  <c r="O72" i="4"/>
  <c r="P72" i="4" s="1"/>
  <c r="O78" i="4"/>
  <c r="P78" i="4" s="1"/>
  <c r="M80" i="4"/>
  <c r="U80" i="4" s="1"/>
  <c r="M92" i="4"/>
  <c r="U92" i="4" s="1"/>
  <c r="O74" i="4"/>
  <c r="P74" i="4" s="1"/>
  <c r="O92" i="4"/>
  <c r="P92" i="4" s="1"/>
  <c r="O94" i="4"/>
  <c r="P94" i="4" s="1"/>
  <c r="O96" i="4"/>
  <c r="P96" i="4" s="1"/>
  <c r="O82" i="4"/>
  <c r="P82" i="4" s="1"/>
  <c r="L120" i="4"/>
  <c r="S120" i="4" s="1"/>
  <c r="L126" i="4"/>
  <c r="S126" i="4" s="1"/>
  <c r="L73" i="4"/>
  <c r="S73" i="4" s="1"/>
  <c r="M87" i="4"/>
  <c r="U87" i="4" s="1"/>
  <c r="O84" i="4"/>
  <c r="P84" i="4" s="1"/>
  <c r="M95" i="4"/>
  <c r="U95" i="4" s="1"/>
  <c r="M72" i="4"/>
  <c r="U72" i="4" s="1"/>
  <c r="M97" i="4"/>
  <c r="M96" i="4"/>
  <c r="U96" i="4" s="1"/>
  <c r="O83" i="4"/>
  <c r="P83" i="4" s="1"/>
  <c r="O77" i="4"/>
  <c r="P77" i="4" s="1"/>
  <c r="O95" i="4"/>
  <c r="P95" i="4" s="1"/>
  <c r="N81" i="4"/>
  <c r="Q81" i="4" s="1"/>
  <c r="N92" i="4"/>
  <c r="Q92" i="4" s="1"/>
  <c r="N78" i="4"/>
  <c r="Q78" i="4" s="1"/>
  <c r="L90" i="4"/>
  <c r="S90" i="4" s="1"/>
  <c r="L124" i="4"/>
  <c r="S124" i="4" s="1"/>
  <c r="O75" i="4"/>
  <c r="P75" i="4" s="1"/>
  <c r="O88" i="4"/>
  <c r="P88" i="4" s="1"/>
  <c r="O80" i="4"/>
  <c r="P80" i="4" s="1"/>
  <c r="O79" i="4"/>
  <c r="P79" i="4" s="1"/>
  <c r="O87" i="4"/>
  <c r="P87" i="4" s="1"/>
  <c r="L74" i="4"/>
  <c r="S74" i="4" s="1"/>
  <c r="L119" i="4"/>
  <c r="S119" i="4" s="1"/>
  <c r="O73" i="4"/>
  <c r="P73" i="4" s="1"/>
  <c r="O90" i="4"/>
  <c r="P90" i="4" s="1"/>
  <c r="O85" i="4"/>
  <c r="P85" i="4" s="1"/>
  <c r="M84" i="4"/>
  <c r="U84" i="4" s="1"/>
  <c r="O89" i="4"/>
  <c r="P89" i="4" s="1"/>
  <c r="O81" i="4"/>
  <c r="P81" i="4" s="1"/>
  <c r="O86" i="4"/>
  <c r="P86" i="4" s="1"/>
  <c r="M85" i="4"/>
  <c r="U85" i="4" s="1"/>
  <c r="O76" i="4"/>
  <c r="P76" i="4" s="1"/>
  <c r="M94" i="4"/>
  <c r="U94" i="4" s="1"/>
  <c r="L75" i="4"/>
  <c r="S75" i="4" s="1"/>
  <c r="M82" i="4"/>
  <c r="U82" i="4" s="1"/>
  <c r="L83" i="4"/>
  <c r="S83" i="4" s="1"/>
  <c r="N97" i="4"/>
  <c r="Q97" i="4" s="1"/>
  <c r="N85" i="4"/>
  <c r="Q85" i="4" s="1"/>
  <c r="L93" i="4"/>
  <c r="S93" i="4" s="1"/>
  <c r="L88" i="4"/>
  <c r="S88" i="4" s="1"/>
  <c r="N82" i="4"/>
  <c r="Q82" i="4" s="1"/>
  <c r="N84" i="4"/>
  <c r="Q84" i="4" s="1"/>
  <c r="J14" i="4"/>
  <c r="J13" i="4" s="1"/>
  <c r="K16" i="4" s="1"/>
  <c r="V80" i="4" l="1"/>
  <c r="M118" i="4"/>
  <c r="S118" i="4"/>
  <c r="V95" i="4"/>
  <c r="V92" i="4"/>
  <c r="M101" i="4"/>
  <c r="S101" i="4"/>
  <c r="M122" i="4"/>
  <c r="S122" i="4"/>
  <c r="M103" i="4"/>
  <c r="S103" i="4"/>
  <c r="M109" i="4"/>
  <c r="S109" i="4"/>
  <c r="M111" i="4"/>
  <c r="S111" i="4"/>
  <c r="M110" i="4"/>
  <c r="S110" i="4"/>
  <c r="M76" i="4"/>
  <c r="M77" i="4"/>
  <c r="V104" i="4"/>
  <c r="V96" i="4"/>
  <c r="V87" i="4"/>
  <c r="V82" i="4"/>
  <c r="M86" i="4"/>
  <c r="M108" i="4"/>
  <c r="M106" i="4"/>
  <c r="S106" i="4"/>
  <c r="M123" i="4"/>
  <c r="S123" i="4"/>
  <c r="S102" i="4"/>
  <c r="M102" i="4"/>
  <c r="V94" i="4"/>
  <c r="V84" i="4"/>
  <c r="V85" i="4"/>
  <c r="M114" i="4"/>
  <c r="M71" i="4"/>
  <c r="M78" i="4"/>
  <c r="M121" i="4"/>
  <c r="M81" i="4"/>
  <c r="M126" i="4"/>
  <c r="M91" i="4"/>
  <c r="M116" i="4"/>
  <c r="M120" i="4"/>
  <c r="M89" i="4"/>
  <c r="M119" i="4"/>
  <c r="M79" i="4"/>
  <c r="M124" i="4"/>
  <c r="M75" i="4"/>
  <c r="M90" i="4"/>
  <c r="M88" i="4"/>
  <c r="M83" i="4"/>
  <c r="M93" i="4"/>
  <c r="M73" i="4"/>
  <c r="M74" i="4"/>
  <c r="K14" i="4"/>
  <c r="K13" i="4"/>
  <c r="K15" i="4"/>
  <c r="U71" i="4" l="1"/>
  <c r="V71" i="4"/>
  <c r="U109" i="4"/>
  <c r="V109" i="4"/>
  <c r="U114" i="4"/>
  <c r="V114" i="4"/>
  <c r="U122" i="4"/>
  <c r="V122" i="4"/>
  <c r="U116" i="4"/>
  <c r="V116" i="4"/>
  <c r="U75" i="4"/>
  <c r="V75" i="4"/>
  <c r="U86" i="4"/>
  <c r="V86" i="4"/>
  <c r="U124" i="4"/>
  <c r="V124" i="4"/>
  <c r="U79" i="4"/>
  <c r="V79" i="4"/>
  <c r="U103" i="4"/>
  <c r="V103" i="4"/>
  <c r="U119" i="4"/>
  <c r="V119" i="4"/>
  <c r="U89" i="4"/>
  <c r="V89" i="4"/>
  <c r="U120" i="4"/>
  <c r="V120" i="4"/>
  <c r="U102" i="4"/>
  <c r="V102" i="4"/>
  <c r="U77" i="4"/>
  <c r="V77" i="4"/>
  <c r="U74" i="4"/>
  <c r="V74" i="4"/>
  <c r="U76" i="4"/>
  <c r="V76" i="4"/>
  <c r="U101" i="4"/>
  <c r="V101" i="4"/>
  <c r="U73" i="4"/>
  <c r="V73" i="4"/>
  <c r="U91" i="4"/>
  <c r="V91" i="4"/>
  <c r="U93" i="4"/>
  <c r="V93" i="4"/>
  <c r="U126" i="4"/>
  <c r="V126" i="4"/>
  <c r="U123" i="4"/>
  <c r="V123" i="4"/>
  <c r="U110" i="4"/>
  <c r="V110" i="4"/>
  <c r="U83" i="4"/>
  <c r="V83" i="4"/>
  <c r="U81" i="4"/>
  <c r="V81" i="4"/>
  <c r="U88" i="4"/>
  <c r="V88" i="4"/>
  <c r="U121" i="4"/>
  <c r="V121" i="4"/>
  <c r="U106" i="4"/>
  <c r="V106" i="4"/>
  <c r="U111" i="4"/>
  <c r="V111" i="4"/>
  <c r="U118" i="4"/>
  <c r="V118" i="4"/>
  <c r="U90" i="4"/>
  <c r="V90" i="4"/>
  <c r="U78" i="4"/>
  <c r="V78" i="4"/>
  <c r="U108" i="4"/>
  <c r="V108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T57" i="4" l="1"/>
  <c r="T61" i="4"/>
  <c r="O55" i="4"/>
  <c r="P55" i="4" s="1"/>
  <c r="T55" i="4"/>
  <c r="T63" i="4"/>
  <c r="T58" i="4"/>
  <c r="O56" i="4"/>
  <c r="P56" i="4" s="1"/>
  <c r="T56" i="4"/>
  <c r="O59" i="4"/>
  <c r="P59" i="4" s="1"/>
  <c r="T59" i="4"/>
  <c r="T60" i="4"/>
  <c r="T62" i="4"/>
  <c r="O62" i="4"/>
  <c r="P62" i="4" s="1"/>
  <c r="O61" i="4"/>
  <c r="P61" i="4" s="1"/>
  <c r="O60" i="4"/>
  <c r="P60" i="4" s="1"/>
  <c r="O58" i="4"/>
  <c r="P58" i="4" s="1"/>
  <c r="O57" i="4"/>
  <c r="P57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T64" i="4" l="1"/>
  <c r="T65" i="4"/>
  <c r="V68" i="4"/>
  <c r="T68" i="4"/>
  <c r="M55" i="4"/>
  <c r="S55" i="4"/>
  <c r="V69" i="4"/>
  <c r="T69" i="4"/>
  <c r="T70" i="4"/>
  <c r="T66" i="4"/>
  <c r="M56" i="4"/>
  <c r="S56" i="4"/>
  <c r="M59" i="4"/>
  <c r="S59" i="4"/>
  <c r="V67" i="4"/>
  <c r="T67" i="4"/>
  <c r="M60" i="4"/>
  <c r="M61" i="4"/>
  <c r="M62" i="4"/>
  <c r="M70" i="4"/>
  <c r="U70" i="4" s="1"/>
  <c r="M63" i="4"/>
  <c r="M69" i="4"/>
  <c r="U69" i="4" s="1"/>
  <c r="M58" i="4"/>
  <c r="O65" i="4"/>
  <c r="P65" i="4" s="1"/>
  <c r="O66" i="4"/>
  <c r="P66" i="4" s="1"/>
  <c r="M65" i="4"/>
  <c r="U65" i="4" s="1"/>
  <c r="O67" i="4"/>
  <c r="P67" i="4" s="1"/>
  <c r="M64" i="4"/>
  <c r="U64" i="4" s="1"/>
  <c r="O64" i="4"/>
  <c r="P64" i="4" s="1"/>
  <c r="O69" i="4"/>
  <c r="P69" i="4" s="1"/>
  <c r="M57" i="4"/>
  <c r="M66" i="4"/>
  <c r="U66" i="4" s="1"/>
  <c r="M67" i="4"/>
  <c r="U67" i="4" s="1"/>
  <c r="M68" i="4"/>
  <c r="U68" i="4" s="1"/>
  <c r="O68" i="4"/>
  <c r="P68" i="4" s="1"/>
  <c r="O70" i="4"/>
  <c r="P70" i="4" s="1"/>
  <c r="U57" i="4" l="1"/>
  <c r="V57" i="4"/>
  <c r="U62" i="4"/>
  <c r="V62" i="4"/>
  <c r="V70" i="4"/>
  <c r="U61" i="4"/>
  <c r="V61" i="4"/>
  <c r="U55" i="4"/>
  <c r="V55" i="4"/>
  <c r="U59" i="4"/>
  <c r="V59" i="4"/>
  <c r="V65" i="4"/>
  <c r="U58" i="4"/>
  <c r="V58" i="4"/>
  <c r="U60" i="4"/>
  <c r="V60" i="4"/>
  <c r="U56" i="4"/>
  <c r="V56" i="4"/>
  <c r="U63" i="4"/>
  <c r="V63" i="4"/>
  <c r="V66" i="4"/>
  <c r="V64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L45" i="4" s="1"/>
  <c r="S45" i="4" s="1"/>
  <c r="J30" i="4"/>
  <c r="K30" i="4" s="1"/>
  <c r="J43" i="4"/>
  <c r="K43" i="4" s="1"/>
  <c r="J31" i="4"/>
  <c r="K31" i="4" s="1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44" i="4"/>
  <c r="K52" i="4"/>
  <c r="L52" i="4"/>
  <c r="L43" i="4"/>
  <c r="S43" i="4" s="1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L30" i="4"/>
  <c r="S30" i="4" s="1"/>
  <c r="M51" i="4" l="1"/>
  <c r="U51" i="4" s="1"/>
  <c r="S51" i="4"/>
  <c r="T41" i="4"/>
  <c r="M54" i="4"/>
  <c r="U54" i="4" s="1"/>
  <c r="S54" i="4"/>
  <c r="O50" i="4"/>
  <c r="P50" i="4" s="1"/>
  <c r="T50" i="4"/>
  <c r="M50" i="4"/>
  <c r="U50" i="4" s="1"/>
  <c r="S50" i="4"/>
  <c r="M52" i="4"/>
  <c r="U52" i="4" s="1"/>
  <c r="S52" i="4"/>
  <c r="T39" i="4"/>
  <c r="O52" i="4"/>
  <c r="P52" i="4" s="1"/>
  <c r="T52" i="4"/>
  <c r="T47" i="4"/>
  <c r="T44" i="4"/>
  <c r="T33" i="4"/>
  <c r="T48" i="4"/>
  <c r="T28" i="4"/>
  <c r="T46" i="4"/>
  <c r="O53" i="4"/>
  <c r="P53" i="4" s="1"/>
  <c r="T53" i="4"/>
  <c r="M53" i="4"/>
  <c r="U53" i="4" s="1"/>
  <c r="S53" i="4"/>
  <c r="T31" i="4"/>
  <c r="O51" i="4"/>
  <c r="P51" i="4" s="1"/>
  <c r="V51" i="4"/>
  <c r="T51" i="4"/>
  <c r="T43" i="4"/>
  <c r="V30" i="4"/>
  <c r="T30" i="4"/>
  <c r="V49" i="4"/>
  <c r="T49" i="4"/>
  <c r="O54" i="4"/>
  <c r="P54" i="4" s="1"/>
  <c r="V54" i="4"/>
  <c r="T54" i="4"/>
  <c r="L47" i="4"/>
  <c r="S47" i="4" s="1"/>
  <c r="O48" i="4"/>
  <c r="P48" i="4" s="1"/>
  <c r="M48" i="4"/>
  <c r="U48" i="4" s="1"/>
  <c r="K45" i="4"/>
  <c r="O49" i="4"/>
  <c r="P49" i="4" s="1"/>
  <c r="M49" i="4"/>
  <c r="U49" i="4" s="1"/>
  <c r="M35" i="4"/>
  <c r="U35" i="4" s="1"/>
  <c r="O31" i="4"/>
  <c r="P31" i="4" s="1"/>
  <c r="O43" i="4"/>
  <c r="P43" i="4" s="1"/>
  <c r="M45" i="4"/>
  <c r="U45" i="4" s="1"/>
  <c r="L31" i="4"/>
  <c r="S31" i="4" s="1"/>
  <c r="O47" i="4"/>
  <c r="P47" i="4" s="1"/>
  <c r="K35" i="4"/>
  <c r="O28" i="4"/>
  <c r="P28" i="4" s="1"/>
  <c r="O46" i="4"/>
  <c r="P46" i="4" s="1"/>
  <c r="O39" i="4"/>
  <c r="P39" i="4" s="1"/>
  <c r="O45" i="4"/>
  <c r="P45" i="4" s="1"/>
  <c r="O33" i="4"/>
  <c r="P33" i="4" s="1"/>
  <c r="M43" i="4"/>
  <c r="U43" i="4" s="1"/>
  <c r="M44" i="4"/>
  <c r="U44" i="4" s="1"/>
  <c r="M39" i="4"/>
  <c r="U39" i="4" s="1"/>
  <c r="O41" i="4"/>
  <c r="P41" i="4" s="1"/>
  <c r="O30" i="4"/>
  <c r="P30" i="4" s="1"/>
  <c r="O44" i="4"/>
  <c r="P44" i="4" s="1"/>
  <c r="K36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V29" i="4" l="1"/>
  <c r="T29" i="4"/>
  <c r="V38" i="4"/>
  <c r="T38" i="4"/>
  <c r="V44" i="4"/>
  <c r="V40" i="4"/>
  <c r="T40" i="4"/>
  <c r="V34" i="4"/>
  <c r="T34" i="4"/>
  <c r="V43" i="4"/>
  <c r="V52" i="4"/>
  <c r="V37" i="4"/>
  <c r="T37" i="4"/>
  <c r="V39" i="4"/>
  <c r="V32" i="4"/>
  <c r="T32" i="4"/>
  <c r="V50" i="4"/>
  <c r="V53" i="4"/>
  <c r="V42" i="4"/>
  <c r="T42" i="4"/>
  <c r="V45" i="4"/>
  <c r="T45" i="4"/>
  <c r="T36" i="4"/>
  <c r="V36" i="4"/>
  <c r="V35" i="4"/>
  <c r="T35" i="4"/>
  <c r="V48" i="4"/>
  <c r="M47" i="4"/>
  <c r="O29" i="4"/>
  <c r="P29" i="4" s="1"/>
  <c r="O32" i="4"/>
  <c r="P32" i="4" s="1"/>
  <c r="O38" i="4"/>
  <c r="P38" i="4" s="1"/>
  <c r="O34" i="4"/>
  <c r="P34" i="4" s="1"/>
  <c r="O35" i="4"/>
  <c r="P35" i="4" s="1"/>
  <c r="M33" i="4"/>
  <c r="M41" i="4"/>
  <c r="O37" i="4"/>
  <c r="P37" i="4" s="1"/>
  <c r="O36" i="4"/>
  <c r="P36" i="4" s="1"/>
  <c r="O40" i="4"/>
  <c r="P40" i="4" s="1"/>
  <c r="O42" i="4"/>
  <c r="P42" i="4" s="1"/>
  <c r="M46" i="4"/>
  <c r="M31" i="4"/>
  <c r="M28" i="4"/>
  <c r="U41" i="4" l="1"/>
  <c r="V41" i="4"/>
  <c r="U33" i="4"/>
  <c r="V33" i="4"/>
  <c r="U31" i="4"/>
  <c r="V31" i="4"/>
  <c r="U46" i="4"/>
  <c r="V46" i="4"/>
  <c r="U47" i="4"/>
  <c r="V47" i="4"/>
  <c r="U28" i="4"/>
  <c r="V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<sst xmlns="http://schemas.openxmlformats.org/spreadsheetml/2006/main" count="340" uniqueCount="314">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</sst>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31</v>
      </c>
      <c r="K17" s="31" t="s">
        <v>80</v>
      </c>
      <c r="L17" s="80">
        <v>2.2349599999999998E-3</v>
      </c>
      <c r="M17" s="80">
        <v>2.99E-4</v>
      </c>
      <c r="N17" s="80">
        <v>6.6039999999999998E-5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20" zoomScale="70" zoomScaleNormal="70" workbookViewId="0">
      <selection activeCell="D28" sqref="D28:E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150.05199999999999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149.26769920000001</v>
      </c>
      <c r="K8" s="39">
        <f>J8/J7</f>
        <v>0.99477313997814099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0.72598000000000007</v>
      </c>
      <c r="K9" s="39">
        <f>J9/J7</f>
        <v>4.8381894276650766E-3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5.8320799999999992E-2</v>
      </c>
      <c r="K10" s="39">
        <f>J10/J7</f>
        <v>3.8867059419401271E-4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5.1999999999999991E-2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4.4699199999999994E-2</v>
      </c>
      <c r="K20" s="39">
        <f>J20/J19</f>
        <v>0.85960000000000003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5.9800000000000001E-3</v>
      </c>
      <c r="K21" s="39">
        <f>J21/J19</f>
        <v>0.11500000000000002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1.3208E-3</v>
      </c>
      <c r="K22" s="39">
        <f>J22/J19</f>
        <v>2.5400000000000006E-2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1.0273074416240108E-2</v>
      </c>
      <c r="K28" s="93">
        <f t="shared" ref="K28:K47" si="3">IF(D28=0,"",1/(1+10^D28*$J$15/$J$14+10^E28*$J$16/$J$14+10^J28*$J$19/$J$14))</f>
        <v>0.99361543993900081</v>
      </c>
      <c r="L28" s="93">
        <f t="shared" ref="L28:L47" si="4">IF(D28=0,"",1/(1+10^I28/10^J28*$J$13/$J$19))</f>
        <v>3.5453489149494757E-4</v>
      </c>
      <c r="M28" s="93">
        <f t="shared" ref="M28:M47" si="5">IF(D28=0,"",1-L28)</f>
        <v>0.99964546510850505</v>
      </c>
      <c r="N28" s="93">
        <f t="shared" ref="N28:N47" si="6">IF(D28=0,"",1/(1/10^E28*$J$20/$J$22+10^D28/10^E28*$J$21/$J$22+10^I28/10^E28*$J$13/$J$22+1))</f>
        <v>1.0627610393126528E-5</v>
      </c>
      <c r="O28" s="40">
        <f t="shared" ref="O28:O47" si="7">IF(D28=0,"",F28*K28*$J$7/$J$14)</f>
        <v>9.9913541473986531E-7</v>
      </c>
      <c r="P28" s="40">
        <f t="shared" ref="P28:P47" si="8">IF(D28=0,"",O28*10^J28)</f>
        <v>1.0230513372807666E-6</v>
      </c>
      <c r="Q28" s="40">
        <f t="shared" ref="Q28:Q47" si="9">IF(D28=0,"",F28*N28*$J$7/$J$22)</f>
        <v>1.2073699233111914E-6</v>
      </c>
      <c r="R28" s="9">
        <f>F28*$C$14</f>
        <v>1.4999999999999999E-4</v>
      </c>
      <c r="S28" s="9">
        <f>$R28*L28</f>
        <v>5.318023372424213E-8</v>
      </c>
      <c r="T28" s="9">
        <f t="shared" ref="T28:T91" si="10">R28*K28</f>
        <v>1.490423159908501E-4</v>
      </c>
      <c r="U28" s="9">
        <f t="shared" ref="U28:U91" si="11">$R28*M28</f>
        <v>1.4994681976627575E-4</v>
      </c>
      <c r="V28" s="100">
        <f>K28/M28</f>
        <v>0.99396783621796381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0.32619780382173885</v>
      </c>
      <c r="J29" s="92">
        <f t="shared" si="2"/>
        <v>1.5314328925481873</v>
      </c>
      <c r="K29" s="93">
        <f t="shared" si="3"/>
        <v>0.46680802601590843</v>
      </c>
      <c r="L29" s="93">
        <f t="shared" si="4"/>
        <v>5.5301738434805356E-3</v>
      </c>
      <c r="M29" s="93">
        <f t="shared" si="5"/>
        <v>0.99446982615651947</v>
      </c>
      <c r="N29" s="93">
        <f t="shared" si="6"/>
        <v>1.5708676925984203E-3</v>
      </c>
      <c r="O29" s="40">
        <f t="shared" si="7"/>
        <v>4.6940135180058757E-7</v>
      </c>
      <c r="P29" s="40">
        <f t="shared" si="8"/>
        <v>1.5957954722345025E-5</v>
      </c>
      <c r="Q29" s="40">
        <f t="shared" si="9"/>
        <v>1.7846141657312093E-4</v>
      </c>
      <c r="R29" s="9">
        <f t="shared" ref="R29:R92" si="12">F29*$C$14</f>
        <v>1.4999999999999999E-4</v>
      </c>
      <c r="S29" s="9">
        <f t="shared" ref="S29:S92" si="13">$R29*L29</f>
        <v>8.2952607652208029E-7</v>
      </c>
      <c r="T29" s="9">
        <f t="shared" si="10"/>
        <v>7.0021203902386253E-5</v>
      </c>
      <c r="U29" s="9">
        <f t="shared" si="11"/>
        <v>1.4917047392347792E-4</v>
      </c>
      <c r="V29" s="100">
        <f t="shared" ref="V29:V92" si="14">K29/M29</f>
        <v>0.46940391124791914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2.0854020627961285</v>
      </c>
      <c r="J30" s="92">
        <f t="shared" si="2"/>
        <v>3.4624903128601039</v>
      </c>
      <c r="K30" s="93">
        <f t="shared" si="3"/>
        <v>8.1053120711445815E-3</v>
      </c>
      <c r="L30" s="93">
        <f t="shared" si="4"/>
        <v>8.1927109074207641E-3</v>
      </c>
      <c r="M30" s="93">
        <f t="shared" si="5"/>
        <v>0.9918072890925792</v>
      </c>
      <c r="N30" s="93">
        <f t="shared" si="6"/>
        <v>3.1316342494883511E-5</v>
      </c>
      <c r="O30" s="40">
        <f t="shared" si="7"/>
        <v>8.1503406773713589E-9</v>
      </c>
      <c r="P30" s="40">
        <f t="shared" si="8"/>
        <v>2.3641012636159639E-5</v>
      </c>
      <c r="Q30" s="40">
        <f t="shared" si="9"/>
        <v>3.5577527438236369E-6</v>
      </c>
      <c r="R30" s="9">
        <f t="shared" si="12"/>
        <v>1.4999999999999999E-4</v>
      </c>
      <c r="S30" s="9">
        <f t="shared" si="13"/>
        <v>1.2289066361131146E-6</v>
      </c>
      <c r="T30" s="9">
        <f t="shared" si="10"/>
        <v>1.2157968106716871E-6</v>
      </c>
      <c r="U30" s="9">
        <f t="shared" si="11"/>
        <v>1.4877109336388687E-4</v>
      </c>
      <c r="V30" s="100">
        <f t="shared" si="14"/>
        <v>8.1722650763741255E-3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-2.0020416091501053E-3</v>
      </c>
      <c r="J31" s="92">
        <f t="shared" si="2"/>
        <v>-5.859866227494568E-2</v>
      </c>
      <c r="K31" s="93">
        <f t="shared" si="3"/>
        <v>0.99911253930516652</v>
      </c>
      <c r="L31" s="93">
        <f t="shared" si="4"/>
        <v>3.0421689129823157E-4</v>
      </c>
      <c r="M31" s="93">
        <f t="shared" si="5"/>
        <v>0.99969578310870177</v>
      </c>
      <c r="N31" s="93">
        <f t="shared" si="6"/>
        <v>1.4378280476118824E-7</v>
      </c>
      <c r="O31" s="40">
        <f t="shared" si="7"/>
        <v>1.0046630529329849E-6</v>
      </c>
      <c r="P31" s="40">
        <f t="shared" si="8"/>
        <v>8.7785294179004305E-7</v>
      </c>
      <c r="Q31" s="40">
        <f t="shared" si="9"/>
        <v>1.6334719427639168E-8</v>
      </c>
      <c r="R31" s="9">
        <f t="shared" si="12"/>
        <v>1.4999999999999999E-4</v>
      </c>
      <c r="S31" s="9">
        <f t="shared" si="13"/>
        <v>4.5632533694734732E-8</v>
      </c>
      <c r="T31" s="9">
        <f t="shared" si="10"/>
        <v>1.4986688089577496E-4</v>
      </c>
      <c r="U31" s="9">
        <f t="shared" si="11"/>
        <v>1.4995436746630526E-4</v>
      </c>
      <c r="V31" s="100">
        <f t="shared" si="14"/>
        <v>0.99941657870985356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5.4008424806920542E-3</v>
      </c>
      <c r="J32" s="92">
        <f t="shared" si="2"/>
        <v>0.11929695728567689</v>
      </c>
      <c r="K32" s="93">
        <f t="shared" si="3"/>
        <v>0.98208258218668254</v>
      </c>
      <c r="L32" s="93">
        <f t="shared" si="4"/>
        <v>4.5041468624680927E-4</v>
      </c>
      <c r="M32" s="93">
        <f t="shared" si="5"/>
        <v>0.99954958531375315</v>
      </c>
      <c r="N32" s="93">
        <f t="shared" si="6"/>
        <v>1.7398462995028532E-5</v>
      </c>
      <c r="O32" s="40">
        <f t="shared" si="7"/>
        <v>9.8753848684369069E-7</v>
      </c>
      <c r="P32" s="40">
        <f t="shared" si="8"/>
        <v>1.2997235480905043E-6</v>
      </c>
      <c r="Q32" s="40">
        <f t="shared" si="9"/>
        <v>1.9765855309888107E-6</v>
      </c>
      <c r="R32" s="9">
        <f t="shared" si="12"/>
        <v>1.4999999999999999E-4</v>
      </c>
      <c r="S32" s="9">
        <f t="shared" si="13"/>
        <v>6.7562202937021381E-8</v>
      </c>
      <c r="T32" s="9">
        <f t="shared" si="10"/>
        <v>1.4731238732800236E-4</v>
      </c>
      <c r="U32" s="9">
        <f t="shared" si="11"/>
        <v>1.4993243779706295E-4</v>
      </c>
      <c r="V32" s="100">
        <f t="shared" si="14"/>
        <v>0.98252512593300934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9.1527063522880606E-2</v>
      </c>
      <c r="J33" s="92">
        <f t="shared" si="2"/>
        <v>0.89170011001555038</v>
      </c>
      <c r="K33" s="93">
        <f t="shared" si="3"/>
        <v>0.80402242797822787</v>
      </c>
      <c r="L33" s="93">
        <f t="shared" si="4"/>
        <v>2.1834127912211199E-3</v>
      </c>
      <c r="M33" s="93">
        <f t="shared" si="5"/>
        <v>0.99781658720877886</v>
      </c>
      <c r="N33" s="93">
        <f t="shared" si="6"/>
        <v>5.1904482970169632E-4</v>
      </c>
      <c r="O33" s="40">
        <f t="shared" si="7"/>
        <v>8.0848912944377901E-7</v>
      </c>
      <c r="P33" s="40">
        <f t="shared" si="8"/>
        <v>6.3004895413136827E-6</v>
      </c>
      <c r="Q33" s="40">
        <f t="shared" si="9"/>
        <v>5.8967076609932563E-5</v>
      </c>
      <c r="R33" s="9">
        <f t="shared" si="12"/>
        <v>1.4999999999999999E-4</v>
      </c>
      <c r="S33" s="9">
        <f t="shared" si="13"/>
        <v>3.2751191868316793E-7</v>
      </c>
      <c r="T33" s="9">
        <f t="shared" si="10"/>
        <v>1.2060336419673417E-4</v>
      </c>
      <c r="U33" s="9">
        <f t="shared" si="11"/>
        <v>1.4967248808131682E-4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3.1608226539332684E-3</v>
      </c>
      <c r="J34" s="92">
        <f t="shared" si="2"/>
        <v>7.1416867604929449E-2</v>
      </c>
      <c r="K34" s="93">
        <f t="shared" si="3"/>
        <v>0.9872054461049603</v>
      </c>
      <c r="L34" s="93">
        <f t="shared" si="4"/>
        <v>4.055010535841882E-4</v>
      </c>
      <c r="M34" s="93">
        <f t="shared" si="5"/>
        <v>0.99959449894641583</v>
      </c>
      <c r="N34" s="93">
        <f t="shared" si="6"/>
        <v>1.073826818176925E-5</v>
      </c>
      <c r="O34" s="40">
        <f t="shared" si="7"/>
        <v>9.9268981054489897E-7</v>
      </c>
      <c r="P34" s="40">
        <f t="shared" si="8"/>
        <v>1.1701200787002807E-6</v>
      </c>
      <c r="Q34" s="40">
        <f t="shared" si="9"/>
        <v>1.2199414121826464E-6</v>
      </c>
      <c r="R34" s="9">
        <f t="shared" si="12"/>
        <v>1.4999999999999999E-4</v>
      </c>
      <c r="S34" s="9">
        <f t="shared" si="13"/>
        <v>6.0825158037628229E-8</v>
      </c>
      <c r="T34" s="9">
        <f t="shared" si="10"/>
        <v>1.4808081691574404E-4</v>
      </c>
      <c r="U34" s="9">
        <f t="shared" si="11"/>
        <v>1.4993917484196236E-4</v>
      </c>
      <c r="V34" s="100">
        <f t="shared" si="14"/>
        <v>0.98760592134659231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1.8333114105419375E-3</v>
      </c>
      <c r="J35" s="92">
        <f t="shared" si="2"/>
        <v>4.0811704581714597E-2</v>
      </c>
      <c r="K35" s="93">
        <f t="shared" si="3"/>
        <v>0.99025383899849884</v>
      </c>
      <c r="L35" s="93">
        <f t="shared" si="4"/>
        <v>3.7907558695671173E-4</v>
      </c>
      <c r="M35" s="93">
        <f t="shared" si="5"/>
        <v>0.99962092441304329</v>
      </c>
      <c r="N35" s="93">
        <f t="shared" si="6"/>
        <v>7.2476291597581016E-6</v>
      </c>
      <c r="O35" s="40">
        <f t="shared" si="7"/>
        <v>9.9575513861403892E-7</v>
      </c>
      <c r="P35" s="40">
        <f t="shared" si="8"/>
        <v>1.0938663456543944E-6</v>
      </c>
      <c r="Q35" s="40">
        <f t="shared" si="9"/>
        <v>8.2338071674744279E-7</v>
      </c>
      <c r="R35" s="9">
        <f t="shared" si="12"/>
        <v>1.4999999999999999E-4</v>
      </c>
      <c r="S35" s="9">
        <f t="shared" si="13"/>
        <v>5.6861338043506753E-8</v>
      </c>
      <c r="T35" s="9">
        <f t="shared" si="10"/>
        <v>1.4853807584977482E-4</v>
      </c>
      <c r="U35" s="9">
        <f t="shared" si="11"/>
        <v>1.4994313866195647E-4</v>
      </c>
      <c r="V35" s="100">
        <f t="shared" si="14"/>
        <v>0.99062936240550925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1.2834731216469764</v>
      </c>
      <c r="J36" s="92">
        <f t="shared" si="2"/>
        <v>2.8129743237059617</v>
      </c>
      <c r="K36" s="93">
        <f t="shared" si="3"/>
        <v>5.1192391857253196E-2</v>
      </c>
      <c r="L36" s="93">
        <f t="shared" si="4"/>
        <v>1.1597044456559128E-2</v>
      </c>
      <c r="M36" s="93">
        <f t="shared" si="5"/>
        <v>0.98840295554344082</v>
      </c>
      <c r="N36" s="93">
        <f t="shared" si="6"/>
        <v>5.9193322155278796E-3</v>
      </c>
      <c r="O36" s="40">
        <f t="shared" si="7"/>
        <v>5.1476788316576907E-8</v>
      </c>
      <c r="P36" s="40">
        <f t="shared" si="8"/>
        <v>3.3464609899915609E-5</v>
      </c>
      <c r="Q36" s="40">
        <f t="shared" si="9"/>
        <v>6.7247701211719353E-4</v>
      </c>
      <c r="R36" s="9">
        <f t="shared" si="12"/>
        <v>1.4999999999999999E-4</v>
      </c>
      <c r="S36" s="9">
        <f t="shared" si="13"/>
        <v>1.739556668483869E-6</v>
      </c>
      <c r="T36" s="9">
        <f t="shared" si="10"/>
        <v>7.6788587785879794E-6</v>
      </c>
      <c r="U36" s="9">
        <f t="shared" si="11"/>
        <v>1.482604433315161E-4</v>
      </c>
      <c r="V36" s="100">
        <f t="shared" si="14"/>
        <v>5.1793038021731477E-2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3.1977472098667894</v>
      </c>
      <c r="J37" s="92">
        <f t="shared" si="2"/>
        <v>4.9487921948544864</v>
      </c>
      <c r="K37" s="93">
        <f t="shared" si="3"/>
        <v>6.1885998940178525E-4</v>
      </c>
      <c r="L37" s="93">
        <f t="shared" si="4"/>
        <v>1.9166913247974912E-2</v>
      </c>
      <c r="M37" s="93">
        <f t="shared" si="5"/>
        <v>0.98083308675202507</v>
      </c>
      <c r="N37" s="93">
        <f t="shared" si="6"/>
        <v>1.7185239918925101E-2</v>
      </c>
      <c r="O37" s="40">
        <f t="shared" si="7"/>
        <v>6.2229803133375318E-10</v>
      </c>
      <c r="P37" s="40">
        <f t="shared" si="8"/>
        <v>5.5308339743944904E-5</v>
      </c>
      <c r="Q37" s="40">
        <f t="shared" si="9"/>
        <v>1.952361917258138E-3</v>
      </c>
      <c r="R37" s="9">
        <f t="shared" si="12"/>
        <v>1.4999999999999999E-4</v>
      </c>
      <c r="S37" s="9">
        <f t="shared" si="13"/>
        <v>2.8750369871962364E-6</v>
      </c>
      <c r="T37" s="9">
        <f t="shared" si="10"/>
        <v>9.2828998410267776E-8</v>
      </c>
      <c r="U37" s="9">
        <f t="shared" si="11"/>
        <v>1.4712496301280375E-4</v>
      </c>
      <c r="V37" s="100">
        <f t="shared" si="14"/>
        <v>6.3095341884428691E-4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-1.5996885357091404E-3</v>
      </c>
      <c r="J38" s="92">
        <f t="shared" si="2"/>
        <v>-4.7384070735103416E-2</v>
      </c>
      <c r="K38" s="93">
        <f t="shared" si="3"/>
        <v>0.9981796830290468</v>
      </c>
      <c r="L38" s="93">
        <f t="shared" si="4"/>
        <v>3.1188337987934754E-4</v>
      </c>
      <c r="M38" s="93">
        <f t="shared" si="5"/>
        <v>0.99968811662012069</v>
      </c>
      <c r="N38" s="93">
        <f t="shared" si="6"/>
        <v>5.517005378730109E-7</v>
      </c>
      <c r="O38" s="40">
        <f t="shared" si="7"/>
        <v>1.0037250142261884E-6</v>
      </c>
      <c r="P38" s="40">
        <f t="shared" si="8"/>
        <v>8.9997547918568958E-7</v>
      </c>
      <c r="Q38" s="40">
        <f t="shared" si="9"/>
        <v>6.2676990542793022E-8</v>
      </c>
      <c r="R38" s="9">
        <f t="shared" si="12"/>
        <v>1.4999999999999999E-4</v>
      </c>
      <c r="S38" s="9">
        <f t="shared" si="13"/>
        <v>4.678250698190213E-8</v>
      </c>
      <c r="T38" s="9">
        <f t="shared" si="10"/>
        <v>1.4972695245435701E-4</v>
      </c>
      <c r="U38" s="9">
        <f t="shared" si="11"/>
        <v>1.4995321749301809E-4</v>
      </c>
      <c r="V38" s="100">
        <f t="shared" si="14"/>
        <v>0.99849109580678641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0.33491051106253611</v>
      </c>
      <c r="J39" s="92">
        <f t="shared" si="2"/>
        <v>1.5278128154398603</v>
      </c>
      <c r="K39" s="93">
        <f t="shared" si="3"/>
        <v>0.45760720687601836</v>
      </c>
      <c r="L39" s="93">
        <f t="shared" si="4"/>
        <v>5.3761731526964151E-3</v>
      </c>
      <c r="M39" s="93">
        <f t="shared" si="5"/>
        <v>0.99462382684730355</v>
      </c>
      <c r="N39" s="93">
        <f t="shared" si="6"/>
        <v>1.2140208596059295E-3</v>
      </c>
      <c r="O39" s="40">
        <f t="shared" si="7"/>
        <v>4.6014941802644554E-7</v>
      </c>
      <c r="P39" s="40">
        <f t="shared" si="8"/>
        <v>1.5513567959776966E-5</v>
      </c>
      <c r="Q39" s="40">
        <f t="shared" si="9"/>
        <v>1.3792115235129385E-4</v>
      </c>
      <c r="R39" s="9">
        <f t="shared" si="12"/>
        <v>1.4999999999999999E-4</v>
      </c>
      <c r="S39" s="9">
        <f t="shared" si="13"/>
        <v>8.0642597290446221E-7</v>
      </c>
      <c r="T39" s="9">
        <f t="shared" si="10"/>
        <v>6.8641081031402748E-5</v>
      </c>
      <c r="U39" s="9">
        <f t="shared" si="11"/>
        <v>1.4919357402709552E-4</v>
      </c>
      <c r="V39" s="100">
        <f t="shared" si="14"/>
        <v>0.46008068027740001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0.37071855582347524</v>
      </c>
      <c r="J40" s="92">
        <f t="shared" si="2"/>
        <v>1.6554914305111572</v>
      </c>
      <c r="K40" s="93">
        <f t="shared" si="3"/>
        <v>0.42085754614532378</v>
      </c>
      <c r="L40" s="93">
        <f t="shared" si="4"/>
        <v>6.6342850252191585E-3</v>
      </c>
      <c r="M40" s="93">
        <f t="shared" si="5"/>
        <v>0.99336571497478088</v>
      </c>
      <c r="N40" s="93">
        <f t="shared" si="6"/>
        <v>2.7327105394503938E-3</v>
      </c>
      <c r="O40" s="40">
        <f t="shared" si="7"/>
        <v>4.231955966184711E-7</v>
      </c>
      <c r="P40" s="40">
        <f t="shared" si="8"/>
        <v>1.9143994934695872E-5</v>
      </c>
      <c r="Q40" s="40">
        <f t="shared" si="9"/>
        <v>3.104547863912859E-4</v>
      </c>
      <c r="R40" s="9">
        <f t="shared" si="12"/>
        <v>1.4999999999999999E-4</v>
      </c>
      <c r="S40" s="9">
        <f t="shared" si="13"/>
        <v>9.9514275378287378E-7</v>
      </c>
      <c r="T40" s="9">
        <f t="shared" si="10"/>
        <v>6.3128631921798562E-5</v>
      </c>
      <c r="U40" s="9">
        <f t="shared" si="11"/>
        <v>1.4900485724621713E-4</v>
      </c>
      <c r="V40" s="100">
        <f t="shared" si="14"/>
        <v>0.42366828228615511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6.2122287627494992E-2</v>
      </c>
      <c r="J41" s="92">
        <f t="shared" si="2"/>
        <v>0.7151775048840503</v>
      </c>
      <c r="K41" s="93">
        <f t="shared" si="3"/>
        <v>0.86088569948618532</v>
      </c>
      <c r="L41" s="93">
        <f t="shared" si="4"/>
        <v>1.5570070366570162E-3</v>
      </c>
      <c r="M41" s="93">
        <f t="shared" si="5"/>
        <v>0.99844299296334293</v>
      </c>
      <c r="N41" s="93">
        <f t="shared" si="6"/>
        <v>2.4415509247871601E-4</v>
      </c>
      <c r="O41" s="40">
        <f t="shared" si="7"/>
        <v>8.6566830166462983E-7</v>
      </c>
      <c r="P41" s="40">
        <f t="shared" si="8"/>
        <v>4.4929234589318963E-6</v>
      </c>
      <c r="Q41" s="40">
        <f t="shared" si="9"/>
        <v>2.7737704373573813E-5</v>
      </c>
      <c r="R41" s="9">
        <f t="shared" si="12"/>
        <v>1.4999999999999999E-4</v>
      </c>
      <c r="S41" s="9">
        <f t="shared" si="13"/>
        <v>2.3355105549855241E-7</v>
      </c>
      <c r="T41" s="9">
        <f t="shared" si="10"/>
        <v>1.2913285492292779E-4</v>
      </c>
      <c r="U41" s="9">
        <f t="shared" si="11"/>
        <v>1.4976644894450144E-4</v>
      </c>
      <c r="V41" s="100">
        <f t="shared" si="14"/>
        <v>0.86222819485277524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0.22542744412672311</v>
      </c>
      <c r="J42" s="92">
        <f t="shared" si="2"/>
        <v>1.345926094870141</v>
      </c>
      <c r="K42" s="93">
        <f t="shared" si="3"/>
        <v>0.58929751292771793</v>
      </c>
      <c r="L42" s="93">
        <f t="shared" si="4"/>
        <v>4.5543696829644584E-3</v>
      </c>
      <c r="M42" s="93">
        <f t="shared" si="5"/>
        <v>0.99544563031703559</v>
      </c>
      <c r="N42" s="93">
        <f t="shared" si="6"/>
        <v>1.5657913934932614E-3</v>
      </c>
      <c r="O42" s="40">
        <f t="shared" si="7"/>
        <v>5.9257132218109755E-7</v>
      </c>
      <c r="P42" s="40">
        <f t="shared" si="8"/>
        <v>1.3142159224388134E-5</v>
      </c>
      <c r="Q42" s="40">
        <f t="shared" si="9"/>
        <v>1.7788471394340614E-4</v>
      </c>
      <c r="R42" s="9">
        <f t="shared" si="12"/>
        <v>1.4999999999999999E-4</v>
      </c>
      <c r="S42" s="9">
        <f t="shared" si="13"/>
        <v>6.8315545244466874E-7</v>
      </c>
      <c r="T42" s="9">
        <f t="shared" si="10"/>
        <v>8.8394626939157687E-5</v>
      </c>
      <c r="U42" s="9">
        <f t="shared" si="11"/>
        <v>1.4931684454755532E-4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0.32073739190116707</v>
      </c>
      <c r="J43" s="92">
        <f t="shared" si="2"/>
        <v>1.511064839547366</v>
      </c>
      <c r="K43" s="93">
        <f t="shared" si="3"/>
        <v>0.47280251371667875</v>
      </c>
      <c r="L43" s="93">
        <f t="shared" si="4"/>
        <v>5.3445629067873437E-3</v>
      </c>
      <c r="M43" s="93">
        <f t="shared" si="5"/>
        <v>0.99465543709321269</v>
      </c>
      <c r="N43" s="93">
        <f t="shared" si="6"/>
        <v>1.3539607359735926E-3</v>
      </c>
      <c r="O43" s="40">
        <f t="shared" si="7"/>
        <v>4.7542914154128425E-7</v>
      </c>
      <c r="P43" s="40">
        <f t="shared" si="8"/>
        <v>1.5422352947870284E-5</v>
      </c>
      <c r="Q43" s="40">
        <f t="shared" si="9"/>
        <v>1.538192885783688E-4</v>
      </c>
      <c r="R43" s="9">
        <f t="shared" si="12"/>
        <v>1.4999999999999999E-4</v>
      </c>
      <c r="S43" s="9">
        <f t="shared" si="13"/>
        <v>8.0168443601810148E-7</v>
      </c>
      <c r="T43" s="9">
        <f t="shared" si="10"/>
        <v>7.0920377057501804E-5</v>
      </c>
      <c r="U43" s="9">
        <f t="shared" si="11"/>
        <v>1.4919831556398189E-4</v>
      </c>
      <c r="V43" s="100">
        <f t="shared" si="14"/>
        <v>0.47534301435922355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3.8293839195374848</v>
      </c>
      <c r="J44" s="92">
        <f t="shared" si="2"/>
        <v>5.5484404117146227</v>
      </c>
      <c r="K44" s="93">
        <f t="shared" si="3"/>
        <v>1.4472620806024627E-4</v>
      </c>
      <c r="L44" s="93">
        <f t="shared" si="4"/>
        <v>1.7830157189050955E-2</v>
      </c>
      <c r="M44" s="93">
        <f t="shared" si="5"/>
        <v>0.9821698428109491</v>
      </c>
      <c r="N44" s="93">
        <f t="shared" si="6"/>
        <v>1.5078442243010075E-2</v>
      </c>
      <c r="O44" s="40">
        <f t="shared" si="7"/>
        <v>1.4553022638504834E-10</v>
      </c>
      <c r="P44" s="40">
        <f t="shared" si="8"/>
        <v>5.1450975894836055E-5</v>
      </c>
      <c r="Q44" s="40">
        <f t="shared" si="9"/>
        <v>1.7130151540340303E-3</v>
      </c>
      <c r="R44" s="9">
        <f t="shared" si="12"/>
        <v>1.4999999999999999E-4</v>
      </c>
      <c r="S44" s="9">
        <f t="shared" si="13"/>
        <v>2.6745235783576429E-6</v>
      </c>
      <c r="T44" s="9">
        <f t="shared" si="10"/>
        <v>2.1708931209036939E-8</v>
      </c>
      <c r="U44" s="9">
        <f t="shared" si="11"/>
        <v>1.4732547642164236E-4</v>
      </c>
      <c r="V44" s="100">
        <f t="shared" si="14"/>
        <v>1.4735354492868868E-4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3.8037572032670899E-2</v>
      </c>
      <c r="J45" s="92">
        <f t="shared" si="2"/>
        <v>0.55377732988068618</v>
      </c>
      <c r="K45" s="93">
        <f t="shared" si="3"/>
        <v>0.91036079581230289</v>
      </c>
      <c r="L45" s="93">
        <f t="shared" si="4"/>
        <v>1.1354250028389097E-3</v>
      </c>
      <c r="M45" s="93">
        <f t="shared" si="5"/>
        <v>0.99886457499716108</v>
      </c>
      <c r="N45" s="93">
        <f t="shared" si="6"/>
        <v>1.9897606605274388E-4</v>
      </c>
      <c r="O45" s="40">
        <f t="shared" si="7"/>
        <v>9.1541825411114681E-7</v>
      </c>
      <c r="P45" s="40">
        <f t="shared" si="8"/>
        <v>3.2763998562689249E-6</v>
      </c>
      <c r="Q45" s="40">
        <f t="shared" si="9"/>
        <v>2.2605055014647424E-5</v>
      </c>
      <c r="R45" s="9">
        <f t="shared" si="12"/>
        <v>1.4999999999999999E-4</v>
      </c>
      <c r="S45" s="9">
        <f t="shared" si="13"/>
        <v>1.7031375042583644E-7</v>
      </c>
      <c r="T45" s="9">
        <f t="shared" si="10"/>
        <v>1.3655411937184541E-4</v>
      </c>
      <c r="U45" s="9">
        <f t="shared" si="11"/>
        <v>1.4982968624957415E-4</v>
      </c>
      <c r="V45" s="100">
        <f t="shared" si="14"/>
        <v>0.9113956171835309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4.0258976380178252E-2</v>
      </c>
      <c r="J46" s="92">
        <f t="shared" si="2"/>
        <v>0.56756569522901168</v>
      </c>
      <c r="K46" s="93">
        <f t="shared" si="3"/>
        <v>0.90568845717776203</v>
      </c>
      <c r="L46" s="93">
        <f t="shared" si="4"/>
        <v>1.1660363915129185E-3</v>
      </c>
      <c r="M46" s="93">
        <f t="shared" si="5"/>
        <v>0.99883396360848709</v>
      </c>
      <c r="N46" s="93">
        <f t="shared" si="6"/>
        <v>1.8878049746058864E-4</v>
      </c>
      <c r="O46" s="40">
        <f t="shared" si="7"/>
        <v>9.1071995856159915E-7</v>
      </c>
      <c r="P46" s="40">
        <f t="shared" si="8"/>
        <v>3.364732550371085E-6</v>
      </c>
      <c r="Q46" s="40">
        <f t="shared" si="9"/>
        <v>2.1446768023134647E-5</v>
      </c>
      <c r="R46" s="9">
        <f t="shared" si="12"/>
        <v>1.4999999999999999E-4</v>
      </c>
      <c r="S46" s="9">
        <f t="shared" si="13"/>
        <v>1.7490545872693777E-7</v>
      </c>
      <c r="T46" s="9">
        <f t="shared" si="10"/>
        <v>1.3585326857666429E-4</v>
      </c>
      <c r="U46" s="9">
        <f t="shared" si="11"/>
        <v>1.4982509454127305E-4</v>
      </c>
      <c r="V46" s="100">
        <f t="shared" si="14"/>
        <v>0.90674575572678939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0.50587648659747519</v>
      </c>
      <c r="J47" s="92">
        <f t="shared" si="2"/>
        <v>1.8833785574234878</v>
      </c>
      <c r="K47" s="93">
        <f t="shared" si="3"/>
        <v>0.30781652073344423</v>
      </c>
      <c r="L47" s="93">
        <f t="shared" si="4"/>
        <v>8.2004570667526151E-3</v>
      </c>
      <c r="M47" s="93">
        <f t="shared" si="5"/>
        <v>0.99179954293324735</v>
      </c>
      <c r="N47" s="93">
        <f t="shared" si="6"/>
        <v>3.7835301296773342E-3</v>
      </c>
      <c r="O47" s="40">
        <f t="shared" si="7"/>
        <v>3.0952657813537298E-7</v>
      </c>
      <c r="P47" s="40">
        <f t="shared" si="8"/>
        <v>2.3663365072699298E-5</v>
      </c>
      <c r="Q47" s="40">
        <f t="shared" si="9"/>
        <v>4.298351476516833E-4</v>
      </c>
      <c r="R47" s="9">
        <f t="shared" si="12"/>
        <v>1.4999999999999999E-4</v>
      </c>
      <c r="S47" s="9">
        <f t="shared" si="13"/>
        <v>1.2300685600128922E-6</v>
      </c>
      <c r="T47" s="9">
        <f t="shared" si="10"/>
        <v>4.6172478110016629E-5</v>
      </c>
      <c r="U47" s="9">
        <f t="shared" si="11"/>
        <v>1.4876993143998708E-4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5.0901710407050667E-2</v>
      </c>
      <c r="K48" s="93">
        <f t="shared" ref="K48:K50" si="17">IF(D48=0,"",1/(1+10^D48*$J$15/$J$14+10^E48*$J$16/$J$14+10^J48*$J$19/$J$14))</f>
        <v>0.98964670021937096</v>
      </c>
      <c r="L48" s="93">
        <f t="shared" ref="L48:L50" si="18">IF(D48=0,"",1/(1+10^I48/10^J48*$J$13/$J$19))</f>
        <v>3.8774791224395526E-4</v>
      </c>
      <c r="M48" s="93">
        <f t="shared" ref="M48:M92" si="19">IF(D48=0,"",1-L48)</f>
        <v>0.99961225208775606</v>
      </c>
      <c r="N48" s="93">
        <f t="shared" ref="N48:N50" si="20">IF(D48=0,"",1/(1/10^E48*$J$20/$J$22+10^D48/10^E48*$J$21/$J$22+10^I48/10^E48*$J$13/$J$22+1))</f>
        <v>1.3300913659598561E-5</v>
      </c>
      <c r="O48" s="40">
        <f t="shared" ref="O48:O92" si="21">IF(D48=0,"",F48*K48*$J$7/$J$14)</f>
        <v>9.951446269095047E-7</v>
      </c>
      <c r="P48" s="40">
        <f t="shared" ref="P48:P50" si="22">IF(D48=0,"",O48*10^J48)</f>
        <v>1.1188913409236533E-6</v>
      </c>
      <c r="Q48" s="40">
        <f t="shared" ref="Q48:Q50" si="23">IF(D48=0,"",F48*N48*$J$7/$J$22)</f>
        <v>1.5110756332904932E-6</v>
      </c>
      <c r="R48" s="9">
        <f t="shared" si="12"/>
        <v>1.4999999999999999E-4</v>
      </c>
      <c r="S48" s="9">
        <f t="shared" si="13"/>
        <v>5.8162186836593287E-8</v>
      </c>
      <c r="T48" s="9">
        <f t="shared" si="10"/>
        <v>1.4844700503290563E-4</v>
      </c>
      <c r="U48" s="9">
        <f t="shared" si="11"/>
        <v>1.4994183781316339E-4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8.7763082204907472E-2</v>
      </c>
      <c r="J49" s="92">
        <f t="shared" si="16"/>
        <v>0.88327907371680614</v>
      </c>
      <c r="K49" s="93">
        <f t="shared" si="17"/>
        <v>0.81103997188457932</v>
      </c>
      <c r="L49" s="93">
        <f t="shared" si="18"/>
        <v>2.1601748691661492E-3</v>
      </c>
      <c r="M49" s="93">
        <f t="shared" si="19"/>
        <v>0.9978398251308338</v>
      </c>
      <c r="N49" s="93">
        <f t="shared" si="20"/>
        <v>5.7009410758754276E-4</v>
      </c>
      <c r="O49" s="40">
        <f t="shared" si="21"/>
        <v>8.1554565892137861E-7</v>
      </c>
      <c r="P49" s="40">
        <f t="shared" si="22"/>
        <v>6.2334338359253661E-6</v>
      </c>
      <c r="Q49" s="40">
        <f t="shared" si="23"/>
        <v>6.4766627068235902E-5</v>
      </c>
      <c r="R49" s="9">
        <f t="shared" si="12"/>
        <v>1.4999999999999999E-4</v>
      </c>
      <c r="S49" s="9">
        <f t="shared" si="13"/>
        <v>3.2402623037492236E-7</v>
      </c>
      <c r="T49" s="9">
        <f t="shared" si="10"/>
        <v>1.2165599578268688E-4</v>
      </c>
      <c r="U49" s="9">
        <f t="shared" si="11"/>
        <v>1.4967597376962507E-4</v>
      </c>
      <c r="V49" s="100">
        <f t="shared" si="14"/>
        <v>0.81279575284363714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0.50667591684415281</v>
      </c>
      <c r="J50" s="92">
        <f t="shared" si="16"/>
        <v>1.8385907214946637</v>
      </c>
      <c r="K50" s="93">
        <f t="shared" si="17"/>
        <v>0.30750170249077313</v>
      </c>
      <c r="L50" s="93">
        <f t="shared" si="18"/>
        <v>7.3893429434572951E-3</v>
      </c>
      <c r="M50" s="93">
        <f t="shared" si="19"/>
        <v>0.99261065705654272</v>
      </c>
      <c r="N50" s="93">
        <f t="shared" si="20"/>
        <v>2.5048332406477085E-3</v>
      </c>
      <c r="O50" s="40">
        <f t="shared" si="21"/>
        <v>3.0921001093762681E-7</v>
      </c>
      <c r="P50" s="40">
        <f t="shared" si="22"/>
        <v>2.1322801679839507E-5</v>
      </c>
      <c r="Q50" s="40">
        <f t="shared" si="23"/>
        <v>2.845663517759463E-4</v>
      </c>
      <c r="R50" s="9">
        <f t="shared" si="12"/>
        <v>1.4999999999999999E-4</v>
      </c>
      <c r="S50" s="9">
        <f t="shared" si="13"/>
        <v>1.1084014415185941E-6</v>
      </c>
      <c r="T50" s="9">
        <f t="shared" si="10"/>
        <v>4.6125255373615968E-5</v>
      </c>
      <c r="U50" s="9">
        <f t="shared" si="11"/>
        <v>1.4889159855848141E-4</v>
      </c>
      <c r="V50" s="100">
        <f t="shared" si="14"/>
        <v>0.30979085334689965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4.6065751929206078</v>
      </c>
      <c r="K51" s="93">
        <f t="shared" ref="K51:K70" si="26">IF(D51=0,"",1/(1+10^D51*$J$15/$J$14+10^E51*$J$16/$J$14+10^J51*$J$19/$J$14))</f>
        <v>1.0317326296052703E-3</v>
      </c>
      <c r="L51" s="93">
        <f t="shared" ref="L51:L70" si="27">IF(D51=0,"",1/(1+10^I51/10^J51*$J$13/$J$19))</f>
        <v>1.453148290953289E-2</v>
      </c>
      <c r="M51" s="93">
        <f t="shared" ref="M51:M70" si="28">IF(D51=0,"",1-L51)</f>
        <v>0.98546851709046712</v>
      </c>
      <c r="N51" s="93">
        <f t="shared" ref="N51:N70" si="29">IF(D51=0,"",1/(1/10^E51*$J$20/$J$22+10^D51/10^E51*$J$21/$J$22+10^I51/10^E51*$J$13/$J$22+1))</f>
        <v>9.9052276013428218E-3</v>
      </c>
      <c r="O51" s="40">
        <f t="shared" ref="O51:O70" si="30">IF(D51=0,"",F51*K51*$J$7/$J$14)</f>
        <v>1.0374643623136513E-9</v>
      </c>
      <c r="P51" s="40">
        <f t="shared" ref="P51:P70" si="31">IF(D51=0,"",O51*10^J51)</f>
        <v>4.1932270645023636E-5</v>
      </c>
      <c r="Q51" s="40">
        <f t="shared" ref="Q51:Q70" si="32">IF(D51=0,"",F51*N51*$J$7/$J$22)</f>
        <v>1.1253022501792043E-3</v>
      </c>
      <c r="R51" s="9">
        <f t="shared" si="12"/>
        <v>1.4999999999999999E-4</v>
      </c>
      <c r="S51" s="9">
        <f t="shared" si="13"/>
        <v>2.1797224364299333E-6</v>
      </c>
      <c r="T51" s="9">
        <f t="shared" si="10"/>
        <v>1.5475989444079052E-7</v>
      </c>
      <c r="U51" s="9">
        <f t="shared" si="11"/>
        <v>1.4782027756357006E-4</v>
      </c>
      <c r="V51" s="100">
        <f t="shared" si="14"/>
        <v>1.0469463120459648E-3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0.64393554165863076</v>
      </c>
      <c r="J52" s="92">
        <f t="shared" si="25"/>
        <v>2.0699715906138327</v>
      </c>
      <c r="K52" s="93">
        <f t="shared" si="26"/>
        <v>0.2237752144769328</v>
      </c>
      <c r="L52" s="93">
        <f t="shared" si="27"/>
        <v>9.1611743708095196E-3</v>
      </c>
      <c r="M52" s="93">
        <f t="shared" si="28"/>
        <v>0.99083882562919046</v>
      </c>
      <c r="N52" s="93">
        <f t="shared" si="29"/>
        <v>4.2446831318528732E-3</v>
      </c>
      <c r="O52" s="40">
        <f t="shared" si="30"/>
        <v>2.2501838511953729E-7</v>
      </c>
      <c r="P52" s="40">
        <f t="shared" si="31"/>
        <v>2.6435625705552123E-5</v>
      </c>
      <c r="Q52" s="40">
        <f t="shared" si="32"/>
        <v>4.8222531291701036E-4</v>
      </c>
      <c r="R52" s="9">
        <f t="shared" si="12"/>
        <v>1.4999999999999999E-4</v>
      </c>
      <c r="S52" s="9">
        <f t="shared" si="13"/>
        <v>1.3741761556214277E-6</v>
      </c>
      <c r="T52" s="9">
        <f t="shared" si="10"/>
        <v>3.3566282171539915E-5</v>
      </c>
      <c r="U52" s="9">
        <f t="shared" si="11"/>
        <v>1.4862582384437856E-4</v>
      </c>
      <c r="V52" s="100">
        <f t="shared" si="14"/>
        <v>0.2258442126900243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1.3135143326183101</v>
      </c>
      <c r="J53" s="92">
        <f t="shared" si="25"/>
        <v>2.8706315398293074</v>
      </c>
      <c r="K53" s="93">
        <f t="shared" si="26"/>
        <v>4.7734642079835847E-2</v>
      </c>
      <c r="L53" s="93">
        <f t="shared" si="27"/>
        <v>1.2349028335114797E-2</v>
      </c>
      <c r="M53" s="93">
        <f t="shared" si="28"/>
        <v>0.98765097166488525</v>
      </c>
      <c r="N53" s="93">
        <f t="shared" si="29"/>
        <v>7.058021287945482E-3</v>
      </c>
      <c r="O53" s="40">
        <f t="shared" si="30"/>
        <v>4.7999829204368809E-8</v>
      </c>
      <c r="P53" s="40">
        <f t="shared" si="31"/>
        <v>3.5634546148858578E-5</v>
      </c>
      <c r="Q53" s="40">
        <f t="shared" si="32"/>
        <v>8.0183995328497531E-4</v>
      </c>
      <c r="R53" s="9">
        <f t="shared" si="12"/>
        <v>1.4999999999999999E-4</v>
      </c>
      <c r="S53" s="9">
        <f t="shared" si="13"/>
        <v>1.8523542502672193E-6</v>
      </c>
      <c r="T53" s="9">
        <f t="shared" si="10"/>
        <v>7.1601963119753766E-6</v>
      </c>
      <c r="U53" s="9">
        <f t="shared" si="11"/>
        <v>1.4814764574973277E-4</v>
      </c>
      <c r="V53" s="100">
        <f t="shared" si="14"/>
        <v>4.8331489007062349E-2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0.78379345695532832</v>
      </c>
      <c r="J54" s="92">
        <f t="shared" si="25"/>
        <v>2.250511751652323</v>
      </c>
      <c r="K54" s="93">
        <f t="shared" si="26"/>
        <v>0.16201809859941155</v>
      </c>
      <c r="L54" s="93">
        <f t="shared" si="27"/>
        <v>1.0051777332947093E-2</v>
      </c>
      <c r="M54" s="93">
        <f t="shared" si="28"/>
        <v>0.98994822266705296</v>
      </c>
      <c r="N54" s="93">
        <f t="shared" si="29"/>
        <v>4.873722800813828E-3</v>
      </c>
      <c r="O54" s="40">
        <f t="shared" si="30"/>
        <v>1.6291818105143912E-7</v>
      </c>
      <c r="P54" s="40">
        <f t="shared" si="31"/>
        <v>2.9005563314680341E-5</v>
      </c>
      <c r="Q54" s="40">
        <f t="shared" si="32"/>
        <v>5.5368856277083318E-4</v>
      </c>
      <c r="R54" s="9">
        <f t="shared" si="12"/>
        <v>1.4999999999999999E-4</v>
      </c>
      <c r="S54" s="9">
        <f t="shared" si="13"/>
        <v>1.5077665999420637E-6</v>
      </c>
      <c r="T54" s="9">
        <f t="shared" si="10"/>
        <v>2.4302714789911731E-5</v>
      </c>
      <c r="U54" s="9">
        <f t="shared" si="11"/>
        <v>1.4849223340005792E-4</v>
      </c>
      <c r="V54" s="100">
        <f t="shared" si="14"/>
        <v>0.16366320469055756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5.6400487609719711E-2</v>
      </c>
      <c r="J55" s="54">
        <f t="shared" si="25"/>
        <v>0.70032517200595146</v>
      </c>
      <c r="K55" s="55">
        <f t="shared" si="26"/>
        <v>0.87233111154025378</v>
      </c>
      <c r="L55" s="55">
        <f t="shared" si="27"/>
        <v>1.5246638757605746E-3</v>
      </c>
      <c r="M55" s="55">
        <f t="shared" si="28"/>
        <v>0.99847533612423944</v>
      </c>
      <c r="N55" s="55">
        <f t="shared" si="29"/>
        <v>3.3614886962914878E-4</v>
      </c>
      <c r="O55" s="56">
        <f t="shared" si="30"/>
        <v>8.7717729806288655E-7</v>
      </c>
      <c r="P55" s="56">
        <f t="shared" si="31"/>
        <v>4.3995935362620326E-6</v>
      </c>
      <c r="Q55" s="56">
        <f t="shared" si="32"/>
        <v>3.8188832666257594E-5</v>
      </c>
      <c r="R55" s="9">
        <f t="shared" si="12"/>
        <v>1.4999999999999999E-4</v>
      </c>
      <c r="S55" s="9">
        <f t="shared" si="13"/>
        <v>2.2869958136408617E-7</v>
      </c>
      <c r="T55" s="9">
        <f t="shared" si="10"/>
        <v>1.3084966673103805E-4</v>
      </c>
      <c r="U55" s="9">
        <f t="shared" si="11"/>
        <v>1.4977130041863589E-4</v>
      </c>
      <c r="V55" s="100">
        <f t="shared" si="14"/>
        <v>0.87366315419103191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0.61860589125383414</v>
      </c>
      <c r="J56" s="54">
        <f t="shared" si="25"/>
        <v>2.0453970116067448</v>
      </c>
      <c r="K56" s="55">
        <f t="shared" si="26"/>
        <v>0.23721093707497945</v>
      </c>
      <c r="L56" s="55">
        <f t="shared" si="27"/>
        <v>9.1769696948743717E-3</v>
      </c>
      <c r="M56" s="55">
        <f t="shared" si="28"/>
        <v>0.99082303030512564</v>
      </c>
      <c r="N56" s="55">
        <f t="shared" si="29"/>
        <v>4.4371693309447364E-3</v>
      </c>
      <c r="O56" s="56">
        <f t="shared" si="30"/>
        <v>2.3852874912027505E-7</v>
      </c>
      <c r="P56" s="56">
        <f t="shared" si="31"/>
        <v>2.6481204935678639E-5</v>
      </c>
      <c r="Q56" s="56">
        <f t="shared" si="32"/>
        <v>5.0409307423297963E-4</v>
      </c>
      <c r="R56" s="9">
        <f t="shared" si="12"/>
        <v>1.4999999999999999E-4</v>
      </c>
      <c r="S56" s="9">
        <f t="shared" si="13"/>
        <v>1.3765454542311557E-6</v>
      </c>
      <c r="T56" s="9">
        <f t="shared" si="10"/>
        <v>3.5581640561246912E-5</v>
      </c>
      <c r="U56" s="9">
        <f t="shared" si="11"/>
        <v>1.4862345454576883E-4</v>
      </c>
      <c r="V56" s="100">
        <f t="shared" si="14"/>
        <v>0.23940797682299525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0.26171036693668792</v>
      </c>
      <c r="J57" s="54">
        <f t="shared" si="25"/>
        <v>1.4384768340970948</v>
      </c>
      <c r="K57" s="55">
        <f t="shared" si="26"/>
        <v>0.54172411071684978</v>
      </c>
      <c r="L57" s="55">
        <f t="shared" si="27"/>
        <v>5.1811071764036121E-3</v>
      </c>
      <c r="M57" s="55">
        <f t="shared" si="28"/>
        <v>0.99481889282359637</v>
      </c>
      <c r="N57" s="55">
        <f t="shared" si="29"/>
        <v>1.9571290293853849E-3</v>
      </c>
      <c r="O57" s="56">
        <f t="shared" si="30"/>
        <v>5.4473362860473744E-7</v>
      </c>
      <c r="P57" s="56">
        <f t="shared" si="31"/>
        <v>1.4950682577571441E-5</v>
      </c>
      <c r="Q57" s="56">
        <f t="shared" si="32"/>
        <v>2.2234337153038744E-4</v>
      </c>
      <c r="R57" s="9">
        <f t="shared" si="12"/>
        <v>1.4999999999999999E-4</v>
      </c>
      <c r="S57" s="9">
        <f t="shared" si="13"/>
        <v>7.7716607646054179E-7</v>
      </c>
      <c r="T57" s="9">
        <f t="shared" si="10"/>
        <v>8.1258616607527461E-5</v>
      </c>
      <c r="U57" s="9">
        <f t="shared" si="11"/>
        <v>1.4922283392353945E-4</v>
      </c>
      <c r="V57" s="100">
        <f t="shared" si="14"/>
        <v>0.54454545910288576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0.19893820408979257</v>
      </c>
      <c r="J58" s="54">
        <f t="shared" si="25"/>
        <v>1.2686445962783868</v>
      </c>
      <c r="K58" s="55">
        <f t="shared" si="26"/>
        <v>0.62667477663471871</v>
      </c>
      <c r="L58" s="55">
        <f t="shared" si="27"/>
        <v>4.0537259766714002E-3</v>
      </c>
      <c r="M58" s="55">
        <f t="shared" si="28"/>
        <v>0.99594627402332858</v>
      </c>
      <c r="N58" s="55">
        <f t="shared" si="29"/>
        <v>1.2453903845956677E-3</v>
      </c>
      <c r="O58" s="56">
        <f t="shared" si="30"/>
        <v>6.3015623317848315E-7</v>
      </c>
      <c r="P58" s="56">
        <f t="shared" si="31"/>
        <v>1.1697494043298018E-5</v>
      </c>
      <c r="Q58" s="56">
        <f t="shared" si="32"/>
        <v>1.4148494699375313E-4</v>
      </c>
      <c r="R58" s="9">
        <f t="shared" si="12"/>
        <v>1.4999999999999999E-4</v>
      </c>
      <c r="S58" s="9">
        <f t="shared" si="13"/>
        <v>6.0805889650071E-7</v>
      </c>
      <c r="T58" s="9">
        <f t="shared" si="10"/>
        <v>9.4001216495207798E-5</v>
      </c>
      <c r="U58" s="9">
        <f t="shared" si="11"/>
        <v>1.4939194110349927E-4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6.5352597387686409E-2</v>
      </c>
      <c r="J59" s="54">
        <f t="shared" si="25"/>
        <v>0.78059756535561797</v>
      </c>
      <c r="K59" s="55">
        <f t="shared" si="26"/>
        <v>0.85430134571677141</v>
      </c>
      <c r="L59" s="55">
        <f t="shared" si="27"/>
        <v>1.7962890918590386E-3</v>
      </c>
      <c r="M59" s="55">
        <f t="shared" si="28"/>
        <v>0.99820371090814097</v>
      </c>
      <c r="N59" s="55">
        <f t="shared" si="29"/>
        <v>5.3805216578522617E-4</v>
      </c>
      <c r="O59" s="56">
        <f t="shared" si="30"/>
        <v>8.5904736888745668E-7</v>
      </c>
      <c r="P59" s="56">
        <f t="shared" si="31"/>
        <v>5.1833994386852379E-6</v>
      </c>
      <c r="Q59" s="56">
        <f t="shared" si="32"/>
        <v>6.1126441232892749E-5</v>
      </c>
      <c r="R59" s="9">
        <f t="shared" si="12"/>
        <v>1.4999999999999999E-4</v>
      </c>
      <c r="S59" s="9">
        <f t="shared" si="13"/>
        <v>2.6944336377885577E-7</v>
      </c>
      <c r="T59" s="9">
        <f t="shared" si="10"/>
        <v>1.281452018575157E-4</v>
      </c>
      <c r="U59" s="9">
        <f t="shared" si="11"/>
        <v>1.4973055663622113E-4</v>
      </c>
      <c r="V59" s="100">
        <f t="shared" si="14"/>
        <v>0.85583867940097036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0.6487673116742505</v>
      </c>
      <c r="J60" s="54">
        <f t="shared" si="25"/>
        <v>2.0932927199973492</v>
      </c>
      <c r="K60" s="55">
        <f t="shared" si="26"/>
        <v>0.22121124749291116</v>
      </c>
      <c r="L60" s="55">
        <f t="shared" si="27"/>
        <v>9.5558099049781534E-3</v>
      </c>
      <c r="M60" s="55">
        <f t="shared" si="28"/>
        <v>0.99044419009502183</v>
      </c>
      <c r="N60" s="55">
        <f t="shared" si="29"/>
        <v>4.8329074761483378E-3</v>
      </c>
      <c r="O60" s="56">
        <f t="shared" si="30"/>
        <v>2.224401741608619E-7</v>
      </c>
      <c r="P60" s="56">
        <f t="shared" si="31"/>
        <v>2.7574392074265043E-5</v>
      </c>
      <c r="Q60" s="56">
        <f t="shared" si="32"/>
        <v>5.4905166006284851E-4</v>
      </c>
      <c r="R60" s="9">
        <f t="shared" si="12"/>
        <v>1.4999999999999999E-4</v>
      </c>
      <c r="S60" s="9">
        <f t="shared" si="13"/>
        <v>1.433371485746723E-6</v>
      </c>
      <c r="T60" s="9">
        <f t="shared" si="10"/>
        <v>3.3181687123936674E-5</v>
      </c>
      <c r="U60" s="9">
        <f t="shared" si="11"/>
        <v>1.4856662851425327E-4</v>
      </c>
      <c r="V60" s="100">
        <f t="shared" si="14"/>
        <v>0.22334549458227268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1.4117733403846819</v>
      </c>
      <c r="J61" s="54">
        <f t="shared" si="25"/>
        <v>3.0243728259141727</v>
      </c>
      <c r="K61" s="55">
        <f t="shared" si="26"/>
        <v>3.8005323623019276E-2</v>
      </c>
      <c r="L61" s="55">
        <f t="shared" si="27"/>
        <v>1.4008280766469559E-2</v>
      </c>
      <c r="M61" s="55">
        <f t="shared" si="28"/>
        <v>0.98599171923353046</v>
      </c>
      <c r="N61" s="55">
        <f t="shared" si="29"/>
        <v>9.5443358029774182E-3</v>
      </c>
      <c r="O61" s="56">
        <f t="shared" si="30"/>
        <v>3.8216460065012006E-8</v>
      </c>
      <c r="P61" s="56">
        <f t="shared" si="31"/>
        <v>4.0422510491736374E-5</v>
      </c>
      <c r="Q61" s="56">
        <f t="shared" si="32"/>
        <v>1.084302449960908E-3</v>
      </c>
      <c r="R61" s="9">
        <f t="shared" si="12"/>
        <v>1.4999999999999999E-4</v>
      </c>
      <c r="S61" s="9">
        <f t="shared" si="13"/>
        <v>2.1012421149704338E-6</v>
      </c>
      <c r="T61" s="9">
        <f t="shared" si="10"/>
        <v>5.7007985434528908E-6</v>
      </c>
      <c r="U61" s="9">
        <f t="shared" si="11"/>
        <v>1.4789875788502957E-4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2.2542758302531842</v>
      </c>
      <c r="J62" s="54">
        <f t="shared" si="25"/>
        <v>3.9494942235672861</v>
      </c>
      <c r="K62" s="55">
        <f t="shared" si="26"/>
        <v>5.445892350398324E-3</v>
      </c>
      <c r="L62" s="55">
        <f t="shared" si="27"/>
        <v>1.689393631462632E-2</v>
      </c>
      <c r="M62" s="55">
        <f t="shared" si="28"/>
        <v>0.98310606368537368</v>
      </c>
      <c r="N62" s="55">
        <f t="shared" si="29"/>
        <v>1.3673205098273767E-2</v>
      </c>
      <c r="O62" s="56">
        <f t="shared" si="30"/>
        <v>5.4761466996506512E-9</v>
      </c>
      <c r="P62" s="56">
        <f t="shared" si="31"/>
        <v>4.8749402536198273E-5</v>
      </c>
      <c r="Q62" s="56">
        <f t="shared" si="32"/>
        <v>1.5533705113614286E-3</v>
      </c>
      <c r="R62" s="9">
        <f t="shared" si="12"/>
        <v>1.4999999999999999E-4</v>
      </c>
      <c r="S62" s="9">
        <f t="shared" si="13"/>
        <v>2.5340904471939479E-6</v>
      </c>
      <c r="T62" s="9">
        <f t="shared" si="10"/>
        <v>8.1688385255974853E-7</v>
      </c>
      <c r="U62" s="9">
        <f t="shared" si="11"/>
        <v>1.4746590955280604E-4</v>
      </c>
      <c r="V62" s="100">
        <f t="shared" si="14"/>
        <v>5.539475903528949E-3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3.3259932392561606</v>
      </c>
      <c r="J63" s="54">
        <f t="shared" si="25"/>
        <v>5.0826681752527678</v>
      </c>
      <c r="K63" s="55">
        <f t="shared" si="26"/>
        <v>4.6050863544810526E-4</v>
      </c>
      <c r="L63" s="55">
        <f t="shared" si="27"/>
        <v>1.9412145173406049E-2</v>
      </c>
      <c r="M63" s="55">
        <f t="shared" si="28"/>
        <v>0.98058785482659394</v>
      </c>
      <c r="N63" s="55">
        <f t="shared" si="29"/>
        <v>1.7568676838816091E-2</v>
      </c>
      <c r="O63" s="56">
        <f t="shared" si="30"/>
        <v>4.6306696532209561E-10</v>
      </c>
      <c r="P63" s="56">
        <f t="shared" si="31"/>
        <v>5.6015984760767829E-5</v>
      </c>
      <c r="Q63" s="56">
        <f t="shared" si="32"/>
        <v>1.9959229989536887E-3</v>
      </c>
      <c r="R63" s="9">
        <f t="shared" si="12"/>
        <v>1.4999999999999999E-4</v>
      </c>
      <c r="S63" s="9">
        <f t="shared" si="13"/>
        <v>2.9118217760109068E-6</v>
      </c>
      <c r="T63" s="9">
        <f t="shared" si="10"/>
        <v>6.9076295317215785E-8</v>
      </c>
      <c r="U63" s="9">
        <f t="shared" si="11"/>
        <v>1.4708817822398909E-4</v>
      </c>
      <c r="V63" s="100">
        <f t="shared" si="14"/>
        <v>4.6962506539461587E-4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2.6313958666363746</v>
      </c>
      <c r="J64" s="54">
        <f t="shared" si="25"/>
        <v>4.3523102260385738</v>
      </c>
      <c r="K64" s="55">
        <f t="shared" si="26"/>
        <v>2.282979651329742E-3</v>
      </c>
      <c r="L64" s="55">
        <f t="shared" si="27"/>
        <v>1.7905227497116857E-2</v>
      </c>
      <c r="M64" s="55">
        <f t="shared" si="28"/>
        <v>0.98209477250288313</v>
      </c>
      <c r="N64" s="55">
        <f t="shared" si="29"/>
        <v>1.5223107579451271E-2</v>
      </c>
      <c r="O64" s="56">
        <f t="shared" si="30"/>
        <v>2.2956626166296778E-9</v>
      </c>
      <c r="P64" s="56">
        <f t="shared" si="31"/>
        <v>5.1667599930718898E-5</v>
      </c>
      <c r="Q64" s="56">
        <f t="shared" si="32"/>
        <v>1.729450135154317E-3</v>
      </c>
      <c r="R64" s="9">
        <f t="shared" si="12"/>
        <v>1.4999999999999999E-4</v>
      </c>
      <c r="S64" s="9">
        <f t="shared" si="13"/>
        <v>2.6857841245675284E-6</v>
      </c>
      <c r="T64" s="9">
        <f t="shared" si="10"/>
        <v>3.4244694769946127E-7</v>
      </c>
      <c r="U64" s="9">
        <f t="shared" si="11"/>
        <v>1.4731421587543244E-4</v>
      </c>
      <c r="V64" s="100">
        <f t="shared" si="14"/>
        <v>2.3246021822430989E-3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2.3610319672695166</v>
      </c>
      <c r="J65" s="54">
        <f t="shared" si="25"/>
        <v>4.0640503506291052</v>
      </c>
      <c r="K65" s="55">
        <f t="shared" si="26"/>
        <v>4.2577481870417029E-3</v>
      </c>
      <c r="L65" s="55">
        <f t="shared" si="27"/>
        <v>1.7194830540683392E-2</v>
      </c>
      <c r="M65" s="55">
        <f t="shared" si="28"/>
        <v>0.98280516945931662</v>
      </c>
      <c r="N65" s="55">
        <f t="shared" si="29"/>
        <v>1.41312717662023E-2</v>
      </c>
      <c r="O65" s="56">
        <f t="shared" si="30"/>
        <v>4.2814018680899159E-9</v>
      </c>
      <c r="P65" s="56">
        <f t="shared" si="31"/>
        <v>4.961766754405053E-5</v>
      </c>
      <c r="Q65" s="56">
        <f t="shared" si="32"/>
        <v>1.6054100477454476E-3</v>
      </c>
      <c r="R65" s="9">
        <f t="shared" si="12"/>
        <v>1.4999999999999999E-4</v>
      </c>
      <c r="S65" s="9">
        <f t="shared" si="13"/>
        <v>2.5792245811025087E-6</v>
      </c>
      <c r="T65" s="9">
        <f t="shared" si="10"/>
        <v>6.3866222805625539E-7</v>
      </c>
      <c r="U65" s="9">
        <f t="shared" si="11"/>
        <v>1.4742077541889749E-4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2.6313958666363746</v>
      </c>
      <c r="J66" s="54">
        <f t="shared" si="25"/>
        <v>4.3523102260385738</v>
      </c>
      <c r="K66" s="55">
        <f t="shared" si="26"/>
        <v>2.282979651329742E-3</v>
      </c>
      <c r="L66" s="55">
        <f t="shared" si="27"/>
        <v>1.7905227497116857E-2</v>
      </c>
      <c r="M66" s="55">
        <f t="shared" si="28"/>
        <v>0.98209477250288313</v>
      </c>
      <c r="N66" s="55">
        <f t="shared" si="29"/>
        <v>1.5223107579451271E-2</v>
      </c>
      <c r="O66" s="56">
        <f t="shared" si="30"/>
        <v>2.2956626166296778E-9</v>
      </c>
      <c r="P66" s="56">
        <f t="shared" si="31"/>
        <v>5.1667599930718898E-5</v>
      </c>
      <c r="Q66" s="56">
        <f t="shared" si="32"/>
        <v>1.729450135154317E-3</v>
      </c>
      <c r="R66" s="9">
        <f t="shared" si="12"/>
        <v>1.4999999999999999E-4</v>
      </c>
      <c r="S66" s="9">
        <f t="shared" si="13"/>
        <v>2.6857841245675284E-6</v>
      </c>
      <c r="T66" s="9">
        <f t="shared" si="10"/>
        <v>3.4244694769946127E-7</v>
      </c>
      <c r="U66" s="9">
        <f t="shared" si="11"/>
        <v>1.4731421587543244E-4</v>
      </c>
      <c r="V66" s="100">
        <f t="shared" si="14"/>
        <v>2.3246021822430989E-3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-1.8671766444063711E-3</v>
      </c>
      <c r="J67" s="54">
        <f t="shared" si="25"/>
        <v>-5.4824384934967059E-2</v>
      </c>
      <c r="K67" s="55">
        <f t="shared" si="26"/>
        <v>0.99879976801337755</v>
      </c>
      <c r="L67" s="55">
        <f t="shared" si="27"/>
        <v>3.0677617249332781E-4</v>
      </c>
      <c r="M67" s="55">
        <f t="shared" si="28"/>
        <v>0.99969322382750669</v>
      </c>
      <c r="N67" s="55">
        <f t="shared" si="29"/>
        <v>2.6300253939524665E-7</v>
      </c>
      <c r="O67" s="56">
        <f t="shared" si="30"/>
        <v>1.0043485440578417E-6</v>
      </c>
      <c r="P67" s="56">
        <f t="shared" si="31"/>
        <v>8.8523804298016974E-7</v>
      </c>
      <c r="Q67" s="56">
        <f t="shared" si="32"/>
        <v>2.9878904483143201E-8</v>
      </c>
      <c r="R67" s="9">
        <f t="shared" si="12"/>
        <v>1.4999999999999999E-4</v>
      </c>
      <c r="S67" s="9">
        <f t="shared" si="13"/>
        <v>4.6016425873999167E-8</v>
      </c>
      <c r="T67" s="9">
        <f t="shared" si="10"/>
        <v>1.4981996520200663E-4</v>
      </c>
      <c r="U67" s="9">
        <f t="shared" si="11"/>
        <v>1.4995398357412599E-4</v>
      </c>
      <c r="V67" s="100">
        <f t="shared" si="14"/>
        <v>0.99910627001080554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2.7194923137791687</v>
      </c>
      <c r="J68" s="54">
        <f t="shared" si="25"/>
        <v>4.3746696029949694</v>
      </c>
      <c r="K68" s="55">
        <f t="shared" si="26"/>
        <v>1.8685264711205106E-3</v>
      </c>
      <c r="L68" s="55">
        <f t="shared" si="27"/>
        <v>1.5428952236060427E-2</v>
      </c>
      <c r="M68" s="55">
        <f t="shared" si="28"/>
        <v>0.98457104776393956</v>
      </c>
      <c r="N68" s="55">
        <f t="shared" si="29"/>
        <v>1.1326156238670965E-2</v>
      </c>
      <c r="O68" s="56">
        <f t="shared" si="30"/>
        <v>1.8789069650427533E-9</v>
      </c>
      <c r="P68" s="56">
        <f t="shared" si="31"/>
        <v>4.4522021940871935E-5</v>
      </c>
      <c r="Q68" s="56">
        <f t="shared" si="32"/>
        <v>1.2867295547585218E-3</v>
      </c>
      <c r="R68" s="9">
        <f t="shared" si="12"/>
        <v>1.4999999999999999E-4</v>
      </c>
      <c r="S68" s="9">
        <f t="shared" si="13"/>
        <v>2.3143428354090641E-6</v>
      </c>
      <c r="T68" s="9">
        <f t="shared" si="10"/>
        <v>2.8027897066807658E-7</v>
      </c>
      <c r="U68" s="9">
        <f t="shared" si="11"/>
        <v>1.4768565716459091E-4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0.38500856866688477</v>
      </c>
      <c r="J69" s="54">
        <f t="shared" si="25"/>
        <v>1.6815486855199218</v>
      </c>
      <c r="K69" s="55">
        <f t="shared" si="26"/>
        <v>0.40716081832019824</v>
      </c>
      <c r="L69" s="55">
        <f t="shared" si="27"/>
        <v>6.8152570522990712E-3</v>
      </c>
      <c r="M69" s="55">
        <f t="shared" si="28"/>
        <v>0.99318474294770098</v>
      </c>
      <c r="N69" s="55">
        <f t="shared" si="29"/>
        <v>2.8462120597662994E-3</v>
      </c>
      <c r="O69" s="56">
        <f t="shared" si="30"/>
        <v>4.0942277739076662E-7</v>
      </c>
      <c r="P69" s="56">
        <f t="shared" si="31"/>
        <v>1.96662106002227E-5</v>
      </c>
      <c r="Q69" s="56">
        <f t="shared" si="32"/>
        <v>3.2334934281651482E-4</v>
      </c>
      <c r="R69" s="9">
        <f t="shared" si="12"/>
        <v>1.4999999999999999E-4</v>
      </c>
      <c r="S69" s="9">
        <f t="shared" si="13"/>
        <v>1.0222885578448606E-6</v>
      </c>
      <c r="T69" s="9">
        <f t="shared" si="10"/>
        <v>6.1074122748029736E-5</v>
      </c>
      <c r="U69" s="9">
        <f t="shared" si="11"/>
        <v>1.4897771144215514E-4</v>
      </c>
      <c r="V69" s="100">
        <f t="shared" si="14"/>
        <v>0.40995476542639409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1.2852308448323728</v>
      </c>
      <c r="J70" s="54">
        <f t="shared" si="25"/>
        <v>2.8816128275856787</v>
      </c>
      <c r="K70" s="55">
        <f t="shared" si="26"/>
        <v>5.0887366701659609E-2</v>
      </c>
      <c r="L70" s="55">
        <f t="shared" si="27"/>
        <v>1.3501759943708325E-2</v>
      </c>
      <c r="M70" s="55">
        <f t="shared" si="28"/>
        <v>0.98649824005629172</v>
      </c>
      <c r="N70" s="55">
        <f t="shared" si="29"/>
        <v>8.9090269186776743E-3</v>
      </c>
      <c r="O70" s="56">
        <f t="shared" si="30"/>
        <v>5.1170068610853734E-8</v>
      </c>
      <c r="P70" s="56">
        <f t="shared" si="31"/>
        <v>3.8960886212948525E-5</v>
      </c>
      <c r="Q70" s="56">
        <f t="shared" si="32"/>
        <v>1.0121269739562556E-3</v>
      </c>
      <c r="R70" s="9">
        <f t="shared" si="12"/>
        <v>1.4999999999999999E-4</v>
      </c>
      <c r="S70" s="9">
        <f t="shared" si="13"/>
        <v>2.0252639915562485E-6</v>
      </c>
      <c r="T70" s="9">
        <f t="shared" si="10"/>
        <v>7.6331050052489414E-6</v>
      </c>
      <c r="U70" s="9">
        <f t="shared" si="11"/>
        <v>1.4797473600844374E-4</v>
      </c>
      <c r="V70" s="100">
        <f t="shared" si="14"/>
        <v>5.158383931709383E-2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5.5727318227152489</v>
      </c>
      <c r="K71" s="55">
        <f t="shared" ref="K71:K122" si="35">IF(D71=0,"",1/(1+10^D71*$J$15/$J$14+10^E71*$J$16/$J$14+10^J71*$J$19/$J$14))</f>
        <v>1.2021095233614551E-4</v>
      </c>
      <c r="L71" s="55">
        <f t="shared" ref="L71:L122" si="36">IF(D71=0,"",1/(1+10^I71/10^J71*$J$13/$J$19))</f>
        <v>1.5661863595483053E-2</v>
      </c>
      <c r="M71" s="55">
        <f t="shared" si="19"/>
        <v>0.98433813640451695</v>
      </c>
      <c r="N71" s="55">
        <f t="shared" ref="N71:N122" si="37">IF(D71=0,"",1/(1/10^E71*$J$20/$J$22+10^D71/10^E71*$J$21/$J$22+10^I71/10^E71*$J$13/$J$22+1))</f>
        <v>1.167038896901283E-2</v>
      </c>
      <c r="O71" s="56">
        <f t="shared" si="21"/>
        <v>1.2087877753391436E-10</v>
      </c>
      <c r="P71" s="56">
        <f t="shared" ref="P71:P122" si="38">IF(D71=0,"",O71*10^J71)</f>
        <v>4.5194114542873539E-5</v>
      </c>
      <c r="Q71" s="56">
        <f t="shared" ref="Q71:Q122" si="39">IF(D71=0,"",F71*N71*$J$7/$J$22)</f>
        <v>1.3258367698200432E-3</v>
      </c>
      <c r="R71" s="9">
        <f t="shared" si="12"/>
        <v>1.4999999999999999E-4</v>
      </c>
      <c r="S71" s="9">
        <f t="shared" si="13"/>
        <v>2.3492795393224579E-6</v>
      </c>
      <c r="T71" s="9">
        <f t="shared" si="10"/>
        <v>1.8031642850421824E-8</v>
      </c>
      <c r="U71" s="9">
        <f t="shared" si="11"/>
        <v>1.4765072046067754E-4</v>
      </c>
      <c r="V71" s="100">
        <f t="shared" si="14"/>
        <v>1.2212363606599555E-4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3.4646398062685488</v>
      </c>
      <c r="J72" s="54">
        <f t="shared" si="34"/>
        <v>5.0972861639869835</v>
      </c>
      <c r="K72" s="55">
        <f t="shared" si="35"/>
        <v>3.362719634915227E-4</v>
      </c>
      <c r="L72" s="55">
        <f t="shared" si="36"/>
        <v>1.4660352084823918E-2</v>
      </c>
      <c r="M72" s="55">
        <f t="shared" si="19"/>
        <v>0.98533964791517603</v>
      </c>
      <c r="N72" s="55">
        <f t="shared" si="37"/>
        <v>1.0099083270667466E-2</v>
      </c>
      <c r="O72" s="56">
        <f t="shared" si="21"/>
        <v>3.38140103508373E-10</v>
      </c>
      <c r="P72" s="56">
        <f t="shared" si="38"/>
        <v>4.2304137519846144E-5</v>
      </c>
      <c r="Q72" s="56">
        <f t="shared" si="39"/>
        <v>1.1473255927696808E-3</v>
      </c>
      <c r="R72" s="9">
        <f t="shared" si="12"/>
        <v>1.4999999999999999E-4</v>
      </c>
      <c r="S72" s="9">
        <f t="shared" si="13"/>
        <v>2.1990528127235874E-6</v>
      </c>
      <c r="T72" s="9">
        <f t="shared" si="10"/>
        <v>5.0440794523728401E-8</v>
      </c>
      <c r="U72" s="9">
        <f t="shared" si="11"/>
        <v>1.4780094718727638E-4</v>
      </c>
      <c r="V72" s="100">
        <f t="shared" si="14"/>
        <v>3.4127517775522519E-4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3.4579829545014036</v>
      </c>
      <c r="J73" s="54">
        <f t="shared" si="34"/>
        <v>5.1106048185108754</v>
      </c>
      <c r="K73" s="55">
        <f t="shared" si="35"/>
        <v>3.412305668789704E-4</v>
      </c>
      <c r="L73" s="55">
        <f t="shared" si="36"/>
        <v>1.5339822096649395E-2</v>
      </c>
      <c r="M73" s="55">
        <f t="shared" si="19"/>
        <v>0.98466017790335059</v>
      </c>
      <c r="N73" s="55">
        <f t="shared" si="37"/>
        <v>1.1167018124817863E-2</v>
      </c>
      <c r="O73" s="56">
        <f t="shared" si="21"/>
        <v>3.4312625413859293E-10</v>
      </c>
      <c r="P73" s="56">
        <f t="shared" si="38"/>
        <v>4.4264826639354564E-5</v>
      </c>
      <c r="Q73" s="56">
        <f t="shared" si="39"/>
        <v>1.2686503661910736E-3</v>
      </c>
      <c r="R73" s="9">
        <f t="shared" si="12"/>
        <v>1.4999999999999999E-4</v>
      </c>
      <c r="S73" s="9">
        <f t="shared" si="13"/>
        <v>2.3009733144974091E-6</v>
      </c>
      <c r="T73" s="9">
        <f t="shared" si="10"/>
        <v>5.1184585031845555E-8</v>
      </c>
      <c r="U73" s="9">
        <f t="shared" si="11"/>
        <v>1.4769902668550257E-4</v>
      </c>
      <c r="V73" s="100">
        <f t="shared" si="14"/>
        <v>3.4654652898176197E-4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0.62193942428688143</v>
      </c>
      <c r="J74" s="54">
        <f t="shared" si="34"/>
        <v>2.0266602459751883</v>
      </c>
      <c r="K74" s="55">
        <f t="shared" si="35"/>
        <v>0.23550422300472523</v>
      </c>
      <c r="L74" s="55">
        <f t="shared" si="36"/>
        <v>8.7262273138147654E-3</v>
      </c>
      <c r="M74" s="55">
        <f t="shared" si="19"/>
        <v>0.99127377268618522</v>
      </c>
      <c r="N74" s="55">
        <f t="shared" si="37"/>
        <v>3.7074729630432418E-3</v>
      </c>
      <c r="O74" s="56">
        <f t="shared" si="21"/>
        <v>2.3681255349580844E-7</v>
      </c>
      <c r="P74" s="56">
        <f t="shared" si="38"/>
        <v>2.5180535786394881E-5</v>
      </c>
      <c r="Q74" s="56">
        <f t="shared" si="39"/>
        <v>4.2119452835445519E-4</v>
      </c>
      <c r="R74" s="9">
        <f t="shared" si="12"/>
        <v>1.4999999999999999E-4</v>
      </c>
      <c r="S74" s="9">
        <f t="shared" si="13"/>
        <v>1.3089340970722146E-6</v>
      </c>
      <c r="T74" s="9">
        <f t="shared" si="10"/>
        <v>3.5325633450708782E-5</v>
      </c>
      <c r="U74" s="9">
        <f t="shared" si="11"/>
        <v>1.4869106590292776E-4</v>
      </c>
      <c r="V74" s="100">
        <f t="shared" si="14"/>
        <v>0.23757737720281694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2.0259693417507676</v>
      </c>
      <c r="J75" s="54">
        <f t="shared" si="34"/>
        <v>3.7029110658853894</v>
      </c>
      <c r="K75" s="55">
        <f t="shared" si="35"/>
        <v>9.2188766533917114E-3</v>
      </c>
      <c r="L75" s="55">
        <f t="shared" si="36"/>
        <v>1.6209015849061908E-2</v>
      </c>
      <c r="M75" s="55">
        <f t="shared" si="19"/>
        <v>0.98379098415093813</v>
      </c>
      <c r="N75" s="55">
        <f t="shared" si="37"/>
        <v>1.2643848405303611E-2</v>
      </c>
      <c r="O75" s="56">
        <f t="shared" si="21"/>
        <v>9.2700916051462089E-9</v>
      </c>
      <c r="P75" s="56">
        <f t="shared" si="38"/>
        <v>4.6772985503527687E-5</v>
      </c>
      <c r="Q75" s="56">
        <f t="shared" si="39"/>
        <v>1.4364284834286927E-3</v>
      </c>
      <c r="R75" s="9">
        <f t="shared" si="12"/>
        <v>1.4999999999999999E-4</v>
      </c>
      <c r="S75" s="9">
        <f t="shared" si="13"/>
        <v>2.431352377359286E-6</v>
      </c>
      <c r="T75" s="9">
        <f t="shared" si="10"/>
        <v>1.3828314980087567E-6</v>
      </c>
      <c r="U75" s="9">
        <f t="shared" si="11"/>
        <v>1.475686476226407E-4</v>
      </c>
      <c r="V75" s="100">
        <f t="shared" si="14"/>
        <v>9.3707675735085864E-3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2.0466328175843658</v>
      </c>
      <c r="J76" s="54">
        <f t="shared" si="34"/>
        <v>3.6764953216012835</v>
      </c>
      <c r="K76" s="55">
        <f t="shared" si="35"/>
        <v>8.8051818979504957E-3</v>
      </c>
      <c r="L76" s="55">
        <f t="shared" si="36"/>
        <v>1.4568043529091764E-2</v>
      </c>
      <c r="M76" s="55">
        <f t="shared" si="19"/>
        <v>0.9854319564709082</v>
      </c>
      <c r="N76" s="55">
        <f t="shared" si="37"/>
        <v>1.0059690643730634E-2</v>
      </c>
      <c r="O76" s="56">
        <f t="shared" si="21"/>
        <v>8.8540985917135257E-9</v>
      </c>
      <c r="P76" s="56">
        <f t="shared" si="38"/>
        <v>4.2037770531293851E-5</v>
      </c>
      <c r="Q76" s="56">
        <f t="shared" si="39"/>
        <v>1.142850318347266E-3</v>
      </c>
      <c r="R76" s="9">
        <f t="shared" si="12"/>
        <v>1.4999999999999999E-4</v>
      </c>
      <c r="S76" s="9">
        <f t="shared" si="13"/>
        <v>2.1852065293637644E-6</v>
      </c>
      <c r="T76" s="9">
        <f t="shared" si="10"/>
        <v>1.3207772846925743E-6</v>
      </c>
      <c r="U76" s="9">
        <f t="shared" si="11"/>
        <v>1.4781479347063622E-4</v>
      </c>
      <c r="V76" s="100">
        <f t="shared" si="14"/>
        <v>8.9353525021495898E-3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0.75425121724867172</v>
      </c>
      <c r="J77" s="54">
        <f t="shared" si="34"/>
        <v>2.2428373428324342</v>
      </c>
      <c r="K77" s="55">
        <f t="shared" si="35"/>
        <v>0.17333265553567981</v>
      </c>
      <c r="L77" s="55">
        <f t="shared" si="36"/>
        <v>1.0565384586642764E-2</v>
      </c>
      <c r="M77" s="55">
        <f t="shared" si="19"/>
        <v>0.9894346154133572</v>
      </c>
      <c r="N77" s="55">
        <f t="shared" si="37"/>
        <v>5.8221137206131372E-3</v>
      </c>
      <c r="O77" s="56">
        <f t="shared" si="21"/>
        <v>1.7429559537363425E-7</v>
      </c>
      <c r="P77" s="56">
        <f t="shared" si="38"/>
        <v>3.0487636307594625E-5</v>
      </c>
      <c r="Q77" s="56">
        <f t="shared" si="39"/>
        <v>6.6143231981029868E-4</v>
      </c>
      <c r="R77" s="9">
        <f t="shared" si="12"/>
        <v>1.4999999999999999E-4</v>
      </c>
      <c r="S77" s="9">
        <f t="shared" si="13"/>
        <v>1.5848076879964145E-6</v>
      </c>
      <c r="T77" s="9">
        <f t="shared" si="10"/>
        <v>2.599989833035197E-5</v>
      </c>
      <c r="U77" s="9">
        <f t="shared" si="11"/>
        <v>1.4841519231200356E-4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2.551126686071854</v>
      </c>
      <c r="K78" s="55">
        <f t="shared" si="35"/>
        <v>0.10227329022699064</v>
      </c>
      <c r="L78" s="55">
        <f t="shared" si="36"/>
        <v>1.2678167658878466E-2</v>
      </c>
      <c r="M78" s="55">
        <f t="shared" si="19"/>
        <v>0.98732183234112159</v>
      </c>
      <c r="N78" s="55">
        <f t="shared" si="37"/>
        <v>8.2558828402708659E-3</v>
      </c>
      <c r="O78" s="56">
        <f t="shared" si="21"/>
        <v>1.0284146374982673E-7</v>
      </c>
      <c r="P78" s="56">
        <f t="shared" si="38"/>
        <v>3.6584315645192927E-5</v>
      </c>
      <c r="Q78" s="56">
        <f t="shared" si="39"/>
        <v>9.3792529675069936E-4</v>
      </c>
      <c r="R78" s="9">
        <f t="shared" si="12"/>
        <v>1.4999999999999999E-4</v>
      </c>
      <c r="S78" s="9">
        <f t="shared" si="13"/>
        <v>1.9017251488317697E-6</v>
      </c>
      <c r="T78" s="9">
        <f t="shared" si="10"/>
        <v>1.5340993534048593E-5</v>
      </c>
      <c r="U78" s="9">
        <f t="shared" si="11"/>
        <v>1.4809827485116824E-4</v>
      </c>
      <c r="V78" s="100">
        <f t="shared" si="14"/>
        <v>0.10358657823303863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2.5350986776322406</v>
      </c>
      <c r="K79" s="55">
        <f t="shared" si="35"/>
        <v>8.6331390609955941E-2</v>
      </c>
      <c r="L79" s="55">
        <f t="shared" si="36"/>
        <v>1.0314186758953459E-2</v>
      </c>
      <c r="M79" s="55">
        <f t="shared" si="19"/>
        <v>0.98968581324104654</v>
      </c>
      <c r="N79" s="55">
        <f t="shared" si="37"/>
        <v>4.3416521974181154E-3</v>
      </c>
      <c r="O79" s="56">
        <f t="shared" si="21"/>
        <v>8.6810999804353927E-8</v>
      </c>
      <c r="P79" s="56">
        <f t="shared" si="38"/>
        <v>2.9762775991432394E-5</v>
      </c>
      <c r="Q79" s="56">
        <f t="shared" si="39"/>
        <v>4.9324166832751589E-4</v>
      </c>
      <c r="R79" s="9">
        <f t="shared" si="12"/>
        <v>1.4999999999999999E-4</v>
      </c>
      <c r="S79" s="9">
        <f t="shared" si="13"/>
        <v>1.5471280138430187E-6</v>
      </c>
      <c r="T79" s="9">
        <f t="shared" si="10"/>
        <v>1.2949708591493389E-5</v>
      </c>
      <c r="U79" s="9">
        <f t="shared" si="11"/>
        <v>1.4845287198615698E-4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2.6183785550286847</v>
      </c>
      <c r="K80" s="55">
        <f t="shared" si="35"/>
        <v>7.1424822625807599E-2</v>
      </c>
      <c r="L80" s="55">
        <f t="shared" si="36"/>
        <v>1.0337018710020749E-2</v>
      </c>
      <c r="M80" s="55">
        <f t="shared" si="19"/>
        <v>0.9896629812899792</v>
      </c>
      <c r="N80" s="55">
        <f t="shared" si="37"/>
        <v>4.1915192393458542E-3</v>
      </c>
      <c r="O80" s="56">
        <f t="shared" si="21"/>
        <v>7.1821619218536539E-8</v>
      </c>
      <c r="P80" s="56">
        <f t="shared" si="38"/>
        <v>2.9828660220692962E-5</v>
      </c>
      <c r="Q80" s="56">
        <f t="shared" si="39"/>
        <v>4.7618552763652638E-4</v>
      </c>
      <c r="R80" s="9">
        <f t="shared" si="12"/>
        <v>1.4999999999999999E-4</v>
      </c>
      <c r="S80" s="9">
        <f t="shared" si="13"/>
        <v>1.5505528065031121E-6</v>
      </c>
      <c r="T80" s="9">
        <f t="shared" si="10"/>
        <v>1.0713723393871139E-5</v>
      </c>
      <c r="U80" s="9">
        <f t="shared" si="11"/>
        <v>1.4844944719349687E-4</v>
      </c>
      <c r="V80" s="100">
        <f t="shared" si="14"/>
        <v>7.2170854094904813E-2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4.1487686637317767</v>
      </c>
      <c r="K81" s="55">
        <f t="shared" si="35"/>
        <v>3.342357903446671E-3</v>
      </c>
      <c r="L81" s="55">
        <f t="shared" si="36"/>
        <v>1.6405489503357771E-2</v>
      </c>
      <c r="M81" s="55">
        <f t="shared" si="19"/>
        <v>0.98359451049664226</v>
      </c>
      <c r="N81" s="55">
        <f t="shared" si="37"/>
        <v>1.2879299607494817E-2</v>
      </c>
      <c r="O81" s="56">
        <f t="shared" si="21"/>
        <v>3.3609261851589888E-9</v>
      </c>
      <c r="P81" s="56">
        <f t="shared" si="38"/>
        <v>4.7339932903035416E-5</v>
      </c>
      <c r="Q81" s="56">
        <f t="shared" si="39"/>
        <v>1.46317736576606E-3</v>
      </c>
      <c r="R81" s="9">
        <f t="shared" si="12"/>
        <v>1.4999999999999999E-4</v>
      </c>
      <c r="S81" s="9">
        <f t="shared" si="13"/>
        <v>2.4608234255036652E-6</v>
      </c>
      <c r="T81" s="9">
        <f t="shared" si="10"/>
        <v>5.0135368551700064E-7</v>
      </c>
      <c r="U81" s="9">
        <f t="shared" si="11"/>
        <v>1.4753917657449631E-4</v>
      </c>
      <c r="V81" s="100">
        <f t="shared" si="14"/>
        <v>3.3981054873507052E-3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3.8654689347124402</v>
      </c>
      <c r="K82" s="55">
        <f t="shared" si="35"/>
        <v>5.8066334467396933E-3</v>
      </c>
      <c r="L82" s="55">
        <f t="shared" si="36"/>
        <v>1.4844341018967817E-2</v>
      </c>
      <c r="M82" s="55">
        <f t="shared" si="19"/>
        <v>0.98515565898103219</v>
      </c>
      <c r="N82" s="55">
        <f t="shared" si="37"/>
        <v>1.0456508738779947E-2</v>
      </c>
      <c r="O82" s="56">
        <f t="shared" si="21"/>
        <v>5.8388918729028656E-9</v>
      </c>
      <c r="P82" s="56">
        <f t="shared" si="38"/>
        <v>4.283505881881081E-5</v>
      </c>
      <c r="Q82" s="56">
        <f t="shared" si="39"/>
        <v>1.1879315939365598E-3</v>
      </c>
      <c r="R82" s="9">
        <f t="shared" si="12"/>
        <v>1.4999999999999999E-4</v>
      </c>
      <c r="S82" s="9">
        <f t="shared" si="13"/>
        <v>2.2266511528451725E-6</v>
      </c>
      <c r="T82" s="9">
        <f t="shared" si="10"/>
        <v>8.7099501701095386E-7</v>
      </c>
      <c r="U82" s="9">
        <f t="shared" si="11"/>
        <v>1.4777334884715483E-4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0.70532975413914467</v>
      </c>
      <c r="J83" s="54">
        <f t="shared" si="34"/>
        <v>2.1853806972032932</v>
      </c>
      <c r="K83" s="55">
        <f t="shared" si="35"/>
        <v>0.19403995269818089</v>
      </c>
      <c r="L83" s="55">
        <f t="shared" si="36"/>
        <v>1.0361900891285395E-2</v>
      </c>
      <c r="M83" s="55">
        <f t="shared" si="19"/>
        <v>0.98963809910871459</v>
      </c>
      <c r="N83" s="55">
        <f t="shared" si="37"/>
        <v>5.7607158434262694E-3</v>
      </c>
      <c r="O83" s="56">
        <f t="shared" si="21"/>
        <v>1.9511793076313592E-7</v>
      </c>
      <c r="P83" s="56">
        <f t="shared" si="38"/>
        <v>2.9900460625753003E-5</v>
      </c>
      <c r="Q83" s="56">
        <f t="shared" si="39"/>
        <v>6.5445709701529261E-4</v>
      </c>
      <c r="R83" s="9">
        <f t="shared" si="12"/>
        <v>1.4999999999999999E-4</v>
      </c>
      <c r="S83" s="9">
        <f t="shared" si="13"/>
        <v>1.5542851336928091E-6</v>
      </c>
      <c r="T83" s="9">
        <f t="shared" si="10"/>
        <v>2.910599290472713E-5</v>
      </c>
      <c r="U83" s="9">
        <f t="shared" si="11"/>
        <v>1.4844571486630719E-4</v>
      </c>
      <c r="V83" s="100">
        <f t="shared" si="14"/>
        <v>0.19607162746961407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3.9072949503750691</v>
      </c>
      <c r="K84" s="55">
        <f t="shared" si="35"/>
        <v>4.6216754928785101E-3</v>
      </c>
      <c r="L84" s="55">
        <f t="shared" si="36"/>
        <v>1.3009541047805415E-2</v>
      </c>
      <c r="M84" s="55">
        <f t="shared" si="19"/>
        <v>0.98699045895219462</v>
      </c>
      <c r="N84" s="55">
        <f t="shared" si="37"/>
        <v>7.5581018844716498E-3</v>
      </c>
      <c r="O84" s="56">
        <f t="shared" si="21"/>
        <v>4.6473509516455645E-9</v>
      </c>
      <c r="P84" s="56">
        <f t="shared" si="38"/>
        <v>3.7540531794332653E-5</v>
      </c>
      <c r="Q84" s="56">
        <f t="shared" si="39"/>
        <v>8.5865256205991814E-4</v>
      </c>
      <c r="R84" s="9">
        <f t="shared" si="12"/>
        <v>1.4999999999999999E-4</v>
      </c>
      <c r="S84" s="9">
        <f t="shared" si="13"/>
        <v>1.9514311571708121E-6</v>
      </c>
      <c r="T84" s="9">
        <f t="shared" si="10"/>
        <v>6.932513239317765E-7</v>
      </c>
      <c r="U84" s="9">
        <f t="shared" si="11"/>
        <v>1.4804856884282917E-4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2.1028585007358584</v>
      </c>
      <c r="K85" s="55">
        <f t="shared" si="35"/>
        <v>0.22328115321438186</v>
      </c>
      <c r="L85" s="55">
        <f t="shared" si="36"/>
        <v>9.8600279054630348E-3</v>
      </c>
      <c r="M85" s="55">
        <f t="shared" si="19"/>
        <v>0.99013997209453697</v>
      </c>
      <c r="N85" s="55">
        <f t="shared" si="37"/>
        <v>5.3368544663829065E-3</v>
      </c>
      <c r="O85" s="56">
        <f t="shared" si="21"/>
        <v>2.2452157912737595E-7</v>
      </c>
      <c r="P85" s="56">
        <f t="shared" si="38"/>
        <v>2.8452248216741148E-5</v>
      </c>
      <c r="Q85" s="56">
        <f t="shared" si="39"/>
        <v>6.0630351786015123E-4</v>
      </c>
      <c r="R85" s="9">
        <f t="shared" si="12"/>
        <v>1.4999999999999999E-4</v>
      </c>
      <c r="S85" s="9">
        <f t="shared" si="13"/>
        <v>1.479004185819455E-6</v>
      </c>
      <c r="T85" s="9">
        <f t="shared" si="10"/>
        <v>3.3492172982157275E-5</v>
      </c>
      <c r="U85" s="9">
        <f t="shared" si="11"/>
        <v>1.4852099581418054E-4</v>
      </c>
      <c r="V85" s="100">
        <f t="shared" si="14"/>
        <v>0.22550463521036734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3.1127564089177628</v>
      </c>
      <c r="K86" s="55">
        <f t="shared" si="35"/>
        <v>2.3079803374199501E-2</v>
      </c>
      <c r="L86" s="55">
        <f t="shared" si="36"/>
        <v>1.0426921172082189E-2</v>
      </c>
      <c r="M86" s="55">
        <f t="shared" si="19"/>
        <v>0.98957307882791778</v>
      </c>
      <c r="N86" s="55">
        <f t="shared" si="37"/>
        <v>3.7295239289907478E-3</v>
      </c>
      <c r="O86" s="56">
        <f t="shared" si="21"/>
        <v>2.320802192628069E-8</v>
      </c>
      <c r="P86" s="56">
        <f t="shared" si="38"/>
        <v>3.0088084148332275E-5</v>
      </c>
      <c r="Q86" s="56">
        <f t="shared" si="39"/>
        <v>4.2369967034594161E-4</v>
      </c>
      <c r="R86" s="9">
        <f t="shared" si="12"/>
        <v>1.4999999999999999E-4</v>
      </c>
      <c r="S86" s="9">
        <f t="shared" si="13"/>
        <v>1.5640381758123282E-6</v>
      </c>
      <c r="T86" s="9">
        <f t="shared" si="10"/>
        <v>3.4619705061299247E-6</v>
      </c>
      <c r="U86" s="9">
        <f t="shared" si="11"/>
        <v>1.4843596182418766E-4</v>
      </c>
      <c r="V86" s="100">
        <f t="shared" si="14"/>
        <v>2.3322990356140209E-2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1.8429362830281297</v>
      </c>
      <c r="K87" s="55">
        <f t="shared" si="35"/>
        <v>0.32660245849176306</v>
      </c>
      <c r="L87" s="55">
        <f t="shared" si="36"/>
        <v>7.9272637756088622E-3</v>
      </c>
      <c r="M87" s="55">
        <f t="shared" si="19"/>
        <v>0.99207273622439118</v>
      </c>
      <c r="N87" s="55">
        <f t="shared" si="37"/>
        <v>3.5885985325982118E-3</v>
      </c>
      <c r="O87" s="56">
        <f t="shared" si="21"/>
        <v>3.2841688011637628E-7</v>
      </c>
      <c r="P87" s="56">
        <f t="shared" si="38"/>
        <v>2.2875034308801172E-5</v>
      </c>
      <c r="Q87" s="56">
        <f t="shared" si="39"/>
        <v>4.0768957223911783E-4</v>
      </c>
      <c r="R87" s="9">
        <f t="shared" si="12"/>
        <v>1.4999999999999999E-4</v>
      </c>
      <c r="S87" s="9">
        <f t="shared" si="13"/>
        <v>1.1890895663413293E-6</v>
      </c>
      <c r="T87" s="9">
        <f t="shared" si="10"/>
        <v>4.8990368773764452E-5</v>
      </c>
      <c r="U87" s="9">
        <f t="shared" si="11"/>
        <v>1.4881091043365867E-4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1.0452983449628208</v>
      </c>
      <c r="K88" s="55">
        <f t="shared" si="35"/>
        <v>0.70356439200322118</v>
      </c>
      <c r="L88" s="55">
        <f t="shared" si="36"/>
        <v>2.7212583400390293E-3</v>
      </c>
      <c r="M88" s="55">
        <f t="shared" si="19"/>
        <v>0.997278741659961</v>
      </c>
      <c r="N88" s="55">
        <f t="shared" si="37"/>
        <v>1.1074015950710769E-4</v>
      </c>
      <c r="O88" s="56">
        <f t="shared" si="21"/>
        <v>7.0747300448903544E-7</v>
      </c>
      <c r="P88" s="56">
        <f t="shared" si="38"/>
        <v>7.8525049315295463E-6</v>
      </c>
      <c r="Q88" s="56">
        <f t="shared" si="39"/>
        <v>1.2580846770412265E-5</v>
      </c>
      <c r="R88" s="9">
        <f t="shared" si="12"/>
        <v>1.4999999999999999E-4</v>
      </c>
      <c r="S88" s="9">
        <f t="shared" si="13"/>
        <v>4.0818875100585435E-7</v>
      </c>
      <c r="T88" s="9">
        <f t="shared" si="10"/>
        <v>1.0553465880048317E-4</v>
      </c>
      <c r="U88" s="9">
        <f t="shared" si="11"/>
        <v>1.4959181124899414E-4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0.54031268652594377</v>
      </c>
      <c r="K89" s="55">
        <f t="shared" si="35"/>
        <v>0.91186253648245574</v>
      </c>
      <c r="L89" s="55">
        <f t="shared" si="36"/>
        <v>1.102578796945406E-3</v>
      </c>
      <c r="M89" s="55">
        <f t="shared" si="19"/>
        <v>0.99889742120305458</v>
      </c>
      <c r="N89" s="55">
        <f t="shared" si="37"/>
        <v>1.6609404222745069E-4</v>
      </c>
      <c r="O89" s="56">
        <f t="shared" si="21"/>
        <v>9.1692833761729384E-7</v>
      </c>
      <c r="P89" s="56">
        <f t="shared" si="38"/>
        <v>3.1816183392163867E-6</v>
      </c>
      <c r="Q89" s="56">
        <f t="shared" si="39"/>
        <v>1.8869430060806657E-5</v>
      </c>
      <c r="R89" s="9">
        <f t="shared" si="12"/>
        <v>1.4999999999999999E-4</v>
      </c>
      <c r="S89" s="9">
        <f t="shared" si="13"/>
        <v>1.653868195418109E-7</v>
      </c>
      <c r="T89" s="9">
        <f t="shared" si="10"/>
        <v>1.3677938047236836E-4</v>
      </c>
      <c r="U89" s="9">
        <f t="shared" si="11"/>
        <v>1.4983461318045818E-4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2.775579380944819E-2</v>
      </c>
      <c r="K90" s="55">
        <f t="shared" si="35"/>
        <v>0.99150409612928558</v>
      </c>
      <c r="L90" s="55">
        <f t="shared" si="36"/>
        <v>3.6831370838536235E-4</v>
      </c>
      <c r="M90" s="55">
        <f t="shared" si="19"/>
        <v>0.99963168629161459</v>
      </c>
      <c r="N90" s="55">
        <f t="shared" si="37"/>
        <v>5.9357004246136216E-6</v>
      </c>
      <c r="O90" s="56">
        <f t="shared" si="21"/>
        <v>9.9701234147813371E-7</v>
      </c>
      <c r="P90" s="56">
        <f t="shared" si="38"/>
        <v>1.0628117032815463E-6</v>
      </c>
      <c r="Q90" s="56">
        <f t="shared" si="39"/>
        <v>6.7433655369028101E-7</v>
      </c>
      <c r="R90" s="9">
        <f t="shared" si="12"/>
        <v>1.4999999999999999E-4</v>
      </c>
      <c r="S90" s="9">
        <f t="shared" si="13"/>
        <v>5.5247056257804347E-8</v>
      </c>
      <c r="T90" s="9">
        <f t="shared" si="10"/>
        <v>1.4872561441939283E-4</v>
      </c>
      <c r="U90" s="9">
        <f t="shared" si="11"/>
        <v>1.4994475294374219E-4</v>
      </c>
      <c r="V90" s="100">
        <f t="shared" si="14"/>
        <v>0.99186941523184369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-1.052960814664851E-2</v>
      </c>
      <c r="K91" s="55">
        <f t="shared" si="35"/>
        <v>0.99500926614348428</v>
      </c>
      <c r="L91" s="55">
        <f t="shared" si="36"/>
        <v>3.3842706987907559E-4</v>
      </c>
      <c r="M91" s="55">
        <f t="shared" si="19"/>
        <v>0.99966157293012092</v>
      </c>
      <c r="N91" s="55">
        <f t="shared" si="37"/>
        <v>2.7054281153274693E-6</v>
      </c>
      <c r="O91" s="56">
        <f t="shared" si="21"/>
        <v>1.0005369842675867E-6</v>
      </c>
      <c r="P91" s="56">
        <f t="shared" si="38"/>
        <v>9.7657035941336674E-7</v>
      </c>
      <c r="Q91" s="56">
        <f t="shared" si="39"/>
        <v>3.0735531462834446E-7</v>
      </c>
      <c r="R91" s="9">
        <f t="shared" si="12"/>
        <v>1.4999999999999999E-4</v>
      </c>
      <c r="S91" s="9">
        <f t="shared" si="13"/>
        <v>5.0764060481861337E-8</v>
      </c>
      <c r="T91" s="9">
        <f t="shared" si="10"/>
        <v>1.4925138992152263E-4</v>
      </c>
      <c r="U91" s="9">
        <f t="shared" si="11"/>
        <v>1.4994923593951814E-4</v>
      </c>
      <c r="V91" s="100">
        <f t="shared" si="14"/>
        <v>0.99534611821378693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0.6240422823810835</v>
      </c>
      <c r="K92" s="55">
        <f t="shared" si="35"/>
        <v>0.89090304492075312</v>
      </c>
      <c r="L92" s="55">
        <f t="shared" si="36"/>
        <v>1.3062921061006275E-3</v>
      </c>
      <c r="M92" s="55">
        <f t="shared" si="19"/>
        <v>0.99869370789389933</v>
      </c>
      <c r="N92" s="55">
        <f t="shared" si="37"/>
        <v>2.2470570010593778E-4</v>
      </c>
      <c r="O92" s="56">
        <f t="shared" si="21"/>
        <v>8.9585240677676236E-7</v>
      </c>
      <c r="P92" s="56">
        <f t="shared" si="38"/>
        <v>3.7694565981656034E-6</v>
      </c>
      <c r="Q92" s="56">
        <f t="shared" si="39"/>
        <v>2.5528119103797829E-5</v>
      </c>
      <c r="R92" s="9">
        <f t="shared" si="12"/>
        <v>1.4999999999999999E-4</v>
      </c>
      <c r="S92" s="9">
        <f t="shared" si="13"/>
        <v>1.9594381591509412E-7</v>
      </c>
      <c r="T92" s="9">
        <f t="shared" ref="T92:T143" si="40">R92*K92</f>
        <v>1.3363545673811296E-4</v>
      </c>
      <c r="U92" s="9">
        <f t="shared" ref="U92:U143" si="41">$R92*M92</f>
        <v>1.4980405618408488E-4</v>
      </c>
      <c r="V92" s="100">
        <f t="shared" si="14"/>
        <v>0.89206834676022828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-8.9628675548333609E-3</v>
      </c>
      <c r="K93" s="55">
        <f t="shared" si="35"/>
        <v>0.99487030364887241</v>
      </c>
      <c r="L93" s="55">
        <f t="shared" si="36"/>
        <v>3.3960273314849221E-4</v>
      </c>
      <c r="M93" s="55">
        <f t="shared" ref="M93:M127" si="42">IF(D93=0,"",1-L93)</f>
        <v>0.99966039726685152</v>
      </c>
      <c r="N93" s="55">
        <f t="shared" si="37"/>
        <v>2.8190446966551249E-6</v>
      </c>
      <c r="O93" s="56">
        <f t="shared" ref="O93:O127" si="43">IF(D93=0,"",F93*K93*$J$7/$J$14)</f>
        <v>1.0003972497746365E-6</v>
      </c>
      <c r="P93" s="56">
        <f t="shared" si="38"/>
        <v>9.7996287143072222E-7</v>
      </c>
      <c r="Q93" s="56">
        <f t="shared" si="39"/>
        <v>3.2026294277899356E-7</v>
      </c>
      <c r="R93" s="9">
        <f t="shared" ref="R93:R143" si="44">F93*$C$14</f>
        <v>1.4999999999999999E-4</v>
      </c>
      <c r="S93" s="9">
        <f t="shared" ref="S93:S143" si="45">$R93*L93</f>
        <v>5.0940409972273829E-8</v>
      </c>
      <c r="T93" s="9">
        <f t="shared" si="40"/>
        <v>1.4923054554733084E-4</v>
      </c>
      <c r="U93" s="9">
        <f t="shared" si="41"/>
        <v>1.4994905959002771E-4</v>
      </c>
      <c r="V93" s="100">
        <f t="shared" ref="V93:V143" si="46">K93/M93</f>
        <v>0.99520827910050691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-4.9263850672939993E-2</v>
      </c>
      <c r="K94" s="55">
        <f t="shared" si="35"/>
        <v>0.99833685536830463</v>
      </c>
      <c r="L94" s="55">
        <f t="shared" si="36"/>
        <v>3.1058525246856325E-4</v>
      </c>
      <c r="M94" s="55">
        <f t="shared" si="42"/>
        <v>0.99968941474753148</v>
      </c>
      <c r="N94" s="55">
        <f t="shared" si="37"/>
        <v>4.7285330599048086E-7</v>
      </c>
      <c r="O94" s="56">
        <f t="shared" si="43"/>
        <v>1.0038830597275542E-6</v>
      </c>
      <c r="P94" s="56">
        <f t="shared" si="38"/>
        <v>8.9622958275793942E-7</v>
      </c>
      <c r="Q94" s="56">
        <f t="shared" si="39"/>
        <v>5.3719400568203831E-8</v>
      </c>
      <c r="R94" s="9">
        <f t="shared" si="44"/>
        <v>1.4999999999999999E-4</v>
      </c>
      <c r="S94" s="9">
        <f t="shared" si="45"/>
        <v>4.6587787870284486E-8</v>
      </c>
      <c r="T94" s="9">
        <f t="shared" si="40"/>
        <v>1.4975052830524567E-4</v>
      </c>
      <c r="U94" s="9">
        <f t="shared" si="41"/>
        <v>1.499534122121297E-4</v>
      </c>
      <c r="V94" s="100">
        <f t="shared" si="46"/>
        <v>0.9986470204052641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3.5683081622045494</v>
      </c>
      <c r="K95" s="55">
        <f t="shared" si="35"/>
        <v>1.2260914268055839E-2</v>
      </c>
      <c r="L95" s="55">
        <f t="shared" si="36"/>
        <v>1.5812429226670938E-2</v>
      </c>
      <c r="M95" s="55">
        <f t="shared" si="42"/>
        <v>0.98418757077332908</v>
      </c>
      <c r="N95" s="55">
        <f t="shared" si="37"/>
        <v>1.2058523432690847E-2</v>
      </c>
      <c r="O95" s="56">
        <f t="shared" si="43"/>
        <v>1.2329029089016535E-8</v>
      </c>
      <c r="P95" s="56">
        <f t="shared" si="38"/>
        <v>4.5628589044623629E-5</v>
      </c>
      <c r="Q95" s="56">
        <f t="shared" si="39"/>
        <v>1.3699315249258986E-3</v>
      </c>
      <c r="R95" s="9">
        <f t="shared" si="44"/>
        <v>1.4999999999999999E-4</v>
      </c>
      <c r="S95" s="9">
        <f t="shared" si="45"/>
        <v>2.3718643840006404E-6</v>
      </c>
      <c r="T95" s="9">
        <f t="shared" si="40"/>
        <v>1.8391371402083758E-6</v>
      </c>
      <c r="U95" s="9">
        <f t="shared" si="41"/>
        <v>1.4762813561599935E-4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-6.5703506823937385E-2</v>
      </c>
      <c r="K96" s="55">
        <f t="shared" si="35"/>
        <v>0.99970053615902466</v>
      </c>
      <c r="L96" s="55">
        <f t="shared" si="36"/>
        <v>2.9945667284109228E-4</v>
      </c>
      <c r="M96" s="55">
        <f t="shared" si="42"/>
        <v>0.99970054332715885</v>
      </c>
      <c r="N96" s="55">
        <f t="shared" si="37"/>
        <v>1.5096324355982507E-14</v>
      </c>
      <c r="O96" s="56">
        <f t="shared" si="43"/>
        <v>1.0052543163703582E-6</v>
      </c>
      <c r="P96" s="56">
        <f t="shared" si="38"/>
        <v>8.6411678217599218E-7</v>
      </c>
      <c r="Q96" s="56">
        <f t="shared" si="39"/>
        <v>1.7150466855420103E-15</v>
      </c>
      <c r="R96" s="9">
        <f t="shared" si="44"/>
        <v>1.4999999999999999E-4</v>
      </c>
      <c r="S96" s="9">
        <f t="shared" si="45"/>
        <v>4.4918500926163837E-8</v>
      </c>
      <c r="T96" s="9">
        <f t="shared" si="40"/>
        <v>1.4995508042385368E-4</v>
      </c>
      <c r="U96" s="9">
        <f t="shared" si="41"/>
        <v>1.499550814990738E-4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3.6473845694063871</v>
      </c>
      <c r="K98" s="55">
        <f t="shared" si="35"/>
        <v>5.6612263800965351E-3</v>
      </c>
      <c r="L98" s="55">
        <f t="shared" si="36"/>
        <v>8.7591642033437792E-3</v>
      </c>
      <c r="M98" s="55">
        <f t="shared" si="42"/>
        <v>0.99124083579665623</v>
      </c>
      <c r="N98" s="55">
        <f t="shared" si="37"/>
        <v>8.9106998515477056E-4</v>
      </c>
      <c r="O98" s="56">
        <f t="shared" si="43"/>
        <v>5.6926770054632679E-9</v>
      </c>
      <c r="P98" s="56">
        <f t="shared" si="38"/>
        <v>2.5275578981541202E-5</v>
      </c>
      <c r="Q98" s="56">
        <f t="shared" si="39"/>
        <v>1.0123170306817354E-4</v>
      </c>
      <c r="R98" s="9">
        <f t="shared" si="44"/>
        <v>1.4999999999999999E-4</v>
      </c>
      <c r="S98" s="9">
        <f t="shared" si="45"/>
        <v>1.3138746305015667E-6</v>
      </c>
      <c r="T98" s="9">
        <f t="shared" si="40"/>
        <v>8.4918395701448023E-7</v>
      </c>
      <c r="U98" s="9">
        <f t="shared" si="41"/>
        <v>1.4868612536949843E-4</v>
      </c>
      <c r="V98" s="100">
        <f t="shared" si="46"/>
        <v>5.7112521757102857E-3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1.9238445379940865</v>
      </c>
      <c r="K99" s="55">
        <f t="shared" si="35"/>
        <v>0.22877301395138269</v>
      </c>
      <c r="L99" s="55">
        <f t="shared" si="36"/>
        <v>6.6898581402563282E-3</v>
      </c>
      <c r="M99" s="55">
        <f t="shared" si="42"/>
        <v>0.99331014185974364</v>
      </c>
      <c r="N99" s="55">
        <f t="shared" si="37"/>
        <v>4.2306401551794035E-4</v>
      </c>
      <c r="O99" s="56">
        <f t="shared" si="43"/>
        <v>2.3004394958842047E-7</v>
      </c>
      <c r="P99" s="56">
        <f t="shared" si="38"/>
        <v>1.9304357570418126E-5</v>
      </c>
      <c r="Q99" s="56">
        <f t="shared" si="39"/>
        <v>4.806299338014686E-5</v>
      </c>
      <c r="R99" s="9">
        <f t="shared" si="44"/>
        <v>1.4999999999999999E-4</v>
      </c>
      <c r="S99" s="9">
        <f t="shared" si="45"/>
        <v>1.0034787210384492E-6</v>
      </c>
      <c r="T99" s="9">
        <f t="shared" si="40"/>
        <v>3.43159520927074E-5</v>
      </c>
      <c r="U99" s="9">
        <f t="shared" si="41"/>
        <v>1.4899652127896155E-4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3.2804859651125566</v>
      </c>
      <c r="K101" s="55">
        <f t="shared" si="35"/>
        <v>1.2594365516926906E-2</v>
      </c>
      <c r="L101" s="55">
        <f t="shared" si="36"/>
        <v>8.3720118666555134E-3</v>
      </c>
      <c r="M101" s="55">
        <f t="shared" si="42"/>
        <v>0.99162798813334452</v>
      </c>
      <c r="N101" s="55">
        <f t="shared" si="37"/>
        <v>3.6912850753826156E-4</v>
      </c>
      <c r="O101" s="56">
        <f t="shared" si="43"/>
        <v>1.2664332807582717E-8</v>
      </c>
      <c r="P101" s="56">
        <f t="shared" si="38"/>
        <v>2.4158406242603723E-5</v>
      </c>
      <c r="Q101" s="56">
        <f t="shared" si="39"/>
        <v>4.1935547254036362E-5</v>
      </c>
      <c r="R101" s="9">
        <f t="shared" si="44"/>
        <v>1.4999999999999999E-4</v>
      </c>
      <c r="S101" s="9">
        <f t="shared" si="45"/>
        <v>1.2558017799983269E-6</v>
      </c>
      <c r="T101" s="9">
        <f t="shared" si="40"/>
        <v>1.8891548275390357E-6</v>
      </c>
      <c r="U101" s="9">
        <f t="shared" si="41"/>
        <v>1.4874419822000166E-4</v>
      </c>
      <c r="V101" s="100">
        <f t="shared" si="46"/>
        <v>1.2700695893663438E-2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2.5018749283324597</v>
      </c>
      <c r="K102" s="55">
        <f t="shared" si="35"/>
        <v>6.9445364856892053E-2</v>
      </c>
      <c r="L102" s="55">
        <f t="shared" si="36"/>
        <v>7.6857414230004154E-3</v>
      </c>
      <c r="M102" s="55">
        <f t="shared" si="42"/>
        <v>0.99231425857699962</v>
      </c>
      <c r="N102" s="55">
        <f t="shared" si="37"/>
        <v>7.0525166272951308E-10</v>
      </c>
      <c r="O102" s="56">
        <f t="shared" si="43"/>
        <v>6.9831164683100888E-8</v>
      </c>
      <c r="P102" s="56">
        <f t="shared" si="38"/>
        <v>2.2178093692385739E-5</v>
      </c>
      <c r="Q102" s="56">
        <f t="shared" si="39"/>
        <v>8.012145858259303E-11</v>
      </c>
      <c r="R102" s="9">
        <f t="shared" si="44"/>
        <v>1.4999999999999999E-4</v>
      </c>
      <c r="S102" s="9">
        <f t="shared" si="45"/>
        <v>1.1528612134500623E-6</v>
      </c>
      <c r="T102" s="9">
        <f t="shared" si="40"/>
        <v>1.0416804728533806E-5</v>
      </c>
      <c r="U102" s="9">
        <f t="shared" si="41"/>
        <v>1.4884713878654993E-4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3.5508029338400835</v>
      </c>
      <c r="K103" s="55">
        <f t="shared" si="35"/>
        <v>6.6074082366722291E-3</v>
      </c>
      <c r="L103" s="55">
        <f t="shared" si="36"/>
        <v>8.1846789959796329E-3</v>
      </c>
      <c r="M103" s="55">
        <f t="shared" si="42"/>
        <v>0.99181532100402037</v>
      </c>
      <c r="N103" s="55">
        <f t="shared" si="37"/>
        <v>1.1190049177430633E-9</v>
      </c>
      <c r="O103" s="56">
        <f t="shared" si="43"/>
        <v>6.6441153222300928E-9</v>
      </c>
      <c r="P103" s="56">
        <f t="shared" si="38"/>
        <v>2.3617835628937236E-5</v>
      </c>
      <c r="Q103" s="56">
        <f t="shared" si="39"/>
        <v>1.2712668527951402E-10</v>
      </c>
      <c r="R103" s="9">
        <f t="shared" si="44"/>
        <v>1.4999999999999999E-4</v>
      </c>
      <c r="S103" s="9">
        <f t="shared" si="45"/>
        <v>1.2277018493969448E-6</v>
      </c>
      <c r="T103" s="9">
        <f t="shared" si="40"/>
        <v>9.9111123550083419E-7</v>
      </c>
      <c r="U103" s="9">
        <f t="shared" si="41"/>
        <v>1.4877229815060303E-4</v>
      </c>
      <c r="V103" s="100">
        <f t="shared" si="46"/>
        <v>6.6619340281853191E-3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4.2526423267701308</v>
      </c>
      <c r="K104" s="55">
        <f t="shared" si="35"/>
        <v>1.3621230628126776E-3</v>
      </c>
      <c r="L104" s="55">
        <f t="shared" si="36"/>
        <v>8.4923180310443672E-3</v>
      </c>
      <c r="M104" s="55">
        <f t="shared" si="42"/>
        <v>0.99150768196895567</v>
      </c>
      <c r="N104" s="55">
        <f t="shared" si="37"/>
        <v>4.1803980805244628E-4</v>
      </c>
      <c r="O104" s="56">
        <f t="shared" si="43"/>
        <v>1.36969026102657E-9</v>
      </c>
      <c r="P104" s="56">
        <f t="shared" si="38"/>
        <v>2.4505563561428291E-5</v>
      </c>
      <c r="Q104" s="56">
        <f t="shared" si="39"/>
        <v>4.7492208720385876E-5</v>
      </c>
      <c r="R104" s="9">
        <f t="shared" si="44"/>
        <v>1.4999999999999999E-4</v>
      </c>
      <c r="S104" s="9">
        <f t="shared" si="45"/>
        <v>1.2738477046566549E-6</v>
      </c>
      <c r="T104" s="9">
        <f t="shared" si="40"/>
        <v>2.0431845942190162E-7</v>
      </c>
      <c r="U104" s="9">
        <f t="shared" si="41"/>
        <v>1.4872615229534334E-4</v>
      </c>
      <c r="V104" s="100">
        <f t="shared" si="46"/>
        <v>1.3737897220400216E-3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3.9339975399006524</v>
      </c>
      <c r="K105" s="55">
        <f t="shared" si="35"/>
        <v>3.2123995662656406E-3</v>
      </c>
      <c r="L105" s="55">
        <f t="shared" si="36"/>
        <v>9.6160048847888317E-3</v>
      </c>
      <c r="M105" s="55">
        <f t="shared" si="42"/>
        <v>0.99038399511521114</v>
      </c>
      <c r="N105" s="55">
        <f t="shared" si="37"/>
        <v>2.2071449319079001E-3</v>
      </c>
      <c r="O105" s="56">
        <f t="shared" si="43"/>
        <v>3.2302458717308449E-9</v>
      </c>
      <c r="P105" s="56">
        <f t="shared" si="38"/>
        <v>2.7748091634083367E-5</v>
      </c>
      <c r="Q105" s="56">
        <f t="shared" si="39"/>
        <v>2.5074690439327998E-4</v>
      </c>
      <c r="R105" s="9">
        <f t="shared" si="44"/>
        <v>1.4999999999999999E-4</v>
      </c>
      <c r="S105" s="9">
        <f t="shared" si="45"/>
        <v>1.4424007327183247E-6</v>
      </c>
      <c r="T105" s="9">
        <f t="shared" si="40"/>
        <v>4.8185993493984608E-7</v>
      </c>
      <c r="U105" s="9">
        <f t="shared" si="41"/>
        <v>1.4855759926728167E-4</v>
      </c>
      <c r="V105" s="100">
        <f t="shared" si="46"/>
        <v>3.243589943001798E-3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3.0001364508445363</v>
      </c>
      <c r="K106" s="55">
        <f t="shared" si="35"/>
        <v>2.3404722479143721E-2</v>
      </c>
      <c r="L106" s="55">
        <f t="shared" si="36"/>
        <v>8.1584475057511693E-3</v>
      </c>
      <c r="M106" s="55">
        <f t="shared" si="42"/>
        <v>0.99184155249424888</v>
      </c>
      <c r="N106" s="55">
        <f t="shared" si="37"/>
        <v>1.6838553815839774E-4</v>
      </c>
      <c r="O106" s="56">
        <f t="shared" si="43"/>
        <v>2.3534746101073378E-8</v>
      </c>
      <c r="P106" s="56">
        <f t="shared" si="38"/>
        <v>2.3542141637172584E-5</v>
      </c>
      <c r="Q106" s="56">
        <f t="shared" si="39"/>
        <v>1.9129759821126508E-5</v>
      </c>
      <c r="R106" s="9">
        <f t="shared" si="44"/>
        <v>1.4999999999999999E-4</v>
      </c>
      <c r="S106" s="9">
        <f t="shared" si="45"/>
        <v>1.2237671258626752E-6</v>
      </c>
      <c r="T106" s="9">
        <f t="shared" si="40"/>
        <v>3.5107083718715576E-6</v>
      </c>
      <c r="U106" s="9">
        <f t="shared" si="41"/>
        <v>1.4877623287413733E-4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3.7014271719824365</v>
      </c>
      <c r="K108" s="55">
        <f t="shared" si="35"/>
        <v>4.8907955598229821E-3</v>
      </c>
      <c r="L108" s="55">
        <f t="shared" si="36"/>
        <v>8.5698704743323618E-3</v>
      </c>
      <c r="M108" s="55">
        <f t="shared" si="42"/>
        <v>0.99143012952566767</v>
      </c>
      <c r="N108" s="55">
        <f t="shared" si="37"/>
        <v>5.8395691109152108E-4</v>
      </c>
      <c r="O108" s="56">
        <f t="shared" si="43"/>
        <v>4.9179661000151322E-9</v>
      </c>
      <c r="P108" s="56">
        <f t="shared" si="38"/>
        <v>2.4729350084894613E-5</v>
      </c>
      <c r="Q108" s="56">
        <f t="shared" si="39"/>
        <v>6.6341537267644538E-5</v>
      </c>
      <c r="R108" s="9">
        <f t="shared" si="44"/>
        <v>1.4999999999999999E-4</v>
      </c>
      <c r="S108" s="9">
        <f t="shared" si="45"/>
        <v>1.2854805711498543E-6</v>
      </c>
      <c r="T108" s="9">
        <f t="shared" si="40"/>
        <v>7.336193339734472E-7</v>
      </c>
      <c r="U108" s="9">
        <f t="shared" si="41"/>
        <v>1.4871451942885012E-4</v>
      </c>
      <c r="V108" s="100">
        <f t="shared" si="46"/>
        <v>4.9330713422668501E-3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3.9592343762414268</v>
      </c>
      <c r="K109" s="55">
        <f t="shared" si="35"/>
        <v>2.9330904139527377E-3</v>
      </c>
      <c r="L109" s="55">
        <f t="shared" si="36"/>
        <v>9.3052362428508121E-3</v>
      </c>
      <c r="M109" s="55">
        <f t="shared" si="42"/>
        <v>0.99069476375714915</v>
      </c>
      <c r="N109" s="55">
        <f t="shared" si="37"/>
        <v>1.7152472982446296E-3</v>
      </c>
      <c r="O109" s="56">
        <f t="shared" si="43"/>
        <v>2.9493850331010375E-9</v>
      </c>
      <c r="P109" s="56">
        <f t="shared" si="38"/>
        <v>2.6851332859850967E-5</v>
      </c>
      <c r="Q109" s="56">
        <f t="shared" si="39"/>
        <v>1.9486393670215256E-4</v>
      </c>
      <c r="R109" s="9">
        <f t="shared" si="44"/>
        <v>1.4999999999999999E-4</v>
      </c>
      <c r="S109" s="9">
        <f t="shared" si="45"/>
        <v>1.3957854364276218E-6</v>
      </c>
      <c r="T109" s="9">
        <f t="shared" si="40"/>
        <v>4.399635620929106E-7</v>
      </c>
      <c r="U109" s="9">
        <f t="shared" si="41"/>
        <v>1.4860421456357236E-4</v>
      </c>
      <c r="V109" s="100">
        <f t="shared" si="46"/>
        <v>2.9606398673484172E-3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2.2543342131627062</v>
      </c>
      <c r="K110" s="55">
        <f t="shared" si="35"/>
        <v>0.11702456412925019</v>
      </c>
      <c r="L110" s="55">
        <f t="shared" si="36"/>
        <v>7.3245141470337288E-3</v>
      </c>
      <c r="M110" s="55">
        <f t="shared" si="42"/>
        <v>0.99267548585296628</v>
      </c>
      <c r="N110" s="55">
        <f t="shared" si="37"/>
        <v>2.6018264574099537E-5</v>
      </c>
      <c r="O110" s="56">
        <f t="shared" si="43"/>
        <v>1.1767468752620069E-7</v>
      </c>
      <c r="P110" s="56">
        <f t="shared" si="38"/>
        <v>2.113573070751356E-5</v>
      </c>
      <c r="Q110" s="56">
        <f t="shared" si="39"/>
        <v>2.9558545092919312E-6</v>
      </c>
      <c r="R110" s="9">
        <f t="shared" si="44"/>
        <v>1.4999999999999999E-4</v>
      </c>
      <c r="S110" s="9">
        <f t="shared" si="45"/>
        <v>1.0986771220550592E-6</v>
      </c>
      <c r="T110" s="9">
        <f t="shared" si="40"/>
        <v>1.7553684619387527E-5</v>
      </c>
      <c r="U110" s="9">
        <f t="shared" si="41"/>
        <v>1.4890132287794492E-4</v>
      </c>
      <c r="V110" s="100">
        <f t="shared" si="46"/>
        <v>0.11788803672198642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2.2360989063469887</v>
      </c>
      <c r="K111" s="55">
        <f t="shared" si="35"/>
        <v>0.17333911859648826</v>
      </c>
      <c r="L111" s="55">
        <f t="shared" si="36"/>
        <v>1.0403107039192696E-2</v>
      </c>
      <c r="M111" s="55">
        <f t="shared" si="42"/>
        <v>0.98959689296080733</v>
      </c>
      <c r="N111" s="55">
        <f t="shared" si="37"/>
        <v>5.5671547018553641E-3</v>
      </c>
      <c r="O111" s="56">
        <f t="shared" si="43"/>
        <v>1.743020943396142E-7</v>
      </c>
      <c r="P111" s="56">
        <f t="shared" si="38"/>
        <v>3.0019365720095052E-5</v>
      </c>
      <c r="Q111" s="56">
        <f t="shared" si="39"/>
        <v>6.324672148113272E-4</v>
      </c>
      <c r="R111" s="9">
        <f t="shared" si="44"/>
        <v>1.4999999999999999E-4</v>
      </c>
      <c r="S111" s="9">
        <f t="shared" si="45"/>
        <v>1.5604660558789042E-6</v>
      </c>
      <c r="T111" s="9">
        <f t="shared" si="40"/>
        <v>2.6000867789473237E-5</v>
      </c>
      <c r="U111" s="9">
        <f t="shared" si="41"/>
        <v>1.4843953394412109E-4</v>
      </c>
      <c r="V111" s="100">
        <f t="shared" si="46"/>
        <v>0.17516134077368542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5.2243795044903081</v>
      </c>
      <c r="K112" s="55">
        <f t="shared" si="35"/>
        <v>2.9471812117796135E-4</v>
      </c>
      <c r="L112" s="55">
        <f t="shared" si="36"/>
        <v>1.7216858937022201E-2</v>
      </c>
      <c r="M112" s="55">
        <f t="shared" si="42"/>
        <v>0.98278314106297782</v>
      </c>
      <c r="N112" s="55">
        <f t="shared" si="37"/>
        <v>1.4116438268690997E-2</v>
      </c>
      <c r="O112" s="56">
        <f t="shared" si="43"/>
        <v>2.9635541115642659E-10</v>
      </c>
      <c r="P112" s="56">
        <f t="shared" si="38"/>
        <v>4.9681233023424173E-5</v>
      </c>
      <c r="Q112" s="56">
        <f t="shared" si="39"/>
        <v>1.6037248600042561E-3</v>
      </c>
      <c r="R112" s="9">
        <f t="shared" si="44"/>
        <v>1.4999999999999999E-4</v>
      </c>
      <c r="S112" s="9">
        <f t="shared" si="45"/>
        <v>2.58252884055333E-6</v>
      </c>
      <c r="T112" s="9">
        <f t="shared" si="40"/>
        <v>4.42077181766942E-8</v>
      </c>
      <c r="U112" s="9">
        <f t="shared" si="41"/>
        <v>1.4741747115944666E-4</v>
      </c>
      <c r="V112" s="100">
        <f t="shared" si="46"/>
        <v>2.9988113233118176E-4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5.592091109253353</v>
      </c>
      <c r="K113" s="55">
        <f t="shared" si="35"/>
        <v>1.3279083509706304E-4</v>
      </c>
      <c r="L113" s="55">
        <f t="shared" si="36"/>
        <v>1.8089509378607413E-2</v>
      </c>
      <c r="M113" s="55">
        <f t="shared" si="42"/>
        <v>0.98191049062139257</v>
      </c>
      <c r="N113" s="55">
        <f t="shared" si="37"/>
        <v>1.5485898039559765E-2</v>
      </c>
      <c r="O113" s="56">
        <f t="shared" si="43"/>
        <v>1.3352854712734967E-10</v>
      </c>
      <c r="P113" s="56">
        <f t="shared" si="38"/>
        <v>5.2199366563053877E-5</v>
      </c>
      <c r="Q113" s="56">
        <f t="shared" si="39"/>
        <v>1.7593049459660975E-3</v>
      </c>
      <c r="R113" s="9">
        <f t="shared" si="44"/>
        <v>1.4999999999999999E-4</v>
      </c>
      <c r="S113" s="9">
        <f t="shared" si="45"/>
        <v>2.7134264067911118E-6</v>
      </c>
      <c r="T113" s="9">
        <f t="shared" si="40"/>
        <v>1.9918625264559456E-8</v>
      </c>
      <c r="U113" s="9">
        <f t="shared" si="41"/>
        <v>1.4728657359320887E-4</v>
      </c>
      <c r="V113" s="100">
        <f t="shared" si="46"/>
        <v>1.352372098734047E-4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6.012357132853051</v>
      </c>
      <c r="K114" s="55">
        <f t="shared" si="35"/>
        <v>5.2702060082345211E-5</v>
      </c>
      <c r="L114" s="55">
        <f t="shared" si="36"/>
        <v>1.8895235165318054E-2</v>
      </c>
      <c r="M114" s="55">
        <f t="shared" si="42"/>
        <v>0.9811047648346819</v>
      </c>
      <c r="N114" s="55">
        <f t="shared" si="37"/>
        <v>1.6751198506525285E-2</v>
      </c>
      <c r="O114" s="56">
        <f t="shared" si="43"/>
        <v>5.2994843418749542E-11</v>
      </c>
      <c r="P114" s="56">
        <f t="shared" si="38"/>
        <v>5.4524381288967435E-5</v>
      </c>
      <c r="Q114" s="56">
        <f t="shared" si="39"/>
        <v>1.9030518157943154E-3</v>
      </c>
      <c r="R114" s="9">
        <f t="shared" si="44"/>
        <v>1.4999999999999999E-4</v>
      </c>
      <c r="S114" s="9">
        <f t="shared" si="45"/>
        <v>2.834285274797708E-6</v>
      </c>
      <c r="T114" s="9">
        <f t="shared" si="40"/>
        <v>7.9053090123517814E-9</v>
      </c>
      <c r="U114" s="9">
        <f t="shared" si="41"/>
        <v>1.4716571472520227E-4</v>
      </c>
      <c r="V114" s="100">
        <f t="shared" si="46"/>
        <v>5.3717056497249418E-5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4.6033243950447487</v>
      </c>
      <c r="K115" s="55">
        <f t="shared" si="35"/>
        <v>1.3212305996158657E-3</v>
      </c>
      <c r="L115" s="55">
        <f t="shared" si="36"/>
        <v>1.8470157346371315E-2</v>
      </c>
      <c r="M115" s="55">
        <f t="shared" si="42"/>
        <v>0.98152984265362864</v>
      </c>
      <c r="N115" s="55">
        <f t="shared" si="37"/>
        <v>1.6098964732887494E-2</v>
      </c>
      <c r="O115" s="56">
        <f t="shared" si="43"/>
        <v>1.3285706220459301E-9</v>
      </c>
      <c r="P115" s="56">
        <f t="shared" si="38"/>
        <v>5.3297770194955937E-5</v>
      </c>
      <c r="Q115" s="56">
        <f t="shared" si="39"/>
        <v>1.8289535554960889E-3</v>
      </c>
      <c r="R115" s="9">
        <f t="shared" si="44"/>
        <v>1.4999999999999999E-4</v>
      </c>
      <c r="S115" s="9">
        <f t="shared" si="45"/>
        <v>2.7705236019556971E-6</v>
      </c>
      <c r="T115" s="9">
        <f t="shared" si="40"/>
        <v>1.9818458994237984E-7</v>
      </c>
      <c r="U115" s="9">
        <f t="shared" si="41"/>
        <v>1.4722947639804427E-4</v>
      </c>
      <c r="V115" s="100">
        <f t="shared" si="46"/>
        <v>1.3460931519349776E-3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-2.1349672211087228E-2</v>
      </c>
      <c r="K116" s="55">
        <f t="shared" si="35"/>
        <v>0.99595915765221477</v>
      </c>
      <c r="L116" s="55">
        <f t="shared" si="36"/>
        <v>3.3041475564546619E-4</v>
      </c>
      <c r="M116" s="55">
        <f t="shared" si="42"/>
        <v>0.99966958524435456</v>
      </c>
      <c r="N116" s="55">
        <f t="shared" si="37"/>
        <v>1.9665811321851386E-6</v>
      </c>
      <c r="O116" s="56">
        <f t="shared" si="43"/>
        <v>1.0014921528452726E-6</v>
      </c>
      <c r="P116" s="56">
        <f t="shared" si="38"/>
        <v>9.5344990219449054E-7</v>
      </c>
      <c r="Q116" s="56">
        <f t="shared" si="39"/>
        <v>2.2341719567432191E-7</v>
      </c>
      <c r="R116" s="9">
        <f t="shared" si="44"/>
        <v>1.4999999999999999E-4</v>
      </c>
      <c r="S116" s="9">
        <f t="shared" si="45"/>
        <v>4.9562213346819926E-8</v>
      </c>
      <c r="T116" s="9">
        <f t="shared" si="40"/>
        <v>1.4939387364783219E-4</v>
      </c>
      <c r="U116" s="9">
        <f t="shared" si="41"/>
        <v>1.4995043778665316E-4</v>
      </c>
      <c r="V116" s="100">
        <f t="shared" si="46"/>
        <v>0.99628834602261818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1.0644941049967591</v>
      </c>
      <c r="K117" s="55">
        <f t="shared" si="35"/>
        <v>0.72852593257999465</v>
      </c>
      <c r="L117" s="55">
        <f t="shared" si="36"/>
        <v>2.9451451069209072E-3</v>
      </c>
      <c r="M117" s="55">
        <f t="shared" si="42"/>
        <v>0.9970548548930791</v>
      </c>
      <c r="N117" s="55">
        <f t="shared" si="37"/>
        <v>7.740968655122291E-4</v>
      </c>
      <c r="O117" s="56">
        <f t="shared" si="43"/>
        <v>7.3257321750328921E-7</v>
      </c>
      <c r="P117" s="56">
        <f t="shared" si="38"/>
        <v>8.4985560304556929E-6</v>
      </c>
      <c r="Q117" s="56">
        <f t="shared" si="39"/>
        <v>8.7942748988371439E-5</v>
      </c>
      <c r="R117" s="9">
        <f t="shared" si="44"/>
        <v>1.4999999999999999E-4</v>
      </c>
      <c r="S117" s="9">
        <f t="shared" si="45"/>
        <v>4.4177176603813604E-7</v>
      </c>
      <c r="T117" s="9">
        <f t="shared" si="40"/>
        <v>1.0927888988699919E-4</v>
      </c>
      <c r="U117" s="9">
        <f t="shared" si="41"/>
        <v>1.4955822823396186E-4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2.2485216506404617</v>
      </c>
      <c r="K118" s="55">
        <f t="shared" si="35"/>
        <v>0.169593871533854</v>
      </c>
      <c r="L118" s="55">
        <f t="shared" si="36"/>
        <v>1.0473681954247589E-2</v>
      </c>
      <c r="M118" s="55">
        <f t="shared" si="42"/>
        <v>0.98952631804575242</v>
      </c>
      <c r="N118" s="55">
        <f t="shared" si="37"/>
        <v>5.6313358655811566E-3</v>
      </c>
      <c r="O118" s="56">
        <f t="shared" si="43"/>
        <v>1.7053604076715957E-7</v>
      </c>
      <c r="P118" s="56">
        <f t="shared" si="38"/>
        <v>3.0223017780745367E-5</v>
      </c>
      <c r="Q118" s="56">
        <f t="shared" si="39"/>
        <v>6.3975863817548732E-4</v>
      </c>
      <c r="R118" s="9">
        <f t="shared" si="44"/>
        <v>1.4999999999999999E-4</v>
      </c>
      <c r="S118" s="9">
        <f t="shared" si="45"/>
        <v>1.5710522931371382E-6</v>
      </c>
      <c r="T118" s="9">
        <f t="shared" si="40"/>
        <v>2.5439080730078098E-5</v>
      </c>
      <c r="U118" s="9">
        <f t="shared" si="41"/>
        <v>1.4842894770686284E-4</v>
      </c>
      <c r="V118" s="100">
        <f t="shared" si="46"/>
        <v>0.17138894483250372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-5.9633312344076983E-2</v>
      </c>
      <c r="K119" s="55">
        <f t="shared" si="35"/>
        <v>0.99919813298941063</v>
      </c>
      <c r="L119" s="55">
        <f t="shared" si="36"/>
        <v>3.0351899694840547E-4</v>
      </c>
      <c r="M119" s="55">
        <f t="shared" si="42"/>
        <v>0.99969648100305164</v>
      </c>
      <c r="N119" s="55">
        <f t="shared" si="37"/>
        <v>1.1506111613264573E-7</v>
      </c>
      <c r="O119" s="56">
        <f t="shared" si="43"/>
        <v>1.0047491221281372E-6</v>
      </c>
      <c r="P119" s="56">
        <f t="shared" si="38"/>
        <v>8.7583908711734875E-7</v>
      </c>
      <c r="Q119" s="56">
        <f t="shared" si="39"/>
        <v>1.3071737278873225E-8</v>
      </c>
      <c r="R119" s="9">
        <f t="shared" si="44"/>
        <v>1.4999999999999999E-4</v>
      </c>
      <c r="S119" s="9">
        <f t="shared" si="45"/>
        <v>4.5527849542260815E-8</v>
      </c>
      <c r="T119" s="9">
        <f t="shared" si="40"/>
        <v>1.4987971994841158E-4</v>
      </c>
      <c r="U119" s="9">
        <f t="shared" si="41"/>
        <v>1.4995447215045772E-4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-6.5703589816534555E-2</v>
      </c>
      <c r="K120" s="55">
        <f t="shared" si="35"/>
        <v>0.9997005431030328</v>
      </c>
      <c r="L120" s="55">
        <f t="shared" si="36"/>
        <v>2.9945661769572327E-4</v>
      </c>
      <c r="M120" s="55">
        <f t="shared" si="42"/>
        <v>0.9997005433823043</v>
      </c>
      <c r="N120" s="55">
        <f t="shared" si="37"/>
        <v>1.4928673554355063E-16</v>
      </c>
      <c r="O120" s="56">
        <f t="shared" si="43"/>
        <v>1.0052543233529433E-6</v>
      </c>
      <c r="P120" s="56">
        <f t="shared" si="38"/>
        <v>8.6411662304766674E-7</v>
      </c>
      <c r="Q120" s="56">
        <f t="shared" si="39"/>
        <v>1.6960003968640866E-17</v>
      </c>
      <c r="R120" s="9">
        <f t="shared" si="44"/>
        <v>1.4999999999999999E-4</v>
      </c>
      <c r="S120" s="9">
        <f t="shared" si="45"/>
        <v>4.4918492654358485E-8</v>
      </c>
      <c r="T120" s="9">
        <f t="shared" si="40"/>
        <v>1.4995508146545492E-4</v>
      </c>
      <c r="U120" s="9">
        <f t="shared" si="41"/>
        <v>1.4995508150734564E-4</v>
      </c>
      <c r="V120" s="100">
        <f t="shared" si="46"/>
        <v>0.99999999972064491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0.28558081208397795</v>
      </c>
      <c r="K121" s="55">
        <f t="shared" si="35"/>
        <v>0.96036731752355919</v>
      </c>
      <c r="L121" s="55">
        <f t="shared" si="36"/>
        <v>6.4593045400432748E-4</v>
      </c>
      <c r="M121" s="55">
        <f t="shared" si="42"/>
        <v>0.9993540695459957</v>
      </c>
      <c r="N121" s="55">
        <f t="shared" si="37"/>
        <v>5.3695498608332783E-5</v>
      </c>
      <c r="O121" s="56">
        <f t="shared" si="43"/>
        <v>9.6570258424669853E-7</v>
      </c>
      <c r="P121" s="56">
        <f t="shared" si="38"/>
        <v>1.8639068554664871E-6</v>
      </c>
      <c r="Q121" s="56">
        <f t="shared" si="39"/>
        <v>6.1001794042834273E-6</v>
      </c>
      <c r="R121" s="9">
        <f t="shared" si="44"/>
        <v>1.4999999999999999E-4</v>
      </c>
      <c r="S121" s="9">
        <f t="shared" si="45"/>
        <v>9.6889568100649111E-8</v>
      </c>
      <c r="T121" s="9">
        <f t="shared" si="40"/>
        <v>1.4405509762853387E-4</v>
      </c>
      <c r="U121" s="9">
        <f t="shared" si="41"/>
        <v>1.4990311043189933E-4</v>
      </c>
      <c r="V121" s="100">
        <f t="shared" si="46"/>
        <v>0.96098804897032331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5.2497736530396644</v>
      </c>
      <c r="K122" s="55">
        <f t="shared" si="35"/>
        <v>3.1805981543538321E-4</v>
      </c>
      <c r="L122" s="55">
        <f t="shared" si="36"/>
        <v>1.9699265450251111E-2</v>
      </c>
      <c r="M122" s="55">
        <f t="shared" si="42"/>
        <v>0.98030073454974886</v>
      </c>
      <c r="N122" s="55">
        <f t="shared" si="37"/>
        <v>1.801814504039945E-2</v>
      </c>
      <c r="O122" s="56">
        <f t="shared" si="43"/>
        <v>3.1982677888603039E-10</v>
      </c>
      <c r="P122" s="56">
        <f t="shared" si="38"/>
        <v>5.6844503448867E-5</v>
      </c>
      <c r="Q122" s="56">
        <f t="shared" si="39"/>
        <v>2.0469856901892932E-3</v>
      </c>
      <c r="R122" s="9">
        <f t="shared" si="44"/>
        <v>1.4999999999999999E-4</v>
      </c>
      <c r="S122" s="9">
        <f t="shared" si="45"/>
        <v>2.9548898175376665E-6</v>
      </c>
      <c r="T122" s="9">
        <f t="shared" si="40"/>
        <v>4.7708972315307477E-8</v>
      </c>
      <c r="U122" s="9">
        <f t="shared" si="41"/>
        <v>1.4704511018246233E-4</v>
      </c>
      <c r="V122" s="100">
        <f t="shared" si="46"/>
        <v>3.2445126707108689E-4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0.91828095208380334</v>
      </c>
      <c r="K123" s="55">
        <f t="shared" ref="K123:K127" si="49">IF(D123=0,"",1/(1+10^D123*$J$15/$J$14+10^E123*$J$16/$J$14+10^J123*$J$19/$J$14))</f>
        <v>0.79960104688831446</v>
      </c>
      <c r="L123" s="55">
        <f t="shared" ref="L123:L127" si="50">IF(D123=0,"",1/(1+10^I123/10^J123*$J$13/$J$19))</f>
        <v>2.3084574976476816E-3</v>
      </c>
      <c r="M123" s="55">
        <f t="shared" si="42"/>
        <v>0.99769154250235237</v>
      </c>
      <c r="N123" s="55">
        <f t="shared" ref="N123:N127" si="51">IF(D123=0,"",1/(1/10^E123*$J$20/$J$22+10^D123/10^E123*$J$21/$J$22+10^I123/10^E123*$J$13/$J$22+1))</f>
        <v>6.6039480382152987E-4</v>
      </c>
      <c r="O123" s="56">
        <f t="shared" si="43"/>
        <v>8.0404318561941085E-7</v>
      </c>
      <c r="P123" s="56">
        <f t="shared" ref="P123:P127" si="52">IF(D123=0,"",O123*10^J123)</f>
        <v>6.6613204699428837E-6</v>
      </c>
      <c r="Q123" s="56">
        <f t="shared" ref="Q123:Q127" si="53">IF(D123=0,"",F123*N123*$J$7/$J$22)</f>
        <v>7.502540967824667E-5</v>
      </c>
      <c r="R123" s="9">
        <f t="shared" si="44"/>
        <v>1.4999999999999999E-4</v>
      </c>
      <c r="S123" s="9">
        <f t="shared" si="45"/>
        <v>3.462686246471522E-7</v>
      </c>
      <c r="T123" s="9">
        <f t="shared" si="40"/>
        <v>1.1994015703324716E-4</v>
      </c>
      <c r="U123" s="9">
        <f t="shared" si="41"/>
        <v>1.4965373137535283E-4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0.17110445915344094</v>
      </c>
      <c r="J124" s="54">
        <f t="shared" si="48"/>
        <v>1.1278069815675698</v>
      </c>
      <c r="K124" s="55">
        <f t="shared" si="49"/>
        <v>0.66877416264607847</v>
      </c>
      <c r="L124" s="55">
        <f t="shared" si="50"/>
        <v>3.1279085313619345E-3</v>
      </c>
      <c r="M124" s="55">
        <f t="shared" si="42"/>
        <v>0.99687209146863809</v>
      </c>
      <c r="N124" s="55">
        <f t="shared" si="51"/>
        <v>3.1570159762041652E-4</v>
      </c>
      <c r="O124" s="56">
        <f t="shared" si="43"/>
        <v>6.724894999656176E-7</v>
      </c>
      <c r="P124" s="56">
        <f t="shared" si="52"/>
        <v>9.02594097976771E-6</v>
      </c>
      <c r="Q124" s="56">
        <f t="shared" si="53"/>
        <v>3.5865881379572031E-5</v>
      </c>
      <c r="R124" s="9">
        <f t="shared" si="44"/>
        <v>1.4999999999999999E-4</v>
      </c>
      <c r="S124" s="9">
        <f t="shared" si="45"/>
        <v>4.6918627970429014E-7</v>
      </c>
      <c r="T124" s="9">
        <f t="shared" si="40"/>
        <v>1.0031612439691176E-4</v>
      </c>
      <c r="U124" s="9">
        <f t="shared" si="41"/>
        <v>1.4953081372029569E-4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0.12333905997992552</v>
      </c>
      <c r="K125" s="55">
        <f t="shared" si="49"/>
        <v>0.98116238581519188</v>
      </c>
      <c r="L125" s="55">
        <f t="shared" si="50"/>
        <v>4.5420041567844976E-4</v>
      </c>
      <c r="M125" s="55">
        <f t="shared" si="42"/>
        <v>0.99954579958432155</v>
      </c>
      <c r="N125" s="55">
        <f t="shared" si="51"/>
        <v>1.186525794433322E-5</v>
      </c>
      <c r="O125" s="56">
        <f t="shared" si="43"/>
        <v>9.8661317837291256E-7</v>
      </c>
      <c r="P125" s="56">
        <f t="shared" si="52"/>
        <v>1.3106477071804374E-6</v>
      </c>
      <c r="Q125" s="56">
        <f t="shared" si="53"/>
        <v>1.3479752309684193E-6</v>
      </c>
      <c r="R125" s="9">
        <f t="shared" si="44"/>
        <v>1.4999999999999999E-4</v>
      </c>
      <c r="S125" s="9">
        <f t="shared" si="45"/>
        <v>6.8130062351767464E-8</v>
      </c>
      <c r="T125" s="9">
        <f t="shared" si="40"/>
        <v>1.4717435787227876E-4</v>
      </c>
      <c r="U125" s="9">
        <f t="shared" si="41"/>
        <v>1.4993186993764822E-4</v>
      </c>
      <c r="V125" s="100">
        <f t="shared" si="46"/>
        <v>0.98160823268250963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4.169446444927372</v>
      </c>
      <c r="K126" s="55">
        <f t="shared" si="49"/>
        <v>3.3922414044414155E-3</v>
      </c>
      <c r="L126" s="55">
        <f t="shared" si="50"/>
        <v>1.7462272952611872E-2</v>
      </c>
      <c r="M126" s="55">
        <f t="shared" si="42"/>
        <v>0.98253772704738818</v>
      </c>
      <c r="N126" s="55">
        <f t="shared" si="51"/>
        <v>1.4540790812592221E-2</v>
      </c>
      <c r="O126" s="56">
        <f t="shared" si="43"/>
        <v>3.411086811143344E-9</v>
      </c>
      <c r="P126" s="56">
        <f t="shared" si="52"/>
        <v>5.038940348240998E-5</v>
      </c>
      <c r="Q126" s="56">
        <f t="shared" si="53"/>
        <v>1.6519342391059114E-3</v>
      </c>
      <c r="R126" s="9">
        <f t="shared" si="44"/>
        <v>1.4999999999999999E-4</v>
      </c>
      <c r="S126" s="9">
        <f t="shared" si="45"/>
        <v>2.6193409428917806E-6</v>
      </c>
      <c r="T126" s="9">
        <f t="shared" si="40"/>
        <v>5.0883621066621234E-7</v>
      </c>
      <c r="U126" s="9">
        <f t="shared" si="41"/>
        <v>1.4738065905710822E-4</v>
      </c>
      <c r="V126" s="100">
        <f t="shared" si="46"/>
        <v>3.45253043324392E-3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2.0847278512161855</v>
      </c>
      <c r="K127" s="55">
        <f t="shared" si="49"/>
        <v>0.22436868650535488</v>
      </c>
      <c r="L127" s="55">
        <f t="shared" si="50"/>
        <v>9.5029331357404899E-3</v>
      </c>
      <c r="M127" s="55">
        <f t="shared" si="42"/>
        <v>0.99049706686425953</v>
      </c>
      <c r="N127" s="55">
        <f t="shared" si="51"/>
        <v>4.7892060388502154E-3</v>
      </c>
      <c r="O127" s="56">
        <f t="shared" si="43"/>
        <v>2.2561515414849928E-7</v>
      </c>
      <c r="P127" s="56">
        <f t="shared" si="52"/>
        <v>2.7421810055464083E-5</v>
      </c>
      <c r="Q127" s="56">
        <f t="shared" si="53"/>
        <v>5.440868750314601E-4</v>
      </c>
      <c r="R127" s="9">
        <f t="shared" si="44"/>
        <v>1.4999999999999999E-4</v>
      </c>
      <c r="S127" s="9">
        <f t="shared" si="45"/>
        <v>1.4254399703610733E-6</v>
      </c>
      <c r="T127" s="9">
        <f t="shared" si="40"/>
        <v>3.3655302975803228E-5</v>
      </c>
      <c r="U127" s="9">
        <f t="shared" si="41"/>
        <v>1.4857456002963891E-4</v>
      </c>
      <c r="V127" s="100">
        <f t="shared" si="46"/>
        <v>0.22652130330447812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2.99110327595359</v>
      </c>
      <c r="K128" s="55">
        <f t="shared" ref="K128:K134" si="56">IF(D128=0,"",1/(1+10^D128*$J$15/$J$14+10^E128*$J$16/$J$14+10^J128*$J$19/$J$14))</f>
        <v>3.5274604530769554E-2</v>
      </c>
      <c r="L128" s="55">
        <f t="shared" ref="L128:L134" si="57">IF(D128=0,"",1/(1+10^I128/10^J128*$J$13/$J$19))</f>
        <v>1.2042953410471657E-2</v>
      </c>
      <c r="M128" s="55">
        <f t="shared" ref="M128:M134" si="58">IF(D128=0,"",1-L128)</f>
        <v>0.98795704658952832</v>
      </c>
      <c r="N128" s="55">
        <f t="shared" ref="N128:N134" si="59">IF(D128=0,"",1/(1/10^E128*$J$20/$J$22+10^D128/10^E128*$J$21/$J$22+10^I128/10^E128*$J$13/$J$22+1))</f>
        <v>6.4214994087856206E-3</v>
      </c>
      <c r="O128" s="56">
        <f t="shared" ref="O128:O134" si="60">IF(D128=0,"",F128*K128*$J$7/$J$14)</f>
        <v>3.5470570616131781E-8</v>
      </c>
      <c r="P128" s="56">
        <f t="shared" ref="P128:P134" si="61">IF(D128=0,"",O128*10^J128)</f>
        <v>3.4751331637463361E-5</v>
      </c>
      <c r="Q128" s="56">
        <f t="shared" ref="Q128:Q134" si="62">IF(D128=0,"",F128*N128*$J$7/$J$22)</f>
        <v>7.2952667268859773E-4</v>
      </c>
      <c r="R128" s="9">
        <f t="shared" si="44"/>
        <v>1.4999999999999999E-4</v>
      </c>
      <c r="S128" s="9">
        <f t="shared" si="45"/>
        <v>1.8064430115707484E-6</v>
      </c>
      <c r="T128" s="9">
        <f t="shared" si="40"/>
        <v>5.291190679615433E-6</v>
      </c>
      <c r="U128" s="9">
        <f t="shared" si="41"/>
        <v>1.4819355698842922E-4</v>
      </c>
      <c r="V128" s="100">
        <f t="shared" si="46"/>
        <v>3.5704593284231395E-2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-6.2474275560847933E-2</v>
      </c>
      <c r="K129" s="55">
        <f t="shared" si="56"/>
        <v>0.99943300349979158</v>
      </c>
      <c r="L129" s="55">
        <f t="shared" si="57"/>
        <v>3.0161086899706789E-4</v>
      </c>
      <c r="M129" s="55">
        <f t="shared" si="58"/>
        <v>0.99969838913100295</v>
      </c>
      <c r="N129" s="55">
        <f t="shared" si="59"/>
        <v>4.7101801511146148E-8</v>
      </c>
      <c r="O129" s="56">
        <f t="shared" si="60"/>
        <v>1.0049852974484542E-6</v>
      </c>
      <c r="P129" s="56">
        <f t="shared" si="61"/>
        <v>8.7033296374515425E-7</v>
      </c>
      <c r="Q129" s="56">
        <f t="shared" si="62"/>
        <v>5.351089885183602E-9</v>
      </c>
      <c r="R129" s="9">
        <f t="shared" si="44"/>
        <v>1.4999999999999999E-4</v>
      </c>
      <c r="S129" s="9">
        <f t="shared" si="45"/>
        <v>4.5241630349560178E-8</v>
      </c>
      <c r="T129" s="9">
        <f t="shared" si="40"/>
        <v>1.4991495052496873E-4</v>
      </c>
      <c r="U129" s="9">
        <f t="shared" si="41"/>
        <v>1.4995475836965044E-4</v>
      </c>
      <c r="V129" s="100">
        <f t="shared" si="46"/>
        <v>0.99973453430144865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1.4371310508166708</v>
      </c>
      <c r="K130" s="55">
        <f t="shared" si="56"/>
        <v>0.53944799052662351</v>
      </c>
      <c r="L130" s="55">
        <f t="shared" si="57"/>
        <v>5.1433752092182108E-3</v>
      </c>
      <c r="M130" s="55">
        <f t="shared" si="58"/>
        <v>0.99485662479078174</v>
      </c>
      <c r="N130" s="55">
        <f t="shared" si="59"/>
        <v>1.8694252002835492E-3</v>
      </c>
      <c r="O130" s="56">
        <f t="shared" si="60"/>
        <v>5.4244486355656226E-7</v>
      </c>
      <c r="P130" s="56">
        <f t="shared" si="61"/>
        <v>1.4841802632569441E-5</v>
      </c>
      <c r="Q130" s="56">
        <f t="shared" si="62"/>
        <v>2.1237961095771281E-4</v>
      </c>
      <c r="R130" s="9">
        <f t="shared" si="44"/>
        <v>1.4999999999999999E-4</v>
      </c>
      <c r="S130" s="9">
        <f t="shared" si="45"/>
        <v>7.7150628138273159E-7</v>
      </c>
      <c r="T130" s="9">
        <f t="shared" si="40"/>
        <v>8.0917198578993525E-5</v>
      </c>
      <c r="U130" s="9">
        <f t="shared" si="41"/>
        <v>1.4922849371861726E-4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0.10687476179790768</v>
      </c>
      <c r="K131" s="55">
        <f t="shared" si="56"/>
        <v>0.98345506011340356</v>
      </c>
      <c r="L131" s="55">
        <f t="shared" si="57"/>
        <v>4.3832562203785128E-4</v>
      </c>
      <c r="M131" s="55">
        <f t="shared" si="58"/>
        <v>0.99956167437796217</v>
      </c>
      <c r="N131" s="55">
        <f t="shared" si="59"/>
        <v>1.5525864627319073E-5</v>
      </c>
      <c r="O131" s="56">
        <f t="shared" si="60"/>
        <v>9.889185894944908E-7</v>
      </c>
      <c r="P131" s="56">
        <f t="shared" si="61"/>
        <v>1.264839158423532E-6</v>
      </c>
      <c r="Q131" s="56">
        <f t="shared" si="62"/>
        <v>1.7638454263010912E-6</v>
      </c>
      <c r="R131" s="9">
        <f t="shared" si="44"/>
        <v>1.4999999999999999E-4</v>
      </c>
      <c r="S131" s="9">
        <f t="shared" si="45"/>
        <v>6.5748843305677688E-8</v>
      </c>
      <c r="T131" s="9">
        <f t="shared" si="40"/>
        <v>1.4751825901701052E-4</v>
      </c>
      <c r="U131" s="9">
        <f t="shared" si="41"/>
        <v>1.4993425115669432E-4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0.30013556038076544</v>
      </c>
      <c r="K132" s="55">
        <f t="shared" si="56"/>
        <v>0.9581364770390044</v>
      </c>
      <c r="L132" s="55">
        <f t="shared" si="57"/>
        <v>6.6639313061970238E-4</v>
      </c>
      <c r="M132" s="55">
        <f t="shared" si="58"/>
        <v>0.99933360686938033</v>
      </c>
      <c r="N132" s="55">
        <f t="shared" si="59"/>
        <v>5.8016942226638551E-5</v>
      </c>
      <c r="O132" s="56">
        <f t="shared" si="60"/>
        <v>9.6345935045305812E-7</v>
      </c>
      <c r="P132" s="56">
        <f t="shared" si="61"/>
        <v>1.9229542699182228E-6</v>
      </c>
      <c r="Q132" s="56">
        <f t="shared" si="62"/>
        <v>6.5911252384854386E-6</v>
      </c>
      <c r="R132" s="9">
        <f t="shared" si="44"/>
        <v>1.4999999999999999E-4</v>
      </c>
      <c r="S132" s="9">
        <f t="shared" si="45"/>
        <v>9.9958969592955352E-8</v>
      </c>
      <c r="T132" s="9">
        <f t="shared" si="40"/>
        <v>1.4372047155585064E-4</v>
      </c>
      <c r="U132" s="9">
        <f t="shared" si="41"/>
        <v>1.4990004103040703E-4</v>
      </c>
      <c r="V132" s="100">
        <f t="shared" si="46"/>
        <v>0.95877539837829084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2.3060233847120806</v>
      </c>
      <c r="K133" s="55">
        <f t="shared" si="56"/>
        <v>0.15310251412618184</v>
      </c>
      <c r="L133" s="55">
        <f t="shared" si="57"/>
        <v>1.0793773088161821E-2</v>
      </c>
      <c r="M133" s="55">
        <f t="shared" si="58"/>
        <v>0.98920622691183813</v>
      </c>
      <c r="N133" s="55">
        <f t="shared" si="59"/>
        <v>5.9286069842448431E-3</v>
      </c>
      <c r="O133" s="56">
        <f t="shared" si="60"/>
        <v>1.5395306654913676E-7</v>
      </c>
      <c r="P133" s="56">
        <f t="shared" si="61"/>
        <v>3.1146677681247269E-5</v>
      </c>
      <c r="Q133" s="56">
        <f t="shared" si="62"/>
        <v>6.7353068988484791E-4</v>
      </c>
      <c r="R133" s="9">
        <f t="shared" si="44"/>
        <v>1.4999999999999999E-4</v>
      </c>
      <c r="S133" s="9">
        <f t="shared" si="45"/>
        <v>1.6190659632242731E-6</v>
      </c>
      <c r="T133" s="9">
        <f t="shared" si="40"/>
        <v>2.2965377118927274E-5</v>
      </c>
      <c r="U133" s="9">
        <f t="shared" si="41"/>
        <v>1.483809340367757E-4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-6.4685575959527716E-2</v>
      </c>
      <c r="K134" s="55">
        <f t="shared" si="56"/>
        <v>0.99961596858256274</v>
      </c>
      <c r="L134" s="55">
        <f t="shared" si="57"/>
        <v>3.0013399293758481E-4</v>
      </c>
      <c r="M134" s="55">
        <f t="shared" si="58"/>
        <v>0.9996998660070624</v>
      </c>
      <c r="N134" s="55">
        <f t="shared" si="59"/>
        <v>9.1912707251461281E-9</v>
      </c>
      <c r="O134" s="56">
        <f t="shared" si="60"/>
        <v>1.005169278983472E-6</v>
      </c>
      <c r="P134" s="56">
        <f t="shared" si="61"/>
        <v>8.6607126746673984E-7</v>
      </c>
      <c r="Q134" s="56">
        <f t="shared" si="62"/>
        <v>1.0441918192380578E-9</v>
      </c>
      <c r="R134" s="9">
        <f t="shared" si="44"/>
        <v>1.4999999999999999E-4</v>
      </c>
      <c r="S134" s="9">
        <f t="shared" si="45"/>
        <v>4.5020098940637718E-8</v>
      </c>
      <c r="T134" s="9">
        <f t="shared" si="40"/>
        <v>1.4994239528738439E-4</v>
      </c>
      <c r="U134" s="9">
        <f t="shared" si="41"/>
        <v>1.4995497990105935E-4</v>
      </c>
      <c r="V134" s="100">
        <f t="shared" si="46"/>
        <v>0.99991607738747157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0.444755005450504</v>
      </c>
      <c r="K135" s="55">
        <f t="shared" ref="K135:K143" si="65">IF(D135=0,"",1/(1+10^D135*$J$15/$J$14+10^E135*$J$16/$J$14+10^J135*$J$19/$J$14))</f>
        <v>0.93256497978636399</v>
      </c>
      <c r="L135" s="55">
        <f t="shared" ref="L135:L143" si="66">IF(D135=0,"",1/(1+10^I135/10^J135*$J$13/$J$19))</f>
        <v>9.0490228481336307E-4</v>
      </c>
      <c r="M135" s="55">
        <f t="shared" ref="M135:M143" si="67">IF(D135=0,"",1-L135)</f>
        <v>0.99909509771518668</v>
      </c>
      <c r="N135" s="55">
        <f t="shared" ref="N135:N143" si="68">IF(D135=0,"",1/(1/10^E135*$J$20/$J$22+10^D135/10^E135*$J$21/$J$22+10^I135/10^E135*$J$13/$J$22+1))</f>
        <v>1.1376231684723812E-4</v>
      </c>
      <c r="O135" s="56">
        <f t="shared" ref="O135:O143" si="69">IF(D135=0,"",F135*K135*$J$7/$J$14)</f>
        <v>9.3774579218286364E-7</v>
      </c>
      <c r="P135" s="56">
        <f t="shared" ref="P135:P143" si="70">IF(D135=0,"",O135*10^J135)</f>
        <v>2.6111999546310532E-6</v>
      </c>
      <c r="Q135" s="56">
        <f t="shared" ref="Q135:Q143" si="71">IF(D135=0,"",F135*N135*$J$7/$J$22)</f>
        <v>1.292418471196379E-5</v>
      </c>
      <c r="R135" s="9">
        <f t="shared" si="44"/>
        <v>1.4999999999999999E-4</v>
      </c>
      <c r="S135" s="9">
        <f t="shared" si="45"/>
        <v>1.3573534272200444E-7</v>
      </c>
      <c r="T135" s="9">
        <f t="shared" si="40"/>
        <v>1.3988474696795459E-4</v>
      </c>
      <c r="U135" s="9">
        <f t="shared" si="41"/>
        <v>1.4986426465727799E-4</v>
      </c>
      <c r="V135" s="100">
        <f t="shared" si="46"/>
        <v>0.93340962428804897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-2.5403823157142385E-2</v>
      </c>
      <c r="K136" s="55">
        <f t="shared" si="65"/>
        <v>0.99631077972536664</v>
      </c>
      <c r="L136" s="55">
        <f t="shared" si="66"/>
        <v>3.2746024534269778E-4</v>
      </c>
      <c r="M136" s="55">
        <f t="shared" si="67"/>
        <v>0.99967253975465731</v>
      </c>
      <c r="N136" s="55">
        <f t="shared" si="68"/>
        <v>1.7110204991134539E-6</v>
      </c>
      <c r="O136" s="56">
        <f t="shared" si="69"/>
        <v>1.0018457283351137E-6</v>
      </c>
      <c r="P136" s="56">
        <f t="shared" si="70"/>
        <v>9.4492432181081697E-7</v>
      </c>
      <c r="Q136" s="56">
        <f t="shared" si="71"/>
        <v>1.9438374313519987E-7</v>
      </c>
      <c r="R136" s="9">
        <f t="shared" si="44"/>
        <v>1.4999999999999999E-4</v>
      </c>
      <c r="S136" s="9">
        <f t="shared" si="45"/>
        <v>4.9119036801404662E-8</v>
      </c>
      <c r="T136" s="9">
        <f t="shared" si="40"/>
        <v>1.4944661695880497E-4</v>
      </c>
      <c r="U136" s="9">
        <f t="shared" si="41"/>
        <v>1.4995088096319859E-4</v>
      </c>
      <c r="V136" s="100">
        <f t="shared" si="46"/>
        <v>0.99663713876734505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-6.5593771005989093E-2</v>
      </c>
      <c r="K137" s="55">
        <f t="shared" si="65"/>
        <v>0.99969138211853337</v>
      </c>
      <c r="L137" s="55">
        <f t="shared" si="66"/>
        <v>2.9952960518054254E-4</v>
      </c>
      <c r="M137" s="55">
        <f t="shared" si="67"/>
        <v>0.99970047039481946</v>
      </c>
      <c r="N137" s="55">
        <f t="shared" si="68"/>
        <v>3.9085473463519949E-10</v>
      </c>
      <c r="O137" s="56">
        <f t="shared" si="69"/>
        <v>1.0052451114751088E-6</v>
      </c>
      <c r="P137" s="56">
        <f t="shared" si="70"/>
        <v>8.6432723685674571E-7</v>
      </c>
      <c r="Q137" s="56">
        <f t="shared" si="71"/>
        <v>4.4403796669806894E-11</v>
      </c>
      <c r="R137" s="9">
        <f t="shared" si="44"/>
        <v>1.4999999999999999E-4</v>
      </c>
      <c r="S137" s="9">
        <f t="shared" si="45"/>
        <v>4.4929440777081379E-8</v>
      </c>
      <c r="T137" s="9">
        <f t="shared" si="40"/>
        <v>1.4995370731777998E-4</v>
      </c>
      <c r="U137" s="9">
        <f t="shared" si="41"/>
        <v>1.4995507055922292E-4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-2.9745510894273335E-2</v>
      </c>
      <c r="K138" s="55">
        <f t="shared" si="65"/>
        <v>0.99668483907123595</v>
      </c>
      <c r="L138" s="55">
        <f t="shared" si="66"/>
        <v>3.243246200544729E-4</v>
      </c>
      <c r="M138" s="55">
        <f t="shared" si="67"/>
        <v>0.99967567537994551</v>
      </c>
      <c r="N138" s="55">
        <f t="shared" si="68"/>
        <v>1.4508052819125198E-6</v>
      </c>
      <c r="O138" s="56">
        <f t="shared" si="69"/>
        <v>1.0022218657466817E-6</v>
      </c>
      <c r="P138" s="56">
        <f t="shared" si="70"/>
        <v>9.3587611323872636E-7</v>
      </c>
      <c r="Q138" s="56">
        <f t="shared" si="71"/>
        <v>1.6482149769952861E-7</v>
      </c>
      <c r="R138" s="9">
        <f t="shared" si="44"/>
        <v>1.4999999999999999E-4</v>
      </c>
      <c r="S138" s="9">
        <f t="shared" si="45"/>
        <v>4.8648693008170929E-8</v>
      </c>
      <c r="T138" s="9">
        <f t="shared" si="40"/>
        <v>1.4950272586068537E-4</v>
      </c>
      <c r="U138" s="9">
        <f t="shared" si="41"/>
        <v>1.499513513069918E-4</v>
      </c>
      <c r="V138" s="100">
        <f t="shared" si="46"/>
        <v>0.99700819337474345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0.35181253681606744</v>
      </c>
      <c r="K139" s="55">
        <f t="shared" si="65"/>
        <v>0.94794691652659002</v>
      </c>
      <c r="L139" s="55">
        <f t="shared" si="66"/>
        <v>7.4261570891621356E-4</v>
      </c>
      <c r="M139" s="55">
        <f t="shared" si="67"/>
        <v>0.99925738429108379</v>
      </c>
      <c r="N139" s="55">
        <f t="shared" si="68"/>
        <v>5.0656748652429368E-5</v>
      </c>
      <c r="O139" s="56">
        <f t="shared" si="69"/>
        <v>9.5321318240919865E-7</v>
      </c>
      <c r="P139" s="56">
        <f t="shared" si="70"/>
        <v>2.1429033145056861E-6</v>
      </c>
      <c r="Q139" s="56">
        <f t="shared" si="71"/>
        <v>5.7549564270096388E-6</v>
      </c>
      <c r="R139" s="9">
        <f t="shared" si="44"/>
        <v>1.4999999999999999E-4</v>
      </c>
      <c r="S139" s="9">
        <f t="shared" si="45"/>
        <v>1.1139235633743203E-7</v>
      </c>
      <c r="T139" s="9">
        <f t="shared" si="40"/>
        <v>1.421920374789885E-4</v>
      </c>
      <c r="U139" s="9">
        <f t="shared" si="41"/>
        <v>1.4988860764366256E-4</v>
      </c>
      <c r="V139" s="100">
        <f t="shared" si="46"/>
        <v>0.94865139995848458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-6.4873220931103495E-2</v>
      </c>
      <c r="K140" s="55">
        <f t="shared" si="65"/>
        <v>0.99963152459859417</v>
      </c>
      <c r="L140" s="55">
        <f t="shared" si="66"/>
        <v>3.0000901116538622E-4</v>
      </c>
      <c r="M140" s="55">
        <f t="shared" si="67"/>
        <v>0.99969999098883466</v>
      </c>
      <c r="N140" s="55">
        <f t="shared" si="68"/>
        <v>6.8872178036916813E-9</v>
      </c>
      <c r="O140" s="56">
        <f t="shared" si="69"/>
        <v>1.0051849214200775E-6</v>
      </c>
      <c r="P140" s="56">
        <f t="shared" si="70"/>
        <v>8.6571061814208703E-7</v>
      </c>
      <c r="Q140" s="56">
        <f t="shared" si="71"/>
        <v>7.8243549809172013E-10</v>
      </c>
      <c r="R140" s="9">
        <f t="shared" si="44"/>
        <v>1.4999999999999999E-4</v>
      </c>
      <c r="S140" s="9">
        <f t="shared" si="45"/>
        <v>4.5001351674807932E-8</v>
      </c>
      <c r="T140" s="9">
        <f t="shared" si="40"/>
        <v>1.4994472868978912E-4</v>
      </c>
      <c r="U140" s="9">
        <f t="shared" si="41"/>
        <v>1.4995499864832519E-4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-6.3631462661885949E-2</v>
      </c>
      <c r="K141" s="55">
        <f t="shared" si="65"/>
        <v>0.99952869588742199</v>
      </c>
      <c r="L141" s="55">
        <f t="shared" si="66"/>
        <v>3.0083709138419441E-4</v>
      </c>
      <c r="M141" s="55">
        <f t="shared" si="67"/>
        <v>0.99969916290861582</v>
      </c>
      <c r="N141" s="55">
        <f t="shared" si="68"/>
        <v>2.5139794281835704E-8</v>
      </c>
      <c r="O141" s="56">
        <f t="shared" si="69"/>
        <v>1.0050815214497727E-6</v>
      </c>
      <c r="P141" s="56">
        <f t="shared" si="70"/>
        <v>8.6810013916117605E-7</v>
      </c>
      <c r="Q141" s="56">
        <f t="shared" si="71"/>
        <v>2.8560542183358653E-9</v>
      </c>
      <c r="R141" s="9">
        <f t="shared" si="44"/>
        <v>1.4999999999999999E-4</v>
      </c>
      <c r="S141" s="9">
        <f t="shared" si="45"/>
        <v>4.5125563707629158E-8</v>
      </c>
      <c r="T141" s="9">
        <f t="shared" si="40"/>
        <v>1.4992930438311329E-4</v>
      </c>
      <c r="U141" s="9">
        <f t="shared" si="41"/>
        <v>1.4995487443629236E-4</v>
      </c>
      <c r="V141" s="100">
        <f t="shared" si="46"/>
        <v>0.99982948168057095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1.6185844152121505</v>
      </c>
      <c r="K142" s="55">
        <f t="shared" si="65"/>
        <v>0.44050273717909733</v>
      </c>
      <c r="L142" s="55">
        <f t="shared" si="66"/>
        <v>6.3782362774111832E-3</v>
      </c>
      <c r="M142" s="55">
        <f t="shared" si="67"/>
        <v>0.99362176372258881</v>
      </c>
      <c r="N142" s="55">
        <f t="shared" si="68"/>
        <v>2.5754462182630234E-3</v>
      </c>
      <c r="O142" s="56">
        <f t="shared" si="69"/>
        <v>4.4294992540826752E-7</v>
      </c>
      <c r="P142" s="56">
        <f t="shared" si="70"/>
        <v>1.8405136728809668E-5</v>
      </c>
      <c r="Q142" s="56">
        <f t="shared" si="71"/>
        <v>2.925884736090272E-4</v>
      </c>
      <c r="R142" s="9">
        <f t="shared" si="44"/>
        <v>1.4999999999999999E-4</v>
      </c>
      <c r="S142" s="9">
        <f t="shared" si="45"/>
        <v>9.5673544161167744E-7</v>
      </c>
      <c r="T142" s="9">
        <f t="shared" si="40"/>
        <v>6.6075410576864587E-5</v>
      </c>
      <c r="U142" s="9">
        <f t="shared" si="41"/>
        <v>1.4904326455838831E-4</v>
      </c>
      <c r="V142" s="100">
        <f t="shared" si="46"/>
        <v>0.44333040323992151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2.5355844584974991</v>
      </c>
      <c r="K143" s="55">
        <f t="shared" si="65"/>
        <v>6.5806601609515833E-2</v>
      </c>
      <c r="L143" s="55">
        <f t="shared" si="66"/>
        <v>7.8708475160320888E-3</v>
      </c>
      <c r="M143" s="55">
        <f t="shared" si="67"/>
        <v>0.99212915248396794</v>
      </c>
      <c r="N143" s="55">
        <f t="shared" si="68"/>
        <v>2.4551087800157129E-4</v>
      </c>
      <c r="O143" s="56">
        <f t="shared" si="69"/>
        <v>6.6172186490762596E-8</v>
      </c>
      <c r="P143" s="56">
        <f t="shared" si="70"/>
        <v>2.2712238682223988E-5</v>
      </c>
      <c r="Q143" s="56">
        <f t="shared" si="71"/>
        <v>2.7891730970541923E-5</v>
      </c>
      <c r="R143" s="9">
        <f t="shared" si="44"/>
        <v>1.4999999999999999E-4</v>
      </c>
      <c r="S143" s="9">
        <f t="shared" si="45"/>
        <v>1.1806271274048132E-6</v>
      </c>
      <c r="T143" s="9">
        <f t="shared" si="40"/>
        <v>9.8709902414273735E-6</v>
      </c>
      <c r="U143" s="9">
        <f t="shared" si="41"/>
        <v>1.4881937287259517E-4</v>
      </c>
      <c r="V143" s="100">
        <f t="shared" si="46"/>
        <v>6.6328664413053032E-2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2025-02-02T14:49:16Z</dcterms:modified>
</cp:coreProperties>
</file>