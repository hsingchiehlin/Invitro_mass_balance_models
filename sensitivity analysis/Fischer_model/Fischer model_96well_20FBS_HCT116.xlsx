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A0C7C310-C26B-4E62-A013-43EA25C571DC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U130" i="4" s="1"/>
  <c r="V127" i="4"/>
  <c r="U127" i="4"/>
  <c r="T127" i="4"/>
  <c r="R127" i="4"/>
  <c r="S127" i="4" s="1"/>
  <c r="V126" i="4"/>
  <c r="S126" i="4"/>
  <c r="R126" i="4"/>
  <c r="V124" i="4"/>
  <c r="U124" i="4"/>
  <c r="T124" i="4"/>
  <c r="S124" i="4"/>
  <c r="R124" i="4"/>
  <c r="V121" i="4"/>
  <c r="R121" i="4"/>
  <c r="U121" i="4" s="1"/>
  <c r="V120" i="4"/>
  <c r="U120" i="4"/>
  <c r="T120" i="4"/>
  <c r="S120" i="4"/>
  <c r="R120" i="4"/>
  <c r="V119" i="4"/>
  <c r="R119" i="4"/>
  <c r="U119" i="4" s="1"/>
  <c r="V116" i="4"/>
  <c r="R116" i="4"/>
  <c r="V115" i="4"/>
  <c r="U115" i="4"/>
  <c r="T115" i="4"/>
  <c r="S115" i="4"/>
  <c r="R115" i="4"/>
  <c r="V114" i="4"/>
  <c r="R114" i="4"/>
  <c r="U114" i="4" s="1"/>
  <c r="V108" i="4"/>
  <c r="R108" i="4"/>
  <c r="U108" i="4" s="1"/>
  <c r="V107" i="4"/>
  <c r="R107" i="4"/>
  <c r="U107" i="4" s="1"/>
  <c r="V93" i="4"/>
  <c r="R93" i="4"/>
  <c r="U93" i="4" s="1"/>
  <c r="V92" i="4"/>
  <c r="U92" i="4"/>
  <c r="T92" i="4"/>
  <c r="R92" i="4"/>
  <c r="S92" i="4" s="1"/>
  <c r="V91" i="4"/>
  <c r="R91" i="4"/>
  <c r="V90" i="4"/>
  <c r="U90" i="4"/>
  <c r="T90" i="4"/>
  <c r="S90" i="4"/>
  <c r="R90" i="4"/>
  <c r="V89" i="4"/>
  <c r="R89" i="4"/>
  <c r="U89" i="4" s="1"/>
  <c r="V88" i="4"/>
  <c r="R88" i="4"/>
  <c r="U88" i="4" s="1"/>
  <c r="V86" i="4"/>
  <c r="R86" i="4"/>
  <c r="U86" i="4" s="1"/>
  <c r="V85" i="4"/>
  <c r="R85" i="4"/>
  <c r="V84" i="4"/>
  <c r="U84" i="4"/>
  <c r="T84" i="4"/>
  <c r="S84" i="4"/>
  <c r="R84" i="4"/>
  <c r="V83" i="4"/>
  <c r="R83" i="4"/>
  <c r="U83" i="4" s="1"/>
  <c r="V82" i="4"/>
  <c r="R82" i="4"/>
  <c r="U82" i="4" s="1"/>
  <c r="V81" i="4"/>
  <c r="R81" i="4"/>
  <c r="U81" i="4" s="1"/>
  <c r="V80" i="4"/>
  <c r="R80" i="4"/>
  <c r="U80" i="4" s="1"/>
  <c r="V79" i="4"/>
  <c r="U79" i="4"/>
  <c r="T79" i="4"/>
  <c r="R79" i="4"/>
  <c r="S79" i="4" s="1"/>
  <c r="V78" i="4"/>
  <c r="R78" i="4"/>
  <c r="V77" i="4"/>
  <c r="U77" i="4"/>
  <c r="T77" i="4"/>
  <c r="S77" i="4"/>
  <c r="R77" i="4"/>
  <c r="V76" i="4"/>
  <c r="R76" i="4"/>
  <c r="U76" i="4" s="1"/>
  <c r="V75" i="4"/>
  <c r="R75" i="4"/>
  <c r="U75" i="4" s="1"/>
  <c r="V74" i="4"/>
  <c r="R74" i="4"/>
  <c r="U74" i="4" s="1"/>
  <c r="V73" i="4"/>
  <c r="R73" i="4"/>
  <c r="U73" i="4" s="1"/>
  <c r="V72" i="4"/>
  <c r="U72" i="4"/>
  <c r="T72" i="4"/>
  <c r="S72" i="4"/>
  <c r="R72" i="4"/>
  <c r="V71" i="4"/>
  <c r="R71" i="4"/>
  <c r="V70" i="4"/>
  <c r="R70" i="4"/>
  <c r="U70" i="4" s="1"/>
  <c r="V69" i="4"/>
  <c r="R69" i="4"/>
  <c r="U69" i="4" s="1"/>
  <c r="V68" i="4"/>
  <c r="U68" i="4"/>
  <c r="T68" i="4"/>
  <c r="S68" i="4"/>
  <c r="R68" i="4"/>
  <c r="V65" i="4"/>
  <c r="U65" i="4"/>
  <c r="T65" i="4"/>
  <c r="R65" i="4"/>
  <c r="S65" i="4" s="1"/>
  <c r="V64" i="4"/>
  <c r="R64" i="4"/>
  <c r="V63" i="4"/>
  <c r="U63" i="4"/>
  <c r="T63" i="4"/>
  <c r="S63" i="4"/>
  <c r="R63" i="4"/>
  <c r="V62" i="4"/>
  <c r="R62" i="4"/>
  <c r="S62" i="4" s="1"/>
  <c r="V61" i="4"/>
  <c r="R61" i="4"/>
  <c r="U61" i="4" s="1"/>
  <c r="V60" i="4"/>
  <c r="R60" i="4"/>
  <c r="U60" i="4" s="1"/>
  <c r="V58" i="4"/>
  <c r="T58" i="4"/>
  <c r="S58" i="4"/>
  <c r="R58" i="4"/>
  <c r="U58" i="4" s="1"/>
  <c r="V57" i="4"/>
  <c r="U57" i="4"/>
  <c r="T57" i="4"/>
  <c r="S57" i="4"/>
  <c r="R57" i="4"/>
  <c r="V49" i="4"/>
  <c r="R49" i="4"/>
  <c r="V48" i="4"/>
  <c r="U48" i="4"/>
  <c r="T48" i="4"/>
  <c r="S48" i="4"/>
  <c r="R48" i="4"/>
  <c r="V47" i="4"/>
  <c r="R47" i="4"/>
  <c r="U47" i="4" s="1"/>
  <c r="V46" i="4"/>
  <c r="R46" i="4"/>
  <c r="U46" i="4" s="1"/>
  <c r="V45" i="4"/>
  <c r="U45" i="4"/>
  <c r="T45" i="4"/>
  <c r="R45" i="4"/>
  <c r="S45" i="4" s="1"/>
  <c r="V44" i="4"/>
  <c r="R44" i="4"/>
  <c r="V43" i="4"/>
  <c r="U43" i="4"/>
  <c r="T43" i="4"/>
  <c r="S43" i="4"/>
  <c r="R43" i="4"/>
  <c r="V42" i="4"/>
  <c r="R42" i="4"/>
  <c r="S42" i="4" s="1"/>
  <c r="V41" i="4"/>
  <c r="R41" i="4"/>
  <c r="U41" i="4" s="1"/>
  <c r="V40" i="4"/>
  <c r="R40" i="4"/>
  <c r="U40" i="4" s="1"/>
  <c r="V39" i="4"/>
  <c r="R39" i="4"/>
  <c r="U39" i="4" s="1"/>
  <c r="V38" i="4"/>
  <c r="U38" i="4"/>
  <c r="T38" i="4"/>
  <c r="S38" i="4"/>
  <c r="R38" i="4"/>
  <c r="V37" i="4"/>
  <c r="R37" i="4"/>
  <c r="V36" i="4"/>
  <c r="R36" i="4"/>
  <c r="U36" i="4" s="1"/>
  <c r="V35" i="4"/>
  <c r="R35" i="4"/>
  <c r="U35" i="4" s="1"/>
  <c r="V34" i="4"/>
  <c r="R34" i="4"/>
  <c r="U34" i="4" s="1"/>
  <c r="V33" i="4"/>
  <c r="U33" i="4"/>
  <c r="T33" i="4"/>
  <c r="R33" i="4"/>
  <c r="S33" i="4" s="1"/>
  <c r="V32" i="4"/>
  <c r="R32" i="4"/>
  <c r="V31" i="4"/>
  <c r="U31" i="4"/>
  <c r="T31" i="4"/>
  <c r="S31" i="4"/>
  <c r="R31" i="4"/>
  <c r="V30" i="4"/>
  <c r="R30" i="4"/>
  <c r="S30" i="4" s="1"/>
  <c r="V29" i="4"/>
  <c r="R29" i="4"/>
  <c r="U29" i="4" s="1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L130" i="4" s="1"/>
  <c r="M130" i="4" s="1"/>
  <c r="J130" i="4"/>
  <c r="K130" i="4" s="1"/>
  <c r="O130" i="4" s="1"/>
  <c r="P130" i="4" s="1"/>
  <c r="I131" i="4"/>
  <c r="N131" i="4" s="1"/>
  <c r="Q131" i="4" s="1"/>
  <c r="J131" i="4"/>
  <c r="K131" i="4"/>
  <c r="O131" i="4" s="1"/>
  <c r="P131" i="4" s="1"/>
  <c r="L131" i="4"/>
  <c r="M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49" i="4" l="1"/>
  <c r="T49" i="4"/>
  <c r="S49" i="4"/>
  <c r="U116" i="4"/>
  <c r="T116" i="4"/>
  <c r="S116" i="4"/>
  <c r="U32" i="4"/>
  <c r="T32" i="4"/>
  <c r="U78" i="4"/>
  <c r="T78" i="4"/>
  <c r="S29" i="4"/>
  <c r="S32" i="4"/>
  <c r="S75" i="4"/>
  <c r="S78" i="4"/>
  <c r="U85" i="4"/>
  <c r="T85" i="4"/>
  <c r="S93" i="4"/>
  <c r="T29" i="4"/>
  <c r="T75" i="4"/>
  <c r="S82" i="4"/>
  <c r="S85" i="4"/>
  <c r="T93" i="4"/>
  <c r="S36" i="4"/>
  <c r="S39" i="4"/>
  <c r="T82" i="4"/>
  <c r="T36" i="4"/>
  <c r="T39" i="4"/>
  <c r="S46" i="4"/>
  <c r="U64" i="4"/>
  <c r="T64" i="4"/>
  <c r="T46" i="4"/>
  <c r="S61" i="4"/>
  <c r="S64" i="4"/>
  <c r="T61" i="4"/>
  <c r="U91" i="4"/>
  <c r="T91" i="4"/>
  <c r="S91" i="4"/>
  <c r="U37" i="4"/>
  <c r="T37" i="4"/>
  <c r="S37" i="4"/>
  <c r="S70" i="4"/>
  <c r="S73" i="4"/>
  <c r="S88" i="4"/>
  <c r="S108" i="4"/>
  <c r="S130" i="4"/>
  <c r="S34" i="4"/>
  <c r="U44" i="4"/>
  <c r="T44" i="4"/>
  <c r="T70" i="4"/>
  <c r="T73" i="4"/>
  <c r="S80" i="4"/>
  <c r="T88" i="4"/>
  <c r="T108" i="4"/>
  <c r="T130" i="4"/>
  <c r="T34" i="4"/>
  <c r="S41" i="4"/>
  <c r="S44" i="4"/>
  <c r="T80" i="4"/>
  <c r="T41" i="4"/>
  <c r="U71" i="4"/>
  <c r="T71" i="4"/>
  <c r="S71" i="4"/>
  <c r="U126" i="4"/>
  <c r="T126" i="4"/>
  <c r="S121" i="4"/>
  <c r="T62" i="4"/>
  <c r="U62" i="4"/>
  <c r="S83" i="4"/>
  <c r="S114" i="4"/>
  <c r="S76" i="4"/>
  <c r="T83" i="4"/>
  <c r="S89" i="4"/>
  <c r="T114" i="4"/>
  <c r="T30" i="4"/>
  <c r="S35" i="4"/>
  <c r="T42" i="4"/>
  <c r="S47" i="4"/>
  <c r="S69" i="4"/>
  <c r="T76" i="4"/>
  <c r="S81" i="4"/>
  <c r="T89" i="4"/>
  <c r="S107" i="4"/>
  <c r="T121" i="4"/>
  <c r="S131" i="4"/>
  <c r="S28" i="4"/>
  <c r="U30" i="4"/>
  <c r="T35" i="4"/>
  <c r="S40" i="4"/>
  <c r="U42" i="4"/>
  <c r="T47" i="4"/>
  <c r="S60" i="4"/>
  <c r="T69" i="4"/>
  <c r="S74" i="4"/>
  <c r="T81" i="4"/>
  <c r="S86" i="4"/>
  <c r="T107" i="4"/>
  <c r="S119" i="4"/>
  <c r="T131" i="4"/>
  <c r="T28" i="4"/>
  <c r="T40" i="4"/>
  <c r="T60" i="4"/>
  <c r="T74" i="4"/>
  <c r="T86" i="4"/>
  <c r="T119" i="4"/>
  <c r="N130" i="4"/>
  <c r="Q130" i="4" s="1"/>
  <c r="O15" i="1" l="1"/>
  <c r="L15" i="1"/>
  <c r="N15" i="1"/>
  <c r="M89" i="4"/>
  <c r="M98" i="4"/>
  <c r="M99" i="4"/>
  <c r="M100" i="4"/>
  <c r="M101" i="4"/>
  <c r="M102" i="4"/>
  <c r="M103" i="4"/>
  <c r="M104" i="4"/>
  <c r="M105" i="4"/>
  <c r="M106" i="4"/>
  <c r="M108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O71" i="4" s="1"/>
  <c r="P71" i="4" s="1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L114" i="4" s="1"/>
  <c r="M114" i="4" s="1"/>
  <c r="K114" i="4"/>
  <c r="O114" i="4" s="1"/>
  <c r="P114" i="4" s="1"/>
  <c r="J78" i="4"/>
  <c r="K78" i="4" s="1"/>
  <c r="J115" i="4"/>
  <c r="K115" i="4"/>
  <c r="O115" i="4" s="1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 s="1"/>
  <c r="J77" i="4"/>
  <c r="K77" i="4"/>
  <c r="J112" i="4"/>
  <c r="K112" i="4"/>
  <c r="J96" i="4"/>
  <c r="K96" i="4" s="1"/>
  <c r="J80" i="4"/>
  <c r="K80" i="4" s="1"/>
  <c r="J106" i="4"/>
  <c r="K106" i="4"/>
  <c r="J127" i="4"/>
  <c r="K127" i="4"/>
  <c r="J111" i="4"/>
  <c r="K111" i="4"/>
  <c r="J95" i="4"/>
  <c r="K95" i="4" s="1"/>
  <c r="J79" i="4"/>
  <c r="K79" i="4" s="1"/>
  <c r="J126" i="4"/>
  <c r="K126" i="4" s="1"/>
  <c r="O126" i="4" s="1"/>
  <c r="P126" i="4" s="1"/>
  <c r="J94" i="4"/>
  <c r="K94" i="4" s="1"/>
  <c r="J121" i="4"/>
  <c r="L121" i="4" s="1"/>
  <c r="M121" i="4" s="1"/>
  <c r="K121" i="4"/>
  <c r="O121" i="4" s="1"/>
  <c r="P121" i="4" s="1"/>
  <c r="J105" i="4"/>
  <c r="K105" i="4"/>
  <c r="J89" i="4"/>
  <c r="K89" i="4" s="1"/>
  <c r="J73" i="4"/>
  <c r="K73" i="4" s="1"/>
  <c r="J124" i="4"/>
  <c r="K124" i="4"/>
  <c r="J108" i="4"/>
  <c r="K108" i="4"/>
  <c r="O108" i="4" s="1"/>
  <c r="P108" i="4" s="1"/>
  <c r="J92" i="4"/>
  <c r="K92" i="4"/>
  <c r="J76" i="4"/>
  <c r="L76" i="4" s="1"/>
  <c r="K76" i="4"/>
  <c r="J98" i="4"/>
  <c r="K98" i="4"/>
  <c r="J123" i="4"/>
  <c r="K123" i="4"/>
  <c r="J107" i="4"/>
  <c r="K107" i="4"/>
  <c r="O107" i="4" s="1"/>
  <c r="P107" i="4" s="1"/>
  <c r="J91" i="4"/>
  <c r="K91" i="4"/>
  <c r="O91" i="4" s="1"/>
  <c r="P91" i="4" s="1"/>
  <c r="J75" i="4"/>
  <c r="K75" i="4"/>
  <c r="P100" i="4"/>
  <c r="O112" i="4"/>
  <c r="P112" i="4"/>
  <c r="O98" i="4"/>
  <c r="P98" i="4"/>
  <c r="O105" i="4"/>
  <c r="P105" i="4"/>
  <c r="O111" i="4"/>
  <c r="P111" i="4"/>
  <c r="O104" i="4"/>
  <c r="P104" i="4"/>
  <c r="O124" i="4"/>
  <c r="P124" i="4"/>
  <c r="O127" i="4"/>
  <c r="P127" i="4" s="1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I77" i="4"/>
  <c r="I81" i="4"/>
  <c r="L81" i="4" s="1"/>
  <c r="I89" i="4"/>
  <c r="I90" i="4"/>
  <c r="N90" i="4" s="1"/>
  <c r="Q90" i="4" s="1"/>
  <c r="I96" i="4"/>
  <c r="I99" i="4"/>
  <c r="I102" i="4"/>
  <c r="I104" i="4"/>
  <c r="I108" i="4"/>
  <c r="N108" i="4" s="1"/>
  <c r="Q108" i="4" s="1"/>
  <c r="I111" i="4"/>
  <c r="I113" i="4"/>
  <c r="I115" i="4"/>
  <c r="I119" i="4"/>
  <c r="N119" i="4" s="1"/>
  <c r="Q119" i="4" s="1"/>
  <c r="I120" i="4"/>
  <c r="N120" i="4" s="1"/>
  <c r="Q120" i="4" s="1"/>
  <c r="I123" i="4"/>
  <c r="I125" i="4"/>
  <c r="I79" i="4"/>
  <c r="L79" i="4" s="1"/>
  <c r="I92" i="4"/>
  <c r="L92" i="4" s="1"/>
  <c r="I100" i="4"/>
  <c r="I103" i="4"/>
  <c r="I107" i="4"/>
  <c r="I109" i="4"/>
  <c r="I110" i="4"/>
  <c r="I117" i="4"/>
  <c r="I124" i="4"/>
  <c r="N124" i="4" s="1"/>
  <c r="Q124" i="4" s="1"/>
  <c r="I72" i="4"/>
  <c r="I106" i="4"/>
  <c r="I71" i="4"/>
  <c r="I75" i="4"/>
  <c r="N75" i="4" s="1"/>
  <c r="Q75" i="4" s="1"/>
  <c r="I80" i="4"/>
  <c r="L80" i="4" s="1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I73" i="4"/>
  <c r="N73" i="4" s="1"/>
  <c r="Q73" i="4" s="1"/>
  <c r="I74" i="4"/>
  <c r="N74" i="4" s="1"/>
  <c r="Q74" i="4" s="1"/>
  <c r="I78" i="4"/>
  <c r="L78" i="4" s="1"/>
  <c r="I82" i="4"/>
  <c r="L82" i="4" s="1"/>
  <c r="I85" i="4"/>
  <c r="L85" i="4" s="1"/>
  <c r="I93" i="4"/>
  <c r="N93" i="4" s="1"/>
  <c r="Q93" i="4" s="1"/>
  <c r="I112" i="4"/>
  <c r="I114" i="4"/>
  <c r="N114" i="4" s="1"/>
  <c r="Q114" i="4" s="1"/>
  <c r="I121" i="4"/>
  <c r="N121" i="4" s="1"/>
  <c r="Q121" i="4" s="1"/>
  <c r="I122" i="4"/>
  <c r="I84" i="4"/>
  <c r="L84" i="4" s="1"/>
  <c r="I87" i="4"/>
  <c r="L87" i="4" s="1"/>
  <c r="I91" i="4"/>
  <c r="I97" i="4"/>
  <c r="L97" i="4" s="1"/>
  <c r="I105" i="4"/>
  <c r="I116" i="4"/>
  <c r="I126" i="4"/>
  <c r="L105" i="4"/>
  <c r="N105" i="4"/>
  <c r="Q105" i="4"/>
  <c r="N101" i="4"/>
  <c r="Q101" i="4"/>
  <c r="L101" i="4"/>
  <c r="L106" i="4"/>
  <c r="N106" i="4"/>
  <c r="Q106" i="4"/>
  <c r="N107" i="4"/>
  <c r="Q107" i="4" s="1"/>
  <c r="L107" i="4"/>
  <c r="M107" i="4" s="1"/>
  <c r="N79" i="4"/>
  <c r="Q79" i="4"/>
  <c r="L108" i="4"/>
  <c r="L96" i="4"/>
  <c r="N96" i="4"/>
  <c r="Q96" i="4" s="1"/>
  <c r="N77" i="4"/>
  <c r="Q77" i="4"/>
  <c r="L77" i="4"/>
  <c r="N98" i="4"/>
  <c r="Q98" i="4"/>
  <c r="L98" i="4"/>
  <c r="N86" i="4"/>
  <c r="Q86" i="4" s="1"/>
  <c r="N71" i="4"/>
  <c r="Q71" i="4" s="1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N76" i="4"/>
  <c r="Q76" i="4" s="1"/>
  <c r="N126" i="4"/>
  <c r="Q126" i="4"/>
  <c r="N91" i="4"/>
  <c r="Q91" i="4"/>
  <c r="L91" i="4"/>
  <c r="M91" i="4" s="1"/>
  <c r="L112" i="4"/>
  <c r="N112" i="4"/>
  <c r="Q112" i="4"/>
  <c r="L127" i="4"/>
  <c r="M127" i="4" s="1"/>
  <c r="N127" i="4"/>
  <c r="Q127" i="4" s="1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L89" i="4"/>
  <c r="N116" i="4"/>
  <c r="Q116" i="4"/>
  <c r="L116" i="4"/>
  <c r="M116" i="4" s="1"/>
  <c r="N87" i="4"/>
  <c r="Q87" i="4" s="1"/>
  <c r="N122" i="4"/>
  <c r="Q122" i="4"/>
  <c r="L122" i="4"/>
  <c r="N118" i="4"/>
  <c r="Q118" i="4"/>
  <c r="L118" i="4"/>
  <c r="L94" i="4"/>
  <c r="N94" i="4"/>
  <c r="Q94" i="4"/>
  <c r="N80" i="4"/>
  <c r="Q80" i="4" s="1"/>
  <c r="N109" i="4"/>
  <c r="Q109" i="4"/>
  <c r="L109" i="4"/>
  <c r="N111" i="4"/>
  <c r="Q111" i="4"/>
  <c r="L111" i="4"/>
  <c r="N99" i="4"/>
  <c r="Q99" i="4"/>
  <c r="L99" i="4"/>
  <c r="O93" i="4" l="1"/>
  <c r="P93" i="4" s="1"/>
  <c r="O72" i="4"/>
  <c r="P72" i="4" s="1"/>
  <c r="O78" i="4"/>
  <c r="P78" i="4" s="1"/>
  <c r="M81" i="4"/>
  <c r="M78" i="4"/>
  <c r="M80" i="4"/>
  <c r="M92" i="4"/>
  <c r="M79" i="4"/>
  <c r="O74" i="4"/>
  <c r="P74" i="4" s="1"/>
  <c r="O92" i="4"/>
  <c r="P92" i="4" s="1"/>
  <c r="O94" i="4"/>
  <c r="P94" i="4" s="1"/>
  <c r="O96" i="4"/>
  <c r="P96" i="4" s="1"/>
  <c r="O82" i="4"/>
  <c r="P82" i="4" s="1"/>
  <c r="L120" i="4"/>
  <c r="M120" i="4" s="1"/>
  <c r="L126" i="4"/>
  <c r="M126" i="4" s="1"/>
  <c r="L73" i="4"/>
  <c r="M87" i="4"/>
  <c r="O84" i="4"/>
  <c r="P84" i="4" s="1"/>
  <c r="M95" i="4"/>
  <c r="M72" i="4"/>
  <c r="M97" i="4"/>
  <c r="M96" i="4"/>
  <c r="O83" i="4"/>
  <c r="P83" i="4" s="1"/>
  <c r="O77" i="4"/>
  <c r="P77" i="4" s="1"/>
  <c r="O95" i="4"/>
  <c r="P95" i="4" s="1"/>
  <c r="N81" i="4"/>
  <c r="Q81" i="4" s="1"/>
  <c r="N92" i="4"/>
  <c r="Q92" i="4" s="1"/>
  <c r="N78" i="4"/>
  <c r="Q78" i="4" s="1"/>
  <c r="L90" i="4"/>
  <c r="L124" i="4"/>
  <c r="M124" i="4" s="1"/>
  <c r="O75" i="4"/>
  <c r="P75" i="4" s="1"/>
  <c r="O88" i="4"/>
  <c r="P88" i="4" s="1"/>
  <c r="O80" i="4"/>
  <c r="P80" i="4" s="1"/>
  <c r="O79" i="4"/>
  <c r="P79" i="4" s="1"/>
  <c r="O87" i="4"/>
  <c r="P87" i="4" s="1"/>
  <c r="L74" i="4"/>
  <c r="L119" i="4"/>
  <c r="M119" i="4" s="1"/>
  <c r="O73" i="4"/>
  <c r="P73" i="4" s="1"/>
  <c r="O90" i="4"/>
  <c r="P90" i="4" s="1"/>
  <c r="O85" i="4"/>
  <c r="P85" i="4" s="1"/>
  <c r="M77" i="4"/>
  <c r="M76" i="4"/>
  <c r="M84" i="4"/>
  <c r="O89" i="4"/>
  <c r="P89" i="4" s="1"/>
  <c r="O81" i="4"/>
  <c r="P81" i="4" s="1"/>
  <c r="O86" i="4"/>
  <c r="P86" i="4" s="1"/>
  <c r="M85" i="4"/>
  <c r="M86" i="4"/>
  <c r="O76" i="4"/>
  <c r="P76" i="4" s="1"/>
  <c r="M94" i="4"/>
  <c r="L75" i="4"/>
  <c r="M82" i="4"/>
  <c r="L83" i="4"/>
  <c r="N97" i="4"/>
  <c r="Q97" i="4" s="1"/>
  <c r="N85" i="4"/>
  <c r="Q85" i="4" s="1"/>
  <c r="L93" i="4"/>
  <c r="L88" i="4"/>
  <c r="N82" i="4"/>
  <c r="Q82" i="4" s="1"/>
  <c r="N84" i="4"/>
  <c r="Q84" i="4" s="1"/>
  <c r="J14" i="4"/>
  <c r="J13" i="4" s="1"/>
  <c r="K16" i="4" s="1"/>
  <c r="M75" i="4" l="1"/>
  <c r="M90" i="4"/>
  <c r="M88" i="4"/>
  <c r="M83" i="4"/>
  <c r="M93" i="4"/>
  <c r="M73" i="4"/>
  <c r="M74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9" i="4" l="1"/>
  <c r="M58" i="4"/>
  <c r="O65" i="4"/>
  <c r="P65" i="4" s="1"/>
  <c r="O66" i="4"/>
  <c r="P66" i="4" s="1"/>
  <c r="M65" i="4"/>
  <c r="O67" i="4"/>
  <c r="P67" i="4" s="1"/>
  <c r="M64" i="4"/>
  <c r="O64" i="4"/>
  <c r="P64" i="4" s="1"/>
  <c r="O69" i="4"/>
  <c r="P69" i="4" s="1"/>
  <c r="M57" i="4"/>
  <c r="M66" i="4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7" i="4"/>
  <c r="K44" i="4"/>
  <c r="K52" i="4"/>
  <c r="O52" i="4" s="1"/>
  <c r="P52" i="4" s="1"/>
  <c r="L52" i="4"/>
  <c r="M52" i="4" s="1"/>
  <c r="L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8" i="4" l="1"/>
  <c r="P48" i="4" s="1"/>
  <c r="M48" i="4"/>
  <c r="K45" i="4"/>
  <c r="O49" i="4"/>
  <c r="P49" i="4" s="1"/>
  <c r="M49" i="4"/>
  <c r="M35" i="4"/>
  <c r="O31" i="4"/>
  <c r="P31" i="4" s="1"/>
  <c r="O43" i="4"/>
  <c r="P43" i="4" s="1"/>
  <c r="M47" i="4"/>
  <c r="M45" i="4"/>
  <c r="L31" i="4"/>
  <c r="O47" i="4"/>
  <c r="P47" i="4" s="1"/>
  <c r="K35" i="4"/>
  <c r="O28" i="4"/>
  <c r="P28" i="4" s="1"/>
  <c r="O46" i="4"/>
  <c r="P46" i="4" s="1"/>
  <c r="O39" i="4"/>
  <c r="P39" i="4" s="1"/>
  <c r="O45" i="4"/>
  <c r="P45" i="4" s="1"/>
  <c r="O33" i="4"/>
  <c r="P33" i="4" s="1"/>
  <c r="M43" i="4"/>
  <c r="M44" i="4"/>
  <c r="M39" i="4"/>
  <c r="O41" i="4"/>
  <c r="P41" i="4" s="1"/>
  <c r="O30" i="4"/>
  <c r="P30" i="4" s="1"/>
  <c r="O44" i="4"/>
  <c r="P44" i="4" s="1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29" i="4" l="1"/>
  <c r="P29" i="4" s="1"/>
  <c r="O32" i="4"/>
  <c r="P32" i="4" s="1"/>
  <c r="O38" i="4"/>
  <c r="P38" i="4" s="1"/>
  <c r="O34" i="4"/>
  <c r="P34" i="4" s="1"/>
  <c r="O35" i="4"/>
  <c r="P35" i="4" s="1"/>
  <c r="M33" i="4"/>
  <c r="M41" i="4"/>
  <c r="O37" i="4"/>
  <c r="P37" i="4" s="1"/>
  <c r="O36" i="4"/>
  <c r="P36" i="4" s="1"/>
  <c r="O40" i="4"/>
  <c r="P40" i="4" s="1"/>
  <c r="O42" i="4"/>
  <c r="P42" i="4" s="1"/>
  <c r="M46" i="4"/>
  <c r="M31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<sst xmlns="http://schemas.openxmlformats.org/spreadsheetml/2006/main" count="318" uniqueCount="294">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</sst>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31</v>
      </c>
      <c r="K17" s="31" t="s">
        <v>80</v>
      </c>
      <c r="L17" s="81">
        <v>2.2349599999999998E-3</v>
      </c>
      <c r="M17" s="81">
        <v>2.99E-4</v>
      </c>
      <c r="N17" s="81">
        <v>6.6039999999999998E-5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7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150.05199999999999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149.26769920000001</v>
      </c>
      <c r="K8" s="39">
        <f>J8/J7</f>
        <v>0.99477313997814099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0.72598000000000007</v>
      </c>
      <c r="K9" s="39">
        <f>J9/J7</f>
        <v>4.8381894276650766E-3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5.8320799999999992E-2</v>
      </c>
      <c r="K10" s="39">
        <f>J10/J7</f>
        <v>3.8867059419401271E-4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5.1999999999999991E-2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4.4699199999999994E-2</v>
      </c>
      <c r="K20" s="39">
        <f>J20/J19</f>
        <v>0.85960000000000003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5.9800000000000001E-3</v>
      </c>
      <c r="K21" s="39">
        <f>J21/J19</f>
        <v>0.11500000000000002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1.3208E-3</v>
      </c>
      <c r="K22" s="39">
        <f>J22/J19</f>
        <v>2.5400000000000006E-2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0.90045998711992936</v>
      </c>
      <c r="K28" s="95">
        <f t="shared" ref="K28:K47" si="3">IF(D28=0,"",1/(1+10^D28*$J$15/$J$14+10^E28*$J$16/$J$14+10^J28*$J$19/$J$14))</f>
        <v>0.80275227415014594</v>
      </c>
      <c r="L28" s="95">
        <f t="shared" ref="L28:L47" si="4">IF(D28=0,"",1/(1+10^I28/10^J28*$J$13/$J$19))</f>
        <v>2.2243806499798618E-3</v>
      </c>
      <c r="M28" s="95">
        <f t="shared" ref="M28:M47" si="5">IF(D28=0,"",1-L28)</f>
        <v>0.99777561935002013</v>
      </c>
      <c r="N28" s="95">
        <f t="shared" ref="N28:N47" si="6">IF(D28=0,"",1/(1/10^E28*$J$20/$J$22+10^D28/10^E28*$J$21/$J$22+10^I28/10^E28*$J$13/$J$22+1))</f>
        <v>5.6758098578040146E-4</v>
      </c>
      <c r="O28" s="40">
        <f t="shared" ref="O28:O47" si="7">IF(D28=0,"",F28*K28*$J$7/$J$14)</f>
        <v>8.0721191934740401E-7</v>
      </c>
      <c r="P28" s="40">
        <f t="shared" ref="P28:P47" si="8">IF(D28=0,"",O28*10^J28)</f>
        <v>6.418707024822658E-6</v>
      </c>
      <c r="Q28" s="40">
        <f t="shared" ref="Q28:Q47" si="9">IF(D28=0,"",F28*N28*$J$7/$J$22)</f>
        <v>6.4481119078074503E-5</v>
      </c>
      <c r="R28" s="9">
        <f>F28*$C$14</f>
        <v>1.4999999999999999E-4</v>
      </c>
      <c r="S28" s="9">
        <f>$R28*L28</f>
        <v>3.3365709749697926E-7</v>
      </c>
      <c r="T28" s="9">
        <f t="shared" ref="T28:T49" si="10">R28*K28</f>
        <v>1.2041284112252188E-4</v>
      </c>
      <c r="U28" s="9">
        <f t="shared" ref="U28:U49" si="11">$R28*M28</f>
        <v>1.4966634290250301E-4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4.3746696029949694</v>
      </c>
      <c r="K29" s="95">
        <f t="shared" si="3"/>
        <v>1.8685264711205106E-3</v>
      </c>
      <c r="L29" s="95">
        <f t="shared" si="4"/>
        <v>1.5428952236060427E-2</v>
      </c>
      <c r="M29" s="95">
        <f t="shared" si="5"/>
        <v>0.98457104776393956</v>
      </c>
      <c r="N29" s="95">
        <f t="shared" si="6"/>
        <v>1.1326156238670965E-2</v>
      </c>
      <c r="O29" s="40">
        <f t="shared" si="7"/>
        <v>1.8789069650427533E-9</v>
      </c>
      <c r="P29" s="40">
        <f t="shared" si="8"/>
        <v>4.4522021940871935E-5</v>
      </c>
      <c r="Q29" s="40">
        <f t="shared" si="9"/>
        <v>1.2867295547585218E-3</v>
      </c>
      <c r="R29" s="9">
        <f>F29*$C$14</f>
        <v>1.4999999999999999E-4</v>
      </c>
      <c r="S29" s="9">
        <f t="shared" ref="S29:S49" si="12">$R29*L29</f>
        <v>2.3143428354090641E-6</v>
      </c>
      <c r="T29" s="9">
        <f t="shared" si="10"/>
        <v>2.8027897066807658E-7</v>
      </c>
      <c r="U29" s="9">
        <f t="shared" si="11"/>
        <v>1.4768565716459091E-4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7.7182471648455051</v>
      </c>
      <c r="K30" s="95">
        <f t="shared" si="3"/>
        <v>1.1802243742235318E-6</v>
      </c>
      <c r="L30" s="95">
        <f t="shared" si="4"/>
        <v>2.1497072500558975E-2</v>
      </c>
      <c r="M30" s="95">
        <f t="shared" si="5"/>
        <v>0.97850292749944101</v>
      </c>
      <c r="N30" s="95">
        <f t="shared" si="6"/>
        <v>2.0839671697581812E-2</v>
      </c>
      <c r="O30" s="40">
        <f t="shared" si="7"/>
        <v>1.1867810444836879E-12</v>
      </c>
      <c r="P30" s="40">
        <f t="shared" si="8"/>
        <v>6.2032283131805468E-5</v>
      </c>
      <c r="Q30" s="40">
        <f t="shared" si="9"/>
        <v>2.3675306008218849E-3</v>
      </c>
      <c r="R30" s="9">
        <f t="shared" ref="R30:R49" si="14">F30*$C$14</f>
        <v>1.4999999999999999E-4</v>
      </c>
      <c r="S30" s="9">
        <f t="shared" si="12"/>
        <v>3.2245608750838462E-6</v>
      </c>
      <c r="T30" s="9">
        <f t="shared" si="10"/>
        <v>1.7703365613352975E-10</v>
      </c>
      <c r="U30" s="9">
        <f t="shared" si="11"/>
        <v>1.4677543912491615E-4</v>
      </c>
      <c r="V30" s="102">
        <f t="shared" si="13"/>
        <v>1.2061531356268795E-6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2.8816128275856787</v>
      </c>
      <c r="K31" s="95">
        <f t="shared" si="3"/>
        <v>5.0887366701659609E-2</v>
      </c>
      <c r="L31" s="95">
        <f t="shared" si="4"/>
        <v>1.3501759943708325E-2</v>
      </c>
      <c r="M31" s="95">
        <f t="shared" si="5"/>
        <v>0.98649824005629172</v>
      </c>
      <c r="N31" s="95">
        <f t="shared" si="6"/>
        <v>8.9090269186776743E-3</v>
      </c>
      <c r="O31" s="40">
        <f t="shared" si="7"/>
        <v>5.1170068610853734E-8</v>
      </c>
      <c r="P31" s="40">
        <f t="shared" si="8"/>
        <v>3.8960886212948525E-5</v>
      </c>
      <c r="Q31" s="40">
        <f t="shared" si="9"/>
        <v>1.0121269739562556E-3</v>
      </c>
      <c r="R31" s="9">
        <f t="shared" si="14"/>
        <v>1.4999999999999999E-4</v>
      </c>
      <c r="S31" s="9">
        <f t="shared" si="12"/>
        <v>2.0252639915562485E-6</v>
      </c>
      <c r="T31" s="9">
        <f t="shared" si="10"/>
        <v>7.6331050052489414E-6</v>
      </c>
      <c r="U31" s="9">
        <f t="shared" si="11"/>
        <v>1.4797473600844374E-4</v>
      </c>
      <c r="V31" s="102">
        <f t="shared" si="13"/>
        <v>5.158383931709383E-2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5.5727318227152489</v>
      </c>
      <c r="K32" s="95">
        <f t="shared" si="3"/>
        <v>1.2021095233614551E-4</v>
      </c>
      <c r="L32" s="95">
        <f t="shared" si="4"/>
        <v>1.5661863595483053E-2</v>
      </c>
      <c r="M32" s="95">
        <f t="shared" si="5"/>
        <v>0.98433813640451695</v>
      </c>
      <c r="N32" s="95">
        <f t="shared" si="6"/>
        <v>1.167038896901283E-2</v>
      </c>
      <c r="O32" s="40">
        <f t="shared" si="7"/>
        <v>1.2087877753391436E-10</v>
      </c>
      <c r="P32" s="40">
        <f t="shared" si="8"/>
        <v>4.5194114542873539E-5</v>
      </c>
      <c r="Q32" s="40">
        <f t="shared" si="9"/>
        <v>1.3258367698200432E-3</v>
      </c>
      <c r="R32" s="9">
        <f t="shared" si="14"/>
        <v>1.4999999999999999E-4</v>
      </c>
      <c r="S32" s="9">
        <f t="shared" si="12"/>
        <v>2.3492795393224579E-6</v>
      </c>
      <c r="T32" s="9">
        <f t="shared" si="10"/>
        <v>1.8031642850421824E-8</v>
      </c>
      <c r="U32" s="9">
        <f t="shared" si="11"/>
        <v>1.4765072046067754E-4</v>
      </c>
      <c r="V32" s="102">
        <f t="shared" si="13"/>
        <v>1.2212363606599555E-4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5.0972861639869835</v>
      </c>
      <c r="K33" s="95">
        <f t="shared" si="3"/>
        <v>3.362719634915227E-4</v>
      </c>
      <c r="L33" s="95">
        <f t="shared" si="4"/>
        <v>1.4660352084823918E-2</v>
      </c>
      <c r="M33" s="95">
        <f t="shared" si="5"/>
        <v>0.98533964791517603</v>
      </c>
      <c r="N33" s="95">
        <f t="shared" si="6"/>
        <v>1.0099083270667466E-2</v>
      </c>
      <c r="O33" s="40">
        <f t="shared" si="7"/>
        <v>3.38140103508373E-10</v>
      </c>
      <c r="P33" s="40">
        <f t="shared" si="8"/>
        <v>4.2304137519846144E-5</v>
      </c>
      <c r="Q33" s="40">
        <f t="shared" si="9"/>
        <v>1.1473255927696808E-3</v>
      </c>
      <c r="R33" s="9">
        <f t="shared" si="14"/>
        <v>1.4999999999999999E-4</v>
      </c>
      <c r="S33" s="9">
        <f t="shared" si="12"/>
        <v>2.1990528127235874E-6</v>
      </c>
      <c r="T33" s="9">
        <f t="shared" si="10"/>
        <v>5.0440794523728401E-8</v>
      </c>
      <c r="U33" s="9">
        <f t="shared" si="11"/>
        <v>1.4780094718727638E-4</v>
      </c>
      <c r="V33" s="102">
        <f t="shared" si="13"/>
        <v>3.4127517775522519E-4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5.1106048185108754</v>
      </c>
      <c r="K34" s="95">
        <f t="shared" si="3"/>
        <v>3.412305668789704E-4</v>
      </c>
      <c r="L34" s="95">
        <f t="shared" si="4"/>
        <v>1.5339822096649395E-2</v>
      </c>
      <c r="M34" s="95">
        <f t="shared" si="5"/>
        <v>0.98466017790335059</v>
      </c>
      <c r="N34" s="95">
        <f t="shared" si="6"/>
        <v>1.1167018124817863E-2</v>
      </c>
      <c r="O34" s="40">
        <f t="shared" si="7"/>
        <v>3.4312625413859293E-10</v>
      </c>
      <c r="P34" s="40">
        <f t="shared" si="8"/>
        <v>4.4264826639354564E-5</v>
      </c>
      <c r="Q34" s="40">
        <f t="shared" si="9"/>
        <v>1.2686503661910736E-3</v>
      </c>
      <c r="R34" s="9">
        <f t="shared" si="14"/>
        <v>1.4999999999999999E-4</v>
      </c>
      <c r="S34" s="9">
        <f t="shared" si="12"/>
        <v>2.3009733144974091E-6</v>
      </c>
      <c r="T34" s="9">
        <f t="shared" si="10"/>
        <v>5.1184585031845555E-8</v>
      </c>
      <c r="U34" s="9">
        <f t="shared" si="11"/>
        <v>1.4769902668550257E-4</v>
      </c>
      <c r="V34" s="102">
        <f t="shared" si="13"/>
        <v>3.4654652898176197E-4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2.0266602459751883</v>
      </c>
      <c r="K35" s="95">
        <f t="shared" si="3"/>
        <v>0.23550422300472523</v>
      </c>
      <c r="L35" s="95">
        <f t="shared" si="4"/>
        <v>8.7262273138147654E-3</v>
      </c>
      <c r="M35" s="95">
        <f t="shared" si="5"/>
        <v>0.99127377268618522</v>
      </c>
      <c r="N35" s="95">
        <f t="shared" si="6"/>
        <v>3.7074729630432418E-3</v>
      </c>
      <c r="O35" s="40">
        <f t="shared" si="7"/>
        <v>2.3681255349580844E-7</v>
      </c>
      <c r="P35" s="40">
        <f t="shared" si="8"/>
        <v>2.5180535786394881E-5</v>
      </c>
      <c r="Q35" s="40">
        <f t="shared" si="9"/>
        <v>4.2119452835445519E-4</v>
      </c>
      <c r="R35" s="9">
        <f t="shared" si="14"/>
        <v>1.4999999999999999E-4</v>
      </c>
      <c r="S35" s="9">
        <f t="shared" si="12"/>
        <v>1.3089340970722146E-6</v>
      </c>
      <c r="T35" s="9">
        <f t="shared" si="10"/>
        <v>3.5325633450708782E-5</v>
      </c>
      <c r="U35" s="9">
        <f t="shared" si="11"/>
        <v>1.4869106590292776E-4</v>
      </c>
      <c r="V35" s="102">
        <f t="shared" si="13"/>
        <v>0.23757737720281694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8.1633023372775089</v>
      </c>
      <c r="K36" s="95">
        <f t="shared" si="3"/>
        <v>4.2514971060491109E-7</v>
      </c>
      <c r="L36" s="95">
        <f t="shared" si="4"/>
        <v>2.157803046129142E-2</v>
      </c>
      <c r="M36" s="95">
        <f t="shared" si="5"/>
        <v>0.97842196953870864</v>
      </c>
      <c r="N36" s="95">
        <f t="shared" si="6"/>
        <v>2.0966897939721198E-2</v>
      </c>
      <c r="O36" s="40">
        <f t="shared" si="7"/>
        <v>4.2751160595677687E-13</v>
      </c>
      <c r="P36" s="40">
        <f t="shared" si="8"/>
        <v>6.2265896668802035E-5</v>
      </c>
      <c r="Q36" s="40">
        <f t="shared" si="9"/>
        <v>2.3819843804141769E-3</v>
      </c>
      <c r="R36" s="9">
        <f t="shared" si="14"/>
        <v>1.4999999999999999E-4</v>
      </c>
      <c r="S36" s="9">
        <f t="shared" si="12"/>
        <v>3.2367045691937129E-6</v>
      </c>
      <c r="T36" s="9">
        <f t="shared" si="10"/>
        <v>6.3772456590736656E-11</v>
      </c>
      <c r="U36" s="9">
        <f t="shared" si="11"/>
        <v>1.4676329543080629E-4</v>
      </c>
      <c r="V36" s="102">
        <f t="shared" si="13"/>
        <v>4.3452592423425871E-7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3.6764953216012835</v>
      </c>
      <c r="K37" s="95">
        <f t="shared" si="3"/>
        <v>8.8051818979504957E-3</v>
      </c>
      <c r="L37" s="95">
        <f t="shared" si="4"/>
        <v>1.4568043529091764E-2</v>
      </c>
      <c r="M37" s="95">
        <f t="shared" si="5"/>
        <v>0.9854319564709082</v>
      </c>
      <c r="N37" s="95">
        <f t="shared" si="6"/>
        <v>1.0059690643730634E-2</v>
      </c>
      <c r="O37" s="40">
        <f t="shared" si="7"/>
        <v>8.8540985917135257E-9</v>
      </c>
      <c r="P37" s="40">
        <f t="shared" si="8"/>
        <v>4.2037770531293851E-5</v>
      </c>
      <c r="Q37" s="40">
        <f t="shared" si="9"/>
        <v>1.142850318347266E-3</v>
      </c>
      <c r="R37" s="9">
        <f t="shared" si="14"/>
        <v>1.4999999999999999E-4</v>
      </c>
      <c r="S37" s="9">
        <f t="shared" si="12"/>
        <v>2.1852065293637644E-6</v>
      </c>
      <c r="T37" s="9">
        <f t="shared" si="10"/>
        <v>1.3207772846925743E-6</v>
      </c>
      <c r="U37" s="9">
        <f t="shared" si="11"/>
        <v>1.4781479347063622E-4</v>
      </c>
      <c r="V37" s="102">
        <f t="shared" si="13"/>
        <v>8.9353525021495898E-3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2.2428373428324342</v>
      </c>
      <c r="K38" s="95">
        <f t="shared" si="3"/>
        <v>0.17333265553567981</v>
      </c>
      <c r="L38" s="95">
        <f t="shared" si="4"/>
        <v>1.0565384586642764E-2</v>
      </c>
      <c r="M38" s="95">
        <f t="shared" si="5"/>
        <v>0.9894346154133572</v>
      </c>
      <c r="N38" s="95">
        <f t="shared" si="6"/>
        <v>5.8221137206131372E-3</v>
      </c>
      <c r="O38" s="40">
        <f t="shared" si="7"/>
        <v>1.7429559537363425E-7</v>
      </c>
      <c r="P38" s="40">
        <f t="shared" si="8"/>
        <v>3.0487636307594625E-5</v>
      </c>
      <c r="Q38" s="40">
        <f t="shared" si="9"/>
        <v>6.6143231981029868E-4</v>
      </c>
      <c r="R38" s="9">
        <f t="shared" si="14"/>
        <v>1.4999999999999999E-4</v>
      </c>
      <c r="S38" s="9">
        <f t="shared" si="12"/>
        <v>1.5848076879964145E-6</v>
      </c>
      <c r="T38" s="9">
        <f t="shared" si="10"/>
        <v>2.599989833035197E-5</v>
      </c>
      <c r="U38" s="9">
        <f t="shared" si="11"/>
        <v>1.4841519231200356E-4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-1.0896576855994921E-2</v>
      </c>
      <c r="K39" s="95">
        <f t="shared" si="3"/>
        <v>0.99486866294543341</v>
      </c>
      <c r="L39" s="95">
        <f t="shared" si="4"/>
        <v>3.380934454729609E-4</v>
      </c>
      <c r="M39" s="95">
        <f t="shared" si="5"/>
        <v>0.99966190655452702</v>
      </c>
      <c r="N39" s="95">
        <f t="shared" si="6"/>
        <v>4.2653438232742922E-7</v>
      </c>
      <c r="O39" s="40">
        <f t="shared" si="7"/>
        <v>1.0003955999563618E-6</v>
      </c>
      <c r="P39" s="40">
        <f t="shared" si="8"/>
        <v>9.7560764769439901E-7</v>
      </c>
      <c r="Q39" s="40">
        <f t="shared" si="9"/>
        <v>4.8457251012261813E-8</v>
      </c>
      <c r="R39" s="9">
        <f t="shared" si="14"/>
        <v>1.4999999999999999E-4</v>
      </c>
      <c r="S39" s="9">
        <f t="shared" si="12"/>
        <v>5.0714016820944132E-8</v>
      </c>
      <c r="T39" s="9">
        <f t="shared" si="10"/>
        <v>1.4923029944181499E-4</v>
      </c>
      <c r="U39" s="9">
        <f t="shared" si="11"/>
        <v>1.4994928598317903E-4</v>
      </c>
      <c r="V39" s="102">
        <f t="shared" si="13"/>
        <v>0.99520513527857213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2.5350986776322406</v>
      </c>
      <c r="K40" s="95">
        <f t="shared" si="3"/>
        <v>8.6331390609955941E-2</v>
      </c>
      <c r="L40" s="95">
        <f t="shared" si="4"/>
        <v>1.0314186758953459E-2</v>
      </c>
      <c r="M40" s="95">
        <f t="shared" si="5"/>
        <v>0.98968581324104654</v>
      </c>
      <c r="N40" s="95">
        <f t="shared" si="6"/>
        <v>4.3416521974181154E-3</v>
      </c>
      <c r="O40" s="40">
        <f t="shared" si="7"/>
        <v>8.6810999804353927E-8</v>
      </c>
      <c r="P40" s="40">
        <f t="shared" si="8"/>
        <v>2.9762775991432394E-5</v>
      </c>
      <c r="Q40" s="40">
        <f t="shared" si="9"/>
        <v>4.9324166832751589E-4</v>
      </c>
      <c r="R40" s="9">
        <f t="shared" si="14"/>
        <v>1.4999999999999999E-4</v>
      </c>
      <c r="S40" s="9">
        <f t="shared" si="12"/>
        <v>1.5471280138430187E-6</v>
      </c>
      <c r="T40" s="9">
        <f t="shared" si="10"/>
        <v>1.2949708591493389E-5</v>
      </c>
      <c r="U40" s="9">
        <f t="shared" si="11"/>
        <v>1.4845287198615698E-4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2.6183785550286847</v>
      </c>
      <c r="K41" s="95">
        <f t="shared" si="3"/>
        <v>7.1424822625807599E-2</v>
      </c>
      <c r="L41" s="95">
        <f t="shared" si="4"/>
        <v>1.0337018710020749E-2</v>
      </c>
      <c r="M41" s="95">
        <f t="shared" si="5"/>
        <v>0.9896629812899792</v>
      </c>
      <c r="N41" s="95">
        <f t="shared" si="6"/>
        <v>4.1915192393458542E-3</v>
      </c>
      <c r="O41" s="40">
        <f t="shared" si="7"/>
        <v>7.1821619218536539E-8</v>
      </c>
      <c r="P41" s="40">
        <f t="shared" si="8"/>
        <v>2.9828660220692962E-5</v>
      </c>
      <c r="Q41" s="40">
        <f t="shared" si="9"/>
        <v>4.7618552763652638E-4</v>
      </c>
      <c r="R41" s="9">
        <f t="shared" si="14"/>
        <v>1.4999999999999999E-4</v>
      </c>
      <c r="S41" s="9">
        <f t="shared" si="12"/>
        <v>1.5505528065031121E-6</v>
      </c>
      <c r="T41" s="9">
        <f t="shared" si="10"/>
        <v>1.0713723393871139E-5</v>
      </c>
      <c r="U41" s="9">
        <f t="shared" si="11"/>
        <v>1.4844944719349687E-4</v>
      </c>
      <c r="V41" s="102">
        <f t="shared" si="13"/>
        <v>7.2170854094904813E-2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4.1487686637317767</v>
      </c>
      <c r="K42" s="95">
        <f t="shared" si="3"/>
        <v>3.342357903446671E-3</v>
      </c>
      <c r="L42" s="95">
        <f t="shared" si="4"/>
        <v>1.6405489503357771E-2</v>
      </c>
      <c r="M42" s="95">
        <f t="shared" si="5"/>
        <v>0.98359451049664226</v>
      </c>
      <c r="N42" s="95">
        <f t="shared" si="6"/>
        <v>1.2879299607494817E-2</v>
      </c>
      <c r="O42" s="40">
        <f t="shared" si="7"/>
        <v>3.3609261851589888E-9</v>
      </c>
      <c r="P42" s="40">
        <f t="shared" si="8"/>
        <v>4.7339932903035416E-5</v>
      </c>
      <c r="Q42" s="40">
        <f t="shared" si="9"/>
        <v>1.46317736576606E-3</v>
      </c>
      <c r="R42" s="9">
        <f t="shared" si="14"/>
        <v>1.4999999999999999E-4</v>
      </c>
      <c r="S42" s="9">
        <f t="shared" si="12"/>
        <v>2.4608234255036652E-6</v>
      </c>
      <c r="T42" s="9">
        <f t="shared" si="10"/>
        <v>5.0135368551700064E-7</v>
      </c>
      <c r="U42" s="9">
        <f t="shared" si="11"/>
        <v>1.4753917657449631E-4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3.8654689347124402</v>
      </c>
      <c r="K43" s="95">
        <f t="shared" si="3"/>
        <v>5.8066334467396933E-3</v>
      </c>
      <c r="L43" s="95">
        <f t="shared" si="4"/>
        <v>1.4844341018967817E-2</v>
      </c>
      <c r="M43" s="95">
        <f t="shared" si="5"/>
        <v>0.98515565898103219</v>
      </c>
      <c r="N43" s="95">
        <f t="shared" si="6"/>
        <v>1.0456508738779947E-2</v>
      </c>
      <c r="O43" s="40">
        <f t="shared" si="7"/>
        <v>5.8388918729028656E-9</v>
      </c>
      <c r="P43" s="40">
        <f t="shared" si="8"/>
        <v>4.283505881881081E-5</v>
      </c>
      <c r="Q43" s="40">
        <f t="shared" si="9"/>
        <v>1.1879315939365598E-3</v>
      </c>
      <c r="R43" s="9">
        <f t="shared" si="14"/>
        <v>1.4999999999999999E-4</v>
      </c>
      <c r="S43" s="9">
        <f t="shared" si="12"/>
        <v>2.2266511528451725E-6</v>
      </c>
      <c r="T43" s="9">
        <f t="shared" si="10"/>
        <v>8.7099501701095386E-7</v>
      </c>
      <c r="U43" s="9">
        <f t="shared" si="11"/>
        <v>1.4777334884715483E-4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2.1853806972032932</v>
      </c>
      <c r="K44" s="95">
        <f t="shared" si="3"/>
        <v>0.19403995269818089</v>
      </c>
      <c r="L44" s="95">
        <f t="shared" si="4"/>
        <v>1.0361900891285395E-2</v>
      </c>
      <c r="M44" s="95">
        <f t="shared" si="5"/>
        <v>0.98963809910871459</v>
      </c>
      <c r="N44" s="95">
        <f t="shared" si="6"/>
        <v>5.7607158434262694E-3</v>
      </c>
      <c r="O44" s="40">
        <f t="shared" si="7"/>
        <v>1.9511793076313592E-7</v>
      </c>
      <c r="P44" s="40">
        <f t="shared" si="8"/>
        <v>2.9900460625753003E-5</v>
      </c>
      <c r="Q44" s="40">
        <f t="shared" si="9"/>
        <v>6.5445709701529261E-4</v>
      </c>
      <c r="R44" s="9">
        <f t="shared" si="14"/>
        <v>1.4999999999999999E-4</v>
      </c>
      <c r="S44" s="9">
        <f t="shared" si="12"/>
        <v>1.5542851336928091E-6</v>
      </c>
      <c r="T44" s="9">
        <f t="shared" si="10"/>
        <v>2.910599290472713E-5</v>
      </c>
      <c r="U44" s="9">
        <f t="shared" si="11"/>
        <v>1.4844571486630719E-4</v>
      </c>
      <c r="V44" s="102">
        <f t="shared" si="13"/>
        <v>0.19607162746961407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3.9072949503750691</v>
      </c>
      <c r="K45" s="95">
        <f t="shared" si="3"/>
        <v>4.6216754928785101E-3</v>
      </c>
      <c r="L45" s="95">
        <f t="shared" si="4"/>
        <v>1.3009541047805415E-2</v>
      </c>
      <c r="M45" s="95">
        <f t="shared" si="5"/>
        <v>0.98699045895219462</v>
      </c>
      <c r="N45" s="95">
        <f t="shared" si="6"/>
        <v>7.5581018844716498E-3</v>
      </c>
      <c r="O45" s="40">
        <f t="shared" si="7"/>
        <v>4.6473509516455645E-9</v>
      </c>
      <c r="P45" s="40">
        <f t="shared" si="8"/>
        <v>3.7540531794332653E-5</v>
      </c>
      <c r="Q45" s="40">
        <f t="shared" si="9"/>
        <v>8.5865256205991814E-4</v>
      </c>
      <c r="R45" s="9">
        <f t="shared" si="14"/>
        <v>1.4999999999999999E-4</v>
      </c>
      <c r="S45" s="9">
        <f t="shared" si="12"/>
        <v>1.9514311571708121E-6</v>
      </c>
      <c r="T45" s="9">
        <f t="shared" si="10"/>
        <v>6.932513239317765E-7</v>
      </c>
      <c r="U45" s="9">
        <f t="shared" si="11"/>
        <v>1.4804856884282917E-4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2.1028585007358584</v>
      </c>
      <c r="K46" s="95">
        <f t="shared" si="3"/>
        <v>0.22328115321438186</v>
      </c>
      <c r="L46" s="95">
        <f t="shared" si="4"/>
        <v>9.8600279054630348E-3</v>
      </c>
      <c r="M46" s="95">
        <f t="shared" si="5"/>
        <v>0.99013997209453697</v>
      </c>
      <c r="N46" s="95">
        <f t="shared" si="6"/>
        <v>5.3368544663829065E-3</v>
      </c>
      <c r="O46" s="40">
        <f t="shared" si="7"/>
        <v>2.2452157912737595E-7</v>
      </c>
      <c r="P46" s="40">
        <f t="shared" si="8"/>
        <v>2.8452248216741148E-5</v>
      </c>
      <c r="Q46" s="40">
        <f t="shared" si="9"/>
        <v>6.0630351786015123E-4</v>
      </c>
      <c r="R46" s="9">
        <f t="shared" si="14"/>
        <v>1.4999999999999999E-4</v>
      </c>
      <c r="S46" s="9">
        <f t="shared" si="12"/>
        <v>1.479004185819455E-6</v>
      </c>
      <c r="T46" s="9">
        <f t="shared" si="10"/>
        <v>3.3492172982157275E-5</v>
      </c>
      <c r="U46" s="9">
        <f t="shared" si="11"/>
        <v>1.4852099581418054E-4</v>
      </c>
      <c r="V46" s="102">
        <f t="shared" si="13"/>
        <v>0.22550463521036734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3.1127564089177628</v>
      </c>
      <c r="K47" s="95">
        <f t="shared" si="3"/>
        <v>2.3079803374199501E-2</v>
      </c>
      <c r="L47" s="95">
        <f t="shared" si="4"/>
        <v>1.0426921172082189E-2</v>
      </c>
      <c r="M47" s="95">
        <f t="shared" si="5"/>
        <v>0.98957307882791778</v>
      </c>
      <c r="N47" s="95">
        <f t="shared" si="6"/>
        <v>3.7295239289907478E-3</v>
      </c>
      <c r="O47" s="40">
        <f t="shared" si="7"/>
        <v>2.320802192628069E-8</v>
      </c>
      <c r="P47" s="40">
        <f t="shared" si="8"/>
        <v>3.0088084148332275E-5</v>
      </c>
      <c r="Q47" s="40">
        <f t="shared" si="9"/>
        <v>4.2369967034594161E-4</v>
      </c>
      <c r="R47" s="9">
        <f t="shared" si="14"/>
        <v>1.4999999999999999E-4</v>
      </c>
      <c r="S47" s="9">
        <f t="shared" si="12"/>
        <v>1.5640381758123282E-6</v>
      </c>
      <c r="T47" s="9">
        <f t="shared" si="10"/>
        <v>3.4619705061299247E-6</v>
      </c>
      <c r="U47" s="9">
        <f t="shared" si="11"/>
        <v>1.4843596182418766E-4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1.2686445962783868</v>
      </c>
      <c r="K48" s="95">
        <f t="shared" ref="K48:K50" si="17">IF(D48=0,"",1/(1+10^D48*$J$15/$J$14+10^E48*$J$16/$J$14+10^J48*$J$19/$J$14))</f>
        <v>0.62667477663471871</v>
      </c>
      <c r="L48" s="95">
        <f t="shared" ref="L48:L50" si="18">IF(D48=0,"",1/(1+10^I48/10^J48*$J$13/$J$19))</f>
        <v>4.0537259766714002E-3</v>
      </c>
      <c r="M48" s="95">
        <f t="shared" ref="M48:M92" si="19">IF(D48=0,"",1-L48)</f>
        <v>0.99594627402332858</v>
      </c>
      <c r="N48" s="95">
        <f t="shared" ref="N48:N50" si="20">IF(D48=0,"",1/(1/10^E48*$J$20/$J$22+10^D48/10^E48*$J$21/$J$22+10^I48/10^E48*$J$13/$J$22+1))</f>
        <v>1.2453903845956677E-3</v>
      </c>
      <c r="O48" s="40">
        <f t="shared" ref="O48:O92" si="21">IF(D48=0,"",F48*K48*$J$7/$J$14)</f>
        <v>6.3015623317848315E-7</v>
      </c>
      <c r="P48" s="40">
        <f t="shared" ref="P48:P50" si="22">IF(D48=0,"",O48*10^J48)</f>
        <v>1.1697494043298018E-5</v>
      </c>
      <c r="Q48" s="40">
        <f t="shared" ref="Q48:Q50" si="23">IF(D48=0,"",F48*N48*$J$7/$J$22)</f>
        <v>1.4148494699375313E-4</v>
      </c>
      <c r="R48" s="9">
        <f t="shared" si="14"/>
        <v>1.4999999999999999E-4</v>
      </c>
      <c r="S48" s="9">
        <f t="shared" si="12"/>
        <v>6.0805889650071E-7</v>
      </c>
      <c r="T48" s="9">
        <f t="shared" si="10"/>
        <v>9.4001216495207798E-5</v>
      </c>
      <c r="U48" s="9">
        <f t="shared" si="11"/>
        <v>1.4939194110349927E-4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0.78059756535561797</v>
      </c>
      <c r="K49" s="95">
        <f t="shared" si="17"/>
        <v>0.85430134571677141</v>
      </c>
      <c r="L49" s="95">
        <f t="shared" si="18"/>
        <v>1.7962890918590386E-3</v>
      </c>
      <c r="M49" s="95">
        <f t="shared" si="19"/>
        <v>0.99820371090814097</v>
      </c>
      <c r="N49" s="95">
        <f t="shared" si="20"/>
        <v>5.3805216578522617E-4</v>
      </c>
      <c r="O49" s="40">
        <f t="shared" si="21"/>
        <v>8.5904736888745668E-7</v>
      </c>
      <c r="P49" s="40">
        <f t="shared" si="22"/>
        <v>5.1833994386852379E-6</v>
      </c>
      <c r="Q49" s="40">
        <f t="shared" si="23"/>
        <v>6.1126441232892749E-5</v>
      </c>
      <c r="R49" s="9">
        <f t="shared" si="14"/>
        <v>1.4999999999999999E-4</v>
      </c>
      <c r="S49" s="9">
        <f t="shared" si="12"/>
        <v>2.6944336377885577E-7</v>
      </c>
      <c r="T49" s="9">
        <f t="shared" si="10"/>
        <v>1.281452018575157E-4</v>
      </c>
      <c r="U49" s="9">
        <f t="shared" si="11"/>
        <v>1.4973055663622113E-4</v>
      </c>
      <c r="V49" s="102">
        <f t="shared" si="13"/>
        <v>0.85583867940097036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1.0273074416240108E-2</v>
      </c>
      <c r="K57" s="55">
        <f t="shared" si="26"/>
        <v>0.99361543993900081</v>
      </c>
      <c r="L57" s="55">
        <f t="shared" si="27"/>
        <v>3.5453489149494757E-4</v>
      </c>
      <c r="M57" s="55">
        <f t="shared" si="28"/>
        <v>0.99964546510850505</v>
      </c>
      <c r="N57" s="55">
        <f t="shared" si="29"/>
        <v>1.0627610393126528E-5</v>
      </c>
      <c r="O57" s="56">
        <f t="shared" si="30"/>
        <v>9.9913541473986531E-7</v>
      </c>
      <c r="P57" s="56">
        <f t="shared" si="31"/>
        <v>1.0230513372807666E-6</v>
      </c>
      <c r="Q57" s="56">
        <f t="shared" si="32"/>
        <v>1.2073699233111914E-6</v>
      </c>
      <c r="R57" s="9">
        <f t="shared" ref="R57:R58" si="33">F57*$C$14</f>
        <v>1.4999999999999999E-4</v>
      </c>
      <c r="S57" s="9">
        <f t="shared" ref="S57:S58" si="34">$R57*L57</f>
        <v>5.318023372424213E-8</v>
      </c>
      <c r="T57" s="9">
        <f t="shared" ref="T57:T58" si="35">R57*K57</f>
        <v>1.490423159908501E-4</v>
      </c>
      <c r="U57" s="9">
        <f t="shared" ref="U57:U58" si="36">$R57*M57</f>
        <v>1.4994681976627575E-4</v>
      </c>
      <c r="V57" s="102">
        <f t="shared" ref="V57:V58" si="37">K57/M57</f>
        <v>0.99396783621796381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1.450287820543547</v>
      </c>
      <c r="K58" s="55">
        <f t="shared" si="26"/>
        <v>0.52851282971126823</v>
      </c>
      <c r="L58" s="55">
        <f t="shared" si="27"/>
        <v>5.194107474482618E-3</v>
      </c>
      <c r="M58" s="55">
        <f t="shared" si="28"/>
        <v>0.99480589252551743</v>
      </c>
      <c r="N58" s="55">
        <f t="shared" si="29"/>
        <v>1.8126995532628243E-3</v>
      </c>
      <c r="O58" s="56">
        <f t="shared" si="30"/>
        <v>5.3144895306913284E-7</v>
      </c>
      <c r="P58" s="56">
        <f t="shared" si="31"/>
        <v>1.4988196437712807E-5</v>
      </c>
      <c r="Q58" s="56">
        <f t="shared" si="32"/>
        <v>2.0593518577089135E-4</v>
      </c>
      <c r="R58" s="9">
        <f t="shared" si="33"/>
        <v>1.4999999999999999E-4</v>
      </c>
      <c r="S58" s="9">
        <f t="shared" si="34"/>
        <v>7.7911612117239261E-7</v>
      </c>
      <c r="T58" s="9">
        <f t="shared" si="35"/>
        <v>7.9276924456690226E-5</v>
      </c>
      <c r="U58" s="9">
        <f t="shared" si="36"/>
        <v>1.4922088387882759E-4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1.5653421395421836</v>
      </c>
      <c r="K60" s="55">
        <f t="shared" si="26"/>
        <v>0.44122170213138312</v>
      </c>
      <c r="L60" s="55">
        <f t="shared" si="27"/>
        <v>5.6515370884012029E-3</v>
      </c>
      <c r="M60" s="55">
        <f t="shared" si="28"/>
        <v>0.99434846291159884</v>
      </c>
      <c r="N60" s="55">
        <f t="shared" si="29"/>
        <v>1.4423184503104037E-3</v>
      </c>
      <c r="O60" s="56">
        <f t="shared" si="30"/>
        <v>4.4367288452998728E-7</v>
      </c>
      <c r="P60" s="56">
        <f t="shared" si="31"/>
        <v>1.6308162369014955E-5</v>
      </c>
      <c r="Q60" s="56">
        <f t="shared" si="32"/>
        <v>1.6385733502875279E-4</v>
      </c>
      <c r="R60" s="9">
        <f t="shared" ref="R60:R65" si="38">F60*$C$14</f>
        <v>1.4999999999999999E-4</v>
      </c>
      <c r="S60" s="9">
        <f t="shared" ref="S60:S93" si="39">$R60*L60</f>
        <v>8.4773056326018032E-7</v>
      </c>
      <c r="T60" s="9">
        <f t="shared" ref="T60:T93" si="40">R60*K60</f>
        <v>6.618325531970746E-5</v>
      </c>
      <c r="U60" s="9">
        <f t="shared" ref="U60:U93" si="41">$R60*M60</f>
        <v>1.4915226943673982E-4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2.5062826664965989</v>
      </c>
      <c r="K61" s="55">
        <f t="shared" si="26"/>
        <v>8.5827685850219895E-2</v>
      </c>
      <c r="L61" s="55">
        <f t="shared" si="27"/>
        <v>9.5957217516303619E-3</v>
      </c>
      <c r="M61" s="55">
        <f t="shared" si="28"/>
        <v>0.99040427824836963</v>
      </c>
      <c r="N61" s="55">
        <f t="shared" si="29"/>
        <v>3.2062080213669493E-3</v>
      </c>
      <c r="O61" s="56">
        <f t="shared" si="30"/>
        <v>8.6304496741100203E-8</v>
      </c>
      <c r="P61" s="56">
        <f t="shared" si="31"/>
        <v>2.7689562312993076E-5</v>
      </c>
      <c r="Q61" s="56">
        <f t="shared" si="32"/>
        <v>3.6424736979266616E-4</v>
      </c>
      <c r="R61" s="9">
        <f t="shared" si="38"/>
        <v>1.4999999999999999E-4</v>
      </c>
      <c r="S61" s="9">
        <f t="shared" si="39"/>
        <v>1.4393582627445542E-6</v>
      </c>
      <c r="T61" s="9">
        <f t="shared" si="40"/>
        <v>1.2874152877532982E-5</v>
      </c>
      <c r="U61" s="9">
        <f t="shared" si="41"/>
        <v>1.4856064173725543E-4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2.2027177618564382</v>
      </c>
      <c r="K62" s="55">
        <f t="shared" si="26"/>
        <v>0.16799659692551605</v>
      </c>
      <c r="L62" s="55">
        <f t="shared" si="27"/>
        <v>9.336537008685768E-3</v>
      </c>
      <c r="M62" s="55">
        <f t="shared" si="28"/>
        <v>0.99066346299131425</v>
      </c>
      <c r="N62" s="55">
        <f t="shared" si="29"/>
        <v>3.824236812957659E-3</v>
      </c>
      <c r="O62" s="56">
        <f t="shared" si="30"/>
        <v>1.689298925893966E-7</v>
      </c>
      <c r="P62" s="56">
        <f t="shared" si="31"/>
        <v>2.6941654831294568E-5</v>
      </c>
      <c r="Q62" s="56">
        <f t="shared" si="32"/>
        <v>4.3445970794815458E-4</v>
      </c>
      <c r="R62" s="9">
        <f t="shared" si="38"/>
        <v>1.4999999999999999E-4</v>
      </c>
      <c r="S62" s="9">
        <f t="shared" si="39"/>
        <v>1.4004805513028651E-6</v>
      </c>
      <c r="T62" s="9">
        <f t="shared" si="40"/>
        <v>2.5199489538827407E-5</v>
      </c>
      <c r="U62" s="9">
        <f t="shared" si="41"/>
        <v>1.4859951944869713E-4</v>
      </c>
      <c r="V62" s="102">
        <f t="shared" si="42"/>
        <v>0.16957988580526562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2.1393986002694843</v>
      </c>
      <c r="K63" s="55">
        <f t="shared" si="26"/>
        <v>0.18735693659082442</v>
      </c>
      <c r="L63" s="55">
        <f t="shared" si="27"/>
        <v>8.9998641474310272E-3</v>
      </c>
      <c r="M63" s="55">
        <f t="shared" si="28"/>
        <v>0.99100013585256896</v>
      </c>
      <c r="N63" s="55">
        <f t="shared" si="29"/>
        <v>3.5367069038161319E-3</v>
      </c>
      <c r="O63" s="56">
        <f t="shared" si="30"/>
        <v>1.883977875349402E-7</v>
      </c>
      <c r="P63" s="56">
        <f t="shared" si="31"/>
        <v>2.5970146443275401E-5</v>
      </c>
      <c r="Q63" s="56">
        <f t="shared" si="32"/>
        <v>4.0179432490264854E-4</v>
      </c>
      <c r="R63" s="9">
        <f t="shared" si="38"/>
        <v>1.4999999999999999E-4</v>
      </c>
      <c r="S63" s="9">
        <f t="shared" si="39"/>
        <v>1.3499796221146539E-6</v>
      </c>
      <c r="T63" s="9">
        <f t="shared" si="40"/>
        <v>2.810354048862366E-5</v>
      </c>
      <c r="U63" s="9">
        <f t="shared" si="41"/>
        <v>1.4865002037788534E-4</v>
      </c>
      <c r="V63" s="102">
        <f t="shared" si="42"/>
        <v>0.18905843683829474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1.3842562584741676</v>
      </c>
      <c r="K64" s="55">
        <f t="shared" si="26"/>
        <v>0.57783792114480448</v>
      </c>
      <c r="L64" s="55">
        <f t="shared" si="27"/>
        <v>4.8778661015764771E-3</v>
      </c>
      <c r="M64" s="55">
        <f t="shared" si="28"/>
        <v>0.99512213389842352</v>
      </c>
      <c r="N64" s="55">
        <f t="shared" si="29"/>
        <v>1.931204802771311E-3</v>
      </c>
      <c r="O64" s="56">
        <f t="shared" si="30"/>
        <v>5.8104806727930806E-7</v>
      </c>
      <c r="P64" s="56">
        <f t="shared" si="31"/>
        <v>1.4075645466802957E-5</v>
      </c>
      <c r="Q64" s="56">
        <f t="shared" si="32"/>
        <v>2.1939820038267775E-4</v>
      </c>
      <c r="R64" s="9">
        <f t="shared" si="38"/>
        <v>1.4999999999999999E-4</v>
      </c>
      <c r="S64" s="9">
        <f t="shared" si="39"/>
        <v>7.3167991523647149E-7</v>
      </c>
      <c r="T64" s="9">
        <f t="shared" si="40"/>
        <v>8.6675688171720665E-5</v>
      </c>
      <c r="U64" s="9">
        <f t="shared" si="41"/>
        <v>1.4926832008476353E-4</v>
      </c>
      <c r="V64" s="102">
        <f t="shared" si="42"/>
        <v>0.5806703533777362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2.8129743237059617</v>
      </c>
      <c r="K65" s="55">
        <f t="shared" si="26"/>
        <v>5.1192391857253196E-2</v>
      </c>
      <c r="L65" s="55">
        <f t="shared" si="27"/>
        <v>1.1597044456559128E-2</v>
      </c>
      <c r="M65" s="55">
        <f t="shared" si="28"/>
        <v>0.98840295554344082</v>
      </c>
      <c r="N65" s="55">
        <f t="shared" si="29"/>
        <v>5.9193322155278796E-3</v>
      </c>
      <c r="O65" s="56">
        <f t="shared" si="30"/>
        <v>5.1476788316576907E-8</v>
      </c>
      <c r="P65" s="56">
        <f t="shared" si="31"/>
        <v>3.3464609899915609E-5</v>
      </c>
      <c r="Q65" s="56">
        <f t="shared" si="32"/>
        <v>6.7247701211719353E-4</v>
      </c>
      <c r="R65" s="9">
        <f t="shared" si="38"/>
        <v>1.4999999999999999E-4</v>
      </c>
      <c r="S65" s="9">
        <f t="shared" si="39"/>
        <v>1.739556668483869E-6</v>
      </c>
      <c r="T65" s="9">
        <f t="shared" si="40"/>
        <v>7.6788587785879794E-6</v>
      </c>
      <c r="U65" s="9">
        <f t="shared" si="41"/>
        <v>1.482604433315161E-4</v>
      </c>
      <c r="V65" s="102">
        <f t="shared" si="42"/>
        <v>5.1793038021731477E-2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1.5278128154398603</v>
      </c>
      <c r="K68" s="55">
        <f t="shared" si="26"/>
        <v>0.45760720687601836</v>
      </c>
      <c r="L68" s="55">
        <f t="shared" si="27"/>
        <v>5.3761731526964151E-3</v>
      </c>
      <c r="M68" s="55">
        <f t="shared" si="28"/>
        <v>0.99462382684730355</v>
      </c>
      <c r="N68" s="55">
        <f t="shared" si="29"/>
        <v>1.2140208596059295E-3</v>
      </c>
      <c r="O68" s="56">
        <f t="shared" si="30"/>
        <v>4.6014941802644554E-7</v>
      </c>
      <c r="P68" s="56">
        <f t="shared" si="31"/>
        <v>1.5513567959776966E-5</v>
      </c>
      <c r="Q68" s="56">
        <f t="shared" si="32"/>
        <v>1.3792115235129385E-4</v>
      </c>
      <c r="R68" s="9">
        <f>F68*$C$14</f>
        <v>1.4999999999999999E-4</v>
      </c>
      <c r="S68" s="9">
        <f t="shared" si="39"/>
        <v>8.0642597290446221E-7</v>
      </c>
      <c r="T68" s="9">
        <f t="shared" si="40"/>
        <v>6.8641081031402748E-5</v>
      </c>
      <c r="U68" s="9">
        <f t="shared" si="41"/>
        <v>1.4919357402709552E-4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3.7382327895049081</v>
      </c>
      <c r="K69" s="55">
        <f t="shared" si="26"/>
        <v>6.6039837810488757E-3</v>
      </c>
      <c r="L69" s="55">
        <f t="shared" si="27"/>
        <v>1.2595237591699084E-2</v>
      </c>
      <c r="M69" s="55">
        <f t="shared" si="28"/>
        <v>0.98740476240830088</v>
      </c>
      <c r="N69" s="55">
        <f t="shared" si="29"/>
        <v>6.931708506445952E-3</v>
      </c>
      <c r="O69" s="56">
        <f t="shared" si="30"/>
        <v>6.6406718422357521E-9</v>
      </c>
      <c r="P69" s="56">
        <f t="shared" si="31"/>
        <v>3.634501136749293E-5</v>
      </c>
      <c r="Q69" s="56">
        <f t="shared" si="32"/>
        <v>7.8748994912873095E-4</v>
      </c>
      <c r="R69" s="9">
        <f>F69*$C$14</f>
        <v>1.4999999999999999E-4</v>
      </c>
      <c r="S69" s="9">
        <f t="shared" si="39"/>
        <v>1.8892856387548625E-6</v>
      </c>
      <c r="T69" s="9">
        <f t="shared" si="40"/>
        <v>9.9059756715733135E-7</v>
      </c>
      <c r="U69" s="9">
        <f t="shared" si="41"/>
        <v>1.4811071436124511E-4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0.7151775048840503</v>
      </c>
      <c r="K70" s="55">
        <f t="shared" si="26"/>
        <v>0.86088569948618532</v>
      </c>
      <c r="L70" s="55">
        <f t="shared" si="27"/>
        <v>1.5570070366570162E-3</v>
      </c>
      <c r="M70" s="55">
        <f t="shared" si="28"/>
        <v>0.99844299296334293</v>
      </c>
      <c r="N70" s="55">
        <f t="shared" si="29"/>
        <v>2.4415509247871601E-4</v>
      </c>
      <c r="O70" s="56">
        <f t="shared" si="30"/>
        <v>8.6566830166462983E-7</v>
      </c>
      <c r="P70" s="56">
        <f t="shared" si="31"/>
        <v>4.4929234589318963E-6</v>
      </c>
      <c r="Q70" s="56">
        <f t="shared" si="32"/>
        <v>2.7737704373573813E-5</v>
      </c>
      <c r="R70" s="9">
        <f t="shared" ref="R70:R86" si="43">F70*$C$14</f>
        <v>1.4999999999999999E-4</v>
      </c>
      <c r="S70" s="9">
        <f t="shared" si="39"/>
        <v>2.3355105549855241E-7</v>
      </c>
      <c r="T70" s="9">
        <f t="shared" si="40"/>
        <v>1.2913285492292779E-4</v>
      </c>
      <c r="U70" s="9">
        <f t="shared" si="41"/>
        <v>1.4976644894450144E-4</v>
      </c>
      <c r="V70" s="102">
        <f t="shared" si="42"/>
        <v>0.86222819485277524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1.345926094870141</v>
      </c>
      <c r="K71" s="55">
        <f t="shared" ref="K71:K122" si="46">IF(D71=0,"",1/(1+10^D71*$J$15/$J$14+10^E71*$J$16/$J$14+10^J71*$J$19/$J$14))</f>
        <v>0.58929751292771793</v>
      </c>
      <c r="L71" s="55">
        <f t="shared" ref="L71:L122" si="47">IF(D71=0,"",1/(1+10^I71/10^J71*$J$13/$J$19))</f>
        <v>4.5543696829644584E-3</v>
      </c>
      <c r="M71" s="55">
        <f t="shared" si="19"/>
        <v>0.99544563031703559</v>
      </c>
      <c r="N71" s="55">
        <f t="shared" ref="N71:N122" si="48">IF(D71=0,"",1/(1/10^E71*$J$20/$J$22+10^D71/10^E71*$J$21/$J$22+10^I71/10^E71*$J$13/$J$22+1))</f>
        <v>1.5657913934932614E-3</v>
      </c>
      <c r="O71" s="56">
        <f t="shared" si="21"/>
        <v>5.9257132218109755E-7</v>
      </c>
      <c r="P71" s="56">
        <f t="shared" ref="P71:P122" si="49">IF(D71=0,"",O71*10^J71)</f>
        <v>1.3142159224388134E-5</v>
      </c>
      <c r="Q71" s="56">
        <f t="shared" ref="Q71:Q122" si="50">IF(D71=0,"",F71*N71*$J$7/$J$22)</f>
        <v>1.7788471394340614E-4</v>
      </c>
      <c r="R71" s="9">
        <f t="shared" si="43"/>
        <v>1.4999999999999999E-4</v>
      </c>
      <c r="S71" s="9">
        <f t="shared" si="39"/>
        <v>6.8315545244466874E-7</v>
      </c>
      <c r="T71" s="9">
        <f t="shared" si="40"/>
        <v>8.8394626939157687E-5</v>
      </c>
      <c r="U71" s="9">
        <f t="shared" si="41"/>
        <v>1.4931684454755532E-4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1.511064839547366</v>
      </c>
      <c r="K72" s="55">
        <f t="shared" si="46"/>
        <v>0.47280251371667875</v>
      </c>
      <c r="L72" s="55">
        <f t="shared" si="47"/>
        <v>5.3445629067873437E-3</v>
      </c>
      <c r="M72" s="55">
        <f t="shared" si="19"/>
        <v>0.99465543709321269</v>
      </c>
      <c r="N72" s="55">
        <f t="shared" si="48"/>
        <v>1.3539607359735926E-3</v>
      </c>
      <c r="O72" s="56">
        <f t="shared" si="21"/>
        <v>4.7542914154128425E-7</v>
      </c>
      <c r="P72" s="56">
        <f t="shared" si="49"/>
        <v>1.5422352947870284E-5</v>
      </c>
      <c r="Q72" s="56">
        <f t="shared" si="50"/>
        <v>1.538192885783688E-4</v>
      </c>
      <c r="R72" s="9">
        <f t="shared" si="43"/>
        <v>1.4999999999999999E-4</v>
      </c>
      <c r="S72" s="9">
        <f t="shared" si="39"/>
        <v>8.0168443601810148E-7</v>
      </c>
      <c r="T72" s="9">
        <f t="shared" si="40"/>
        <v>7.0920377057501804E-5</v>
      </c>
      <c r="U72" s="9">
        <f t="shared" si="41"/>
        <v>1.4919831556398189E-4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5.5484404117146227</v>
      </c>
      <c r="K73" s="55">
        <f t="shared" si="46"/>
        <v>1.4472620806024627E-4</v>
      </c>
      <c r="L73" s="55">
        <f t="shared" si="47"/>
        <v>1.7830157189050955E-2</v>
      </c>
      <c r="M73" s="55">
        <f t="shared" si="19"/>
        <v>0.9821698428109491</v>
      </c>
      <c r="N73" s="55">
        <f t="shared" si="48"/>
        <v>1.5078442243010075E-2</v>
      </c>
      <c r="O73" s="56">
        <f t="shared" si="21"/>
        <v>1.4553022638504834E-10</v>
      </c>
      <c r="P73" s="56">
        <f t="shared" si="49"/>
        <v>5.1450975894836055E-5</v>
      </c>
      <c r="Q73" s="56">
        <f t="shared" si="50"/>
        <v>1.7130151540340303E-3</v>
      </c>
      <c r="R73" s="9">
        <f t="shared" si="43"/>
        <v>1.4999999999999999E-4</v>
      </c>
      <c r="S73" s="9">
        <f t="shared" si="39"/>
        <v>2.6745235783576429E-6</v>
      </c>
      <c r="T73" s="9">
        <f t="shared" si="40"/>
        <v>2.1708931209036939E-8</v>
      </c>
      <c r="U73" s="9">
        <f t="shared" si="41"/>
        <v>1.4732547642164236E-4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0.55377732988068618</v>
      </c>
      <c r="K74" s="55">
        <f t="shared" si="46"/>
        <v>0.91036079581230289</v>
      </c>
      <c r="L74" s="55">
        <f t="shared" si="47"/>
        <v>1.1354250028389097E-3</v>
      </c>
      <c r="M74" s="55">
        <f t="shared" si="19"/>
        <v>0.99886457499716108</v>
      </c>
      <c r="N74" s="55">
        <f t="shared" si="48"/>
        <v>1.9897606605274388E-4</v>
      </c>
      <c r="O74" s="56">
        <f t="shared" si="21"/>
        <v>9.1541825411114681E-7</v>
      </c>
      <c r="P74" s="56">
        <f t="shared" si="49"/>
        <v>3.2763998562689249E-6</v>
      </c>
      <c r="Q74" s="56">
        <f t="shared" si="50"/>
        <v>2.2605055014647424E-5</v>
      </c>
      <c r="R74" s="9">
        <f t="shared" si="43"/>
        <v>1.4999999999999999E-4</v>
      </c>
      <c r="S74" s="9">
        <f t="shared" si="39"/>
        <v>1.7031375042583644E-7</v>
      </c>
      <c r="T74" s="9">
        <f t="shared" si="40"/>
        <v>1.3655411937184541E-4</v>
      </c>
      <c r="U74" s="9">
        <f t="shared" si="41"/>
        <v>1.4982968624957415E-4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0.56756569522901168</v>
      </c>
      <c r="K75" s="55">
        <f t="shared" si="46"/>
        <v>0.90568845717776203</v>
      </c>
      <c r="L75" s="55">
        <f t="shared" si="47"/>
        <v>1.1660363915129185E-3</v>
      </c>
      <c r="M75" s="55">
        <f t="shared" si="19"/>
        <v>0.99883396360848709</v>
      </c>
      <c r="N75" s="55">
        <f t="shared" si="48"/>
        <v>1.8878049746058864E-4</v>
      </c>
      <c r="O75" s="56">
        <f t="shared" si="21"/>
        <v>9.1071995856159915E-7</v>
      </c>
      <c r="P75" s="56">
        <f t="shared" si="49"/>
        <v>3.364732550371085E-6</v>
      </c>
      <c r="Q75" s="56">
        <f t="shared" si="50"/>
        <v>2.1446768023134647E-5</v>
      </c>
      <c r="R75" s="9">
        <f t="shared" si="43"/>
        <v>1.4999999999999999E-4</v>
      </c>
      <c r="S75" s="9">
        <f t="shared" si="39"/>
        <v>1.7490545872693777E-7</v>
      </c>
      <c r="T75" s="9">
        <f t="shared" si="40"/>
        <v>1.3585326857666429E-4</v>
      </c>
      <c r="U75" s="9">
        <f t="shared" si="41"/>
        <v>1.4982509454127305E-4</v>
      </c>
      <c r="V75" s="102">
        <f t="shared" si="42"/>
        <v>0.90674575572678939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2.6297678711619401</v>
      </c>
      <c r="K76" s="55">
        <f t="shared" si="46"/>
        <v>7.1774616369607441E-2</v>
      </c>
      <c r="L76" s="55">
        <f t="shared" si="47"/>
        <v>1.0663660939247662E-2</v>
      </c>
      <c r="M76" s="55">
        <f t="shared" si="19"/>
        <v>0.98933633906075236</v>
      </c>
      <c r="N76" s="55">
        <f t="shared" si="48"/>
        <v>4.7092437850499661E-3</v>
      </c>
      <c r="O76" s="56">
        <f t="shared" si="21"/>
        <v>7.2173356221844707E-8</v>
      </c>
      <c r="P76" s="56">
        <f t="shared" si="49"/>
        <v>3.077122406261521E-5</v>
      </c>
      <c r="Q76" s="56">
        <f t="shared" si="50"/>
        <v>5.3500261086789633E-4</v>
      </c>
      <c r="R76" s="9">
        <f t="shared" si="43"/>
        <v>1.4999999999999999E-4</v>
      </c>
      <c r="S76" s="9">
        <f t="shared" si="39"/>
        <v>1.5995491408871493E-6</v>
      </c>
      <c r="T76" s="9">
        <f t="shared" si="40"/>
        <v>1.0766192455441115E-5</v>
      </c>
      <c r="U76" s="9">
        <f t="shared" si="41"/>
        <v>1.4840045085911285E-4</v>
      </c>
      <c r="V76" s="102">
        <f t="shared" si="42"/>
        <v>7.2548246269563105E-2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5.0901710407050667E-2</v>
      </c>
      <c r="K77" s="55">
        <f t="shared" si="46"/>
        <v>0.98964670021937096</v>
      </c>
      <c r="L77" s="55">
        <f t="shared" si="47"/>
        <v>3.8774791224395526E-4</v>
      </c>
      <c r="M77" s="55">
        <f t="shared" si="19"/>
        <v>0.99961225208775606</v>
      </c>
      <c r="N77" s="55">
        <f t="shared" si="48"/>
        <v>1.3300913659598561E-5</v>
      </c>
      <c r="O77" s="56">
        <f t="shared" si="21"/>
        <v>9.951446269095047E-7</v>
      </c>
      <c r="P77" s="56">
        <f t="shared" si="49"/>
        <v>1.1188913409236533E-6</v>
      </c>
      <c r="Q77" s="56">
        <f t="shared" si="50"/>
        <v>1.5110756332904932E-6</v>
      </c>
      <c r="R77" s="9">
        <f t="shared" si="43"/>
        <v>1.4999999999999999E-4</v>
      </c>
      <c r="S77" s="9">
        <f t="shared" si="39"/>
        <v>5.8162186836593287E-8</v>
      </c>
      <c r="T77" s="9">
        <f t="shared" si="40"/>
        <v>1.4844700503290563E-4</v>
      </c>
      <c r="U77" s="9">
        <f t="shared" si="41"/>
        <v>1.4994183781316339E-4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0.88327907371680614</v>
      </c>
      <c r="K78" s="55">
        <f t="shared" si="46"/>
        <v>0.81103997188457932</v>
      </c>
      <c r="L78" s="55">
        <f t="shared" si="47"/>
        <v>2.1601748691661492E-3</v>
      </c>
      <c r="M78" s="55">
        <f t="shared" si="19"/>
        <v>0.9978398251308338</v>
      </c>
      <c r="N78" s="55">
        <f t="shared" si="48"/>
        <v>5.7009410758754276E-4</v>
      </c>
      <c r="O78" s="56">
        <f t="shared" si="21"/>
        <v>8.1554565892137861E-7</v>
      </c>
      <c r="P78" s="56">
        <f t="shared" si="49"/>
        <v>6.2334338359253661E-6</v>
      </c>
      <c r="Q78" s="56">
        <f t="shared" si="50"/>
        <v>6.4766627068235902E-5</v>
      </c>
      <c r="R78" s="9">
        <f t="shared" si="43"/>
        <v>1.4999999999999999E-4</v>
      </c>
      <c r="S78" s="9">
        <f t="shared" si="39"/>
        <v>3.2402623037492236E-7</v>
      </c>
      <c r="T78" s="9">
        <f t="shared" si="40"/>
        <v>1.2165599578268688E-4</v>
      </c>
      <c r="U78" s="9">
        <f t="shared" si="41"/>
        <v>1.4967597376962507E-4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1.8385907214946637</v>
      </c>
      <c r="K79" s="55">
        <f t="shared" si="46"/>
        <v>0.30750170249077313</v>
      </c>
      <c r="L79" s="55">
        <f t="shared" si="47"/>
        <v>7.3893429434572951E-3</v>
      </c>
      <c r="M79" s="55">
        <f t="shared" si="19"/>
        <v>0.99261065705654272</v>
      </c>
      <c r="N79" s="55">
        <f t="shared" si="48"/>
        <v>2.5048332406477085E-3</v>
      </c>
      <c r="O79" s="56">
        <f t="shared" si="21"/>
        <v>3.0921001093762681E-7</v>
      </c>
      <c r="P79" s="56">
        <f t="shared" si="49"/>
        <v>2.1322801679839507E-5</v>
      </c>
      <c r="Q79" s="56">
        <f t="shared" si="50"/>
        <v>2.845663517759463E-4</v>
      </c>
      <c r="R79" s="9">
        <f t="shared" si="43"/>
        <v>1.4999999999999999E-4</v>
      </c>
      <c r="S79" s="9">
        <f t="shared" si="39"/>
        <v>1.1084014415185941E-6</v>
      </c>
      <c r="T79" s="9">
        <f t="shared" si="40"/>
        <v>4.6125255373615968E-5</v>
      </c>
      <c r="U79" s="9">
        <f t="shared" si="41"/>
        <v>1.4889159855848141E-4</v>
      </c>
      <c r="V79" s="102">
        <f t="shared" si="42"/>
        <v>0.30979085334689965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4.6065751929206078</v>
      </c>
      <c r="K80" s="55">
        <f t="shared" si="46"/>
        <v>1.0317326296052703E-3</v>
      </c>
      <c r="L80" s="55">
        <f t="shared" si="47"/>
        <v>1.453148290953289E-2</v>
      </c>
      <c r="M80" s="55">
        <f t="shared" si="19"/>
        <v>0.98546851709046712</v>
      </c>
      <c r="N80" s="55">
        <f t="shared" si="48"/>
        <v>9.9052276013428218E-3</v>
      </c>
      <c r="O80" s="56">
        <f t="shared" si="21"/>
        <v>1.0374643623136513E-9</v>
      </c>
      <c r="P80" s="56">
        <f t="shared" si="49"/>
        <v>4.1932270645023636E-5</v>
      </c>
      <c r="Q80" s="56">
        <f t="shared" si="50"/>
        <v>1.1253022501792043E-3</v>
      </c>
      <c r="R80" s="9">
        <f t="shared" si="43"/>
        <v>1.4999999999999999E-4</v>
      </c>
      <c r="S80" s="9">
        <f t="shared" si="39"/>
        <v>2.1797224364299333E-6</v>
      </c>
      <c r="T80" s="9">
        <f t="shared" si="40"/>
        <v>1.5475989444079052E-7</v>
      </c>
      <c r="U80" s="9">
        <f t="shared" si="41"/>
        <v>1.4782027756357006E-4</v>
      </c>
      <c r="V80" s="102">
        <f t="shared" si="42"/>
        <v>1.0469463120459648E-3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2.0699715906138327</v>
      </c>
      <c r="K81" s="55">
        <f t="shared" si="46"/>
        <v>0.2237752144769328</v>
      </c>
      <c r="L81" s="55">
        <f t="shared" si="47"/>
        <v>9.1611743708095196E-3</v>
      </c>
      <c r="M81" s="55">
        <f t="shared" si="19"/>
        <v>0.99083882562919046</v>
      </c>
      <c r="N81" s="55">
        <f t="shared" si="48"/>
        <v>4.2446831318528732E-3</v>
      </c>
      <c r="O81" s="56">
        <f t="shared" si="21"/>
        <v>2.2501838511953729E-7</v>
      </c>
      <c r="P81" s="56">
        <f t="shared" si="49"/>
        <v>2.6435625705552123E-5</v>
      </c>
      <c r="Q81" s="56">
        <f t="shared" si="50"/>
        <v>4.8222531291701036E-4</v>
      </c>
      <c r="R81" s="9">
        <f t="shared" si="43"/>
        <v>1.4999999999999999E-4</v>
      </c>
      <c r="S81" s="9">
        <f t="shared" si="39"/>
        <v>1.3741761556214277E-6</v>
      </c>
      <c r="T81" s="9">
        <f t="shared" si="40"/>
        <v>3.3566282171539915E-5</v>
      </c>
      <c r="U81" s="9">
        <f t="shared" si="41"/>
        <v>1.4862582384437856E-4</v>
      </c>
      <c r="V81" s="102">
        <f t="shared" si="42"/>
        <v>0.2258442126900243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2.8706315398293074</v>
      </c>
      <c r="K82" s="55">
        <f t="shared" si="46"/>
        <v>4.7734642079835847E-2</v>
      </c>
      <c r="L82" s="55">
        <f t="shared" si="47"/>
        <v>1.2349028335114797E-2</v>
      </c>
      <c r="M82" s="55">
        <f t="shared" si="19"/>
        <v>0.98765097166488525</v>
      </c>
      <c r="N82" s="55">
        <f t="shared" si="48"/>
        <v>7.058021287945482E-3</v>
      </c>
      <c r="O82" s="56">
        <f t="shared" si="21"/>
        <v>4.7999829204368809E-8</v>
      </c>
      <c r="P82" s="56">
        <f t="shared" si="49"/>
        <v>3.5634546148858578E-5</v>
      </c>
      <c r="Q82" s="56">
        <f t="shared" si="50"/>
        <v>8.0183995328497531E-4</v>
      </c>
      <c r="R82" s="9">
        <f t="shared" si="43"/>
        <v>1.4999999999999999E-4</v>
      </c>
      <c r="S82" s="9">
        <f t="shared" si="39"/>
        <v>1.8523542502672193E-6</v>
      </c>
      <c r="T82" s="9">
        <f t="shared" si="40"/>
        <v>7.1601963119753766E-6</v>
      </c>
      <c r="U82" s="9">
        <f t="shared" si="41"/>
        <v>1.4814764574973277E-4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2.250511751652323</v>
      </c>
      <c r="K83" s="55">
        <f t="shared" si="46"/>
        <v>0.16201809859941155</v>
      </c>
      <c r="L83" s="55">
        <f t="shared" si="47"/>
        <v>1.0051777332947093E-2</v>
      </c>
      <c r="M83" s="55">
        <f t="shared" si="19"/>
        <v>0.98994822266705296</v>
      </c>
      <c r="N83" s="55">
        <f t="shared" si="48"/>
        <v>4.873722800813828E-3</v>
      </c>
      <c r="O83" s="56">
        <f t="shared" si="21"/>
        <v>1.6291818105143912E-7</v>
      </c>
      <c r="P83" s="56">
        <f t="shared" si="49"/>
        <v>2.9005563314680341E-5</v>
      </c>
      <c r="Q83" s="56">
        <f t="shared" si="50"/>
        <v>5.5368856277083318E-4</v>
      </c>
      <c r="R83" s="9">
        <f t="shared" si="43"/>
        <v>1.4999999999999999E-4</v>
      </c>
      <c r="S83" s="9">
        <f t="shared" si="39"/>
        <v>1.5077665999420637E-6</v>
      </c>
      <c r="T83" s="9">
        <f t="shared" si="40"/>
        <v>2.4302714789911731E-5</v>
      </c>
      <c r="U83" s="9">
        <f t="shared" si="41"/>
        <v>1.4849223340005792E-4</v>
      </c>
      <c r="V83" s="102">
        <f t="shared" si="42"/>
        <v>0.16366320469055756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0.70032517200595146</v>
      </c>
      <c r="K84" s="55">
        <f t="shared" si="46"/>
        <v>0.87233111154025378</v>
      </c>
      <c r="L84" s="55">
        <f t="shared" si="47"/>
        <v>1.5246638757605746E-3</v>
      </c>
      <c r="M84" s="55">
        <f t="shared" si="19"/>
        <v>0.99847533612423944</v>
      </c>
      <c r="N84" s="55">
        <f t="shared" si="48"/>
        <v>3.3614886962914878E-4</v>
      </c>
      <c r="O84" s="56">
        <f t="shared" si="21"/>
        <v>8.7717729806288655E-7</v>
      </c>
      <c r="P84" s="56">
        <f t="shared" si="49"/>
        <v>4.3995935362620326E-6</v>
      </c>
      <c r="Q84" s="56">
        <f t="shared" si="50"/>
        <v>3.8188832666257594E-5</v>
      </c>
      <c r="R84" s="9">
        <f t="shared" si="43"/>
        <v>1.4999999999999999E-4</v>
      </c>
      <c r="S84" s="9">
        <f t="shared" si="39"/>
        <v>2.2869958136408617E-7</v>
      </c>
      <c r="T84" s="9">
        <f t="shared" si="40"/>
        <v>1.3084966673103805E-4</v>
      </c>
      <c r="U84" s="9">
        <f t="shared" si="41"/>
        <v>1.4977130041863589E-4</v>
      </c>
      <c r="V84" s="102">
        <f t="shared" si="42"/>
        <v>0.87366315419103191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2.0453970116067448</v>
      </c>
      <c r="K85" s="55">
        <f t="shared" si="46"/>
        <v>0.23721093707497945</v>
      </c>
      <c r="L85" s="55">
        <f t="shared" si="47"/>
        <v>9.1769696948743717E-3</v>
      </c>
      <c r="M85" s="55">
        <f t="shared" si="19"/>
        <v>0.99082303030512564</v>
      </c>
      <c r="N85" s="55">
        <f t="shared" si="48"/>
        <v>4.4371693309447364E-3</v>
      </c>
      <c r="O85" s="56">
        <f t="shared" si="21"/>
        <v>2.3852874912027505E-7</v>
      </c>
      <c r="P85" s="56">
        <f t="shared" si="49"/>
        <v>2.6481204935678639E-5</v>
      </c>
      <c r="Q85" s="56">
        <f t="shared" si="50"/>
        <v>5.0409307423297963E-4</v>
      </c>
      <c r="R85" s="9">
        <f t="shared" si="43"/>
        <v>1.4999999999999999E-4</v>
      </c>
      <c r="S85" s="9">
        <f t="shared" si="39"/>
        <v>1.3765454542311557E-6</v>
      </c>
      <c r="T85" s="9">
        <f t="shared" si="40"/>
        <v>3.5581640561246912E-5</v>
      </c>
      <c r="U85" s="9">
        <f t="shared" si="41"/>
        <v>1.4862345454576883E-4</v>
      </c>
      <c r="V85" s="102">
        <f t="shared" si="42"/>
        <v>0.23940797682299525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1.4384768340970948</v>
      </c>
      <c r="K86" s="55">
        <f t="shared" si="46"/>
        <v>0.54172411071684978</v>
      </c>
      <c r="L86" s="55">
        <f t="shared" si="47"/>
        <v>5.1811071764036121E-3</v>
      </c>
      <c r="M86" s="55">
        <f t="shared" si="19"/>
        <v>0.99481889282359637</v>
      </c>
      <c r="N86" s="55">
        <f t="shared" si="48"/>
        <v>1.9571290293853849E-3</v>
      </c>
      <c r="O86" s="56">
        <f t="shared" si="21"/>
        <v>5.4473362860473744E-7</v>
      </c>
      <c r="P86" s="56">
        <f t="shared" si="49"/>
        <v>1.4950682577571441E-5</v>
      </c>
      <c r="Q86" s="56">
        <f t="shared" si="50"/>
        <v>2.2234337153038744E-4</v>
      </c>
      <c r="R86" s="9">
        <f t="shared" si="43"/>
        <v>1.4999999999999999E-4</v>
      </c>
      <c r="S86" s="9">
        <f t="shared" si="39"/>
        <v>7.7716607646054179E-7</v>
      </c>
      <c r="T86" s="9">
        <f t="shared" si="40"/>
        <v>8.1258616607527461E-5</v>
      </c>
      <c r="U86" s="9">
        <f t="shared" si="41"/>
        <v>1.4922283392353945E-4</v>
      </c>
      <c r="V86" s="102">
        <f t="shared" si="42"/>
        <v>0.54454545910288576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3.7871624218496818</v>
      </c>
      <c r="K88" s="55">
        <f t="shared" si="46"/>
        <v>7.1565183028847691E-3</v>
      </c>
      <c r="L88" s="55">
        <f t="shared" si="47"/>
        <v>1.5276778611704313E-2</v>
      </c>
      <c r="M88" s="55">
        <f t="shared" si="19"/>
        <v>0.98472322138829571</v>
      </c>
      <c r="N88" s="55">
        <f t="shared" si="48"/>
        <v>1.1152984014416143E-2</v>
      </c>
      <c r="O88" s="56">
        <f t="shared" si="21"/>
        <v>7.1962759385916721E-9</v>
      </c>
      <c r="P88" s="56">
        <f t="shared" si="49"/>
        <v>4.4082907389297234E-5</v>
      </c>
      <c r="Q88" s="56">
        <f t="shared" si="50"/>
        <v>1.2670559943452234E-3</v>
      </c>
      <c r="R88" s="9">
        <f>F88*$C$14</f>
        <v>1.4999999999999999E-4</v>
      </c>
      <c r="S88" s="9">
        <f t="shared" si="39"/>
        <v>2.291516791755647E-6</v>
      </c>
      <c r="T88" s="9">
        <f t="shared" si="40"/>
        <v>1.0734777454327153E-6</v>
      </c>
      <c r="U88" s="9">
        <f t="shared" si="41"/>
        <v>1.4770848320824433E-4</v>
      </c>
      <c r="V88" s="102">
        <f t="shared" si="42"/>
        <v>7.2675429475454745E-3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5.2243795044903081</v>
      </c>
      <c r="K89" s="55">
        <f t="shared" si="46"/>
        <v>2.9471812117796135E-4</v>
      </c>
      <c r="L89" s="55">
        <f t="shared" si="47"/>
        <v>1.7216858937022201E-2</v>
      </c>
      <c r="M89" s="55">
        <f t="shared" si="19"/>
        <v>0.98278314106297782</v>
      </c>
      <c r="N89" s="55">
        <f t="shared" si="48"/>
        <v>1.4116438268690997E-2</v>
      </c>
      <c r="O89" s="56">
        <f t="shared" si="21"/>
        <v>2.9635541115642659E-10</v>
      </c>
      <c r="P89" s="56">
        <f t="shared" si="49"/>
        <v>4.9681233023424173E-5</v>
      </c>
      <c r="Q89" s="56">
        <f t="shared" si="50"/>
        <v>1.6037248600042561E-3</v>
      </c>
      <c r="R89" s="9">
        <f>F89*$C$14</f>
        <v>1.4999999999999999E-4</v>
      </c>
      <c r="S89" s="9">
        <f t="shared" si="39"/>
        <v>2.58252884055333E-6</v>
      </c>
      <c r="T89" s="9">
        <f t="shared" si="40"/>
        <v>4.42077181766942E-8</v>
      </c>
      <c r="U89" s="9">
        <f t="shared" si="41"/>
        <v>1.4741747115944666E-4</v>
      </c>
      <c r="V89" s="102">
        <f t="shared" si="42"/>
        <v>2.9988113233118176E-4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5.592091109253353</v>
      </c>
      <c r="K90" s="55">
        <f t="shared" si="46"/>
        <v>1.3279083509706304E-4</v>
      </c>
      <c r="L90" s="55">
        <f t="shared" si="47"/>
        <v>1.8089509378607413E-2</v>
      </c>
      <c r="M90" s="55">
        <f t="shared" si="19"/>
        <v>0.98191049062139257</v>
      </c>
      <c r="N90" s="55">
        <f t="shared" si="48"/>
        <v>1.5485898039559765E-2</v>
      </c>
      <c r="O90" s="56">
        <f t="shared" si="21"/>
        <v>1.3352854712734967E-10</v>
      </c>
      <c r="P90" s="56">
        <f t="shared" si="49"/>
        <v>5.2199366563053877E-5</v>
      </c>
      <c r="Q90" s="56">
        <f t="shared" si="50"/>
        <v>1.7593049459660975E-3</v>
      </c>
      <c r="R90" s="9">
        <f>F90*$C$14</f>
        <v>1.4999999999999999E-4</v>
      </c>
      <c r="S90" s="9">
        <f t="shared" si="39"/>
        <v>2.7134264067911118E-6</v>
      </c>
      <c r="T90" s="9">
        <f t="shared" si="40"/>
        <v>1.9918625264559456E-8</v>
      </c>
      <c r="U90" s="9">
        <f t="shared" si="41"/>
        <v>1.4728657359320887E-4</v>
      </c>
      <c r="V90" s="102">
        <f t="shared" si="42"/>
        <v>1.352372098734047E-4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6.012357132853051</v>
      </c>
      <c r="K91" s="55">
        <f t="shared" si="46"/>
        <v>5.2702060082345211E-5</v>
      </c>
      <c r="L91" s="55">
        <f t="shared" si="47"/>
        <v>1.8895235165318054E-2</v>
      </c>
      <c r="M91" s="55">
        <f t="shared" si="19"/>
        <v>0.9811047648346819</v>
      </c>
      <c r="N91" s="55">
        <f t="shared" si="48"/>
        <v>1.6751198506525285E-2</v>
      </c>
      <c r="O91" s="56">
        <f t="shared" si="21"/>
        <v>5.2994843418749542E-11</v>
      </c>
      <c r="P91" s="56">
        <f t="shared" si="49"/>
        <v>5.4524381288967435E-5</v>
      </c>
      <c r="Q91" s="56">
        <f t="shared" si="50"/>
        <v>1.9030518157943154E-3</v>
      </c>
      <c r="R91" s="9">
        <f t="shared" ref="R91:R92" si="51">F91*$C$14</f>
        <v>1.4999999999999999E-4</v>
      </c>
      <c r="S91" s="9">
        <f t="shared" si="39"/>
        <v>2.834285274797708E-6</v>
      </c>
      <c r="T91" s="9">
        <f t="shared" si="40"/>
        <v>7.9053090123517814E-9</v>
      </c>
      <c r="U91" s="9">
        <f t="shared" si="41"/>
        <v>1.4716571472520227E-4</v>
      </c>
      <c r="V91" s="102">
        <f t="shared" si="42"/>
        <v>5.3717056497249418E-5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7.2621961698150477</v>
      </c>
      <c r="K92" s="55">
        <f t="shared" si="46"/>
        <v>3.1687538192163139E-6</v>
      </c>
      <c r="L92" s="55">
        <f t="shared" si="47"/>
        <v>2.0195390107825281E-2</v>
      </c>
      <c r="M92" s="55">
        <f t="shared" si="19"/>
        <v>0.97980460989217477</v>
      </c>
      <c r="N92" s="55">
        <f t="shared" si="48"/>
        <v>1.8793938160381961E-2</v>
      </c>
      <c r="O92" s="56">
        <f t="shared" si="21"/>
        <v>3.1863576531838004E-12</v>
      </c>
      <c r="P92" s="56">
        <f t="shared" si="49"/>
        <v>5.8276128393450069E-5</v>
      </c>
      <c r="Q92" s="56">
        <f t="shared" si="50"/>
        <v>2.135121145397966E-3</v>
      </c>
      <c r="R92" s="9">
        <f t="shared" si="51"/>
        <v>1.4999999999999999E-4</v>
      </c>
      <c r="S92" s="9">
        <f t="shared" si="39"/>
        <v>3.0293085161737916E-6</v>
      </c>
      <c r="T92" s="9">
        <f t="shared" si="40"/>
        <v>4.7531307288244703E-10</v>
      </c>
      <c r="U92" s="9">
        <f t="shared" si="41"/>
        <v>1.4697069148382621E-4</v>
      </c>
      <c r="V92" s="102">
        <f t="shared" si="42"/>
        <v>3.2340670652335756E-6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1.3499799170682918</v>
      </c>
      <c r="K93" s="55">
        <f t="shared" si="46"/>
        <v>0.55884770953326202</v>
      </c>
      <c r="L93" s="55">
        <f t="shared" si="47"/>
        <v>4.3595430350116598E-3</v>
      </c>
      <c r="M93" s="55">
        <f t="shared" ref="M93:M127" si="52">IF(D93=0,"",1-L93)</f>
        <v>0.99564045696498837</v>
      </c>
      <c r="N93" s="55">
        <f t="shared" si="48"/>
        <v>8.7961933829095622E-4</v>
      </c>
      <c r="O93" s="56">
        <f t="shared" ref="O93:O127" si="53">IF(D93=0,"",F93*K93*$J$7/$J$14)</f>
        <v>5.6195235661315619E-7</v>
      </c>
      <c r="P93" s="56">
        <f t="shared" si="49"/>
        <v>1.2579964451722493E-5</v>
      </c>
      <c r="Q93" s="56">
        <f t="shared" si="50"/>
        <v>9.993083051880267E-5</v>
      </c>
      <c r="R93" s="9">
        <f>F93*$C$14</f>
        <v>1.4999999999999999E-4</v>
      </c>
      <c r="S93" s="9">
        <f t="shared" si="39"/>
        <v>6.5393145525174896E-7</v>
      </c>
      <c r="T93" s="9">
        <f t="shared" si="40"/>
        <v>8.3827156429989292E-5</v>
      </c>
      <c r="U93" s="9">
        <f t="shared" si="41"/>
        <v>1.4934606854474824E-4</v>
      </c>
      <c r="V93" s="102">
        <f t="shared" si="42"/>
        <v>0.5612946979241864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0.3520515023383351</v>
      </c>
      <c r="K107" s="55">
        <f t="shared" si="46"/>
        <v>0.95138181072260242</v>
      </c>
      <c r="L107" s="55">
        <f t="shared" si="47"/>
        <v>7.4571679281569417E-4</v>
      </c>
      <c r="M107" s="55">
        <f t="shared" si="52"/>
        <v>0.99925428320718435</v>
      </c>
      <c r="N107" s="55">
        <f t="shared" si="48"/>
        <v>9.8393891504266979E-5</v>
      </c>
      <c r="O107" s="56">
        <f t="shared" si="53"/>
        <v>9.5666715896710237E-7</v>
      </c>
      <c r="P107" s="56">
        <f t="shared" si="49"/>
        <v>2.1518518499150101E-6</v>
      </c>
      <c r="Q107" s="56">
        <f t="shared" si="50"/>
        <v>1.1178225475468099E-5</v>
      </c>
      <c r="R107" s="9">
        <f>F107*$C$14</f>
        <v>1.4999999999999999E-4</v>
      </c>
      <c r="S107" s="9">
        <f t="shared" ref="S107:S108" si="54">$R107*L107</f>
        <v>1.1185751892235411E-7</v>
      </c>
      <c r="T107" s="9">
        <f t="shared" ref="T107:T108" si="55">R107*K107</f>
        <v>1.4270727160839035E-4</v>
      </c>
      <c r="U107" s="9">
        <f t="shared" ref="U107:U108" si="56">$R107*M107</f>
        <v>1.4988814248107765E-4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1.0644941049967591</v>
      </c>
      <c r="K108" s="55">
        <f t="shared" si="46"/>
        <v>0.72852593257999465</v>
      </c>
      <c r="L108" s="55">
        <f t="shared" si="47"/>
        <v>2.9451451069209072E-3</v>
      </c>
      <c r="M108" s="55">
        <f t="shared" si="52"/>
        <v>0.9970548548930791</v>
      </c>
      <c r="N108" s="55">
        <f t="shared" si="48"/>
        <v>7.740968655122291E-4</v>
      </c>
      <c r="O108" s="56">
        <f t="shared" si="53"/>
        <v>7.3257321750328921E-7</v>
      </c>
      <c r="P108" s="56">
        <f t="shared" si="49"/>
        <v>8.4985560304556929E-6</v>
      </c>
      <c r="Q108" s="56">
        <f t="shared" si="50"/>
        <v>8.7942748988371439E-5</v>
      </c>
      <c r="R108" s="9">
        <f>F108*$C$14</f>
        <v>1.4999999999999999E-4</v>
      </c>
      <c r="S108" s="9">
        <f t="shared" si="54"/>
        <v>4.4177176603813604E-7</v>
      </c>
      <c r="T108" s="9">
        <f t="shared" si="55"/>
        <v>1.0927888988699919E-4</v>
      </c>
      <c r="U108" s="9">
        <f t="shared" si="56"/>
        <v>1.4955822823396186E-4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0.91828095208380334</v>
      </c>
      <c r="K114" s="55">
        <f t="shared" si="46"/>
        <v>0.79960104688831446</v>
      </c>
      <c r="L114" s="55">
        <f t="shared" si="47"/>
        <v>2.3084574976476816E-3</v>
      </c>
      <c r="M114" s="55">
        <f t="shared" si="52"/>
        <v>0.99769154250235237</v>
      </c>
      <c r="N114" s="55">
        <f t="shared" si="48"/>
        <v>6.6039480382152987E-4</v>
      </c>
      <c r="O114" s="56">
        <f t="shared" si="53"/>
        <v>8.0404318561941085E-7</v>
      </c>
      <c r="P114" s="56">
        <f t="shared" si="49"/>
        <v>6.6613204699428837E-6</v>
      </c>
      <c r="Q114" s="56">
        <f t="shared" si="50"/>
        <v>7.502540967824667E-5</v>
      </c>
      <c r="R114" s="9">
        <f>F114*$C$14</f>
        <v>1.4999999999999999E-4</v>
      </c>
      <c r="S114" s="9">
        <f t="shared" ref="S114:S116" si="58">$R114*L114</f>
        <v>3.462686246471522E-7</v>
      </c>
      <c r="T114" s="9">
        <f t="shared" ref="T114:T116" si="59">R114*K114</f>
        <v>1.1994015703324716E-4</v>
      </c>
      <c r="U114" s="9">
        <f t="shared" ref="U114:U116" si="60">$R114*M114</f>
        <v>1.4965373137535283E-4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1.1278069815675698</v>
      </c>
      <c r="K115" s="55">
        <f t="shared" si="46"/>
        <v>0.66877416264607847</v>
      </c>
      <c r="L115" s="55">
        <f t="shared" si="47"/>
        <v>3.1279085313619345E-3</v>
      </c>
      <c r="M115" s="55">
        <f t="shared" si="52"/>
        <v>0.99687209146863809</v>
      </c>
      <c r="N115" s="55">
        <f t="shared" si="48"/>
        <v>3.1570159762041652E-4</v>
      </c>
      <c r="O115" s="56">
        <f t="shared" si="53"/>
        <v>6.724894999656176E-7</v>
      </c>
      <c r="P115" s="56">
        <f t="shared" si="49"/>
        <v>9.02594097976771E-6</v>
      </c>
      <c r="Q115" s="56">
        <f t="shared" si="50"/>
        <v>3.5865881379572031E-5</v>
      </c>
      <c r="R115" s="9">
        <f>F115*$C$14</f>
        <v>1.4999999999999999E-4</v>
      </c>
      <c r="S115" s="9">
        <f t="shared" si="58"/>
        <v>4.6918627970429014E-7</v>
      </c>
      <c r="T115" s="9">
        <f t="shared" si="59"/>
        <v>1.0031612439691176E-4</v>
      </c>
      <c r="U115" s="9">
        <f t="shared" si="60"/>
        <v>1.4953081372029569E-4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0.12333905997992552</v>
      </c>
      <c r="K116" s="55">
        <f t="shared" si="46"/>
        <v>0.98116238581519188</v>
      </c>
      <c r="L116" s="55">
        <f t="shared" si="47"/>
        <v>4.5420041567844976E-4</v>
      </c>
      <c r="M116" s="55">
        <f t="shared" si="52"/>
        <v>0.99954579958432155</v>
      </c>
      <c r="N116" s="55">
        <f t="shared" si="48"/>
        <v>1.186525794433322E-5</v>
      </c>
      <c r="O116" s="56">
        <f t="shared" si="53"/>
        <v>9.8661317837291256E-7</v>
      </c>
      <c r="P116" s="56">
        <f t="shared" si="49"/>
        <v>1.3106477071804374E-6</v>
      </c>
      <c r="Q116" s="56">
        <f t="shared" si="50"/>
        <v>1.3479752309684193E-6</v>
      </c>
      <c r="R116" s="9">
        <f>F116*$C$14</f>
        <v>1.4999999999999999E-4</v>
      </c>
      <c r="S116" s="9">
        <f t="shared" si="58"/>
        <v>6.8130062351767464E-8</v>
      </c>
      <c r="T116" s="9">
        <f t="shared" si="59"/>
        <v>1.4717435787227876E-4</v>
      </c>
      <c r="U116" s="9">
        <f t="shared" si="60"/>
        <v>1.4993186993764822E-4</v>
      </c>
      <c r="V116" s="102">
        <f t="shared" si="61"/>
        <v>0.98160823268250963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2.99110327595359</v>
      </c>
      <c r="K119" s="55">
        <f t="shared" si="46"/>
        <v>3.5274604530769554E-2</v>
      </c>
      <c r="L119" s="55">
        <f t="shared" si="47"/>
        <v>1.2042953410471657E-2</v>
      </c>
      <c r="M119" s="55">
        <f t="shared" si="52"/>
        <v>0.98795704658952832</v>
      </c>
      <c r="N119" s="55">
        <f t="shared" si="48"/>
        <v>6.4214994087856206E-3</v>
      </c>
      <c r="O119" s="56">
        <f t="shared" si="53"/>
        <v>3.5470570616131781E-8</v>
      </c>
      <c r="P119" s="56">
        <f t="shared" si="49"/>
        <v>3.4751331637463361E-5</v>
      </c>
      <c r="Q119" s="56">
        <f t="shared" si="50"/>
        <v>7.2952667268859773E-4</v>
      </c>
      <c r="R119" s="9">
        <f>F119*$C$14</f>
        <v>1.4999999999999999E-4</v>
      </c>
      <c r="S119" s="9">
        <f t="shared" ref="S119:S121" si="62">$R119*L119</f>
        <v>1.8064430115707484E-6</v>
      </c>
      <c r="T119" s="9">
        <f t="shared" ref="T119:T121" si="63">R119*K119</f>
        <v>5.291190679615433E-6</v>
      </c>
      <c r="U119" s="9">
        <f t="shared" ref="U119:U121" si="64">$R119*M119</f>
        <v>1.4819355698842922E-4</v>
      </c>
      <c r="V119" s="102">
        <f t="shared" ref="V119:V121" si="65">K119/M119</f>
        <v>3.5704593284231395E-2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1.230285659988247</v>
      </c>
      <c r="K120" s="55">
        <f t="shared" si="46"/>
        <v>0.63678677468453448</v>
      </c>
      <c r="L120" s="55">
        <f t="shared" si="47"/>
        <v>3.7709195905744138E-3</v>
      </c>
      <c r="M120" s="55">
        <f t="shared" si="52"/>
        <v>0.99622908040942559</v>
      </c>
      <c r="N120" s="55">
        <f t="shared" si="48"/>
        <v>9.2711013436210486E-4</v>
      </c>
      <c r="O120" s="56">
        <f t="shared" si="53"/>
        <v>6.4032440786583661E-7</v>
      </c>
      <c r="P120" s="56">
        <f t="shared" si="49"/>
        <v>1.0881423584709073E-5</v>
      </c>
      <c r="Q120" s="56">
        <f t="shared" si="50"/>
        <v>1.0532611287197345E-4</v>
      </c>
      <c r="R120" s="9">
        <f>F120*$C$14</f>
        <v>1.4999999999999999E-4</v>
      </c>
      <c r="S120" s="9">
        <f t="shared" si="62"/>
        <v>5.6563793858616206E-7</v>
      </c>
      <c r="T120" s="9">
        <f t="shared" si="63"/>
        <v>9.5518016202680164E-5</v>
      </c>
      <c r="U120" s="9">
        <f t="shared" si="64"/>
        <v>1.4943436206141383E-4</v>
      </c>
      <c r="V120" s="102">
        <f t="shared" si="65"/>
        <v>0.63919713568573089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3.5008633770815112</v>
      </c>
      <c r="K121" s="55">
        <f t="shared" si="46"/>
        <v>9.9675370069216649E-3</v>
      </c>
      <c r="L121" s="55">
        <f t="shared" si="47"/>
        <v>1.1005728895607468E-2</v>
      </c>
      <c r="M121" s="55">
        <f t="shared" si="52"/>
        <v>0.98899427110439253</v>
      </c>
      <c r="N121" s="55">
        <f t="shared" si="48"/>
        <v>4.4755678984556378E-3</v>
      </c>
      <c r="O121" s="56">
        <f t="shared" si="53"/>
        <v>1.0022911099244817E-8</v>
      </c>
      <c r="P121" s="56">
        <f t="shared" si="49"/>
        <v>3.1758300620071015E-5</v>
      </c>
      <c r="Q121" s="56">
        <f t="shared" si="50"/>
        <v>5.084554166407217E-4</v>
      </c>
      <c r="R121" s="9">
        <f>F121*$C$14</f>
        <v>1.4999999999999999E-4</v>
      </c>
      <c r="S121" s="9">
        <f t="shared" si="62"/>
        <v>1.6508593343411201E-6</v>
      </c>
      <c r="T121" s="9">
        <f t="shared" si="63"/>
        <v>1.4951305510382495E-6</v>
      </c>
      <c r="U121" s="9">
        <f t="shared" si="64"/>
        <v>1.4834914066565888E-4</v>
      </c>
      <c r="V121" s="102">
        <f t="shared" si="65"/>
        <v>1.0078457780944567E-2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2.1404001457997324</v>
      </c>
      <c r="K124" s="55">
        <f t="shared" si="68"/>
        <v>0.2052967073242449</v>
      </c>
      <c r="L124" s="55">
        <f t="shared" si="69"/>
        <v>9.8843862187458151E-3</v>
      </c>
      <c r="M124" s="55">
        <f t="shared" si="52"/>
        <v>0.99011561378125423</v>
      </c>
      <c r="N124" s="55">
        <f t="shared" si="70"/>
        <v>5.1507121207555982E-3</v>
      </c>
      <c r="O124" s="56">
        <f t="shared" si="53"/>
        <v>2.0643722165763714E-7</v>
      </c>
      <c r="P124" s="56">
        <f t="shared" si="71"/>
        <v>2.8522536940293225E-5</v>
      </c>
      <c r="Q124" s="56">
        <f t="shared" si="72"/>
        <v>5.8515646210146796E-4</v>
      </c>
      <c r="R124" s="9">
        <f>F124*$C$14</f>
        <v>1.4999999999999999E-4</v>
      </c>
      <c r="S124" s="9">
        <f t="shared" ref="S124:S127" si="73">$R124*L124</f>
        <v>1.4826579328118721E-6</v>
      </c>
      <c r="T124" s="9">
        <f t="shared" ref="T124:T127" si="74">R124*K124</f>
        <v>3.079450609863673E-5</v>
      </c>
      <c r="U124" s="9">
        <f t="shared" ref="U124:U127" si="75">$R124*M124</f>
        <v>1.4851734206718813E-4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1.5667194506995812</v>
      </c>
      <c r="K126" s="55">
        <f t="shared" si="68"/>
        <v>0.44908191591141444</v>
      </c>
      <c r="L126" s="55">
        <f t="shared" si="69"/>
        <v>5.7704886915931636E-3</v>
      </c>
      <c r="M126" s="55">
        <f t="shared" si="52"/>
        <v>0.99422951130840687</v>
      </c>
      <c r="N126" s="55">
        <f t="shared" si="70"/>
        <v>1.7273520518255668E-3</v>
      </c>
      <c r="O126" s="56">
        <f t="shared" si="53"/>
        <v>4.5157676528644753E-7</v>
      </c>
      <c r="P126" s="56">
        <f t="shared" si="71"/>
        <v>1.6651410945210339E-5</v>
      </c>
      <c r="Q126" s="56">
        <f t="shared" si="72"/>
        <v>1.9623912029113408E-4</v>
      </c>
      <c r="R126" s="9">
        <f>F126*$C$14</f>
        <v>1.4999999999999999E-4</v>
      </c>
      <c r="S126" s="9">
        <f t="shared" si="73"/>
        <v>8.6557330373897447E-7</v>
      </c>
      <c r="T126" s="9">
        <f t="shared" si="74"/>
        <v>6.7362287386712162E-5</v>
      </c>
      <c r="U126" s="9">
        <f t="shared" si="75"/>
        <v>1.4913442669626102E-4</v>
      </c>
      <c r="V126" s="102">
        <f t="shared" si="76"/>
        <v>0.45168837859220479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1.4181008827978875E-2</v>
      </c>
      <c r="K127" s="55">
        <f t="shared" si="68"/>
        <v>0.99321552204091024</v>
      </c>
      <c r="L127" s="55">
        <f t="shared" si="69"/>
        <v>3.5759553190653682E-4</v>
      </c>
      <c r="M127" s="55">
        <f t="shared" si="52"/>
        <v>0.99964240446809349</v>
      </c>
      <c r="N127" s="55">
        <f t="shared" si="70"/>
        <v>1.044729339970075E-5</v>
      </c>
      <c r="O127" s="56">
        <f t="shared" si="53"/>
        <v>9.9873327512034111E-7</v>
      </c>
      <c r="P127" s="56">
        <f t="shared" si="71"/>
        <v>1.0318831683392248E-6</v>
      </c>
      <c r="Q127" s="56">
        <f t="shared" si="72"/>
        <v>1.186884667786112E-6</v>
      </c>
      <c r="R127" s="9">
        <f>F127*$C$14</f>
        <v>1.4999999999999999E-4</v>
      </c>
      <c r="S127" s="9">
        <f t="shared" si="73"/>
        <v>5.3639329785980517E-8</v>
      </c>
      <c r="T127" s="9">
        <f t="shared" si="74"/>
        <v>1.4898232830613651E-4</v>
      </c>
      <c r="U127" s="9">
        <f t="shared" si="75"/>
        <v>1.4994636067021402E-4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0.35181253681606744</v>
      </c>
      <c r="K130" s="55">
        <f t="shared" si="79"/>
        <v>0.94794691652659002</v>
      </c>
      <c r="L130" s="55">
        <f t="shared" si="80"/>
        <v>7.4261570891621356E-4</v>
      </c>
      <c r="M130" s="55">
        <f t="shared" si="81"/>
        <v>0.99925738429108379</v>
      </c>
      <c r="N130" s="55">
        <f t="shared" si="82"/>
        <v>5.0656748652429368E-5</v>
      </c>
      <c r="O130" s="56">
        <f t="shared" si="83"/>
        <v>9.5321318240919865E-7</v>
      </c>
      <c r="P130" s="56">
        <f t="shared" si="84"/>
        <v>2.1429033145056861E-6</v>
      </c>
      <c r="Q130" s="56">
        <f t="shared" si="85"/>
        <v>5.7549564270096388E-6</v>
      </c>
      <c r="R130" s="9">
        <f>F130*$C$14</f>
        <v>1.4999999999999999E-4</v>
      </c>
      <c r="S130" s="9">
        <f t="shared" ref="S130:S131" si="86">$R130*L130</f>
        <v>1.1139235633743203E-7</v>
      </c>
      <c r="T130" s="9">
        <f t="shared" ref="T130:T131" si="87">R130*K130</f>
        <v>1.421920374789885E-4</v>
      </c>
      <c r="U130" s="9">
        <f t="shared" ref="U130:U131" si="88">$R130*M130</f>
        <v>1.4988860764366256E-4</v>
      </c>
      <c r="V130" s="102">
        <f t="shared" ref="V130:V131" si="89">K130/M130</f>
        <v>0.94865139995848458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-1.7348312570192835E-2</v>
      </c>
      <c r="K131" s="55">
        <f t="shared" si="79"/>
        <v>0.99582508748517362</v>
      </c>
      <c r="L131" s="55">
        <f t="shared" si="80"/>
        <v>3.3342819954934729E-4</v>
      </c>
      <c r="M131" s="55">
        <f t="shared" si="81"/>
        <v>0.9996665718004506</v>
      </c>
      <c r="N131" s="55">
        <f t="shared" si="82"/>
        <v>5.0295526239384158E-6</v>
      </c>
      <c r="O131" s="56">
        <f t="shared" si="83"/>
        <v>1.0013573378589443E-6</v>
      </c>
      <c r="P131" s="56">
        <f t="shared" si="84"/>
        <v>9.6214554228420486E-7</v>
      </c>
      <c r="Q131" s="56">
        <f t="shared" si="85"/>
        <v>5.7139190666808529E-7</v>
      </c>
      <c r="R131" s="9">
        <f>F131*$C$14</f>
        <v>1.4999999999999999E-4</v>
      </c>
      <c r="S131" s="9">
        <f t="shared" si="86"/>
        <v>5.0014229932402087E-8</v>
      </c>
      <c r="T131" s="9">
        <f t="shared" si="87"/>
        <v>1.4937376312277602E-4</v>
      </c>
      <c r="U131" s="9">
        <f t="shared" si="88"/>
        <v>1.4994998577006757E-4</v>
      </c>
      <c r="V131" s="102">
        <f t="shared" si="89"/>
        <v>0.99615723439830717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2024-10-28T22:41:16Z</dcterms:modified>
</cp:coreProperties>
</file>