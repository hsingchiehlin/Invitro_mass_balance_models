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3BB9915F-EBA7-453A-831A-AFE673804158}" xr6:coauthVersionLast="47" xr6:coauthVersionMax="47" xr10:uidLastSave="{00000000-0000-0000-0000-000000000000}"/>
  <bookViews>
    <workbookView xWindow="43080" yWindow="-120" windowWidth="29040" windowHeight="15720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3" i="4" l="1"/>
  <c r="R142" i="4"/>
  <c r="R141" i="4"/>
  <c r="R140" i="4"/>
  <c r="R139" i="4"/>
  <c r="T138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I135" i="4"/>
  <c r="N135" i="4" s="1"/>
  <c r="Q135" i="4" s="1"/>
  <c r="J135" i="4"/>
  <c r="K135" i="4" s="1"/>
  <c r="L135" i="4"/>
  <c r="M135" i="4" s="1"/>
  <c r="I136" i="4"/>
  <c r="J136" i="4"/>
  <c r="K136" i="4"/>
  <c r="O136" i="4" s="1"/>
  <c r="P136" i="4" s="1"/>
  <c r="I137" i="4"/>
  <c r="L137" i="4" s="1"/>
  <c r="J137" i="4"/>
  <c r="K137" i="4"/>
  <c r="O137" i="4" s="1"/>
  <c r="P137" i="4" s="1"/>
  <c r="N137" i="4"/>
  <c r="Q137" i="4" s="1"/>
  <c r="I138" i="4"/>
  <c r="J138" i="4"/>
  <c r="K138" i="4" s="1"/>
  <c r="O138" i="4" s="1"/>
  <c r="P138" i="4" s="1"/>
  <c r="I139" i="4"/>
  <c r="J139" i="4"/>
  <c r="K139" i="4" s="1"/>
  <c r="O139" i="4" s="1"/>
  <c r="P139" i="4" s="1"/>
  <c r="L139" i="4"/>
  <c r="N139" i="4"/>
  <c r="Q139" i="4" s="1"/>
  <c r="I140" i="4"/>
  <c r="J140" i="4"/>
  <c r="K140" i="4" s="1"/>
  <c r="I141" i="4"/>
  <c r="L141" i="4" s="1"/>
  <c r="M141" i="4" s="1"/>
  <c r="U141" i="4" s="1"/>
  <c r="J141" i="4"/>
  <c r="K141" i="4" s="1"/>
  <c r="N141" i="4"/>
  <c r="Q141" i="4" s="1"/>
  <c r="I142" i="4"/>
  <c r="J142" i="4"/>
  <c r="K142" i="4" s="1"/>
  <c r="N142" i="4"/>
  <c r="Q142" i="4"/>
  <c r="I143" i="4"/>
  <c r="N143" i="4" s="1"/>
  <c r="Q143" i="4" s="1"/>
  <c r="J143" i="4"/>
  <c r="K143" i="4" s="1"/>
  <c r="O143" i="4" s="1"/>
  <c r="P143" i="4" s="1"/>
  <c r="S137" i="4" l="1"/>
  <c r="M137" i="4"/>
  <c r="U137" i="4" s="1"/>
  <c r="O140" i="4"/>
  <c r="P140" i="4" s="1"/>
  <c r="M139" i="4"/>
  <c r="U139" i="4" s="1"/>
  <c r="S139" i="4"/>
  <c r="T139" i="4"/>
  <c r="O142" i="4"/>
  <c r="P142" i="4" s="1"/>
  <c r="O135" i="4"/>
  <c r="P135" i="4" s="1"/>
  <c r="V135" i="4"/>
  <c r="L138" i="4"/>
  <c r="M138" i="4" s="1"/>
  <c r="U138" i="4" s="1"/>
  <c r="N138" i="4"/>
  <c r="Q138" i="4" s="1"/>
  <c r="U140" i="4"/>
  <c r="O141" i="4"/>
  <c r="P141" i="4" s="1"/>
  <c r="V141" i="4"/>
  <c r="T141" i="4"/>
  <c r="T137" i="4"/>
  <c r="L142" i="4"/>
  <c r="M142" i="4" s="1"/>
  <c r="V142" i="4" s="1"/>
  <c r="L143" i="4"/>
  <c r="L140" i="4"/>
  <c r="M140" i="4" s="1"/>
  <c r="V140" i="4" s="1"/>
  <c r="V137" i="4"/>
  <c r="S138" i="4"/>
  <c r="T143" i="4"/>
  <c r="L136" i="4"/>
  <c r="V138" i="4"/>
  <c r="T135" i="4"/>
  <c r="S135" i="4"/>
  <c r="U135" i="4"/>
  <c r="T142" i="4"/>
  <c r="S140" i="4"/>
  <c r="T140" i="4"/>
  <c r="T136" i="4"/>
  <c r="S141" i="4"/>
  <c r="N140" i="4"/>
  <c r="Q140" i="4" s="1"/>
  <c r="N136" i="4"/>
  <c r="Q136" i="4" s="1"/>
  <c r="S142" i="4" l="1"/>
  <c r="U142" i="4"/>
  <c r="M143" i="4"/>
  <c r="S143" i="4"/>
  <c r="V139" i="4"/>
  <c r="M136" i="4"/>
  <c r="S136" i="4"/>
  <c r="U136" i="4" l="1"/>
  <c r="V136" i="4"/>
  <c r="V143" i="4"/>
  <c r="U143" i="4"/>
  <c r="I128" i="4" l="1"/>
  <c r="J128" i="4"/>
  <c r="K128" i="4" s="1"/>
  <c r="N128" i="4"/>
  <c r="Q128" i="4"/>
  <c r="I129" i="4"/>
  <c r="J129" i="4"/>
  <c r="K129" i="4" s="1"/>
  <c r="L129" i="4"/>
  <c r="S129" i="4" s="1"/>
  <c r="N129" i="4"/>
  <c r="Q129" i="4"/>
  <c r="I130" i="4"/>
  <c r="J130" i="4"/>
  <c r="K130" i="4"/>
  <c r="I131" i="4"/>
  <c r="N131" i="4" s="1"/>
  <c r="Q131" i="4" s="1"/>
  <c r="J131" i="4"/>
  <c r="K131" i="4" s="1"/>
  <c r="L131" i="4"/>
  <c r="S131" i="4" s="1"/>
  <c r="I132" i="4"/>
  <c r="J132" i="4"/>
  <c r="K132" i="4"/>
  <c r="I133" i="4"/>
  <c r="J133" i="4"/>
  <c r="K133" i="4"/>
  <c r="L133" i="4"/>
  <c r="S133" i="4" s="1"/>
  <c r="N133" i="4"/>
  <c r="Q133" i="4" s="1"/>
  <c r="I134" i="4"/>
  <c r="J134" i="4"/>
  <c r="L134" i="4" s="1"/>
  <c r="K134" i="4"/>
  <c r="N134" i="4"/>
  <c r="O134" i="4"/>
  <c r="P134" i="4"/>
  <c r="Q134" i="4"/>
  <c r="S134" i="4" l="1"/>
  <c r="M134" i="4"/>
  <c r="U134" i="4" s="1"/>
  <c r="T128" i="4"/>
  <c r="O128" i="4"/>
  <c r="P128" i="4" s="1"/>
  <c r="M133" i="4"/>
  <c r="U133" i="4" s="1"/>
  <c r="L130" i="4"/>
  <c r="L128" i="4"/>
  <c r="L132" i="4"/>
  <c r="M129" i="4"/>
  <c r="U129" i="4" s="1"/>
  <c r="O131" i="4"/>
  <c r="P131" i="4" s="1"/>
  <c r="V131" i="4"/>
  <c r="T131" i="4"/>
  <c r="O133" i="4"/>
  <c r="P133" i="4" s="1"/>
  <c r="V133" i="4"/>
  <c r="T133" i="4"/>
  <c r="O129" i="4"/>
  <c r="P129" i="4" s="1"/>
  <c r="T129" i="4"/>
  <c r="O130" i="4"/>
  <c r="P130" i="4" s="1"/>
  <c r="T130" i="4"/>
  <c r="O132" i="4"/>
  <c r="P132" i="4" s="1"/>
  <c r="T132" i="4"/>
  <c r="V134" i="4"/>
  <c r="T134" i="4"/>
  <c r="M131" i="4"/>
  <c r="U131" i="4" s="1"/>
  <c r="N132" i="4"/>
  <c r="Q132" i="4" s="1"/>
  <c r="N130" i="4"/>
  <c r="Q130" i="4" s="1"/>
  <c r="M132" i="4" l="1"/>
  <c r="S132" i="4"/>
  <c r="S128" i="4"/>
  <c r="M128" i="4"/>
  <c r="M130" i="4"/>
  <c r="S130" i="4"/>
  <c r="V129" i="4"/>
  <c r="O15" i="1"/>
  <c r="L15" i="1"/>
  <c r="N15" i="1"/>
  <c r="J16" i="4"/>
  <c r="J15" i="4"/>
  <c r="J87" i="4"/>
  <c r="K87" i="4"/>
  <c r="J122" i="4"/>
  <c r="K122" i="4" s="1"/>
  <c r="J117" i="4"/>
  <c r="K117" i="4"/>
  <c r="O117" i="4" s="1"/>
  <c r="P117" i="4" s="1"/>
  <c r="J120" i="4"/>
  <c r="K120" i="4"/>
  <c r="J101" i="4"/>
  <c r="K101" i="4" s="1"/>
  <c r="J86" i="4"/>
  <c r="K86" i="4" s="1"/>
  <c r="J85" i="4"/>
  <c r="K85" i="4" s="1"/>
  <c r="J88" i="4"/>
  <c r="K88" i="4" s="1"/>
  <c r="J119" i="4"/>
  <c r="K119" i="4" s="1"/>
  <c r="J72" i="4"/>
  <c r="K72" i="4"/>
  <c r="J103" i="4"/>
  <c r="K103" i="4"/>
  <c r="J118" i="4"/>
  <c r="K118" i="4"/>
  <c r="J104" i="4"/>
  <c r="K104" i="4" s="1"/>
  <c r="J90" i="4"/>
  <c r="K90" i="4" s="1"/>
  <c r="J71" i="4"/>
  <c r="K71" i="4" s="1"/>
  <c r="J110" i="4"/>
  <c r="K110" i="4" s="1"/>
  <c r="J82" i="4"/>
  <c r="K82" i="4"/>
  <c r="J113" i="4"/>
  <c r="K113" i="4"/>
  <c r="J97" i="4"/>
  <c r="K97" i="4"/>
  <c r="J81" i="4"/>
  <c r="K81" i="4" s="1"/>
  <c r="J116" i="4"/>
  <c r="K116" i="4" s="1"/>
  <c r="J100" i="4"/>
  <c r="K100" i="4"/>
  <c r="O100" i="4" s="1"/>
  <c r="P100" i="4" s="1"/>
  <c r="J84" i="4"/>
  <c r="K84" i="4" s="1"/>
  <c r="J114" i="4"/>
  <c r="K114" i="4"/>
  <c r="J78" i="4"/>
  <c r="K78" i="4" s="1"/>
  <c r="J115" i="4"/>
  <c r="K115" i="4"/>
  <c r="O115" i="4"/>
  <c r="P115" i="4" s="1"/>
  <c r="J99" i="4"/>
  <c r="L99" i="4" s="1"/>
  <c r="K99" i="4"/>
  <c r="J83" i="4"/>
  <c r="K83" i="4"/>
  <c r="J102" i="4"/>
  <c r="K102" i="4" s="1"/>
  <c r="J74" i="4"/>
  <c r="K74" i="4"/>
  <c r="J125" i="4"/>
  <c r="K125" i="4"/>
  <c r="J109" i="4"/>
  <c r="L109" i="4" s="1"/>
  <c r="K109" i="4"/>
  <c r="J93" i="4"/>
  <c r="K93" i="4" s="1"/>
  <c r="J77" i="4"/>
  <c r="K77" i="4" s="1"/>
  <c r="J112" i="4"/>
  <c r="K112" i="4" s="1"/>
  <c r="J96" i="4"/>
  <c r="K96" i="4"/>
  <c r="J80" i="4"/>
  <c r="K80" i="4" s="1"/>
  <c r="J106" i="4"/>
  <c r="K106" i="4"/>
  <c r="J127" i="4"/>
  <c r="K127" i="4" s="1"/>
  <c r="J111" i="4"/>
  <c r="K111" i="4"/>
  <c r="J95" i="4"/>
  <c r="K95" i="4" s="1"/>
  <c r="J79" i="4"/>
  <c r="K79" i="4"/>
  <c r="J126" i="4"/>
  <c r="K126" i="4" s="1"/>
  <c r="J94" i="4"/>
  <c r="K94" i="4" s="1"/>
  <c r="J121" i="4"/>
  <c r="K121" i="4"/>
  <c r="J105" i="4"/>
  <c r="K105" i="4"/>
  <c r="J89" i="4"/>
  <c r="K89" i="4" s="1"/>
  <c r="J73" i="4"/>
  <c r="K73" i="4"/>
  <c r="J124" i="4"/>
  <c r="K124" i="4"/>
  <c r="J108" i="4"/>
  <c r="K108" i="4" s="1"/>
  <c r="J92" i="4"/>
  <c r="K92" i="4" s="1"/>
  <c r="J76" i="4"/>
  <c r="K76" i="4"/>
  <c r="J98" i="4"/>
  <c r="K98" i="4"/>
  <c r="J123" i="4"/>
  <c r="K123" i="4"/>
  <c r="J107" i="4"/>
  <c r="K107" i="4"/>
  <c r="J91" i="4"/>
  <c r="K91" i="4" s="1"/>
  <c r="J75" i="4"/>
  <c r="K75" i="4"/>
  <c r="O98" i="4"/>
  <c r="P98" i="4"/>
  <c r="O106" i="4"/>
  <c r="P106" i="4"/>
  <c r="O109" i="4"/>
  <c r="P109" i="4"/>
  <c r="O114" i="4"/>
  <c r="P114" i="4" s="1"/>
  <c r="O123" i="4"/>
  <c r="P123" i="4" s="1"/>
  <c r="O87" i="4"/>
  <c r="P87" i="4" s="1"/>
  <c r="I76" i="4"/>
  <c r="N76" i="4" s="1"/>
  <c r="Q76" i="4" s="1"/>
  <c r="I77" i="4"/>
  <c r="N77" i="4" s="1"/>
  <c r="Q77" i="4" s="1"/>
  <c r="I81" i="4"/>
  <c r="N81" i="4" s="1"/>
  <c r="Q81" i="4" s="1"/>
  <c r="I89" i="4"/>
  <c r="N89" i="4" s="1"/>
  <c r="Q89" i="4" s="1"/>
  <c r="I90" i="4"/>
  <c r="I96" i="4"/>
  <c r="I99" i="4"/>
  <c r="I102" i="4"/>
  <c r="I104" i="4"/>
  <c r="L104" i="4" s="1"/>
  <c r="I108" i="4"/>
  <c r="N108" i="4" s="1"/>
  <c r="Q108" i="4" s="1"/>
  <c r="I111" i="4"/>
  <c r="I113" i="4"/>
  <c r="I115" i="4"/>
  <c r="L115" i="4" s="1"/>
  <c r="S115" i="4" s="1"/>
  <c r="I119" i="4"/>
  <c r="N119" i="4" s="1"/>
  <c r="Q119" i="4" s="1"/>
  <c r="I120" i="4"/>
  <c r="N120" i="4" s="1"/>
  <c r="Q120" i="4" s="1"/>
  <c r="I123" i="4"/>
  <c r="I125" i="4"/>
  <c r="L125" i="4" s="1"/>
  <c r="I79" i="4"/>
  <c r="I92" i="4"/>
  <c r="N92" i="4" s="1"/>
  <c r="Q92" i="4" s="1"/>
  <c r="I100" i="4"/>
  <c r="L100" i="4" s="1"/>
  <c r="M100" i="4" s="1"/>
  <c r="I103" i="4"/>
  <c r="N103" i="4" s="1"/>
  <c r="Q103" i="4" s="1"/>
  <c r="I107" i="4"/>
  <c r="N107" i="4" s="1"/>
  <c r="Q107" i="4" s="1"/>
  <c r="I109" i="4"/>
  <c r="N109" i="4" s="1"/>
  <c r="Q109" i="4" s="1"/>
  <c r="I110" i="4"/>
  <c r="N110" i="4" s="1"/>
  <c r="Q110" i="4" s="1"/>
  <c r="I117" i="4"/>
  <c r="N117" i="4" s="1"/>
  <c r="Q117" i="4" s="1"/>
  <c r="I124" i="4"/>
  <c r="I72" i="4"/>
  <c r="N72" i="4" s="1"/>
  <c r="Q72" i="4" s="1"/>
  <c r="I106" i="4"/>
  <c r="L106" i="4" s="1"/>
  <c r="I71" i="4"/>
  <c r="L71" i="4" s="1"/>
  <c r="S71" i="4" s="1"/>
  <c r="I75" i="4"/>
  <c r="N75" i="4" s="1"/>
  <c r="Q75" i="4" s="1"/>
  <c r="I80" i="4"/>
  <c r="N80" i="4" s="1"/>
  <c r="Q80" i="4" s="1"/>
  <c r="I83" i="4"/>
  <c r="N83" i="4" s="1"/>
  <c r="Q83" i="4" s="1"/>
  <c r="I86" i="4"/>
  <c r="I88" i="4"/>
  <c r="N88" i="4" s="1"/>
  <c r="Q88" i="4" s="1"/>
  <c r="I94" i="4"/>
  <c r="L94" i="4" s="1"/>
  <c r="S94" i="4" s="1"/>
  <c r="I95" i="4"/>
  <c r="I98" i="4"/>
  <c r="N98" i="4" s="1"/>
  <c r="Q98" i="4" s="1"/>
  <c r="I101" i="4"/>
  <c r="N101" i="4" s="1"/>
  <c r="Q101" i="4" s="1"/>
  <c r="I118" i="4"/>
  <c r="I127" i="4"/>
  <c r="I73" i="4"/>
  <c r="N73" i="4" s="1"/>
  <c r="Q73" i="4" s="1"/>
  <c r="I74" i="4"/>
  <c r="N74" i="4" s="1"/>
  <c r="Q74" i="4" s="1"/>
  <c r="I78" i="4"/>
  <c r="I82" i="4"/>
  <c r="N82" i="4" s="1"/>
  <c r="Q82" i="4" s="1"/>
  <c r="I85" i="4"/>
  <c r="I93" i="4"/>
  <c r="N93" i="4" s="1"/>
  <c r="Q93" i="4" s="1"/>
  <c r="I112" i="4"/>
  <c r="I114" i="4"/>
  <c r="N114" i="4" s="1"/>
  <c r="Q114" i="4" s="1"/>
  <c r="I121" i="4"/>
  <c r="L121" i="4" s="1"/>
  <c r="S121" i="4" s="1"/>
  <c r="I122" i="4"/>
  <c r="I84" i="4"/>
  <c r="N84" i="4" s="1"/>
  <c r="Q84" i="4" s="1"/>
  <c r="I87" i="4"/>
  <c r="L87" i="4" s="1"/>
  <c r="S87" i="4" s="1"/>
  <c r="I91" i="4"/>
  <c r="I97" i="4"/>
  <c r="I105" i="4"/>
  <c r="I116" i="4"/>
  <c r="N116" i="4" s="1"/>
  <c r="Q116" i="4" s="1"/>
  <c r="I126" i="4"/>
  <c r="N105" i="4"/>
  <c r="Q105" i="4" s="1"/>
  <c r="L73" i="4"/>
  <c r="S73" i="4" s="1"/>
  <c r="N106" i="4"/>
  <c r="Q106" i="4"/>
  <c r="N79" i="4"/>
  <c r="Q79" i="4"/>
  <c r="L79" i="4"/>
  <c r="S79" i="4" s="1"/>
  <c r="L96" i="4"/>
  <c r="S96" i="4" s="1"/>
  <c r="N96" i="4"/>
  <c r="Q96" i="4" s="1"/>
  <c r="N71" i="4"/>
  <c r="Q71" i="4"/>
  <c r="N125" i="4"/>
  <c r="Q125" i="4"/>
  <c r="N91" i="4"/>
  <c r="Q91" i="4" s="1"/>
  <c r="N127" i="4"/>
  <c r="Q127" i="4" s="1"/>
  <c r="N95" i="4"/>
  <c r="Q95" i="4" s="1"/>
  <c r="N123" i="4"/>
  <c r="Q123" i="4"/>
  <c r="N113" i="4"/>
  <c r="Q113" i="4"/>
  <c r="L113" i="4"/>
  <c r="L102" i="4"/>
  <c r="S102" i="4" s="1"/>
  <c r="N102" i="4"/>
  <c r="Q102" i="4" s="1"/>
  <c r="L74" i="4"/>
  <c r="S74" i="4" s="1"/>
  <c r="N118" i="4"/>
  <c r="Q118" i="4" s="1"/>
  <c r="N111" i="4"/>
  <c r="Q111" i="4" s="1"/>
  <c r="N99" i="4"/>
  <c r="Q99" i="4" s="1"/>
  <c r="M104" i="4" l="1"/>
  <c r="U104" i="4" s="1"/>
  <c r="S104" i="4"/>
  <c r="O71" i="4"/>
  <c r="P71" i="4" s="1"/>
  <c r="T71" i="4"/>
  <c r="O101" i="4"/>
  <c r="P101" i="4" s="1"/>
  <c r="T101" i="4"/>
  <c r="O104" i="4"/>
  <c r="P104" i="4" s="1"/>
  <c r="V104" i="4"/>
  <c r="T104" i="4"/>
  <c r="S125" i="4"/>
  <c r="M125" i="4"/>
  <c r="U125" i="4" s="1"/>
  <c r="S106" i="4"/>
  <c r="M106" i="4"/>
  <c r="U106" i="4" s="1"/>
  <c r="T92" i="4"/>
  <c r="O111" i="4"/>
  <c r="P111" i="4" s="1"/>
  <c r="T111" i="4"/>
  <c r="L91" i="4"/>
  <c r="S91" i="4" s="1"/>
  <c r="T123" i="4"/>
  <c r="O125" i="4"/>
  <c r="P125" i="4" s="1"/>
  <c r="T125" i="4"/>
  <c r="V125" i="4"/>
  <c r="O122" i="4"/>
  <c r="P122" i="4" s="1"/>
  <c r="T122" i="4"/>
  <c r="L92" i="4"/>
  <c r="S92" i="4" s="1"/>
  <c r="T89" i="4"/>
  <c r="T127" i="4"/>
  <c r="T114" i="4"/>
  <c r="T87" i="4"/>
  <c r="L103" i="4"/>
  <c r="L118" i="4"/>
  <c r="T98" i="4"/>
  <c r="O105" i="4"/>
  <c r="P105" i="4" s="1"/>
  <c r="T105" i="4"/>
  <c r="T106" i="4"/>
  <c r="V106" i="4"/>
  <c r="V74" i="4"/>
  <c r="T74" i="4"/>
  <c r="O110" i="4"/>
  <c r="P110" i="4" s="1"/>
  <c r="T110" i="4"/>
  <c r="T119" i="4"/>
  <c r="U130" i="4"/>
  <c r="V130" i="4"/>
  <c r="T75" i="4"/>
  <c r="T126" i="4"/>
  <c r="O99" i="4"/>
  <c r="P99" i="4" s="1"/>
  <c r="T99" i="4"/>
  <c r="L126" i="4"/>
  <c r="S126" i="4" s="1"/>
  <c r="T79" i="4"/>
  <c r="T120" i="4"/>
  <c r="M113" i="4"/>
  <c r="U113" i="4" s="1"/>
  <c r="S113" i="4"/>
  <c r="N104" i="4"/>
  <c r="Q104" i="4" s="1"/>
  <c r="T124" i="4"/>
  <c r="T93" i="4"/>
  <c r="T95" i="4"/>
  <c r="T109" i="4"/>
  <c r="T115" i="4"/>
  <c r="O113" i="4"/>
  <c r="P113" i="4" s="1"/>
  <c r="V113" i="4"/>
  <c r="T113" i="4"/>
  <c r="O103" i="4"/>
  <c r="P103" i="4" s="1"/>
  <c r="T103" i="4"/>
  <c r="T117" i="4"/>
  <c r="T73" i="4"/>
  <c r="M109" i="4"/>
  <c r="U109" i="4" s="1"/>
  <c r="S109" i="4"/>
  <c r="T78" i="4"/>
  <c r="T82" i="4"/>
  <c r="T72" i="4"/>
  <c r="L123" i="4"/>
  <c r="N100" i="4"/>
  <c r="Q100" i="4" s="1"/>
  <c r="L75" i="4"/>
  <c r="S75" i="4" s="1"/>
  <c r="L122" i="4"/>
  <c r="L124" i="4"/>
  <c r="S124" i="4" s="1"/>
  <c r="L105" i="4"/>
  <c r="T84" i="4"/>
  <c r="T88" i="4"/>
  <c r="U128" i="4"/>
  <c r="V128" i="4"/>
  <c r="T81" i="4"/>
  <c r="T108" i="4"/>
  <c r="M99" i="4"/>
  <c r="U99" i="4" s="1"/>
  <c r="S99" i="4"/>
  <c r="V96" i="4"/>
  <c r="T96" i="4"/>
  <c r="T83" i="4"/>
  <c r="O112" i="4"/>
  <c r="P112" i="4" s="1"/>
  <c r="T112" i="4"/>
  <c r="T77" i="4"/>
  <c r="O118" i="4"/>
  <c r="P118" i="4" s="1"/>
  <c r="T118" i="4"/>
  <c r="M102" i="4"/>
  <c r="U102" i="4" s="1"/>
  <c r="T91" i="4"/>
  <c r="O120" i="4"/>
  <c r="P120" i="4" s="1"/>
  <c r="T76" i="4"/>
  <c r="T121" i="4"/>
  <c r="T80" i="4"/>
  <c r="O102" i="4"/>
  <c r="P102" i="4" s="1"/>
  <c r="T102" i="4"/>
  <c r="V102" i="4"/>
  <c r="T85" i="4"/>
  <c r="N121" i="4"/>
  <c r="Q121" i="4" s="1"/>
  <c r="T90" i="4"/>
  <c r="T86" i="4"/>
  <c r="N87" i="4"/>
  <c r="Q87" i="4" s="1"/>
  <c r="L112" i="4"/>
  <c r="L111" i="4"/>
  <c r="O72" i="4"/>
  <c r="P72" i="4" s="1"/>
  <c r="T94" i="4"/>
  <c r="T116" i="4"/>
  <c r="U132" i="4"/>
  <c r="V132" i="4"/>
  <c r="O119" i="4"/>
  <c r="P119" i="4" s="1"/>
  <c r="O126" i="4"/>
  <c r="P126" i="4" s="1"/>
  <c r="O108" i="4"/>
  <c r="P108" i="4" s="1"/>
  <c r="O91" i="4"/>
  <c r="P91" i="4" s="1"/>
  <c r="L95" i="4"/>
  <c r="M71" i="4"/>
  <c r="U71" i="4" s="1"/>
  <c r="M121" i="4"/>
  <c r="U121" i="4" s="1"/>
  <c r="M115" i="4"/>
  <c r="U115" i="4" s="1"/>
  <c r="L98" i="4"/>
  <c r="N122" i="4"/>
  <c r="Q122" i="4" s="1"/>
  <c r="O121" i="4"/>
  <c r="P121" i="4" s="1"/>
  <c r="N112" i="4"/>
  <c r="Q112" i="4" s="1"/>
  <c r="O75" i="4"/>
  <c r="P75" i="4" s="1"/>
  <c r="O92" i="4"/>
  <c r="P92" i="4" s="1"/>
  <c r="N94" i="4"/>
  <c r="Q94" i="4" s="1"/>
  <c r="L117" i="4"/>
  <c r="L114" i="4"/>
  <c r="S114" i="4" s="1"/>
  <c r="L78" i="4"/>
  <c r="S78" i="4" s="1"/>
  <c r="M126" i="4"/>
  <c r="U126" i="4" s="1"/>
  <c r="L89" i="4"/>
  <c r="S89" i="4" s="1"/>
  <c r="L110" i="4"/>
  <c r="L101" i="4"/>
  <c r="L97" i="4"/>
  <c r="L120" i="4"/>
  <c r="S120" i="4" s="1"/>
  <c r="O107" i="4"/>
  <c r="P107" i="4" s="1"/>
  <c r="O124" i="4"/>
  <c r="P124" i="4" s="1"/>
  <c r="L72" i="4"/>
  <c r="S72" i="4" s="1"/>
  <c r="O116" i="4"/>
  <c r="P116" i="4" s="1"/>
  <c r="O127" i="4"/>
  <c r="P127" i="4" s="1"/>
  <c r="L90" i="4"/>
  <c r="S90" i="4" s="1"/>
  <c r="L119" i="4"/>
  <c r="S119" i="4" s="1"/>
  <c r="O85" i="4"/>
  <c r="P85" i="4" s="1"/>
  <c r="O93" i="4"/>
  <c r="P93" i="4" s="1"/>
  <c r="O76" i="4"/>
  <c r="P76" i="4" s="1"/>
  <c r="L81" i="4"/>
  <c r="S81" i="4" s="1"/>
  <c r="O94" i="4"/>
  <c r="P94" i="4" s="1"/>
  <c r="O78" i="4"/>
  <c r="P78" i="4" s="1"/>
  <c r="N115" i="4"/>
  <c r="Q115" i="4" s="1"/>
  <c r="L86" i="4"/>
  <c r="S86" i="4" s="1"/>
  <c r="O82" i="4"/>
  <c r="P82" i="4" s="1"/>
  <c r="L107" i="4"/>
  <c r="O84" i="4"/>
  <c r="P84" i="4" s="1"/>
  <c r="L116" i="4"/>
  <c r="S116" i="4" s="1"/>
  <c r="O74" i="4"/>
  <c r="P74" i="4" s="1"/>
  <c r="N126" i="4"/>
  <c r="Q126" i="4" s="1"/>
  <c r="N86" i="4"/>
  <c r="Q86" i="4" s="1"/>
  <c r="M96" i="4"/>
  <c r="U96" i="4" s="1"/>
  <c r="M97" i="4"/>
  <c r="O95" i="4"/>
  <c r="P95" i="4" s="1"/>
  <c r="O83" i="4"/>
  <c r="P83" i="4" s="1"/>
  <c r="L108" i="4"/>
  <c r="S108" i="4" s="1"/>
  <c r="M79" i="4"/>
  <c r="U79" i="4" s="1"/>
  <c r="N78" i="4"/>
  <c r="Q78" i="4" s="1"/>
  <c r="N124" i="4"/>
  <c r="Q124" i="4" s="1"/>
  <c r="M87" i="4"/>
  <c r="U87" i="4" s="1"/>
  <c r="O89" i="4"/>
  <c r="P89" i="4" s="1"/>
  <c r="O88" i="4"/>
  <c r="P88" i="4" s="1"/>
  <c r="O81" i="4"/>
  <c r="P81" i="4" s="1"/>
  <c r="M74" i="4"/>
  <c r="U74" i="4" s="1"/>
  <c r="L76" i="4"/>
  <c r="S76" i="4" s="1"/>
  <c r="O97" i="4"/>
  <c r="P97" i="4" s="1"/>
  <c r="O86" i="4"/>
  <c r="P86" i="4" s="1"/>
  <c r="M92" i="4"/>
  <c r="U92" i="4" s="1"/>
  <c r="M75" i="4"/>
  <c r="U75" i="4" s="1"/>
  <c r="O80" i="4"/>
  <c r="P80" i="4" s="1"/>
  <c r="L77" i="4"/>
  <c r="S77" i="4" s="1"/>
  <c r="O96" i="4"/>
  <c r="P96" i="4" s="1"/>
  <c r="L85" i="4"/>
  <c r="S85" i="4" s="1"/>
  <c r="O79" i="4"/>
  <c r="P79" i="4" s="1"/>
  <c r="L82" i="4"/>
  <c r="S82" i="4" s="1"/>
  <c r="L80" i="4"/>
  <c r="S80" i="4" s="1"/>
  <c r="O73" i="4"/>
  <c r="P73" i="4" s="1"/>
  <c r="O77" i="4"/>
  <c r="P77" i="4" s="1"/>
  <c r="M94" i="4"/>
  <c r="U94" i="4" s="1"/>
  <c r="L127" i="4"/>
  <c r="S127" i="4" s="1"/>
  <c r="M73" i="4"/>
  <c r="U73" i="4" s="1"/>
  <c r="L83" i="4"/>
  <c r="S83" i="4" s="1"/>
  <c r="N90" i="4"/>
  <c r="Q90" i="4" s="1"/>
  <c r="L84" i="4"/>
  <c r="S84" i="4" s="1"/>
  <c r="O90" i="4"/>
  <c r="P90" i="4" s="1"/>
  <c r="N97" i="4"/>
  <c r="Q97" i="4" s="1"/>
  <c r="N85" i="4"/>
  <c r="Q85" i="4" s="1"/>
  <c r="L93" i="4"/>
  <c r="S93" i="4" s="1"/>
  <c r="L88" i="4"/>
  <c r="S88" i="4" s="1"/>
  <c r="J14" i="4"/>
  <c r="J13" i="4" s="1"/>
  <c r="K16" i="4" s="1"/>
  <c r="M105" i="4" l="1"/>
  <c r="S105" i="4"/>
  <c r="M111" i="4"/>
  <c r="S111" i="4"/>
  <c r="M112" i="4"/>
  <c r="S112" i="4"/>
  <c r="M91" i="4"/>
  <c r="V109" i="4"/>
  <c r="V79" i="4"/>
  <c r="M124" i="4"/>
  <c r="V121" i="4"/>
  <c r="M123" i="4"/>
  <c r="S123" i="4"/>
  <c r="M118" i="4"/>
  <c r="S118" i="4"/>
  <c r="V92" i="4"/>
  <c r="V71" i="4"/>
  <c r="M89" i="4"/>
  <c r="V126" i="4"/>
  <c r="M117" i="4"/>
  <c r="S117" i="4"/>
  <c r="V73" i="4"/>
  <c r="M78" i="4"/>
  <c r="S103" i="4"/>
  <c r="M103" i="4"/>
  <c r="V94" i="4"/>
  <c r="M95" i="4"/>
  <c r="S95" i="4"/>
  <c r="V115" i="4"/>
  <c r="M122" i="4"/>
  <c r="S122" i="4"/>
  <c r="M101" i="4"/>
  <c r="S101" i="4"/>
  <c r="V99" i="4"/>
  <c r="M90" i="4"/>
  <c r="V75" i="4"/>
  <c r="M110" i="4"/>
  <c r="S110" i="4"/>
  <c r="M98" i="4"/>
  <c r="S98" i="4"/>
  <c r="V87" i="4"/>
  <c r="M116" i="4"/>
  <c r="M127" i="4"/>
  <c r="M119" i="4"/>
  <c r="M114" i="4"/>
  <c r="M120" i="4"/>
  <c r="M72" i="4"/>
  <c r="M107" i="4"/>
  <c r="M108" i="4"/>
  <c r="M77" i="4"/>
  <c r="M93" i="4"/>
  <c r="M81" i="4"/>
  <c r="M82" i="4"/>
  <c r="M76" i="4"/>
  <c r="M85" i="4"/>
  <c r="M84" i="4"/>
  <c r="M83" i="4"/>
  <c r="M80" i="4"/>
  <c r="M86" i="4"/>
  <c r="M88" i="4"/>
  <c r="K14" i="4"/>
  <c r="K13" i="4"/>
  <c r="K15" i="4"/>
  <c r="U80" i="4" l="1"/>
  <c r="V80" i="4"/>
  <c r="U123" i="4"/>
  <c r="V123" i="4"/>
  <c r="U86" i="4"/>
  <c r="V86" i="4"/>
  <c r="U90" i="4"/>
  <c r="V90" i="4"/>
  <c r="U78" i="4"/>
  <c r="V78" i="4"/>
  <c r="U120" i="4"/>
  <c r="V120" i="4"/>
  <c r="U124" i="4"/>
  <c r="V124" i="4"/>
  <c r="U83" i="4"/>
  <c r="V83" i="4"/>
  <c r="U114" i="4"/>
  <c r="V114" i="4"/>
  <c r="U84" i="4"/>
  <c r="V84" i="4"/>
  <c r="U119" i="4"/>
  <c r="V119" i="4"/>
  <c r="U101" i="4"/>
  <c r="V101" i="4"/>
  <c r="U117" i="4"/>
  <c r="V117" i="4"/>
  <c r="U127" i="4"/>
  <c r="V127" i="4"/>
  <c r="U91" i="4"/>
  <c r="V91" i="4"/>
  <c r="U122" i="4"/>
  <c r="V122" i="4"/>
  <c r="U88" i="4"/>
  <c r="V88" i="4"/>
  <c r="U85" i="4"/>
  <c r="V85" i="4"/>
  <c r="U116" i="4"/>
  <c r="V116" i="4"/>
  <c r="U82" i="4"/>
  <c r="V82" i="4"/>
  <c r="U81" i="4"/>
  <c r="V81" i="4"/>
  <c r="U98" i="4"/>
  <c r="V98" i="4"/>
  <c r="U77" i="4"/>
  <c r="V77" i="4"/>
  <c r="U118" i="4"/>
  <c r="V118" i="4"/>
  <c r="U72" i="4"/>
  <c r="V72" i="4"/>
  <c r="U76" i="4"/>
  <c r="V76" i="4"/>
  <c r="U89" i="4"/>
  <c r="V89" i="4"/>
  <c r="U112" i="4"/>
  <c r="V112" i="4"/>
  <c r="U93" i="4"/>
  <c r="V93" i="4"/>
  <c r="U95" i="4"/>
  <c r="V95" i="4"/>
  <c r="U111" i="4"/>
  <c r="V111" i="4"/>
  <c r="U108" i="4"/>
  <c r="V108" i="4"/>
  <c r="U110" i="4"/>
  <c r="V110" i="4"/>
  <c r="U103" i="4"/>
  <c r="V103" i="4"/>
  <c r="U105" i="4"/>
  <c r="V105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T61" i="4" l="1"/>
  <c r="T63" i="4"/>
  <c r="O56" i="4"/>
  <c r="P56" i="4" s="1"/>
  <c r="T56" i="4"/>
  <c r="T60" i="4"/>
  <c r="O59" i="4"/>
  <c r="P59" i="4" s="1"/>
  <c r="T59" i="4"/>
  <c r="O55" i="4"/>
  <c r="P55" i="4" s="1"/>
  <c r="T55" i="4"/>
  <c r="T62" i="4"/>
  <c r="T57" i="4"/>
  <c r="T58" i="4"/>
  <c r="O61" i="4"/>
  <c r="P61" i="4" s="1"/>
  <c r="O62" i="4"/>
  <c r="P62" i="4" s="1"/>
  <c r="O60" i="4"/>
  <c r="P60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T64" i="4" l="1"/>
  <c r="T65" i="4"/>
  <c r="V68" i="4"/>
  <c r="T68" i="4"/>
  <c r="M55" i="4"/>
  <c r="S55" i="4"/>
  <c r="T69" i="4"/>
  <c r="M59" i="4"/>
  <c r="S59" i="4"/>
  <c r="T67" i="4"/>
  <c r="M56" i="4"/>
  <c r="S56" i="4"/>
  <c r="T70" i="4"/>
  <c r="V66" i="4"/>
  <c r="T66" i="4"/>
  <c r="M62" i="4"/>
  <c r="M70" i="4"/>
  <c r="U70" i="4" s="1"/>
  <c r="M60" i="4"/>
  <c r="M61" i="4"/>
  <c r="M63" i="4"/>
  <c r="O64" i="4"/>
  <c r="P64" i="4" s="1"/>
  <c r="M65" i="4"/>
  <c r="U65" i="4" s="1"/>
  <c r="M66" i="4"/>
  <c r="U66" i="4" s="1"/>
  <c r="O67" i="4"/>
  <c r="P67" i="4" s="1"/>
  <c r="M67" i="4"/>
  <c r="U67" i="4" s="1"/>
  <c r="O68" i="4"/>
  <c r="P68" i="4" s="1"/>
  <c r="M64" i="4"/>
  <c r="U64" i="4" s="1"/>
  <c r="M69" i="4"/>
  <c r="U69" i="4" s="1"/>
  <c r="M58" i="4"/>
  <c r="O69" i="4"/>
  <c r="P69" i="4" s="1"/>
  <c r="M57" i="4"/>
  <c r="O65" i="4"/>
  <c r="P65" i="4" s="1"/>
  <c r="O66" i="4"/>
  <c r="P66" i="4" s="1"/>
  <c r="M68" i="4"/>
  <c r="U68" i="4" s="1"/>
  <c r="O70" i="4"/>
  <c r="P70" i="4" s="1"/>
  <c r="U62" i="4" l="1"/>
  <c r="V62" i="4"/>
  <c r="U57" i="4"/>
  <c r="V57" i="4"/>
  <c r="U61" i="4"/>
  <c r="V61" i="4"/>
  <c r="U60" i="4"/>
  <c r="V60" i="4"/>
  <c r="U59" i="4"/>
  <c r="V59" i="4"/>
  <c r="U58" i="4"/>
  <c r="V58" i="4"/>
  <c r="V69" i="4"/>
  <c r="U55" i="4"/>
  <c r="V55" i="4"/>
  <c r="V70" i="4"/>
  <c r="U56" i="4"/>
  <c r="V56" i="4"/>
  <c r="V65" i="4"/>
  <c r="U63" i="4"/>
  <c r="V63" i="4"/>
  <c r="V67" i="4"/>
  <c r="V64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L45" i="4" s="1"/>
  <c r="S45" i="4" s="1"/>
  <c r="J30" i="4"/>
  <c r="K30" i="4" s="1"/>
  <c r="J43" i="4"/>
  <c r="L43" i="4" s="1"/>
  <c r="S43" i="4" s="1"/>
  <c r="J31" i="4"/>
  <c r="J44" i="4"/>
  <c r="L44" i="4" s="1"/>
  <c r="S44" i="4" s="1"/>
  <c r="J36" i="4"/>
  <c r="L36" i="4" s="1"/>
  <c r="S36" i="4" s="1"/>
  <c r="J46" i="4"/>
  <c r="K46" i="4" s="1"/>
  <c r="J35" i="4"/>
  <c r="L35" i="4" s="1"/>
  <c r="S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S31" i="4" s="1"/>
  <c r="L47" i="4"/>
  <c r="S47" i="4" s="1"/>
  <c r="K47" i="4"/>
  <c r="K52" i="4"/>
  <c r="L52" i="4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O52" i="4" l="1"/>
  <c r="P52" i="4" s="1"/>
  <c r="T52" i="4"/>
  <c r="T48" i="4"/>
  <c r="O51" i="4"/>
  <c r="P51" i="4" s="1"/>
  <c r="V51" i="4"/>
  <c r="T51" i="4"/>
  <c r="M52" i="4"/>
  <c r="U52" i="4" s="1"/>
  <c r="S52" i="4"/>
  <c r="V39" i="4"/>
  <c r="T39" i="4"/>
  <c r="T47" i="4"/>
  <c r="O53" i="4"/>
  <c r="P53" i="4" s="1"/>
  <c r="T53" i="4"/>
  <c r="T31" i="4"/>
  <c r="T33" i="4"/>
  <c r="M53" i="4"/>
  <c r="U53" i="4" s="1"/>
  <c r="S53" i="4"/>
  <c r="T28" i="4"/>
  <c r="T46" i="4"/>
  <c r="M51" i="4"/>
  <c r="U51" i="4" s="1"/>
  <c r="S51" i="4"/>
  <c r="T49" i="4"/>
  <c r="O54" i="4"/>
  <c r="P54" i="4" s="1"/>
  <c r="V54" i="4"/>
  <c r="T54" i="4"/>
  <c r="M50" i="4"/>
  <c r="U50" i="4" s="1"/>
  <c r="S50" i="4"/>
  <c r="M54" i="4"/>
  <c r="U54" i="4" s="1"/>
  <c r="S54" i="4"/>
  <c r="O50" i="4"/>
  <c r="P50" i="4" s="1"/>
  <c r="T50" i="4"/>
  <c r="K43" i="4"/>
  <c r="T41" i="4"/>
  <c r="T30" i="4"/>
  <c r="M48" i="4"/>
  <c r="U48" i="4" s="1"/>
  <c r="L30" i="4"/>
  <c r="S30" i="4" s="1"/>
  <c r="O48" i="4"/>
  <c r="P48" i="4" s="1"/>
  <c r="O49" i="4"/>
  <c r="P49" i="4" s="1"/>
  <c r="M49" i="4"/>
  <c r="U49" i="4" s="1"/>
  <c r="M35" i="4"/>
  <c r="U35" i="4" s="1"/>
  <c r="M39" i="4"/>
  <c r="U39" i="4" s="1"/>
  <c r="O47" i="4"/>
  <c r="P47" i="4" s="1"/>
  <c r="M47" i="4"/>
  <c r="U47" i="4" s="1"/>
  <c r="M31" i="4"/>
  <c r="U31" i="4" s="1"/>
  <c r="O30" i="4"/>
  <c r="P30" i="4" s="1"/>
  <c r="O31" i="4"/>
  <c r="P31" i="4" s="1"/>
  <c r="O33" i="4"/>
  <c r="P33" i="4" s="1"/>
  <c r="O28" i="4"/>
  <c r="P28" i="4" s="1"/>
  <c r="K35" i="4"/>
  <c r="M44" i="4"/>
  <c r="U44" i="4" s="1"/>
  <c r="O43" i="4"/>
  <c r="P43" i="4" s="1"/>
  <c r="O46" i="4"/>
  <c r="P46" i="4" s="1"/>
  <c r="M43" i="4"/>
  <c r="U43" i="4" s="1"/>
  <c r="O41" i="4"/>
  <c r="P41" i="4" s="1"/>
  <c r="O39" i="4"/>
  <c r="P39" i="4" s="1"/>
  <c r="M45" i="4"/>
  <c r="U45" i="4" s="1"/>
  <c r="K45" i="4"/>
  <c r="K36" i="4"/>
  <c r="K44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6" i="4"/>
  <c r="U36" i="4" s="1"/>
  <c r="K40" i="4"/>
  <c r="K32" i="4"/>
  <c r="L28" i="4"/>
  <c r="S28" i="4" s="1"/>
  <c r="V36" i="4" l="1"/>
  <c r="T36" i="4"/>
  <c r="V32" i="4"/>
  <c r="T32" i="4"/>
  <c r="V29" i="4"/>
  <c r="T29" i="4"/>
  <c r="V38" i="4"/>
  <c r="T38" i="4"/>
  <c r="V43" i="4"/>
  <c r="T43" i="4"/>
  <c r="V49" i="4"/>
  <c r="V31" i="4"/>
  <c r="V40" i="4"/>
  <c r="T40" i="4"/>
  <c r="V34" i="4"/>
  <c r="T34" i="4"/>
  <c r="V50" i="4"/>
  <c r="V53" i="4"/>
  <c r="V48" i="4"/>
  <c r="V45" i="4"/>
  <c r="T45" i="4"/>
  <c r="V42" i="4"/>
  <c r="T42" i="4"/>
  <c r="V52" i="4"/>
  <c r="V44" i="4"/>
  <c r="T44" i="4"/>
  <c r="V37" i="4"/>
  <c r="T37" i="4"/>
  <c r="V35" i="4"/>
  <c r="T35" i="4"/>
  <c r="V47" i="4"/>
  <c r="M30" i="4"/>
  <c r="O37" i="4"/>
  <c r="P37" i="4" s="1"/>
  <c r="O44" i="4"/>
  <c r="P44" i="4" s="1"/>
  <c r="O29" i="4"/>
  <c r="P29" i="4" s="1"/>
  <c r="M41" i="4"/>
  <c r="O35" i="4"/>
  <c r="P35" i="4" s="1"/>
  <c r="M46" i="4"/>
  <c r="O36" i="4"/>
  <c r="P36" i="4" s="1"/>
  <c r="O45" i="4"/>
  <c r="P45" i="4" s="1"/>
  <c r="O32" i="4"/>
  <c r="P32" i="4" s="1"/>
  <c r="O38" i="4"/>
  <c r="P38" i="4" s="1"/>
  <c r="O40" i="4"/>
  <c r="P40" i="4" s="1"/>
  <c r="M33" i="4"/>
  <c r="O34" i="4"/>
  <c r="P34" i="4" s="1"/>
  <c r="O42" i="4"/>
  <c r="P42" i="4" s="1"/>
  <c r="M28" i="4"/>
  <c r="U41" i="4" l="1"/>
  <c r="V41" i="4"/>
  <c r="U30" i="4"/>
  <c r="V30" i="4"/>
  <c r="U28" i="4"/>
  <c r="V28" i="4"/>
  <c r="U46" i="4"/>
  <c r="V46" i="4"/>
  <c r="U33" i="4"/>
  <c r="V3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<sst xmlns="http://schemas.openxmlformats.org/spreadsheetml/2006/main" count="340" uniqueCount="314">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</sst>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30</v>
      </c>
      <c r="K17" s="31" t="s">
        <v>80</v>
      </c>
      <c r="L17" s="80">
        <v>2.5693999999999999E-3</v>
      </c>
      <c r="M17" s="80">
        <v>2.32E-4</v>
      </c>
      <c r="N17" s="80">
        <v>9.8599999999999998E-5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18" zoomScale="80" zoomScaleNormal="85" workbookViewId="0">
      <selection activeCell="D28" sqref="D28:E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150.05799999999999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149.27438800000002</v>
      </c>
      <c r="K8" s="39">
        <f>J8/J7</f>
        <v>0.9947779391968441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0.72464000000000006</v>
      </c>
      <c r="K9" s="39">
        <f>J9/J7</f>
        <v>4.8290660944434825E-3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5.8971999999999997E-2</v>
      </c>
      <c r="K10" s="39">
        <f>J10/J7</f>
        <v>3.9299470871263109E-4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5.7999999999999996E-2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5.1387999999999996E-2</v>
      </c>
      <c r="K20" s="39">
        <f>J20/J19</f>
        <v>0.88600000000000001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4.6400000000000009E-3</v>
      </c>
      <c r="K21" s="39">
        <f>J21/J19</f>
        <v>8.0000000000000016E-2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1.9719999999999998E-3</v>
      </c>
      <c r="K22" s="39">
        <f>J22/J19</f>
        <v>3.3999999999999996E-2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8.6236157418987745E-3</v>
      </c>
      <c r="K28" s="93">
        <f t="shared" ref="K28:K47" si="3">IF(D28=0,"",1/(1+10^D28*$J$15/$J$14+10^E28*$J$16/$J$14+10^J28*$J$19/$J$14))</f>
        <v>0.99357628426857036</v>
      </c>
      <c r="L28" s="93">
        <f t="shared" ref="L28:L47" si="4">IF(D28=0,"",1/(1+10^I28/10^J28*$J$13/$J$19))</f>
        <v>3.9392818874636271E-4</v>
      </c>
      <c r="M28" s="93">
        <f t="shared" ref="M28:M47" si="5">IF(D28=0,"",1-L28)</f>
        <v>0.9996060718112536</v>
      </c>
      <c r="N28" s="93">
        <f t="shared" ref="N28:N47" si="6">IF(D28=0,"",1/(1/10^E28*$J$20/$J$22+10^D28/10^E28*$J$21/$J$22+10^I28/10^E28*$J$13/$J$22+1))</f>
        <v>1.586676393973016E-5</v>
      </c>
      <c r="O28" s="40">
        <f t="shared" ref="O28:O47" si="7">IF(D28=0,"",F28*K28*$J$7/$J$14)</f>
        <v>9.9913599153463672E-7</v>
      </c>
      <c r="P28" s="40">
        <f t="shared" ref="P28:P47" si="8">IF(D28=0,"",O28*10^J28)</f>
        <v>1.0191737266707187E-6</v>
      </c>
      <c r="Q28" s="40">
        <f t="shared" ref="Q28:Q47" si="9">IF(D28=0,"",F28*N28*$J$7/$J$22)</f>
        <v>1.2073706203184728E-6</v>
      </c>
      <c r="R28" s="9">
        <f>F28*$C$14</f>
        <v>1.4999999999999999E-4</v>
      </c>
      <c r="S28" s="9">
        <f>$R28*L28</f>
        <v>5.90892283119544E-8</v>
      </c>
      <c r="T28" s="9">
        <f t="shared" ref="T28:T91" si="10">R28*K28</f>
        <v>1.4903644264028555E-4</v>
      </c>
      <c r="U28" s="9">
        <f t="shared" ref="U28:U91" si="11">$R28*M28</f>
        <v>1.4994091077168804E-4</v>
      </c>
      <c r="V28" s="100">
        <f>K28/M28</f>
        <v>0.99396783621796392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0.32619780382173885</v>
      </c>
      <c r="J29" s="92">
        <f t="shared" si="2"/>
        <v>1.4792346366341074</v>
      </c>
      <c r="K29" s="93">
        <f t="shared" si="3"/>
        <v>0.46683624757448833</v>
      </c>
      <c r="L29" s="93">
        <f t="shared" si="4"/>
        <v>5.4700517228426036E-3</v>
      </c>
      <c r="M29" s="93">
        <f t="shared" si="5"/>
        <v>0.99452994827715735</v>
      </c>
      <c r="N29" s="93">
        <f t="shared" si="6"/>
        <v>2.3455014906530276E-3</v>
      </c>
      <c r="O29" s="40">
        <f t="shared" si="7"/>
        <v>4.6944850082448786E-7</v>
      </c>
      <c r="P29" s="40">
        <f t="shared" si="8"/>
        <v>1.4152155541833022E-5</v>
      </c>
      <c r="Q29" s="40">
        <f t="shared" si="9"/>
        <v>1.7847934213205475E-4</v>
      </c>
      <c r="R29" s="9">
        <f t="shared" ref="R29:R92" si="12">F29*$C$14</f>
        <v>1.4999999999999999E-4</v>
      </c>
      <c r="S29" s="9">
        <f t="shared" ref="S29:S92" si="13">$R29*L29</f>
        <v>8.2050775842639046E-7</v>
      </c>
      <c r="T29" s="9">
        <f t="shared" si="10"/>
        <v>7.0025437136173242E-5</v>
      </c>
      <c r="U29" s="9">
        <f t="shared" si="11"/>
        <v>1.4917949224157358E-4</v>
      </c>
      <c r="V29" s="100">
        <f t="shared" ref="V29:V92" si="14">K29/M29</f>
        <v>0.46940391124791908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2.0854020627961285</v>
      </c>
      <c r="J30" s="92">
        <f t="shared" si="2"/>
        <v>3.3064757852460134</v>
      </c>
      <c r="K30" s="93">
        <f t="shared" si="3"/>
        <v>8.1200293000793788E-3</v>
      </c>
      <c r="L30" s="93">
        <f t="shared" si="4"/>
        <v>6.3918357770552121E-3</v>
      </c>
      <c r="M30" s="93">
        <f t="shared" si="5"/>
        <v>0.99360816422294473</v>
      </c>
      <c r="N30" s="93">
        <f t="shared" si="6"/>
        <v>4.6841278474100375E-5</v>
      </c>
      <c r="O30" s="40">
        <f t="shared" si="7"/>
        <v>8.1654661594480151E-9</v>
      </c>
      <c r="P30" s="40">
        <f t="shared" si="8"/>
        <v>1.6537001604023305E-5</v>
      </c>
      <c r="Q30" s="40">
        <f t="shared" si="9"/>
        <v>3.5643552562203624E-6</v>
      </c>
      <c r="R30" s="9">
        <f t="shared" si="12"/>
        <v>1.4999999999999999E-4</v>
      </c>
      <c r="S30" s="9">
        <f t="shared" si="13"/>
        <v>9.5877536655828178E-7</v>
      </c>
      <c r="T30" s="9">
        <f t="shared" si="10"/>
        <v>1.2180043950119067E-6</v>
      </c>
      <c r="U30" s="9">
        <f t="shared" si="11"/>
        <v>1.4904122463344169E-4</v>
      </c>
      <c r="V30" s="100">
        <f t="shared" si="14"/>
        <v>8.1722650763741255E-3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-2.0020416091501053E-3</v>
      </c>
      <c r="J31" s="92">
        <f t="shared" si="2"/>
        <v>-4.7629566913209222E-2</v>
      </c>
      <c r="K31" s="93">
        <f t="shared" si="3"/>
        <v>0.99906879870820042</v>
      </c>
      <c r="L31" s="93">
        <f t="shared" si="4"/>
        <v>3.4798302235718924E-4</v>
      </c>
      <c r="M31" s="93">
        <f t="shared" si="5"/>
        <v>0.99965201697764283</v>
      </c>
      <c r="N31" s="93">
        <f t="shared" si="6"/>
        <v>2.1466329329003506E-7</v>
      </c>
      <c r="O31" s="40">
        <f t="shared" si="7"/>
        <v>1.0046592401744713E-6</v>
      </c>
      <c r="P31" s="40">
        <f t="shared" si="8"/>
        <v>9.0030407532543296E-7</v>
      </c>
      <c r="Q31" s="40">
        <f t="shared" si="9"/>
        <v>1.6334657436367181E-8</v>
      </c>
      <c r="R31" s="9">
        <f t="shared" si="12"/>
        <v>1.4999999999999999E-4</v>
      </c>
      <c r="S31" s="9">
        <f t="shared" si="13"/>
        <v>5.2197453353578382E-8</v>
      </c>
      <c r="T31" s="9">
        <f t="shared" si="10"/>
        <v>1.4986031980623006E-4</v>
      </c>
      <c r="U31" s="9">
        <f t="shared" si="11"/>
        <v>1.499478025466464E-4</v>
      </c>
      <c r="V31" s="100">
        <f t="shared" si="14"/>
        <v>0.99941657870985379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5.4008424806920542E-3</v>
      </c>
      <c r="J32" s="92">
        <f t="shared" si="2"/>
        <v>9.2112642741615611E-2</v>
      </c>
      <c r="K32" s="93">
        <f t="shared" si="3"/>
        <v>0.98206147919228648</v>
      </c>
      <c r="L32" s="93">
        <f t="shared" si="4"/>
        <v>4.7189301167483751E-4</v>
      </c>
      <c r="M32" s="93">
        <f t="shared" si="5"/>
        <v>0.99952810698832517</v>
      </c>
      <c r="N32" s="93">
        <f t="shared" si="6"/>
        <v>2.5975947742083754E-5</v>
      </c>
      <c r="O32" s="40">
        <f t="shared" si="7"/>
        <v>9.8755675361463105E-7</v>
      </c>
      <c r="P32" s="40">
        <f t="shared" si="8"/>
        <v>1.2208848542397028E-6</v>
      </c>
      <c r="Q32" s="40">
        <f t="shared" si="9"/>
        <v>1.9766220924348908E-6</v>
      </c>
      <c r="R32" s="9">
        <f t="shared" si="12"/>
        <v>1.4999999999999999E-4</v>
      </c>
      <c r="S32" s="9">
        <f t="shared" si="13"/>
        <v>7.0783951751225621E-8</v>
      </c>
      <c r="T32" s="9">
        <f t="shared" si="10"/>
        <v>1.4730922187884297E-4</v>
      </c>
      <c r="U32" s="9">
        <f t="shared" si="11"/>
        <v>1.4992921604824877E-4</v>
      </c>
      <c r="V32" s="100">
        <f t="shared" si="14"/>
        <v>0.98252512593300922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9.1527063522880606E-2</v>
      </c>
      <c r="J33" s="92">
        <f t="shared" si="2"/>
        <v>0.83886397407051061</v>
      </c>
      <c r="K33" s="93">
        <f t="shared" si="3"/>
        <v>0.80404416725300198</v>
      </c>
      <c r="L33" s="93">
        <f t="shared" si="4"/>
        <v>2.1564336819219257E-3</v>
      </c>
      <c r="M33" s="93">
        <f t="shared" si="5"/>
        <v>0.99784356631807802</v>
      </c>
      <c r="N33" s="93">
        <f t="shared" si="6"/>
        <v>7.7497280378402531E-4</v>
      </c>
      <c r="O33" s="40">
        <f t="shared" si="7"/>
        <v>8.0854331872198619E-7</v>
      </c>
      <c r="P33" s="40">
        <f t="shared" si="8"/>
        <v>5.5791400938248332E-6</v>
      </c>
      <c r="Q33" s="40">
        <f t="shared" si="9"/>
        <v>5.8971028899707539E-5</v>
      </c>
      <c r="R33" s="9">
        <f t="shared" si="12"/>
        <v>1.4999999999999999E-4</v>
      </c>
      <c r="S33" s="9">
        <f t="shared" si="13"/>
        <v>3.2346505228828885E-7</v>
      </c>
      <c r="T33" s="9">
        <f t="shared" si="10"/>
        <v>1.2060662508795029E-4</v>
      </c>
      <c r="U33" s="9">
        <f t="shared" si="11"/>
        <v>1.4967653494771168E-4</v>
      </c>
      <c r="V33" s="100">
        <f t="shared" si="14"/>
        <v>0.80578178222847863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3.1608226539332684E-3</v>
      </c>
      <c r="J34" s="92">
        <f t="shared" si="2"/>
        <v>5.2338797505457266E-2</v>
      </c>
      <c r="K34" s="93">
        <f t="shared" si="3"/>
        <v>0.98717844668803645</v>
      </c>
      <c r="L34" s="93">
        <f t="shared" si="4"/>
        <v>4.3283930292070823E-4</v>
      </c>
      <c r="M34" s="93">
        <f t="shared" si="5"/>
        <v>0.99956716069707929</v>
      </c>
      <c r="N34" s="93">
        <f t="shared" si="6"/>
        <v>1.6032166647888683E-5</v>
      </c>
      <c r="O34" s="40">
        <f t="shared" si="7"/>
        <v>9.9270235388052336E-7</v>
      </c>
      <c r="P34" s="40">
        <f t="shared" si="8"/>
        <v>1.1198448296150971E-6</v>
      </c>
      <c r="Q34" s="40">
        <f t="shared" si="9"/>
        <v>1.2199568270024748E-6</v>
      </c>
      <c r="R34" s="9">
        <f t="shared" si="12"/>
        <v>1.4999999999999999E-4</v>
      </c>
      <c r="S34" s="9">
        <f t="shared" si="13"/>
        <v>6.492589543810623E-8</v>
      </c>
      <c r="T34" s="9">
        <f t="shared" si="10"/>
        <v>1.4807676700320547E-4</v>
      </c>
      <c r="U34" s="9">
        <f t="shared" si="11"/>
        <v>1.4993507410456189E-4</v>
      </c>
      <c r="V34" s="100">
        <f t="shared" si="14"/>
        <v>0.98760592134659242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1.8333114105419375E-3</v>
      </c>
      <c r="J35" s="92">
        <f t="shared" si="2"/>
        <v>2.7641191606188362E-2</v>
      </c>
      <c r="K35" s="93">
        <f t="shared" si="3"/>
        <v>0.9902230335743033</v>
      </c>
      <c r="L35" s="93">
        <f t="shared" si="4"/>
        <v>4.1017240819428376E-4</v>
      </c>
      <c r="M35" s="93">
        <f t="shared" si="5"/>
        <v>0.9995898275918057</v>
      </c>
      <c r="N35" s="93">
        <f t="shared" si="6"/>
        <v>1.0820623931431063E-5</v>
      </c>
      <c r="O35" s="40">
        <f t="shared" si="7"/>
        <v>9.9576397721593024E-7</v>
      </c>
      <c r="P35" s="40">
        <f t="shared" si="8"/>
        <v>1.0612008832554794E-6</v>
      </c>
      <c r="Q35" s="40">
        <f t="shared" si="9"/>
        <v>8.2338802530561997E-7</v>
      </c>
      <c r="R35" s="9">
        <f t="shared" si="12"/>
        <v>1.4999999999999999E-4</v>
      </c>
      <c r="S35" s="9">
        <f t="shared" si="13"/>
        <v>6.1525861229142559E-8</v>
      </c>
      <c r="T35" s="9">
        <f t="shared" si="10"/>
        <v>1.4853345503614549E-4</v>
      </c>
      <c r="U35" s="9">
        <f t="shared" si="11"/>
        <v>1.4993847413877085E-4</v>
      </c>
      <c r="V35" s="100">
        <f t="shared" si="14"/>
        <v>0.99062936240550914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1.2834731216469764</v>
      </c>
      <c r="J36" s="92">
        <f t="shared" si="2"/>
        <v>2.8233837190602822</v>
      </c>
      <c r="K36" s="93">
        <f t="shared" si="3"/>
        <v>5.1107966470422393E-2</v>
      </c>
      <c r="L36" s="93">
        <f t="shared" si="4"/>
        <v>1.3227097260091934E-2</v>
      </c>
      <c r="M36" s="93">
        <f t="shared" si="5"/>
        <v>0.98677290273990803</v>
      </c>
      <c r="N36" s="93">
        <f t="shared" si="6"/>
        <v>8.8231923049261404E-3</v>
      </c>
      <c r="O36" s="40">
        <f t="shared" si="7"/>
        <v>5.1393948872617776E-8</v>
      </c>
      <c r="P36" s="40">
        <f t="shared" si="8"/>
        <v>3.4221237252670292E-5</v>
      </c>
      <c r="Q36" s="40">
        <f t="shared" si="9"/>
        <v>6.7139482296785333E-4</v>
      </c>
      <c r="R36" s="9">
        <f t="shared" si="12"/>
        <v>1.4999999999999999E-4</v>
      </c>
      <c r="S36" s="9">
        <f t="shared" si="13"/>
        <v>1.9840645890137901E-6</v>
      </c>
      <c r="T36" s="9">
        <f t="shared" si="10"/>
        <v>7.6661949705633579E-6</v>
      </c>
      <c r="U36" s="9">
        <f t="shared" si="11"/>
        <v>1.480159354109862E-4</v>
      </c>
      <c r="V36" s="100">
        <f t="shared" si="14"/>
        <v>5.1793038021731477E-2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3.1977472098667894</v>
      </c>
      <c r="J37" s="92">
        <f t="shared" si="2"/>
        <v>5.0533179287067078</v>
      </c>
      <c r="K37" s="93">
        <f t="shared" si="3"/>
        <v>6.1393078092020605E-4</v>
      </c>
      <c r="L37" s="93">
        <f t="shared" si="4"/>
        <v>2.6979230820653871E-2</v>
      </c>
      <c r="M37" s="93">
        <f t="shared" si="5"/>
        <v>0.9730207691793461</v>
      </c>
      <c r="N37" s="93">
        <f t="shared" si="6"/>
        <v>2.5453789764595884E-2</v>
      </c>
      <c r="O37" s="40">
        <f t="shared" si="7"/>
        <v>6.1736612401120651E-10</v>
      </c>
      <c r="P37" s="40">
        <f t="shared" si="8"/>
        <v>6.9800852042856614E-5</v>
      </c>
      <c r="Q37" s="40">
        <f t="shared" si="9"/>
        <v>1.9368888359511812E-3</v>
      </c>
      <c r="R37" s="9">
        <f t="shared" si="12"/>
        <v>1.4999999999999999E-4</v>
      </c>
      <c r="S37" s="9">
        <f t="shared" si="13"/>
        <v>4.0468846230980805E-6</v>
      </c>
      <c r="T37" s="9">
        <f t="shared" si="10"/>
        <v>9.2089617138030901E-8</v>
      </c>
      <c r="U37" s="9">
        <f t="shared" si="11"/>
        <v>1.459531153769019E-4</v>
      </c>
      <c r="V37" s="100">
        <f t="shared" si="14"/>
        <v>6.309534188442868E-4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-1.5996885357091404E-3</v>
      </c>
      <c r="J38" s="92">
        <f t="shared" si="2"/>
        <v>-3.963218602129074E-2</v>
      </c>
      <c r="K38" s="93">
        <f t="shared" si="3"/>
        <v>0.99813751017096808</v>
      </c>
      <c r="L38" s="93">
        <f t="shared" si="4"/>
        <v>3.5411996892441733E-4</v>
      </c>
      <c r="M38" s="93">
        <f t="shared" si="5"/>
        <v>0.99964588003107557</v>
      </c>
      <c r="N38" s="93">
        <f t="shared" si="6"/>
        <v>8.2367314877831269E-7</v>
      </c>
      <c r="O38" s="40">
        <f t="shared" si="7"/>
        <v>1.0037227404705379E-6</v>
      </c>
      <c r="P38" s="40">
        <f t="shared" si="8"/>
        <v>9.1618162580793481E-7</v>
      </c>
      <c r="Q38" s="40">
        <f t="shared" si="9"/>
        <v>6.2676848559521328E-8</v>
      </c>
      <c r="R38" s="9">
        <f t="shared" si="12"/>
        <v>1.4999999999999999E-4</v>
      </c>
      <c r="S38" s="9">
        <f t="shared" si="13"/>
        <v>5.3117995338662594E-8</v>
      </c>
      <c r="T38" s="9">
        <f t="shared" si="10"/>
        <v>1.4972062652564519E-4</v>
      </c>
      <c r="U38" s="9">
        <f t="shared" si="11"/>
        <v>1.4994688200466131E-4</v>
      </c>
      <c r="V38" s="100">
        <f t="shared" si="14"/>
        <v>0.99849109580678652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0.33491051106253611</v>
      </c>
      <c r="J39" s="92">
        <f t="shared" si="2"/>
        <v>1.4569140663004096</v>
      </c>
      <c r="K39" s="93">
        <f t="shared" si="3"/>
        <v>0.4577366888798457</v>
      </c>
      <c r="L39" s="93">
        <f t="shared" si="4"/>
        <v>5.0947398967961096E-3</v>
      </c>
      <c r="M39" s="93">
        <f t="shared" si="5"/>
        <v>0.9949052601032039</v>
      </c>
      <c r="N39" s="93">
        <f t="shared" si="6"/>
        <v>1.8130879331030958E-3</v>
      </c>
      <c r="O39" s="40">
        <f t="shared" si="7"/>
        <v>4.602980241647191E-7</v>
      </c>
      <c r="P39" s="40">
        <f t="shared" si="8"/>
        <v>1.3181146197128117E-5</v>
      </c>
      <c r="Q39" s="40">
        <f t="shared" si="9"/>
        <v>1.3796569425232475E-4</v>
      </c>
      <c r="R39" s="9">
        <f t="shared" si="12"/>
        <v>1.4999999999999999E-4</v>
      </c>
      <c r="S39" s="9">
        <f t="shared" si="13"/>
        <v>7.6421098451941633E-7</v>
      </c>
      <c r="T39" s="9">
        <f t="shared" si="10"/>
        <v>6.8660503331976843E-5</v>
      </c>
      <c r="U39" s="9">
        <f t="shared" si="11"/>
        <v>1.4923578901548056E-4</v>
      </c>
      <c r="V39" s="100">
        <f t="shared" si="14"/>
        <v>0.46008068027740007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0.37071855582347524</v>
      </c>
      <c r="J40" s="92">
        <f t="shared" si="2"/>
        <v>1.6408491131175968</v>
      </c>
      <c r="K40" s="93">
        <f t="shared" si="3"/>
        <v>0.42063874317945965</v>
      </c>
      <c r="L40" s="93">
        <f t="shared" si="4"/>
        <v>7.1507338013311285E-3</v>
      </c>
      <c r="M40" s="93">
        <f t="shared" si="5"/>
        <v>0.99284926619866887</v>
      </c>
      <c r="N40" s="93">
        <f t="shared" si="6"/>
        <v>4.0779099811943829E-3</v>
      </c>
      <c r="O40" s="40">
        <f t="shared" si="7"/>
        <v>4.229924912649078E-7</v>
      </c>
      <c r="P40" s="40">
        <f t="shared" si="8"/>
        <v>1.8500427806209422E-5</v>
      </c>
      <c r="Q40" s="40">
        <f t="shared" si="9"/>
        <v>3.1030578902538879E-4</v>
      </c>
      <c r="R40" s="9">
        <f t="shared" si="12"/>
        <v>1.4999999999999999E-4</v>
      </c>
      <c r="S40" s="9">
        <f t="shared" si="13"/>
        <v>1.0726100701996692E-6</v>
      </c>
      <c r="T40" s="9">
        <f t="shared" si="10"/>
        <v>6.3095811476918936E-5</v>
      </c>
      <c r="U40" s="9">
        <f t="shared" si="11"/>
        <v>1.4892738992980031E-4</v>
      </c>
      <c r="V40" s="100">
        <f t="shared" si="14"/>
        <v>0.42366828228615516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6.2122287627494992E-2</v>
      </c>
      <c r="J41" s="92">
        <f t="shared" si="2"/>
        <v>0.64559866119554743</v>
      </c>
      <c r="K41" s="93">
        <f t="shared" si="3"/>
        <v>0.86095236655007734</v>
      </c>
      <c r="L41" s="93">
        <f t="shared" si="4"/>
        <v>1.479687523922413E-3</v>
      </c>
      <c r="M41" s="93">
        <f t="shared" si="5"/>
        <v>0.99852031247607753</v>
      </c>
      <c r="N41" s="93">
        <f t="shared" si="6"/>
        <v>3.645602117992943E-4</v>
      </c>
      <c r="O41" s="40">
        <f t="shared" si="7"/>
        <v>8.6576995650651353E-7</v>
      </c>
      <c r="P41" s="40">
        <f t="shared" si="8"/>
        <v>3.8282577666336109E-6</v>
      </c>
      <c r="Q41" s="40">
        <f t="shared" si="9"/>
        <v>2.7740961593396806E-5</v>
      </c>
      <c r="R41" s="9">
        <f t="shared" si="12"/>
        <v>1.4999999999999999E-4</v>
      </c>
      <c r="S41" s="9">
        <f t="shared" si="13"/>
        <v>2.2195312858836194E-7</v>
      </c>
      <c r="T41" s="9">
        <f t="shared" si="10"/>
        <v>1.2914285498251158E-4</v>
      </c>
      <c r="U41" s="9">
        <f t="shared" si="11"/>
        <v>1.4977804687141161E-4</v>
      </c>
      <c r="V41" s="100">
        <f t="shared" si="14"/>
        <v>0.86222819485277513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0.22542744412672311</v>
      </c>
      <c r="J42" s="92">
        <f t="shared" si="2"/>
        <v>1.3142586806508352</v>
      </c>
      <c r="K42" s="93">
        <f t="shared" si="3"/>
        <v>0.58919836401152292</v>
      </c>
      <c r="L42" s="93">
        <f t="shared" si="4"/>
        <v>4.7218527508745469E-3</v>
      </c>
      <c r="M42" s="93">
        <f t="shared" si="5"/>
        <v>0.99527814724912544</v>
      </c>
      <c r="N42" s="93">
        <f t="shared" si="6"/>
        <v>2.3373872786594473E-3</v>
      </c>
      <c r="O42" s="40">
        <f t="shared" si="7"/>
        <v>5.9249531310080283E-7</v>
      </c>
      <c r="P42" s="40">
        <f t="shared" si="8"/>
        <v>1.2216410001564359E-5</v>
      </c>
      <c r="Q42" s="40">
        <f t="shared" si="9"/>
        <v>1.7786189668411734E-4</v>
      </c>
      <c r="R42" s="9">
        <f t="shared" si="12"/>
        <v>1.4999999999999999E-4</v>
      </c>
      <c r="S42" s="9">
        <f t="shared" si="13"/>
        <v>7.0827791263118194E-7</v>
      </c>
      <c r="T42" s="9">
        <f t="shared" si="10"/>
        <v>8.8379754601728436E-5</v>
      </c>
      <c r="U42" s="9">
        <f t="shared" si="11"/>
        <v>1.4929172208736881E-4</v>
      </c>
      <c r="V42" s="100">
        <f t="shared" si="14"/>
        <v>0.59199367095522315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0.32073739190116707</v>
      </c>
      <c r="J43" s="92">
        <f t="shared" si="2"/>
        <v>1.4492878976223589</v>
      </c>
      <c r="K43" s="93">
        <f t="shared" si="3"/>
        <v>0.4728846713644172</v>
      </c>
      <c r="L43" s="93">
        <f t="shared" si="4"/>
        <v>5.1717242507922766E-3</v>
      </c>
      <c r="M43" s="93">
        <f t="shared" si="5"/>
        <v>0.99482827574920774</v>
      </c>
      <c r="N43" s="93">
        <f t="shared" si="6"/>
        <v>2.0218613961581963E-3</v>
      </c>
      <c r="O43" s="40">
        <f t="shared" si="7"/>
        <v>4.7553076948996939E-7</v>
      </c>
      <c r="P43" s="40">
        <f t="shared" si="8"/>
        <v>1.3380320648713577E-5</v>
      </c>
      <c r="Q43" s="40">
        <f t="shared" si="9"/>
        <v>1.5385216905918186E-4</v>
      </c>
      <c r="R43" s="9">
        <f t="shared" si="12"/>
        <v>1.4999999999999999E-4</v>
      </c>
      <c r="S43" s="9">
        <f t="shared" si="13"/>
        <v>7.7575863761884146E-7</v>
      </c>
      <c r="T43" s="9">
        <f t="shared" si="10"/>
        <v>7.0932700704662578E-5</v>
      </c>
      <c r="U43" s="9">
        <f t="shared" si="11"/>
        <v>1.4922424136238114E-4</v>
      </c>
      <c r="V43" s="100">
        <f t="shared" si="14"/>
        <v>0.47534301435922349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3.8293839195374848</v>
      </c>
      <c r="J44" s="92">
        <f t="shared" si="2"/>
        <v>5.6416380635271075</v>
      </c>
      <c r="K44" s="93">
        <f t="shared" si="3"/>
        <v>1.4374620340026789E-4</v>
      </c>
      <c r="L44" s="93">
        <f t="shared" si="4"/>
        <v>2.4480860166387952E-2</v>
      </c>
      <c r="M44" s="93">
        <f t="shared" si="5"/>
        <v>0.97551913983361205</v>
      </c>
      <c r="N44" s="93">
        <f t="shared" si="6"/>
        <v>2.2360191915977413E-2</v>
      </c>
      <c r="O44" s="40">
        <f t="shared" si="7"/>
        <v>1.4455055715162806E-10</v>
      </c>
      <c r="P44" s="40">
        <f t="shared" si="8"/>
        <v>6.3337050255997314E-5</v>
      </c>
      <c r="Q44" s="40">
        <f t="shared" si="9"/>
        <v>1.7014836098010846E-3</v>
      </c>
      <c r="R44" s="9">
        <f t="shared" si="12"/>
        <v>1.4999999999999999E-4</v>
      </c>
      <c r="S44" s="9">
        <f t="shared" si="13"/>
        <v>3.6721290249581927E-6</v>
      </c>
      <c r="T44" s="9">
        <f t="shared" si="10"/>
        <v>2.156193051004018E-8</v>
      </c>
      <c r="U44" s="9">
        <f t="shared" si="11"/>
        <v>1.4632787097504179E-4</v>
      </c>
      <c r="V44" s="100">
        <f t="shared" si="14"/>
        <v>1.4735354492868868E-4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3.8037572032670899E-2</v>
      </c>
      <c r="J45" s="92">
        <f t="shared" si="2"/>
        <v>0.50257798213592542</v>
      </c>
      <c r="K45" s="93">
        <f t="shared" si="3"/>
        <v>0.91036974097335766</v>
      </c>
      <c r="L45" s="93">
        <f t="shared" si="4"/>
        <v>1.1256102079397075E-3</v>
      </c>
      <c r="M45" s="93">
        <f t="shared" si="5"/>
        <v>0.99887438979206034</v>
      </c>
      <c r="N45" s="93">
        <f t="shared" si="6"/>
        <v>2.9708105524739188E-4</v>
      </c>
      <c r="O45" s="40">
        <f t="shared" si="7"/>
        <v>9.1546385336697472E-7</v>
      </c>
      <c r="P45" s="40">
        <f t="shared" si="8"/>
        <v>2.9121864928106312E-6</v>
      </c>
      <c r="Q45" s="40">
        <f t="shared" si="9"/>
        <v>2.2606181028556352E-5</v>
      </c>
      <c r="R45" s="9">
        <f t="shared" si="12"/>
        <v>1.4999999999999999E-4</v>
      </c>
      <c r="S45" s="9">
        <f t="shared" si="13"/>
        <v>1.688415311909561E-7</v>
      </c>
      <c r="T45" s="9">
        <f t="shared" si="10"/>
        <v>1.3655546114600364E-4</v>
      </c>
      <c r="U45" s="9">
        <f t="shared" si="11"/>
        <v>1.4983115846880905E-4</v>
      </c>
      <c r="V45" s="100">
        <f t="shared" si="14"/>
        <v>0.9113956171835309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4.0258976380178252E-2</v>
      </c>
      <c r="J46" s="92">
        <f t="shared" si="2"/>
        <v>0.51091120344487995</v>
      </c>
      <c r="K46" s="93">
        <f t="shared" si="3"/>
        <v>0.905710664939396</v>
      </c>
      <c r="L46" s="93">
        <f t="shared" si="4"/>
        <v>1.1415446731963721E-3</v>
      </c>
      <c r="M46" s="93">
        <f t="shared" si="5"/>
        <v>0.99885845532680362</v>
      </c>
      <c r="N46" s="93">
        <f t="shared" si="6"/>
        <v>2.818627114582845E-4</v>
      </c>
      <c r="O46" s="40">
        <f t="shared" si="7"/>
        <v>9.107787067642111E-7</v>
      </c>
      <c r="P46" s="40">
        <f t="shared" si="8"/>
        <v>2.9534122512155382E-6</v>
      </c>
      <c r="Q46" s="40">
        <f t="shared" si="9"/>
        <v>2.1448151498989479E-5</v>
      </c>
      <c r="R46" s="9">
        <f t="shared" si="12"/>
        <v>1.4999999999999999E-4</v>
      </c>
      <c r="S46" s="9">
        <f t="shared" si="13"/>
        <v>1.7123170097945581E-7</v>
      </c>
      <c r="T46" s="9">
        <f t="shared" si="10"/>
        <v>1.358565997409094E-4</v>
      </c>
      <c r="U46" s="9">
        <f t="shared" si="11"/>
        <v>1.4982876829902053E-4</v>
      </c>
      <c r="V46" s="100">
        <f t="shared" si="14"/>
        <v>0.90674575572678939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0.50587648659747519</v>
      </c>
      <c r="J47" s="92">
        <f t="shared" si="2"/>
        <v>1.881661916759644</v>
      </c>
      <c r="K47" s="93">
        <f t="shared" si="3"/>
        <v>0.30753662432486606</v>
      </c>
      <c r="L47" s="93">
        <f t="shared" si="4"/>
        <v>9.1022966737854226E-3</v>
      </c>
      <c r="M47" s="93">
        <f t="shared" si="5"/>
        <v>0.99089770332621463</v>
      </c>
      <c r="N47" s="93">
        <f t="shared" si="6"/>
        <v>5.6438045472330094E-3</v>
      </c>
      <c r="O47" s="40">
        <f t="shared" si="7"/>
        <v>3.0925749229636678E-7</v>
      </c>
      <c r="P47" s="40">
        <f t="shared" si="8"/>
        <v>2.354952472887746E-5</v>
      </c>
      <c r="Q47" s="40">
        <f t="shared" si="9"/>
        <v>4.2946147198209481E-4</v>
      </c>
      <c r="R47" s="9">
        <f t="shared" si="12"/>
        <v>1.4999999999999999E-4</v>
      </c>
      <c r="S47" s="9">
        <f t="shared" si="13"/>
        <v>1.3653445010678133E-6</v>
      </c>
      <c r="T47" s="9">
        <f t="shared" si="10"/>
        <v>4.6130493648729906E-5</v>
      </c>
      <c r="U47" s="9">
        <f t="shared" si="11"/>
        <v>1.4863465549893218E-4</v>
      </c>
      <c r="V47" s="100">
        <f t="shared" si="14"/>
        <v>0.31036162793852146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3.9402684082655383E-2</v>
      </c>
      <c r="K48" s="93">
        <f t="shared" ref="K48:K50" si="17">IF(D48=0,"",1/(1+10^D48*$J$15/$J$14+10^E48*$J$16/$J$14+10^J48*$J$19/$J$14))</f>
        <v>0.98961360831489187</v>
      </c>
      <c r="L48" s="93">
        <f t="shared" ref="L48:L50" si="18">IF(D48=0,"",1/(1+10^I48/10^J48*$J$13/$J$19))</f>
        <v>4.2117304583439552E-4</v>
      </c>
      <c r="M48" s="93">
        <f t="shared" ref="M48:M92" si="19">IF(D48=0,"",1-L48)</f>
        <v>0.99957882695416556</v>
      </c>
      <c r="N48" s="93">
        <f t="shared" ref="N48:N50" si="20">IF(D48=0,"",1/(1/10^E48*$J$20/$J$22+10^D48/10^E48*$J$21/$J$22+10^I48/10^E48*$J$13/$J$22+1))</f>
        <v>1.9858059263622505E-5</v>
      </c>
      <c r="O48" s="40">
        <f t="shared" ref="O48:O92" si="21">IF(D48=0,"",F48*K48*$J$7/$J$14)</f>
        <v>9.9515114182475907E-7</v>
      </c>
      <c r="P48" s="40">
        <f t="shared" ref="P48:P50" si="22">IF(D48=0,"",O48*10^J48)</f>
        <v>1.0896618088244435E-6</v>
      </c>
      <c r="Q48" s="40">
        <f t="shared" ref="Q48:Q50" si="23">IF(D48=0,"",F48*N48*$J$7/$J$22)</f>
        <v>1.5110855258522646E-6</v>
      </c>
      <c r="R48" s="9">
        <f t="shared" si="12"/>
        <v>1.4999999999999999E-4</v>
      </c>
      <c r="S48" s="9">
        <f t="shared" si="13"/>
        <v>6.317595687515932E-8</v>
      </c>
      <c r="T48" s="9">
        <f t="shared" si="10"/>
        <v>1.4844204124723378E-4</v>
      </c>
      <c r="U48" s="9">
        <f t="shared" si="11"/>
        <v>1.4993682404312482E-4</v>
      </c>
      <c r="V48" s="100">
        <f t="shared" si="14"/>
        <v>0.99003058251079723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8.7763082204907472E-2</v>
      </c>
      <c r="J49" s="92">
        <f t="shared" si="16"/>
        <v>0.83897219078208807</v>
      </c>
      <c r="K49" s="93">
        <f t="shared" si="17"/>
        <v>0.81102734943720056</v>
      </c>
      <c r="L49" s="93">
        <f t="shared" si="18"/>
        <v>2.1757045361638205E-3</v>
      </c>
      <c r="M49" s="93">
        <f t="shared" si="19"/>
        <v>0.99782429546383622</v>
      </c>
      <c r="N49" s="93">
        <f t="shared" si="20"/>
        <v>8.511569378542792E-4</v>
      </c>
      <c r="O49" s="40">
        <f t="shared" si="21"/>
        <v>8.1556557636455116E-7</v>
      </c>
      <c r="P49" s="40">
        <f t="shared" si="22"/>
        <v>5.6289977808219064E-6</v>
      </c>
      <c r="Q49" s="40">
        <f t="shared" si="23"/>
        <v>6.4768208813659954E-5</v>
      </c>
      <c r="R49" s="9">
        <f t="shared" si="12"/>
        <v>1.4999999999999999E-4</v>
      </c>
      <c r="S49" s="9">
        <f t="shared" si="13"/>
        <v>3.2635568042457306E-7</v>
      </c>
      <c r="T49" s="9">
        <f t="shared" si="10"/>
        <v>1.2165410241558007E-4</v>
      </c>
      <c r="U49" s="9">
        <f t="shared" si="11"/>
        <v>1.4967364431957541E-4</v>
      </c>
      <c r="V49" s="100">
        <f t="shared" si="14"/>
        <v>0.81279575284363714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0.50667591684415281</v>
      </c>
      <c r="J50" s="92">
        <f t="shared" si="16"/>
        <v>1.8013240408300564</v>
      </c>
      <c r="K50" s="93">
        <f t="shared" si="17"/>
        <v>0.30744793882458193</v>
      </c>
      <c r="L50" s="93">
        <f t="shared" si="18"/>
        <v>7.5628912119433218E-3</v>
      </c>
      <c r="M50" s="93">
        <f t="shared" si="19"/>
        <v>0.99243710878805669</v>
      </c>
      <c r="N50" s="93">
        <f t="shared" si="20"/>
        <v>3.739148638575203E-3</v>
      </c>
      <c r="O50" s="40">
        <f t="shared" si="21"/>
        <v>3.0916831054287281E-7</v>
      </c>
      <c r="P50" s="40">
        <f t="shared" si="22"/>
        <v>1.9566764301410188E-5</v>
      </c>
      <c r="Q50" s="40">
        <f t="shared" si="23"/>
        <v>2.8452797485158105E-4</v>
      </c>
      <c r="R50" s="9">
        <f t="shared" si="12"/>
        <v>1.4999999999999999E-4</v>
      </c>
      <c r="S50" s="9">
        <f t="shared" si="13"/>
        <v>1.1344336817914981E-6</v>
      </c>
      <c r="T50" s="9">
        <f t="shared" si="10"/>
        <v>4.6117190823687288E-5</v>
      </c>
      <c r="U50" s="9">
        <f t="shared" si="11"/>
        <v>1.4886556631820848E-4</v>
      </c>
      <c r="V50" s="100">
        <f t="shared" si="14"/>
        <v>0.3097908533468996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4.6611522076147738</v>
      </c>
      <c r="K51" s="93">
        <f t="shared" ref="K51:K70" si="26">IF(D51=0,"",1/(1+10^D51*$J$15/$J$14+10^E51*$J$16/$J$14+10^J51*$J$19/$J$14))</f>
        <v>1.0277786805864555E-3</v>
      </c>
      <c r="L51" s="93">
        <f t="shared" ref="L51:L70" si="27">IF(D51=0,"",1/(1+10^I51/10^J51*$J$13/$J$19))</f>
        <v>1.8308132173512695E-2</v>
      </c>
      <c r="M51" s="93">
        <f t="shared" ref="M51:M70" si="28">IF(D51=0,"",1-L51)</f>
        <v>0.98169186782648732</v>
      </c>
      <c r="N51" s="93">
        <f t="shared" ref="N51:N70" si="29">IF(D51=0,"",1/(1/10^E51*$J$20/$J$22+10^D51/10^E51*$J$21/$J$22+10^I51/10^E51*$J$13/$J$22+1))</f>
        <v>1.4732170910361149E-2</v>
      </c>
      <c r="O51" s="40">
        <f t="shared" ref="O51:O70" si="30">IF(D51=0,"",F51*K51*$J$7/$J$14)</f>
        <v>1.0335297725648346E-9</v>
      </c>
      <c r="P51" s="40">
        <f t="shared" ref="P51:P70" si="31">IF(D51=0,"",O51*10^J51)</f>
        <v>4.7366925822292549E-5</v>
      </c>
      <c r="Q51" s="40">
        <f t="shared" ref="Q51:Q70" si="32">IF(D51=0,"",F51*N51*$J$7/$J$22)</f>
        <v>1.1210345347195604E-3</v>
      </c>
      <c r="R51" s="9">
        <f t="shared" si="12"/>
        <v>1.4999999999999999E-4</v>
      </c>
      <c r="S51" s="9">
        <f t="shared" si="13"/>
        <v>2.7462198260269041E-6</v>
      </c>
      <c r="T51" s="9">
        <f t="shared" si="10"/>
        <v>1.5416680208796832E-7</v>
      </c>
      <c r="U51" s="9">
        <f t="shared" si="11"/>
        <v>1.4725378017397308E-4</v>
      </c>
      <c r="V51" s="100">
        <f t="shared" si="14"/>
        <v>1.0469463120459646E-3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0.64393554165863076</v>
      </c>
      <c r="J52" s="92">
        <f t="shared" si="25"/>
        <v>2.0682288758066103</v>
      </c>
      <c r="K52" s="93">
        <f t="shared" si="26"/>
        <v>0.22354805890370572</v>
      </c>
      <c r="L52" s="93">
        <f t="shared" si="27"/>
        <v>1.0166980853612027E-2</v>
      </c>
      <c r="M52" s="93">
        <f t="shared" si="28"/>
        <v>0.98983301914638799</v>
      </c>
      <c r="N52" s="93">
        <f t="shared" si="29"/>
        <v>6.3310252691464808E-3</v>
      </c>
      <c r="O52" s="40">
        <f t="shared" si="30"/>
        <v>2.2479895607897084E-7</v>
      </c>
      <c r="P52" s="40">
        <f t="shared" si="31"/>
        <v>2.6304082981574378E-5</v>
      </c>
      <c r="Q52" s="40">
        <f t="shared" si="32"/>
        <v>4.8175506584055913E-4</v>
      </c>
      <c r="R52" s="9">
        <f t="shared" si="12"/>
        <v>1.4999999999999999E-4</v>
      </c>
      <c r="S52" s="9">
        <f t="shared" si="13"/>
        <v>1.5250471280418039E-6</v>
      </c>
      <c r="T52" s="9">
        <f t="shared" si="10"/>
        <v>3.3532208835555853E-5</v>
      </c>
      <c r="U52" s="9">
        <f t="shared" si="11"/>
        <v>1.4847495287195818E-4</v>
      </c>
      <c r="V52" s="100">
        <f t="shared" si="14"/>
        <v>0.22584421269002428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1.3135143326183101</v>
      </c>
      <c r="J53" s="92">
        <f t="shared" si="25"/>
        <v>2.8973705182690765</v>
      </c>
      <c r="K53" s="93">
        <f t="shared" si="26"/>
        <v>4.7625124219230416E-2</v>
      </c>
      <c r="L53" s="93">
        <f t="shared" si="27"/>
        <v>1.4615001572343861E-2</v>
      </c>
      <c r="M53" s="93">
        <f t="shared" si="28"/>
        <v>0.98538499842765614</v>
      </c>
      <c r="N53" s="93">
        <f t="shared" si="29"/>
        <v>1.0513692363989505E-2</v>
      </c>
      <c r="O53" s="40">
        <f t="shared" si="30"/>
        <v>4.7891617847712999E-8</v>
      </c>
      <c r="P53" s="40">
        <f t="shared" si="31"/>
        <v>3.7812032861082341E-5</v>
      </c>
      <c r="Q53" s="40">
        <f t="shared" si="32"/>
        <v>8.0003227624520141E-4</v>
      </c>
      <c r="R53" s="9">
        <f t="shared" si="12"/>
        <v>1.4999999999999999E-4</v>
      </c>
      <c r="S53" s="9">
        <f t="shared" si="13"/>
        <v>2.1922502358515787E-6</v>
      </c>
      <c r="T53" s="9">
        <f t="shared" si="10"/>
        <v>7.1437686328845614E-6</v>
      </c>
      <c r="U53" s="9">
        <f t="shared" si="11"/>
        <v>1.4780774976414841E-4</v>
      </c>
      <c r="V53" s="100">
        <f t="shared" si="14"/>
        <v>4.8331489007062349E-2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0.78379345695532832</v>
      </c>
      <c r="J54" s="92">
        <f t="shared" si="25"/>
        <v>2.2544039273222234</v>
      </c>
      <c r="K54" s="93">
        <f t="shared" si="26"/>
        <v>0.16181409130008387</v>
      </c>
      <c r="L54" s="93">
        <f t="shared" si="27"/>
        <v>1.1298284143768756E-2</v>
      </c>
      <c r="M54" s="93">
        <f t="shared" si="28"/>
        <v>0.98870171585623123</v>
      </c>
      <c r="N54" s="93">
        <f t="shared" si="29"/>
        <v>7.2674739286001039E-3</v>
      </c>
      <c r="O54" s="40">
        <f t="shared" si="30"/>
        <v>1.6271954666712223E-7</v>
      </c>
      <c r="P54" s="40">
        <f t="shared" si="31"/>
        <v>2.9230998655959519E-5</v>
      </c>
      <c r="Q54" s="40">
        <f t="shared" si="32"/>
        <v>5.5301349025247185E-4</v>
      </c>
      <c r="R54" s="9">
        <f t="shared" si="12"/>
        <v>1.4999999999999999E-4</v>
      </c>
      <c r="S54" s="9">
        <f t="shared" si="13"/>
        <v>1.6947426215653134E-6</v>
      </c>
      <c r="T54" s="9">
        <f t="shared" si="10"/>
        <v>2.427211369501258E-5</v>
      </c>
      <c r="U54" s="9">
        <f t="shared" si="11"/>
        <v>1.4830525737843467E-4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5.6400487609719711E-2</v>
      </c>
      <c r="J55" s="54">
        <f t="shared" si="25"/>
        <v>0.65206362088681824</v>
      </c>
      <c r="K55" s="55">
        <f t="shared" si="26"/>
        <v>0.87233367206064238</v>
      </c>
      <c r="L55" s="55">
        <f t="shared" si="27"/>
        <v>1.5217330890193218E-3</v>
      </c>
      <c r="M55" s="55">
        <f t="shared" si="28"/>
        <v>0.99847826691098063</v>
      </c>
      <c r="N55" s="55">
        <f t="shared" si="29"/>
        <v>5.0188334089303998E-4</v>
      </c>
      <c r="O55" s="56">
        <f t="shared" si="30"/>
        <v>8.7721494784366922E-7</v>
      </c>
      <c r="P55" s="56">
        <f t="shared" si="31"/>
        <v>3.9370383426217477E-6</v>
      </c>
      <c r="Q55" s="56">
        <f t="shared" si="32"/>
        <v>3.8190471788908618E-5</v>
      </c>
      <c r="R55" s="9">
        <f t="shared" si="12"/>
        <v>1.4999999999999999E-4</v>
      </c>
      <c r="S55" s="9">
        <f t="shared" si="13"/>
        <v>2.2825996335289826E-7</v>
      </c>
      <c r="T55" s="9">
        <f t="shared" si="10"/>
        <v>1.3085005080909633E-4</v>
      </c>
      <c r="U55" s="9">
        <f t="shared" si="11"/>
        <v>1.4977174003664707E-4</v>
      </c>
      <c r="V55" s="100">
        <f t="shared" si="14"/>
        <v>0.87366315419103191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0.61860589125383414</v>
      </c>
      <c r="J56" s="54">
        <f t="shared" si="25"/>
        <v>2.0493358233382901</v>
      </c>
      <c r="K56" s="55">
        <f t="shared" si="26"/>
        <v>0.23693795211794461</v>
      </c>
      <c r="L56" s="55">
        <f t="shared" si="27"/>
        <v>1.0317219742752654E-2</v>
      </c>
      <c r="M56" s="55">
        <f t="shared" si="28"/>
        <v>0.98968278025724732</v>
      </c>
      <c r="N56" s="55">
        <f t="shared" si="29"/>
        <v>6.6172230554481211E-3</v>
      </c>
      <c r="O56" s="56">
        <f t="shared" si="30"/>
        <v>2.3826377447789233E-7</v>
      </c>
      <c r="P56" s="56">
        <f t="shared" si="31"/>
        <v>2.6692782071689274E-5</v>
      </c>
      <c r="Q56" s="56">
        <f t="shared" si="32"/>
        <v>5.0353309191401331E-4</v>
      </c>
      <c r="R56" s="9">
        <f t="shared" si="12"/>
        <v>1.4999999999999999E-4</v>
      </c>
      <c r="S56" s="9">
        <f t="shared" si="13"/>
        <v>1.5475829614128978E-6</v>
      </c>
      <c r="T56" s="9">
        <f t="shared" si="10"/>
        <v>3.5540692817691687E-5</v>
      </c>
      <c r="U56" s="9">
        <f t="shared" si="11"/>
        <v>1.4845241703858708E-4</v>
      </c>
      <c r="V56" s="100">
        <f t="shared" si="14"/>
        <v>0.23940797682299528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0.26171036693668792</v>
      </c>
      <c r="J57" s="54">
        <f t="shared" si="25"/>
        <v>1.4157471407554194</v>
      </c>
      <c r="K57" s="55">
        <f t="shared" si="26"/>
        <v>0.54155993873239061</v>
      </c>
      <c r="L57" s="55">
        <f t="shared" si="27"/>
        <v>5.482591619464695E-3</v>
      </c>
      <c r="M57" s="55">
        <f t="shared" si="28"/>
        <v>0.99451740838053526</v>
      </c>
      <c r="N57" s="55">
        <f t="shared" si="29"/>
        <v>2.9211756657381138E-3</v>
      </c>
      <c r="O57" s="56">
        <f t="shared" si="30"/>
        <v>5.4459031976508354E-7</v>
      </c>
      <c r="P57" s="56">
        <f t="shared" si="31"/>
        <v>1.4184598848855748E-5</v>
      </c>
      <c r="Q57" s="56">
        <f t="shared" si="32"/>
        <v>2.222848773069624E-4</v>
      </c>
      <c r="R57" s="9">
        <f t="shared" si="12"/>
        <v>1.4999999999999999E-4</v>
      </c>
      <c r="S57" s="9">
        <f t="shared" si="13"/>
        <v>8.2238874291970423E-7</v>
      </c>
      <c r="T57" s="9">
        <f t="shared" si="10"/>
        <v>8.1233990809858583E-5</v>
      </c>
      <c r="U57" s="9">
        <f t="shared" si="11"/>
        <v>1.4917761125708028E-4</v>
      </c>
      <c r="V57" s="100">
        <f t="shared" si="14"/>
        <v>0.54454545910288565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0.19893820408979257</v>
      </c>
      <c r="J58" s="54">
        <f t="shared" si="25"/>
        <v>1.2270602613474699</v>
      </c>
      <c r="K58" s="55">
        <f t="shared" si="26"/>
        <v>0.62664038536908073</v>
      </c>
      <c r="L58" s="55">
        <f t="shared" si="27"/>
        <v>4.1083824813659981E-3</v>
      </c>
      <c r="M58" s="55">
        <f t="shared" si="28"/>
        <v>0.99589161751863398</v>
      </c>
      <c r="N58" s="55">
        <f t="shared" si="29"/>
        <v>1.8593087981698779E-3</v>
      </c>
      <c r="O58" s="56">
        <f t="shared" si="30"/>
        <v>6.3014684698547467E-7</v>
      </c>
      <c r="P58" s="56">
        <f t="shared" si="31"/>
        <v>1.0629235489462392E-5</v>
      </c>
      <c r="Q58" s="56">
        <f t="shared" si="32"/>
        <v>1.414828395718943E-4</v>
      </c>
      <c r="R58" s="9">
        <f t="shared" si="12"/>
        <v>1.4999999999999999E-4</v>
      </c>
      <c r="S58" s="9">
        <f t="shared" si="13"/>
        <v>6.1625737220489969E-7</v>
      </c>
      <c r="T58" s="9">
        <f t="shared" si="10"/>
        <v>9.3996057805362099E-5</v>
      </c>
      <c r="U58" s="9">
        <f t="shared" si="11"/>
        <v>1.4938374262779509E-4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6.5352597387686409E-2</v>
      </c>
      <c r="J59" s="54">
        <f t="shared" si="25"/>
        <v>0.75185758381499102</v>
      </c>
      <c r="K59" s="55">
        <f t="shared" si="26"/>
        <v>0.85423388826362567</v>
      </c>
      <c r="L59" s="55">
        <f t="shared" si="27"/>
        <v>1.8751093821420762E-3</v>
      </c>
      <c r="M59" s="55">
        <f t="shared" si="28"/>
        <v>0.99812489061785792</v>
      </c>
      <c r="N59" s="55">
        <f t="shared" si="29"/>
        <v>8.0326702683234817E-4</v>
      </c>
      <c r="O59" s="56">
        <f t="shared" si="30"/>
        <v>8.5901388395262875E-7</v>
      </c>
      <c r="P59" s="56">
        <f t="shared" si="31"/>
        <v>4.8512959252668213E-6</v>
      </c>
      <c r="Q59" s="56">
        <f t="shared" si="32"/>
        <v>6.1124058576272067E-5</v>
      </c>
      <c r="R59" s="9">
        <f t="shared" si="12"/>
        <v>1.4999999999999999E-4</v>
      </c>
      <c r="S59" s="9">
        <f t="shared" si="13"/>
        <v>2.8126640732131143E-7</v>
      </c>
      <c r="T59" s="9">
        <f t="shared" si="10"/>
        <v>1.2813508323954384E-4</v>
      </c>
      <c r="U59" s="9">
        <f t="shared" si="11"/>
        <v>1.4971873359267867E-4</v>
      </c>
      <c r="V59" s="100">
        <f t="shared" si="14"/>
        <v>0.85583867940097047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0.6487673116742505</v>
      </c>
      <c r="J60" s="54">
        <f t="shared" si="25"/>
        <v>2.1032284188661468</v>
      </c>
      <c r="K60" s="55">
        <f t="shared" si="26"/>
        <v>0.2209131815207738</v>
      </c>
      <c r="L60" s="55">
        <f t="shared" si="27"/>
        <v>1.0890360990035123E-2</v>
      </c>
      <c r="M60" s="55">
        <f t="shared" si="28"/>
        <v>0.98910963900996485</v>
      </c>
      <c r="N60" s="55">
        <f t="shared" si="29"/>
        <v>7.2059750909813751E-3</v>
      </c>
      <c r="O60" s="56">
        <f t="shared" si="30"/>
        <v>2.221493348387599E-7</v>
      </c>
      <c r="P60" s="56">
        <f t="shared" si="31"/>
        <v>2.8175617059356733E-5</v>
      </c>
      <c r="Q60" s="56">
        <f t="shared" si="32"/>
        <v>5.4833377799314573E-4</v>
      </c>
      <c r="R60" s="9">
        <f t="shared" si="12"/>
        <v>1.4999999999999999E-4</v>
      </c>
      <c r="S60" s="9">
        <f t="shared" si="13"/>
        <v>1.6335541485052683E-6</v>
      </c>
      <c r="T60" s="9">
        <f t="shared" si="10"/>
        <v>3.3136977228116064E-5</v>
      </c>
      <c r="U60" s="9">
        <f t="shared" si="11"/>
        <v>1.483664458514947E-4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1.4117733403846819</v>
      </c>
      <c r="J61" s="54">
        <f t="shared" si="25"/>
        <v>3.0789765751678111</v>
      </c>
      <c r="K61" s="55">
        <f t="shared" si="26"/>
        <v>3.786485788756596E-2</v>
      </c>
      <c r="L61" s="55">
        <f t="shared" si="27"/>
        <v>1.7652455813281506E-2</v>
      </c>
      <c r="M61" s="55">
        <f t="shared" si="28"/>
        <v>0.98234754418671855</v>
      </c>
      <c r="N61" s="55">
        <f t="shared" si="29"/>
        <v>1.4197355510685895E-2</v>
      </c>
      <c r="O61" s="56">
        <f t="shared" si="30"/>
        <v>3.8076736460816178E-8</v>
      </c>
      <c r="P61" s="56">
        <f t="shared" si="31"/>
        <v>4.5670555421196525E-5</v>
      </c>
      <c r="Q61" s="56">
        <f t="shared" si="32"/>
        <v>1.0803381202953873E-3</v>
      </c>
      <c r="R61" s="9">
        <f t="shared" si="12"/>
        <v>1.4999999999999999E-4</v>
      </c>
      <c r="S61" s="9">
        <f t="shared" si="13"/>
        <v>2.6478683719922256E-6</v>
      </c>
      <c r="T61" s="9">
        <f t="shared" si="10"/>
        <v>5.6797286831348934E-6</v>
      </c>
      <c r="U61" s="9">
        <f t="shared" si="11"/>
        <v>1.4735213162800776E-4</v>
      </c>
      <c r="V61" s="100">
        <f t="shared" si="14"/>
        <v>3.8545276680987804E-2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2.2542758302531842</v>
      </c>
      <c r="J62" s="54">
        <f t="shared" si="25"/>
        <v>4.0344435307569677</v>
      </c>
      <c r="K62" s="55">
        <f t="shared" si="26"/>
        <v>5.4133028085466594E-3</v>
      </c>
      <c r="L62" s="55">
        <f t="shared" si="27"/>
        <v>2.2777081655307903E-2</v>
      </c>
      <c r="M62" s="55">
        <f t="shared" si="28"/>
        <v>0.9772229183446921</v>
      </c>
      <c r="N62" s="55">
        <f t="shared" si="29"/>
        <v>2.0292401546377396E-2</v>
      </c>
      <c r="O62" s="56">
        <f t="shared" si="30"/>
        <v>5.4435937680176276E-9</v>
      </c>
      <c r="P62" s="56">
        <f t="shared" si="31"/>
        <v>5.8929022741934398E-5</v>
      </c>
      <c r="Q62" s="56">
        <f t="shared" si="32"/>
        <v>1.5441365067171903E-3</v>
      </c>
      <c r="R62" s="9">
        <f t="shared" si="12"/>
        <v>1.4999999999999999E-4</v>
      </c>
      <c r="S62" s="9">
        <f t="shared" si="13"/>
        <v>3.4165622482961853E-6</v>
      </c>
      <c r="T62" s="9">
        <f t="shared" si="10"/>
        <v>8.1199542128199879E-7</v>
      </c>
      <c r="U62" s="9">
        <f t="shared" si="11"/>
        <v>1.465834377517038E-4</v>
      </c>
      <c r="V62" s="100">
        <f t="shared" si="14"/>
        <v>5.539475903528949E-3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3.3259932392561606</v>
      </c>
      <c r="J63" s="54">
        <f t="shared" si="25"/>
        <v>5.1890390659693475</v>
      </c>
      <c r="K63" s="55">
        <f t="shared" si="26"/>
        <v>4.5674101041102028E-4</v>
      </c>
      <c r="L63" s="55">
        <f t="shared" si="27"/>
        <v>2.7434768569623409E-2</v>
      </c>
      <c r="M63" s="55">
        <f t="shared" si="28"/>
        <v>0.97256523143037654</v>
      </c>
      <c r="N63" s="55">
        <f t="shared" si="29"/>
        <v>2.6016036582441546E-2</v>
      </c>
      <c r="O63" s="56">
        <f t="shared" si="30"/>
        <v>4.5929677422553412E-10</v>
      </c>
      <c r="P63" s="56">
        <f t="shared" si="31"/>
        <v>7.0979422448630249E-5</v>
      </c>
      <c r="Q63" s="56">
        <f t="shared" si="32"/>
        <v>1.9796726255010212E-3</v>
      </c>
      <c r="R63" s="9">
        <f t="shared" si="12"/>
        <v>1.4999999999999999E-4</v>
      </c>
      <c r="S63" s="9">
        <f t="shared" si="13"/>
        <v>4.115215285443511E-6</v>
      </c>
      <c r="T63" s="9">
        <f t="shared" si="10"/>
        <v>6.8511151561653031E-8</v>
      </c>
      <c r="U63" s="9">
        <f t="shared" si="11"/>
        <v>1.4588478471455648E-4</v>
      </c>
      <c r="V63" s="100">
        <f t="shared" si="14"/>
        <v>4.6962506539461587E-4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2.6313958666363746</v>
      </c>
      <c r="J64" s="54">
        <f t="shared" si="25"/>
        <v>4.4465323312018885</v>
      </c>
      <c r="K64" s="55">
        <f t="shared" si="26"/>
        <v>2.2673243142270162E-3</v>
      </c>
      <c r="L64" s="55">
        <f t="shared" si="27"/>
        <v>2.4639858145884146E-2</v>
      </c>
      <c r="M64" s="55">
        <f t="shared" si="28"/>
        <v>0.9753601418541159</v>
      </c>
      <c r="N64" s="55">
        <f t="shared" si="29"/>
        <v>2.2572765589428997E-2</v>
      </c>
      <c r="O64" s="56">
        <f t="shared" si="30"/>
        <v>2.2800114723888244E-9</v>
      </c>
      <c r="P64" s="56">
        <f t="shared" si="31"/>
        <v>6.3748410925087726E-5</v>
      </c>
      <c r="Q64" s="56">
        <f t="shared" si="32"/>
        <v>1.7176592590357692E-3</v>
      </c>
      <c r="R64" s="9">
        <f t="shared" si="12"/>
        <v>1.4999999999999999E-4</v>
      </c>
      <c r="S64" s="9">
        <f t="shared" si="13"/>
        <v>3.6959787218826215E-6</v>
      </c>
      <c r="T64" s="9">
        <f t="shared" si="10"/>
        <v>3.4009864713405238E-7</v>
      </c>
      <c r="U64" s="9">
        <f t="shared" si="11"/>
        <v>1.4630402127811738E-4</v>
      </c>
      <c r="V64" s="100">
        <f t="shared" si="14"/>
        <v>2.3246021822430989E-3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2.3610319672695166</v>
      </c>
      <c r="J65" s="54">
        <f t="shared" si="25"/>
        <v>4.1518524373281949</v>
      </c>
      <c r="K65" s="55">
        <f t="shared" si="26"/>
        <v>4.2311713601505384E-3</v>
      </c>
      <c r="L65" s="55">
        <f t="shared" si="27"/>
        <v>2.3329491800350124E-2</v>
      </c>
      <c r="M65" s="55">
        <f t="shared" si="28"/>
        <v>0.97667050819964984</v>
      </c>
      <c r="N65" s="55">
        <f t="shared" si="29"/>
        <v>2.0966780116182228E-2</v>
      </c>
      <c r="O65" s="56">
        <f t="shared" si="30"/>
        <v>4.2548475232468822E-9</v>
      </c>
      <c r="P65" s="56">
        <f t="shared" si="31"/>
        <v>6.0358222078912816E-5</v>
      </c>
      <c r="Q65" s="56">
        <f t="shared" si="32"/>
        <v>1.5954528857373594E-3</v>
      </c>
      <c r="R65" s="9">
        <f t="shared" si="12"/>
        <v>1.4999999999999999E-4</v>
      </c>
      <c r="S65" s="9">
        <f t="shared" si="13"/>
        <v>3.4994237700525181E-6</v>
      </c>
      <c r="T65" s="9">
        <f t="shared" si="10"/>
        <v>6.3467570402258073E-7</v>
      </c>
      <c r="U65" s="9">
        <f t="shared" si="11"/>
        <v>1.4650057622994748E-4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2.6313958666363746</v>
      </c>
      <c r="J66" s="54">
        <f t="shared" si="25"/>
        <v>4.4465323312018885</v>
      </c>
      <c r="K66" s="55">
        <f t="shared" si="26"/>
        <v>2.2673243142270162E-3</v>
      </c>
      <c r="L66" s="55">
        <f t="shared" si="27"/>
        <v>2.4639858145884146E-2</v>
      </c>
      <c r="M66" s="55">
        <f t="shared" si="28"/>
        <v>0.9753601418541159</v>
      </c>
      <c r="N66" s="55">
        <f t="shared" si="29"/>
        <v>2.2572765589428997E-2</v>
      </c>
      <c r="O66" s="56">
        <f t="shared" si="30"/>
        <v>2.2800114723888244E-9</v>
      </c>
      <c r="P66" s="56">
        <f t="shared" si="31"/>
        <v>6.3748410925087726E-5</v>
      </c>
      <c r="Q66" s="56">
        <f t="shared" si="32"/>
        <v>1.7176592590357692E-3</v>
      </c>
      <c r="R66" s="9">
        <f t="shared" si="12"/>
        <v>1.4999999999999999E-4</v>
      </c>
      <c r="S66" s="9">
        <f t="shared" si="13"/>
        <v>3.6959787218826215E-6</v>
      </c>
      <c r="T66" s="9">
        <f t="shared" si="10"/>
        <v>3.4009864713405238E-7</v>
      </c>
      <c r="U66" s="9">
        <f t="shared" si="11"/>
        <v>1.4630402127811738E-4</v>
      </c>
      <c r="V66" s="100">
        <f t="shared" si="14"/>
        <v>2.3246021822430989E-3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-1.8671766444063711E-3</v>
      </c>
      <c r="J67" s="54">
        <f t="shared" si="25"/>
        <v>-4.4959764993656129E-2</v>
      </c>
      <c r="K67" s="55">
        <f t="shared" si="26"/>
        <v>0.99875656344004071</v>
      </c>
      <c r="L67" s="55">
        <f t="shared" si="27"/>
        <v>3.5001939359370989E-4</v>
      </c>
      <c r="M67" s="55">
        <f t="shared" si="28"/>
        <v>0.99964998060640631</v>
      </c>
      <c r="N67" s="55">
        <f t="shared" si="29"/>
        <v>3.926548857489866E-7</v>
      </c>
      <c r="O67" s="56">
        <f t="shared" si="30"/>
        <v>1.0043452577463637E-6</v>
      </c>
      <c r="P67" s="56">
        <f t="shared" si="31"/>
        <v>9.0557258903249869E-7</v>
      </c>
      <c r="Q67" s="56">
        <f t="shared" si="32"/>
        <v>2.9878806716897277E-8</v>
      </c>
      <c r="R67" s="9">
        <f t="shared" si="12"/>
        <v>1.4999999999999999E-4</v>
      </c>
      <c r="S67" s="9">
        <f t="shared" si="13"/>
        <v>5.2502909039056482E-8</v>
      </c>
      <c r="T67" s="9">
        <f t="shared" si="10"/>
        <v>1.4981348451600609E-4</v>
      </c>
      <c r="U67" s="9">
        <f t="shared" si="11"/>
        <v>1.4994749709096094E-4</v>
      </c>
      <c r="V67" s="100">
        <f t="shared" si="14"/>
        <v>0.99910627001080554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2.7194923137791687</v>
      </c>
      <c r="J68" s="54">
        <f t="shared" si="25"/>
        <v>4.4419747400947829</v>
      </c>
      <c r="K68" s="55">
        <f t="shared" si="26"/>
        <v>1.8598501962930937E-3</v>
      </c>
      <c r="L68" s="55">
        <f t="shared" si="27"/>
        <v>2.0000687841387629E-2</v>
      </c>
      <c r="M68" s="55">
        <f t="shared" si="28"/>
        <v>0.97999931215861236</v>
      </c>
      <c r="N68" s="55">
        <f t="shared" si="29"/>
        <v>1.6831821182103256E-2</v>
      </c>
      <c r="O68" s="56">
        <f t="shared" si="30"/>
        <v>1.870257271032944E-9</v>
      </c>
      <c r="P68" s="56">
        <f t="shared" si="31"/>
        <v>5.1745917519016323E-5</v>
      </c>
      <c r="Q68" s="56">
        <f t="shared" si="32"/>
        <v>1.2808059954077338E-3</v>
      </c>
      <c r="R68" s="9">
        <f t="shared" si="12"/>
        <v>1.4999999999999999E-4</v>
      </c>
      <c r="S68" s="9">
        <f t="shared" si="13"/>
        <v>3.0001031762081443E-6</v>
      </c>
      <c r="T68" s="9">
        <f t="shared" si="10"/>
        <v>2.7897752944396402E-7</v>
      </c>
      <c r="U68" s="9">
        <f t="shared" si="11"/>
        <v>1.4699989682379183E-4</v>
      </c>
      <c r="V68" s="100">
        <f t="shared" si="14"/>
        <v>1.8978076547793311E-3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0.38500856866688477</v>
      </c>
      <c r="J69" s="54">
        <f t="shared" si="25"/>
        <v>1.6683881238923828</v>
      </c>
      <c r="K69" s="55">
        <f t="shared" si="26"/>
        <v>0.40693314881962106</v>
      </c>
      <c r="L69" s="55">
        <f t="shared" si="27"/>
        <v>7.3706097882047412E-3</v>
      </c>
      <c r="M69" s="55">
        <f t="shared" si="28"/>
        <v>0.9926293902117953</v>
      </c>
      <c r="N69" s="55">
        <f t="shared" si="29"/>
        <v>4.2471167077227871E-3</v>
      </c>
      <c r="O69" s="56">
        <f t="shared" si="30"/>
        <v>4.0921020516659423E-7</v>
      </c>
      <c r="P69" s="56">
        <f t="shared" si="31"/>
        <v>1.906929247583495E-5</v>
      </c>
      <c r="Q69" s="56">
        <f t="shared" si="32"/>
        <v>3.2318145990236616E-4</v>
      </c>
      <c r="R69" s="9">
        <f t="shared" si="12"/>
        <v>1.4999999999999999E-4</v>
      </c>
      <c r="S69" s="9">
        <f t="shared" si="13"/>
        <v>1.105591468230711E-6</v>
      </c>
      <c r="T69" s="9">
        <f t="shared" si="10"/>
        <v>6.1039972322943158E-5</v>
      </c>
      <c r="U69" s="9">
        <f t="shared" si="11"/>
        <v>1.4889440853176929E-4</v>
      </c>
      <c r="V69" s="100">
        <f t="shared" si="14"/>
        <v>0.40995476542639397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1.2852308448323728</v>
      </c>
      <c r="J70" s="54">
        <f t="shared" si="25"/>
        <v>2.9309327933636746</v>
      </c>
      <c r="K70" s="55">
        <f t="shared" si="26"/>
        <v>5.0716502112549917E-2</v>
      </c>
      <c r="L70" s="55">
        <f t="shared" si="27"/>
        <v>1.68141265951968E-2</v>
      </c>
      <c r="M70" s="55">
        <f t="shared" si="28"/>
        <v>0.98318587340480323</v>
      </c>
      <c r="N70" s="55">
        <f t="shared" si="29"/>
        <v>1.3256822353775757E-2</v>
      </c>
      <c r="O70" s="56">
        <f t="shared" si="30"/>
        <v>5.1000294016371566E-8</v>
      </c>
      <c r="P70" s="56">
        <f t="shared" si="31"/>
        <v>4.3501624286586939E-5</v>
      </c>
      <c r="Q70" s="56">
        <f t="shared" si="32"/>
        <v>1.0087688888249912E-3</v>
      </c>
      <c r="R70" s="9">
        <f t="shared" si="12"/>
        <v>1.4999999999999999E-4</v>
      </c>
      <c r="S70" s="9">
        <f t="shared" si="13"/>
        <v>2.5221189892795197E-6</v>
      </c>
      <c r="T70" s="9">
        <f t="shared" si="10"/>
        <v>7.6074753168824866E-6</v>
      </c>
      <c r="U70" s="9">
        <f t="shared" si="11"/>
        <v>1.4747788101072048E-4</v>
      </c>
      <c r="V70" s="100">
        <f t="shared" si="14"/>
        <v>5.1583839317093823E-2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5.6426701080559019</v>
      </c>
      <c r="K71" s="55">
        <f t="shared" ref="K71:K122" si="35">IF(D71=0,"",1/(1+10^D71*$J$15/$J$14+10^E71*$J$16/$J$14+10^J71*$J$19/$J$14))</f>
        <v>1.196296113507733E-4</v>
      </c>
      <c r="L71" s="55">
        <f t="shared" ref="L71:L122" si="36">IF(D71=0,"",1/(1+10^I71/10^J71*$J$13/$J$19))</f>
        <v>2.0422129536615374E-2</v>
      </c>
      <c r="M71" s="55">
        <f t="shared" si="19"/>
        <v>0.97957787046338463</v>
      </c>
      <c r="N71" s="55">
        <f t="shared" ref="N71:N122" si="37">IF(D71=0,"",1/(1/10^E71*$J$20/$J$22+10^D71/10^E71*$J$21/$J$22+10^I71/10^E71*$J$13/$J$22+1))</f>
        <v>1.7340029642528863E-2</v>
      </c>
      <c r="O71" s="56">
        <f t="shared" si="21"/>
        <v>1.2029901704210702E-10</v>
      </c>
      <c r="P71" s="56">
        <f t="shared" ref="P71:P122" si="38">IF(D71=0,"",O71*10^J71)</f>
        <v>5.2836274379403956E-5</v>
      </c>
      <c r="Q71" s="56">
        <f t="shared" ref="Q71:Q122" si="39">IF(D71=0,"",F71*N71*$J$7/$J$22)</f>
        <v>1.3194777728694708E-3</v>
      </c>
      <c r="R71" s="9">
        <f t="shared" si="12"/>
        <v>1.4999999999999999E-4</v>
      </c>
      <c r="S71" s="9">
        <f t="shared" si="13"/>
        <v>3.0633194304923061E-6</v>
      </c>
      <c r="T71" s="9">
        <f t="shared" si="10"/>
        <v>1.7944441702615994E-8</v>
      </c>
      <c r="U71" s="9">
        <f t="shared" si="11"/>
        <v>1.4693668056950767E-4</v>
      </c>
      <c r="V71" s="100">
        <f t="shared" si="14"/>
        <v>1.2212363606599552E-4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3.4646398062685488</v>
      </c>
      <c r="J72" s="54">
        <f t="shared" si="34"/>
        <v>5.1536383853683807</v>
      </c>
      <c r="K72" s="55">
        <f t="shared" si="35"/>
        <v>3.3494653182382817E-4</v>
      </c>
      <c r="L72" s="55">
        <f t="shared" si="36"/>
        <v>1.854411438014426E-2</v>
      </c>
      <c r="M72" s="55">
        <f t="shared" si="19"/>
        <v>0.98145588561985575</v>
      </c>
      <c r="N72" s="55">
        <f t="shared" si="37"/>
        <v>1.5018848243599659E-2</v>
      </c>
      <c r="O72" s="56">
        <f t="shared" si="21"/>
        <v>3.3682077610301362E-10</v>
      </c>
      <c r="P72" s="56">
        <f t="shared" si="38"/>
        <v>4.7977460614753253E-5</v>
      </c>
      <c r="Q72" s="56">
        <f t="shared" si="39"/>
        <v>1.1428490515913174E-3</v>
      </c>
      <c r="R72" s="9">
        <f t="shared" si="12"/>
        <v>1.4999999999999999E-4</v>
      </c>
      <c r="S72" s="9">
        <f t="shared" si="13"/>
        <v>2.7816171570216388E-6</v>
      </c>
      <c r="T72" s="9">
        <f t="shared" si="10"/>
        <v>5.0241979773574224E-8</v>
      </c>
      <c r="U72" s="9">
        <f t="shared" si="11"/>
        <v>1.4721838284297836E-4</v>
      </c>
      <c r="V72" s="100">
        <f t="shared" si="14"/>
        <v>3.4127517775522513E-4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3.4579829545014036</v>
      </c>
      <c r="J73" s="54">
        <f t="shared" si="34"/>
        <v>5.1764429441964488</v>
      </c>
      <c r="K73" s="55">
        <f t="shared" si="35"/>
        <v>3.3967799366214002E-4</v>
      </c>
      <c r="L73" s="55">
        <f t="shared" si="36"/>
        <v>1.9819951276970942E-2</v>
      </c>
      <c r="M73" s="55">
        <f t="shared" si="19"/>
        <v>0.98018004872302911</v>
      </c>
      <c r="N73" s="55">
        <f t="shared" si="37"/>
        <v>1.6596883876704983E-2</v>
      </c>
      <c r="O73" s="56">
        <f t="shared" si="21"/>
        <v>3.4157871355590895E-10</v>
      </c>
      <c r="P73" s="56">
        <f t="shared" si="38"/>
        <v>5.1278314633098417E-5</v>
      </c>
      <c r="Q73" s="56">
        <f t="shared" si="39"/>
        <v>1.2629286007964486E-3</v>
      </c>
      <c r="R73" s="9">
        <f t="shared" si="12"/>
        <v>1.4999999999999999E-4</v>
      </c>
      <c r="S73" s="9">
        <f t="shared" si="13"/>
        <v>2.9729926915456409E-6</v>
      </c>
      <c r="T73" s="9">
        <f t="shared" si="10"/>
        <v>5.0951699049321E-8</v>
      </c>
      <c r="U73" s="9">
        <f t="shared" si="11"/>
        <v>1.4702700730845437E-4</v>
      </c>
      <c r="V73" s="100">
        <f t="shared" si="14"/>
        <v>3.4654652898176192E-4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0.62193942428688143</v>
      </c>
      <c r="J74" s="54">
        <f t="shared" si="34"/>
        <v>2.0141119248188848</v>
      </c>
      <c r="K74" s="55">
        <f t="shared" si="35"/>
        <v>0.23533250740436965</v>
      </c>
      <c r="L74" s="55">
        <f t="shared" si="36"/>
        <v>9.4490048879142894E-3</v>
      </c>
      <c r="M74" s="55">
        <f t="shared" si="19"/>
        <v>0.99055099511208566</v>
      </c>
      <c r="N74" s="55">
        <f t="shared" si="37"/>
        <v>5.5313490606684178E-3</v>
      </c>
      <c r="O74" s="56">
        <f t="shared" si="21"/>
        <v>2.3664934625416251E-7</v>
      </c>
      <c r="P74" s="56">
        <f t="shared" si="38"/>
        <v>2.4446530611562805E-5</v>
      </c>
      <c r="Q74" s="56">
        <f t="shared" si="39"/>
        <v>4.2090424814694802E-4</v>
      </c>
      <c r="R74" s="9">
        <f t="shared" si="12"/>
        <v>1.4999999999999999E-4</v>
      </c>
      <c r="S74" s="9">
        <f t="shared" si="13"/>
        <v>1.4173507331871433E-6</v>
      </c>
      <c r="T74" s="9">
        <f t="shared" si="10"/>
        <v>3.5299876110655441E-5</v>
      </c>
      <c r="U74" s="9">
        <f t="shared" si="11"/>
        <v>1.4858264926681283E-4</v>
      </c>
      <c r="V74" s="100">
        <f t="shared" si="14"/>
        <v>0.23757737720281694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2.0259693417507676</v>
      </c>
      <c r="J75" s="54">
        <f t="shared" si="34"/>
        <v>3.7810877200174948</v>
      </c>
      <c r="K75" s="55">
        <f t="shared" si="35"/>
        <v>9.1690337662712774E-3</v>
      </c>
      <c r="L75" s="55">
        <f t="shared" si="36"/>
        <v>2.1527991773866734E-2</v>
      </c>
      <c r="M75" s="55">
        <f t="shared" si="19"/>
        <v>0.97847200822613323</v>
      </c>
      <c r="N75" s="55">
        <f t="shared" si="37"/>
        <v>1.8775637784982382E-2</v>
      </c>
      <c r="O75" s="56">
        <f t="shared" si="21"/>
        <v>9.2203404897310409E-9</v>
      </c>
      <c r="P75" s="56">
        <f t="shared" si="38"/>
        <v>5.5697368786256862E-5</v>
      </c>
      <c r="Q75" s="56">
        <f t="shared" si="39"/>
        <v>1.4287193989548108E-3</v>
      </c>
      <c r="R75" s="9">
        <f t="shared" si="12"/>
        <v>1.4999999999999999E-4</v>
      </c>
      <c r="S75" s="9">
        <f t="shared" si="13"/>
        <v>3.2291987660800098E-6</v>
      </c>
      <c r="T75" s="9">
        <f t="shared" si="10"/>
        <v>1.3753550649406915E-6</v>
      </c>
      <c r="U75" s="9">
        <f t="shared" si="11"/>
        <v>1.4677080123391998E-4</v>
      </c>
      <c r="V75" s="100">
        <f t="shared" si="14"/>
        <v>9.3707675735085882E-3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2.0466328175843658</v>
      </c>
      <c r="J76" s="54">
        <f t="shared" si="34"/>
        <v>3.7332769148114004</v>
      </c>
      <c r="K76" s="55">
        <f t="shared" si="35"/>
        <v>8.7705336627988267E-3</v>
      </c>
      <c r="L76" s="55">
        <f t="shared" si="36"/>
        <v>1.8445700861954076E-2</v>
      </c>
      <c r="M76" s="55">
        <f t="shared" si="19"/>
        <v>0.98155429913804593</v>
      </c>
      <c r="N76" s="55">
        <f t="shared" si="37"/>
        <v>1.4960364106135597E-2</v>
      </c>
      <c r="O76" s="56">
        <f t="shared" si="21"/>
        <v>8.8196105182999008E-9</v>
      </c>
      <c r="P76" s="56">
        <f t="shared" si="38"/>
        <v>4.7722844481777728E-5</v>
      </c>
      <c r="Q76" s="56">
        <f t="shared" si="39"/>
        <v>1.138398740891732E-3</v>
      </c>
      <c r="R76" s="9">
        <f t="shared" si="12"/>
        <v>1.4999999999999999E-4</v>
      </c>
      <c r="S76" s="9">
        <f t="shared" si="13"/>
        <v>2.7668551292931114E-6</v>
      </c>
      <c r="T76" s="9">
        <f t="shared" si="10"/>
        <v>1.3155800494198239E-6</v>
      </c>
      <c r="U76" s="9">
        <f t="shared" si="11"/>
        <v>1.4723314487070688E-4</v>
      </c>
      <c r="V76" s="100">
        <f t="shared" si="14"/>
        <v>8.9353525021495916E-3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0.75425121724867172</v>
      </c>
      <c r="J77" s="54">
        <f t="shared" si="34"/>
        <v>2.264683445445602</v>
      </c>
      <c r="K77" s="55">
        <f t="shared" si="35"/>
        <v>0.17301654847647524</v>
      </c>
      <c r="L77" s="55">
        <f t="shared" si="36"/>
        <v>1.2369818180456398E-2</v>
      </c>
      <c r="M77" s="55">
        <f t="shared" si="19"/>
        <v>0.98763018181954365</v>
      </c>
      <c r="N77" s="55">
        <f t="shared" si="37"/>
        <v>8.6767640505681191E-3</v>
      </c>
      <c r="O77" s="56">
        <f t="shared" si="21"/>
        <v>1.7398468889703946E-7</v>
      </c>
      <c r="P77" s="56">
        <f t="shared" si="38"/>
        <v>3.2003278905567693E-5</v>
      </c>
      <c r="Q77" s="56">
        <f t="shared" si="39"/>
        <v>6.602524644524091E-4</v>
      </c>
      <c r="R77" s="9">
        <f t="shared" si="12"/>
        <v>1.4999999999999999E-4</v>
      </c>
      <c r="S77" s="9">
        <f t="shared" si="13"/>
        <v>1.8554727270684594E-6</v>
      </c>
      <c r="T77" s="9">
        <f t="shared" si="10"/>
        <v>2.5952482271471285E-5</v>
      </c>
      <c r="U77" s="9">
        <f t="shared" si="11"/>
        <v>1.4814452727293154E-4</v>
      </c>
      <c r="V77" s="100">
        <f t="shared" si="14"/>
        <v>0.1751835369770911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2.5984525990333625</v>
      </c>
      <c r="K78" s="55">
        <f t="shared" si="35"/>
        <v>0.1019581439607621</v>
      </c>
      <c r="L78" s="55">
        <f t="shared" si="36"/>
        <v>1.5720514182957571E-2</v>
      </c>
      <c r="M78" s="55">
        <f t="shared" si="19"/>
        <v>0.98427948581704239</v>
      </c>
      <c r="N78" s="55">
        <f t="shared" si="37"/>
        <v>1.2288335631703671E-2</v>
      </c>
      <c r="O78" s="56">
        <f t="shared" si="21"/>
        <v>1.0252866626769356E-7</v>
      </c>
      <c r="P78" s="56">
        <f t="shared" si="38"/>
        <v>4.0672222711487035E-5</v>
      </c>
      <c r="Q78" s="56">
        <f t="shared" si="39"/>
        <v>9.3507254980841256E-4</v>
      </c>
      <c r="R78" s="9">
        <f t="shared" si="12"/>
        <v>1.4999999999999999E-4</v>
      </c>
      <c r="S78" s="9">
        <f t="shared" si="13"/>
        <v>2.3580771274436353E-6</v>
      </c>
      <c r="T78" s="9">
        <f t="shared" si="10"/>
        <v>1.5293721594114313E-5</v>
      </c>
      <c r="U78" s="9">
        <f t="shared" si="11"/>
        <v>1.4764192287255635E-4</v>
      </c>
      <c r="V78" s="100">
        <f t="shared" si="14"/>
        <v>0.10358657823303863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2.5205823295230894</v>
      </c>
      <c r="K79" s="55">
        <f t="shared" si="35"/>
        <v>8.6261353137654387E-2</v>
      </c>
      <c r="L79" s="55">
        <f t="shared" si="36"/>
        <v>1.1117082348175116E-2</v>
      </c>
      <c r="M79" s="55">
        <f t="shared" si="19"/>
        <v>0.9888829176518249</v>
      </c>
      <c r="N79" s="55">
        <f t="shared" si="37"/>
        <v>6.4769778248159509E-3</v>
      </c>
      <c r="O79" s="56">
        <f t="shared" si="21"/>
        <v>8.6744041663350414E-8</v>
      </c>
      <c r="P79" s="56">
        <f t="shared" si="38"/>
        <v>2.8762192120732097E-5</v>
      </c>
      <c r="Q79" s="56">
        <f t="shared" si="39"/>
        <v>4.9286122638754156E-4</v>
      </c>
      <c r="R79" s="9">
        <f t="shared" si="12"/>
        <v>1.4999999999999999E-4</v>
      </c>
      <c r="S79" s="9">
        <f t="shared" si="13"/>
        <v>1.6675623522262672E-6</v>
      </c>
      <c r="T79" s="9">
        <f t="shared" si="10"/>
        <v>1.2939202970648156E-5</v>
      </c>
      <c r="U79" s="9">
        <f t="shared" si="11"/>
        <v>1.4833243764777372E-4</v>
      </c>
      <c r="V79" s="100">
        <f t="shared" si="14"/>
        <v>8.7231108554780487E-2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2.5993109864972253</v>
      </c>
      <c r="K80" s="55">
        <f t="shared" si="35"/>
        <v>7.137504036976039E-2</v>
      </c>
      <c r="L80" s="55">
        <f t="shared" si="36"/>
        <v>1.1026802095177072E-2</v>
      </c>
      <c r="M80" s="55">
        <f t="shared" si="19"/>
        <v>0.98897319790482296</v>
      </c>
      <c r="N80" s="55">
        <f t="shared" si="37"/>
        <v>6.2537211248374514E-3</v>
      </c>
      <c r="O80" s="56">
        <f t="shared" si="21"/>
        <v>7.1774430267488944E-8</v>
      </c>
      <c r="P80" s="56">
        <f t="shared" si="38"/>
        <v>2.852861842755313E-5</v>
      </c>
      <c r="Q80" s="56">
        <f t="shared" si="39"/>
        <v>4.7587265950854881E-4</v>
      </c>
      <c r="R80" s="9">
        <f t="shared" si="12"/>
        <v>1.4999999999999999E-4</v>
      </c>
      <c r="S80" s="9">
        <f t="shared" si="13"/>
        <v>1.6540203142765607E-6</v>
      </c>
      <c r="T80" s="9">
        <f t="shared" si="10"/>
        <v>1.0706256055464057E-5</v>
      </c>
      <c r="U80" s="9">
        <f t="shared" si="11"/>
        <v>1.4834597968572342E-4</v>
      </c>
      <c r="V80" s="100">
        <f t="shared" si="14"/>
        <v>7.2170854094904799E-2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4.2280989480409303</v>
      </c>
      <c r="K81" s="55">
        <f t="shared" si="35"/>
        <v>3.3238766045803835E-3</v>
      </c>
      <c r="L81" s="55">
        <f t="shared" si="36"/>
        <v>2.1844196140065535E-2</v>
      </c>
      <c r="M81" s="55">
        <f t="shared" si="19"/>
        <v>0.9781558038599345</v>
      </c>
      <c r="N81" s="55">
        <f t="shared" si="37"/>
        <v>1.9122912437436683E-2</v>
      </c>
      <c r="O81" s="56">
        <f t="shared" si="21"/>
        <v>3.3424758618317761E-9</v>
      </c>
      <c r="P81" s="56">
        <f t="shared" si="38"/>
        <v>5.6515454903206125E-5</v>
      </c>
      <c r="Q81" s="56">
        <f t="shared" si="39"/>
        <v>1.4551450276556156E-3</v>
      </c>
      <c r="R81" s="9">
        <f t="shared" si="12"/>
        <v>1.4999999999999999E-4</v>
      </c>
      <c r="S81" s="9">
        <f t="shared" si="13"/>
        <v>3.2766294210098298E-6</v>
      </c>
      <c r="T81" s="9">
        <f t="shared" si="10"/>
        <v>4.985814906870575E-7</v>
      </c>
      <c r="U81" s="9">
        <f t="shared" si="11"/>
        <v>1.4672337057899015E-4</v>
      </c>
      <c r="V81" s="100">
        <f t="shared" si="14"/>
        <v>3.3981054873507052E-3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3.9256295758213415</v>
      </c>
      <c r="K82" s="55">
        <f t="shared" si="35"/>
        <v>5.7825039643016512E-3</v>
      </c>
      <c r="L82" s="55">
        <f t="shared" si="36"/>
        <v>1.8938158269558577E-2</v>
      </c>
      <c r="M82" s="55">
        <f t="shared" si="19"/>
        <v>0.98106184173044142</v>
      </c>
      <c r="N82" s="55">
        <f t="shared" si="37"/>
        <v>1.5547053137841603E-2</v>
      </c>
      <c r="O82" s="56">
        <f t="shared" si="21"/>
        <v>5.8148608450116739E-9</v>
      </c>
      <c r="P82" s="56">
        <f t="shared" si="38"/>
        <v>4.8996933682990077E-5</v>
      </c>
      <c r="Q82" s="56">
        <f t="shared" si="39"/>
        <v>1.1830424440964682E-3</v>
      </c>
      <c r="R82" s="9">
        <f t="shared" si="12"/>
        <v>1.4999999999999999E-4</v>
      </c>
      <c r="S82" s="9">
        <f t="shared" si="13"/>
        <v>2.8407237404337862E-6</v>
      </c>
      <c r="T82" s="9">
        <f t="shared" si="10"/>
        <v>8.673755946452476E-7</v>
      </c>
      <c r="U82" s="9">
        <f t="shared" si="11"/>
        <v>1.471592762595662E-4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0.70532975413914467</v>
      </c>
      <c r="J83" s="54">
        <f t="shared" si="34"/>
        <v>2.2086207765897057</v>
      </c>
      <c r="K83" s="55">
        <f t="shared" si="35"/>
        <v>0.19368533052041204</v>
      </c>
      <c r="L83" s="55">
        <f t="shared" si="36"/>
        <v>1.2170536757399233E-2</v>
      </c>
      <c r="M83" s="55">
        <f t="shared" si="19"/>
        <v>0.98782946324260079</v>
      </c>
      <c r="N83" s="55">
        <f t="shared" si="37"/>
        <v>8.5852287805952224E-3</v>
      </c>
      <c r="O83" s="56">
        <f t="shared" si="21"/>
        <v>1.9476912625555031E-7</v>
      </c>
      <c r="P83" s="56">
        <f t="shared" si="38"/>
        <v>3.1487696633479552E-5</v>
      </c>
      <c r="Q83" s="56">
        <f t="shared" si="39"/>
        <v>6.5328715028324441E-4</v>
      </c>
      <c r="R83" s="9">
        <f t="shared" si="12"/>
        <v>1.4999999999999999E-4</v>
      </c>
      <c r="S83" s="9">
        <f t="shared" si="13"/>
        <v>1.8255805136098848E-6</v>
      </c>
      <c r="T83" s="9">
        <f t="shared" si="10"/>
        <v>2.9052799578061804E-5</v>
      </c>
      <c r="U83" s="9">
        <f t="shared" si="11"/>
        <v>1.4817441948639012E-4</v>
      </c>
      <c r="V83" s="100">
        <f t="shared" si="14"/>
        <v>0.19607162746961407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3.9363574076389534</v>
      </c>
      <c r="K84" s="55">
        <f t="shared" si="35"/>
        <v>4.6101254569609184E-3</v>
      </c>
      <c r="L84" s="55">
        <f t="shared" si="36"/>
        <v>1.5476130333181206E-2</v>
      </c>
      <c r="M84" s="55">
        <f t="shared" si="19"/>
        <v>0.98452386966681882</v>
      </c>
      <c r="N84" s="55">
        <f t="shared" si="37"/>
        <v>1.1256305925515844E-2</v>
      </c>
      <c r="O84" s="56">
        <f t="shared" si="21"/>
        <v>4.63592211536185E-9</v>
      </c>
      <c r="P84" s="56">
        <f t="shared" si="38"/>
        <v>4.0039951129939735E-5</v>
      </c>
      <c r="Q84" s="56">
        <f t="shared" si="39"/>
        <v>8.5654095059384196E-4</v>
      </c>
      <c r="R84" s="9">
        <f t="shared" si="12"/>
        <v>1.4999999999999999E-4</v>
      </c>
      <c r="S84" s="9">
        <f t="shared" si="13"/>
        <v>2.3214195499771808E-6</v>
      </c>
      <c r="T84" s="9">
        <f t="shared" si="10"/>
        <v>6.9151881854413771E-7</v>
      </c>
      <c r="U84" s="9">
        <f t="shared" si="11"/>
        <v>1.4767858045002281E-4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2.1223563706849542</v>
      </c>
      <c r="K85" s="55">
        <f t="shared" si="35"/>
        <v>0.22291497186952919</v>
      </c>
      <c r="L85" s="55">
        <f t="shared" si="36"/>
        <v>1.148385858420296E-2</v>
      </c>
      <c r="M85" s="55">
        <f t="shared" si="19"/>
        <v>0.98851614141579702</v>
      </c>
      <c r="N85" s="55">
        <f t="shared" si="37"/>
        <v>7.9550402645835842E-3</v>
      </c>
      <c r="O85" s="56">
        <f t="shared" si="21"/>
        <v>2.2416232650997369E-7</v>
      </c>
      <c r="P85" s="56">
        <f t="shared" si="38"/>
        <v>2.9711118128074621E-5</v>
      </c>
      <c r="Q85" s="56">
        <f t="shared" si="39"/>
        <v>6.0533338337874422E-4</v>
      </c>
      <c r="R85" s="9">
        <f t="shared" si="12"/>
        <v>1.4999999999999999E-4</v>
      </c>
      <c r="S85" s="9">
        <f t="shared" si="13"/>
        <v>1.7225787876304439E-6</v>
      </c>
      <c r="T85" s="9">
        <f t="shared" si="10"/>
        <v>3.3437245780429373E-5</v>
      </c>
      <c r="U85" s="9">
        <f t="shared" si="11"/>
        <v>1.4827742121236955E-4</v>
      </c>
      <c r="V85" s="100">
        <f t="shared" si="14"/>
        <v>0.22550463521036732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3.0792919353710997</v>
      </c>
      <c r="K86" s="55">
        <f t="shared" si="35"/>
        <v>2.3071944765341659E-2</v>
      </c>
      <c r="L86" s="55">
        <f t="shared" si="36"/>
        <v>1.0763868053157365E-2</v>
      </c>
      <c r="M86" s="55">
        <f t="shared" si="19"/>
        <v>0.98923613194684268</v>
      </c>
      <c r="N86" s="55">
        <f t="shared" si="37"/>
        <v>5.5664119926638446E-3</v>
      </c>
      <c r="O86" s="56">
        <f t="shared" si="21"/>
        <v>2.3201047342552004E-8</v>
      </c>
      <c r="P86" s="56">
        <f t="shared" si="38"/>
        <v>2.7848353660701532E-5</v>
      </c>
      <c r="Q86" s="56">
        <f t="shared" si="39"/>
        <v>4.2357233813141543E-4</v>
      </c>
      <c r="R86" s="9">
        <f t="shared" si="12"/>
        <v>1.4999999999999999E-4</v>
      </c>
      <c r="S86" s="9">
        <f t="shared" si="13"/>
        <v>1.6145802079736047E-6</v>
      </c>
      <c r="T86" s="9">
        <f t="shared" si="10"/>
        <v>3.4607917148012485E-6</v>
      </c>
      <c r="U86" s="9">
        <f t="shared" si="11"/>
        <v>1.483854197920264E-4</v>
      </c>
      <c r="V86" s="100">
        <f t="shared" si="14"/>
        <v>2.3322990356140213E-2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1.8389380143467116</v>
      </c>
      <c r="K87" s="55">
        <f t="shared" si="35"/>
        <v>0.32633041127121654</v>
      </c>
      <c r="L87" s="55">
        <f t="shared" si="36"/>
        <v>8.7536220085388632E-3</v>
      </c>
      <c r="M87" s="55">
        <f t="shared" si="19"/>
        <v>0.99124637799146109</v>
      </c>
      <c r="N87" s="55">
        <f t="shared" si="37"/>
        <v>5.3534385790478924E-3</v>
      </c>
      <c r="O87" s="56">
        <f t="shared" si="21"/>
        <v>3.2815644273695207E-7</v>
      </c>
      <c r="P87" s="56">
        <f t="shared" si="38"/>
        <v>2.2647431230298705E-5</v>
      </c>
      <c r="Q87" s="56">
        <f t="shared" si="39"/>
        <v>4.0736627094055205E-4</v>
      </c>
      <c r="R87" s="9">
        <f t="shared" si="12"/>
        <v>1.4999999999999999E-4</v>
      </c>
      <c r="S87" s="9">
        <f t="shared" si="13"/>
        <v>1.3130433012808293E-6</v>
      </c>
      <c r="T87" s="9">
        <f t="shared" si="10"/>
        <v>4.8949561690682479E-5</v>
      </c>
      <c r="U87" s="9">
        <f t="shared" si="11"/>
        <v>1.4868695669871914E-4</v>
      </c>
      <c r="V87" s="100">
        <f t="shared" si="14"/>
        <v>0.32921221052272803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0.9190634048655969</v>
      </c>
      <c r="K88" s="55">
        <f t="shared" si="35"/>
        <v>0.70388226892648453</v>
      </c>
      <c r="L88" s="55">
        <f t="shared" si="36"/>
        <v>2.2706785471474549E-3</v>
      </c>
      <c r="M88" s="55">
        <f t="shared" si="19"/>
        <v>0.99772932145285254</v>
      </c>
      <c r="N88" s="55">
        <f t="shared" si="37"/>
        <v>1.65413583037537E-4</v>
      </c>
      <c r="O88" s="56">
        <f t="shared" si="21"/>
        <v>7.0782094925427315E-7</v>
      </c>
      <c r="P88" s="56">
        <f t="shared" si="38"/>
        <v>5.8747151970319448E-6</v>
      </c>
      <c r="Q88" s="56">
        <f t="shared" si="39"/>
        <v>1.2587034200530796E-5</v>
      </c>
      <c r="R88" s="9">
        <f t="shared" si="12"/>
        <v>1.4999999999999999E-4</v>
      </c>
      <c r="S88" s="9">
        <f t="shared" si="13"/>
        <v>3.4060178207211821E-7</v>
      </c>
      <c r="T88" s="9">
        <f t="shared" si="10"/>
        <v>1.0558234033897267E-4</v>
      </c>
      <c r="U88" s="9">
        <f t="shared" si="11"/>
        <v>1.4965939821792786E-4</v>
      </c>
      <c r="V88" s="100">
        <f t="shared" si="14"/>
        <v>0.70548419675741314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0.48257353970878836</v>
      </c>
      <c r="K89" s="55">
        <f t="shared" si="35"/>
        <v>0.9118861340340868</v>
      </c>
      <c r="L89" s="55">
        <f t="shared" si="36"/>
        <v>1.0767289209740035E-3</v>
      </c>
      <c r="M89" s="55">
        <f t="shared" si="19"/>
        <v>0.99892327107902601</v>
      </c>
      <c r="N89" s="55">
        <f t="shared" si="37"/>
        <v>2.4799055679939827E-4</v>
      </c>
      <c r="O89" s="56">
        <f t="shared" si="21"/>
        <v>9.1698873163578649E-7</v>
      </c>
      <c r="P89" s="56">
        <f t="shared" si="38"/>
        <v>2.7857204900606381E-6</v>
      </c>
      <c r="Q89" s="56">
        <f t="shared" si="39"/>
        <v>1.8870672906797216E-5</v>
      </c>
      <c r="R89" s="9">
        <f t="shared" si="12"/>
        <v>1.4999999999999999E-4</v>
      </c>
      <c r="S89" s="9">
        <f t="shared" si="13"/>
        <v>1.6150933814610051E-7</v>
      </c>
      <c r="T89" s="9">
        <f t="shared" si="10"/>
        <v>1.3678292010511301E-4</v>
      </c>
      <c r="U89" s="9">
        <f t="shared" si="11"/>
        <v>1.4983849066185388E-4</v>
      </c>
      <c r="V89" s="100">
        <f t="shared" si="14"/>
        <v>0.91286904653755574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1.7294425468926289E-2</v>
      </c>
      <c r="K90" s="55">
        <f t="shared" si="35"/>
        <v>0.99147165491429201</v>
      </c>
      <c r="L90" s="55">
        <f t="shared" si="36"/>
        <v>4.0102085157905882E-4</v>
      </c>
      <c r="M90" s="55">
        <f t="shared" si="19"/>
        <v>0.999598979148421</v>
      </c>
      <c r="N90" s="55">
        <f t="shared" si="37"/>
        <v>8.8619156969916299E-6</v>
      </c>
      <c r="O90" s="56">
        <f t="shared" si="21"/>
        <v>9.970195854065982E-7</v>
      </c>
      <c r="P90" s="56">
        <f t="shared" si="38"/>
        <v>1.0375239128663861E-6</v>
      </c>
      <c r="Q90" s="56">
        <f t="shared" si="39"/>
        <v>6.743414531740213E-7</v>
      </c>
      <c r="R90" s="9">
        <f t="shared" si="12"/>
        <v>1.4999999999999999E-4</v>
      </c>
      <c r="S90" s="9">
        <f t="shared" si="13"/>
        <v>6.0153127736858823E-8</v>
      </c>
      <c r="T90" s="9">
        <f t="shared" si="10"/>
        <v>1.4872074823714379E-4</v>
      </c>
      <c r="U90" s="9">
        <f t="shared" si="11"/>
        <v>1.4993984687226313E-4</v>
      </c>
      <c r="V90" s="100">
        <f t="shared" si="14"/>
        <v>0.99186941523184347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-1.2323623691093395E-2</v>
      </c>
      <c r="K91" s="55">
        <f t="shared" si="35"/>
        <v>0.99497196147417688</v>
      </c>
      <c r="L91" s="55">
        <f t="shared" si="36"/>
        <v>3.7590616245257197E-4</v>
      </c>
      <c r="M91" s="55">
        <f t="shared" si="19"/>
        <v>0.99962409383754747</v>
      </c>
      <c r="N91" s="55">
        <f t="shared" si="37"/>
        <v>4.0391461393601539E-6</v>
      </c>
      <c r="O91" s="56">
        <f t="shared" si="21"/>
        <v>1.0005394784643924E-6</v>
      </c>
      <c r="P91" s="56">
        <f t="shared" si="38"/>
        <v>9.7254701595358713E-7</v>
      </c>
      <c r="Q91" s="56">
        <f t="shared" si="39"/>
        <v>3.0735608082155477E-7</v>
      </c>
      <c r="R91" s="9">
        <f t="shared" si="12"/>
        <v>1.4999999999999999E-4</v>
      </c>
      <c r="S91" s="9">
        <f t="shared" si="13"/>
        <v>5.6385924367885793E-8</v>
      </c>
      <c r="T91" s="9">
        <f t="shared" si="10"/>
        <v>1.4924579422112653E-4</v>
      </c>
      <c r="U91" s="9">
        <f t="shared" si="11"/>
        <v>1.499436140756321E-4</v>
      </c>
      <c r="V91" s="100">
        <f t="shared" si="14"/>
        <v>0.9953461182137866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0.56590053270295515</v>
      </c>
      <c r="K92" s="55">
        <f t="shared" si="35"/>
        <v>0.89093141300482881</v>
      </c>
      <c r="L92" s="55">
        <f t="shared" si="36"/>
        <v>1.2744917578664475E-3</v>
      </c>
      <c r="M92" s="55">
        <f t="shared" si="19"/>
        <v>0.99872550824213358</v>
      </c>
      <c r="N92" s="55">
        <f t="shared" si="37"/>
        <v>3.3550405087772394E-4</v>
      </c>
      <c r="O92" s="56">
        <f t="shared" si="21"/>
        <v>8.9591675527685799E-7</v>
      </c>
      <c r="P92" s="56">
        <f t="shared" si="38"/>
        <v>3.2973738655504036E-6</v>
      </c>
      <c r="Q92" s="56">
        <f t="shared" si="39"/>
        <v>2.552995277211435E-5</v>
      </c>
      <c r="R92" s="9">
        <f t="shared" si="12"/>
        <v>1.4999999999999999E-4</v>
      </c>
      <c r="S92" s="9">
        <f t="shared" si="13"/>
        <v>1.9117376367996711E-7</v>
      </c>
      <c r="T92" s="9">
        <f t="shared" ref="T92:T143" si="40">R92*K92</f>
        <v>1.336397119507243E-4</v>
      </c>
      <c r="U92" s="9">
        <f t="shared" ref="U92:U143" si="41">$R92*M92</f>
        <v>1.4980882623632003E-4</v>
      </c>
      <c r="V92" s="100">
        <f t="shared" si="14"/>
        <v>0.89206834676022828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-1.113440459384777E-2</v>
      </c>
      <c r="K93" s="55">
        <f t="shared" si="35"/>
        <v>0.99483320068477543</v>
      </c>
      <c r="L93" s="55">
        <f t="shared" si="36"/>
        <v>3.768843403015876E-4</v>
      </c>
      <c r="M93" s="55">
        <f t="shared" ref="M93:M127" si="42">IF(D93=0,"",1-L93)</f>
        <v>0.99962311565969841</v>
      </c>
      <c r="N93" s="55">
        <f t="shared" si="37"/>
        <v>4.2087740892795994E-6</v>
      </c>
      <c r="O93" s="56">
        <f t="shared" ref="O93:O127" si="43">IF(D93=0,"",F93*K93*$J$7/$J$14)</f>
        <v>1.0003999412178822E-6</v>
      </c>
      <c r="P93" s="56">
        <f t="shared" si="38"/>
        <v>9.7507776443061441E-7</v>
      </c>
      <c r="Q93" s="56">
        <f t="shared" si="39"/>
        <v>3.2026380440624655E-7</v>
      </c>
      <c r="R93" s="9">
        <f t="shared" ref="R93:R143" si="44">F93*$C$14</f>
        <v>1.4999999999999999E-4</v>
      </c>
      <c r="S93" s="9">
        <f t="shared" ref="S93:S143" si="45">$R93*L93</f>
        <v>5.6532651045238136E-8</v>
      </c>
      <c r="T93" s="9">
        <f t="shared" si="40"/>
        <v>1.4922498010271629E-4</v>
      </c>
      <c r="U93" s="9">
        <f t="shared" si="41"/>
        <v>1.4994346734895474E-4</v>
      </c>
      <c r="V93" s="100">
        <f t="shared" ref="V93:V143" si="46">K93/M93</f>
        <v>0.99520827910050691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-4.0985461790256819E-2</v>
      </c>
      <c r="K94" s="55">
        <f t="shared" si="35"/>
        <v>0.99829442437292382</v>
      </c>
      <c r="L94" s="55">
        <f t="shared" si="36"/>
        <v>3.5307373389779938E-4</v>
      </c>
      <c r="M94" s="55">
        <f t="shared" si="42"/>
        <v>0.99964692626610219</v>
      </c>
      <c r="N94" s="55">
        <f t="shared" si="37"/>
        <v>7.0595630527665609E-7</v>
      </c>
      <c r="O94" s="56">
        <f t="shared" si="43"/>
        <v>1.0038805327097845E-6</v>
      </c>
      <c r="P94" s="56">
        <f t="shared" si="38"/>
        <v>9.1347479933165478E-7</v>
      </c>
      <c r="Q94" s="56">
        <f t="shared" si="39"/>
        <v>5.3719265343409968E-8</v>
      </c>
      <c r="R94" s="9">
        <f t="shared" si="44"/>
        <v>1.4999999999999999E-4</v>
      </c>
      <c r="S94" s="9">
        <f t="shared" si="45"/>
        <v>5.2961060084669903E-8</v>
      </c>
      <c r="T94" s="9">
        <f t="shared" si="40"/>
        <v>1.4974416365593857E-4</v>
      </c>
      <c r="U94" s="9">
        <f t="shared" si="41"/>
        <v>1.499470389399153E-4</v>
      </c>
      <c r="V94" s="100">
        <f t="shared" si="46"/>
        <v>0.99864702040526421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3.6424028743761494</v>
      </c>
      <c r="K95" s="55">
        <f t="shared" si="35"/>
        <v>1.2198634569625548E-2</v>
      </c>
      <c r="L95" s="55">
        <f t="shared" si="36"/>
        <v>2.0811640848784441E-2</v>
      </c>
      <c r="M95" s="55">
        <f t="shared" si="42"/>
        <v>0.9791883591512156</v>
      </c>
      <c r="N95" s="55">
        <f t="shared" si="37"/>
        <v>1.7912340974963987E-2</v>
      </c>
      <c r="O95" s="56">
        <f t="shared" si="43"/>
        <v>1.2266893885318417E-8</v>
      </c>
      <c r="P95" s="56">
        <f t="shared" si="38"/>
        <v>5.3844020732532697E-5</v>
      </c>
      <c r="Q95" s="56">
        <f t="shared" si="39"/>
        <v>1.3630274148180256E-3</v>
      </c>
      <c r="R95" s="9">
        <f t="shared" si="44"/>
        <v>1.4999999999999999E-4</v>
      </c>
      <c r="S95" s="9">
        <f t="shared" si="45"/>
        <v>3.121746127317666E-6</v>
      </c>
      <c r="T95" s="9">
        <f t="shared" si="40"/>
        <v>1.829795185443832E-6</v>
      </c>
      <c r="U95" s="9">
        <f t="shared" si="41"/>
        <v>1.4687825387268232E-4</v>
      </c>
      <c r="V95" s="100">
        <f t="shared" si="46"/>
        <v>1.2457903993261953E-2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-5.2566219815115632E-2</v>
      </c>
      <c r="K96" s="55">
        <f t="shared" si="35"/>
        <v>0.99965574083279241</v>
      </c>
      <c r="L96" s="55">
        <f t="shared" si="36"/>
        <v>3.4425199939450737E-4</v>
      </c>
      <c r="M96" s="55">
        <f t="shared" si="42"/>
        <v>0.99965574800060553</v>
      </c>
      <c r="N96" s="55">
        <f t="shared" si="37"/>
        <v>2.2538323497752327E-14</v>
      </c>
      <c r="O96" s="56">
        <f t="shared" si="43"/>
        <v>1.0052494666230215E-6</v>
      </c>
      <c r="P96" s="56">
        <f t="shared" si="38"/>
        <v>8.9065114698518934E-7</v>
      </c>
      <c r="Q96" s="56">
        <f t="shared" si="39"/>
        <v>1.7150384114734883E-15</v>
      </c>
      <c r="R96" s="9">
        <f t="shared" si="44"/>
        <v>1.4999999999999999E-4</v>
      </c>
      <c r="S96" s="9">
        <f t="shared" si="45"/>
        <v>5.1637799909176103E-8</v>
      </c>
      <c r="T96" s="9">
        <f t="shared" si="40"/>
        <v>1.4994836112491885E-4</v>
      </c>
      <c r="U96" s="9">
        <f t="shared" si="41"/>
        <v>1.4994836220009081E-4</v>
      </c>
      <c r="V96" s="100">
        <f t="shared" si="46"/>
        <v>0.99999999282971852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3.5288390603770239</v>
      </c>
      <c r="K98" s="55">
        <f t="shared" si="35"/>
        <v>5.6687268008442726E-3</v>
      </c>
      <c r="L98" s="55">
        <f t="shared" si="36"/>
        <v>7.4458933974009579E-3</v>
      </c>
      <c r="M98" s="55">
        <f t="shared" si="42"/>
        <v>0.99255410660259902</v>
      </c>
      <c r="N98" s="55">
        <f t="shared" si="37"/>
        <v>1.3321608638027776E-3</v>
      </c>
      <c r="O98" s="56">
        <f t="shared" si="43"/>
        <v>5.7004470241255687E-9</v>
      </c>
      <c r="P98" s="56">
        <f t="shared" si="38"/>
        <v>1.9264066748744726E-5</v>
      </c>
      <c r="Q98" s="56">
        <f t="shared" si="39"/>
        <v>1.0136987571020143E-4</v>
      </c>
      <c r="R98" s="9">
        <f t="shared" si="44"/>
        <v>1.4999999999999999E-4</v>
      </c>
      <c r="S98" s="9">
        <f t="shared" si="45"/>
        <v>1.1168840096101436E-6</v>
      </c>
      <c r="T98" s="9">
        <f t="shared" si="40"/>
        <v>8.5030902012664078E-7</v>
      </c>
      <c r="U98" s="9">
        <f t="shared" si="41"/>
        <v>1.4888311599038984E-4</v>
      </c>
      <c r="V98" s="100">
        <f t="shared" si="46"/>
        <v>5.7112521757102857E-3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1.7929254376502075</v>
      </c>
      <c r="K99" s="55">
        <f t="shared" si="35"/>
        <v>0.22904100782037604</v>
      </c>
      <c r="L99" s="55">
        <f t="shared" si="36"/>
        <v>5.5262548662973338E-3</v>
      </c>
      <c r="M99" s="55">
        <f t="shared" si="42"/>
        <v>0.99447374513370268</v>
      </c>
      <c r="N99" s="55">
        <f t="shared" si="37"/>
        <v>6.3238912039803119E-4</v>
      </c>
      <c r="O99" s="56">
        <f t="shared" si="43"/>
        <v>2.3032264162702785E-7</v>
      </c>
      <c r="P99" s="56">
        <f t="shared" si="38"/>
        <v>1.4297564702186991E-5</v>
      </c>
      <c r="Q99" s="56">
        <f t="shared" si="39"/>
        <v>4.812122039994309E-5</v>
      </c>
      <c r="R99" s="9">
        <f t="shared" si="44"/>
        <v>1.4999999999999999E-4</v>
      </c>
      <c r="S99" s="9">
        <f t="shared" si="45"/>
        <v>8.2893822994460002E-7</v>
      </c>
      <c r="T99" s="9">
        <f t="shared" si="40"/>
        <v>3.4356151173056401E-5</v>
      </c>
      <c r="U99" s="9">
        <f t="shared" si="41"/>
        <v>1.4917106177005538E-4</v>
      </c>
      <c r="V99" s="100">
        <f t="shared" si="46"/>
        <v>0.23031378047047635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3.1403147783650343</v>
      </c>
      <c r="K101" s="55">
        <f t="shared" si="35"/>
        <v>1.2614673694036026E-2</v>
      </c>
      <c r="L101" s="55">
        <f t="shared" si="36"/>
        <v>6.7730304187766056E-3</v>
      </c>
      <c r="M101" s="55">
        <f t="shared" si="42"/>
        <v>0.99322696958122336</v>
      </c>
      <c r="N101" s="55">
        <f t="shared" si="37"/>
        <v>5.5201027894880603E-4</v>
      </c>
      <c r="O101" s="56">
        <f t="shared" si="43"/>
        <v>1.2685261019947713E-8</v>
      </c>
      <c r="P101" s="56">
        <f t="shared" si="38"/>
        <v>1.7523231010013451E-5</v>
      </c>
      <c r="Q101" s="56">
        <f t="shared" si="39"/>
        <v>4.2004847078346824E-5</v>
      </c>
      <c r="R101" s="9">
        <f t="shared" si="44"/>
        <v>1.4999999999999999E-4</v>
      </c>
      <c r="S101" s="9">
        <f t="shared" si="45"/>
        <v>1.0159545628164907E-6</v>
      </c>
      <c r="T101" s="9">
        <f t="shared" si="40"/>
        <v>1.8922010541054038E-6</v>
      </c>
      <c r="U101" s="9">
        <f t="shared" si="41"/>
        <v>1.4898404543718348E-4</v>
      </c>
      <c r="V101" s="100">
        <f t="shared" si="46"/>
        <v>1.270069589366344E-2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2.3448328988321441</v>
      </c>
      <c r="K102" s="55">
        <f t="shared" si="35"/>
        <v>6.9564629819315535E-2</v>
      </c>
      <c r="L102" s="55">
        <f t="shared" si="36"/>
        <v>5.9815481625092272E-3</v>
      </c>
      <c r="M102" s="55">
        <f t="shared" si="42"/>
        <v>0.99401845183749082</v>
      </c>
      <c r="N102" s="55">
        <f t="shared" si="37"/>
        <v>1.054773435477626E-9</v>
      </c>
      <c r="O102" s="56">
        <f t="shared" si="43"/>
        <v>6.9953889289364573E-8</v>
      </c>
      <c r="P102" s="56">
        <f t="shared" si="38"/>
        <v>1.5475502658100168E-5</v>
      </c>
      <c r="Q102" s="56">
        <f t="shared" si="39"/>
        <v>8.0262267840213799E-11</v>
      </c>
      <c r="R102" s="9">
        <f t="shared" si="44"/>
        <v>1.4999999999999999E-4</v>
      </c>
      <c r="S102" s="9">
        <f t="shared" si="45"/>
        <v>8.9723222437638403E-7</v>
      </c>
      <c r="T102" s="9">
        <f t="shared" si="40"/>
        <v>1.0434694472897329E-5</v>
      </c>
      <c r="U102" s="9">
        <f t="shared" si="41"/>
        <v>1.4910276777562362E-4</v>
      </c>
      <c r="V102" s="100">
        <f t="shared" si="46"/>
        <v>6.9983237927547501E-2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3.3932457157943472</v>
      </c>
      <c r="K103" s="55">
        <f t="shared" si="35"/>
        <v>6.6195437441443732E-3</v>
      </c>
      <c r="L103" s="55">
        <f t="shared" si="36"/>
        <v>6.3630597153321797E-3</v>
      </c>
      <c r="M103" s="55">
        <f t="shared" si="42"/>
        <v>0.99363694028466787</v>
      </c>
      <c r="N103" s="55">
        <f t="shared" si="37"/>
        <v>1.6737814931113541E-9</v>
      </c>
      <c r="O103" s="56">
        <f t="shared" si="43"/>
        <v>6.6565844082937359E-9</v>
      </c>
      <c r="P103" s="56">
        <f t="shared" si="38"/>
        <v>1.6462551978677869E-5</v>
      </c>
      <c r="Q103" s="56">
        <f t="shared" si="39"/>
        <v>1.2736526536171582E-10</v>
      </c>
      <c r="R103" s="9">
        <f t="shared" si="44"/>
        <v>1.4999999999999999E-4</v>
      </c>
      <c r="S103" s="9">
        <f t="shared" si="45"/>
        <v>9.5445895729982681E-7</v>
      </c>
      <c r="T103" s="9">
        <f t="shared" si="40"/>
        <v>9.9293156162165599E-7</v>
      </c>
      <c r="U103" s="9">
        <f t="shared" si="41"/>
        <v>1.4904554104270016E-4</v>
      </c>
      <c r="V103" s="100">
        <f t="shared" si="46"/>
        <v>6.6619340281853191E-3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4.114366029010359</v>
      </c>
      <c r="K104" s="55">
        <f t="shared" si="35"/>
        <v>1.3643100871928329E-3</v>
      </c>
      <c r="L104" s="55">
        <f t="shared" si="36"/>
        <v>6.9003535949531689E-3</v>
      </c>
      <c r="M104" s="55">
        <f t="shared" si="42"/>
        <v>0.99309964640504678</v>
      </c>
      <c r="N104" s="55">
        <f t="shared" si="37"/>
        <v>6.2514999767653446E-4</v>
      </c>
      <c r="O104" s="56">
        <f t="shared" si="43"/>
        <v>1.3719442918583737E-9</v>
      </c>
      <c r="P104" s="56">
        <f t="shared" si="38"/>
        <v>1.7852642409508345E-5</v>
      </c>
      <c r="Q104" s="56">
        <f t="shared" si="39"/>
        <v>4.757036427553013E-5</v>
      </c>
      <c r="R104" s="9">
        <f t="shared" si="44"/>
        <v>1.4999999999999999E-4</v>
      </c>
      <c r="S104" s="9">
        <f t="shared" si="45"/>
        <v>1.0350530392429753E-6</v>
      </c>
      <c r="T104" s="9">
        <f t="shared" si="40"/>
        <v>2.0464651307892492E-7</v>
      </c>
      <c r="U104" s="9">
        <f t="shared" si="41"/>
        <v>1.4896494696075701E-4</v>
      </c>
      <c r="V104" s="100">
        <f t="shared" si="46"/>
        <v>1.3737897220400216E-3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3.8599571997359581</v>
      </c>
      <c r="K105" s="55">
        <f t="shared" si="35"/>
        <v>3.2142368917366191E-3</v>
      </c>
      <c r="L105" s="55">
        <f t="shared" si="36"/>
        <v>9.0495567506951799E-3</v>
      </c>
      <c r="M105" s="55">
        <f t="shared" si="42"/>
        <v>0.99095044324930481</v>
      </c>
      <c r="N105" s="55">
        <f t="shared" si="37"/>
        <v>3.2972283491162959E-3</v>
      </c>
      <c r="O105" s="56">
        <f t="shared" si="43"/>
        <v>3.2322226432936847E-9</v>
      </c>
      <c r="P105" s="56">
        <f t="shared" si="38"/>
        <v>2.3413075636134797E-5</v>
      </c>
      <c r="Q105" s="56">
        <f t="shared" si="39"/>
        <v>2.509003507158687E-4</v>
      </c>
      <c r="R105" s="9">
        <f t="shared" si="44"/>
        <v>1.4999999999999999E-4</v>
      </c>
      <c r="S105" s="9">
        <f t="shared" si="45"/>
        <v>1.3574335126042768E-6</v>
      </c>
      <c r="T105" s="9">
        <f t="shared" si="40"/>
        <v>4.8213553376049281E-7</v>
      </c>
      <c r="U105" s="9">
        <f t="shared" si="41"/>
        <v>1.4864256648739572E-4</v>
      </c>
      <c r="V105" s="100">
        <f t="shared" si="46"/>
        <v>3.243589943001798E-3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2.8509111830841749</v>
      </c>
      <c r="K106" s="55">
        <f t="shared" si="35"/>
        <v>2.3444690407339517E-2</v>
      </c>
      <c r="L106" s="55">
        <f t="shared" si="36"/>
        <v>6.4646930941352175E-3</v>
      </c>
      <c r="M106" s="55">
        <f t="shared" si="42"/>
        <v>0.99353530690586478</v>
      </c>
      <c r="N106" s="55">
        <f t="shared" si="37"/>
        <v>2.5183474354266861E-4</v>
      </c>
      <c r="O106" s="56">
        <f t="shared" si="43"/>
        <v>2.3575878739500966E-8</v>
      </c>
      <c r="P106" s="56">
        <f t="shared" si="38"/>
        <v>1.672549855723694E-5</v>
      </c>
      <c r="Q106" s="56">
        <f t="shared" si="39"/>
        <v>1.9163193684850794E-5</v>
      </c>
      <c r="R106" s="9">
        <f t="shared" si="44"/>
        <v>1.4999999999999999E-4</v>
      </c>
      <c r="S106" s="9">
        <f t="shared" si="45"/>
        <v>9.6970396412028248E-7</v>
      </c>
      <c r="T106" s="9">
        <f t="shared" si="40"/>
        <v>3.5167035611009272E-6</v>
      </c>
      <c r="U106" s="9">
        <f t="shared" si="41"/>
        <v>1.490302960358797E-4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3.5703766155723007</v>
      </c>
      <c r="K108" s="55">
        <f t="shared" si="35"/>
        <v>4.89814781302757E-3</v>
      </c>
      <c r="L108" s="55">
        <f t="shared" si="36"/>
        <v>7.0794697291426609E-3</v>
      </c>
      <c r="M108" s="55">
        <f t="shared" si="42"/>
        <v>0.99292053027085736</v>
      </c>
      <c r="N108" s="55">
        <f t="shared" si="37"/>
        <v>8.7317849378669237E-4</v>
      </c>
      <c r="O108" s="56">
        <f t="shared" si="43"/>
        <v>4.9255561443429694E-9</v>
      </c>
      <c r="P108" s="56">
        <f t="shared" si="38"/>
        <v>1.8316052907167056E-5</v>
      </c>
      <c r="Q108" s="56">
        <f t="shared" si="39"/>
        <v>6.644392414839934E-5</v>
      </c>
      <c r="R108" s="9">
        <f t="shared" si="44"/>
        <v>1.4999999999999999E-4</v>
      </c>
      <c r="S108" s="9">
        <f t="shared" si="45"/>
        <v>1.0619204593713991E-6</v>
      </c>
      <c r="T108" s="9">
        <f t="shared" si="40"/>
        <v>7.3472217195413549E-7</v>
      </c>
      <c r="U108" s="9">
        <f t="shared" si="41"/>
        <v>1.489380795406286E-4</v>
      </c>
      <c r="V108" s="100">
        <f t="shared" si="46"/>
        <v>4.9330713422668492E-3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3.8699633913590414</v>
      </c>
      <c r="K109" s="55">
        <f t="shared" si="35"/>
        <v>2.9355996537701709E-3</v>
      </c>
      <c r="L109" s="55">
        <f t="shared" si="36"/>
        <v>8.4577033006963658E-3</v>
      </c>
      <c r="M109" s="55">
        <f t="shared" si="42"/>
        <v>0.9915422966993036</v>
      </c>
      <c r="N109" s="55">
        <f t="shared" si="37"/>
        <v>2.5631142877683092E-3</v>
      </c>
      <c r="O109" s="56">
        <f t="shared" si="43"/>
        <v>2.9520262482689949E-9</v>
      </c>
      <c r="P109" s="56">
        <f t="shared" si="38"/>
        <v>2.1881828308549916E-5</v>
      </c>
      <c r="Q109" s="56">
        <f t="shared" si="39"/>
        <v>1.9503844005777735E-4</v>
      </c>
      <c r="R109" s="9">
        <f t="shared" si="44"/>
        <v>1.4999999999999999E-4</v>
      </c>
      <c r="S109" s="9">
        <f t="shared" si="45"/>
        <v>1.2686554951044547E-6</v>
      </c>
      <c r="T109" s="9">
        <f t="shared" si="40"/>
        <v>4.4033994806552558E-7</v>
      </c>
      <c r="U109" s="9">
        <f t="shared" si="41"/>
        <v>1.4873134450489554E-4</v>
      </c>
      <c r="V109" s="100">
        <f t="shared" si="46"/>
        <v>2.9606398673484168E-3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2.0991464926918666</v>
      </c>
      <c r="K110" s="55">
        <f t="shared" si="35"/>
        <v>0.11721322121217774</v>
      </c>
      <c r="L110" s="55">
        <f t="shared" si="36"/>
        <v>5.7242068709658384E-3</v>
      </c>
      <c r="M110" s="55">
        <f t="shared" si="42"/>
        <v>0.99427579312903414</v>
      </c>
      <c r="N110" s="55">
        <f t="shared" si="37"/>
        <v>3.8908791775666015E-5</v>
      </c>
      <c r="O110" s="56">
        <f t="shared" si="43"/>
        <v>1.178691056248498E-7</v>
      </c>
      <c r="P110" s="56">
        <f t="shared" si="38"/>
        <v>1.4809707493851578E-5</v>
      </c>
      <c r="Q110" s="56">
        <f t="shared" si="39"/>
        <v>2.9607380711322977E-6</v>
      </c>
      <c r="R110" s="9">
        <f t="shared" si="44"/>
        <v>1.4999999999999999E-4</v>
      </c>
      <c r="S110" s="9">
        <f t="shared" si="45"/>
        <v>8.5863103064487565E-7</v>
      </c>
      <c r="T110" s="9">
        <f t="shared" si="40"/>
        <v>1.758198318182666E-5</v>
      </c>
      <c r="U110" s="9">
        <f t="shared" si="41"/>
        <v>1.4914136896935511E-4</v>
      </c>
      <c r="V110" s="100">
        <f t="shared" si="46"/>
        <v>0.11788803672198642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2.2537100365210812</v>
      </c>
      <c r="K111" s="55">
        <f t="shared" si="35"/>
        <v>0.1730483000773636</v>
      </c>
      <c r="L111" s="55">
        <f t="shared" si="36"/>
        <v>1.20633964491739E-2</v>
      </c>
      <c r="M111" s="55">
        <f t="shared" si="42"/>
        <v>0.98793660355082613</v>
      </c>
      <c r="N111" s="55">
        <f t="shared" si="37"/>
        <v>8.2980088490824649E-3</v>
      </c>
      <c r="O111" s="56">
        <f t="shared" si="43"/>
        <v>1.7401661816884141E-7</v>
      </c>
      <c r="P111" s="56">
        <f t="shared" si="38"/>
        <v>3.1210502489140298E-5</v>
      </c>
      <c r="Q111" s="56">
        <f t="shared" si="39"/>
        <v>6.3143134476451143E-4</v>
      </c>
      <c r="R111" s="9">
        <f t="shared" si="44"/>
        <v>1.4999999999999999E-4</v>
      </c>
      <c r="S111" s="9">
        <f t="shared" si="45"/>
        <v>1.8095094673760849E-6</v>
      </c>
      <c r="T111" s="9">
        <f t="shared" si="40"/>
        <v>2.5957245011604537E-5</v>
      </c>
      <c r="U111" s="9">
        <f t="shared" si="41"/>
        <v>1.4819049053262391E-4</v>
      </c>
      <c r="V111" s="100">
        <f t="shared" si="46"/>
        <v>0.17516134077368542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5.3117367618268752</v>
      </c>
      <c r="K112" s="55">
        <f t="shared" si="35"/>
        <v>2.9288315510283918E-4</v>
      </c>
      <c r="L112" s="55">
        <f t="shared" si="36"/>
        <v>2.3335837016295546E-2</v>
      </c>
      <c r="M112" s="55">
        <f t="shared" si="42"/>
        <v>0.97666416298370451</v>
      </c>
      <c r="N112" s="55">
        <f t="shared" si="37"/>
        <v>2.0945104818901304E-2</v>
      </c>
      <c r="O112" s="56">
        <f t="shared" si="43"/>
        <v>2.9452202735785927E-10</v>
      </c>
      <c r="P112" s="56">
        <f t="shared" si="38"/>
        <v>6.0374638465366888E-5</v>
      </c>
      <c r="Q112" s="56">
        <f t="shared" si="39"/>
        <v>1.5938035187194179E-3</v>
      </c>
      <c r="R112" s="9">
        <f t="shared" si="44"/>
        <v>1.4999999999999999E-4</v>
      </c>
      <c r="S112" s="9">
        <f t="shared" si="45"/>
        <v>3.5003755524443317E-6</v>
      </c>
      <c r="T112" s="9">
        <f t="shared" si="40"/>
        <v>4.3932473265425875E-8</v>
      </c>
      <c r="U112" s="9">
        <f t="shared" si="41"/>
        <v>1.4649962444755567E-4</v>
      </c>
      <c r="V112" s="100">
        <f t="shared" si="46"/>
        <v>2.9988113233118176E-4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5.6876254788112171</v>
      </c>
      <c r="K113" s="55">
        <f t="shared" si="35"/>
        <v>1.3186099365540069E-4</v>
      </c>
      <c r="L113" s="55">
        <f t="shared" si="36"/>
        <v>2.4965142516356825E-2</v>
      </c>
      <c r="M113" s="55">
        <f t="shared" si="42"/>
        <v>0.97503485748364316</v>
      </c>
      <c r="N113" s="55">
        <f t="shared" si="37"/>
        <v>2.2959080344424027E-2</v>
      </c>
      <c r="O113" s="56">
        <f t="shared" si="43"/>
        <v>1.3259884190736087E-10</v>
      </c>
      <c r="P113" s="56">
        <f t="shared" si="38"/>
        <v>6.4589988891715084E-5</v>
      </c>
      <c r="Q113" s="56">
        <f t="shared" si="39"/>
        <v>1.7470556178111464E-3</v>
      </c>
      <c r="R113" s="9">
        <f t="shared" si="44"/>
        <v>1.4999999999999999E-4</v>
      </c>
      <c r="S113" s="9">
        <f t="shared" si="45"/>
        <v>3.7447713774535234E-6</v>
      </c>
      <c r="T113" s="9">
        <f t="shared" si="40"/>
        <v>1.9779149048310103E-8</v>
      </c>
      <c r="U113" s="9">
        <f t="shared" si="41"/>
        <v>1.4625522862254646E-4</v>
      </c>
      <c r="V113" s="100">
        <f t="shared" si="46"/>
        <v>1.352372098734047E-4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6.1146638337723394</v>
      </c>
      <c r="K114" s="55">
        <f t="shared" si="35"/>
        <v>5.2295281819328494E-5</v>
      </c>
      <c r="L114" s="55">
        <f t="shared" si="36"/>
        <v>2.6467844119376246E-2</v>
      </c>
      <c r="M114" s="55">
        <f t="shared" si="42"/>
        <v>0.97353215588062381</v>
      </c>
      <c r="N114" s="55">
        <f t="shared" si="37"/>
        <v>2.4817078332083419E-2</v>
      </c>
      <c r="O114" s="56">
        <f t="shared" si="43"/>
        <v>5.2587908025202504E-11</v>
      </c>
      <c r="P114" s="56">
        <f t="shared" si="38"/>
        <v>6.8477788842506251E-5</v>
      </c>
      <c r="Q114" s="56">
        <f t="shared" si="39"/>
        <v>1.8884387121479583E-3</v>
      </c>
      <c r="R114" s="9">
        <f t="shared" si="44"/>
        <v>1.4999999999999999E-4</v>
      </c>
      <c r="S114" s="9">
        <f t="shared" si="45"/>
        <v>3.9701766179064361E-6</v>
      </c>
      <c r="T114" s="9">
        <f t="shared" si="40"/>
        <v>7.844292272899273E-9</v>
      </c>
      <c r="U114" s="9">
        <f t="shared" si="41"/>
        <v>1.4602982338209357E-4</v>
      </c>
      <c r="V114" s="100">
        <f t="shared" si="46"/>
        <v>5.3717056497249418E-5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4.7023315490272344</v>
      </c>
      <c r="K115" s="55">
        <f t="shared" si="35"/>
        <v>1.3115172981002158E-3</v>
      </c>
      <c r="L115" s="55">
        <f t="shared" si="36"/>
        <v>2.5686078103183102E-2</v>
      </c>
      <c r="M115" s="55">
        <f t="shared" si="42"/>
        <v>0.97431392189681687</v>
      </c>
      <c r="N115" s="55">
        <f t="shared" si="37"/>
        <v>2.3859602222712738E-2</v>
      </c>
      <c r="O115" s="56">
        <f t="shared" si="43"/>
        <v>1.3188560926822418E-9</v>
      </c>
      <c r="P115" s="56">
        <f t="shared" si="38"/>
        <v>6.6455198413921564E-5</v>
      </c>
      <c r="Q115" s="56">
        <f t="shared" si="39"/>
        <v>1.8155802182230367E-3</v>
      </c>
      <c r="R115" s="9">
        <f t="shared" si="44"/>
        <v>1.4999999999999999E-4</v>
      </c>
      <c r="S115" s="9">
        <f t="shared" si="45"/>
        <v>3.8529117154774651E-6</v>
      </c>
      <c r="T115" s="9">
        <f t="shared" si="40"/>
        <v>1.9672759471503236E-7</v>
      </c>
      <c r="U115" s="9">
        <f t="shared" si="41"/>
        <v>1.4614708828452252E-4</v>
      </c>
      <c r="V115" s="100">
        <f t="shared" si="46"/>
        <v>1.3460931519349776E-3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-2.0478153790305868E-2</v>
      </c>
      <c r="K116" s="55">
        <f t="shared" si="35"/>
        <v>0.99592045111719485</v>
      </c>
      <c r="L116" s="55">
        <f t="shared" si="36"/>
        <v>3.6926549115232299E-4</v>
      </c>
      <c r="M116" s="55">
        <f t="shared" si="42"/>
        <v>0.99963073450884765</v>
      </c>
      <c r="N116" s="55">
        <f t="shared" si="37"/>
        <v>2.9360594154381206E-6</v>
      </c>
      <c r="O116" s="56">
        <f t="shared" si="43"/>
        <v>1.0014932755255157E-6</v>
      </c>
      <c r="P116" s="56">
        <f t="shared" si="38"/>
        <v>9.5536622536784987E-7</v>
      </c>
      <c r="Q116" s="56">
        <f t="shared" si="39"/>
        <v>2.2341744612668029E-7</v>
      </c>
      <c r="R116" s="9">
        <f t="shared" si="44"/>
        <v>1.4999999999999999E-4</v>
      </c>
      <c r="S116" s="9">
        <f t="shared" si="45"/>
        <v>5.5389823672848445E-8</v>
      </c>
      <c r="T116" s="9">
        <f t="shared" si="40"/>
        <v>1.4938806766757922E-4</v>
      </c>
      <c r="U116" s="9">
        <f t="shared" si="41"/>
        <v>1.4994461017632713E-4</v>
      </c>
      <c r="V116" s="100">
        <f t="shared" si="46"/>
        <v>0.99628834602261829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1.0136234276499627</v>
      </c>
      <c r="K117" s="55">
        <f t="shared" si="35"/>
        <v>0.72854289056960053</v>
      </c>
      <c r="L117" s="55">
        <f t="shared" si="36"/>
        <v>2.9219365358740218E-3</v>
      </c>
      <c r="M117" s="55">
        <f t="shared" si="42"/>
        <v>0.99707806346412597</v>
      </c>
      <c r="N117" s="55">
        <f t="shared" si="37"/>
        <v>1.1557802481564085E-3</v>
      </c>
      <c r="O117" s="56">
        <f t="shared" si="43"/>
        <v>7.3261956315777789E-7</v>
      </c>
      <c r="P117" s="56">
        <f t="shared" si="38"/>
        <v>7.5596543568997242E-6</v>
      </c>
      <c r="Q117" s="56">
        <f t="shared" si="39"/>
        <v>8.7948312615544798E-5</v>
      </c>
      <c r="R117" s="9">
        <f t="shared" si="44"/>
        <v>1.4999999999999999E-4</v>
      </c>
      <c r="S117" s="9">
        <f t="shared" si="45"/>
        <v>4.3829048038110324E-7</v>
      </c>
      <c r="T117" s="9">
        <f t="shared" si="40"/>
        <v>1.0928143358544007E-4</v>
      </c>
      <c r="U117" s="9">
        <f t="shared" si="41"/>
        <v>1.4956170951961888E-4</v>
      </c>
      <c r="V117" s="100">
        <f t="shared" si="46"/>
        <v>0.73067788497767194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2.2667887997146607</v>
      </c>
      <c r="K118" s="55">
        <f t="shared" si="35"/>
        <v>0.16930430120233167</v>
      </c>
      <c r="L118" s="55">
        <f t="shared" si="36"/>
        <v>1.2163232769822716E-2</v>
      </c>
      <c r="M118" s="55">
        <f t="shared" si="42"/>
        <v>0.98783676723017733</v>
      </c>
      <c r="N118" s="55">
        <f t="shared" si="37"/>
        <v>8.3934231395804727E-3</v>
      </c>
      <c r="O118" s="56">
        <f t="shared" si="43"/>
        <v>1.7025166917847437E-7</v>
      </c>
      <c r="P118" s="56">
        <f t="shared" si="38"/>
        <v>3.1468799706449259E-5</v>
      </c>
      <c r="Q118" s="56">
        <f t="shared" si="39"/>
        <v>6.3869183036468894E-4</v>
      </c>
      <c r="R118" s="9">
        <f t="shared" si="44"/>
        <v>1.4999999999999999E-4</v>
      </c>
      <c r="S118" s="9">
        <f t="shared" si="45"/>
        <v>1.8244849154734072E-6</v>
      </c>
      <c r="T118" s="9">
        <f t="shared" si="40"/>
        <v>2.5395645180349748E-5</v>
      </c>
      <c r="U118" s="9">
        <f t="shared" si="41"/>
        <v>1.4817551508452658E-4</v>
      </c>
      <c r="V118" s="100">
        <f t="shared" si="46"/>
        <v>0.17138894483250372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-4.8356858500751228E-2</v>
      </c>
      <c r="K119" s="55">
        <f t="shared" si="35"/>
        <v>0.99915424340497838</v>
      </c>
      <c r="L119" s="55">
        <f t="shared" si="36"/>
        <v>3.474304712204938E-4</v>
      </c>
      <c r="M119" s="55">
        <f t="shared" si="42"/>
        <v>0.99965256952877946</v>
      </c>
      <c r="N119" s="55">
        <f t="shared" si="37"/>
        <v>1.7178267296498014E-7</v>
      </c>
      <c r="O119" s="56">
        <f t="shared" si="43"/>
        <v>1.00474516299005E-6</v>
      </c>
      <c r="P119" s="56">
        <f t="shared" si="38"/>
        <v>8.9887451121387683E-7</v>
      </c>
      <c r="Q119" s="56">
        <f t="shared" si="39"/>
        <v>1.3071685770679E-8</v>
      </c>
      <c r="R119" s="9">
        <f t="shared" si="44"/>
        <v>1.4999999999999999E-4</v>
      </c>
      <c r="S119" s="9">
        <f t="shared" si="45"/>
        <v>5.2114570683074066E-8</v>
      </c>
      <c r="T119" s="9">
        <f t="shared" si="40"/>
        <v>1.4987313651074674E-4</v>
      </c>
      <c r="U119" s="9">
        <f t="shared" si="41"/>
        <v>1.4994788542931691E-4</v>
      </c>
      <c r="V119" s="100">
        <f t="shared" si="46"/>
        <v>0.99950150068234611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-5.256627584232975E-2</v>
      </c>
      <c r="K120" s="55">
        <f t="shared" si="35"/>
        <v>0.99965574776337096</v>
      </c>
      <c r="L120" s="55">
        <f t="shared" si="36"/>
        <v>3.4425195737013196E-4</v>
      </c>
      <c r="M120" s="55">
        <f t="shared" si="42"/>
        <v>0.99965574804262991</v>
      </c>
      <c r="N120" s="55">
        <f t="shared" si="37"/>
        <v>2.2288026278571634E-16</v>
      </c>
      <c r="O120" s="56">
        <f t="shared" si="43"/>
        <v>1.0052494735923811E-6</v>
      </c>
      <c r="P120" s="56">
        <f t="shared" si="38"/>
        <v>8.9065103825943556E-7</v>
      </c>
      <c r="Q120" s="56">
        <f t="shared" si="39"/>
        <v>1.6959922146601935E-17</v>
      </c>
      <c r="R120" s="9">
        <f t="shared" si="44"/>
        <v>1.4999999999999999E-4</v>
      </c>
      <c r="S120" s="9">
        <f t="shared" si="45"/>
        <v>5.1637793605519792E-8</v>
      </c>
      <c r="T120" s="9">
        <f t="shared" si="40"/>
        <v>1.4994836216450564E-4</v>
      </c>
      <c r="U120" s="9">
        <f t="shared" si="41"/>
        <v>1.4994836220639447E-4</v>
      </c>
      <c r="V120" s="100">
        <f t="shared" si="46"/>
        <v>0.99999999972064491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0.23901285890737395</v>
      </c>
      <c r="K121" s="55">
        <f t="shared" si="35"/>
        <v>0.96036609264281692</v>
      </c>
      <c r="L121" s="55">
        <f t="shared" si="36"/>
        <v>6.4720505959765578E-4</v>
      </c>
      <c r="M121" s="55">
        <f t="shared" si="42"/>
        <v>0.9993527949404023</v>
      </c>
      <c r="N121" s="55">
        <f t="shared" si="37"/>
        <v>8.0169130983925337E-5</v>
      </c>
      <c r="O121" s="56">
        <f t="shared" si="43"/>
        <v>9.6573996722888435E-7</v>
      </c>
      <c r="P121" s="56">
        <f t="shared" si="38"/>
        <v>1.6744533936742245E-6</v>
      </c>
      <c r="Q121" s="56">
        <f t="shared" si="39"/>
        <v>6.1004155462402985E-6</v>
      </c>
      <c r="R121" s="9">
        <f t="shared" si="44"/>
        <v>1.4999999999999999E-4</v>
      </c>
      <c r="S121" s="9">
        <f t="shared" si="45"/>
        <v>9.7080758939648353E-8</v>
      </c>
      <c r="T121" s="9">
        <f t="shared" si="40"/>
        <v>1.4405491389642253E-4</v>
      </c>
      <c r="U121" s="9">
        <f t="shared" si="41"/>
        <v>1.4990291924106032E-4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5.358242977665614</v>
      </c>
      <c r="K122" s="55">
        <f t="shared" si="35"/>
        <v>3.153769362382978E-4</v>
      </c>
      <c r="L122" s="55">
        <f t="shared" si="36"/>
        <v>2.7968239775130504E-2</v>
      </c>
      <c r="M122" s="55">
        <f t="shared" si="42"/>
        <v>0.97203176022486948</v>
      </c>
      <c r="N122" s="55">
        <f t="shared" si="37"/>
        <v>2.6674792890566828E-2</v>
      </c>
      <c r="O122" s="56">
        <f t="shared" si="43"/>
        <v>3.1714167586797268E-10</v>
      </c>
      <c r="P122" s="56">
        <f t="shared" si="38"/>
        <v>7.2359622830629996E-5</v>
      </c>
      <c r="Q122" s="56">
        <f t="shared" si="39"/>
        <v>2.0298002391342176E-3</v>
      </c>
      <c r="R122" s="9">
        <f t="shared" si="44"/>
        <v>1.4999999999999999E-4</v>
      </c>
      <c r="S122" s="9">
        <f t="shared" si="45"/>
        <v>4.1952359662695753E-6</v>
      </c>
      <c r="T122" s="9">
        <f t="shared" si="40"/>
        <v>4.7306540435744665E-8</v>
      </c>
      <c r="U122" s="9">
        <f t="shared" si="41"/>
        <v>1.4580476403373041E-4</v>
      </c>
      <c r="V122" s="100">
        <f t="shared" si="46"/>
        <v>3.2445126707108689E-4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0.87939054598043731</v>
      </c>
      <c r="K123" s="55">
        <f t="shared" ref="K123:K127" si="49">IF(D123=0,"",1/(1+10^D123*$J$15/$J$14+10^E123*$J$16/$J$14+10^J123*$J$19/$J$14))</f>
        <v>0.79956441745612583</v>
      </c>
      <c r="L123" s="55">
        <f t="shared" ref="L123:L127" si="50">IF(D123=0,"",1/(1+10^I123/10^J123*$J$13/$J$19))</f>
        <v>2.3541613831584208E-3</v>
      </c>
      <c r="M123" s="55">
        <f t="shared" si="42"/>
        <v>0.99764583861684153</v>
      </c>
      <c r="N123" s="55">
        <f t="shared" ref="N123:N127" si="51">IF(D123=0,"",1/(1/10^E123*$J$20/$J$22+10^D123/10^E123*$J$21/$J$22+10^I123/10^E123*$J$13/$J$22+1))</f>
        <v>9.8594707398132805E-4</v>
      </c>
      <c r="O123" s="56">
        <f t="shared" si="43"/>
        <v>8.040385018035511E-7</v>
      </c>
      <c r="P123" s="56">
        <f t="shared" ref="P123:P127" si="52">IF(D123=0,"",O123*10^J123)</f>
        <v>6.0907025661032128E-6</v>
      </c>
      <c r="Q123" s="56">
        <f t="shared" ref="Q123:Q127" si="53">IF(D123=0,"",F123*N123*$J$7/$J$22)</f>
        <v>7.5024972630573092E-5</v>
      </c>
      <c r="R123" s="9">
        <f t="shared" si="44"/>
        <v>1.4999999999999999E-4</v>
      </c>
      <c r="S123" s="9">
        <f t="shared" si="45"/>
        <v>3.5312420747376309E-7</v>
      </c>
      <c r="T123" s="9">
        <f t="shared" si="40"/>
        <v>1.1993466261841887E-4</v>
      </c>
      <c r="U123" s="9">
        <f t="shared" si="41"/>
        <v>1.4964687579252622E-4</v>
      </c>
      <c r="V123" s="100">
        <f t="shared" si="46"/>
        <v>0.8014511628341574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0.17110445915344094</v>
      </c>
      <c r="J124" s="54">
        <f t="shared" si="48"/>
        <v>1.0210151944953776</v>
      </c>
      <c r="K124" s="55">
        <f t="shared" si="49"/>
        <v>0.66904153927390841</v>
      </c>
      <c r="L124" s="55">
        <f t="shared" si="50"/>
        <v>2.7293579995350758E-3</v>
      </c>
      <c r="M124" s="55">
        <f t="shared" si="42"/>
        <v>0.99727064200046489</v>
      </c>
      <c r="N124" s="55">
        <f t="shared" si="51"/>
        <v>4.7154183228571595E-4</v>
      </c>
      <c r="O124" s="56">
        <f t="shared" si="43"/>
        <v>6.7278526299809105E-7</v>
      </c>
      <c r="P124" s="56">
        <f t="shared" si="52"/>
        <v>7.0614138395557643E-6</v>
      </c>
      <c r="Q124" s="56">
        <f t="shared" si="53"/>
        <v>3.5881655308889432E-5</v>
      </c>
      <c r="R124" s="9">
        <f t="shared" si="44"/>
        <v>1.4999999999999999E-4</v>
      </c>
      <c r="S124" s="9">
        <f t="shared" si="45"/>
        <v>4.0940369993026132E-7</v>
      </c>
      <c r="T124" s="9">
        <f t="shared" si="40"/>
        <v>1.0035623089108625E-4</v>
      </c>
      <c r="U124" s="9">
        <f t="shared" si="41"/>
        <v>1.4959059630006972E-4</v>
      </c>
      <c r="V124" s="100">
        <f t="shared" si="46"/>
        <v>0.67087259074613026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9.1475309817773021E-2</v>
      </c>
      <c r="K125" s="55">
        <f t="shared" si="49"/>
        <v>0.98114612900642706</v>
      </c>
      <c r="L125" s="55">
        <f t="shared" si="50"/>
        <v>4.707618178994316E-4</v>
      </c>
      <c r="M125" s="55">
        <f t="shared" si="42"/>
        <v>0.9995292381821006</v>
      </c>
      <c r="N125" s="55">
        <f t="shared" si="51"/>
        <v>1.7714946230821274E-5</v>
      </c>
      <c r="O125" s="56">
        <f t="shared" si="43"/>
        <v>9.8663628144754109E-7</v>
      </c>
      <c r="P125" s="56">
        <f t="shared" si="52"/>
        <v>1.2179582219026366E-6</v>
      </c>
      <c r="Q125" s="56">
        <f t="shared" si="53"/>
        <v>1.3480067958948166E-6</v>
      </c>
      <c r="R125" s="9">
        <f t="shared" si="44"/>
        <v>1.4999999999999999E-4</v>
      </c>
      <c r="S125" s="9">
        <f t="shared" si="45"/>
        <v>7.0614272684914739E-8</v>
      </c>
      <c r="T125" s="9">
        <f t="shared" si="40"/>
        <v>1.4717191935096404E-4</v>
      </c>
      <c r="U125" s="9">
        <f t="shared" si="41"/>
        <v>1.4992938572731509E-4</v>
      </c>
      <c r="V125" s="100">
        <f t="shared" si="46"/>
        <v>0.98160823268250974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4.2597180047959515</v>
      </c>
      <c r="K126" s="55">
        <f t="shared" si="49"/>
        <v>3.3702845227153704E-3</v>
      </c>
      <c r="L126" s="55">
        <f t="shared" si="50"/>
        <v>2.3821921955159378E-2</v>
      </c>
      <c r="M126" s="55">
        <f t="shared" si="42"/>
        <v>0.97617807804484058</v>
      </c>
      <c r="N126" s="55">
        <f t="shared" si="51"/>
        <v>2.1569381516938907E-2</v>
      </c>
      <c r="O126" s="56">
        <f t="shared" si="43"/>
        <v>3.38914346253341E-9</v>
      </c>
      <c r="P126" s="56">
        <f t="shared" si="52"/>
        <v>6.1632240771505308E-5</v>
      </c>
      <c r="Q126" s="56">
        <f t="shared" si="53"/>
        <v>1.6413074298523421E-3</v>
      </c>
      <c r="R126" s="9">
        <f t="shared" si="44"/>
        <v>1.4999999999999999E-4</v>
      </c>
      <c r="S126" s="9">
        <f t="shared" si="45"/>
        <v>3.5732882932739063E-6</v>
      </c>
      <c r="T126" s="9">
        <f t="shared" si="40"/>
        <v>5.0554267840730552E-7</v>
      </c>
      <c r="U126" s="9">
        <f t="shared" si="41"/>
        <v>1.4642671170672606E-4</v>
      </c>
      <c r="V126" s="100">
        <f t="shared" si="46"/>
        <v>3.45253043324392E-3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2.0941959203200446</v>
      </c>
      <c r="K127" s="55">
        <f t="shared" si="49"/>
        <v>0.2240706483419545</v>
      </c>
      <c r="L127" s="55">
        <f t="shared" si="50"/>
        <v>1.0818651167787069E-2</v>
      </c>
      <c r="M127" s="55">
        <f t="shared" si="42"/>
        <v>0.98918134883221298</v>
      </c>
      <c r="N127" s="55">
        <f t="shared" si="51"/>
        <v>7.1409517240309779E-3</v>
      </c>
      <c r="O127" s="56">
        <f t="shared" si="43"/>
        <v>2.2532446974593061E-7</v>
      </c>
      <c r="P127" s="56">
        <f t="shared" si="52"/>
        <v>2.7990088912686073E-5</v>
      </c>
      <c r="Q127" s="56">
        <f t="shared" si="53"/>
        <v>5.4338586906929034E-4</v>
      </c>
      <c r="R127" s="9">
        <f t="shared" si="44"/>
        <v>1.4999999999999999E-4</v>
      </c>
      <c r="S127" s="9">
        <f t="shared" si="45"/>
        <v>1.6227976751680603E-6</v>
      </c>
      <c r="T127" s="9">
        <f t="shared" si="40"/>
        <v>3.3610597251293173E-5</v>
      </c>
      <c r="U127" s="9">
        <f t="shared" si="41"/>
        <v>1.4837720232483193E-4</v>
      </c>
      <c r="V127" s="100">
        <f t="shared" si="46"/>
        <v>0.22652130330447814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3.0076215018515007</v>
      </c>
      <c r="K128" s="55">
        <f t="shared" ref="K128:K134" si="56">IF(D128=0,"",1/(1+10^D128*$J$15/$J$14+10^E128*$J$16/$J$14+10^J128*$J$19/$J$14))</f>
        <v>3.5207347481990399E-2</v>
      </c>
      <c r="L128" s="55">
        <f t="shared" ref="L128:L134" si="57">IF(D128=0,"",1/(1+10^I128/10^J128*$J$13/$J$19))</f>
        <v>1.3926661992270793E-2</v>
      </c>
      <c r="M128" s="55">
        <f t="shared" ref="M128:M134" si="58">IF(D128=0,"",1-L128)</f>
        <v>0.98607333800772923</v>
      </c>
      <c r="N128" s="55">
        <f t="shared" ref="N128:N134" si="59">IF(D128=0,"",1/(1/10^E128*$J$20/$J$22+10^D128/10^E128*$J$21/$J$22+10^I128/10^E128*$J$13/$J$22+1))</f>
        <v>9.5692400741635639E-3</v>
      </c>
      <c r="O128" s="56">
        <f t="shared" ref="O128:O134" si="60">IF(D128=0,"",F128*K128*$J$7/$J$14)</f>
        <v>3.5404355551439884E-8</v>
      </c>
      <c r="P128" s="56">
        <f t="shared" ref="P128:P134" si="61">IF(D128=0,"",O128*10^J128)</f>
        <v>3.6031155952347791E-5</v>
      </c>
      <c r="Q128" s="56">
        <f t="shared" ref="Q128:Q134" si="62">IF(D128=0,"",F128*N128*$J$7/$J$22)</f>
        <v>7.2816482101867948E-4</v>
      </c>
      <c r="R128" s="9">
        <f t="shared" si="44"/>
        <v>1.4999999999999999E-4</v>
      </c>
      <c r="S128" s="9">
        <f t="shared" si="45"/>
        <v>2.0889992988406188E-6</v>
      </c>
      <c r="T128" s="9">
        <f t="shared" si="40"/>
        <v>5.2811021222985596E-6</v>
      </c>
      <c r="U128" s="9">
        <f t="shared" si="41"/>
        <v>1.4791100070115937E-4</v>
      </c>
      <c r="V128" s="100">
        <f t="shared" si="46"/>
        <v>3.5704593284231388E-2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-5.0341696429437088E-2</v>
      </c>
      <c r="K129" s="55">
        <f t="shared" si="56"/>
        <v>0.99938869873201108</v>
      </c>
      <c r="L129" s="55">
        <f t="shared" si="57"/>
        <v>3.4592740129686851E-4</v>
      </c>
      <c r="M129" s="55">
        <f t="shared" si="58"/>
        <v>0.99965407259870309</v>
      </c>
      <c r="N129" s="55">
        <f t="shared" si="59"/>
        <v>7.0321498340352692E-8</v>
      </c>
      <c r="O129" s="56">
        <f t="shared" si="60"/>
        <v>1.004980930247536E-6</v>
      </c>
      <c r="P129" s="56">
        <f t="shared" si="61"/>
        <v>8.9498575834147393E-7</v>
      </c>
      <c r="Q129" s="56">
        <f t="shared" si="62"/>
        <v>5.3510666318238566E-9</v>
      </c>
      <c r="R129" s="9">
        <f t="shared" si="44"/>
        <v>1.4999999999999999E-4</v>
      </c>
      <c r="S129" s="9">
        <f t="shared" si="45"/>
        <v>5.1889110194530273E-8</v>
      </c>
      <c r="T129" s="9">
        <f t="shared" si="40"/>
        <v>1.4990830480980164E-4</v>
      </c>
      <c r="U129" s="9">
        <f t="shared" si="41"/>
        <v>1.4994811088980546E-4</v>
      </c>
      <c r="V129" s="100">
        <f t="shared" si="46"/>
        <v>0.99973453430144876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1.4101942356343717</v>
      </c>
      <c r="K130" s="55">
        <f t="shared" si="56"/>
        <v>0.53931399637672051</v>
      </c>
      <c r="L130" s="55">
        <f t="shared" si="57"/>
        <v>5.390488869951483E-3</v>
      </c>
      <c r="M130" s="55">
        <f t="shared" si="58"/>
        <v>0.99460951113004847</v>
      </c>
      <c r="N130" s="55">
        <f t="shared" si="59"/>
        <v>2.790423076223781E-3</v>
      </c>
      <c r="O130" s="56">
        <f t="shared" si="60"/>
        <v>5.4233180989725391E-7</v>
      </c>
      <c r="P130" s="56">
        <f t="shared" si="61"/>
        <v>1.3946309980123789E-5</v>
      </c>
      <c r="Q130" s="56">
        <f t="shared" si="62"/>
        <v>2.1233534785597774E-4</v>
      </c>
      <c r="R130" s="9">
        <f t="shared" si="44"/>
        <v>1.4999999999999999E-4</v>
      </c>
      <c r="S130" s="9">
        <f t="shared" si="45"/>
        <v>8.0857333049272235E-7</v>
      </c>
      <c r="T130" s="9">
        <f t="shared" si="40"/>
        <v>8.0897099456508074E-5</v>
      </c>
      <c r="U130" s="9">
        <f t="shared" si="41"/>
        <v>1.4919142666950725E-4</v>
      </c>
      <c r="V130" s="100">
        <f t="shared" si="46"/>
        <v>0.54223691845050481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8.1668514409574067E-2</v>
      </c>
      <c r="K131" s="55">
        <f t="shared" si="56"/>
        <v>0.9834324331399904</v>
      </c>
      <c r="L131" s="55">
        <f t="shared" si="57"/>
        <v>4.6132317052600231E-4</v>
      </c>
      <c r="M131" s="55">
        <f t="shared" si="58"/>
        <v>0.99953867682947395</v>
      </c>
      <c r="N131" s="55">
        <f t="shared" si="59"/>
        <v>2.3180118579836212E-5</v>
      </c>
      <c r="O131" s="56">
        <f t="shared" si="60"/>
        <v>9.8893537894373296E-7</v>
      </c>
      <c r="P131" s="56">
        <f t="shared" si="61"/>
        <v>1.1935384883239801E-6</v>
      </c>
      <c r="Q131" s="56">
        <f t="shared" si="62"/>
        <v>1.7638753721364413E-6</v>
      </c>
      <c r="R131" s="9">
        <f t="shared" si="44"/>
        <v>1.4999999999999999E-4</v>
      </c>
      <c r="S131" s="9">
        <f t="shared" si="45"/>
        <v>6.9198475578900338E-8</v>
      </c>
      <c r="T131" s="9">
        <f t="shared" si="40"/>
        <v>1.4751486497099854E-4</v>
      </c>
      <c r="U131" s="9">
        <f t="shared" si="41"/>
        <v>1.4993080152442108E-4</v>
      </c>
      <c r="V131" s="100">
        <f t="shared" si="46"/>
        <v>0.98388632269781462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0.25241061974320167</v>
      </c>
      <c r="K132" s="55">
        <f t="shared" si="56"/>
        <v>0.95813691837112203</v>
      </c>
      <c r="L132" s="55">
        <f t="shared" si="57"/>
        <v>6.6593282248257298E-4</v>
      </c>
      <c r="M132" s="55">
        <f t="shared" si="58"/>
        <v>0.99933406717751738</v>
      </c>
      <c r="N132" s="55">
        <f t="shared" si="59"/>
        <v>8.6621337651144508E-5</v>
      </c>
      <c r="O132" s="56">
        <f t="shared" si="60"/>
        <v>9.6349831927339503E-7</v>
      </c>
      <c r="P132" s="56">
        <f t="shared" si="61"/>
        <v>1.7229059909670681E-6</v>
      </c>
      <c r="Q132" s="56">
        <f t="shared" si="62"/>
        <v>6.5913918282228414E-6</v>
      </c>
      <c r="R132" s="9">
        <f t="shared" si="44"/>
        <v>1.4999999999999999E-4</v>
      </c>
      <c r="S132" s="9">
        <f t="shared" si="45"/>
        <v>9.988992337238594E-8</v>
      </c>
      <c r="T132" s="9">
        <f t="shared" si="40"/>
        <v>1.437205377556683E-4</v>
      </c>
      <c r="U132" s="9">
        <f t="shared" si="41"/>
        <v>1.4990011007662759E-4</v>
      </c>
      <c r="V132" s="100">
        <f t="shared" si="46"/>
        <v>0.95877539837829096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2.3273007533067842</v>
      </c>
      <c r="K133" s="55">
        <f t="shared" si="56"/>
        <v>0.152819803676982</v>
      </c>
      <c r="L133" s="55">
        <f t="shared" si="57"/>
        <v>1.2620385396638064E-2</v>
      </c>
      <c r="M133" s="55">
        <f t="shared" si="58"/>
        <v>0.98737961460336199</v>
      </c>
      <c r="N133" s="55">
        <f t="shared" si="59"/>
        <v>8.8352700180532838E-3</v>
      </c>
      <c r="O133" s="56">
        <f t="shared" si="60"/>
        <v>1.536749301391914E-7</v>
      </c>
      <c r="P133" s="56">
        <f t="shared" si="61"/>
        <v>3.265154813532267E-5</v>
      </c>
      <c r="Q133" s="56">
        <f t="shared" si="62"/>
        <v>6.7231386834129808E-4</v>
      </c>
      <c r="R133" s="9">
        <f t="shared" si="44"/>
        <v>1.4999999999999999E-4</v>
      </c>
      <c r="S133" s="9">
        <f t="shared" si="45"/>
        <v>1.8930578094957094E-6</v>
      </c>
      <c r="T133" s="9">
        <f t="shared" si="40"/>
        <v>2.2922970551547298E-5</v>
      </c>
      <c r="U133" s="9">
        <f t="shared" si="41"/>
        <v>1.4810694219050428E-4</v>
      </c>
      <c r="V133" s="100">
        <f t="shared" si="46"/>
        <v>0.15477309984607177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-5.1870629923213188E-2</v>
      </c>
      <c r="K134" s="55">
        <f t="shared" si="56"/>
        <v>0.99957133162241363</v>
      </c>
      <c r="L134" s="55">
        <f t="shared" si="57"/>
        <v>3.4477469945138933E-4</v>
      </c>
      <c r="M134" s="55">
        <f t="shared" si="58"/>
        <v>0.99965522530054862</v>
      </c>
      <c r="N134" s="55">
        <f t="shared" si="59"/>
        <v>1.372227173377315E-8</v>
      </c>
      <c r="O134" s="56">
        <f t="shared" si="60"/>
        <v>1.0051645850880636E-6</v>
      </c>
      <c r="P134" s="56">
        <f t="shared" si="61"/>
        <v>8.9200348017718226E-7</v>
      </c>
      <c r="Q134" s="56">
        <f t="shared" si="62"/>
        <v>1.0441869431169023E-9</v>
      </c>
      <c r="R134" s="9">
        <f t="shared" si="44"/>
        <v>1.4999999999999999E-4</v>
      </c>
      <c r="S134" s="9">
        <f t="shared" si="45"/>
        <v>5.1716204917708394E-8</v>
      </c>
      <c r="T134" s="9">
        <f t="shared" si="40"/>
        <v>1.4993569974336204E-4</v>
      </c>
      <c r="U134" s="9">
        <f t="shared" si="41"/>
        <v>1.4994828379508228E-4</v>
      </c>
      <c r="V134" s="100">
        <f t="shared" si="46"/>
        <v>0.99991607738747146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0.38919526721212155</v>
      </c>
      <c r="K135" s="55">
        <f t="shared" ref="K135:K143" si="65">IF(D135=0,"",1/(1+10^D135*$J$15/$J$14+10^E135*$J$16/$J$14+10^J135*$J$19/$J$14))</f>
        <v>0.93258064025831344</v>
      </c>
      <c r="L135" s="55">
        <f t="shared" ref="L135:L143" si="66">IF(D135=0,"",1/(1+10^I135/10^J135*$J$13/$J$19))</f>
        <v>8.8812457913936289E-4</v>
      </c>
      <c r="M135" s="55">
        <f t="shared" ref="M135:M143" si="67">IF(D135=0,"",1-L135)</f>
        <v>0.99911187542086066</v>
      </c>
      <c r="N135" s="55">
        <f t="shared" ref="N135:N143" si="68">IF(D135=0,"",1/(1/10^E135*$J$20/$J$22+10^D135/10^E135*$J$21/$J$22+10^I135/10^E135*$J$13/$J$22+1))</f>
        <v>1.6985391893576453E-4</v>
      </c>
      <c r="O135" s="56">
        <f t="shared" ref="O135:O143" si="69">IF(D135=0,"",F135*K135*$J$7/$J$14)</f>
        <v>9.3779903711815193E-7</v>
      </c>
      <c r="P135" s="56">
        <f t="shared" ref="P135:P143" si="70">IF(D135=0,"",O135*10^J135)</f>
        <v>2.2977620361464568E-6</v>
      </c>
      <c r="Q135" s="56">
        <f t="shared" ref="Q135:Q143" si="71">IF(D135=0,"",F135*N135*$J$7/$J$22)</f>
        <v>1.2924918543439632E-5</v>
      </c>
      <c r="R135" s="9">
        <f t="shared" si="44"/>
        <v>1.4999999999999999E-4</v>
      </c>
      <c r="S135" s="9">
        <f t="shared" si="45"/>
        <v>1.3321868687090442E-7</v>
      </c>
      <c r="T135" s="9">
        <f t="shared" si="40"/>
        <v>1.3988709603874699E-4</v>
      </c>
      <c r="U135" s="9">
        <f t="shared" si="41"/>
        <v>1.4986678131312909E-4</v>
      </c>
      <c r="V135" s="100">
        <f t="shared" si="46"/>
        <v>0.93340962428804886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-2.3506255526432474E-2</v>
      </c>
      <c r="K136" s="55">
        <f t="shared" si="65"/>
        <v>0.99627154333294743</v>
      </c>
      <c r="L136" s="55">
        <f t="shared" si="66"/>
        <v>3.6682902951987845E-4</v>
      </c>
      <c r="M136" s="55">
        <f t="shared" si="67"/>
        <v>0.9996331709704801</v>
      </c>
      <c r="N136" s="55">
        <f t="shared" si="68"/>
        <v>2.5545120724166746E-6</v>
      </c>
      <c r="O136" s="56">
        <f t="shared" si="69"/>
        <v>1.001846332331178E-6</v>
      </c>
      <c r="P136" s="56">
        <f t="shared" si="70"/>
        <v>9.4906259502920527E-7</v>
      </c>
      <c r="Q136" s="56">
        <f t="shared" si="71"/>
        <v>1.9438386032591347E-7</v>
      </c>
      <c r="R136" s="9">
        <f t="shared" si="44"/>
        <v>1.4999999999999999E-4</v>
      </c>
      <c r="S136" s="9">
        <f t="shared" si="45"/>
        <v>5.5024354427981764E-8</v>
      </c>
      <c r="T136" s="9">
        <f t="shared" si="40"/>
        <v>1.4944073149994211E-4</v>
      </c>
      <c r="U136" s="9">
        <f t="shared" si="41"/>
        <v>1.4994497564557201E-4</v>
      </c>
      <c r="V136" s="100">
        <f t="shared" si="46"/>
        <v>0.99663713876734494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-5.2491799925329305E-2</v>
      </c>
      <c r="K137" s="55">
        <f t="shared" si="65"/>
        <v>0.99964660428286334</v>
      </c>
      <c r="L137" s="55">
        <f t="shared" si="66"/>
        <v>3.4430784792955976E-4</v>
      </c>
      <c r="M137" s="55">
        <f t="shared" si="67"/>
        <v>0.9996556921520704</v>
      </c>
      <c r="N137" s="55">
        <f t="shared" si="68"/>
        <v>5.8353347428330396E-10</v>
      </c>
      <c r="O137" s="56">
        <f t="shared" si="69"/>
        <v>1.0052402789481373E-6</v>
      </c>
      <c r="P137" s="56">
        <f t="shared" si="70"/>
        <v>8.9079563870023935E-7</v>
      </c>
      <c r="Q137" s="56">
        <f t="shared" si="71"/>
        <v>4.4403583206898593E-11</v>
      </c>
      <c r="R137" s="9">
        <f t="shared" si="44"/>
        <v>1.4999999999999999E-4</v>
      </c>
      <c r="S137" s="9">
        <f t="shared" si="45"/>
        <v>5.164617718943396E-8</v>
      </c>
      <c r="T137" s="9">
        <f t="shared" si="40"/>
        <v>1.4994699064242947E-4</v>
      </c>
      <c r="U137" s="9">
        <f t="shared" si="41"/>
        <v>1.4994835382281055E-4</v>
      </c>
      <c r="V137" s="100">
        <f t="shared" si="46"/>
        <v>0.99999090900069054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-2.6731736037650052E-2</v>
      </c>
      <c r="K138" s="55">
        <f t="shared" si="65"/>
        <v>0.99664503193912601</v>
      </c>
      <c r="L138" s="55">
        <f t="shared" si="66"/>
        <v>3.6425120478530824E-4</v>
      </c>
      <c r="M138" s="55">
        <f t="shared" si="67"/>
        <v>0.99963574879521466</v>
      </c>
      <c r="N138" s="55">
        <f t="shared" si="68"/>
        <v>2.1660158611384043E-6</v>
      </c>
      <c r="O138" s="56">
        <f t="shared" si="69"/>
        <v>1.0022219108496771E-6</v>
      </c>
      <c r="P138" s="56">
        <f t="shared" si="70"/>
        <v>9.4239322909782423E-7</v>
      </c>
      <c r="Q138" s="56">
        <f t="shared" si="71"/>
        <v>1.6482150511699123E-7</v>
      </c>
      <c r="R138" s="9">
        <f t="shared" si="44"/>
        <v>1.4999999999999999E-4</v>
      </c>
      <c r="S138" s="9">
        <f t="shared" si="45"/>
        <v>5.4637680717796233E-8</v>
      </c>
      <c r="T138" s="9">
        <f t="shared" si="40"/>
        <v>1.4949675479086888E-4</v>
      </c>
      <c r="U138" s="9">
        <f t="shared" si="41"/>
        <v>1.4994536231928218E-4</v>
      </c>
      <c r="V138" s="100">
        <f t="shared" si="46"/>
        <v>0.99700819337474367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0.29014500901604634</v>
      </c>
      <c r="K139" s="55">
        <f t="shared" si="65"/>
        <v>0.94796962929214901</v>
      </c>
      <c r="L139" s="55">
        <f t="shared" si="66"/>
        <v>7.1867354685341896E-4</v>
      </c>
      <c r="M139" s="55">
        <f t="shared" si="67"/>
        <v>0.9992813264531466</v>
      </c>
      <c r="N139" s="55">
        <f t="shared" si="68"/>
        <v>7.5634086784449935E-5</v>
      </c>
      <c r="O139" s="56">
        <f t="shared" si="69"/>
        <v>9.5327413758148053E-7</v>
      </c>
      <c r="P139" s="56">
        <f t="shared" si="70"/>
        <v>1.8593571567884542E-6</v>
      </c>
      <c r="Q139" s="56">
        <f t="shared" si="71"/>
        <v>5.7553244395035433E-6</v>
      </c>
      <c r="R139" s="9">
        <f t="shared" si="44"/>
        <v>1.4999999999999999E-4</v>
      </c>
      <c r="S139" s="9">
        <f t="shared" si="45"/>
        <v>1.0780103202801283E-7</v>
      </c>
      <c r="T139" s="9">
        <f t="shared" si="40"/>
        <v>1.4219544439382235E-4</v>
      </c>
      <c r="U139" s="9">
        <f t="shared" si="41"/>
        <v>1.4989219896797198E-4</v>
      </c>
      <c r="V139" s="100">
        <f t="shared" si="46"/>
        <v>0.94865139995848458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-5.1999443055039035E-2</v>
      </c>
      <c r="K140" s="55">
        <f t="shared" si="65"/>
        <v>0.99958685886154452</v>
      </c>
      <c r="L140" s="55">
        <f t="shared" si="66"/>
        <v>3.4467780744399745E-4</v>
      </c>
      <c r="M140" s="55">
        <f t="shared" si="67"/>
        <v>0.99965532219255604</v>
      </c>
      <c r="N140" s="55">
        <f t="shared" si="68"/>
        <v>1.0282394498322449E-8</v>
      </c>
      <c r="O140" s="56">
        <f t="shared" si="69"/>
        <v>1.0051801992122235E-6</v>
      </c>
      <c r="P140" s="56">
        <f t="shared" si="70"/>
        <v>8.9175280050743697E-7</v>
      </c>
      <c r="Q140" s="56">
        <f t="shared" si="71"/>
        <v>7.8243182232721599E-10</v>
      </c>
      <c r="R140" s="9">
        <f t="shared" si="44"/>
        <v>1.4999999999999999E-4</v>
      </c>
      <c r="S140" s="9">
        <f t="shared" si="45"/>
        <v>5.170167111659961E-8</v>
      </c>
      <c r="T140" s="9">
        <f t="shared" si="40"/>
        <v>1.4993802882923166E-4</v>
      </c>
      <c r="U140" s="9">
        <f t="shared" si="41"/>
        <v>1.4994829832888339E-4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-5.1143990989195108E-2</v>
      </c>
      <c r="K141" s="55">
        <f t="shared" si="65"/>
        <v>0.99948421862044645</v>
      </c>
      <c r="L141" s="55">
        <f t="shared" si="66"/>
        <v>3.4532194384209269E-4</v>
      </c>
      <c r="M141" s="55">
        <f t="shared" si="67"/>
        <v>0.99965467805615793</v>
      </c>
      <c r="N141" s="55">
        <f t="shared" si="68"/>
        <v>3.7532910579623329E-8</v>
      </c>
      <c r="O141" s="56">
        <f t="shared" si="69"/>
        <v>1.0050769846320402E-6</v>
      </c>
      <c r="P141" s="56">
        <f t="shared" si="70"/>
        <v>8.934193146389095E-7</v>
      </c>
      <c r="Q141" s="56">
        <f t="shared" si="71"/>
        <v>2.8560413264488428E-9</v>
      </c>
      <c r="R141" s="9">
        <f t="shared" si="44"/>
        <v>1.4999999999999999E-4</v>
      </c>
      <c r="S141" s="9">
        <f t="shared" si="45"/>
        <v>5.17982915763139E-8</v>
      </c>
      <c r="T141" s="9">
        <f t="shared" si="40"/>
        <v>1.4992263279306695E-4</v>
      </c>
      <c r="U141" s="9">
        <f t="shared" si="41"/>
        <v>1.4994820170842368E-4</v>
      </c>
      <c r="V141" s="100">
        <f t="shared" si="46"/>
        <v>0.99982948168057095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1.601845478242661</v>
      </c>
      <c r="K142" s="55">
        <f t="shared" si="65"/>
        <v>0.44029713317885355</v>
      </c>
      <c r="L142" s="55">
        <f t="shared" si="66"/>
        <v>6.8420077641876687E-3</v>
      </c>
      <c r="M142" s="55">
        <f t="shared" si="67"/>
        <v>0.99315799223581236</v>
      </c>
      <c r="N142" s="55">
        <f t="shared" si="68"/>
        <v>3.8434353644743006E-3</v>
      </c>
      <c r="O142" s="56">
        <f t="shared" si="69"/>
        <v>4.4276088277646473E-7</v>
      </c>
      <c r="P142" s="56">
        <f t="shared" si="70"/>
        <v>1.7701689673766774E-5</v>
      </c>
      <c r="Q142" s="56">
        <f t="shared" si="71"/>
        <v>2.924636023946677E-4</v>
      </c>
      <c r="R142" s="9">
        <f t="shared" si="44"/>
        <v>1.4999999999999999E-4</v>
      </c>
      <c r="S142" s="9">
        <f t="shared" si="45"/>
        <v>1.0263011646281501E-6</v>
      </c>
      <c r="T142" s="9">
        <f t="shared" si="40"/>
        <v>6.604456997682803E-5</v>
      </c>
      <c r="U142" s="9">
        <f t="shared" si="41"/>
        <v>1.4897369883537184E-4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2.3908284615882098</v>
      </c>
      <c r="K143" s="55">
        <f t="shared" si="65"/>
        <v>6.5910758754187865E-2</v>
      </c>
      <c r="L143" s="55">
        <f t="shared" si="66"/>
        <v>6.3005287768607664E-3</v>
      </c>
      <c r="M143" s="55">
        <f t="shared" si="67"/>
        <v>0.99369947122313929</v>
      </c>
      <c r="N143" s="55">
        <f t="shared" si="68"/>
        <v>3.6713639358206142E-4</v>
      </c>
      <c r="O143" s="56">
        <f t="shared" si="69"/>
        <v>6.6279572432774588E-8</v>
      </c>
      <c r="P143" s="56">
        <f t="shared" si="70"/>
        <v>1.6300771503416782E-5</v>
      </c>
      <c r="Q143" s="56">
        <f t="shared" si="71"/>
        <v>2.7936994395606986E-5</v>
      </c>
      <c r="R143" s="9">
        <f t="shared" si="44"/>
        <v>1.4999999999999999E-4</v>
      </c>
      <c r="S143" s="9">
        <f t="shared" si="45"/>
        <v>9.450793165291149E-7</v>
      </c>
      <c r="T143" s="9">
        <f t="shared" si="40"/>
        <v>9.8866138131281785E-6</v>
      </c>
      <c r="U143" s="9">
        <f t="shared" si="41"/>
        <v>1.4905492068347087E-4</v>
      </c>
      <c r="V143" s="100">
        <f t="shared" si="46"/>
        <v>6.6328664413053046E-2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2025-02-02T14:48:32Z</dcterms:modified>
</cp:coreProperties>
</file>