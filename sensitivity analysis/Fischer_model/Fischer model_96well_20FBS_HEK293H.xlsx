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embeddings/oleObject14.bin" ContentType="application/vnd.openxmlformats-officedocument.oleObject"/>
  <Override PartName="/xl/embeddings/oleObject15.bin" ContentType="application/vnd.openxmlformats-officedocument.oleObject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AMU PHD\MassBalance project\Sensitivity analysis\Fischer model\96well_1um\"/>
    </mc:Choice>
  </mc:AlternateContent>
  <xr:revisionPtr revIDLastSave="0" documentId="13_ncr:1_{E719C901-510C-4B63-8807-940A410383DB}" xr6:coauthVersionLast="47" xr6:coauthVersionMax="47" xr10:uidLastSave="{00000000-0000-0000-0000-000000000000}"/>
  <bookViews>
    <workbookView xWindow="-98" yWindow="-98" windowWidth="21795" windowHeight="13875" firstSheet="1" activeTab="1" xr2:uid="{00000000-000D-0000-FFFF-FFFF00000000}"/>
  </bookViews>
  <sheets>
    <sheet name="Model structure" sheetId="1" r:id="rId1"/>
    <sheet name="User input and model output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1" i="4" l="1"/>
  <c r="R131" i="4"/>
  <c r="U131" i="4" s="1"/>
  <c r="V130" i="4"/>
  <c r="R130" i="4"/>
  <c r="V127" i="4"/>
  <c r="U127" i="4"/>
  <c r="R127" i="4"/>
  <c r="T127" i="4" s="1"/>
  <c r="V126" i="4"/>
  <c r="R126" i="4"/>
  <c r="U126" i="4" s="1"/>
  <c r="V124" i="4"/>
  <c r="U124" i="4"/>
  <c r="T124" i="4"/>
  <c r="S124" i="4"/>
  <c r="R124" i="4"/>
  <c r="V121" i="4"/>
  <c r="R121" i="4"/>
  <c r="S121" i="4" s="1"/>
  <c r="V120" i="4"/>
  <c r="R120" i="4"/>
  <c r="U120" i="4" s="1"/>
  <c r="V119" i="4"/>
  <c r="R119" i="4"/>
  <c r="U119" i="4" s="1"/>
  <c r="V116" i="4"/>
  <c r="R116" i="4"/>
  <c r="U116" i="4" s="1"/>
  <c r="V115" i="4"/>
  <c r="U115" i="4"/>
  <c r="T115" i="4"/>
  <c r="S115" i="4"/>
  <c r="R115" i="4"/>
  <c r="V114" i="4"/>
  <c r="R114" i="4"/>
  <c r="U114" i="4" s="1"/>
  <c r="V108" i="4"/>
  <c r="R108" i="4"/>
  <c r="U108" i="4" s="1"/>
  <c r="V107" i="4"/>
  <c r="R107" i="4"/>
  <c r="U107" i="4" s="1"/>
  <c r="V93" i="4"/>
  <c r="R93" i="4"/>
  <c r="V92" i="4"/>
  <c r="U92" i="4"/>
  <c r="R92" i="4"/>
  <c r="T92" i="4" s="1"/>
  <c r="V91" i="4"/>
  <c r="R91" i="4"/>
  <c r="U91" i="4" s="1"/>
  <c r="V90" i="4"/>
  <c r="U90" i="4"/>
  <c r="T90" i="4"/>
  <c r="S90" i="4"/>
  <c r="R90" i="4"/>
  <c r="V89" i="4"/>
  <c r="R89" i="4"/>
  <c r="T89" i="4" s="1"/>
  <c r="V88" i="4"/>
  <c r="R88" i="4"/>
  <c r="U88" i="4" s="1"/>
  <c r="V86" i="4"/>
  <c r="R86" i="4"/>
  <c r="U86" i="4" s="1"/>
  <c r="V85" i="4"/>
  <c r="R85" i="4"/>
  <c r="V84" i="4"/>
  <c r="U84" i="4"/>
  <c r="T84" i="4"/>
  <c r="S84" i="4"/>
  <c r="R84" i="4"/>
  <c r="V83" i="4"/>
  <c r="R83" i="4"/>
  <c r="U83" i="4" s="1"/>
  <c r="V82" i="4"/>
  <c r="R82" i="4"/>
  <c r="U82" i="4" s="1"/>
  <c r="V81" i="4"/>
  <c r="R81" i="4"/>
  <c r="U81" i="4" s="1"/>
  <c r="V80" i="4"/>
  <c r="R80" i="4"/>
  <c r="S80" i="4" s="1"/>
  <c r="V79" i="4"/>
  <c r="U79" i="4"/>
  <c r="R79" i="4"/>
  <c r="T79" i="4" s="1"/>
  <c r="V78" i="4"/>
  <c r="R78" i="4"/>
  <c r="U78" i="4" s="1"/>
  <c r="V77" i="4"/>
  <c r="U77" i="4"/>
  <c r="T77" i="4"/>
  <c r="S77" i="4"/>
  <c r="R77" i="4"/>
  <c r="V76" i="4"/>
  <c r="R76" i="4"/>
  <c r="T76" i="4" s="1"/>
  <c r="V75" i="4"/>
  <c r="R75" i="4"/>
  <c r="U75" i="4" s="1"/>
  <c r="V74" i="4"/>
  <c r="R74" i="4"/>
  <c r="U74" i="4" s="1"/>
  <c r="V73" i="4"/>
  <c r="R73" i="4"/>
  <c r="V72" i="4"/>
  <c r="U72" i="4"/>
  <c r="T72" i="4"/>
  <c r="S72" i="4"/>
  <c r="R72" i="4"/>
  <c r="V71" i="4"/>
  <c r="R71" i="4"/>
  <c r="U71" i="4" s="1"/>
  <c r="V70" i="4"/>
  <c r="R70" i="4"/>
  <c r="S70" i="4" s="1"/>
  <c r="V69" i="4"/>
  <c r="R69" i="4"/>
  <c r="U69" i="4" s="1"/>
  <c r="V68" i="4"/>
  <c r="R68" i="4"/>
  <c r="V65" i="4"/>
  <c r="U65" i="4"/>
  <c r="R65" i="4"/>
  <c r="T65" i="4" s="1"/>
  <c r="V64" i="4"/>
  <c r="R64" i="4"/>
  <c r="T64" i="4" s="1"/>
  <c r="V63" i="4"/>
  <c r="U63" i="4"/>
  <c r="T63" i="4"/>
  <c r="S63" i="4"/>
  <c r="R63" i="4"/>
  <c r="V62" i="4"/>
  <c r="R62" i="4"/>
  <c r="T62" i="4" s="1"/>
  <c r="V61" i="4"/>
  <c r="R61" i="4"/>
  <c r="U61" i="4" s="1"/>
  <c r="V60" i="4"/>
  <c r="R60" i="4"/>
  <c r="U60" i="4" s="1"/>
  <c r="V58" i="4"/>
  <c r="R58" i="4"/>
  <c r="V57" i="4"/>
  <c r="U57" i="4"/>
  <c r="T57" i="4"/>
  <c r="S57" i="4"/>
  <c r="R57" i="4"/>
  <c r="V49" i="4"/>
  <c r="R49" i="4"/>
  <c r="U49" i="4" s="1"/>
  <c r="V48" i="4"/>
  <c r="U48" i="4"/>
  <c r="T48" i="4"/>
  <c r="S48" i="4"/>
  <c r="R48" i="4"/>
  <c r="V47" i="4"/>
  <c r="R47" i="4"/>
  <c r="U47" i="4" s="1"/>
  <c r="V46" i="4"/>
  <c r="R46" i="4"/>
  <c r="V45" i="4"/>
  <c r="U45" i="4"/>
  <c r="R45" i="4"/>
  <c r="T45" i="4" s="1"/>
  <c r="V44" i="4"/>
  <c r="R44" i="4"/>
  <c r="U44" i="4" s="1"/>
  <c r="V43" i="4"/>
  <c r="U43" i="4"/>
  <c r="T43" i="4"/>
  <c r="S43" i="4"/>
  <c r="R43" i="4"/>
  <c r="V42" i="4"/>
  <c r="R42" i="4"/>
  <c r="T42" i="4" s="1"/>
  <c r="V41" i="4"/>
  <c r="R41" i="4"/>
  <c r="U41" i="4" s="1"/>
  <c r="V40" i="4"/>
  <c r="R40" i="4"/>
  <c r="U40" i="4" s="1"/>
  <c r="V39" i="4"/>
  <c r="R39" i="4"/>
  <c r="V38" i="4"/>
  <c r="U38" i="4"/>
  <c r="T38" i="4"/>
  <c r="S38" i="4"/>
  <c r="R38" i="4"/>
  <c r="V37" i="4"/>
  <c r="R37" i="4"/>
  <c r="U37" i="4" s="1"/>
  <c r="V36" i="4"/>
  <c r="U36" i="4"/>
  <c r="T36" i="4"/>
  <c r="S36" i="4"/>
  <c r="R36" i="4"/>
  <c r="V35" i="4"/>
  <c r="R35" i="4"/>
  <c r="U35" i="4" s="1"/>
  <c r="V34" i="4"/>
  <c r="R34" i="4"/>
  <c r="V33" i="4"/>
  <c r="U33" i="4"/>
  <c r="R33" i="4"/>
  <c r="T33" i="4" s="1"/>
  <c r="V32" i="4"/>
  <c r="R32" i="4"/>
  <c r="U32" i="4" s="1"/>
  <c r="V31" i="4"/>
  <c r="U31" i="4"/>
  <c r="T31" i="4"/>
  <c r="S31" i="4"/>
  <c r="R31" i="4"/>
  <c r="V30" i="4"/>
  <c r="R30" i="4"/>
  <c r="S30" i="4" s="1"/>
  <c r="V29" i="4"/>
  <c r="R29" i="4"/>
  <c r="U29" i="4" s="1"/>
  <c r="V28" i="4"/>
  <c r="R28" i="4"/>
  <c r="U28" i="4" s="1"/>
  <c r="I128" i="4"/>
  <c r="J128" i="4"/>
  <c r="K128" i="4"/>
  <c r="L128" i="4"/>
  <c r="M128" i="4"/>
  <c r="N128" i="4"/>
  <c r="O128" i="4"/>
  <c r="P128" i="4"/>
  <c r="Q128" i="4"/>
  <c r="I129" i="4"/>
  <c r="J129" i="4"/>
  <c r="K129" i="4"/>
  <c r="L129" i="4"/>
  <c r="M129" i="4"/>
  <c r="N129" i="4"/>
  <c r="O129" i="4"/>
  <c r="P129" i="4"/>
  <c r="Q129" i="4"/>
  <c r="I130" i="4"/>
  <c r="J130" i="4"/>
  <c r="K130" i="4"/>
  <c r="O130" i="4" s="1"/>
  <c r="P130" i="4" s="1"/>
  <c r="L130" i="4"/>
  <c r="M130" i="4"/>
  <c r="N130" i="4"/>
  <c r="Q130" i="4" s="1"/>
  <c r="I131" i="4"/>
  <c r="J131" i="4"/>
  <c r="K131" i="4" s="1"/>
  <c r="O131" i="4" s="1"/>
  <c r="P131" i="4" s="1"/>
  <c r="L131" i="4"/>
  <c r="M131" i="4"/>
  <c r="N131" i="4"/>
  <c r="Q131" i="4"/>
  <c r="I132" i="4"/>
  <c r="J132" i="4"/>
  <c r="K132" i="4"/>
  <c r="L132" i="4"/>
  <c r="M132" i="4"/>
  <c r="N132" i="4"/>
  <c r="O132" i="4"/>
  <c r="P132" i="4"/>
  <c r="Q132" i="4"/>
  <c r="I133" i="4"/>
  <c r="J133" i="4"/>
  <c r="K133" i="4"/>
  <c r="L133" i="4"/>
  <c r="M133" i="4"/>
  <c r="N133" i="4"/>
  <c r="O133" i="4"/>
  <c r="P133" i="4"/>
  <c r="Q133" i="4"/>
  <c r="I134" i="4"/>
  <c r="J134" i="4"/>
  <c r="K134" i="4"/>
  <c r="L134" i="4"/>
  <c r="M134" i="4"/>
  <c r="N134" i="4"/>
  <c r="O134" i="4"/>
  <c r="P134" i="4"/>
  <c r="Q134" i="4"/>
  <c r="U73" i="4" l="1"/>
  <c r="T73" i="4"/>
  <c r="S73" i="4"/>
  <c r="U85" i="4"/>
  <c r="T85" i="4"/>
  <c r="S85" i="4"/>
  <c r="S120" i="4"/>
  <c r="U93" i="4"/>
  <c r="T93" i="4"/>
  <c r="S93" i="4"/>
  <c r="S29" i="4"/>
  <c r="T70" i="4"/>
  <c r="S82" i="4"/>
  <c r="T29" i="4"/>
  <c r="S41" i="4"/>
  <c r="U70" i="4"/>
  <c r="T82" i="4"/>
  <c r="T41" i="4"/>
  <c r="S61" i="4"/>
  <c r="U34" i="4"/>
  <c r="T34" i="4"/>
  <c r="T61" i="4"/>
  <c r="S75" i="4"/>
  <c r="S34" i="4"/>
  <c r="U46" i="4"/>
  <c r="T46" i="4"/>
  <c r="T75" i="4"/>
  <c r="S88" i="4"/>
  <c r="S46" i="4"/>
  <c r="U68" i="4"/>
  <c r="T68" i="4"/>
  <c r="T88" i="4"/>
  <c r="S68" i="4"/>
  <c r="U80" i="4"/>
  <c r="T80" i="4"/>
  <c r="U130" i="4"/>
  <c r="T130" i="4"/>
  <c r="S130" i="4"/>
  <c r="U39" i="4"/>
  <c r="T39" i="4"/>
  <c r="S39" i="4"/>
  <c r="S108" i="4"/>
  <c r="T108" i="4"/>
  <c r="T120" i="4"/>
  <c r="U58" i="4"/>
  <c r="T58" i="4"/>
  <c r="S58" i="4"/>
  <c r="S126" i="4"/>
  <c r="T32" i="4"/>
  <c r="T78" i="4"/>
  <c r="T126" i="4"/>
  <c r="T37" i="4"/>
  <c r="S42" i="4"/>
  <c r="T49" i="4"/>
  <c r="T71" i="4"/>
  <c r="T30" i="4"/>
  <c r="T121" i="4"/>
  <c r="S28" i="4"/>
  <c r="U30" i="4"/>
  <c r="T35" i="4"/>
  <c r="S40" i="4"/>
  <c r="U42" i="4"/>
  <c r="T47" i="4"/>
  <c r="S60" i="4"/>
  <c r="U62" i="4"/>
  <c r="T69" i="4"/>
  <c r="S74" i="4"/>
  <c r="U76" i="4"/>
  <c r="T81" i="4"/>
  <c r="S86" i="4"/>
  <c r="U89" i="4"/>
  <c r="T107" i="4"/>
  <c r="S119" i="4"/>
  <c r="U121" i="4"/>
  <c r="T131" i="4"/>
  <c r="S116" i="4"/>
  <c r="S32" i="4"/>
  <c r="S44" i="4"/>
  <c r="S64" i="4"/>
  <c r="S78" i="4"/>
  <c r="S91" i="4"/>
  <c r="T116" i="4"/>
  <c r="S37" i="4"/>
  <c r="T44" i="4"/>
  <c r="S49" i="4"/>
  <c r="S71" i="4"/>
  <c r="S83" i="4"/>
  <c r="T91" i="4"/>
  <c r="S114" i="4"/>
  <c r="S62" i="4"/>
  <c r="U64" i="4"/>
  <c r="S76" i="4"/>
  <c r="T83" i="4"/>
  <c r="S89" i="4"/>
  <c r="T114" i="4"/>
  <c r="S35" i="4"/>
  <c r="S47" i="4"/>
  <c r="S69" i="4"/>
  <c r="S81" i="4"/>
  <c r="S107" i="4"/>
  <c r="S131" i="4"/>
  <c r="T28" i="4"/>
  <c r="S33" i="4"/>
  <c r="T40" i="4"/>
  <c r="S45" i="4"/>
  <c r="T60" i="4"/>
  <c r="S65" i="4"/>
  <c r="T74" i="4"/>
  <c r="S79" i="4"/>
  <c r="T86" i="4"/>
  <c r="S92" i="4"/>
  <c r="T119" i="4"/>
  <c r="S127" i="4"/>
  <c r="O15" i="1" l="1"/>
  <c r="L15" i="1"/>
  <c r="N15" i="1"/>
  <c r="M98" i="4"/>
  <c r="M99" i="4"/>
  <c r="M100" i="4"/>
  <c r="M101" i="4"/>
  <c r="M102" i="4"/>
  <c r="M103" i="4"/>
  <c r="M104" i="4"/>
  <c r="M105" i="4"/>
  <c r="M106" i="4"/>
  <c r="M109" i="4"/>
  <c r="M110" i="4"/>
  <c r="M111" i="4"/>
  <c r="M112" i="4"/>
  <c r="M113" i="4"/>
  <c r="M117" i="4"/>
  <c r="M118" i="4"/>
  <c r="M122" i="4"/>
  <c r="M123" i="4"/>
  <c r="M125" i="4"/>
  <c r="J16" i="4"/>
  <c r="J15" i="4"/>
  <c r="J87" i="4"/>
  <c r="K87" i="4"/>
  <c r="J122" i="4"/>
  <c r="K122" i="4"/>
  <c r="J117" i="4"/>
  <c r="K117" i="4"/>
  <c r="J120" i="4"/>
  <c r="L120" i="4" s="1"/>
  <c r="M120" i="4" s="1"/>
  <c r="K120" i="4"/>
  <c r="J101" i="4"/>
  <c r="K101" i="4"/>
  <c r="J86" i="4"/>
  <c r="K86" i="4" s="1"/>
  <c r="J85" i="4"/>
  <c r="K85" i="4" s="1"/>
  <c r="J88" i="4"/>
  <c r="K88" i="4" s="1"/>
  <c r="J119" i="4"/>
  <c r="K119" i="4"/>
  <c r="J72" i="4"/>
  <c r="K72" i="4"/>
  <c r="J103" i="4"/>
  <c r="K103" i="4"/>
  <c r="J118" i="4"/>
  <c r="K118" i="4"/>
  <c r="J104" i="4"/>
  <c r="K104" i="4"/>
  <c r="J90" i="4"/>
  <c r="K90" i="4" s="1"/>
  <c r="J71" i="4"/>
  <c r="K71" i="4"/>
  <c r="J110" i="4"/>
  <c r="K110" i="4"/>
  <c r="J82" i="4"/>
  <c r="K82" i="4"/>
  <c r="J113" i="4"/>
  <c r="K113" i="4"/>
  <c r="J97" i="4"/>
  <c r="K97" i="4"/>
  <c r="J81" i="4"/>
  <c r="K81" i="4" s="1"/>
  <c r="J116" i="4"/>
  <c r="K116" i="4" s="1"/>
  <c r="O116" i="4" s="1"/>
  <c r="P116" i="4" s="1"/>
  <c r="J100" i="4"/>
  <c r="K100" i="4"/>
  <c r="O100" i="4"/>
  <c r="J84" i="4"/>
  <c r="K84" i="4" s="1"/>
  <c r="J114" i="4"/>
  <c r="K114" i="4"/>
  <c r="J78" i="4"/>
  <c r="K78" i="4" s="1"/>
  <c r="J115" i="4"/>
  <c r="K115" i="4"/>
  <c r="O115" i="4"/>
  <c r="J99" i="4"/>
  <c r="K99" i="4"/>
  <c r="J83" i="4"/>
  <c r="K83" i="4"/>
  <c r="J102" i="4"/>
  <c r="K102" i="4"/>
  <c r="J74" i="4"/>
  <c r="K74" i="4"/>
  <c r="J125" i="4"/>
  <c r="K125" i="4"/>
  <c r="J109" i="4"/>
  <c r="K109" i="4"/>
  <c r="J93" i="4"/>
  <c r="K93" i="4" s="1"/>
  <c r="J77" i="4"/>
  <c r="K77" i="4"/>
  <c r="J112" i="4"/>
  <c r="K112" i="4"/>
  <c r="J96" i="4"/>
  <c r="K96" i="4"/>
  <c r="J80" i="4"/>
  <c r="K80" i="4" s="1"/>
  <c r="J106" i="4"/>
  <c r="K106" i="4"/>
  <c r="J127" i="4"/>
  <c r="K127" i="4" s="1"/>
  <c r="O127" i="4" s="1"/>
  <c r="P127" i="4" s="1"/>
  <c r="J111" i="4"/>
  <c r="K111" i="4"/>
  <c r="J95" i="4"/>
  <c r="K95" i="4" s="1"/>
  <c r="J79" i="4"/>
  <c r="K79" i="4"/>
  <c r="J126" i="4"/>
  <c r="K126" i="4"/>
  <c r="O126" i="4" s="1"/>
  <c r="P126" i="4" s="1"/>
  <c r="J94" i="4"/>
  <c r="K94" i="4" s="1"/>
  <c r="J121" i="4"/>
  <c r="K121" i="4"/>
  <c r="O121" i="4" s="1"/>
  <c r="P121" i="4" s="1"/>
  <c r="J105" i="4"/>
  <c r="K105" i="4"/>
  <c r="J89" i="4"/>
  <c r="K89" i="4" s="1"/>
  <c r="J73" i="4"/>
  <c r="K73" i="4"/>
  <c r="J124" i="4"/>
  <c r="K124" i="4"/>
  <c r="O124" i="4" s="1"/>
  <c r="P124" i="4" s="1"/>
  <c r="J108" i="4"/>
  <c r="K108" i="4"/>
  <c r="J92" i="4"/>
  <c r="K92" i="4"/>
  <c r="O92" i="4" s="1"/>
  <c r="P92" i="4" s="1"/>
  <c r="J76" i="4"/>
  <c r="K76" i="4"/>
  <c r="J98" i="4"/>
  <c r="K98" i="4"/>
  <c r="J123" i="4"/>
  <c r="K123" i="4"/>
  <c r="J107" i="4"/>
  <c r="K107" i="4"/>
  <c r="O107" i="4" s="1"/>
  <c r="P107" i="4" s="1"/>
  <c r="J91" i="4"/>
  <c r="K91" i="4"/>
  <c r="J75" i="4"/>
  <c r="K75" i="4"/>
  <c r="O75" i="4" s="1"/>
  <c r="P75" i="4" s="1"/>
  <c r="P100" i="4"/>
  <c r="P115" i="4"/>
  <c r="O112" i="4"/>
  <c r="P112" i="4"/>
  <c r="O98" i="4"/>
  <c r="P98" i="4"/>
  <c r="O108" i="4"/>
  <c r="P108" i="4"/>
  <c r="O105" i="4"/>
  <c r="P105" i="4"/>
  <c r="O111" i="4"/>
  <c r="P111" i="4"/>
  <c r="O104" i="4"/>
  <c r="P104" i="4"/>
  <c r="O120" i="4"/>
  <c r="P120" i="4"/>
  <c r="O91" i="4"/>
  <c r="P91" i="4" s="1"/>
  <c r="O102" i="4"/>
  <c r="P102" i="4"/>
  <c r="O110" i="4"/>
  <c r="P110" i="4"/>
  <c r="O118" i="4"/>
  <c r="P118" i="4"/>
  <c r="O117" i="4"/>
  <c r="P117" i="4"/>
  <c r="O106" i="4"/>
  <c r="P106" i="4"/>
  <c r="O109" i="4"/>
  <c r="P109" i="4"/>
  <c r="O114" i="4"/>
  <c r="P114" i="4"/>
  <c r="O113" i="4"/>
  <c r="P113" i="4"/>
  <c r="O71" i="4"/>
  <c r="P71" i="4"/>
  <c r="O103" i="4"/>
  <c r="P103" i="4"/>
  <c r="O119" i="4"/>
  <c r="P119" i="4"/>
  <c r="O122" i="4"/>
  <c r="P122" i="4"/>
  <c r="O123" i="4"/>
  <c r="P123" i="4"/>
  <c r="O125" i="4"/>
  <c r="P125" i="4"/>
  <c r="O99" i="4"/>
  <c r="P99" i="4"/>
  <c r="O72" i="4"/>
  <c r="P72" i="4" s="1"/>
  <c r="O101" i="4"/>
  <c r="P101" i="4"/>
  <c r="O87" i="4"/>
  <c r="P87" i="4" s="1"/>
  <c r="I76" i="4"/>
  <c r="N76" i="4" s="1"/>
  <c r="Q76" i="4" s="1"/>
  <c r="I77" i="4"/>
  <c r="N77" i="4" s="1"/>
  <c r="Q77" i="4" s="1"/>
  <c r="I81" i="4"/>
  <c r="I89" i="4"/>
  <c r="I90" i="4"/>
  <c r="L90" i="4" s="1"/>
  <c r="I96" i="4"/>
  <c r="I99" i="4"/>
  <c r="I102" i="4"/>
  <c r="I104" i="4"/>
  <c r="I108" i="4"/>
  <c r="N108" i="4" s="1"/>
  <c r="Q108" i="4" s="1"/>
  <c r="I111" i="4"/>
  <c r="I113" i="4"/>
  <c r="I115" i="4"/>
  <c r="L115" i="4" s="1"/>
  <c r="M115" i="4" s="1"/>
  <c r="I119" i="4"/>
  <c r="N119" i="4" s="1"/>
  <c r="Q119" i="4" s="1"/>
  <c r="I120" i="4"/>
  <c r="I123" i="4"/>
  <c r="I125" i="4"/>
  <c r="I79" i="4"/>
  <c r="I92" i="4"/>
  <c r="I100" i="4"/>
  <c r="I103" i="4"/>
  <c r="I107" i="4"/>
  <c r="N107" i="4" s="1"/>
  <c r="Q107" i="4" s="1"/>
  <c r="I109" i="4"/>
  <c r="I110" i="4"/>
  <c r="I117" i="4"/>
  <c r="I124" i="4"/>
  <c r="L124" i="4" s="1"/>
  <c r="M124" i="4" s="1"/>
  <c r="I72" i="4"/>
  <c r="I106" i="4"/>
  <c r="I71" i="4"/>
  <c r="I75" i="4"/>
  <c r="I80" i="4"/>
  <c r="I83" i="4"/>
  <c r="I86" i="4"/>
  <c r="I88" i="4"/>
  <c r="N88" i="4" s="1"/>
  <c r="Q88" i="4" s="1"/>
  <c r="I94" i="4"/>
  <c r="I95" i="4"/>
  <c r="I98" i="4"/>
  <c r="I101" i="4"/>
  <c r="I118" i="4"/>
  <c r="I127" i="4"/>
  <c r="I73" i="4"/>
  <c r="N73" i="4" s="1"/>
  <c r="Q73" i="4" s="1"/>
  <c r="I74" i="4"/>
  <c r="I78" i="4"/>
  <c r="L78" i="4" s="1"/>
  <c r="I82" i="4"/>
  <c r="I85" i="4"/>
  <c r="I93" i="4"/>
  <c r="N93" i="4" s="1"/>
  <c r="Q93" i="4" s="1"/>
  <c r="I112" i="4"/>
  <c r="I114" i="4"/>
  <c r="N114" i="4" s="1"/>
  <c r="Q114" i="4" s="1"/>
  <c r="I121" i="4"/>
  <c r="L121" i="4" s="1"/>
  <c r="M121" i="4" s="1"/>
  <c r="I122" i="4"/>
  <c r="I84" i="4"/>
  <c r="I87" i="4"/>
  <c r="L87" i="4" s="1"/>
  <c r="I91" i="4"/>
  <c r="I97" i="4"/>
  <c r="L97" i="4" s="1"/>
  <c r="I105" i="4"/>
  <c r="I116" i="4"/>
  <c r="N116" i="4" s="1"/>
  <c r="Q116" i="4" s="1"/>
  <c r="I126" i="4"/>
  <c r="L126" i="4" s="1"/>
  <c r="M126" i="4" s="1"/>
  <c r="L105" i="4"/>
  <c r="N105" i="4"/>
  <c r="Q105" i="4"/>
  <c r="N84" i="4"/>
  <c r="Q84" i="4" s="1"/>
  <c r="N121" i="4"/>
  <c r="Q121" i="4" s="1"/>
  <c r="L73" i="4"/>
  <c r="N101" i="4"/>
  <c r="Q101" i="4"/>
  <c r="L101" i="4"/>
  <c r="N75" i="4"/>
  <c r="Q75" i="4"/>
  <c r="L75" i="4"/>
  <c r="L106" i="4"/>
  <c r="N106" i="4"/>
  <c r="Q106" i="4"/>
  <c r="N79" i="4"/>
  <c r="Q79" i="4"/>
  <c r="L79" i="4"/>
  <c r="L119" i="4"/>
  <c r="M119" i="4" s="1"/>
  <c r="L96" i="4"/>
  <c r="N96" i="4"/>
  <c r="Q96" i="4" s="1"/>
  <c r="L114" i="4"/>
  <c r="M114" i="4" s="1"/>
  <c r="N82" i="4"/>
  <c r="Q82" i="4" s="1"/>
  <c r="N98" i="4"/>
  <c r="Q98" i="4"/>
  <c r="L98" i="4"/>
  <c r="N71" i="4"/>
  <c r="Q71" i="4"/>
  <c r="L71" i="4"/>
  <c r="M71" i="4" s="1"/>
  <c r="L72" i="4"/>
  <c r="N72" i="4"/>
  <c r="Q72" i="4" s="1"/>
  <c r="N117" i="4"/>
  <c r="Q117" i="4"/>
  <c r="L117" i="4"/>
  <c r="N103" i="4"/>
  <c r="Q103" i="4"/>
  <c r="L103" i="4"/>
  <c r="L125" i="4"/>
  <c r="N125" i="4"/>
  <c r="Q125" i="4"/>
  <c r="L104" i="4"/>
  <c r="N104" i="4"/>
  <c r="Q104" i="4"/>
  <c r="N91" i="4"/>
  <c r="Q91" i="4"/>
  <c r="L91" i="4"/>
  <c r="M91" i="4" s="1"/>
  <c r="L112" i="4"/>
  <c r="N112" i="4"/>
  <c r="Q112" i="4"/>
  <c r="N127" i="4"/>
  <c r="Q127" i="4"/>
  <c r="N95" i="4"/>
  <c r="Q95" i="4" s="1"/>
  <c r="L95" i="4"/>
  <c r="N83" i="4"/>
  <c r="Q83" i="4" s="1"/>
  <c r="N110" i="4"/>
  <c r="Q110" i="4"/>
  <c r="L110" i="4"/>
  <c r="L100" i="4"/>
  <c r="N100" i="4"/>
  <c r="Q100" i="4"/>
  <c r="L123" i="4"/>
  <c r="N123" i="4"/>
  <c r="Q123" i="4"/>
  <c r="N113" i="4"/>
  <c r="Q113" i="4"/>
  <c r="L113" i="4"/>
  <c r="L102" i="4"/>
  <c r="N102" i="4"/>
  <c r="Q102" i="4"/>
  <c r="N89" i="4"/>
  <c r="Q89" i="4" s="1"/>
  <c r="L89" i="4"/>
  <c r="N87" i="4"/>
  <c r="Q87" i="4" s="1"/>
  <c r="N122" i="4"/>
  <c r="Q122" i="4"/>
  <c r="L122" i="4"/>
  <c r="N74" i="4"/>
  <c r="Q74" i="4" s="1"/>
  <c r="L74" i="4"/>
  <c r="N118" i="4"/>
  <c r="Q118" i="4"/>
  <c r="L118" i="4"/>
  <c r="L94" i="4"/>
  <c r="N94" i="4"/>
  <c r="Q94" i="4" s="1"/>
  <c r="N80" i="4"/>
  <c r="Q80" i="4" s="1"/>
  <c r="N109" i="4"/>
  <c r="Q109" i="4"/>
  <c r="L109" i="4"/>
  <c r="L92" i="4"/>
  <c r="N92" i="4"/>
  <c r="Q92" i="4" s="1"/>
  <c r="N120" i="4"/>
  <c r="Q120" i="4" s="1"/>
  <c r="N111" i="4"/>
  <c r="Q111" i="4"/>
  <c r="L111" i="4"/>
  <c r="N99" i="4"/>
  <c r="Q99" i="4"/>
  <c r="L99" i="4"/>
  <c r="N81" i="4"/>
  <c r="Q81" i="4" s="1"/>
  <c r="O85" i="4" l="1"/>
  <c r="P85" i="4" s="1"/>
  <c r="O93" i="4"/>
  <c r="P93" i="4" s="1"/>
  <c r="M78" i="4"/>
  <c r="O76" i="4"/>
  <c r="P76" i="4" s="1"/>
  <c r="L81" i="4"/>
  <c r="O94" i="4"/>
  <c r="P94" i="4" s="1"/>
  <c r="O78" i="4"/>
  <c r="P78" i="4" s="1"/>
  <c r="M72" i="4"/>
  <c r="M95" i="4"/>
  <c r="N115" i="4"/>
  <c r="Q115" i="4" s="1"/>
  <c r="L86" i="4"/>
  <c r="O82" i="4"/>
  <c r="P82" i="4" s="1"/>
  <c r="L107" i="4"/>
  <c r="M107" i="4" s="1"/>
  <c r="O84" i="4"/>
  <c r="P84" i="4" s="1"/>
  <c r="L116" i="4"/>
  <c r="M116" i="4" s="1"/>
  <c r="O74" i="4"/>
  <c r="P74" i="4" s="1"/>
  <c r="N126" i="4"/>
  <c r="Q126" i="4" s="1"/>
  <c r="N86" i="4"/>
  <c r="Q86" i="4" s="1"/>
  <c r="M96" i="4"/>
  <c r="M97" i="4"/>
  <c r="O95" i="4"/>
  <c r="P95" i="4" s="1"/>
  <c r="O83" i="4"/>
  <c r="P83" i="4" s="1"/>
  <c r="L108" i="4"/>
  <c r="M108" i="4" s="1"/>
  <c r="M90" i="4"/>
  <c r="M79" i="4"/>
  <c r="M89" i="4"/>
  <c r="N78" i="4"/>
  <c r="Q78" i="4" s="1"/>
  <c r="N124" i="4"/>
  <c r="Q124" i="4" s="1"/>
  <c r="M87" i="4"/>
  <c r="O89" i="4"/>
  <c r="P89" i="4" s="1"/>
  <c r="O88" i="4"/>
  <c r="P88" i="4" s="1"/>
  <c r="O81" i="4"/>
  <c r="P81" i="4" s="1"/>
  <c r="M74" i="4"/>
  <c r="L76" i="4"/>
  <c r="O97" i="4"/>
  <c r="P97" i="4" s="1"/>
  <c r="O86" i="4"/>
  <c r="P86" i="4" s="1"/>
  <c r="M92" i="4"/>
  <c r="M75" i="4"/>
  <c r="O80" i="4"/>
  <c r="P80" i="4" s="1"/>
  <c r="L77" i="4"/>
  <c r="O96" i="4"/>
  <c r="P96" i="4" s="1"/>
  <c r="L85" i="4"/>
  <c r="O79" i="4"/>
  <c r="P79" i="4" s="1"/>
  <c r="L82" i="4"/>
  <c r="L80" i="4"/>
  <c r="O73" i="4"/>
  <c r="P73" i="4" s="1"/>
  <c r="O77" i="4"/>
  <c r="P77" i="4" s="1"/>
  <c r="M94" i="4"/>
  <c r="L127" i="4"/>
  <c r="M127" i="4" s="1"/>
  <c r="M73" i="4"/>
  <c r="L83" i="4"/>
  <c r="N90" i="4"/>
  <c r="Q90" i="4" s="1"/>
  <c r="L84" i="4"/>
  <c r="O90" i="4"/>
  <c r="P90" i="4" s="1"/>
  <c r="N97" i="4"/>
  <c r="Q97" i="4" s="1"/>
  <c r="N85" i="4"/>
  <c r="Q85" i="4" s="1"/>
  <c r="L93" i="4"/>
  <c r="L88" i="4"/>
  <c r="J14" i="4"/>
  <c r="J13" i="4" s="1"/>
  <c r="K16" i="4" s="1"/>
  <c r="M77" i="4" l="1"/>
  <c r="M93" i="4"/>
  <c r="M81" i="4"/>
  <c r="M82" i="4"/>
  <c r="M76" i="4"/>
  <c r="M85" i="4"/>
  <c r="M84" i="4"/>
  <c r="M83" i="4"/>
  <c r="M80" i="4"/>
  <c r="M86" i="4"/>
  <c r="M88" i="4"/>
  <c r="K14" i="4"/>
  <c r="K13" i="4"/>
  <c r="K15" i="4"/>
  <c r="I63" i="4" l="1"/>
  <c r="N63" i="4" s="1"/>
  <c r="Q63" i="4" s="1"/>
  <c r="I69" i="4"/>
  <c r="N69" i="4" s="1"/>
  <c r="Q69" i="4" s="1"/>
  <c r="I70" i="4"/>
  <c r="N70" i="4" s="1"/>
  <c r="Q70" i="4" s="1"/>
  <c r="I66" i="4"/>
  <c r="N66" i="4" s="1"/>
  <c r="Q66" i="4" s="1"/>
  <c r="I64" i="4"/>
  <c r="N64" i="4" s="1"/>
  <c r="Q64" i="4" s="1"/>
  <c r="I67" i="4"/>
  <c r="N67" i="4" s="1"/>
  <c r="Q67" i="4" s="1"/>
  <c r="I68" i="4"/>
  <c r="N68" i="4" s="1"/>
  <c r="Q68" i="4" s="1"/>
  <c r="I65" i="4"/>
  <c r="N65" i="4" s="1"/>
  <c r="Q65" i="4" s="1"/>
  <c r="J63" i="4"/>
  <c r="K63" i="4" s="1"/>
  <c r="J66" i="4"/>
  <c r="J69" i="4"/>
  <c r="J65" i="4"/>
  <c r="J67" i="4"/>
  <c r="J64" i="4"/>
  <c r="J70" i="4"/>
  <c r="J68" i="4"/>
  <c r="J62" i="4"/>
  <c r="K62" i="4" s="1"/>
  <c r="O62" i="4" s="1"/>
  <c r="P62" i="4" s="1"/>
  <c r="J60" i="4"/>
  <c r="K60" i="4" s="1"/>
  <c r="O60" i="4" s="1"/>
  <c r="P60" i="4" s="1"/>
  <c r="J56" i="4"/>
  <c r="K56" i="4" s="1"/>
  <c r="O56" i="4" s="1"/>
  <c r="P56" i="4" s="1"/>
  <c r="J58" i="4"/>
  <c r="K58" i="4" s="1"/>
  <c r="J55" i="4"/>
  <c r="K55" i="4" s="1"/>
  <c r="O55" i="4" s="1"/>
  <c r="P55" i="4" s="1"/>
  <c r="J61" i="4"/>
  <c r="K61" i="4" s="1"/>
  <c r="O61" i="4" s="1"/>
  <c r="P61" i="4" s="1"/>
  <c r="J57" i="4"/>
  <c r="K57" i="4" s="1"/>
  <c r="J59" i="4"/>
  <c r="K59" i="4" s="1"/>
  <c r="O59" i="4" s="1"/>
  <c r="P59" i="4" s="1"/>
  <c r="I61" i="4"/>
  <c r="I37" i="4"/>
  <c r="I59" i="4"/>
  <c r="I49" i="4"/>
  <c r="I47" i="4"/>
  <c r="I50" i="4"/>
  <c r="I62" i="4"/>
  <c r="I41" i="4"/>
  <c r="I52" i="4"/>
  <c r="I60" i="4"/>
  <c r="I36" i="4"/>
  <c r="I39" i="4"/>
  <c r="I43" i="4"/>
  <c r="I45" i="4"/>
  <c r="I51" i="4"/>
  <c r="I55" i="4"/>
  <c r="I48" i="4"/>
  <c r="I40" i="4"/>
  <c r="I57" i="4"/>
  <c r="I46" i="4"/>
  <c r="I42" i="4"/>
  <c r="I53" i="4"/>
  <c r="I44" i="4"/>
  <c r="I54" i="4"/>
  <c r="I38" i="4"/>
  <c r="I58" i="4"/>
  <c r="I56" i="4"/>
  <c r="I35" i="4"/>
  <c r="I31" i="4"/>
  <c r="I33" i="4"/>
  <c r="I30" i="4"/>
  <c r="I32" i="4"/>
  <c r="I28" i="4"/>
  <c r="I29" i="4"/>
  <c r="I34" i="4"/>
  <c r="O57" i="4" l="1"/>
  <c r="P57" i="4" s="1"/>
  <c r="O58" i="4"/>
  <c r="P58" i="4" s="1"/>
  <c r="L66" i="4"/>
  <c r="K66" i="4"/>
  <c r="K70" i="4"/>
  <c r="L70" i="4"/>
  <c r="M70" i="4" s="1"/>
  <c r="K64" i="4"/>
  <c r="L64" i="4"/>
  <c r="O63" i="4"/>
  <c r="P63" i="4" s="1"/>
  <c r="L63" i="4"/>
  <c r="M63" i="4" s="1"/>
  <c r="K68" i="4"/>
  <c r="L68" i="4"/>
  <c r="L67" i="4"/>
  <c r="K67" i="4"/>
  <c r="L65" i="4"/>
  <c r="K65" i="4"/>
  <c r="K69" i="4"/>
  <c r="L69" i="4"/>
  <c r="N62" i="4"/>
  <c r="Q62" i="4" s="1"/>
  <c r="L62" i="4"/>
  <c r="M62" i="4" s="1"/>
  <c r="N55" i="4"/>
  <c r="Q55" i="4" s="1"/>
  <c r="L55" i="4"/>
  <c r="M55" i="4" s="1"/>
  <c r="L56" i="4"/>
  <c r="M56" i="4" s="1"/>
  <c r="N56" i="4"/>
  <c r="Q56" i="4" s="1"/>
  <c r="N59" i="4"/>
  <c r="Q59" i="4" s="1"/>
  <c r="L59" i="4"/>
  <c r="M59" i="4" s="1"/>
  <c r="N57" i="4"/>
  <c r="Q57" i="4" s="1"/>
  <c r="L57" i="4"/>
  <c r="L58" i="4"/>
  <c r="N58" i="4"/>
  <c r="Q58" i="4" s="1"/>
  <c r="N61" i="4"/>
  <c r="Q61" i="4" s="1"/>
  <c r="L61" i="4"/>
  <c r="M61" i="4" s="1"/>
  <c r="L60" i="4"/>
  <c r="M60" i="4" s="1"/>
  <c r="N60" i="4"/>
  <c r="Q60" i="4" s="1"/>
  <c r="O64" i="4" l="1"/>
  <c r="P64" i="4" s="1"/>
  <c r="M65" i="4"/>
  <c r="M66" i="4"/>
  <c r="O67" i="4"/>
  <c r="P67" i="4" s="1"/>
  <c r="M67" i="4"/>
  <c r="O68" i="4"/>
  <c r="P68" i="4" s="1"/>
  <c r="M64" i="4"/>
  <c r="M69" i="4"/>
  <c r="M58" i="4"/>
  <c r="O69" i="4"/>
  <c r="P69" i="4" s="1"/>
  <c r="M57" i="4"/>
  <c r="O65" i="4"/>
  <c r="P65" i="4" s="1"/>
  <c r="O66" i="4"/>
  <c r="P66" i="4" s="1"/>
  <c r="M68" i="4"/>
  <c r="O70" i="4"/>
  <c r="P70" i="4" s="1"/>
  <c r="J21" i="4" l="1"/>
  <c r="J9" i="4" s="1"/>
  <c r="J22" i="4"/>
  <c r="J10" i="4" s="1"/>
  <c r="J20" i="4"/>
  <c r="N36" i="4" l="1"/>
  <c r="N29" i="4"/>
  <c r="N31" i="4"/>
  <c r="N46" i="4"/>
  <c r="N48" i="4"/>
  <c r="N28" i="4"/>
  <c r="J19" i="4"/>
  <c r="K19" i="4" s="1"/>
  <c r="N32" i="4"/>
  <c r="N45" i="4"/>
  <c r="N37" i="4"/>
  <c r="N44" i="4"/>
  <c r="N49" i="4"/>
  <c r="N53" i="4"/>
  <c r="Q53" i="4" s="1"/>
  <c r="J8" i="4"/>
  <c r="N30" i="4"/>
  <c r="N51" i="4"/>
  <c r="N41" i="4"/>
  <c r="N50" i="4"/>
  <c r="N43" i="4"/>
  <c r="N39" i="4"/>
  <c r="N42" i="4"/>
  <c r="N40" i="4"/>
  <c r="N34" i="4"/>
  <c r="N38" i="4"/>
  <c r="N54" i="4"/>
  <c r="N33" i="4"/>
  <c r="N35" i="4"/>
  <c r="N52" i="4"/>
  <c r="N47" i="4"/>
  <c r="J7" i="4" l="1"/>
  <c r="Q48" i="4" s="1"/>
  <c r="K21" i="4"/>
  <c r="K22" i="4"/>
  <c r="K20" i="4"/>
  <c r="Q50" i="4"/>
  <c r="Q52" i="4"/>
  <c r="J52" i="4"/>
  <c r="J49" i="4"/>
  <c r="J39" i="4"/>
  <c r="J53" i="4"/>
  <c r="J54" i="4"/>
  <c r="J50" i="4"/>
  <c r="J48" i="4"/>
  <c r="J51" i="4"/>
  <c r="Q54" i="4"/>
  <c r="Q51" i="4"/>
  <c r="Q49" i="4"/>
  <c r="J45" i="4" l="1"/>
  <c r="L45" i="4" s="1"/>
  <c r="J30" i="4"/>
  <c r="K30" i="4" s="1"/>
  <c r="J43" i="4"/>
  <c r="L43" i="4" s="1"/>
  <c r="J31" i="4"/>
  <c r="J44" i="4"/>
  <c r="L44" i="4" s="1"/>
  <c r="J36" i="4"/>
  <c r="L36" i="4" s="1"/>
  <c r="J46" i="4"/>
  <c r="K46" i="4" s="1"/>
  <c r="J35" i="4"/>
  <c r="L35" i="4" s="1"/>
  <c r="Q41" i="4"/>
  <c r="Q45" i="4"/>
  <c r="Q31" i="4"/>
  <c r="Q36" i="4"/>
  <c r="Q43" i="4"/>
  <c r="Q42" i="4"/>
  <c r="Q38" i="4"/>
  <c r="Q44" i="4"/>
  <c r="Q39" i="4"/>
  <c r="Q34" i="4"/>
  <c r="Q29" i="4"/>
  <c r="J33" i="4"/>
  <c r="K33" i="4" s="1"/>
  <c r="J47" i="4"/>
  <c r="Q47" i="4"/>
  <c r="Q46" i="4"/>
  <c r="Q35" i="4"/>
  <c r="J34" i="4"/>
  <c r="L34" i="4" s="1"/>
  <c r="J41" i="4"/>
  <c r="K41" i="4" s="1"/>
  <c r="J42" i="4"/>
  <c r="L42" i="4" s="1"/>
  <c r="J32" i="4"/>
  <c r="L32" i="4" s="1"/>
  <c r="J37" i="4"/>
  <c r="L37" i="4" s="1"/>
  <c r="J40" i="4"/>
  <c r="L40" i="4" s="1"/>
  <c r="J38" i="4"/>
  <c r="L38" i="4" s="1"/>
  <c r="J29" i="4"/>
  <c r="L29" i="4" s="1"/>
  <c r="Q32" i="4"/>
  <c r="Q30" i="4"/>
  <c r="Q33" i="4"/>
  <c r="Q40" i="4"/>
  <c r="Q37" i="4"/>
  <c r="K9" i="4"/>
  <c r="Q28" i="4"/>
  <c r="K10" i="4"/>
  <c r="K8" i="4"/>
  <c r="K7" i="4"/>
  <c r="J28" i="4"/>
  <c r="K28" i="4" s="1"/>
  <c r="K31" i="4"/>
  <c r="L31" i="4"/>
  <c r="L47" i="4"/>
  <c r="K47" i="4"/>
  <c r="K52" i="4"/>
  <c r="O52" i="4" s="1"/>
  <c r="P52" i="4" s="1"/>
  <c r="L52" i="4"/>
  <c r="M52" i="4" s="1"/>
  <c r="K43" i="4"/>
  <c r="L54" i="4"/>
  <c r="M54" i="4" s="1"/>
  <c r="K54" i="4"/>
  <c r="O54" i="4" s="1"/>
  <c r="P54" i="4" s="1"/>
  <c r="L51" i="4"/>
  <c r="M51" i="4" s="1"/>
  <c r="K51" i="4"/>
  <c r="O51" i="4" s="1"/>
  <c r="P51" i="4" s="1"/>
  <c r="L53" i="4"/>
  <c r="M53" i="4" s="1"/>
  <c r="K53" i="4"/>
  <c r="O53" i="4" s="1"/>
  <c r="P53" i="4" s="1"/>
  <c r="L48" i="4"/>
  <c r="K48" i="4"/>
  <c r="L39" i="4"/>
  <c r="K39" i="4"/>
  <c r="L50" i="4"/>
  <c r="M50" i="4" s="1"/>
  <c r="K50" i="4"/>
  <c r="O50" i="4" s="1"/>
  <c r="P50" i="4" s="1"/>
  <c r="L49" i="4"/>
  <c r="K49" i="4"/>
  <c r="M48" i="4" l="1"/>
  <c r="L30" i="4"/>
  <c r="O48" i="4"/>
  <c r="P48" i="4" s="1"/>
  <c r="O49" i="4"/>
  <c r="P49" i="4" s="1"/>
  <c r="M49" i="4"/>
  <c r="M35" i="4"/>
  <c r="M39" i="4"/>
  <c r="O47" i="4"/>
  <c r="P47" i="4" s="1"/>
  <c r="M47" i="4"/>
  <c r="M31" i="4"/>
  <c r="O30" i="4"/>
  <c r="P30" i="4" s="1"/>
  <c r="O31" i="4"/>
  <c r="P31" i="4" s="1"/>
  <c r="O33" i="4"/>
  <c r="P33" i="4" s="1"/>
  <c r="O28" i="4"/>
  <c r="P28" i="4" s="1"/>
  <c r="K35" i="4"/>
  <c r="M44" i="4"/>
  <c r="O43" i="4"/>
  <c r="P43" i="4" s="1"/>
  <c r="O46" i="4"/>
  <c r="P46" i="4" s="1"/>
  <c r="M43" i="4"/>
  <c r="O41" i="4"/>
  <c r="P41" i="4" s="1"/>
  <c r="O39" i="4"/>
  <c r="P39" i="4" s="1"/>
  <c r="M45" i="4"/>
  <c r="K45" i="4"/>
  <c r="K36" i="4"/>
  <c r="K44" i="4"/>
  <c r="L46" i="4"/>
  <c r="K37" i="4"/>
  <c r="L41" i="4"/>
  <c r="K42" i="4"/>
  <c r="K34" i="4"/>
  <c r="L33" i="4"/>
  <c r="K38" i="4"/>
  <c r="K29" i="4"/>
  <c r="M32" i="4"/>
  <c r="M40" i="4"/>
  <c r="M34" i="4"/>
  <c r="M29" i="4"/>
  <c r="M37" i="4"/>
  <c r="M42" i="4"/>
  <c r="M38" i="4"/>
  <c r="M30" i="4"/>
  <c r="M36" i="4"/>
  <c r="K40" i="4"/>
  <c r="K32" i="4"/>
  <c r="L28" i="4"/>
  <c r="O37" i="4" l="1"/>
  <c r="P37" i="4" s="1"/>
  <c r="O44" i="4"/>
  <c r="P44" i="4" s="1"/>
  <c r="O29" i="4"/>
  <c r="P29" i="4" s="1"/>
  <c r="M41" i="4"/>
  <c r="O35" i="4"/>
  <c r="P35" i="4" s="1"/>
  <c r="M46" i="4"/>
  <c r="O36" i="4"/>
  <c r="P36" i="4" s="1"/>
  <c r="O45" i="4"/>
  <c r="P45" i="4" s="1"/>
  <c r="O32" i="4"/>
  <c r="P32" i="4" s="1"/>
  <c r="O38" i="4"/>
  <c r="P38" i="4" s="1"/>
  <c r="O40" i="4"/>
  <c r="P40" i="4" s="1"/>
  <c r="M33" i="4"/>
  <c r="O34" i="4"/>
  <c r="P34" i="4" s="1"/>
  <c r="O42" i="4"/>
  <c r="P42" i="4" s="1"/>
  <c r="M2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Fabian Fischer</author>
  </authors>
  <commentList>
    <comment ref="J7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(1)</t>
        </r>
      </text>
    </comment>
    <comment ref="J1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(2)</t>
        </r>
      </text>
    </comment>
    <comment ref="D15" authorId="0" shapeId="0" xr:uid="{00000000-0006-0000-0100-000003000000}">
      <text>
        <r>
          <rPr>
            <b/>
            <sz val="10"/>
            <color indexed="81"/>
            <rFont val="Helvetica"/>
            <family val="2"/>
          </rPr>
          <t>Choose between: "OptiMEM"
"DMEM Glutamax" "Phenol-Red Free DMEM"</t>
        </r>
      </text>
    </comment>
    <comment ref="D17" authorId="0" shapeId="0" xr:uid="{00000000-0006-0000-0100-000004000000}">
      <text>
        <r>
          <rPr>
            <b/>
            <sz val="10"/>
            <color indexed="81"/>
            <rFont val="Helvetica"/>
            <family val="2"/>
          </rPr>
          <t>Choose between: 
"FBS"
"d-FBS"
"cs-FBS"</t>
        </r>
      </text>
    </comment>
    <comment ref="J19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(3)</t>
        </r>
      </text>
    </comment>
    <comment ref="D21" authorId="0" shapeId="0" xr:uid="{00000000-0006-0000-0100-000006000000}">
      <text>
        <r>
          <rPr>
            <b/>
            <sz val="10"/>
            <color indexed="81"/>
            <rFont val="Helvetica"/>
            <family val="2"/>
          </rPr>
          <t>Choose between: "HEK293T" 
"HEK293H"
"HepG2"
"HCT116"
"ME-180"</t>
        </r>
      </text>
    </comment>
    <comment ref="D26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(6)</t>
        </r>
      </text>
    </comment>
    <comment ref="E26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(7)</t>
        </r>
      </text>
    </comment>
    <comment ref="I2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(4)</t>
        </r>
      </text>
    </comment>
    <comment ref="J2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(5)</t>
        </r>
      </text>
    </comment>
    <comment ref="K26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(11)</t>
        </r>
      </text>
    </comment>
    <comment ref="L26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(9)</t>
        </r>
      </text>
    </comment>
    <comment ref="M26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(10)</t>
        </r>
      </text>
    </comment>
    <comment ref="N26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(12)</t>
        </r>
      </text>
    </comment>
    <comment ref="O26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(13)</t>
        </r>
      </text>
    </comment>
    <comment ref="P26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(14)</t>
        </r>
      </text>
    </comment>
    <comment ref="Q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Fabian Fischer:</t>
        </r>
        <r>
          <rPr>
            <sz val="9"/>
            <color indexed="81"/>
            <rFont val="Tahoma"/>
            <family val="2"/>
          </rPr>
          <t xml:space="preserve">
Equation (15)</t>
        </r>
      </text>
    </comment>
  </commentList>
</comments>
</file>

<file path=xl/sharedStrings.xml><?xml version="1.0" encoding="utf-8"?>
<sst xmlns="http://schemas.openxmlformats.org/spreadsheetml/2006/main" count="318" uniqueCount="294">
  <si>
    <t>Assumptions:</t>
  </si>
  <si>
    <t>1. Test chemicals partition between test medium and cells</t>
  </si>
  <si>
    <t>2. Test medium and cells are composed of water, proteins, and lipids</t>
  </si>
  <si>
    <t>User input</t>
  </si>
  <si>
    <t>Characteristics of Test medium</t>
  </si>
  <si>
    <t>Total volume</t>
  </si>
  <si>
    <t>Total water volume</t>
  </si>
  <si>
    <t>Characteristics of cells</t>
  </si>
  <si>
    <t>Total protein volume</t>
  </si>
  <si>
    <t>Total lipid volume</t>
  </si>
  <si>
    <t>Cell line</t>
  </si>
  <si>
    <t>Compound</t>
  </si>
  <si>
    <t>CAS</t>
  </si>
  <si>
    <t>OptiMEM</t>
  </si>
  <si>
    <t>Type of base medium</t>
  </si>
  <si>
    <t>Type of serum</t>
  </si>
  <si>
    <t>FBS</t>
  </si>
  <si>
    <t>cells excluded</t>
  </si>
  <si>
    <t>Cell number at test start</t>
  </si>
  <si>
    <t>Model output</t>
  </si>
  <si>
    <t>System volume</t>
  </si>
  <si>
    <t>Media</t>
  </si>
  <si>
    <t>protein content (mL/L)</t>
  </si>
  <si>
    <t>DMEM Glutamax</t>
  </si>
  <si>
    <t>d-FBS</t>
  </si>
  <si>
    <t>lipid content (mL/L)</t>
  </si>
  <si>
    <r>
      <t>Water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</si>
  <si>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protein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</si>
  <si>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r>
      <t>lipid content (mL/10</t>
    </r>
    <r>
      <rPr>
        <b/>
        <vertAlign val="superscript"/>
        <sz val="11"/>
        <color theme="1"/>
        <rFont val="Helvetica"/>
        <family val="2"/>
      </rPr>
      <t>6</t>
    </r>
    <r>
      <rPr>
        <b/>
        <sz val="11"/>
        <color theme="1"/>
        <rFont val="Helvetica"/>
        <family val="2"/>
      </rPr>
      <t xml:space="preserve"> cells)</t>
    </r>
  </si>
  <si>
    <t>Cells</t>
  </si>
  <si>
    <t>HEK293H</t>
  </si>
  <si>
    <t>HCT116</t>
  </si>
  <si>
    <t>Me-180</t>
  </si>
  <si>
    <t>Medium volume (µL)</t>
  </si>
  <si>
    <t>Fraction of base medium (%)</t>
  </si>
  <si>
    <t>Fraction of serum (%)</t>
  </si>
  <si>
    <t>1. Test system parameters</t>
  </si>
  <si>
    <t>2. Chemical parameters</t>
  </si>
  <si>
    <t>1. System information</t>
  </si>
  <si>
    <t>Information and comments</t>
  </si>
  <si>
    <t>Percentage of medium base in the test medium</t>
  </si>
  <si>
    <t>Percentage of serum in the test medium</t>
  </si>
  <si>
    <t>2. Chemical partitioning</t>
  </si>
  <si>
    <t>Water volume</t>
  </si>
  <si>
    <t>Protein volume</t>
  </si>
  <si>
    <t>Lipid volume</t>
  </si>
  <si>
    <t>MB (%)</t>
  </si>
  <si>
    <r>
      <t>log D</t>
    </r>
    <r>
      <rPr>
        <i/>
        <vertAlign val="subscript"/>
        <sz val="12"/>
        <rFont val="Helvetica"/>
        <family val="2"/>
      </rPr>
      <t>BSA/w</t>
    </r>
    <r>
      <rPr>
        <i/>
        <sz val="12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</si>
  <si>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2"/>
        <rFont val="Helvetica"/>
        <family val="2"/>
      </rPr>
      <t>lip/w</t>
    </r>
    <r>
      <rPr>
        <i/>
        <sz val="12"/>
        <rFont val="Helvetica"/>
        <family val="2"/>
      </rPr>
      <t xml:space="preserve"> [L/L], pH 7.4, 37 °C</t>
    </r>
  </si>
  <si>
    <t>Total Test system</t>
  </si>
  <si>
    <t>Volumes (µL)</t>
  </si>
  <si>
    <t>Test medium</t>
  </si>
  <si>
    <r>
      <t>f</t>
    </r>
    <r>
      <rPr>
        <i/>
        <vertAlign val="subscript"/>
        <sz val="12"/>
        <rFont val="Helvetica"/>
        <family val="2"/>
      </rPr>
      <t xml:space="preserve">cell       </t>
    </r>
    <r>
      <rPr>
        <i/>
        <sz val="12"/>
        <rFont val="Helvetica"/>
        <family val="2"/>
      </rPr>
      <t>(%)</t>
    </r>
  </si>
  <si>
    <r>
      <t>log D</t>
    </r>
    <r>
      <rPr>
        <i/>
        <vertAlign val="subscript"/>
        <sz val="11"/>
        <color theme="1"/>
        <rFont val="Helvetica"/>
        <family val="2"/>
      </rPr>
      <t>medium/w</t>
    </r>
    <r>
      <rPr>
        <i/>
        <sz val="11"/>
        <color theme="1"/>
        <rFont val="Helvetica"/>
        <family val="2"/>
      </rPr>
      <t xml:space="preserve"> [L/L], pH 7.4, 37 °C</t>
    </r>
  </si>
  <si>
    <r>
      <t>log D</t>
    </r>
    <r>
      <rPr>
        <i/>
        <vertAlign val="subscript"/>
        <sz val="11"/>
        <color theme="1"/>
        <rFont val="Helvetica"/>
        <family val="2"/>
      </rPr>
      <t>cell/w</t>
    </r>
    <r>
      <rPr>
        <i/>
        <sz val="11"/>
        <color theme="1"/>
        <rFont val="Helvetica"/>
        <family val="2"/>
      </rPr>
      <t xml:space="preserve"> [L/L], pH 7.4, 37 °C</t>
    </r>
  </si>
  <si>
    <t>Cells are solely composed of water, proteins, and lipids</t>
  </si>
  <si>
    <t>Information on media constituents and cells</t>
  </si>
  <si>
    <t>Model setup</t>
  </si>
  <si>
    <t>Equations</t>
  </si>
  <si>
    <r>
      <t>f</t>
    </r>
    <r>
      <rPr>
        <i/>
        <vertAlign val="subscript"/>
        <sz val="12"/>
        <rFont val="Helvetica"/>
        <family val="2"/>
      </rPr>
      <t xml:space="preserve">medium      </t>
    </r>
    <r>
      <rPr>
        <i/>
        <sz val="12"/>
        <rFont val="Helvetica"/>
        <family val="2"/>
      </rPr>
      <t>(%)</t>
    </r>
  </si>
  <si>
    <t>Choose from comment (mouseover) or leave empty of not available</t>
  </si>
  <si>
    <t>Choose from comment (mouseover) or leave empty if not available</t>
  </si>
  <si>
    <r>
      <t>f</t>
    </r>
    <r>
      <rPr>
        <i/>
        <vertAlign val="subscript"/>
        <sz val="12"/>
        <rFont val="Helvetica"/>
        <family val="2"/>
      </rPr>
      <t xml:space="preserve">mem         </t>
    </r>
    <r>
      <rPr>
        <i/>
        <sz val="12"/>
        <rFont val="Helvetica"/>
        <family val="2"/>
      </rPr>
      <t>(%)</t>
    </r>
  </si>
  <si>
    <t>Phenol-Red free DMEM</t>
  </si>
  <si>
    <r>
      <t>(E)C</t>
    </r>
    <r>
      <rPr>
        <i/>
        <vertAlign val="subscript"/>
        <sz val="12"/>
        <rFont val="Helvetica"/>
        <family val="2"/>
      </rPr>
      <t xml:space="preserve">cell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cell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</si>
  <si>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 xml:space="preserve">mem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mem</t>
    </r>
    <r>
      <rPr>
        <i/>
        <sz val="12"/>
        <rFont val="Helvetica"/>
        <family val="2"/>
      </rPr>
      <t>]</t>
    </r>
  </si>
  <si>
    <r>
      <t>(E)C</t>
    </r>
    <r>
      <rPr>
        <i/>
        <vertAlign val="subscript"/>
        <sz val="12"/>
        <rFont val="Helvetica"/>
        <family val="2"/>
      </rPr>
      <t>nom</t>
    </r>
    <r>
      <rPr>
        <i/>
        <sz val="12"/>
        <rFont val="Helvetica"/>
        <family val="2"/>
      </rPr>
      <t xml:space="preserve"> [mol/L]</t>
    </r>
  </si>
  <si>
    <t>Plated cell number - Disregard cell growth</t>
  </si>
  <si>
    <t>cells &amp; media, MB = Mass Balance</t>
  </si>
  <si>
    <t>MB = Mass Balance</t>
  </si>
  <si>
    <t>mass balance, MB = Mass Balance</t>
  </si>
  <si>
    <t>equals C14, MB = Mass Balance</t>
  </si>
  <si>
    <r>
      <t>(E)C</t>
    </r>
    <r>
      <rPr>
        <i/>
        <vertAlign val="subscript"/>
        <sz val="12"/>
        <rFont val="Helvetica"/>
        <family val="2"/>
      </rPr>
      <t xml:space="preserve">free </t>
    </r>
    <r>
      <rPr>
        <i/>
        <sz val="12"/>
        <rFont val="Helvetica"/>
        <family val="2"/>
      </rPr>
      <t>[mol/L</t>
    </r>
    <r>
      <rPr>
        <i/>
        <vertAlign val="subscript"/>
        <sz val="12"/>
        <rFont val="Helvetica"/>
        <family val="2"/>
      </rPr>
      <t>w,medium</t>
    </r>
    <r>
      <rPr>
        <i/>
        <sz val="12"/>
        <rFont val="Helvetica"/>
        <family val="2"/>
      </rPr>
      <t>]</t>
    </r>
  </si>
  <si>
    <r>
      <t>f</t>
    </r>
    <r>
      <rPr>
        <i/>
        <vertAlign val="subscript"/>
        <sz val="12"/>
        <rFont val="Helvetica"/>
        <family val="2"/>
      </rPr>
      <t xml:space="preserve">w,medium      </t>
    </r>
    <r>
      <rPr>
        <i/>
        <sz val="12"/>
        <rFont val="Helvetica"/>
        <family val="2"/>
      </rPr>
      <t>(%)</t>
    </r>
  </si>
  <si>
    <t>OptiMEM</t>
    <phoneticPr fontId="17" type="noConversion"/>
  </si>
  <si>
    <t>cs-FBS</t>
    <phoneticPr fontId="17" type="noConversion"/>
  </si>
  <si>
    <t>HEK293T</t>
    <phoneticPr fontId="17" type="noConversion"/>
  </si>
  <si>
    <t>FBS</t>
    <phoneticPr fontId="17" type="noConversion"/>
  </si>
  <si>
    <t>umole</t>
    <phoneticPr fontId="17" type="noConversion"/>
  </si>
  <si>
    <t>umold</t>
    <phoneticPr fontId="17" type="noConversion"/>
  </si>
  <si>
    <t>HepG2</t>
  </si>
  <si>
    <t>Dicofol</t>
  </si>
  <si>
    <t>115-32-2</t>
  </si>
  <si>
    <t>Endosulfan I</t>
  </si>
  <si>
    <t>115-29-7</t>
  </si>
  <si>
    <t>Lindane</t>
  </si>
  <si>
    <t>58-89-9</t>
  </si>
  <si>
    <t>Parathion</t>
  </si>
  <si>
    <t>56-38-2</t>
  </si>
  <si>
    <t>Caffeine</t>
  </si>
  <si>
    <t>58-08-2</t>
  </si>
  <si>
    <t>2,4-Dichlorophenoxyacetic</t>
  </si>
  <si>
    <t>94-75-7</t>
  </si>
  <si>
    <t>(S)-Naproxen</t>
  </si>
  <si>
    <t>22204-53-1</t>
  </si>
  <si>
    <t>Torasemide</t>
  </si>
  <si>
    <t>56211-40-6</t>
  </si>
  <si>
    <t>Warfarin</t>
  </si>
  <si>
    <t>81-81-2</t>
  </si>
  <si>
    <t>Malathion</t>
  </si>
  <si>
    <t>121-75-5</t>
  </si>
  <si>
    <t>Allyl alcohol</t>
  </si>
  <si>
    <t>107-18-6</t>
  </si>
  <si>
    <t>dichloromethane</t>
  </si>
  <si>
    <t>75-09-2</t>
  </si>
  <si>
    <t>2,3-dimethyl-1,3-butadiene</t>
  </si>
  <si>
    <t>513-81-5</t>
  </si>
  <si>
    <t>PBDE 153</t>
  </si>
  <si>
    <t>68631-49-2</t>
  </si>
  <si>
    <t>amiodarone</t>
  </si>
  <si>
    <t>1951-25-3</t>
  </si>
  <si>
    <t>15687-27-1</t>
  </si>
  <si>
    <t>Chlorpyrifos</t>
  </si>
  <si>
    <t>2921-88-2</t>
  </si>
  <si>
    <t>2,4-Dinitrophenol</t>
  </si>
  <si>
    <t>51-28-5</t>
  </si>
  <si>
    <t>Aldrin</t>
  </si>
  <si>
    <t>309-00-2</t>
  </si>
  <si>
    <t>Azinphos-methyl</t>
  </si>
  <si>
    <t>86-50-0</t>
  </si>
  <si>
    <t>DDD-p,p'</t>
  </si>
  <si>
    <t>50-29-3</t>
  </si>
  <si>
    <t>DDT-o,p'</t>
  </si>
  <si>
    <t>789-02-6</t>
  </si>
  <si>
    <t>DDT-p,p'</t>
  </si>
  <si>
    <t>72-54-8</t>
  </si>
  <si>
    <t>Diazinon</t>
  </si>
  <si>
    <t>333-41-5</t>
  </si>
  <si>
    <t>Dieldrin</t>
  </si>
  <si>
    <t>60-57-1</t>
  </si>
  <si>
    <t>Disulfoton</t>
  </si>
  <si>
    <t>298-04-4</t>
  </si>
  <si>
    <t>Endrin</t>
  </si>
  <si>
    <t>72-20-8</t>
  </si>
  <si>
    <t>Ethion</t>
  </si>
  <si>
    <t>563-12-2</t>
  </si>
  <si>
    <t>Heptachlor</t>
  </si>
  <si>
    <t>76-44-8</t>
  </si>
  <si>
    <t>Heptachlor epoxide B</t>
  </si>
  <si>
    <t>1024-57-3</t>
  </si>
  <si>
    <t>Methoxychlor-o,p'</t>
  </si>
  <si>
    <t>72-43-5</t>
  </si>
  <si>
    <t>Trifluralin</t>
  </si>
  <si>
    <t>1582-09-8</t>
  </si>
  <si>
    <t>Eugenol F</t>
  </si>
  <si>
    <t>97-53-0</t>
  </si>
  <si>
    <t>Methyl-antranilate</t>
  </si>
  <si>
    <t>134-20-3</t>
  </si>
  <si>
    <t>Lilyfore</t>
  </si>
  <si>
    <t>285977-85-7</t>
  </si>
  <si>
    <t>Damascone beta</t>
  </si>
  <si>
    <t>23726-91-2</t>
  </si>
  <si>
    <t>Veloutone</t>
  </si>
  <si>
    <t>14595-54-1</t>
  </si>
  <si>
    <t>Verdox</t>
  </si>
  <si>
    <t>82356-51-2</t>
  </si>
  <si>
    <t>Nirvanol</t>
  </si>
  <si>
    <t>1506-02-1</t>
  </si>
  <si>
    <t>Cetalox</t>
  </si>
  <si>
    <t>3738-00-9</t>
  </si>
  <si>
    <t>Tonalide</t>
  </si>
  <si>
    <t>21145-77-7</t>
  </si>
  <si>
    <t>Lamotrigine</t>
  </si>
  <si>
    <t>84057-84-1</t>
  </si>
  <si>
    <t>Diclofenac</t>
  </si>
  <si>
    <t>15307-79-6</t>
  </si>
  <si>
    <t>Ibuprofen</t>
  </si>
  <si>
    <t>di-n-butylphthalate</t>
  </si>
  <si>
    <t>84-74-2</t>
  </si>
  <si>
    <t>hexachlorophene</t>
  </si>
  <si>
    <t>70-30-4</t>
  </si>
  <si>
    <t>hexamethylenetetramine</t>
  </si>
  <si>
    <t>100-97-0</t>
  </si>
  <si>
    <t>pentachlorophenol</t>
  </si>
  <si>
    <t>87-86-5</t>
  </si>
  <si>
    <t>2,2,2-trichloroethanol</t>
  </si>
  <si>
    <t>115-20-8</t>
  </si>
  <si>
    <t>diethylphthalate</t>
  </si>
  <si>
    <t>84-66-2</t>
  </si>
  <si>
    <t>4-chlorophenol</t>
  </si>
  <si>
    <t>106-48-9</t>
  </si>
  <si>
    <t>permethrin</t>
  </si>
  <si>
    <t>52645-53-1</t>
  </si>
  <si>
    <t>Aniline</t>
  </si>
  <si>
    <t>62-53-3</t>
  </si>
  <si>
    <t>4-fluoroaniline</t>
  </si>
  <si>
    <t>371-40-4</t>
  </si>
  <si>
    <t>2,4,6-trichlorophenol</t>
  </si>
  <si>
    <t>88-06-2</t>
  </si>
  <si>
    <t>N-methylaniline</t>
  </si>
  <si>
    <t>100-61-8</t>
  </si>
  <si>
    <t>3,4-dichloroaniline</t>
  </si>
  <si>
    <t>95-76-1</t>
  </si>
  <si>
    <t>4-decylaniline</t>
  </si>
  <si>
    <t>37529-30-9</t>
  </si>
  <si>
    <t>naphthalene</t>
  </si>
  <si>
    <t>91-20-3</t>
  </si>
  <si>
    <t>1,2,4-trichlorobenzene</t>
  </si>
  <si>
    <t>120-82-1</t>
  </si>
  <si>
    <t>1,2-dichlorobenzene</t>
  </si>
  <si>
    <t>95-50-1</t>
  </si>
  <si>
    <t>tetrachloroethylene</t>
  </si>
  <si>
    <t>127-18-4</t>
  </si>
  <si>
    <t>cyclosporine A</t>
  </si>
  <si>
    <t>59865-13-3</t>
  </si>
  <si>
    <t>chlorpromazine</t>
  </si>
  <si>
    <t>50-53-3</t>
  </si>
  <si>
    <t>PBDE 47</t>
  </si>
  <si>
    <t>5436-43-1</t>
  </si>
  <si>
    <t>PBDE 99</t>
  </si>
  <si>
    <t>60348-60-9</t>
  </si>
  <si>
    <t>PFBS</t>
  </si>
  <si>
    <t>375-73-5</t>
  </si>
  <si>
    <t>4:2 FTS</t>
  </si>
  <si>
    <t>757124-72-4</t>
  </si>
  <si>
    <t>PFNA</t>
  </si>
  <si>
    <t>375-95-1</t>
  </si>
  <si>
    <t>PFHxA</t>
  </si>
  <si>
    <t>307-24-4</t>
  </si>
  <si>
    <t>PFBA</t>
  </si>
  <si>
    <t>375-22-4</t>
  </si>
  <si>
    <t>PFOA</t>
  </si>
  <si>
    <t>335-67-1</t>
  </si>
  <si>
    <t>6:2 FTS</t>
  </si>
  <si>
    <t>27619-97-2</t>
  </si>
  <si>
    <t>8:2 FTS</t>
  </si>
  <si>
    <t>39108-34-4</t>
  </si>
  <si>
    <t>PFUnDA</t>
  </si>
  <si>
    <t>2058-94-8</t>
  </si>
  <si>
    <t>PFOS</t>
  </si>
  <si>
    <t>1763-23-1</t>
  </si>
  <si>
    <t>PFHpA</t>
  </si>
  <si>
    <t>375-85-9</t>
  </si>
  <si>
    <t>PFPeA</t>
  </si>
  <si>
    <t>2706-90-3</t>
  </si>
  <si>
    <t>PFHxS</t>
  </si>
  <si>
    <t>355-46-4</t>
  </si>
  <si>
    <t>PFDA</t>
  </si>
  <si>
    <t>335-76-2</t>
  </si>
  <si>
    <t>Azathioprine</t>
  </si>
  <si>
    <t>446-86-6</t>
  </si>
  <si>
    <t>Benzocaine</t>
  </si>
  <si>
    <t>94-09-7</t>
  </si>
  <si>
    <t>Butylated hydroxyanisole</t>
  </si>
  <si>
    <t>25013-16-5</t>
  </si>
  <si>
    <t>Cetirizine dihydrochloride</t>
  </si>
  <si>
    <t>83881-52-1</t>
  </si>
  <si>
    <t>Cyclamate</t>
  </si>
  <si>
    <t>139-05-9</t>
  </si>
  <si>
    <t>Cyclophosphamide</t>
  </si>
  <si>
    <t>6055-19-2</t>
  </si>
  <si>
    <t>Cypermethrin</t>
  </si>
  <si>
    <t>67375-30-8</t>
  </si>
  <si>
    <t>DEET</t>
  </si>
  <si>
    <t>134-62-3</t>
  </si>
  <si>
    <t>Dexamethasone</t>
  </si>
  <si>
    <t>50-02-2</t>
  </si>
  <si>
    <t>Digoxin</t>
  </si>
  <si>
    <t>20830-75-5</t>
  </si>
  <si>
    <t>Fenazaquin</t>
  </si>
  <si>
    <t>120928-09-8</t>
  </si>
  <si>
    <t>Fenbuconazole</t>
  </si>
  <si>
    <t>114369-43-6</t>
  </si>
  <si>
    <t>Fluazinam</t>
  </si>
  <si>
    <t>79622-59-6</t>
  </si>
  <si>
    <t>Furosemide</t>
  </si>
  <si>
    <t>54-31-9</t>
  </si>
  <si>
    <t>Glybenclamide</t>
  </si>
  <si>
    <t>10238-21-8</t>
  </si>
  <si>
    <t>HC Red 3</t>
  </si>
  <si>
    <t>2871-01-4</t>
  </si>
  <si>
    <t>Hydralazine hydrochloride</t>
  </si>
  <si>
    <t>304-20-1</t>
  </si>
  <si>
    <t>Ketoconazole</t>
  </si>
  <si>
    <t>65277-42-1</t>
  </si>
  <si>
    <t>Metformin</t>
  </si>
  <si>
    <t>1115-70-4</t>
  </si>
  <si>
    <t>Metoclopramide</t>
  </si>
  <si>
    <t>364-62-5</t>
  </si>
  <si>
    <t>Nitrofurantoin</t>
  </si>
  <si>
    <t>67-20-9</t>
  </si>
  <si>
    <t>Oxytetracycline hydrochloride</t>
  </si>
  <si>
    <t>2058-46-0</t>
  </si>
  <si>
    <t>Panthenol</t>
  </si>
  <si>
    <t xml:space="preserve">16485-10-2 </t>
  </si>
  <si>
    <t>Paracetamol</t>
  </si>
  <si>
    <t>103-90-2</t>
  </si>
  <si>
    <t>Topiramate</t>
  </si>
  <si>
    <t>97240-79-4</t>
  </si>
  <si>
    <t>Trimellitic anhydride</t>
  </si>
  <si>
    <t>552-30-7</t>
  </si>
  <si>
    <t>Verapamil hydrochloride</t>
  </si>
  <si>
    <t>152-11-4</t>
  </si>
  <si>
    <t>129-06-6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</si>
</sst>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"/>
    <numFmt numFmtId="177" formatCode="0.000000000"/>
    <numFmt numFmtId="178" formatCode="0.0%"/>
    <numFmt numFmtId="179" formatCode="0.00_);[Red]\(0.00\)"/>
    <numFmt numFmtId="180" formatCode="0.00000_);[Red]\(0.00000\)"/>
    <numFmt numFmtId="181" formatCode="0.000000_);[Red]\(0.000000\)"/>
    <numFmt numFmtId="182" formatCode="0.0E+00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Helvetica"/>
      <family val="2"/>
    </font>
    <font>
      <b/>
      <sz val="11"/>
      <color theme="1"/>
      <name val="Helvetica"/>
      <family val="2"/>
    </font>
    <font>
      <b/>
      <sz val="12"/>
      <color theme="1"/>
      <name val="Helvetica"/>
      <family val="2"/>
    </font>
    <font>
      <sz val="11"/>
      <name val="Helvetica"/>
      <family val="2"/>
    </font>
    <font>
      <b/>
      <sz val="20"/>
      <color theme="1"/>
      <name val="Helvetica"/>
      <family val="2"/>
    </font>
    <font>
      <b/>
      <sz val="10"/>
      <color indexed="81"/>
      <name val="Helvetica"/>
      <family val="2"/>
    </font>
    <font>
      <b/>
      <sz val="11"/>
      <name val="Helvetica"/>
      <family val="2"/>
    </font>
    <font>
      <b/>
      <vertAlign val="superscript"/>
      <sz val="11"/>
      <color theme="1"/>
      <name val="Helvetica"/>
      <family val="2"/>
    </font>
    <font>
      <b/>
      <sz val="14"/>
      <color theme="1"/>
      <name val="Helvetica"/>
      <family val="2"/>
    </font>
    <font>
      <i/>
      <sz val="12"/>
      <name val="Helvetica"/>
      <family val="2"/>
    </font>
    <font>
      <i/>
      <vertAlign val="subscript"/>
      <sz val="12"/>
      <name val="Helvetica"/>
      <family val="2"/>
    </font>
    <font>
      <i/>
      <sz val="11"/>
      <color theme="1"/>
      <name val="Helvetica"/>
      <family val="2"/>
    </font>
    <font>
      <i/>
      <vertAlign val="subscript"/>
      <sz val="11"/>
      <color theme="1"/>
      <name val="Helvetica"/>
      <family val="2"/>
    </font>
    <font>
      <b/>
      <u/>
      <sz val="14"/>
      <color theme="1"/>
      <name val="Helvetic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0"/>
      <color theme="1"/>
      <name val="Arial"/>
      <family val="2"/>
    </font>
    <font>
      <sz val="11"/>
      <color theme="1"/>
      <name val="Helvetica"/>
    </font>
    <font>
      <sz val="12"/>
      <color theme="0" tint="-0.34998626667073579"/>
      <name val="Helvetica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8E4BC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8" fillId="0" borderId="0"/>
  </cellStyleXfs>
  <cellXfs count="187">
    <xf numFmtId="0" fontId="0" fillId="0" borderId="0" xfId="0"/>
    <xf numFmtId="0" fontId="1" fillId="3" borderId="2" xfId="0" applyFont="1" applyFill="1" applyBorder="1"/>
    <xf numFmtId="0" fontId="1" fillId="3" borderId="3" xfId="0" applyFont="1" applyFill="1" applyBorder="1"/>
    <xf numFmtId="0" fontId="1" fillId="3" borderId="5" xfId="0" applyFont="1" applyFill="1" applyBorder="1"/>
    <xf numFmtId="0" fontId="1" fillId="0" borderId="7" xfId="0" applyFont="1" applyBorder="1"/>
    <xf numFmtId="0" fontId="1" fillId="0" borderId="7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0" fillId="3" borderId="0" xfId="0" applyFill="1"/>
    <xf numFmtId="0" fontId="3" fillId="3" borderId="0" xfId="0" applyFont="1" applyFill="1" applyAlignment="1">
      <alignment vertical="center"/>
    </xf>
    <xf numFmtId="11" fontId="0" fillId="3" borderId="0" xfId="0" applyNumberFormat="1" applyFill="1"/>
    <xf numFmtId="177" fontId="0" fillId="3" borderId="0" xfId="0" applyNumberFormat="1" applyFill="1"/>
    <xf numFmtId="0" fontId="0" fillId="3" borderId="13" xfId="0" applyFill="1" applyBorder="1"/>
    <xf numFmtId="0" fontId="0" fillId="3" borderId="4" xfId="0" applyFill="1" applyBorder="1"/>
    <xf numFmtId="0" fontId="1" fillId="3" borderId="0" xfId="0" applyFont="1" applyFill="1"/>
    <xf numFmtId="0" fontId="0" fillId="3" borderId="14" xfId="0" applyFill="1" applyBorder="1"/>
    <xf numFmtId="0" fontId="0" fillId="3" borderId="6" xfId="0" applyFill="1" applyBorder="1"/>
    <xf numFmtId="0" fontId="9" fillId="3" borderId="1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0" xfId="0" applyFill="1" applyAlignment="1">
      <alignment wrapText="1"/>
    </xf>
    <xf numFmtId="0" fontId="0" fillId="3" borderId="5" xfId="0" applyFill="1" applyBorder="1"/>
    <xf numFmtId="0" fontId="1" fillId="3" borderId="13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3" borderId="1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 wrapText="1"/>
    </xf>
    <xf numFmtId="0" fontId="1" fillId="3" borderId="5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 wrapText="1"/>
    </xf>
    <xf numFmtId="0" fontId="1" fillId="3" borderId="6" xfId="0" applyFont="1" applyFill="1" applyBorder="1" applyAlignment="1">
      <alignment horizontal="left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2" fontId="1" fillId="3" borderId="7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center" wrapText="1"/>
    </xf>
    <xf numFmtId="0" fontId="2" fillId="6" borderId="7" xfId="0" applyFont="1" applyFill="1" applyBorder="1" applyAlignment="1">
      <alignment vertical="center"/>
    </xf>
    <xf numFmtId="176" fontId="1" fillId="2" borderId="7" xfId="0" applyNumberFormat="1" applyFont="1" applyFill="1" applyBorder="1" applyAlignment="1" applyProtection="1">
      <alignment horizontal="center" vertical="center"/>
      <protection hidden="1"/>
    </xf>
    <xf numFmtId="9" fontId="1" fillId="2" borderId="7" xfId="0" applyNumberFormat="1" applyFont="1" applyFill="1" applyBorder="1" applyAlignment="1" applyProtection="1">
      <alignment horizontal="center"/>
      <protection hidden="1"/>
    </xf>
    <xf numFmtId="10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 vertical="center"/>
      <protection hidden="1"/>
    </xf>
    <xf numFmtId="176" fontId="1" fillId="2" borderId="7" xfId="0" applyNumberFormat="1" applyFont="1" applyFill="1" applyBorder="1" applyAlignment="1" applyProtection="1">
      <alignment horizontal="center"/>
      <protection hidden="1"/>
    </xf>
    <xf numFmtId="11" fontId="1" fillId="2" borderId="7" xfId="0" applyNumberFormat="1" applyFont="1" applyFill="1" applyBorder="1" applyAlignment="1" applyProtection="1">
      <alignment horizontal="center"/>
      <protection hidden="1"/>
    </xf>
    <xf numFmtId="176" fontId="1" fillId="4" borderId="7" xfId="0" applyNumberFormat="1" applyFont="1" applyFill="1" applyBorder="1" applyAlignment="1" applyProtection="1">
      <alignment horizontal="center"/>
      <protection locked="0"/>
    </xf>
    <xf numFmtId="178" fontId="1" fillId="4" borderId="7" xfId="0" applyNumberFormat="1" applyFont="1" applyFill="1" applyBorder="1" applyAlignment="1" applyProtection="1">
      <alignment horizontal="center"/>
      <protection locked="0"/>
    </xf>
    <xf numFmtId="1" fontId="1" fillId="4" borderId="23" xfId="0" applyNumberFormat="1" applyFont="1" applyFill="1" applyBorder="1" applyAlignment="1" applyProtection="1">
      <alignment horizontal="center"/>
      <protection locked="0"/>
    </xf>
    <xf numFmtId="0" fontId="4" fillId="4" borderId="7" xfId="0" applyFont="1" applyFill="1" applyBorder="1" applyAlignment="1" applyProtection="1">
      <alignment horizontal="left" vertical="center"/>
      <protection locked="0"/>
    </xf>
    <xf numFmtId="2" fontId="4" fillId="4" borderId="7" xfId="0" applyNumberFormat="1" applyFont="1" applyFill="1" applyBorder="1" applyAlignment="1" applyProtection="1">
      <alignment horizontal="center" vertical="center"/>
      <protection locked="0"/>
    </xf>
    <xf numFmtId="0" fontId="0" fillId="3" borderId="0" xfId="0" applyFill="1" applyProtection="1"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Protection="1">
      <protection hidden="1"/>
    </xf>
    <xf numFmtId="0" fontId="1" fillId="0" borderId="7" xfId="0" applyFont="1" applyBorder="1" applyAlignment="1" applyProtection="1">
      <alignment horizontal="left" vertical="center"/>
      <protection hidden="1"/>
    </xf>
    <xf numFmtId="0" fontId="1" fillId="0" borderId="27" xfId="0" applyFont="1" applyBorder="1" applyAlignment="1" applyProtection="1">
      <alignment horizontal="left" vertical="center"/>
      <protection hidden="1"/>
    </xf>
    <xf numFmtId="11" fontId="1" fillId="2" borderId="27" xfId="0" applyNumberFormat="1" applyFont="1" applyFill="1" applyBorder="1" applyAlignment="1" applyProtection="1">
      <alignment horizontal="center"/>
      <protection hidden="1"/>
    </xf>
    <xf numFmtId="2" fontId="4" fillId="2" borderId="7" xfId="0" applyNumberFormat="1" applyFont="1" applyFill="1" applyBorder="1" applyAlignment="1" applyProtection="1">
      <alignment horizontal="center" vertical="center"/>
      <protection hidden="1"/>
    </xf>
    <xf numFmtId="10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2" borderId="7" xfId="0" applyNumberFormat="1" applyFont="1" applyFill="1" applyBorder="1" applyAlignment="1" applyProtection="1">
      <alignment horizontal="center" vertical="center"/>
      <protection hidden="1"/>
    </xf>
    <xf numFmtId="11" fontId="4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3" borderId="7" xfId="0" applyNumberFormat="1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1" fontId="1" fillId="3" borderId="0" xfId="0" applyNumberFormat="1" applyFont="1" applyFill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2" xfId="0" applyBorder="1"/>
    <xf numFmtId="0" fontId="0" fillId="0" borderId="5" xfId="0" applyBorder="1"/>
    <xf numFmtId="11" fontId="1" fillId="3" borderId="2" xfId="0" applyNumberFormat="1" applyFont="1" applyFill="1" applyBorder="1" applyAlignment="1">
      <alignment horizontal="center"/>
    </xf>
    <xf numFmtId="11" fontId="1" fillId="3" borderId="5" xfId="0" applyNumberFormat="1" applyFont="1" applyFill="1" applyBorder="1" applyAlignment="1">
      <alignment horizontal="center"/>
    </xf>
    <xf numFmtId="0" fontId="0" fillId="3" borderId="25" xfId="0" applyFill="1" applyBorder="1"/>
    <xf numFmtId="0" fontId="2" fillId="3" borderId="24" xfId="0" applyFont="1" applyFill="1" applyBorder="1" applyAlignment="1">
      <alignment vertical="center"/>
    </xf>
    <xf numFmtId="0" fontId="2" fillId="3" borderId="24" xfId="0" applyFont="1" applyFill="1" applyBorder="1" applyAlignment="1">
      <alignment horizontal="center" wrapText="1"/>
    </xf>
    <xf numFmtId="0" fontId="0" fillId="3" borderId="26" xfId="0" applyFill="1" applyBorder="1"/>
    <xf numFmtId="0" fontId="1" fillId="3" borderId="2" xfId="0" applyFont="1" applyFill="1" applyBorder="1" applyAlignment="1">
      <alignment horizontal="center"/>
    </xf>
    <xf numFmtId="2" fontId="1" fillId="3" borderId="2" xfId="0" applyNumberFormat="1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5" xfId="0" applyNumberFormat="1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wrapText="1"/>
    </xf>
    <xf numFmtId="11" fontId="1" fillId="7" borderId="7" xfId="0" applyNumberFormat="1" applyFont="1" applyFill="1" applyBorder="1" applyAlignment="1">
      <alignment horizontal="center"/>
    </xf>
    <xf numFmtId="0" fontId="1" fillId="7" borderId="7" xfId="0" applyFont="1" applyFill="1" applyBorder="1"/>
    <xf numFmtId="0" fontId="1" fillId="7" borderId="7" xfId="0" applyFont="1" applyFill="1" applyBorder="1" applyAlignment="1">
      <alignment horizontal="center"/>
    </xf>
    <xf numFmtId="2" fontId="1" fillId="7" borderId="7" xfId="0" applyNumberFormat="1" applyFont="1" applyFill="1" applyBorder="1" applyAlignment="1">
      <alignment horizontal="center"/>
    </xf>
    <xf numFmtId="179" fontId="0" fillId="3" borderId="0" xfId="0" applyNumberFormat="1" applyFill="1"/>
    <xf numFmtId="180" fontId="0" fillId="3" borderId="0" xfId="0" applyNumberFormat="1" applyFill="1"/>
    <xf numFmtId="181" fontId="0" fillId="3" borderId="0" xfId="0" applyNumberFormat="1" applyFill="1"/>
    <xf numFmtId="0" fontId="4" fillId="8" borderId="7" xfId="0" applyFont="1" applyFill="1" applyBorder="1" applyAlignment="1" applyProtection="1">
      <alignment horizontal="left" vertical="center"/>
      <protection locked="0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2" fontId="4" fillId="8" borderId="7" xfId="0" applyNumberFormat="1" applyFont="1" applyFill="1" applyBorder="1" applyAlignment="1" applyProtection="1">
      <alignment horizontal="center" vertical="center"/>
      <protection locked="0"/>
    </xf>
    <xf numFmtId="11" fontId="4" fillId="8" borderId="7" xfId="0" applyNumberFormat="1" applyFont="1" applyFill="1" applyBorder="1" applyAlignment="1" applyProtection="1">
      <alignment horizontal="center" vertical="center"/>
      <protection locked="0"/>
    </xf>
    <xf numFmtId="2" fontId="1" fillId="8" borderId="7" xfId="0" applyNumberFormat="1" applyFont="1" applyFill="1" applyBorder="1" applyAlignment="1" applyProtection="1">
      <alignment horizontal="center" vertical="center"/>
      <protection locked="0"/>
    </xf>
    <xf numFmtId="2" fontId="1" fillId="2" borderId="7" xfId="0" applyNumberFormat="1" applyFont="1" applyFill="1" applyBorder="1" applyAlignment="1" applyProtection="1">
      <alignment horizontal="center" vertical="center"/>
      <protection hidden="1"/>
    </xf>
    <xf numFmtId="10" fontId="1" fillId="2" borderId="7" xfId="0" applyNumberFormat="1" applyFont="1" applyFill="1" applyBorder="1" applyAlignment="1" applyProtection="1">
      <alignment horizontal="center" vertical="center"/>
      <protection hidden="1"/>
    </xf>
    <xf numFmtId="0" fontId="1" fillId="4" borderId="7" xfId="0" applyFont="1" applyFill="1" applyBorder="1" applyAlignment="1" applyProtection="1">
      <alignment horizontal="left" vertical="center"/>
      <protection locked="0"/>
    </xf>
    <xf numFmtId="2" fontId="1" fillId="4" borderId="7" xfId="0" applyNumberFormat="1" applyFont="1" applyFill="1" applyBorder="1" applyAlignment="1" applyProtection="1">
      <alignment horizontal="center" vertical="center"/>
      <protection locked="0"/>
    </xf>
    <xf numFmtId="11" fontId="1" fillId="4" borderId="7" xfId="0" applyNumberFormat="1" applyFont="1" applyFill="1" applyBorder="1" applyAlignment="1" applyProtection="1">
      <alignment horizontal="center" vertical="center"/>
      <protection locked="0"/>
    </xf>
    <xf numFmtId="182" fontId="19" fillId="0" borderId="0" xfId="0" applyNumberFormat="1" applyFont="1" applyAlignment="1">
      <alignment horizontal="center"/>
    </xf>
    <xf numFmtId="11" fontId="0" fillId="3" borderId="14" xfId="0" applyNumberFormat="1" applyFill="1" applyBorder="1"/>
    <xf numFmtId="0" fontId="0" fillId="5" borderId="0" xfId="0" applyFill="1"/>
    <xf numFmtId="181" fontId="0" fillId="0" borderId="0" xfId="0" applyNumberFormat="1"/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14" fillId="3" borderId="5" xfId="0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/>
    </xf>
    <xf numFmtId="0" fontId="14" fillId="3" borderId="2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9" xfId="0" applyFont="1" applyBorder="1" applyAlignment="1" applyProtection="1">
      <alignment horizontal="center"/>
      <protection hidden="1"/>
    </xf>
    <xf numFmtId="0" fontId="10" fillId="0" borderId="27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horizontal="center" vertical="center" wrapText="1"/>
      <protection hidden="1"/>
    </xf>
    <xf numFmtId="0" fontId="9" fillId="0" borderId="21" xfId="0" applyFont="1" applyBorder="1" applyAlignment="1" applyProtection="1">
      <alignment horizontal="center"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18" xfId="0" applyFont="1" applyBorder="1" applyAlignment="1" applyProtection="1">
      <alignment horizontal="center"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 applyProtection="1">
      <alignment horizontal="center" vertical="center"/>
      <protection hidden="1"/>
    </xf>
    <xf numFmtId="0" fontId="1" fillId="5" borderId="24" xfId="0" applyFont="1" applyFill="1" applyBorder="1" applyAlignment="1" applyProtection="1">
      <alignment horizontal="center" vertical="center"/>
      <protection hidden="1"/>
    </xf>
    <xf numFmtId="0" fontId="1" fillId="5" borderId="26" xfId="0" applyFont="1" applyFill="1" applyBorder="1" applyAlignment="1" applyProtection="1">
      <alignment horizontal="center" vertical="center"/>
      <protection hidden="1"/>
    </xf>
    <xf numFmtId="2" fontId="12" fillId="0" borderId="27" xfId="0" applyNumberFormat="1" applyFont="1" applyBorder="1" applyAlignment="1" applyProtection="1">
      <alignment horizontal="center" vertical="center" wrapText="1"/>
      <protection hidden="1"/>
    </xf>
    <xf numFmtId="2" fontId="12" fillId="0" borderId="12" xfId="0" applyNumberFormat="1" applyFont="1" applyBorder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/>
      <protection hidden="1"/>
    </xf>
    <xf numFmtId="0" fontId="7" fillId="0" borderId="8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/>
      <protection hidden="1"/>
    </xf>
    <xf numFmtId="0" fontId="1" fillId="0" borderId="10" xfId="0" applyFont="1" applyBorder="1" applyAlignment="1" applyProtection="1">
      <alignment horizontal="center"/>
      <protection hidden="1"/>
    </xf>
    <xf numFmtId="0" fontId="1" fillId="0" borderId="9" xfId="0" applyFont="1" applyBorder="1" applyAlignment="1" applyProtection="1">
      <alignment horizontal="center"/>
      <protection hidden="1"/>
    </xf>
    <xf numFmtId="0" fontId="0" fillId="0" borderId="0" xfId="0" applyAlignment="1">
      <alignment horizont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wrapText="1"/>
    </xf>
    <xf numFmtId="0" fontId="10" fillId="0" borderId="12" xfId="0" applyFont="1" applyBorder="1" applyAlignment="1">
      <alignment horizont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/>
      <protection hidden="1"/>
    </xf>
    <xf numFmtId="0" fontId="5" fillId="2" borderId="2" xfId="0" applyFont="1" applyFill="1" applyBorder="1" applyAlignment="1" applyProtection="1">
      <alignment horizontal="center" vertical="center"/>
      <protection hidden="1"/>
    </xf>
    <xf numFmtId="0" fontId="5" fillId="2" borderId="3" xfId="0" applyFont="1" applyFill="1" applyBorder="1" applyAlignment="1" applyProtection="1">
      <alignment horizontal="center" vertical="center"/>
      <protection hidden="1"/>
    </xf>
    <xf numFmtId="0" fontId="5" fillId="2" borderId="13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5" fillId="2" borderId="14" xfId="0" applyFont="1" applyFill="1" applyBorder="1" applyAlignment="1" applyProtection="1">
      <alignment horizontal="center" vertical="center"/>
      <protection hidden="1"/>
    </xf>
    <xf numFmtId="0" fontId="5" fillId="2" borderId="4" xfId="0" applyFont="1" applyFill="1" applyBorder="1" applyAlignment="1" applyProtection="1">
      <alignment horizontal="center" vertical="center"/>
      <protection hidden="1"/>
    </xf>
    <xf numFmtId="0" fontId="5" fillId="2" borderId="5" xfId="0" applyFont="1" applyFill="1" applyBorder="1" applyAlignment="1" applyProtection="1">
      <alignment horizontal="center" vertical="center"/>
      <protection hidden="1"/>
    </xf>
    <xf numFmtId="0" fontId="5" fillId="2" borderId="6" xfId="0" applyFont="1" applyFill="1" applyBorder="1" applyAlignment="1" applyProtection="1">
      <alignment horizontal="center" vertical="center"/>
      <protection hidden="1"/>
    </xf>
    <xf numFmtId="0" fontId="9" fillId="0" borderId="15" xfId="0" applyFont="1" applyBorder="1" applyAlignment="1" applyProtection="1">
      <alignment horizontal="center" vertical="center"/>
      <protection hidden="1"/>
    </xf>
    <xf numFmtId="0" fontId="9" fillId="0" borderId="16" xfId="0" applyFont="1" applyBorder="1" applyAlignment="1" applyProtection="1">
      <alignment horizontal="center" vertical="center"/>
      <protection hidden="1"/>
    </xf>
    <xf numFmtId="0" fontId="9" fillId="0" borderId="17" xfId="0" applyFont="1" applyBorder="1" applyAlignment="1" applyProtection="1">
      <alignment horizontal="center" vertical="center"/>
      <protection hidden="1"/>
    </xf>
    <xf numFmtId="0" fontId="1" fillId="5" borderId="25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</cellXfs>
  <cellStyles count="2">
    <cellStyle name="一般" xfId="0" builtinId="0"/>
    <cellStyle name="一般 2" xfId="1" xr:uid="{EAD913AB-B22E-45C0-B24F-41FAA7E034FC}"/>
  </cellStyles>
  <dxfs count="0"/>
  <tableStyles count="0" defaultTableStyle="TableStyleMedium2" defaultPivotStyle="PivotStyleLight16"/>
  <colors>
    <mruColors>
      <color rgb="FFD8E4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tiff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3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5" Type="http://schemas.openxmlformats.org/officeDocument/2006/relationships/image" Target="../media/image1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14" Type="http://schemas.openxmlformats.org/officeDocument/2006/relationships/image" Target="../media/image1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781229</xdr:colOff>
      <xdr:row>4</xdr:row>
      <xdr:rowOff>29633</xdr:rowOff>
    </xdr:from>
    <xdr:to>
      <xdr:col>7</xdr:col>
      <xdr:colOff>247646</xdr:colOff>
      <xdr:row>23</xdr:row>
      <xdr:rowOff>180312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088146" y="844550"/>
          <a:ext cx="4176000" cy="4284000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190500</xdr:colOff>
          <xdr:row>4</xdr:row>
          <xdr:rowOff>133350</xdr:rowOff>
        </xdr:from>
        <xdr:to>
          <xdr:col>21</xdr:col>
          <xdr:colOff>104775</xdr:colOff>
          <xdr:row>5</xdr:row>
          <xdr:rowOff>304800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552450</xdr:colOff>
          <xdr:row>6</xdr:row>
          <xdr:rowOff>9525</xdr:rowOff>
        </xdr:from>
        <xdr:to>
          <xdr:col>21</xdr:col>
          <xdr:colOff>1304925</xdr:colOff>
          <xdr:row>7</xdr:row>
          <xdr:rowOff>180975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409575</xdr:colOff>
          <xdr:row>8</xdr:row>
          <xdr:rowOff>38100</xdr:rowOff>
        </xdr:from>
        <xdr:to>
          <xdr:col>21</xdr:col>
          <xdr:colOff>762000</xdr:colOff>
          <xdr:row>10</xdr:row>
          <xdr:rowOff>9525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0</xdr:colOff>
          <xdr:row>10</xdr:row>
          <xdr:rowOff>123825</xdr:rowOff>
        </xdr:from>
        <xdr:to>
          <xdr:col>21</xdr:col>
          <xdr:colOff>1933575</xdr:colOff>
          <xdr:row>12</xdr:row>
          <xdr:rowOff>66675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333375</xdr:colOff>
          <xdr:row>13</xdr:row>
          <xdr:rowOff>57150</xdr:rowOff>
        </xdr:from>
        <xdr:to>
          <xdr:col>21</xdr:col>
          <xdr:colOff>1695450</xdr:colOff>
          <xdr:row>13</xdr:row>
          <xdr:rowOff>381000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447675</xdr:colOff>
          <xdr:row>14</xdr:row>
          <xdr:rowOff>57150</xdr:rowOff>
        </xdr:from>
        <xdr:to>
          <xdr:col>21</xdr:col>
          <xdr:colOff>1543050</xdr:colOff>
          <xdr:row>15</xdr:row>
          <xdr:rowOff>152400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542925</xdr:colOff>
          <xdr:row>16</xdr:row>
          <xdr:rowOff>161925</xdr:rowOff>
        </xdr:from>
        <xdr:to>
          <xdr:col>21</xdr:col>
          <xdr:colOff>1476375</xdr:colOff>
          <xdr:row>18</xdr:row>
          <xdr:rowOff>104775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19</xdr:row>
          <xdr:rowOff>9525</xdr:rowOff>
        </xdr:from>
        <xdr:to>
          <xdr:col>21</xdr:col>
          <xdr:colOff>485775</xdr:colOff>
          <xdr:row>21</xdr:row>
          <xdr:rowOff>180975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752475</xdr:colOff>
          <xdr:row>22</xdr:row>
          <xdr:rowOff>9525</xdr:rowOff>
        </xdr:from>
        <xdr:to>
          <xdr:col>21</xdr:col>
          <xdr:colOff>542925</xdr:colOff>
          <xdr:row>24</xdr:row>
          <xdr:rowOff>190500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400050</xdr:colOff>
          <xdr:row>25</xdr:row>
          <xdr:rowOff>47625</xdr:rowOff>
        </xdr:from>
        <xdr:to>
          <xdr:col>20</xdr:col>
          <xdr:colOff>742950</xdr:colOff>
          <xdr:row>26</xdr:row>
          <xdr:rowOff>152400</xdr:rowOff>
        </xdr:to>
        <xdr:sp macro="" textlink="">
          <xdr:nvSpPr>
            <xdr:cNvPr id="1037" name="Object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15</xdr:col>
          <xdr:colOff>323850</xdr:colOff>
          <xdr:row>27</xdr:row>
          <xdr:rowOff>114300</xdr:rowOff>
        </xdr:from>
        <xdr:to>
          <xdr:col>21</xdr:col>
          <xdr:colOff>1962150</xdr:colOff>
          <xdr:row>30</xdr:row>
          <xdr:rowOff>123825</xdr:rowOff>
        </xdr:to>
        <xdr:sp macro="" textlink="">
          <xdr:nvSpPr>
            <xdr:cNvPr id="1038" name="Object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180975</xdr:colOff>
          <xdr:row>31</xdr:row>
          <xdr:rowOff>123825</xdr:rowOff>
        </xdr:from>
        <xdr:to>
          <xdr:col>21</xdr:col>
          <xdr:colOff>1762125</xdr:colOff>
          <xdr:row>34</xdr:row>
          <xdr:rowOff>171450</xdr:rowOff>
        </xdr:to>
        <xdr:sp macro="" textlink="">
          <xdr:nvSpPr>
            <xdr:cNvPr id="1039" name="Object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666750</xdr:colOff>
          <xdr:row>35</xdr:row>
          <xdr:rowOff>76200</xdr:rowOff>
        </xdr:from>
        <xdr:to>
          <xdr:col>21</xdr:col>
          <xdr:colOff>685800</xdr:colOff>
          <xdr:row>38</xdr:row>
          <xdr:rowOff>133350</xdr:rowOff>
        </xdr:to>
        <xdr:sp macro="" textlink="">
          <xdr:nvSpPr>
            <xdr:cNvPr id="1040" name="Object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676275</xdr:colOff>
          <xdr:row>42</xdr:row>
          <xdr:rowOff>76200</xdr:rowOff>
        </xdr:from>
        <xdr:to>
          <xdr:col>21</xdr:col>
          <xdr:colOff>704850</xdr:colOff>
          <xdr:row>45</xdr:row>
          <xdr:rowOff>133350</xdr:rowOff>
        </xdr:to>
        <xdr:sp macro="" textlink="">
          <xdr:nvSpPr>
            <xdr:cNvPr id="1042" name="Object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457200</xdr:colOff>
          <xdr:row>39</xdr:row>
          <xdr:rowOff>133350</xdr:rowOff>
        </xdr:from>
        <xdr:to>
          <xdr:col>21</xdr:col>
          <xdr:colOff>209550</xdr:colOff>
          <xdr:row>41</xdr:row>
          <xdr:rowOff>57150</xdr:rowOff>
        </xdr:to>
        <xdr:sp macro="" textlink="">
          <xdr:nvSpPr>
            <xdr:cNvPr id="1043" name="Object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18" Type="http://schemas.openxmlformats.org/officeDocument/2006/relationships/oleObject" Target="../embeddings/oleObject8.bin"/><Relationship Id="rId26" Type="http://schemas.openxmlformats.org/officeDocument/2006/relationships/oleObject" Target="../embeddings/oleObject12.bin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oleObject" Target="../embeddings/oleObject5.bin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33" Type="http://schemas.openxmlformats.org/officeDocument/2006/relationships/image" Target="../media/image15.emf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7.bin"/><Relationship Id="rId20" Type="http://schemas.openxmlformats.org/officeDocument/2006/relationships/oleObject" Target="../embeddings/oleObject9.bin"/><Relationship Id="rId29" Type="http://schemas.openxmlformats.org/officeDocument/2006/relationships/image" Target="../media/image13.emf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emf"/><Relationship Id="rId24" Type="http://schemas.openxmlformats.org/officeDocument/2006/relationships/oleObject" Target="../embeddings/oleObject11.bin"/><Relationship Id="rId32" Type="http://schemas.openxmlformats.org/officeDocument/2006/relationships/oleObject" Target="../embeddings/oleObject15.bin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oleObject" Target="../embeddings/oleObject13.bin"/><Relationship Id="rId10" Type="http://schemas.openxmlformats.org/officeDocument/2006/relationships/oleObject" Target="../embeddings/oleObject4.bin"/><Relationship Id="rId19" Type="http://schemas.openxmlformats.org/officeDocument/2006/relationships/image" Target="../media/image8.emf"/><Relationship Id="rId31" Type="http://schemas.openxmlformats.org/officeDocument/2006/relationships/image" Target="../media/image14.emf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emf"/><Relationship Id="rId14" Type="http://schemas.openxmlformats.org/officeDocument/2006/relationships/oleObject" Target="../embeddings/oleObject6.bin"/><Relationship Id="rId22" Type="http://schemas.openxmlformats.org/officeDocument/2006/relationships/oleObject" Target="../embeddings/oleObject10.bin"/><Relationship Id="rId27" Type="http://schemas.openxmlformats.org/officeDocument/2006/relationships/image" Target="../media/image12.emf"/><Relationship Id="rId30" Type="http://schemas.openxmlformats.org/officeDocument/2006/relationships/oleObject" Target="../embeddings/oleObject14.bin"/><Relationship Id="rId8" Type="http://schemas.openxmlformats.org/officeDocument/2006/relationships/oleObject" Target="../embeddings/oleObject3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7"/>
  <sheetViews>
    <sheetView topLeftCell="G1" zoomScale="90" zoomScaleNormal="90" workbookViewId="0">
      <selection activeCell="L17" sqref="L17:N17"/>
    </sheetView>
  </sheetViews>
  <sheetFormatPr defaultColWidth="10.85546875" defaultRowHeight="15" x14ac:dyDescent="0.45"/>
  <cols>
    <col min="1" max="1" width="4.5703125" customWidth="1"/>
    <col min="2" max="2" width="13.42578125" customWidth="1"/>
    <col min="9" max="9" width="4.7109375" customWidth="1"/>
    <col min="11" max="11" width="21.5703125" bestFit="1" customWidth="1"/>
    <col min="12" max="12" width="17.42578125" customWidth="1"/>
    <col min="13" max="13" width="16.140625" customWidth="1"/>
    <col min="14" max="14" width="16.5703125" customWidth="1"/>
    <col min="16" max="16" width="4.85546875" customWidth="1"/>
    <col min="22" max="22" width="29.5703125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7.649999999999999" x14ac:dyDescent="0.5">
      <c r="A2" s="7"/>
      <c r="B2" s="112" t="s">
        <v>57</v>
      </c>
      <c r="C2" s="113"/>
      <c r="D2" s="113"/>
      <c r="E2" s="113"/>
      <c r="F2" s="113"/>
      <c r="G2" s="113"/>
      <c r="H2" s="114"/>
      <c r="I2" s="7"/>
      <c r="J2" s="103" t="s">
        <v>56</v>
      </c>
      <c r="K2" s="104"/>
      <c r="L2" s="104"/>
      <c r="M2" s="104"/>
      <c r="N2" s="104"/>
      <c r="O2" s="105"/>
      <c r="P2" s="7"/>
      <c r="Q2" s="103" t="s">
        <v>58</v>
      </c>
      <c r="R2" s="104"/>
      <c r="S2" s="104"/>
      <c r="T2" s="104"/>
      <c r="U2" s="104"/>
      <c r="V2" s="105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45">
      <c r="A3" s="7"/>
      <c r="B3" s="24" t="s">
        <v>0</v>
      </c>
      <c r="C3" s="25" t="s">
        <v>1</v>
      </c>
      <c r="D3" s="25"/>
      <c r="E3" s="25"/>
      <c r="F3" s="25"/>
      <c r="G3" s="25"/>
      <c r="H3" s="26"/>
      <c r="I3" s="7"/>
      <c r="J3" s="106"/>
      <c r="K3" s="107"/>
      <c r="L3" s="107"/>
      <c r="M3" s="107"/>
      <c r="N3" s="107"/>
      <c r="O3" s="108"/>
      <c r="P3" s="7"/>
      <c r="Q3" s="106"/>
      <c r="R3" s="107"/>
      <c r="S3" s="107"/>
      <c r="T3" s="107"/>
      <c r="U3" s="107"/>
      <c r="V3" s="108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27"/>
      <c r="C4" s="28" t="s">
        <v>2</v>
      </c>
      <c r="D4" s="29"/>
      <c r="E4" s="29"/>
      <c r="F4" s="29"/>
      <c r="G4" s="28"/>
      <c r="H4" s="30"/>
      <c r="I4" s="7"/>
      <c r="J4" s="109"/>
      <c r="K4" s="110"/>
      <c r="L4" s="110"/>
      <c r="M4" s="110"/>
      <c r="N4" s="110"/>
      <c r="O4" s="111"/>
      <c r="P4" s="7"/>
      <c r="Q4" s="109"/>
      <c r="R4" s="110"/>
      <c r="S4" s="110"/>
      <c r="T4" s="110"/>
      <c r="U4" s="110"/>
      <c r="V4" s="111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15" customHeight="1" x14ac:dyDescent="0.45">
      <c r="A5" s="7"/>
      <c r="B5" s="19"/>
      <c r="C5" s="1"/>
      <c r="D5" s="20"/>
      <c r="E5" s="20"/>
      <c r="F5" s="20"/>
      <c r="G5" s="1"/>
      <c r="H5" s="2"/>
      <c r="I5" s="7"/>
      <c r="J5" s="16"/>
      <c r="K5" s="17"/>
      <c r="L5" s="17"/>
      <c r="M5" s="17"/>
      <c r="N5" s="17"/>
      <c r="O5" s="18"/>
      <c r="P5" s="7"/>
      <c r="Q5" s="59"/>
      <c r="R5" s="60"/>
      <c r="S5" s="60"/>
      <c r="T5" s="60"/>
      <c r="U5" s="60"/>
      <c r="V5" s="61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31.5" customHeight="1" thickBot="1" x14ac:dyDescent="0.5">
      <c r="A6" s="7"/>
      <c r="B6" s="21"/>
      <c r="C6" s="22"/>
      <c r="D6" s="22"/>
      <c r="E6" s="22"/>
      <c r="F6" s="22"/>
      <c r="G6" s="7"/>
      <c r="H6" s="14"/>
      <c r="I6" s="7"/>
      <c r="J6" s="11"/>
      <c r="K6" s="34" t="s">
        <v>21</v>
      </c>
      <c r="L6" s="35" t="s">
        <v>22</v>
      </c>
      <c r="M6" s="35" t="s">
        <v>25</v>
      </c>
      <c r="N6" s="13"/>
      <c r="O6" s="14"/>
      <c r="P6" s="7"/>
      <c r="Q6" s="12"/>
      <c r="R6" s="69"/>
      <c r="S6" s="80"/>
      <c r="T6" s="80"/>
      <c r="U6" s="3"/>
      <c r="V6" s="15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45">
      <c r="A7" s="7"/>
      <c r="B7" s="11"/>
      <c r="C7" s="7"/>
      <c r="D7" s="7"/>
      <c r="E7" s="7"/>
      <c r="F7" s="7"/>
      <c r="G7" s="7"/>
      <c r="H7" s="14"/>
      <c r="I7" s="7"/>
      <c r="J7" s="11"/>
      <c r="K7" s="82" t="s">
        <v>74</v>
      </c>
      <c r="L7" s="83">
        <v>0</v>
      </c>
      <c r="M7" s="84">
        <v>0</v>
      </c>
      <c r="N7" s="13"/>
      <c r="O7" s="14"/>
      <c r="P7" s="7"/>
      <c r="Q7" s="11"/>
      <c r="R7" s="13"/>
      <c r="S7" s="62"/>
      <c r="T7" s="63"/>
      <c r="U7" s="13"/>
      <c r="V7" s="14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.4" thickBot="1" x14ac:dyDescent="0.5">
      <c r="A8" s="7"/>
      <c r="B8" s="11"/>
      <c r="C8" s="7"/>
      <c r="D8" s="7"/>
      <c r="E8" s="7"/>
      <c r="F8" s="7"/>
      <c r="G8" s="7"/>
      <c r="H8" s="14"/>
      <c r="I8" s="7"/>
      <c r="J8" s="11"/>
      <c r="K8" s="31" t="s">
        <v>23</v>
      </c>
      <c r="L8" s="32">
        <v>0</v>
      </c>
      <c r="M8" s="33">
        <v>0</v>
      </c>
      <c r="N8" s="13"/>
      <c r="O8" s="14"/>
      <c r="P8" s="7"/>
      <c r="Q8" s="12"/>
      <c r="R8" s="3"/>
      <c r="S8" s="78"/>
      <c r="T8" s="79"/>
      <c r="U8" s="3"/>
      <c r="V8" s="15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45">
      <c r="A9" s="7"/>
      <c r="B9" s="11"/>
      <c r="C9" s="7"/>
      <c r="D9" s="7"/>
      <c r="E9" s="7"/>
      <c r="F9" s="7"/>
      <c r="G9" s="7"/>
      <c r="H9" s="14"/>
      <c r="I9" s="7"/>
      <c r="J9" s="11"/>
      <c r="K9" s="31" t="s">
        <v>63</v>
      </c>
      <c r="L9" s="32">
        <v>0</v>
      </c>
      <c r="M9" s="33">
        <v>0</v>
      </c>
      <c r="N9" s="13"/>
      <c r="O9" s="14"/>
      <c r="P9" s="7"/>
      <c r="Q9" s="65"/>
      <c r="R9" s="1"/>
      <c r="S9" s="76"/>
      <c r="T9" s="77"/>
      <c r="U9" s="1"/>
      <c r="V9" s="6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.4" thickBot="1" x14ac:dyDescent="0.5">
      <c r="A10" s="7"/>
      <c r="B10" s="11"/>
      <c r="C10" s="7"/>
      <c r="D10" s="7"/>
      <c r="E10" s="7"/>
      <c r="F10" s="7"/>
      <c r="G10" s="7"/>
      <c r="H10" s="14"/>
      <c r="I10" s="7"/>
      <c r="J10" s="11"/>
      <c r="K10" s="82" t="s">
        <v>16</v>
      </c>
      <c r="L10" s="83">
        <v>24</v>
      </c>
      <c r="M10" s="83">
        <v>1.9</v>
      </c>
      <c r="N10" s="13"/>
      <c r="O10" s="14"/>
      <c r="P10" s="7"/>
      <c r="Q10" s="12"/>
      <c r="R10" s="3"/>
      <c r="S10" s="78"/>
      <c r="T10" s="69"/>
      <c r="U10" s="3"/>
      <c r="V10" s="15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45">
      <c r="A11" s="7"/>
      <c r="B11" s="11"/>
      <c r="C11" s="7"/>
      <c r="D11" s="7"/>
      <c r="E11" s="7"/>
      <c r="F11" s="7"/>
      <c r="G11" s="7"/>
      <c r="H11" s="14"/>
      <c r="I11" s="7"/>
      <c r="J11" s="11"/>
      <c r="K11" s="31" t="s">
        <v>75</v>
      </c>
      <c r="L11" s="32">
        <v>46.77</v>
      </c>
      <c r="M11" s="32">
        <v>1.6</v>
      </c>
      <c r="N11" s="13"/>
      <c r="O11" s="14"/>
      <c r="P11" s="7"/>
      <c r="Q11" s="65"/>
      <c r="R11" s="1"/>
      <c r="S11" s="76"/>
      <c r="T11" s="76"/>
      <c r="U11" s="1"/>
      <c r="V11" s="6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45">
      <c r="A12" s="7"/>
      <c r="B12" s="11"/>
      <c r="C12" s="7"/>
      <c r="D12" s="7"/>
      <c r="E12" s="7"/>
      <c r="F12" s="7"/>
      <c r="G12" s="7"/>
      <c r="H12" s="14"/>
      <c r="I12" s="7"/>
      <c r="J12" s="11"/>
      <c r="K12" s="31" t="s">
        <v>24</v>
      </c>
      <c r="L12" s="32">
        <v>37.69</v>
      </c>
      <c r="M12" s="32">
        <v>1.46</v>
      </c>
      <c r="N12" s="13"/>
      <c r="O12" s="14"/>
      <c r="P12" s="7"/>
      <c r="Q12" s="11"/>
      <c r="R12" s="13"/>
      <c r="S12" s="62"/>
      <c r="T12" s="62"/>
      <c r="U12" s="13"/>
      <c r="V12" s="14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.4" thickBot="1" x14ac:dyDescent="0.5">
      <c r="A13" s="7"/>
      <c r="B13" s="11"/>
      <c r="C13" s="7"/>
      <c r="D13" s="7"/>
      <c r="E13" s="7"/>
      <c r="F13" s="7"/>
      <c r="G13" s="7"/>
      <c r="H13" s="14"/>
      <c r="I13" s="7"/>
      <c r="J13" s="11"/>
      <c r="K13" s="13"/>
      <c r="L13" s="13"/>
      <c r="M13" s="13"/>
      <c r="N13" s="13"/>
      <c r="O13" s="14"/>
      <c r="P13" s="7"/>
      <c r="Q13" s="12"/>
      <c r="R13" s="3"/>
      <c r="S13" s="3"/>
      <c r="T13" s="3"/>
      <c r="U13" s="3"/>
      <c r="V13" s="15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33" customHeight="1" thickBot="1" x14ac:dyDescent="0.5">
      <c r="A14" s="7"/>
      <c r="B14" s="11"/>
      <c r="C14" s="7"/>
      <c r="D14" s="7"/>
      <c r="E14" s="7"/>
      <c r="F14" s="7"/>
      <c r="G14" s="7"/>
      <c r="H14" s="14"/>
      <c r="I14" s="7"/>
      <c r="J14" s="11"/>
      <c r="K14" s="36" t="s">
        <v>29</v>
      </c>
      <c r="L14" s="35" t="s">
        <v>26</v>
      </c>
      <c r="M14" s="35" t="s">
        <v>27</v>
      </c>
      <c r="N14" s="35" t="s">
        <v>28</v>
      </c>
      <c r="O14" s="14"/>
      <c r="P14" s="7"/>
      <c r="Q14" s="72"/>
      <c r="R14" s="73"/>
      <c r="S14" s="74"/>
      <c r="T14" s="74"/>
      <c r="U14" s="74"/>
      <c r="V14" s="75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45">
      <c r="A15" s="7"/>
      <c r="B15" s="11"/>
      <c r="C15" s="7"/>
      <c r="D15" s="7"/>
      <c r="E15" s="7"/>
      <c r="F15" s="7"/>
      <c r="G15" s="7"/>
      <c r="H15" s="14"/>
      <c r="I15" s="7"/>
      <c r="J15" s="11"/>
      <c r="K15" s="31" t="s">
        <v>76</v>
      </c>
      <c r="L15" s="58">
        <f>M15/0.029*(0.018)</f>
        <v>4.619905956112852E-5</v>
      </c>
      <c r="M15" s="58">
        <v>7.4431818181818174E-5</v>
      </c>
      <c r="N15" s="58">
        <f>M15/0.029*(0.953)</f>
        <v>2.4459835423197487E-3</v>
      </c>
      <c r="O15" s="100">
        <f>SUM(L15:N15)</f>
        <v>2.5666144200626952E-3</v>
      </c>
      <c r="P15" s="9"/>
      <c r="Q15" s="65"/>
      <c r="R15" s="1"/>
      <c r="S15" s="70"/>
      <c r="T15" s="70"/>
      <c r="U15" s="70"/>
      <c r="V15" s="6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.4" thickBot="1" x14ac:dyDescent="0.5">
      <c r="A16" s="7"/>
      <c r="B16" s="11"/>
      <c r="C16" s="7"/>
      <c r="D16" s="7"/>
      <c r="E16" s="7"/>
      <c r="F16" s="7"/>
      <c r="G16" s="7"/>
      <c r="H16" s="14"/>
      <c r="I16" s="7"/>
      <c r="J16" s="11"/>
      <c r="K16" s="31" t="s">
        <v>30</v>
      </c>
      <c r="L16" s="58">
        <v>2.5484800000000001E-3</v>
      </c>
      <c r="M16" s="58">
        <v>2.2915000000000001E-4</v>
      </c>
      <c r="N16" s="58">
        <v>9.6669999999999994E-5</v>
      </c>
      <c r="O16" s="100"/>
      <c r="P16" s="9"/>
      <c r="Q16" s="12"/>
      <c r="R16" s="3"/>
      <c r="S16" s="71"/>
      <c r="T16" s="71"/>
      <c r="U16" s="71"/>
      <c r="V16" s="15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45">
      <c r="A17" s="7"/>
      <c r="B17" s="11"/>
      <c r="C17" s="7"/>
      <c r="D17" s="7"/>
      <c r="E17" s="7"/>
      <c r="F17" s="7"/>
      <c r="G17" s="7"/>
      <c r="H17" s="14"/>
      <c r="I17" s="7"/>
      <c r="J17" s="101" t="s">
        <v>30</v>
      </c>
      <c r="K17" s="31" t="s">
        <v>80</v>
      </c>
      <c r="L17" s="81">
        <v>2.5693999999999999E-3</v>
      </c>
      <c r="M17" s="81">
        <v>2.32E-4</v>
      </c>
      <c r="N17" s="81">
        <v>9.8599999999999998E-5</v>
      </c>
      <c r="O17" s="100"/>
      <c r="P17" s="9"/>
      <c r="Q17" s="65"/>
      <c r="R17" s="1"/>
      <c r="S17" s="70"/>
      <c r="T17" s="70"/>
      <c r="U17" s="70"/>
      <c r="V17" s="6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45">
      <c r="A18" s="7"/>
      <c r="B18" s="11"/>
      <c r="C18" s="7"/>
      <c r="D18" s="7"/>
      <c r="E18" s="7"/>
      <c r="F18" s="7"/>
      <c r="G18" s="7"/>
      <c r="H18" s="14"/>
      <c r="I18" s="7"/>
      <c r="J18" s="11"/>
      <c r="K18" s="31" t="s">
        <v>31</v>
      </c>
      <c r="L18" s="58">
        <v>2.2457100000000002E-3</v>
      </c>
      <c r="M18" s="58">
        <v>3.0027E-4</v>
      </c>
      <c r="N18" s="58">
        <v>6.6229999999999994E-5</v>
      </c>
      <c r="O18" s="100"/>
      <c r="P18" s="9"/>
      <c r="Q18" s="11"/>
      <c r="R18" s="13"/>
      <c r="S18" s="64"/>
      <c r="T18" s="64"/>
      <c r="U18" s="64"/>
      <c r="V18" s="14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.4" thickBot="1" x14ac:dyDescent="0.5">
      <c r="A19" s="7"/>
      <c r="B19" s="11"/>
      <c r="C19" s="7"/>
      <c r="D19" s="7"/>
      <c r="E19" s="7"/>
      <c r="F19" s="7"/>
      <c r="G19" s="7"/>
      <c r="H19" s="14"/>
      <c r="I19" s="7"/>
      <c r="J19" s="11"/>
      <c r="K19" s="31" t="s">
        <v>32</v>
      </c>
      <c r="L19" s="58">
        <v>3.2730300000000001E-3</v>
      </c>
      <c r="M19" s="58">
        <v>3.9889999999999999E-4</v>
      </c>
      <c r="N19" s="58">
        <v>1.0728E-4</v>
      </c>
      <c r="O19" s="100"/>
      <c r="P19" s="9"/>
      <c r="Q19" s="12"/>
      <c r="R19" s="3"/>
      <c r="S19" s="71"/>
      <c r="T19" s="71"/>
      <c r="U19" s="71"/>
      <c r="V19" s="15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.4" thickBot="1" x14ac:dyDescent="0.5">
      <c r="A20" s="7"/>
      <c r="B20" s="11"/>
      <c r="C20" s="7"/>
      <c r="D20" s="7"/>
      <c r="E20" s="7"/>
      <c r="F20" s="7"/>
      <c r="G20" s="7"/>
      <c r="H20" s="14"/>
      <c r="I20" s="7"/>
      <c r="J20" s="12"/>
      <c r="K20" s="3"/>
      <c r="L20" s="3"/>
      <c r="M20" s="3"/>
      <c r="N20" s="3"/>
      <c r="O20" s="15"/>
      <c r="P20" s="7"/>
      <c r="Q20" s="65"/>
      <c r="R20" s="1"/>
      <c r="S20" s="1"/>
      <c r="T20" s="1"/>
      <c r="U20" s="1"/>
      <c r="V20" s="6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45">
      <c r="A21" s="7"/>
      <c r="B21" s="11"/>
      <c r="C21" s="7"/>
      <c r="D21" s="7"/>
      <c r="E21" s="7"/>
      <c r="F21" s="7"/>
      <c r="G21" s="7"/>
      <c r="H21" s="14"/>
      <c r="I21" s="7"/>
      <c r="J21" s="7"/>
      <c r="K21" s="7"/>
      <c r="L21" s="7"/>
      <c r="M21" s="7"/>
      <c r="N21" s="7"/>
      <c r="O21" s="7"/>
      <c r="P21" s="7"/>
      <c r="Q21" s="11"/>
      <c r="R21" s="7"/>
      <c r="S21" s="7"/>
      <c r="T21" s="7"/>
      <c r="U21" s="7"/>
      <c r="V21" s="14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.4" thickBot="1" x14ac:dyDescent="0.5">
      <c r="A22" s="7"/>
      <c r="B22" s="11"/>
      <c r="C22" s="7"/>
      <c r="D22" s="7"/>
      <c r="E22" s="7"/>
      <c r="F22" s="7"/>
      <c r="G22" s="7"/>
      <c r="H22" s="14"/>
      <c r="I22" s="7"/>
      <c r="J22" s="7"/>
      <c r="K22" s="7"/>
      <c r="M22" s="7"/>
      <c r="N22" s="7"/>
      <c r="O22" s="7"/>
      <c r="P22" s="7"/>
      <c r="Q22" s="12"/>
      <c r="R22" s="23"/>
      <c r="S22" s="23"/>
      <c r="T22" s="23"/>
      <c r="U22" s="23"/>
      <c r="V22" s="15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45">
      <c r="A23" s="7"/>
      <c r="B23" s="11"/>
      <c r="C23" s="7"/>
      <c r="D23" s="7"/>
      <c r="E23" s="7"/>
      <c r="F23" s="7"/>
      <c r="G23" s="7"/>
      <c r="H23" s="14"/>
      <c r="I23" s="7"/>
      <c r="J23" s="7"/>
      <c r="K23" s="7"/>
      <c r="L23" s="7"/>
      <c r="N23" s="7"/>
      <c r="O23" s="85"/>
      <c r="P23" s="7"/>
      <c r="Q23" s="65"/>
      <c r="R23" s="66"/>
      <c r="S23" s="66"/>
      <c r="T23" s="66"/>
      <c r="U23" s="66"/>
      <c r="V23" s="6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.4" thickBot="1" x14ac:dyDescent="0.5">
      <c r="A24" s="7"/>
      <c r="B24" s="12"/>
      <c r="C24" s="23"/>
      <c r="D24" s="23"/>
      <c r="E24" s="23"/>
      <c r="F24" s="23"/>
      <c r="G24" s="23"/>
      <c r="H24" s="15"/>
      <c r="I24" s="7"/>
      <c r="J24" s="7"/>
      <c r="K24" s="7"/>
      <c r="L24" s="7"/>
      <c r="M24" s="7"/>
      <c r="N24" s="7"/>
      <c r="O24" s="86"/>
      <c r="P24" s="7"/>
      <c r="Q24" s="11"/>
      <c r="R24" s="7"/>
      <c r="S24" s="7"/>
      <c r="T24" s="7"/>
      <c r="U24" s="7"/>
      <c r="V24" s="14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.4" thickBot="1" x14ac:dyDescent="0.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99"/>
      <c r="M25" s="7"/>
      <c r="N25" s="7"/>
      <c r="O25" s="87"/>
      <c r="P25" s="7"/>
      <c r="Q25" s="12"/>
      <c r="R25" s="23"/>
      <c r="S25" s="23"/>
      <c r="T25" s="23"/>
      <c r="U25" s="23"/>
      <c r="V25" s="15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4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N26" s="7"/>
      <c r="O26" s="7"/>
      <c r="P26" s="7"/>
      <c r="Q26" s="65"/>
      <c r="R26" s="66"/>
      <c r="S26" s="66"/>
      <c r="T26" s="66"/>
      <c r="U26" s="66"/>
      <c r="V26" s="6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5.4" thickBot="1" x14ac:dyDescent="0.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12"/>
      <c r="R27" s="23"/>
      <c r="S27" s="23"/>
      <c r="T27" s="23"/>
      <c r="U27" s="23"/>
      <c r="V27" s="15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65"/>
      <c r="R28" s="68"/>
      <c r="S28" s="66"/>
      <c r="T28" s="66"/>
      <c r="U28" s="66"/>
      <c r="V28" s="6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11"/>
      <c r="R29" s="7"/>
      <c r="T29" s="7"/>
      <c r="U29" s="7"/>
      <c r="V29" s="14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11"/>
      <c r="R30" s="7"/>
      <c r="S30" s="7"/>
      <c r="T30" s="7"/>
      <c r="U30" s="7"/>
      <c r="V30" s="14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4" thickBot="1" x14ac:dyDescent="0.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12"/>
      <c r="R31" s="23"/>
      <c r="S31" s="23"/>
      <c r="T31" s="23"/>
      <c r="U31" s="23"/>
      <c r="V31" s="15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65"/>
      <c r="R32" s="66"/>
      <c r="S32" s="68"/>
      <c r="T32" s="66"/>
      <c r="U32" s="66"/>
      <c r="V32" s="6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Q33" s="11"/>
      <c r="S33" s="7"/>
      <c r="T33" s="7"/>
      <c r="U33" s="7"/>
      <c r="V33" s="14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P34" s="7"/>
      <c r="Q34" s="11"/>
      <c r="R34" s="7"/>
      <c r="S34" s="7"/>
      <c r="U34" s="7"/>
      <c r="V34" s="14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4" thickBot="1" x14ac:dyDescent="0.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12"/>
      <c r="R35" s="23"/>
      <c r="S35" s="69"/>
      <c r="T35" s="23"/>
      <c r="U35" s="23"/>
      <c r="V35" s="15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P36" s="7"/>
      <c r="Q36" s="65"/>
      <c r="R36" s="66"/>
      <c r="S36" s="66"/>
      <c r="T36" s="66"/>
      <c r="U36" s="66"/>
      <c r="V36" s="6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11"/>
      <c r="S37" s="7"/>
      <c r="T37" s="7"/>
      <c r="U37" s="7"/>
      <c r="V37" s="14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11"/>
      <c r="R38" s="7"/>
      <c r="S38" s="7"/>
      <c r="T38" s="7"/>
      <c r="U38" s="7"/>
      <c r="V38" s="14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4" thickBot="1" x14ac:dyDescent="0.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12"/>
      <c r="R39" s="23"/>
      <c r="S39" s="23"/>
      <c r="T39" s="23"/>
      <c r="U39" s="23"/>
      <c r="V39" s="15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65"/>
      <c r="R40" s="66"/>
      <c r="S40" s="66"/>
      <c r="T40" s="66"/>
      <c r="U40" s="66"/>
      <c r="V40" s="6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11"/>
      <c r="R41" s="7"/>
      <c r="S41" s="7"/>
      <c r="T41" s="7"/>
      <c r="U41" s="7"/>
      <c r="V41" s="14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4" thickBot="1" x14ac:dyDescent="0.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12"/>
      <c r="R42" s="23"/>
      <c r="S42" s="23"/>
      <c r="T42" s="23"/>
      <c r="U42" s="23"/>
      <c r="V42" s="15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65"/>
      <c r="R43" s="66"/>
      <c r="S43" s="66"/>
      <c r="T43" s="66"/>
      <c r="U43" s="66"/>
      <c r="V43" s="6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11"/>
      <c r="R44" s="7"/>
      <c r="S44" s="7"/>
      <c r="T44" s="7"/>
      <c r="U44" s="7"/>
      <c r="V44" s="14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11"/>
      <c r="R45" s="7"/>
      <c r="S45" s="7"/>
      <c r="T45" s="7"/>
      <c r="U45" s="7"/>
      <c r="V45" s="14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4" thickBot="1" x14ac:dyDescent="0.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12"/>
      <c r="R46" s="23"/>
      <c r="S46" s="23"/>
      <c r="T46" s="23"/>
      <c r="U46" s="23"/>
      <c r="V46" s="15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4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4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4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4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4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4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4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4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4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4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4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4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4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4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4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4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4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4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4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4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4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4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4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4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4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4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4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4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4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4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4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4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4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4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4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4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4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4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4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4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4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4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4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4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4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4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4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4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4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4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4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4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4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45">
      <c r="A288" s="7"/>
      <c r="B288" s="7"/>
      <c r="C288" s="7"/>
      <c r="D288" s="7"/>
      <c r="E288" s="7"/>
      <c r="F288" s="7"/>
      <c r="G288" s="7"/>
      <c r="H288" s="7"/>
      <c r="I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45">
      <c r="A289" s="7"/>
      <c r="B289" s="7"/>
      <c r="C289" s="7"/>
      <c r="D289" s="7"/>
      <c r="E289" s="7"/>
      <c r="F289" s="7"/>
      <c r="G289" s="7"/>
      <c r="H289" s="7"/>
      <c r="I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45">
      <c r="A290" s="7"/>
      <c r="B290" s="7"/>
      <c r="C290" s="7"/>
      <c r="D290" s="7"/>
      <c r="E290" s="7"/>
      <c r="F290" s="7"/>
      <c r="G290" s="7"/>
      <c r="H290" s="7"/>
      <c r="I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45">
      <c r="A291" s="7"/>
      <c r="B291" s="7"/>
      <c r="C291" s="7"/>
      <c r="D291" s="7"/>
      <c r="E291" s="7"/>
      <c r="F291" s="7"/>
      <c r="G291" s="7"/>
      <c r="H291" s="7"/>
      <c r="I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45">
      <c r="A292" s="7"/>
      <c r="B292" s="7"/>
      <c r="C292" s="7"/>
      <c r="D292" s="7"/>
      <c r="E292" s="7"/>
      <c r="F292" s="7"/>
      <c r="G292" s="7"/>
      <c r="H292" s="7"/>
      <c r="I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45">
      <c r="A293" s="7"/>
      <c r="B293" s="7"/>
      <c r="C293" s="7"/>
      <c r="D293" s="7"/>
      <c r="E293" s="7"/>
      <c r="F293" s="7"/>
      <c r="G293" s="7"/>
      <c r="H293" s="7"/>
      <c r="I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45">
      <c r="A294" s="7"/>
      <c r="B294" s="7"/>
      <c r="C294" s="7"/>
      <c r="D294" s="7"/>
      <c r="E294" s="7"/>
      <c r="F294" s="7"/>
      <c r="G294" s="7"/>
      <c r="H294" s="7"/>
      <c r="I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45">
      <c r="A295" s="7"/>
      <c r="B295" s="7"/>
      <c r="C295" s="7"/>
      <c r="D295" s="7"/>
      <c r="E295" s="7"/>
      <c r="F295" s="7"/>
      <c r="G295" s="7"/>
      <c r="H295" s="7"/>
      <c r="I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45">
      <c r="A296" s="7"/>
      <c r="B296" s="7"/>
      <c r="C296" s="7"/>
      <c r="D296" s="7"/>
      <c r="E296" s="7"/>
      <c r="F296" s="7"/>
      <c r="G296" s="7"/>
      <c r="H296" s="7"/>
      <c r="I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45">
      <c r="A297" s="7"/>
      <c r="B297" s="7"/>
      <c r="C297" s="7"/>
      <c r="D297" s="7"/>
      <c r="E297" s="7"/>
      <c r="F297" s="7"/>
      <c r="G297" s="7"/>
      <c r="H297" s="7"/>
      <c r="I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</sheetData>
  <mergeCells count="3">
    <mergeCell ref="J2:O4"/>
    <mergeCell ref="B2:H2"/>
    <mergeCell ref="Q2:V4"/>
  </mergeCells>
  <phoneticPr fontId="17" type="noConversion"/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1027" r:id="rId4">
          <objectPr defaultSize="0" autoPict="0" r:id="rId5">
            <anchor moveWithCells="1" sizeWithCells="1">
              <from>
                <xdr:col>18</xdr:col>
                <xdr:colOff>190500</xdr:colOff>
                <xdr:row>4</xdr:row>
                <xdr:rowOff>133350</xdr:rowOff>
              </from>
              <to>
                <xdr:col>21</xdr:col>
                <xdr:colOff>104775</xdr:colOff>
                <xdr:row>5</xdr:row>
                <xdr:rowOff>304800</xdr:rowOff>
              </to>
            </anchor>
          </objectPr>
        </oleObject>
      </mc:Choice>
      <mc:Fallback>
        <oleObject progId="Equation.3" shapeId="1027" r:id="rId4"/>
      </mc:Fallback>
    </mc:AlternateContent>
    <mc:AlternateContent xmlns:mc="http://schemas.openxmlformats.org/markup-compatibility/2006">
      <mc:Choice Requires="x14">
        <oleObject progId="Equation.3" shapeId="1028" r:id="rId6">
          <objectPr defaultSize="0" autoPict="0" r:id="rId7">
            <anchor moveWithCells="1" sizeWithCells="1">
              <from>
                <xdr:col>16</xdr:col>
                <xdr:colOff>552450</xdr:colOff>
                <xdr:row>6</xdr:row>
                <xdr:rowOff>9525</xdr:rowOff>
              </from>
              <to>
                <xdr:col>21</xdr:col>
                <xdr:colOff>1304925</xdr:colOff>
                <xdr:row>7</xdr:row>
                <xdr:rowOff>180975</xdr:rowOff>
              </to>
            </anchor>
          </objectPr>
        </oleObject>
      </mc:Choice>
      <mc:Fallback>
        <oleObject progId="Equation.3" shapeId="1028" r:id="rId6"/>
      </mc:Fallback>
    </mc:AlternateContent>
    <mc:AlternateContent xmlns:mc="http://schemas.openxmlformats.org/markup-compatibility/2006">
      <mc:Choice Requires="x14">
        <oleObject progId="Equation.3" shapeId="1029" r:id="rId8">
          <objectPr defaultSize="0" autoPict="0" r:id="rId9">
            <anchor moveWithCells="1" sizeWithCells="1">
              <from>
                <xdr:col>17</xdr:col>
                <xdr:colOff>409575</xdr:colOff>
                <xdr:row>8</xdr:row>
                <xdr:rowOff>38100</xdr:rowOff>
              </from>
              <to>
                <xdr:col>21</xdr:col>
                <xdr:colOff>762000</xdr:colOff>
                <xdr:row>10</xdr:row>
                <xdr:rowOff>9525</xdr:rowOff>
              </to>
            </anchor>
          </objectPr>
        </oleObject>
      </mc:Choice>
      <mc:Fallback>
        <oleObject progId="Equation.3" shapeId="1029" r:id="rId8"/>
      </mc:Fallback>
    </mc:AlternateContent>
    <mc:AlternateContent xmlns:mc="http://schemas.openxmlformats.org/markup-compatibility/2006">
      <mc:Choice Requires="x14">
        <oleObject progId="Equation.3" shapeId="1030" r:id="rId10">
          <objectPr defaultSize="0" autoPict="0" r:id="rId11">
            <anchor moveWithCells="1" sizeWithCells="1">
              <from>
                <xdr:col>16</xdr:col>
                <xdr:colOff>0</xdr:colOff>
                <xdr:row>10</xdr:row>
                <xdr:rowOff>123825</xdr:rowOff>
              </from>
              <to>
                <xdr:col>21</xdr:col>
                <xdr:colOff>1933575</xdr:colOff>
                <xdr:row>12</xdr:row>
                <xdr:rowOff>66675</xdr:rowOff>
              </to>
            </anchor>
          </objectPr>
        </oleObject>
      </mc:Choice>
      <mc:Fallback>
        <oleObject progId="Equation.3" shapeId="1030" r:id="rId10"/>
      </mc:Fallback>
    </mc:AlternateContent>
    <mc:AlternateContent xmlns:mc="http://schemas.openxmlformats.org/markup-compatibility/2006">
      <mc:Choice Requires="x14">
        <oleObject progId="Equation.3" shapeId="1031" r:id="rId12">
          <objectPr defaultSize="0" autoPict="0" r:id="rId13">
            <anchor moveWithCells="1" sizeWithCells="1">
              <from>
                <xdr:col>16</xdr:col>
                <xdr:colOff>333375</xdr:colOff>
                <xdr:row>13</xdr:row>
                <xdr:rowOff>57150</xdr:rowOff>
              </from>
              <to>
                <xdr:col>21</xdr:col>
                <xdr:colOff>1695450</xdr:colOff>
                <xdr:row>13</xdr:row>
                <xdr:rowOff>381000</xdr:rowOff>
              </to>
            </anchor>
          </objectPr>
        </oleObject>
      </mc:Choice>
      <mc:Fallback>
        <oleObject progId="Equation.3" shapeId="1031" r:id="rId12"/>
      </mc:Fallback>
    </mc:AlternateContent>
    <mc:AlternateContent xmlns:mc="http://schemas.openxmlformats.org/markup-compatibility/2006">
      <mc:Choice Requires="x14">
        <oleObject progId="Equation.3" shapeId="1032" r:id="rId14">
          <objectPr defaultSize="0" autoPict="0" r:id="rId15">
            <anchor moveWithCells="1" sizeWithCells="1">
              <from>
                <xdr:col>16</xdr:col>
                <xdr:colOff>447675</xdr:colOff>
                <xdr:row>14</xdr:row>
                <xdr:rowOff>57150</xdr:rowOff>
              </from>
              <to>
                <xdr:col>21</xdr:col>
                <xdr:colOff>1543050</xdr:colOff>
                <xdr:row>15</xdr:row>
                <xdr:rowOff>152400</xdr:rowOff>
              </to>
            </anchor>
          </objectPr>
        </oleObject>
      </mc:Choice>
      <mc:Fallback>
        <oleObject progId="Equation.3" shapeId="1032" r:id="rId14"/>
      </mc:Fallback>
    </mc:AlternateContent>
    <mc:AlternateContent xmlns:mc="http://schemas.openxmlformats.org/markup-compatibility/2006">
      <mc:Choice Requires="x14">
        <oleObject progId="Equation.3" shapeId="1033" r:id="rId16">
          <objectPr defaultSize="0" autoPict="0" r:id="rId17">
            <anchor moveWithCells="1" sizeWithCells="1">
              <from>
                <xdr:col>16</xdr:col>
                <xdr:colOff>542925</xdr:colOff>
                <xdr:row>16</xdr:row>
                <xdr:rowOff>161925</xdr:rowOff>
              </from>
              <to>
                <xdr:col>21</xdr:col>
                <xdr:colOff>1476375</xdr:colOff>
                <xdr:row>18</xdr:row>
                <xdr:rowOff>104775</xdr:rowOff>
              </to>
            </anchor>
          </objectPr>
        </oleObject>
      </mc:Choice>
      <mc:Fallback>
        <oleObject progId="Equation.3" shapeId="1033" r:id="rId16"/>
      </mc:Fallback>
    </mc:AlternateContent>
    <mc:AlternateContent xmlns:mc="http://schemas.openxmlformats.org/markup-compatibility/2006">
      <mc:Choice Requires="x14">
        <oleObject progId="Equation.3" shapeId="1034" r:id="rId18">
          <objectPr defaultSize="0" autoPict="0" r:id="rId19">
            <anchor moveWithCells="1" sizeWithCells="1">
              <from>
                <xdr:col>17</xdr:col>
                <xdr:colOff>695325</xdr:colOff>
                <xdr:row>19</xdr:row>
                <xdr:rowOff>9525</xdr:rowOff>
              </from>
              <to>
                <xdr:col>21</xdr:col>
                <xdr:colOff>485775</xdr:colOff>
                <xdr:row>21</xdr:row>
                <xdr:rowOff>180975</xdr:rowOff>
              </to>
            </anchor>
          </objectPr>
        </oleObject>
      </mc:Choice>
      <mc:Fallback>
        <oleObject progId="Equation.3" shapeId="1034" r:id="rId18"/>
      </mc:Fallback>
    </mc:AlternateContent>
    <mc:AlternateContent xmlns:mc="http://schemas.openxmlformats.org/markup-compatibility/2006">
      <mc:Choice Requires="x14">
        <oleObject progId="Equation.3" shapeId="1035" r:id="rId20">
          <objectPr defaultSize="0" autoPict="0" r:id="rId21">
            <anchor moveWithCells="1" sizeWithCells="1">
              <from>
                <xdr:col>17</xdr:col>
                <xdr:colOff>752475</xdr:colOff>
                <xdr:row>22</xdr:row>
                <xdr:rowOff>9525</xdr:rowOff>
              </from>
              <to>
                <xdr:col>21</xdr:col>
                <xdr:colOff>542925</xdr:colOff>
                <xdr:row>24</xdr:row>
                <xdr:rowOff>190500</xdr:rowOff>
              </to>
            </anchor>
          </objectPr>
        </oleObject>
      </mc:Choice>
      <mc:Fallback>
        <oleObject progId="Equation.3" shapeId="1035" r:id="rId20"/>
      </mc:Fallback>
    </mc:AlternateContent>
    <mc:AlternateContent xmlns:mc="http://schemas.openxmlformats.org/markup-compatibility/2006">
      <mc:Choice Requires="x14">
        <oleObject progId="Equation.3" shapeId="1037" r:id="rId22">
          <objectPr defaultSize="0" autoPict="0" r:id="rId23">
            <anchor moveWithCells="1" sizeWithCells="1">
              <from>
                <xdr:col>18</xdr:col>
                <xdr:colOff>400050</xdr:colOff>
                <xdr:row>25</xdr:row>
                <xdr:rowOff>47625</xdr:rowOff>
              </from>
              <to>
                <xdr:col>20</xdr:col>
                <xdr:colOff>742950</xdr:colOff>
                <xdr:row>26</xdr:row>
                <xdr:rowOff>152400</xdr:rowOff>
              </to>
            </anchor>
          </objectPr>
        </oleObject>
      </mc:Choice>
      <mc:Fallback>
        <oleObject progId="Equation.3" shapeId="1037" r:id="rId22"/>
      </mc:Fallback>
    </mc:AlternateContent>
    <mc:AlternateContent xmlns:mc="http://schemas.openxmlformats.org/markup-compatibility/2006">
      <mc:Choice Requires="x14">
        <oleObject progId="Equation.3" shapeId="1038" r:id="rId24">
          <objectPr defaultSize="0" autoPict="0" r:id="rId25">
            <anchor moveWithCells="1" sizeWithCells="1">
              <from>
                <xdr:col>15</xdr:col>
                <xdr:colOff>323850</xdr:colOff>
                <xdr:row>27</xdr:row>
                <xdr:rowOff>114300</xdr:rowOff>
              </from>
              <to>
                <xdr:col>21</xdr:col>
                <xdr:colOff>1962150</xdr:colOff>
                <xdr:row>30</xdr:row>
                <xdr:rowOff>123825</xdr:rowOff>
              </to>
            </anchor>
          </objectPr>
        </oleObject>
      </mc:Choice>
      <mc:Fallback>
        <oleObject progId="Equation.3" shapeId="1038" r:id="rId24"/>
      </mc:Fallback>
    </mc:AlternateContent>
    <mc:AlternateContent xmlns:mc="http://schemas.openxmlformats.org/markup-compatibility/2006">
      <mc:Choice Requires="x14">
        <oleObject progId="Equation.3" shapeId="1039" r:id="rId26">
          <objectPr defaultSize="0" autoPict="0" r:id="rId27">
            <anchor moveWithCells="1" sizeWithCells="1">
              <from>
                <xdr:col>16</xdr:col>
                <xdr:colOff>180975</xdr:colOff>
                <xdr:row>31</xdr:row>
                <xdr:rowOff>123825</xdr:rowOff>
              </from>
              <to>
                <xdr:col>21</xdr:col>
                <xdr:colOff>1762125</xdr:colOff>
                <xdr:row>34</xdr:row>
                <xdr:rowOff>171450</xdr:rowOff>
              </to>
            </anchor>
          </objectPr>
        </oleObject>
      </mc:Choice>
      <mc:Fallback>
        <oleObject progId="Equation.3" shapeId="1039" r:id="rId26"/>
      </mc:Fallback>
    </mc:AlternateContent>
    <mc:AlternateContent xmlns:mc="http://schemas.openxmlformats.org/markup-compatibility/2006">
      <mc:Choice Requires="x14">
        <oleObject progId="Equation.3" shapeId="1040" r:id="rId28">
          <objectPr defaultSize="0" autoPict="0" r:id="rId29">
            <anchor moveWithCells="1" sizeWithCells="1">
              <from>
                <xdr:col>17</xdr:col>
                <xdr:colOff>666750</xdr:colOff>
                <xdr:row>35</xdr:row>
                <xdr:rowOff>76200</xdr:rowOff>
              </from>
              <to>
                <xdr:col>21</xdr:col>
                <xdr:colOff>685800</xdr:colOff>
                <xdr:row>38</xdr:row>
                <xdr:rowOff>133350</xdr:rowOff>
              </to>
            </anchor>
          </objectPr>
        </oleObject>
      </mc:Choice>
      <mc:Fallback>
        <oleObject progId="Equation.3" shapeId="1040" r:id="rId28"/>
      </mc:Fallback>
    </mc:AlternateContent>
    <mc:AlternateContent xmlns:mc="http://schemas.openxmlformats.org/markup-compatibility/2006">
      <mc:Choice Requires="x14">
        <oleObject progId="Equation.3" shapeId="1042" r:id="rId30">
          <objectPr defaultSize="0" autoPict="0" r:id="rId31">
            <anchor moveWithCells="1" sizeWithCells="1">
              <from>
                <xdr:col>17</xdr:col>
                <xdr:colOff>676275</xdr:colOff>
                <xdr:row>42</xdr:row>
                <xdr:rowOff>76200</xdr:rowOff>
              </from>
              <to>
                <xdr:col>21</xdr:col>
                <xdr:colOff>704850</xdr:colOff>
                <xdr:row>45</xdr:row>
                <xdr:rowOff>133350</xdr:rowOff>
              </to>
            </anchor>
          </objectPr>
        </oleObject>
      </mc:Choice>
      <mc:Fallback>
        <oleObject progId="Equation.3" shapeId="1042" r:id="rId30"/>
      </mc:Fallback>
    </mc:AlternateContent>
    <mc:AlternateContent xmlns:mc="http://schemas.openxmlformats.org/markup-compatibility/2006">
      <mc:Choice Requires="x14">
        <oleObject progId="Equation.3" shapeId="1043" r:id="rId32">
          <objectPr defaultSize="0" autoPict="0" r:id="rId33">
            <anchor moveWithCells="1" sizeWithCells="1">
              <from>
                <xdr:col>18</xdr:col>
                <xdr:colOff>457200</xdr:colOff>
                <xdr:row>39</xdr:row>
                <xdr:rowOff>133350</xdr:rowOff>
              </from>
              <to>
                <xdr:col>21</xdr:col>
                <xdr:colOff>209550</xdr:colOff>
                <xdr:row>41</xdr:row>
                <xdr:rowOff>57150</xdr:rowOff>
              </to>
            </anchor>
          </objectPr>
        </oleObject>
      </mc:Choice>
      <mc:Fallback>
        <oleObject progId="Equation.3" shapeId="1043" r:id="rId32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33"/>
  <sheetViews>
    <sheetView tabSelected="1" topLeftCell="D16" zoomScale="80" zoomScaleNormal="85" workbookViewId="0">
      <selection activeCell="R27" sqref="R27:V134"/>
    </sheetView>
  </sheetViews>
  <sheetFormatPr defaultColWidth="11.42578125" defaultRowHeight="15" x14ac:dyDescent="0.45"/>
  <cols>
    <col min="1" max="1" width="8.140625" customWidth="1"/>
    <col min="2" max="2" width="29.28515625" customWidth="1"/>
    <col min="3" max="3" width="23.140625" bestFit="1" customWidth="1"/>
    <col min="4" max="4" width="21.7109375" customWidth="1"/>
    <col min="5" max="5" width="18.5703125" customWidth="1"/>
    <col min="6" max="6" width="21.5703125" customWidth="1"/>
    <col min="7" max="7" width="5.5703125" customWidth="1"/>
    <col min="8" max="8" width="4.85546875" customWidth="1"/>
    <col min="9" max="9" width="19" customWidth="1"/>
    <col min="10" max="10" width="17.28515625" customWidth="1"/>
    <col min="11" max="11" width="9.5703125" customWidth="1"/>
    <col min="12" max="13" width="9.28515625" customWidth="1"/>
    <col min="14" max="14" width="9.42578125" customWidth="1"/>
    <col min="15" max="15" width="14.42578125" customWidth="1"/>
    <col min="16" max="16" width="11.42578125" customWidth="1"/>
    <col min="17" max="17" width="14.85546875" customWidth="1"/>
    <col min="19" max="19" width="18.42578125" bestFit="1" customWidth="1"/>
  </cols>
  <sheetData>
    <row r="1" spans="1:32" ht="15.4" thickBot="1" x14ac:dyDescent="0.5">
      <c r="A1" s="7"/>
      <c r="B1" s="7"/>
      <c r="C1" s="7"/>
      <c r="D1" s="7"/>
      <c r="E1" s="7"/>
      <c r="F1" s="7"/>
      <c r="G1" s="140"/>
      <c r="H1" s="140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spans="1:32" ht="15" customHeight="1" x14ac:dyDescent="0.45">
      <c r="A2" s="7"/>
      <c r="B2" s="7"/>
      <c r="C2" s="7"/>
      <c r="D2" s="7"/>
      <c r="E2" s="7"/>
      <c r="F2" s="7"/>
      <c r="G2" s="140"/>
      <c r="H2" s="140"/>
      <c r="I2" s="153" t="s">
        <v>19</v>
      </c>
      <c r="J2" s="154"/>
      <c r="K2" s="154"/>
      <c r="L2" s="154"/>
      <c r="M2" s="154"/>
      <c r="N2" s="154"/>
      <c r="O2" s="154"/>
      <c r="P2" s="154"/>
      <c r="Q2" s="155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ht="15" customHeight="1" x14ac:dyDescent="0.45">
      <c r="A3" s="7"/>
      <c r="B3" s="7"/>
      <c r="C3" s="7"/>
      <c r="D3" s="7"/>
      <c r="E3" s="7"/>
      <c r="F3" s="7"/>
      <c r="G3" s="140"/>
      <c r="H3" s="140"/>
      <c r="I3" s="156"/>
      <c r="J3" s="157"/>
      <c r="K3" s="157"/>
      <c r="L3" s="157"/>
      <c r="M3" s="157"/>
      <c r="N3" s="157"/>
      <c r="O3" s="157"/>
      <c r="P3" s="157"/>
      <c r="Q3" s="158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ht="15" customHeight="1" thickBot="1" x14ac:dyDescent="0.5">
      <c r="A4" s="7"/>
      <c r="B4" s="7"/>
      <c r="C4" s="7"/>
      <c r="D4" s="7"/>
      <c r="E4" s="7"/>
      <c r="F4" s="7"/>
      <c r="G4" s="140"/>
      <c r="H4" s="140"/>
      <c r="I4" s="159"/>
      <c r="J4" s="160"/>
      <c r="K4" s="160"/>
      <c r="L4" s="160"/>
      <c r="M4" s="160"/>
      <c r="N4" s="160"/>
      <c r="O4" s="160"/>
      <c r="P4" s="160"/>
      <c r="Q4" s="161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ht="24.75" customHeight="1" x14ac:dyDescent="0.45">
      <c r="A5" s="7"/>
      <c r="B5" s="7"/>
      <c r="C5" s="7"/>
      <c r="D5" s="7"/>
      <c r="E5" s="7"/>
      <c r="F5" s="7"/>
      <c r="G5" s="140"/>
      <c r="H5" s="140"/>
      <c r="I5" s="162" t="s">
        <v>38</v>
      </c>
      <c r="J5" s="163"/>
      <c r="K5" s="163"/>
      <c r="L5" s="163"/>
      <c r="M5" s="163"/>
      <c r="N5" s="163"/>
      <c r="O5" s="163"/>
      <c r="P5" s="163"/>
      <c r="Q5" s="164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ht="15" customHeight="1" x14ac:dyDescent="0.45">
      <c r="A6" s="7"/>
      <c r="B6" s="7"/>
      <c r="C6" s="7"/>
      <c r="D6" s="7"/>
      <c r="E6" s="7"/>
      <c r="F6" s="7"/>
      <c r="G6" s="140"/>
      <c r="H6" s="140"/>
      <c r="I6" s="49" t="s">
        <v>49</v>
      </c>
      <c r="J6" s="49" t="s">
        <v>50</v>
      </c>
      <c r="K6" s="49" t="s">
        <v>46</v>
      </c>
      <c r="L6" s="132" t="s">
        <v>39</v>
      </c>
      <c r="M6" s="133"/>
      <c r="N6" s="133"/>
      <c r="O6" s="133"/>
      <c r="P6" s="133"/>
      <c r="Q6" s="134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ht="15" customHeight="1" thickBot="1" x14ac:dyDescent="0.5">
      <c r="A7" s="7"/>
      <c r="B7" s="7"/>
      <c r="C7" s="7"/>
      <c r="D7" s="7"/>
      <c r="E7" s="7"/>
      <c r="F7" s="7"/>
      <c r="G7" s="140"/>
      <c r="H7" s="140"/>
      <c r="I7" s="50" t="s">
        <v>20</v>
      </c>
      <c r="J7" s="37">
        <f>SUM(J13,J19)</f>
        <v>150.05799999999999</v>
      </c>
      <c r="K7" s="38">
        <f>J7/J7</f>
        <v>1</v>
      </c>
      <c r="L7" s="115" t="s">
        <v>68</v>
      </c>
      <c r="M7" s="116"/>
      <c r="N7" s="116"/>
      <c r="O7" s="116"/>
      <c r="P7" s="116"/>
      <c r="Q7" s="11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ht="15" customHeight="1" x14ac:dyDescent="0.45">
      <c r="A8" s="7"/>
      <c r="B8" s="178" t="s">
        <v>3</v>
      </c>
      <c r="C8" s="179"/>
      <c r="D8" s="179"/>
      <c r="E8" s="179"/>
      <c r="F8" s="180"/>
      <c r="G8" s="140"/>
      <c r="H8" s="140"/>
      <c r="I8" s="51" t="s">
        <v>6</v>
      </c>
      <c r="J8" s="37">
        <f>SUM(J14,J20)</f>
        <v>149.27438800000002</v>
      </c>
      <c r="K8" s="39">
        <f>J8/J7</f>
        <v>0.9947779391968441</v>
      </c>
      <c r="L8" s="115" t="s">
        <v>69</v>
      </c>
      <c r="M8" s="116"/>
      <c r="N8" s="116"/>
      <c r="O8" s="116"/>
      <c r="P8" s="116"/>
      <c r="Q8" s="11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" customHeight="1" x14ac:dyDescent="0.45">
      <c r="A9" s="7"/>
      <c r="B9" s="181"/>
      <c r="C9" s="182"/>
      <c r="D9" s="182"/>
      <c r="E9" s="182"/>
      <c r="F9" s="183"/>
      <c r="G9" s="140"/>
      <c r="H9" s="140"/>
      <c r="I9" s="50" t="s">
        <v>8</v>
      </c>
      <c r="J9" s="40">
        <f t="shared" ref="J9:J10" si="0">SUM(J15,J21)</f>
        <v>0.72464000000000006</v>
      </c>
      <c r="K9" s="39">
        <f>J9/J7</f>
        <v>4.8290660944434825E-3</v>
      </c>
      <c r="L9" s="115" t="s">
        <v>69</v>
      </c>
      <c r="M9" s="116"/>
      <c r="N9" s="116"/>
      <c r="O9" s="116"/>
      <c r="P9" s="116"/>
      <c r="Q9" s="11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ht="15" customHeight="1" thickBot="1" x14ac:dyDescent="0.5">
      <c r="A10" s="7"/>
      <c r="B10" s="184"/>
      <c r="C10" s="185"/>
      <c r="D10" s="185"/>
      <c r="E10" s="185"/>
      <c r="F10" s="186"/>
      <c r="G10" s="140"/>
      <c r="H10" s="140"/>
      <c r="I10" s="51" t="s">
        <v>9</v>
      </c>
      <c r="J10" s="40">
        <f t="shared" si="0"/>
        <v>5.8971999999999997E-2</v>
      </c>
      <c r="K10" s="39">
        <f>J10/J7</f>
        <v>3.9299470871263109E-4</v>
      </c>
      <c r="L10" s="115" t="s">
        <v>69</v>
      </c>
      <c r="M10" s="116"/>
      <c r="N10" s="116"/>
      <c r="O10" s="116"/>
      <c r="P10" s="116"/>
      <c r="Q10" s="11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ht="15" customHeight="1" x14ac:dyDescent="0.45">
      <c r="A11" s="7"/>
      <c r="B11" s="143" t="s">
        <v>36</v>
      </c>
      <c r="C11" s="144"/>
      <c r="D11" s="144"/>
      <c r="E11" s="144"/>
      <c r="F11" s="145"/>
      <c r="G11" s="140"/>
      <c r="H11" s="140"/>
      <c r="I11" s="131"/>
      <c r="J11" s="131"/>
      <c r="K11" s="131"/>
      <c r="L11" s="131"/>
      <c r="M11" s="131"/>
      <c r="N11" s="131"/>
      <c r="O11" s="131"/>
      <c r="P11" s="131"/>
      <c r="Q11" s="131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ht="15" customHeight="1" x14ac:dyDescent="0.45">
      <c r="A12" s="7"/>
      <c r="B12" s="146"/>
      <c r="C12" s="147"/>
      <c r="D12" s="147"/>
      <c r="E12" s="147"/>
      <c r="F12" s="148"/>
      <c r="G12" s="140"/>
      <c r="H12" s="140"/>
      <c r="I12" s="49" t="s">
        <v>51</v>
      </c>
      <c r="J12" s="49" t="s">
        <v>50</v>
      </c>
      <c r="K12" s="49" t="s">
        <v>46</v>
      </c>
      <c r="L12" s="132" t="s">
        <v>39</v>
      </c>
      <c r="M12" s="133"/>
      <c r="N12" s="133"/>
      <c r="O12" s="133"/>
      <c r="P12" s="133"/>
      <c r="Q12" s="134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ht="15" customHeight="1" x14ac:dyDescent="0.45">
      <c r="A13" s="8"/>
      <c r="B13" s="135" t="s">
        <v>4</v>
      </c>
      <c r="C13" s="136"/>
      <c r="D13" s="168" t="s">
        <v>39</v>
      </c>
      <c r="E13" s="168"/>
      <c r="F13" s="168"/>
      <c r="G13" s="140"/>
      <c r="H13" s="140"/>
      <c r="I13" s="50" t="s">
        <v>5</v>
      </c>
      <c r="J13" s="41">
        <f>SUM(J14:J16)</f>
        <v>150</v>
      </c>
      <c r="K13" s="38">
        <f>J13/J13</f>
        <v>1</v>
      </c>
      <c r="L13" s="115" t="s">
        <v>71</v>
      </c>
      <c r="M13" s="116"/>
      <c r="N13" s="116"/>
      <c r="O13" s="116"/>
      <c r="P13" s="116"/>
      <c r="Q13" s="11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ht="15" customHeight="1" x14ac:dyDescent="0.45">
      <c r="A14" s="7"/>
      <c r="B14" s="4" t="s">
        <v>33</v>
      </c>
      <c r="C14" s="43">
        <v>150</v>
      </c>
      <c r="D14" s="169" t="s">
        <v>17</v>
      </c>
      <c r="E14" s="169"/>
      <c r="F14" s="169"/>
      <c r="G14" s="140"/>
      <c r="H14" s="140"/>
      <c r="I14" s="51" t="s">
        <v>43</v>
      </c>
      <c r="J14" s="41">
        <f>C14-SUM(J15:J16)</f>
        <v>149.22300000000001</v>
      </c>
      <c r="K14" s="39">
        <f>J14/J13</f>
        <v>0.99482000000000004</v>
      </c>
      <c r="L14" s="137" t="s">
        <v>70</v>
      </c>
      <c r="M14" s="138"/>
      <c r="N14" s="138"/>
      <c r="O14" s="138"/>
      <c r="P14" s="138"/>
      <c r="Q14" s="139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ht="15" customHeight="1" x14ac:dyDescent="0.45">
      <c r="A15" s="7"/>
      <c r="B15" s="5" t="s">
        <v>14</v>
      </c>
      <c r="C15" s="43" t="s">
        <v>13</v>
      </c>
      <c r="D15" s="170" t="s">
        <v>60</v>
      </c>
      <c r="E15" s="170"/>
      <c r="F15" s="170"/>
      <c r="G15" s="140"/>
      <c r="H15" s="140"/>
      <c r="I15" s="50" t="s">
        <v>44</v>
      </c>
      <c r="J15" s="42">
        <f>C14/1000*IF(AND(C15="OptiMEM",C17="FBS"),C16*'Model structure'!L7+'User input and model output'!C18*'Model structure'!L10,IF(AND(C15="OptiMEM",C17="d-FBS"),C16*'Model structure'!L7+'User input and model output'!C18*'Model structure'!L12,IF(AND(C15="OptiMEM",C17="cs-FBS"),C16*'Model structure'!L7+'User input and model output'!C18*'Model structure'!L11,IF(AND(C15="DMEM Glutamax",C17="FBS"),C16*'Model structure'!L8+'User input and model output'!C18*'Model structure'!L10,IF(AND(C15="DMEM Glutamax",C17="d-FBS"),C16*'Model structure'!L8+'User input and model output'!C18*'Model structure'!L12,IF(AND(C15="DMEM Glutamax",C17="cs-FBS"),C16*'Model structure'!L8+'User input and model output'!C18*'Model structure'!L11,IF(AND(C15="Phenol-Red free DMEM",C17="FBS"),C16*'Model structure'!L9+'User input and model output'!C18*'Model structure'!L10,IF(AND(C15="Phenol-Red free DMEM",C17="d-FBS"),C16*'Model structure'!L9+'User input and model output'!C18*'Model structure'!L12,IF(AND(C15="Phenol-Red free DMEM",C17="cs-FBS"),C16*'Model structure'!L9+'User input and model output'!C18*'Model structure'!L11,C16*AVERAGE('Model structure'!L7:L9)+'User input and model output'!C18*AVERAGE('Model structure'!L10:L12))))))))))</f>
        <v>0.72000000000000008</v>
      </c>
      <c r="K15" s="39">
        <f>J15/J13</f>
        <v>4.8000000000000004E-3</v>
      </c>
      <c r="L15" s="115" t="s">
        <v>69</v>
      </c>
      <c r="M15" s="116"/>
      <c r="N15" s="116"/>
      <c r="O15" s="116"/>
      <c r="P15" s="116"/>
      <c r="Q15" s="11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ht="15" customHeight="1" x14ac:dyDescent="0.45">
      <c r="A16" s="7"/>
      <c r="B16" s="4" t="s">
        <v>34</v>
      </c>
      <c r="C16" s="44">
        <v>0.8</v>
      </c>
      <c r="D16" s="171" t="s">
        <v>40</v>
      </c>
      <c r="E16" s="172"/>
      <c r="F16" s="173"/>
      <c r="G16" s="140"/>
      <c r="H16" s="140"/>
      <c r="I16" s="51" t="s">
        <v>45</v>
      </c>
      <c r="J16" s="42">
        <f>C14/1000*IF(AND(C15="OptiMEM",C17="FBS"),C16*'Model structure'!M7+'User input and model output'!C18*'Model structure'!M10,IF(AND(C15="OptiMEM",C17="d-FBS"),C16*'Model structure'!M7+'User input and model output'!C18*'Model structure'!M12,IF(AND(C15="OptiMEM",C17="cs-FBS"),C16*'Model structure'!M7+'User input and model output'!C18*'Model structure'!M11,IF(AND(C15="DMEM Glutamax",C17="FBS"),C16*'Model structure'!M8+'User input and model output'!C18*'Model structure'!M10,IF(AND(C15="DMEM Glutamax",C17="d-FBS"),C16*'Model structure'!M8+'User input and model output'!C18*'Model structure'!M12,IF(AND(C15="DMEM Glutamax",C17="cs-FBS"),C16*'Model structure'!M8+'User input and model output'!C18*'Model structure'!M11,IF(AND(C15="Phenol-Red free DMEM",C17="FBS"),C16*'Model structure'!M9+'User input and model output'!C18*'Model structure'!M10,IF(AND(C15="Phenol-Red free DMEM",C17="d-FBS"),C16*'Model structure'!M9+'User input and model output'!C18*'Model structure'!M12,IF(AND(C15="Phenol-Red free DMEM",C17="cs-FBS"),C16*'Model structure'!M9+'User input and model output'!C18*'Model structure'!M11,C16*AVERAGE('Model structure'!M7:M9)+'User input and model output'!C18*AVERAGE('Model structure'!M10:M13))))))))))</f>
        <v>5.6999999999999995E-2</v>
      </c>
      <c r="K16" s="39">
        <f>J16/J13</f>
        <v>3.7999999999999997E-4</v>
      </c>
      <c r="L16" s="115" t="s">
        <v>69</v>
      </c>
      <c r="M16" s="116"/>
      <c r="N16" s="116"/>
      <c r="O16" s="116"/>
      <c r="P16" s="116"/>
      <c r="Q16" s="11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ht="15" customHeight="1" x14ac:dyDescent="0.45">
      <c r="A17" s="7"/>
      <c r="B17" s="5" t="s">
        <v>15</v>
      </c>
      <c r="C17" s="43" t="s">
        <v>77</v>
      </c>
      <c r="D17" s="174" t="s">
        <v>61</v>
      </c>
      <c r="E17" s="175"/>
      <c r="F17" s="176"/>
      <c r="G17" s="140"/>
      <c r="H17" s="140"/>
      <c r="I17" s="137"/>
      <c r="J17" s="138"/>
      <c r="K17" s="138"/>
      <c r="L17" s="138"/>
      <c r="M17" s="138"/>
      <c r="N17" s="138"/>
      <c r="O17" s="138"/>
      <c r="P17" s="138"/>
      <c r="Q17" s="139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ht="15" customHeight="1" x14ac:dyDescent="0.45">
      <c r="A18" s="7"/>
      <c r="B18" s="4" t="s">
        <v>35</v>
      </c>
      <c r="C18" s="44">
        <v>0.2</v>
      </c>
      <c r="D18" s="171" t="s">
        <v>41</v>
      </c>
      <c r="E18" s="172"/>
      <c r="F18" s="173"/>
      <c r="G18" s="140"/>
      <c r="H18" s="140"/>
      <c r="I18" s="49" t="s">
        <v>29</v>
      </c>
      <c r="J18" s="49" t="s">
        <v>50</v>
      </c>
      <c r="K18" s="49" t="s">
        <v>46</v>
      </c>
      <c r="L18" s="132" t="s">
        <v>39</v>
      </c>
      <c r="M18" s="133"/>
      <c r="N18" s="133"/>
      <c r="O18" s="133"/>
      <c r="P18" s="133"/>
      <c r="Q18" s="134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ht="15" customHeight="1" x14ac:dyDescent="0.45">
      <c r="A19" s="7"/>
      <c r="B19" s="170"/>
      <c r="C19" s="170"/>
      <c r="D19" s="170"/>
      <c r="E19" s="170"/>
      <c r="F19" s="170"/>
      <c r="G19" s="140"/>
      <c r="H19" s="140"/>
      <c r="I19" s="50" t="s">
        <v>5</v>
      </c>
      <c r="J19" s="41">
        <f>SUM(J20:J22)</f>
        <v>5.7999999999999996E-2</v>
      </c>
      <c r="K19" s="38">
        <f>J19/J19</f>
        <v>1</v>
      </c>
      <c r="L19" s="115" t="s">
        <v>55</v>
      </c>
      <c r="M19" s="116"/>
      <c r="N19" s="116"/>
      <c r="O19" s="116"/>
      <c r="P19" s="116"/>
      <c r="Q19" s="11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ht="15" customHeight="1" x14ac:dyDescent="0.45">
      <c r="A20" s="7"/>
      <c r="B20" s="135" t="s">
        <v>7</v>
      </c>
      <c r="C20" s="136"/>
      <c r="D20" s="168" t="s">
        <v>39</v>
      </c>
      <c r="E20" s="168"/>
      <c r="F20" s="168"/>
      <c r="G20" s="140"/>
      <c r="H20" s="140"/>
      <c r="I20" s="51" t="s">
        <v>43</v>
      </c>
      <c r="J20" s="42">
        <f>1000*IF(C21="HEK293T",C22/1000000*'Model structure'!L15,IF(C21="HEK293H",C22/1000000*'Model structure'!L16,IF(C21="HepG2",C22/1000000*'Model structure'!L17,IF(C21="HCT116",C22/1000000*'Model structure'!L18,IF(C21="ME-180",C22/1000000*'Model structure'!L19,C22/1000000*AVERAGE('Model structure'!L15:L19))))))</f>
        <v>5.1387999999999996E-2</v>
      </c>
      <c r="K20" s="39">
        <f>J20/J19</f>
        <v>0.88600000000000001</v>
      </c>
      <c r="L20" s="115" t="s">
        <v>69</v>
      </c>
      <c r="M20" s="116"/>
      <c r="N20" s="116"/>
      <c r="O20" s="116"/>
      <c r="P20" s="116"/>
      <c r="Q20" s="11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ht="15" customHeight="1" x14ac:dyDescent="0.45">
      <c r="A21" s="7"/>
      <c r="B21" s="4" t="s">
        <v>10</v>
      </c>
      <c r="C21" s="43" t="s">
        <v>80</v>
      </c>
      <c r="D21" s="174" t="s">
        <v>61</v>
      </c>
      <c r="E21" s="175"/>
      <c r="F21" s="176"/>
      <c r="G21" s="140"/>
      <c r="H21" s="140"/>
      <c r="I21" s="50" t="s">
        <v>44</v>
      </c>
      <c r="J21" s="42">
        <f>1000*IF(C21="HEK293T",C22/1000000*'Model structure'!M15,IF(C21="HEK293H",C22/1000000*'Model structure'!M16,IF(C21="HepG2",C22/1000000*'Model structure'!M17,IF(C21="HCT116",C22/1000000*'Model structure'!M18,IF(C21="ME-180",C22/1000000*'Model structure'!M19,C22/1000000*AVERAGE('Model structure'!M15:M19))))))</f>
        <v>4.6400000000000009E-3</v>
      </c>
      <c r="K21" s="39">
        <f>J21/J19</f>
        <v>8.0000000000000016E-2</v>
      </c>
      <c r="L21" s="115" t="s">
        <v>69</v>
      </c>
      <c r="M21" s="116"/>
      <c r="N21" s="116"/>
      <c r="O21" s="116"/>
      <c r="P21" s="116"/>
      <c r="Q21" s="11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ht="15" customHeight="1" thickBot="1" x14ac:dyDescent="0.5">
      <c r="A22" s="7"/>
      <c r="B22" s="6" t="s">
        <v>18</v>
      </c>
      <c r="C22" s="45">
        <v>20000</v>
      </c>
      <c r="D22" s="177" t="s">
        <v>67</v>
      </c>
      <c r="E22" s="177"/>
      <c r="F22" s="177"/>
      <c r="G22" s="140"/>
      <c r="H22" s="140"/>
      <c r="I22" s="52" t="s">
        <v>45</v>
      </c>
      <c r="J22" s="53">
        <f>1000*IF(C21="HEK293T",C22/1000000*'Model structure'!N15,IF(C21="HEK293H",C22/1000000*'Model structure'!N16,IF(C21="HepG2",C22/1000000*'Model structure'!N17,IF(C21="HCT116",C22/1000000*'Model structure'!N18,IF(C21="ME-180",C22/1000000*'Model structure'!N19,C22/1000000*AVERAGE('Model structure'!N15:N19))))))</f>
        <v>1.9719999999999998E-3</v>
      </c>
      <c r="K22" s="39">
        <f>J22/J19</f>
        <v>3.3999999999999996E-2</v>
      </c>
      <c r="L22" s="115" t="s">
        <v>69</v>
      </c>
      <c r="M22" s="116"/>
      <c r="N22" s="116"/>
      <c r="O22" s="116"/>
      <c r="P22" s="116"/>
      <c r="Q22" s="11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ht="15.75" customHeight="1" thickBot="1" x14ac:dyDescent="0.5">
      <c r="A23" s="7"/>
      <c r="B23" s="165"/>
      <c r="C23" s="166"/>
      <c r="D23" s="166"/>
      <c r="E23" s="166"/>
      <c r="F23" s="167"/>
      <c r="G23" s="140"/>
      <c r="H23" s="140"/>
      <c r="I23" s="126"/>
      <c r="J23" s="127"/>
      <c r="K23" s="127"/>
      <c r="L23" s="127"/>
      <c r="M23" s="127"/>
      <c r="N23" s="127"/>
      <c r="O23" s="127"/>
      <c r="P23" s="127"/>
      <c r="Q23" s="128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ht="15" customHeight="1" x14ac:dyDescent="0.45">
      <c r="A24" s="7"/>
      <c r="B24" s="143" t="s">
        <v>37</v>
      </c>
      <c r="C24" s="144"/>
      <c r="D24" s="144"/>
      <c r="E24" s="144"/>
      <c r="F24" s="145"/>
      <c r="G24" s="140"/>
      <c r="H24" s="140"/>
      <c r="I24" s="120" t="s">
        <v>42</v>
      </c>
      <c r="J24" s="121"/>
      <c r="K24" s="121"/>
      <c r="L24" s="121"/>
      <c r="M24" s="121"/>
      <c r="N24" s="121"/>
      <c r="O24" s="121"/>
      <c r="P24" s="121"/>
      <c r="Q24" s="122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ht="15" customHeight="1" x14ac:dyDescent="0.45">
      <c r="A25" s="7"/>
      <c r="B25" s="146"/>
      <c r="C25" s="147"/>
      <c r="D25" s="147"/>
      <c r="E25" s="147"/>
      <c r="F25" s="148"/>
      <c r="G25" s="140"/>
      <c r="H25" s="140"/>
      <c r="I25" s="123"/>
      <c r="J25" s="124"/>
      <c r="K25" s="124"/>
      <c r="L25" s="124"/>
      <c r="M25" s="124"/>
      <c r="N25" s="124"/>
      <c r="O25" s="124"/>
      <c r="P25" s="124"/>
      <c r="Q25" s="125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ht="19.5" customHeight="1" x14ac:dyDescent="0.45">
      <c r="A26" s="7"/>
      <c r="B26" s="141" t="s">
        <v>11</v>
      </c>
      <c r="C26" s="141" t="s">
        <v>12</v>
      </c>
      <c r="D26" s="149" t="s">
        <v>47</v>
      </c>
      <c r="E26" s="149" t="s">
        <v>48</v>
      </c>
      <c r="F26" s="151" t="s">
        <v>66</v>
      </c>
      <c r="G26" s="140"/>
      <c r="H26" s="140"/>
      <c r="I26" s="129" t="s">
        <v>53</v>
      </c>
      <c r="J26" s="129" t="s">
        <v>54</v>
      </c>
      <c r="K26" s="118" t="s">
        <v>73</v>
      </c>
      <c r="L26" s="118" t="s">
        <v>52</v>
      </c>
      <c r="M26" s="118" t="s">
        <v>59</v>
      </c>
      <c r="N26" s="118" t="s">
        <v>62</v>
      </c>
      <c r="O26" s="118" t="s">
        <v>72</v>
      </c>
      <c r="P26" s="118" t="s">
        <v>64</v>
      </c>
      <c r="Q26" s="118" t="s">
        <v>65</v>
      </c>
      <c r="R26" s="9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ht="19.5" customHeight="1" x14ac:dyDescent="0.45">
      <c r="A27" s="7"/>
      <c r="B27" s="142"/>
      <c r="C27" s="142"/>
      <c r="D27" s="150"/>
      <c r="E27" s="150"/>
      <c r="F27" s="152"/>
      <c r="G27" s="140"/>
      <c r="H27" s="140"/>
      <c r="I27" s="130"/>
      <c r="J27" s="130"/>
      <c r="K27" s="119"/>
      <c r="L27" s="119"/>
      <c r="M27" s="119"/>
      <c r="N27" s="119"/>
      <c r="O27" s="119"/>
      <c r="P27" s="119"/>
      <c r="Q27" s="119"/>
      <c r="R27" s="7" t="s">
        <v>79</v>
      </c>
      <c r="S27" s="7" t="s">
        <v>78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45">
      <c r="A28" s="89"/>
      <c r="B28" s="46" t="s">
        <v>114</v>
      </c>
      <c r="C28" s="46" t="s">
        <v>115</v>
      </c>
      <c r="D28" s="47">
        <v>1.6437199999999998</v>
      </c>
      <c r="E28" s="47">
        <v>1.9024449999999995</v>
      </c>
      <c r="F28" s="98">
        <v>9.9999999999999995E-7</v>
      </c>
      <c r="G28" s="140"/>
      <c r="H28" s="140"/>
      <c r="I28" s="94">
        <f t="shared" ref="I28:I47" si="1">IF(D28=0,"",LOG($K$15*10^D28+$K$16*10^E28+$K$14))</f>
        <v>9.2195850977354138E-2</v>
      </c>
      <c r="J28" s="94">
        <f t="shared" ref="J28:J47" si="2">IF(D28=0,"",LOG($K$21*10^D28+$K$22*10^E28+$K$20))</f>
        <v>0.85273188304651759</v>
      </c>
      <c r="K28" s="95">
        <f t="shared" ref="K28:K47" si="3">IF(D28=0,"",1/(1+10^D28*$J$15/$J$14+10^E28*$J$16/$J$14+10^J28*$J$19/$J$14))</f>
        <v>0.80275352138538481</v>
      </c>
      <c r="L28" s="95">
        <f t="shared" ref="L28:L47" si="4">IF(D28=0,"",1/(1+10^I28/10^J28*$J$13/$J$19))</f>
        <v>2.2228304072051202E-3</v>
      </c>
      <c r="M28" s="95">
        <f t="shared" ref="M28:M47" si="5">IF(D28=0,"",1-L28)</f>
        <v>0.99777716959279483</v>
      </c>
      <c r="N28" s="95">
        <f t="shared" ref="N28:N47" si="6">IF(D28=0,"",1/(1/10^E28*$J$20/$J$22+10^D28/10^E28*$J$21/$J$22+10^I28/10^E28*$J$13/$J$22+1))</f>
        <v>8.4741932386957815E-4</v>
      </c>
      <c r="O28" s="40">
        <f t="shared" ref="O28:O47" si="7">IF(D28=0,"",F28*K28*$J$7/$J$14)</f>
        <v>8.0724545084905174E-7</v>
      </c>
      <c r="P28" s="40">
        <f t="shared" ref="P28:P47" si="8">IF(D28=0,"",O28*10^J28)</f>
        <v>5.7509221593859631E-6</v>
      </c>
      <c r="Q28" s="40">
        <f t="shared" ref="Q28:Q47" si="9">IF(D28=0,"",F28*N28*$J$7/$J$22)</f>
        <v>6.4483797617252112E-5</v>
      </c>
      <c r="R28" s="9">
        <f>F28*$C$14</f>
        <v>1.4999999999999999E-4</v>
      </c>
      <c r="S28" s="9">
        <f>$R28*L28</f>
        <v>3.3342456108076798E-7</v>
      </c>
      <c r="T28" s="9">
        <f t="shared" ref="T28:T49" si="10">R28*K28</f>
        <v>1.2041302820780771E-4</v>
      </c>
      <c r="U28" s="9">
        <f t="shared" ref="U28:U49" si="11">$R28*M28</f>
        <v>1.4966657543891921E-4</v>
      </c>
      <c r="V28" s="102">
        <f>K28/M28</f>
        <v>0.80454188154354989</v>
      </c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45">
      <c r="A29" s="89"/>
      <c r="B29" s="46" t="s">
        <v>116</v>
      </c>
      <c r="C29" s="46" t="s">
        <v>117</v>
      </c>
      <c r="D29" s="47">
        <v>4.7386560000000006</v>
      </c>
      <c r="E29" s="47">
        <v>5.8355820000000005</v>
      </c>
      <c r="F29" s="98">
        <v>9.9999999999999995E-7</v>
      </c>
      <c r="G29" s="140"/>
      <c r="H29" s="140"/>
      <c r="I29" s="94">
        <f t="shared" si="1"/>
        <v>2.7194923137791687</v>
      </c>
      <c r="J29" s="94">
        <f t="shared" si="2"/>
        <v>4.4419747400947829</v>
      </c>
      <c r="K29" s="95">
        <f t="shared" si="3"/>
        <v>1.8598501962930937E-3</v>
      </c>
      <c r="L29" s="95">
        <f t="shared" si="4"/>
        <v>2.0000687841387629E-2</v>
      </c>
      <c r="M29" s="95">
        <f t="shared" si="5"/>
        <v>0.97999931215861236</v>
      </c>
      <c r="N29" s="95">
        <f t="shared" si="6"/>
        <v>1.6831821182103256E-2</v>
      </c>
      <c r="O29" s="40">
        <f t="shared" si="7"/>
        <v>1.870257271032944E-9</v>
      </c>
      <c r="P29" s="40">
        <f t="shared" si="8"/>
        <v>5.1745917519016323E-5</v>
      </c>
      <c r="Q29" s="40">
        <f t="shared" si="9"/>
        <v>1.2808059954077338E-3</v>
      </c>
      <c r="R29" s="9">
        <f>F29*$C$14</f>
        <v>1.4999999999999999E-4</v>
      </c>
      <c r="S29" s="9">
        <f t="shared" ref="S29:S49" si="12">$R29*L29</f>
        <v>3.0001031762081443E-6</v>
      </c>
      <c r="T29" s="9">
        <f t="shared" si="10"/>
        <v>2.7897752944396402E-7</v>
      </c>
      <c r="U29" s="9">
        <f t="shared" si="11"/>
        <v>1.4699989682379183E-4</v>
      </c>
      <c r="V29" s="102">
        <f t="shared" ref="V29:V49" si="13">K29/M29</f>
        <v>1.8978076547793311E-3</v>
      </c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45">
      <c r="A30" s="90"/>
      <c r="B30" s="46" t="s">
        <v>118</v>
      </c>
      <c r="C30" s="46" t="s">
        <v>119</v>
      </c>
      <c r="D30" s="91">
        <v>7.1429999999999998</v>
      </c>
      <c r="E30" s="91">
        <v>9.299925</v>
      </c>
      <c r="F30" s="98">
        <v>9.9999999999999995E-7</v>
      </c>
      <c r="G30" s="140"/>
      <c r="H30" s="140"/>
      <c r="I30" s="94">
        <f t="shared" si="1"/>
        <v>5.9163420575972845</v>
      </c>
      <c r="J30" s="94">
        <f t="shared" si="2"/>
        <v>7.8384660336474994</v>
      </c>
      <c r="K30" s="95">
        <f t="shared" si="3"/>
        <v>1.1683916430084184E-6</v>
      </c>
      <c r="L30" s="95">
        <f t="shared" si="4"/>
        <v>3.130737839423272E-2</v>
      </c>
      <c r="M30" s="95">
        <f t="shared" si="5"/>
        <v>0.9686926216057673</v>
      </c>
      <c r="N30" s="95">
        <f t="shared" si="6"/>
        <v>3.0802402087449398E-2</v>
      </c>
      <c r="O30" s="40">
        <f t="shared" si="7"/>
        <v>1.1749295562115574E-12</v>
      </c>
      <c r="P30" s="40">
        <f t="shared" si="8"/>
        <v>8.0998665294513571E-5</v>
      </c>
      <c r="Q30" s="40">
        <f t="shared" si="9"/>
        <v>2.3438878562061266E-3</v>
      </c>
      <c r="R30" s="9">
        <f t="shared" ref="R30:R49" si="14">F30*$C$14</f>
        <v>1.4999999999999999E-4</v>
      </c>
      <c r="S30" s="9">
        <f t="shared" si="12"/>
        <v>4.6961067591349072E-6</v>
      </c>
      <c r="T30" s="9">
        <f t="shared" si="10"/>
        <v>1.7525874645126276E-10</v>
      </c>
      <c r="U30" s="9">
        <f t="shared" si="11"/>
        <v>1.4530389324086509E-4</v>
      </c>
      <c r="V30" s="102">
        <f t="shared" si="13"/>
        <v>1.2061531356268795E-6</v>
      </c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45">
      <c r="A31" s="90"/>
      <c r="B31" s="46" t="s">
        <v>112</v>
      </c>
      <c r="C31" s="46" t="s">
        <v>113</v>
      </c>
      <c r="D31" s="47">
        <v>3.3511520000000004</v>
      </c>
      <c r="E31" s="47">
        <v>4.2962190000000007</v>
      </c>
      <c r="F31" s="98">
        <v>9.9999999999999995E-7</v>
      </c>
      <c r="G31" s="140"/>
      <c r="H31" s="140"/>
      <c r="I31" s="94">
        <f t="shared" si="1"/>
        <v>1.2852308448323728</v>
      </c>
      <c r="J31" s="94">
        <f t="shared" si="2"/>
        <v>2.9309327933636746</v>
      </c>
      <c r="K31" s="95">
        <f t="shared" si="3"/>
        <v>5.0716502112549917E-2</v>
      </c>
      <c r="L31" s="95">
        <f t="shared" si="4"/>
        <v>1.68141265951968E-2</v>
      </c>
      <c r="M31" s="95">
        <f t="shared" si="5"/>
        <v>0.98318587340480323</v>
      </c>
      <c r="N31" s="95">
        <f t="shared" si="6"/>
        <v>1.3256822353775757E-2</v>
      </c>
      <c r="O31" s="40">
        <f t="shared" si="7"/>
        <v>5.1000294016371566E-8</v>
      </c>
      <c r="P31" s="40">
        <f t="shared" si="8"/>
        <v>4.3501624286586939E-5</v>
      </c>
      <c r="Q31" s="40">
        <f t="shared" si="9"/>
        <v>1.0087688888249912E-3</v>
      </c>
      <c r="R31" s="9">
        <f t="shared" si="14"/>
        <v>1.4999999999999999E-4</v>
      </c>
      <c r="S31" s="9">
        <f t="shared" si="12"/>
        <v>2.5221189892795197E-6</v>
      </c>
      <c r="T31" s="9">
        <f t="shared" si="10"/>
        <v>7.6074753168824866E-6</v>
      </c>
      <c r="U31" s="9">
        <f t="shared" si="11"/>
        <v>1.4747788101072048E-4</v>
      </c>
      <c r="V31" s="102">
        <f t="shared" si="13"/>
        <v>5.1583839317093823E-2</v>
      </c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45">
      <c r="A32" s="90"/>
      <c r="B32" s="46" t="s">
        <v>120</v>
      </c>
      <c r="C32" s="46" t="s">
        <v>121</v>
      </c>
      <c r="D32" s="47">
        <v>5.9183200000000005</v>
      </c>
      <c r="E32" s="47">
        <v>7.0401399999999992</v>
      </c>
      <c r="F32" s="98">
        <v>9.9999999999999995E-7</v>
      </c>
      <c r="G32" s="140"/>
      <c r="H32" s="140"/>
      <c r="I32" s="94">
        <f t="shared" si="1"/>
        <v>3.9109447814528924</v>
      </c>
      <c r="J32" s="94">
        <f t="shared" si="2"/>
        <v>5.6426701080559019</v>
      </c>
      <c r="K32" s="95">
        <f t="shared" si="3"/>
        <v>1.196296113507733E-4</v>
      </c>
      <c r="L32" s="95">
        <f t="shared" si="4"/>
        <v>2.0422129536615374E-2</v>
      </c>
      <c r="M32" s="95">
        <f t="shared" si="5"/>
        <v>0.97957787046338463</v>
      </c>
      <c r="N32" s="95">
        <f t="shared" si="6"/>
        <v>1.7340029642528863E-2</v>
      </c>
      <c r="O32" s="40">
        <f t="shared" si="7"/>
        <v>1.2029901704210702E-10</v>
      </c>
      <c r="P32" s="40">
        <f t="shared" si="8"/>
        <v>5.2836274379403956E-5</v>
      </c>
      <c r="Q32" s="40">
        <f t="shared" si="9"/>
        <v>1.3194777728694708E-3</v>
      </c>
      <c r="R32" s="9">
        <f t="shared" si="14"/>
        <v>1.4999999999999999E-4</v>
      </c>
      <c r="S32" s="9">
        <f t="shared" si="12"/>
        <v>3.0633194304923061E-6</v>
      </c>
      <c r="T32" s="9">
        <f t="shared" si="10"/>
        <v>1.7944441702615994E-8</v>
      </c>
      <c r="U32" s="9">
        <f t="shared" si="11"/>
        <v>1.4693668056950767E-4</v>
      </c>
      <c r="V32" s="102">
        <f t="shared" si="13"/>
        <v>1.2212363606599552E-4</v>
      </c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45">
      <c r="A33" s="90"/>
      <c r="B33" s="96" t="s">
        <v>122</v>
      </c>
      <c r="C33" s="96" t="s">
        <v>123</v>
      </c>
      <c r="D33" s="97">
        <v>5.5295200000000007</v>
      </c>
      <c r="E33" s="97">
        <v>6.5305900000000001</v>
      </c>
      <c r="F33" s="98">
        <v>9.9999999999999995E-7</v>
      </c>
      <c r="G33" s="140"/>
      <c r="H33" s="140"/>
      <c r="I33" s="94">
        <f t="shared" si="1"/>
        <v>3.4646398062685488</v>
      </c>
      <c r="J33" s="94">
        <f t="shared" si="2"/>
        <v>5.1536383853683807</v>
      </c>
      <c r="K33" s="95">
        <f t="shared" si="3"/>
        <v>3.3494653182382817E-4</v>
      </c>
      <c r="L33" s="95">
        <f t="shared" si="4"/>
        <v>1.854411438014426E-2</v>
      </c>
      <c r="M33" s="95">
        <f t="shared" si="5"/>
        <v>0.98145588561985575</v>
      </c>
      <c r="N33" s="95">
        <f t="shared" si="6"/>
        <v>1.5018848243599659E-2</v>
      </c>
      <c r="O33" s="40">
        <f t="shared" si="7"/>
        <v>3.3682077610301362E-10</v>
      </c>
      <c r="P33" s="40">
        <f t="shared" si="8"/>
        <v>4.7977460614753253E-5</v>
      </c>
      <c r="Q33" s="40">
        <f t="shared" si="9"/>
        <v>1.1428490515913174E-3</v>
      </c>
      <c r="R33" s="9">
        <f t="shared" si="14"/>
        <v>1.4999999999999999E-4</v>
      </c>
      <c r="S33" s="9">
        <f t="shared" si="12"/>
        <v>2.7816171570216388E-6</v>
      </c>
      <c r="T33" s="9">
        <f t="shared" si="10"/>
        <v>5.0241979773574224E-8</v>
      </c>
      <c r="U33" s="9">
        <f t="shared" si="11"/>
        <v>1.4721838284297836E-4</v>
      </c>
      <c r="V33" s="102">
        <f t="shared" si="13"/>
        <v>3.4127517775522513E-4</v>
      </c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45">
      <c r="A34" s="89"/>
      <c r="B34" s="46" t="s">
        <v>124</v>
      </c>
      <c r="C34" s="46" t="s">
        <v>125</v>
      </c>
      <c r="D34" s="91">
        <v>5.4845040000000003</v>
      </c>
      <c r="E34" s="91">
        <v>6.5678879999999999</v>
      </c>
      <c r="F34" s="98">
        <v>9.9999999999999995E-7</v>
      </c>
      <c r="G34" s="140"/>
      <c r="H34" s="140"/>
      <c r="I34" s="94">
        <f t="shared" si="1"/>
        <v>3.4579829545014036</v>
      </c>
      <c r="J34" s="94">
        <f t="shared" si="2"/>
        <v>5.1764429441964488</v>
      </c>
      <c r="K34" s="95">
        <f t="shared" si="3"/>
        <v>3.3967799366214002E-4</v>
      </c>
      <c r="L34" s="95">
        <f t="shared" si="4"/>
        <v>1.9819951276970942E-2</v>
      </c>
      <c r="M34" s="95">
        <f t="shared" si="5"/>
        <v>0.98018004872302911</v>
      </c>
      <c r="N34" s="95">
        <f t="shared" si="6"/>
        <v>1.6596883876704983E-2</v>
      </c>
      <c r="O34" s="40">
        <f t="shared" si="7"/>
        <v>3.4157871355590895E-10</v>
      </c>
      <c r="P34" s="40">
        <f t="shared" si="8"/>
        <v>5.1278314633098417E-5</v>
      </c>
      <c r="Q34" s="40">
        <f t="shared" si="9"/>
        <v>1.2629286007964486E-3</v>
      </c>
      <c r="R34" s="9">
        <f t="shared" si="14"/>
        <v>1.4999999999999999E-4</v>
      </c>
      <c r="S34" s="9">
        <f t="shared" si="12"/>
        <v>2.9729926915456409E-6</v>
      </c>
      <c r="T34" s="9">
        <f t="shared" si="10"/>
        <v>5.0951699049321E-8</v>
      </c>
      <c r="U34" s="9">
        <f t="shared" si="11"/>
        <v>1.4702700730845437E-4</v>
      </c>
      <c r="V34" s="102">
        <f t="shared" si="13"/>
        <v>3.4654652898176192E-4</v>
      </c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45">
      <c r="A35" s="89"/>
      <c r="B35" s="46" t="s">
        <v>126</v>
      </c>
      <c r="C35" s="46" t="s">
        <v>127</v>
      </c>
      <c r="D35" s="91">
        <v>2.7195840000000011</v>
      </c>
      <c r="E35" s="91">
        <v>3.2500779999999994</v>
      </c>
      <c r="F35" s="98">
        <v>9.9999999999999995E-7</v>
      </c>
      <c r="G35" s="140"/>
      <c r="H35" s="140"/>
      <c r="I35" s="94">
        <f t="shared" si="1"/>
        <v>0.62193942428688143</v>
      </c>
      <c r="J35" s="94">
        <f t="shared" si="2"/>
        <v>2.0141119248188848</v>
      </c>
      <c r="K35" s="95">
        <f t="shared" si="3"/>
        <v>0.23533250740436965</v>
      </c>
      <c r="L35" s="95">
        <f t="shared" si="4"/>
        <v>9.4490048879142894E-3</v>
      </c>
      <c r="M35" s="95">
        <f t="shared" si="5"/>
        <v>0.99055099511208566</v>
      </c>
      <c r="N35" s="95">
        <f t="shared" si="6"/>
        <v>5.5313490606684178E-3</v>
      </c>
      <c r="O35" s="40">
        <f t="shared" si="7"/>
        <v>2.3664934625416251E-7</v>
      </c>
      <c r="P35" s="40">
        <f t="shared" si="8"/>
        <v>2.4446530611562805E-5</v>
      </c>
      <c r="Q35" s="40">
        <f t="shared" si="9"/>
        <v>4.2090424814694802E-4</v>
      </c>
      <c r="R35" s="9">
        <f t="shared" si="14"/>
        <v>1.4999999999999999E-4</v>
      </c>
      <c r="S35" s="9">
        <f t="shared" si="12"/>
        <v>1.4173507331871433E-6</v>
      </c>
      <c r="T35" s="9">
        <f t="shared" si="10"/>
        <v>3.5299876110655441E-5</v>
      </c>
      <c r="U35" s="9">
        <f t="shared" si="11"/>
        <v>1.4858264926681283E-4</v>
      </c>
      <c r="V35" s="102">
        <f t="shared" si="13"/>
        <v>0.23757737720281694</v>
      </c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45">
      <c r="A36" s="89"/>
      <c r="B36" s="46" t="s">
        <v>81</v>
      </c>
      <c r="C36" s="46" t="s">
        <v>82</v>
      </c>
      <c r="D36" s="47">
        <v>7.5547280000000008</v>
      </c>
      <c r="E36" s="47">
        <v>9.7459910000000001</v>
      </c>
      <c r="F36" s="98">
        <v>9.9999999999999995E-7</v>
      </c>
      <c r="G36" s="140"/>
      <c r="H36" s="140"/>
      <c r="I36" s="94">
        <f t="shared" si="1"/>
        <v>6.3597288158186656</v>
      </c>
      <c r="J36" s="94">
        <f t="shared" si="2"/>
        <v>8.2839991745411492</v>
      </c>
      <c r="K36" s="95">
        <f t="shared" si="3"/>
        <v>4.2085677709938167E-7</v>
      </c>
      <c r="L36" s="95">
        <f t="shared" si="4"/>
        <v>3.1457610173582881E-2</v>
      </c>
      <c r="M36" s="95">
        <f t="shared" si="5"/>
        <v>0.96854238982641716</v>
      </c>
      <c r="N36" s="95">
        <f t="shared" si="6"/>
        <v>3.0988208457668479E-2</v>
      </c>
      <c r="O36" s="40">
        <f t="shared" si="7"/>
        <v>4.2321174522680155E-13</v>
      </c>
      <c r="P36" s="40">
        <f t="shared" si="8"/>
        <v>8.1387345990129462E-5</v>
      </c>
      <c r="Q36" s="40">
        <f t="shared" si="9"/>
        <v>2.3580266656900695E-3</v>
      </c>
      <c r="R36" s="9">
        <f t="shared" si="14"/>
        <v>1.4999999999999999E-4</v>
      </c>
      <c r="S36" s="9">
        <f t="shared" si="12"/>
        <v>4.7186415260374322E-6</v>
      </c>
      <c r="T36" s="9">
        <f t="shared" si="10"/>
        <v>6.3128516564907246E-11</v>
      </c>
      <c r="U36" s="9">
        <f t="shared" si="11"/>
        <v>1.4528135847396257E-4</v>
      </c>
      <c r="V36" s="102">
        <f t="shared" si="13"/>
        <v>4.3452592423425877E-7</v>
      </c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45">
      <c r="A37" s="89"/>
      <c r="B37" s="96" t="s">
        <v>128</v>
      </c>
      <c r="C37" s="96" t="s">
        <v>129</v>
      </c>
      <c r="D37" s="97">
        <v>4.10616</v>
      </c>
      <c r="E37" s="97">
        <v>5.1108449999999994</v>
      </c>
      <c r="F37" s="98">
        <v>9.9999999999999995E-7</v>
      </c>
      <c r="G37" s="140"/>
      <c r="H37" s="140"/>
      <c r="I37" s="94">
        <f t="shared" si="1"/>
        <v>2.0466328175843658</v>
      </c>
      <c r="J37" s="94">
        <f t="shared" si="2"/>
        <v>3.7332769148114004</v>
      </c>
      <c r="K37" s="95">
        <f t="shared" si="3"/>
        <v>8.7705336627988267E-3</v>
      </c>
      <c r="L37" s="95">
        <f t="shared" si="4"/>
        <v>1.8445700861954076E-2</v>
      </c>
      <c r="M37" s="95">
        <f t="shared" si="5"/>
        <v>0.98155429913804593</v>
      </c>
      <c r="N37" s="95">
        <f t="shared" si="6"/>
        <v>1.4960364106135597E-2</v>
      </c>
      <c r="O37" s="40">
        <f t="shared" si="7"/>
        <v>8.8196105182999008E-9</v>
      </c>
      <c r="P37" s="40">
        <f t="shared" si="8"/>
        <v>4.7722844481777728E-5</v>
      </c>
      <c r="Q37" s="40">
        <f t="shared" si="9"/>
        <v>1.138398740891732E-3</v>
      </c>
      <c r="R37" s="9">
        <f t="shared" si="14"/>
        <v>1.4999999999999999E-4</v>
      </c>
      <c r="S37" s="9">
        <f t="shared" si="12"/>
        <v>2.7668551292931114E-6</v>
      </c>
      <c r="T37" s="9">
        <f t="shared" si="10"/>
        <v>1.3155800494198239E-6</v>
      </c>
      <c r="U37" s="9">
        <f t="shared" si="11"/>
        <v>1.4723314487070688E-4</v>
      </c>
      <c r="V37" s="102">
        <f t="shared" si="13"/>
        <v>8.9353525021495916E-3</v>
      </c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45">
      <c r="A38" s="89"/>
      <c r="B38" s="46" t="s">
        <v>130</v>
      </c>
      <c r="C38" s="46" t="s">
        <v>131</v>
      </c>
      <c r="D38" s="91">
        <v>2.8295519999999996</v>
      </c>
      <c r="E38" s="91">
        <v>3.5791989999999991</v>
      </c>
      <c r="F38" s="98">
        <v>9.9999999999999995E-7</v>
      </c>
      <c r="G38" s="140"/>
      <c r="H38" s="140"/>
      <c r="I38" s="94">
        <f t="shared" si="1"/>
        <v>0.75425121724867172</v>
      </c>
      <c r="J38" s="94">
        <f t="shared" si="2"/>
        <v>2.264683445445602</v>
      </c>
      <c r="K38" s="95">
        <f t="shared" si="3"/>
        <v>0.17301654847647524</v>
      </c>
      <c r="L38" s="95">
        <f t="shared" si="4"/>
        <v>1.2369818180456398E-2</v>
      </c>
      <c r="M38" s="95">
        <f t="shared" si="5"/>
        <v>0.98763018181954365</v>
      </c>
      <c r="N38" s="95">
        <f t="shared" si="6"/>
        <v>8.6767640505681191E-3</v>
      </c>
      <c r="O38" s="40">
        <f t="shared" si="7"/>
        <v>1.7398468889703946E-7</v>
      </c>
      <c r="P38" s="40">
        <f t="shared" si="8"/>
        <v>3.2003278905567693E-5</v>
      </c>
      <c r="Q38" s="40">
        <f t="shared" si="9"/>
        <v>6.602524644524091E-4</v>
      </c>
      <c r="R38" s="9">
        <f t="shared" si="14"/>
        <v>1.4999999999999999E-4</v>
      </c>
      <c r="S38" s="9">
        <f t="shared" si="12"/>
        <v>1.8554727270684594E-6</v>
      </c>
      <c r="T38" s="9">
        <f t="shared" si="10"/>
        <v>2.5952482271471285E-5</v>
      </c>
      <c r="U38" s="9">
        <f t="shared" si="11"/>
        <v>1.4814452727293154E-4</v>
      </c>
      <c r="V38" s="102">
        <f t="shared" si="13"/>
        <v>0.1751835369770911</v>
      </c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45">
      <c r="A39" s="89"/>
      <c r="B39" s="46" t="s">
        <v>83</v>
      </c>
      <c r="C39" s="46" t="s">
        <v>84</v>
      </c>
      <c r="D39" s="91">
        <v>-2.3039999999996397E-3</v>
      </c>
      <c r="E39" s="91">
        <v>-1.314813</v>
      </c>
      <c r="F39" s="98">
        <v>9.9999999999999995E-7</v>
      </c>
      <c r="G39" s="140"/>
      <c r="H39" s="140"/>
      <c r="I39" s="94">
        <f t="shared" si="1"/>
        <v>-1.6810051832329899E-4</v>
      </c>
      <c r="J39" s="94">
        <f t="shared" si="2"/>
        <v>-1.4473112501902181E-2</v>
      </c>
      <c r="K39" s="95">
        <f t="shared" si="3"/>
        <v>0.99483293055943012</v>
      </c>
      <c r="L39" s="95">
        <f t="shared" si="4"/>
        <v>3.7399798890481279E-4</v>
      </c>
      <c r="M39" s="95">
        <f t="shared" si="5"/>
        <v>0.99962600201109519</v>
      </c>
      <c r="N39" s="95">
        <f t="shared" si="6"/>
        <v>6.3680768587056851E-7</v>
      </c>
      <c r="O39" s="40">
        <f t="shared" si="7"/>
        <v>1.0003996695810093E-6</v>
      </c>
      <c r="P39" s="40">
        <f t="shared" si="8"/>
        <v>9.6761017619100669E-7</v>
      </c>
      <c r="Q39" s="40">
        <f t="shared" si="9"/>
        <v>4.8457448137102314E-8</v>
      </c>
      <c r="R39" s="9">
        <f t="shared" si="14"/>
        <v>1.4999999999999999E-4</v>
      </c>
      <c r="S39" s="9">
        <f t="shared" si="12"/>
        <v>5.6099698335721915E-8</v>
      </c>
      <c r="T39" s="9">
        <f t="shared" si="10"/>
        <v>1.4922493958391452E-4</v>
      </c>
      <c r="U39" s="9">
        <f t="shared" si="11"/>
        <v>1.4994390030166426E-4</v>
      </c>
      <c r="V39" s="102">
        <f t="shared" si="13"/>
        <v>0.99520513527857202</v>
      </c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45">
      <c r="A40" s="89"/>
      <c r="B40" s="46" t="s">
        <v>132</v>
      </c>
      <c r="C40" s="46" t="s">
        <v>133</v>
      </c>
      <c r="D40" s="47">
        <v>3.2352399999999997</v>
      </c>
      <c r="E40" s="47">
        <v>3.7544849999999994</v>
      </c>
      <c r="F40" s="98">
        <v>9.9999999999999995E-7</v>
      </c>
      <c r="G40" s="140"/>
      <c r="H40" s="140"/>
      <c r="I40" s="94">
        <f t="shared" si="1"/>
        <v>1.0570731161685156</v>
      </c>
      <c r="J40" s="94">
        <f t="shared" si="2"/>
        <v>2.5205823295230894</v>
      </c>
      <c r="K40" s="95">
        <f t="shared" si="3"/>
        <v>8.6261353137654387E-2</v>
      </c>
      <c r="L40" s="95">
        <f t="shared" si="4"/>
        <v>1.1117082348175116E-2</v>
      </c>
      <c r="M40" s="95">
        <f t="shared" si="5"/>
        <v>0.9888829176518249</v>
      </c>
      <c r="N40" s="95">
        <f t="shared" si="6"/>
        <v>6.4769778248159509E-3</v>
      </c>
      <c r="O40" s="40">
        <f t="shared" si="7"/>
        <v>8.6744041663350414E-8</v>
      </c>
      <c r="P40" s="40">
        <f t="shared" si="8"/>
        <v>2.8762192120732097E-5</v>
      </c>
      <c r="Q40" s="40">
        <f t="shared" si="9"/>
        <v>4.9286122638754156E-4</v>
      </c>
      <c r="R40" s="9">
        <f t="shared" si="14"/>
        <v>1.4999999999999999E-4</v>
      </c>
      <c r="S40" s="9">
        <f t="shared" si="12"/>
        <v>1.6675623522262672E-6</v>
      </c>
      <c r="T40" s="9">
        <f t="shared" si="10"/>
        <v>1.2939202970648156E-5</v>
      </c>
      <c r="U40" s="9">
        <f t="shared" si="11"/>
        <v>1.4833243764777372E-4</v>
      </c>
      <c r="V40" s="102">
        <f t="shared" si="13"/>
        <v>8.7231108554780487E-2</v>
      </c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45">
      <c r="A41" s="89"/>
      <c r="B41" s="96" t="s">
        <v>134</v>
      </c>
      <c r="C41" s="96" t="s">
        <v>135</v>
      </c>
      <c r="D41" s="97">
        <v>3.3303280000000011</v>
      </c>
      <c r="E41" s="97">
        <v>3.8215209999999997</v>
      </c>
      <c r="F41" s="98">
        <v>9.9999999999999995E-7</v>
      </c>
      <c r="G41" s="140"/>
      <c r="H41" s="140"/>
      <c r="I41" s="94">
        <f t="shared" si="1"/>
        <v>1.1393826628828596</v>
      </c>
      <c r="J41" s="94">
        <f t="shared" si="2"/>
        <v>2.5993109864972253</v>
      </c>
      <c r="K41" s="95">
        <f t="shared" si="3"/>
        <v>7.137504036976039E-2</v>
      </c>
      <c r="L41" s="95">
        <f t="shared" si="4"/>
        <v>1.1026802095177072E-2</v>
      </c>
      <c r="M41" s="95">
        <f t="shared" si="5"/>
        <v>0.98897319790482296</v>
      </c>
      <c r="N41" s="95">
        <f t="shared" si="6"/>
        <v>6.2537211248374514E-3</v>
      </c>
      <c r="O41" s="40">
        <f t="shared" si="7"/>
        <v>7.1774430267488944E-8</v>
      </c>
      <c r="P41" s="40">
        <f t="shared" si="8"/>
        <v>2.852861842755313E-5</v>
      </c>
      <c r="Q41" s="40">
        <f t="shared" si="9"/>
        <v>4.7587265950854881E-4</v>
      </c>
      <c r="R41" s="9">
        <f t="shared" si="14"/>
        <v>1.4999999999999999E-4</v>
      </c>
      <c r="S41" s="9">
        <f t="shared" si="12"/>
        <v>1.6540203142765607E-6</v>
      </c>
      <c r="T41" s="9">
        <f t="shared" si="10"/>
        <v>1.0706256055464057E-5</v>
      </c>
      <c r="U41" s="9">
        <f t="shared" si="11"/>
        <v>1.4834597968572342E-4</v>
      </c>
      <c r="V41" s="102">
        <f t="shared" si="13"/>
        <v>7.2170854094904799E-2</v>
      </c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45">
      <c r="A42" s="90"/>
      <c r="B42" s="46" t="s">
        <v>136</v>
      </c>
      <c r="C42" s="46" t="s">
        <v>137</v>
      </c>
      <c r="D42" s="91">
        <v>4.4202640000000004</v>
      </c>
      <c r="E42" s="91">
        <v>5.6388380000000007</v>
      </c>
      <c r="F42" s="98">
        <v>9.9999999999999995E-7</v>
      </c>
      <c r="G42" s="140"/>
      <c r="H42" s="140"/>
      <c r="I42" s="94">
        <f t="shared" si="1"/>
        <v>2.466507651261447</v>
      </c>
      <c r="J42" s="94">
        <f t="shared" si="2"/>
        <v>4.2280989480409303</v>
      </c>
      <c r="K42" s="95">
        <f t="shared" si="3"/>
        <v>3.3238766045803835E-3</v>
      </c>
      <c r="L42" s="95">
        <f t="shared" si="4"/>
        <v>2.1844196140065535E-2</v>
      </c>
      <c r="M42" s="95">
        <f t="shared" si="5"/>
        <v>0.9781558038599345</v>
      </c>
      <c r="N42" s="95">
        <f t="shared" si="6"/>
        <v>1.9122912437436683E-2</v>
      </c>
      <c r="O42" s="40">
        <f t="shared" si="7"/>
        <v>3.3424758618317761E-9</v>
      </c>
      <c r="P42" s="40">
        <f t="shared" si="8"/>
        <v>5.6515454903206125E-5</v>
      </c>
      <c r="Q42" s="40">
        <f t="shared" si="9"/>
        <v>1.4551450276556156E-3</v>
      </c>
      <c r="R42" s="9">
        <f t="shared" si="14"/>
        <v>1.4999999999999999E-4</v>
      </c>
      <c r="S42" s="9">
        <f t="shared" si="12"/>
        <v>3.2766294210098298E-6</v>
      </c>
      <c r="T42" s="9">
        <f t="shared" si="10"/>
        <v>4.985814906870575E-7</v>
      </c>
      <c r="U42" s="9">
        <f t="shared" si="11"/>
        <v>1.4672337057899015E-4</v>
      </c>
      <c r="V42" s="102">
        <f t="shared" si="13"/>
        <v>3.3981054873507052E-3</v>
      </c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45">
      <c r="A43" s="90"/>
      <c r="B43" s="46" t="s">
        <v>138</v>
      </c>
      <c r="C43" s="46" t="s">
        <v>139</v>
      </c>
      <c r="D43" s="91">
        <v>4.2752879999999998</v>
      </c>
      <c r="E43" s="91">
        <v>5.3084609999999994</v>
      </c>
      <c r="F43" s="98">
        <v>9.9999999999999995E-7</v>
      </c>
      <c r="G43" s="140"/>
      <c r="H43" s="140"/>
      <c r="I43" s="94">
        <f t="shared" si="1"/>
        <v>2.2273249528367836</v>
      </c>
      <c r="J43" s="94">
        <f t="shared" si="2"/>
        <v>3.9256295758213415</v>
      </c>
      <c r="K43" s="95">
        <f t="shared" si="3"/>
        <v>5.7825039643016512E-3</v>
      </c>
      <c r="L43" s="95">
        <f t="shared" si="4"/>
        <v>1.8938158269558577E-2</v>
      </c>
      <c r="M43" s="95">
        <f t="shared" si="5"/>
        <v>0.98106184173044142</v>
      </c>
      <c r="N43" s="95">
        <f t="shared" si="6"/>
        <v>1.5547053137841603E-2</v>
      </c>
      <c r="O43" s="40">
        <f t="shared" si="7"/>
        <v>5.8148608450116739E-9</v>
      </c>
      <c r="P43" s="40">
        <f t="shared" si="8"/>
        <v>4.8996933682990077E-5</v>
      </c>
      <c r="Q43" s="40">
        <f t="shared" si="9"/>
        <v>1.1830424440964682E-3</v>
      </c>
      <c r="R43" s="9">
        <f t="shared" si="14"/>
        <v>1.4999999999999999E-4</v>
      </c>
      <c r="S43" s="9">
        <f t="shared" si="12"/>
        <v>2.8407237404337862E-6</v>
      </c>
      <c r="T43" s="9">
        <f t="shared" si="10"/>
        <v>8.673755946452476E-7</v>
      </c>
      <c r="U43" s="9">
        <f t="shared" si="11"/>
        <v>1.471592762595662E-4</v>
      </c>
      <c r="V43" s="102">
        <f t="shared" si="13"/>
        <v>5.894127891165564E-3</v>
      </c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45">
      <c r="A44" s="90"/>
      <c r="B44" s="46" t="s">
        <v>85</v>
      </c>
      <c r="C44" s="46" t="s">
        <v>86</v>
      </c>
      <c r="D44" s="91">
        <v>2.7665919999999997</v>
      </c>
      <c r="E44" s="91">
        <v>3.5255839999999989</v>
      </c>
      <c r="F44" s="98">
        <v>9.9999999999999995E-7</v>
      </c>
      <c r="G44" s="140"/>
      <c r="H44" s="140"/>
      <c r="I44" s="94">
        <f t="shared" si="1"/>
        <v>0.70532975413914467</v>
      </c>
      <c r="J44" s="94">
        <f t="shared" si="2"/>
        <v>2.2086207765897057</v>
      </c>
      <c r="K44" s="95">
        <f t="shared" si="3"/>
        <v>0.19368533052041204</v>
      </c>
      <c r="L44" s="95">
        <f t="shared" si="4"/>
        <v>1.2170536757399233E-2</v>
      </c>
      <c r="M44" s="95">
        <f t="shared" si="5"/>
        <v>0.98782946324260079</v>
      </c>
      <c r="N44" s="95">
        <f t="shared" si="6"/>
        <v>8.5852287805952224E-3</v>
      </c>
      <c r="O44" s="40">
        <f t="shared" si="7"/>
        <v>1.9476912625555031E-7</v>
      </c>
      <c r="P44" s="40">
        <f t="shared" si="8"/>
        <v>3.1487696633479552E-5</v>
      </c>
      <c r="Q44" s="40">
        <f t="shared" si="9"/>
        <v>6.5328715028324441E-4</v>
      </c>
      <c r="R44" s="9">
        <f t="shared" si="14"/>
        <v>1.4999999999999999E-4</v>
      </c>
      <c r="S44" s="9">
        <f t="shared" si="12"/>
        <v>1.8255805136098848E-6</v>
      </c>
      <c r="T44" s="9">
        <f t="shared" si="10"/>
        <v>2.9052799578061804E-5</v>
      </c>
      <c r="U44" s="9">
        <f t="shared" si="11"/>
        <v>1.4817441948639012E-4</v>
      </c>
      <c r="V44" s="102">
        <f t="shared" si="13"/>
        <v>0.19607162746961407</v>
      </c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45">
      <c r="A45" s="90"/>
      <c r="B45" s="46" t="s">
        <v>140</v>
      </c>
      <c r="C45" s="46" t="s">
        <v>141</v>
      </c>
      <c r="D45" s="91">
        <v>4.4687359999999998</v>
      </c>
      <c r="E45" s="91">
        <v>5.2666120000000003</v>
      </c>
      <c r="F45" s="98">
        <v>9.9999999999999995E-7</v>
      </c>
      <c r="G45" s="140"/>
      <c r="H45" s="140"/>
      <c r="I45" s="94">
        <f t="shared" si="1"/>
        <v>2.3272580136650043</v>
      </c>
      <c r="J45" s="94">
        <f t="shared" si="2"/>
        <v>3.9363574076389534</v>
      </c>
      <c r="K45" s="95">
        <f t="shared" si="3"/>
        <v>4.6101254569609184E-3</v>
      </c>
      <c r="L45" s="95">
        <f t="shared" si="4"/>
        <v>1.5476130333181206E-2</v>
      </c>
      <c r="M45" s="95">
        <f t="shared" si="5"/>
        <v>0.98452386966681882</v>
      </c>
      <c r="N45" s="95">
        <f t="shared" si="6"/>
        <v>1.1256305925515844E-2</v>
      </c>
      <c r="O45" s="40">
        <f t="shared" si="7"/>
        <v>4.63592211536185E-9</v>
      </c>
      <c r="P45" s="40">
        <f t="shared" si="8"/>
        <v>4.0039951129939735E-5</v>
      </c>
      <c r="Q45" s="40">
        <f t="shared" si="9"/>
        <v>8.5654095059384196E-4</v>
      </c>
      <c r="R45" s="9">
        <f t="shared" si="14"/>
        <v>1.4999999999999999E-4</v>
      </c>
      <c r="S45" s="9">
        <f t="shared" si="12"/>
        <v>2.3214195499771808E-6</v>
      </c>
      <c r="T45" s="9">
        <f t="shared" si="10"/>
        <v>6.9151881854413771E-7</v>
      </c>
      <c r="U45" s="9">
        <f t="shared" si="11"/>
        <v>1.4767858045002281E-4</v>
      </c>
      <c r="V45" s="102">
        <f t="shared" si="13"/>
        <v>4.6825938903046309E-3</v>
      </c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45">
      <c r="A46" s="89"/>
      <c r="B46" s="46" t="s">
        <v>87</v>
      </c>
      <c r="C46" s="46" t="s">
        <v>88</v>
      </c>
      <c r="D46" s="93">
        <v>2.6972559999999999</v>
      </c>
      <c r="E46" s="93">
        <v>3.431432</v>
      </c>
      <c r="F46" s="98">
        <v>9.9999999999999995E-7</v>
      </c>
      <c r="G46" s="140"/>
      <c r="H46" s="140"/>
      <c r="I46" s="94">
        <f t="shared" si="1"/>
        <v>0.64458903464573347</v>
      </c>
      <c r="J46" s="94">
        <f t="shared" si="2"/>
        <v>2.1223563706849542</v>
      </c>
      <c r="K46" s="95">
        <f t="shared" si="3"/>
        <v>0.22291497186952919</v>
      </c>
      <c r="L46" s="95">
        <f t="shared" si="4"/>
        <v>1.148385858420296E-2</v>
      </c>
      <c r="M46" s="95">
        <f t="shared" si="5"/>
        <v>0.98851614141579702</v>
      </c>
      <c r="N46" s="95">
        <f t="shared" si="6"/>
        <v>7.9550402645835842E-3</v>
      </c>
      <c r="O46" s="40">
        <f t="shared" si="7"/>
        <v>2.2416232650997369E-7</v>
      </c>
      <c r="P46" s="40">
        <f t="shared" si="8"/>
        <v>2.9711118128074621E-5</v>
      </c>
      <c r="Q46" s="40">
        <f t="shared" si="9"/>
        <v>6.0533338337874422E-4</v>
      </c>
      <c r="R46" s="9">
        <f t="shared" si="14"/>
        <v>1.4999999999999999E-4</v>
      </c>
      <c r="S46" s="9">
        <f t="shared" si="12"/>
        <v>1.7225787876304439E-6</v>
      </c>
      <c r="T46" s="9">
        <f t="shared" si="10"/>
        <v>3.3437245780429373E-5</v>
      </c>
      <c r="U46" s="9">
        <f t="shared" si="11"/>
        <v>1.4827742121236955E-4</v>
      </c>
      <c r="V46" s="102">
        <f t="shared" si="13"/>
        <v>0.22550463521036732</v>
      </c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45">
      <c r="A47" s="89"/>
      <c r="B47" s="46" t="s">
        <v>142</v>
      </c>
      <c r="C47" s="46" t="s">
        <v>143</v>
      </c>
      <c r="D47" s="91">
        <v>3.859360000000001</v>
      </c>
      <c r="E47" s="91">
        <v>4.2614199999999993</v>
      </c>
      <c r="F47" s="98">
        <v>9.9999999999999995E-7</v>
      </c>
      <c r="G47" s="140"/>
      <c r="H47" s="140"/>
      <c r="I47" s="94">
        <f t="shared" si="1"/>
        <v>1.6299602750984028</v>
      </c>
      <c r="J47" s="94">
        <f t="shared" si="2"/>
        <v>3.0792919353710997</v>
      </c>
      <c r="K47" s="95">
        <f t="shared" si="3"/>
        <v>2.3071944765341659E-2</v>
      </c>
      <c r="L47" s="95">
        <f t="shared" si="4"/>
        <v>1.0763868053157365E-2</v>
      </c>
      <c r="M47" s="95">
        <f t="shared" si="5"/>
        <v>0.98923613194684268</v>
      </c>
      <c r="N47" s="95">
        <f t="shared" si="6"/>
        <v>5.5664119926638446E-3</v>
      </c>
      <c r="O47" s="40">
        <f t="shared" si="7"/>
        <v>2.3201047342552004E-8</v>
      </c>
      <c r="P47" s="40">
        <f t="shared" si="8"/>
        <v>2.7848353660701532E-5</v>
      </c>
      <c r="Q47" s="40">
        <f t="shared" si="9"/>
        <v>4.2357233813141543E-4</v>
      </c>
      <c r="R47" s="9">
        <f t="shared" si="14"/>
        <v>1.4999999999999999E-4</v>
      </c>
      <c r="S47" s="9">
        <f t="shared" si="12"/>
        <v>1.6145802079736047E-6</v>
      </c>
      <c r="T47" s="9">
        <f t="shared" si="10"/>
        <v>3.4607917148012485E-6</v>
      </c>
      <c r="U47" s="9">
        <f t="shared" si="11"/>
        <v>1.483854197920264E-4</v>
      </c>
      <c r="V47" s="102">
        <f t="shared" si="13"/>
        <v>2.3322990356140213E-2</v>
      </c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45">
      <c r="A48" s="89"/>
      <c r="B48" s="46" t="s">
        <v>144</v>
      </c>
      <c r="C48" s="46" t="s">
        <v>145</v>
      </c>
      <c r="D48" s="91">
        <v>2.0184960000000003</v>
      </c>
      <c r="E48" s="91">
        <v>2.3512620000000002</v>
      </c>
      <c r="F48" s="98">
        <v>9.9999999999999995E-7</v>
      </c>
      <c r="G48" s="140"/>
      <c r="H48" s="140"/>
      <c r="I48" s="94">
        <f t="shared" ref="I48:I50" si="15">IF(D48=0,"",LOG($K$15*10^D48+$K$16*10^E48+$K$14))</f>
        <v>0.19893820408979257</v>
      </c>
      <c r="J48" s="94">
        <f t="shared" ref="J48:J50" si="16">IF(D48=0,"",LOG($K$21*10^D48+$K$22*10^E48+$K$20))</f>
        <v>1.2270602613474699</v>
      </c>
      <c r="K48" s="95">
        <f t="shared" ref="K48:K50" si="17">IF(D48=0,"",1/(1+10^D48*$J$15/$J$14+10^E48*$J$16/$J$14+10^J48*$J$19/$J$14))</f>
        <v>0.62664038536908073</v>
      </c>
      <c r="L48" s="95">
        <f t="shared" ref="L48:L50" si="18">IF(D48=0,"",1/(1+10^I48/10^J48*$J$13/$J$19))</f>
        <v>4.1083824813659981E-3</v>
      </c>
      <c r="M48" s="95">
        <f t="shared" ref="M48:M92" si="19">IF(D48=0,"",1-L48)</f>
        <v>0.99589161751863398</v>
      </c>
      <c r="N48" s="95">
        <f t="shared" ref="N48:N50" si="20">IF(D48=0,"",1/(1/10^E48*$J$20/$J$22+10^D48/10^E48*$J$21/$J$22+10^I48/10^E48*$J$13/$J$22+1))</f>
        <v>1.8593087981698779E-3</v>
      </c>
      <c r="O48" s="40">
        <f t="shared" ref="O48:O92" si="21">IF(D48=0,"",F48*K48*$J$7/$J$14)</f>
        <v>6.3014684698547467E-7</v>
      </c>
      <c r="P48" s="40">
        <f t="shared" ref="P48:P50" si="22">IF(D48=0,"",O48*10^J48)</f>
        <v>1.0629235489462392E-5</v>
      </c>
      <c r="Q48" s="40">
        <f t="shared" ref="Q48:Q50" si="23">IF(D48=0,"",F48*N48*$J$7/$J$22)</f>
        <v>1.414828395718943E-4</v>
      </c>
      <c r="R48" s="9">
        <f t="shared" si="14"/>
        <v>1.4999999999999999E-4</v>
      </c>
      <c r="S48" s="9">
        <f t="shared" si="12"/>
        <v>6.1625737220489969E-7</v>
      </c>
      <c r="T48" s="9">
        <f t="shared" si="10"/>
        <v>9.3996057805362099E-5</v>
      </c>
      <c r="U48" s="9">
        <f t="shared" si="11"/>
        <v>1.4938374262779509E-4</v>
      </c>
      <c r="V48" s="102">
        <f t="shared" si="13"/>
        <v>0.62922548432571357</v>
      </c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45">
      <c r="A49" s="89"/>
      <c r="B49" s="46" t="s">
        <v>146</v>
      </c>
      <c r="C49" s="46" t="s">
        <v>147</v>
      </c>
      <c r="D49" s="91">
        <v>1.4665360000000003</v>
      </c>
      <c r="E49" s="91">
        <v>1.8522119999999997</v>
      </c>
      <c r="F49" s="98">
        <v>9.9999999999999995E-7</v>
      </c>
      <c r="G49" s="140"/>
      <c r="H49" s="140"/>
      <c r="I49" s="94">
        <f t="shared" si="15"/>
        <v>6.5352597387686409E-2</v>
      </c>
      <c r="J49" s="94">
        <f t="shared" si="16"/>
        <v>0.75185758381499102</v>
      </c>
      <c r="K49" s="95">
        <f t="shared" si="17"/>
        <v>0.85423388826362567</v>
      </c>
      <c r="L49" s="95">
        <f t="shared" si="18"/>
        <v>1.8751093821420762E-3</v>
      </c>
      <c r="M49" s="95">
        <f t="shared" si="19"/>
        <v>0.99812489061785792</v>
      </c>
      <c r="N49" s="95">
        <f t="shared" si="20"/>
        <v>8.0326702683234817E-4</v>
      </c>
      <c r="O49" s="40">
        <f t="shared" si="21"/>
        <v>8.5901388395262875E-7</v>
      </c>
      <c r="P49" s="40">
        <f t="shared" si="22"/>
        <v>4.8512959252668213E-6</v>
      </c>
      <c r="Q49" s="40">
        <f t="shared" si="23"/>
        <v>6.1124058576272067E-5</v>
      </c>
      <c r="R49" s="9">
        <f t="shared" si="14"/>
        <v>1.4999999999999999E-4</v>
      </c>
      <c r="S49" s="9">
        <f t="shared" si="12"/>
        <v>2.8126640732131143E-7</v>
      </c>
      <c r="T49" s="9">
        <f t="shared" si="10"/>
        <v>1.2813508323954384E-4</v>
      </c>
      <c r="U49" s="9">
        <f t="shared" si="11"/>
        <v>1.4971873359267867E-4</v>
      </c>
      <c r="V49" s="102">
        <f t="shared" si="13"/>
        <v>0.85583867940097047</v>
      </c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45">
      <c r="A50" s="89"/>
      <c r="B50" s="46" t="s">
        <v>148</v>
      </c>
      <c r="C50" s="46" t="s">
        <v>149</v>
      </c>
      <c r="D50" s="91"/>
      <c r="E50" s="91"/>
      <c r="F50" s="92"/>
      <c r="G50" s="140"/>
      <c r="H50" s="140"/>
      <c r="I50" s="94" t="str">
        <f t="shared" si="15"/>
        <v/>
      </c>
      <c r="J50" s="94" t="str">
        <f t="shared" si="16"/>
        <v/>
      </c>
      <c r="K50" s="95" t="str">
        <f t="shared" si="17"/>
        <v/>
      </c>
      <c r="L50" s="95" t="str">
        <f t="shared" si="18"/>
        <v/>
      </c>
      <c r="M50" s="95" t="str">
        <f t="shared" si="19"/>
        <v/>
      </c>
      <c r="N50" s="95" t="str">
        <f t="shared" si="20"/>
        <v/>
      </c>
      <c r="O50" s="40" t="str">
        <f t="shared" si="21"/>
        <v/>
      </c>
      <c r="P50" s="40" t="str">
        <f t="shared" si="22"/>
        <v/>
      </c>
      <c r="Q50" s="40" t="str">
        <f t="shared" si="23"/>
        <v/>
      </c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45">
      <c r="A51" s="89"/>
      <c r="B51" s="46" t="s">
        <v>150</v>
      </c>
      <c r="C51" s="46" t="s">
        <v>151</v>
      </c>
      <c r="D51" s="91"/>
      <c r="E51" s="91"/>
      <c r="F51" s="92"/>
      <c r="G51" s="140"/>
      <c r="H51" s="140"/>
      <c r="I51" s="94" t="str">
        <f t="shared" ref="I51:I70" si="24">IF(D51=0,"",LOG($K$15*10^D51+$K$16*10^E51+$K$14))</f>
        <v/>
      </c>
      <c r="J51" s="94" t="str">
        <f t="shared" ref="J51:J70" si="25">IF(D51=0,"",LOG($K$21*10^D51+$K$22*10^E51+$K$20))</f>
        <v/>
      </c>
      <c r="K51" s="95" t="str">
        <f t="shared" ref="K51:K70" si="26">IF(D51=0,"",1/(1+10^D51*$J$15/$J$14+10^E51*$J$16/$J$14+10^J51*$J$19/$J$14))</f>
        <v/>
      </c>
      <c r="L51" s="95" t="str">
        <f t="shared" ref="L51:L70" si="27">IF(D51=0,"",1/(1+10^I51/10^J51*$J$13/$J$19))</f>
        <v/>
      </c>
      <c r="M51" s="95" t="str">
        <f t="shared" ref="M51:M70" si="28">IF(D51=0,"",1-L51)</f>
        <v/>
      </c>
      <c r="N51" s="95" t="str">
        <f t="shared" ref="N51:N70" si="29">IF(D51=0,"",1/(1/10^E51*$J$20/$J$22+10^D51/10^E51*$J$21/$J$22+10^I51/10^E51*$J$13/$J$22+1))</f>
        <v/>
      </c>
      <c r="O51" s="40" t="str">
        <f t="shared" ref="O51:O70" si="30">IF(D51=0,"",F51*K51*$J$7/$J$14)</f>
        <v/>
      </c>
      <c r="P51" s="40" t="str">
        <f t="shared" ref="P51:P70" si="31">IF(D51=0,"",O51*10^J51)</f>
        <v/>
      </c>
      <c r="Q51" s="40" t="str">
        <f t="shared" ref="Q51:Q70" si="32">IF(D51=0,"",F51*N51*$J$7/$J$22)</f>
        <v/>
      </c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45">
      <c r="A52" s="7"/>
      <c r="B52" s="46" t="s">
        <v>152</v>
      </c>
      <c r="C52" s="46" t="s">
        <v>153</v>
      </c>
      <c r="D52" s="47"/>
      <c r="E52" s="47"/>
      <c r="F52" s="92"/>
      <c r="G52" s="140"/>
      <c r="H52" s="140"/>
      <c r="I52" s="94" t="str">
        <f t="shared" si="24"/>
        <v/>
      </c>
      <c r="J52" s="94" t="str">
        <f t="shared" si="25"/>
        <v/>
      </c>
      <c r="K52" s="95" t="str">
        <f t="shared" si="26"/>
        <v/>
      </c>
      <c r="L52" s="95" t="str">
        <f t="shared" si="27"/>
        <v/>
      </c>
      <c r="M52" s="95" t="str">
        <f t="shared" si="28"/>
        <v/>
      </c>
      <c r="N52" s="95" t="str">
        <f t="shared" si="29"/>
        <v/>
      </c>
      <c r="O52" s="40" t="str">
        <f t="shared" si="30"/>
        <v/>
      </c>
      <c r="P52" s="40" t="str">
        <f t="shared" si="31"/>
        <v/>
      </c>
      <c r="Q52" s="40" t="str">
        <f t="shared" si="32"/>
        <v/>
      </c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45">
      <c r="A53" s="7"/>
      <c r="B53" s="46" t="s">
        <v>154</v>
      </c>
      <c r="C53" s="46" t="s">
        <v>155</v>
      </c>
      <c r="D53" s="47"/>
      <c r="E53" s="47"/>
      <c r="F53" s="92"/>
      <c r="G53" s="140"/>
      <c r="H53" s="140"/>
      <c r="I53" s="94" t="str">
        <f t="shared" si="24"/>
        <v/>
      </c>
      <c r="J53" s="94" t="str">
        <f t="shared" si="25"/>
        <v/>
      </c>
      <c r="K53" s="95" t="str">
        <f t="shared" si="26"/>
        <v/>
      </c>
      <c r="L53" s="95" t="str">
        <f t="shared" si="27"/>
        <v/>
      </c>
      <c r="M53" s="95" t="str">
        <f t="shared" si="28"/>
        <v/>
      </c>
      <c r="N53" s="95" t="str">
        <f t="shared" si="29"/>
        <v/>
      </c>
      <c r="O53" s="40" t="str">
        <f t="shared" si="30"/>
        <v/>
      </c>
      <c r="P53" s="40" t="str">
        <f t="shared" si="31"/>
        <v/>
      </c>
      <c r="Q53" s="40" t="str">
        <f t="shared" si="32"/>
        <v/>
      </c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45">
      <c r="A54" s="7"/>
      <c r="B54" s="46" t="s">
        <v>156</v>
      </c>
      <c r="C54" s="46" t="s">
        <v>157</v>
      </c>
      <c r="D54" s="47"/>
      <c r="E54" s="47"/>
      <c r="F54" s="92"/>
      <c r="G54" s="140"/>
      <c r="H54" s="140"/>
      <c r="I54" s="94" t="str">
        <f t="shared" si="24"/>
        <v/>
      </c>
      <c r="J54" s="94" t="str">
        <f t="shared" si="25"/>
        <v/>
      </c>
      <c r="K54" s="95" t="str">
        <f t="shared" si="26"/>
        <v/>
      </c>
      <c r="L54" s="95" t="str">
        <f t="shared" si="27"/>
        <v/>
      </c>
      <c r="M54" s="95" t="str">
        <f t="shared" si="28"/>
        <v/>
      </c>
      <c r="N54" s="95" t="str">
        <f t="shared" si="29"/>
        <v/>
      </c>
      <c r="O54" s="40" t="str">
        <f t="shared" si="30"/>
        <v/>
      </c>
      <c r="P54" s="40" t="str">
        <f t="shared" si="31"/>
        <v/>
      </c>
      <c r="Q54" s="40" t="str">
        <f t="shared" si="32"/>
        <v/>
      </c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45">
      <c r="A55" s="7"/>
      <c r="B55" s="46" t="s">
        <v>158</v>
      </c>
      <c r="C55" s="46" t="s">
        <v>159</v>
      </c>
      <c r="D55" s="47"/>
      <c r="E55" s="47"/>
      <c r="F55" s="57"/>
      <c r="G55" s="140"/>
      <c r="H55" s="140"/>
      <c r="I55" s="54" t="str">
        <f t="shared" si="24"/>
        <v/>
      </c>
      <c r="J55" s="54" t="str">
        <f t="shared" si="25"/>
        <v/>
      </c>
      <c r="K55" s="55" t="str">
        <f t="shared" si="26"/>
        <v/>
      </c>
      <c r="L55" s="55" t="str">
        <f t="shared" si="27"/>
        <v/>
      </c>
      <c r="M55" s="55" t="str">
        <f t="shared" si="28"/>
        <v/>
      </c>
      <c r="N55" s="55" t="str">
        <f t="shared" si="29"/>
        <v/>
      </c>
      <c r="O55" s="56" t="str">
        <f t="shared" si="30"/>
        <v/>
      </c>
      <c r="P55" s="56" t="str">
        <f t="shared" si="31"/>
        <v/>
      </c>
      <c r="Q55" s="56" t="str">
        <f t="shared" si="32"/>
        <v/>
      </c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45">
      <c r="A56" s="7"/>
      <c r="B56" s="46" t="s">
        <v>160</v>
      </c>
      <c r="C56" s="46" t="s">
        <v>161</v>
      </c>
      <c r="D56" s="47"/>
      <c r="E56" s="47"/>
      <c r="F56" s="57"/>
      <c r="G56" s="140"/>
      <c r="H56" s="140"/>
      <c r="I56" s="54" t="str">
        <f t="shared" si="24"/>
        <v/>
      </c>
      <c r="J56" s="54" t="str">
        <f t="shared" si="25"/>
        <v/>
      </c>
      <c r="K56" s="55" t="str">
        <f t="shared" si="26"/>
        <v/>
      </c>
      <c r="L56" s="55" t="str">
        <f t="shared" si="27"/>
        <v/>
      </c>
      <c r="M56" s="55" t="str">
        <f t="shared" si="28"/>
        <v/>
      </c>
      <c r="N56" s="55" t="str">
        <f t="shared" si="29"/>
        <v/>
      </c>
      <c r="O56" s="56" t="str">
        <f t="shared" si="30"/>
        <v/>
      </c>
      <c r="P56" s="56" t="str">
        <f t="shared" si="31"/>
        <v/>
      </c>
      <c r="Q56" s="56" t="str">
        <f t="shared" si="32"/>
        <v/>
      </c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45">
      <c r="A57" s="7"/>
      <c r="B57" s="88" t="s">
        <v>89</v>
      </c>
      <c r="C57" s="88" t="s">
        <v>90</v>
      </c>
      <c r="D57" s="91">
        <v>6.5247999999999973E-2</v>
      </c>
      <c r="E57" s="91">
        <v>8.2216000000000289E-2</v>
      </c>
      <c r="F57" s="98">
        <v>9.9999999999999995E-7</v>
      </c>
      <c r="G57" s="140"/>
      <c r="H57" s="140"/>
      <c r="I57" s="54">
        <f t="shared" si="24"/>
        <v>3.7217650281818146E-4</v>
      </c>
      <c r="J57" s="54">
        <f t="shared" si="25"/>
        <v>8.6236157418987745E-3</v>
      </c>
      <c r="K57" s="55">
        <f t="shared" si="26"/>
        <v>0.99357628426857036</v>
      </c>
      <c r="L57" s="55">
        <f t="shared" si="27"/>
        <v>3.9392818874636271E-4</v>
      </c>
      <c r="M57" s="55">
        <f t="shared" si="28"/>
        <v>0.9996060718112536</v>
      </c>
      <c r="N57" s="55">
        <f t="shared" si="29"/>
        <v>1.586676393973016E-5</v>
      </c>
      <c r="O57" s="56">
        <f t="shared" si="30"/>
        <v>9.9913599153463672E-7</v>
      </c>
      <c r="P57" s="56">
        <f t="shared" si="31"/>
        <v>1.0191737266707187E-6</v>
      </c>
      <c r="Q57" s="56">
        <f t="shared" si="32"/>
        <v>1.2073706203184728E-6</v>
      </c>
      <c r="R57" s="9">
        <f t="shared" ref="R57:R58" si="33">F57*$C$14</f>
        <v>1.4999999999999999E-4</v>
      </c>
      <c r="S57" s="9">
        <f t="shared" ref="S57:S58" si="34">$R57*L57</f>
        <v>5.90892283119544E-8</v>
      </c>
      <c r="T57" s="9">
        <f t="shared" ref="T57:T58" si="35">R57*K57</f>
        <v>1.4903644264028555E-4</v>
      </c>
      <c r="U57" s="9">
        <f t="shared" ref="U57:U58" si="36">$R57*M57</f>
        <v>1.4994091077168804E-4</v>
      </c>
      <c r="V57" s="102">
        <f t="shared" ref="V57:V58" si="37">K57/M57</f>
        <v>0.99396783621796392</v>
      </c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45">
      <c r="A58" s="7"/>
      <c r="B58" s="46" t="s">
        <v>162</v>
      </c>
      <c r="C58" s="46" t="s">
        <v>163</v>
      </c>
      <c r="D58" s="47">
        <v>2.1823520000000003</v>
      </c>
      <c r="E58" s="47">
        <v>2.5882690000000008</v>
      </c>
      <c r="F58" s="98">
        <v>9.9999999999999995E-7</v>
      </c>
      <c r="G58" s="140"/>
      <c r="H58" s="140"/>
      <c r="I58" s="54">
        <f t="shared" si="24"/>
        <v>0.27242732253974722</v>
      </c>
      <c r="J58" s="54">
        <f t="shared" si="25"/>
        <v>1.4188837414976314</v>
      </c>
      <c r="K58" s="55">
        <f t="shared" si="26"/>
        <v>0.52840969370894963</v>
      </c>
      <c r="L58" s="55">
        <f t="shared" si="27"/>
        <v>5.3882376773276104E-3</v>
      </c>
      <c r="M58" s="55">
        <f t="shared" si="28"/>
        <v>0.99461176232267234</v>
      </c>
      <c r="N58" s="55">
        <f t="shared" si="29"/>
        <v>2.7058948739489474E-3</v>
      </c>
      <c r="O58" s="56">
        <f t="shared" si="30"/>
        <v>5.3136649054487279E-7</v>
      </c>
      <c r="P58" s="56">
        <f t="shared" si="31"/>
        <v>1.3940485679041837E-5</v>
      </c>
      <c r="Q58" s="56">
        <f t="shared" si="32"/>
        <v>2.0590323174190221E-4</v>
      </c>
      <c r="R58" s="9">
        <f t="shared" si="33"/>
        <v>1.4999999999999999E-4</v>
      </c>
      <c r="S58" s="9">
        <f t="shared" si="34"/>
        <v>8.0823565159914144E-7</v>
      </c>
      <c r="T58" s="9">
        <f t="shared" si="35"/>
        <v>7.9261454056342437E-5</v>
      </c>
      <c r="U58" s="9">
        <f t="shared" si="36"/>
        <v>1.4919176434840083E-4</v>
      </c>
      <c r="V58" s="102">
        <f t="shared" si="37"/>
        <v>0.53127231521471063</v>
      </c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45">
      <c r="A59" s="7"/>
      <c r="B59" s="46" t="s">
        <v>164</v>
      </c>
      <c r="C59" s="46" t="s">
        <v>165</v>
      </c>
      <c r="D59" s="47"/>
      <c r="E59" s="47"/>
      <c r="F59" s="57"/>
      <c r="G59" s="140"/>
      <c r="H59" s="140"/>
      <c r="I59" s="54" t="str">
        <f t="shared" si="24"/>
        <v/>
      </c>
      <c r="J59" s="54" t="str">
        <f t="shared" si="25"/>
        <v/>
      </c>
      <c r="K59" s="55" t="str">
        <f t="shared" si="26"/>
        <v/>
      </c>
      <c r="L59" s="55" t="str">
        <f t="shared" si="27"/>
        <v/>
      </c>
      <c r="M59" s="55" t="str">
        <f t="shared" si="28"/>
        <v/>
      </c>
      <c r="N59" s="55" t="str">
        <f t="shared" si="29"/>
        <v/>
      </c>
      <c r="O59" s="56" t="str">
        <f t="shared" si="30"/>
        <v/>
      </c>
      <c r="P59" s="56" t="str">
        <f t="shared" si="31"/>
        <v/>
      </c>
      <c r="Q59" s="56" t="str">
        <f t="shared" si="32"/>
        <v/>
      </c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45">
      <c r="A60" s="7"/>
      <c r="B60" s="46" t="s">
        <v>91</v>
      </c>
      <c r="C60" s="46" t="s">
        <v>92</v>
      </c>
      <c r="D60" s="47">
        <v>2.3628240000000003</v>
      </c>
      <c r="E60" s="47">
        <v>2.5674030000000005</v>
      </c>
      <c r="F60" s="98">
        <v>9.9999999999999995E-7</v>
      </c>
      <c r="G60" s="140"/>
      <c r="H60" s="140"/>
      <c r="I60" s="54">
        <f t="shared" si="24"/>
        <v>0.35062624883359406</v>
      </c>
      <c r="J60" s="54">
        <f t="shared" si="25"/>
        <v>1.5036461500927543</v>
      </c>
      <c r="K60" s="55">
        <f t="shared" si="26"/>
        <v>0.44130232664295443</v>
      </c>
      <c r="L60" s="55">
        <f t="shared" si="27"/>
        <v>5.469839636152816E-3</v>
      </c>
      <c r="M60" s="55">
        <f t="shared" si="28"/>
        <v>0.99453016036384723</v>
      </c>
      <c r="N60" s="55">
        <f t="shared" si="29"/>
        <v>2.1538247385130341E-3</v>
      </c>
      <c r="O60" s="56">
        <f t="shared" si="30"/>
        <v>4.437717009535289E-7</v>
      </c>
      <c r="P60" s="56">
        <f t="shared" si="31"/>
        <v>1.4151606829686539E-5</v>
      </c>
      <c r="Q60" s="56">
        <f t="shared" si="32"/>
        <v>1.6389382992484225E-4</v>
      </c>
      <c r="R60" s="9">
        <f t="shared" ref="R60:R65" si="38">F60*$C$14</f>
        <v>1.4999999999999999E-4</v>
      </c>
      <c r="S60" s="9">
        <f t="shared" ref="S60:S93" si="39">$R60*L60</f>
        <v>8.2047594542292229E-7</v>
      </c>
      <c r="T60" s="9">
        <f t="shared" ref="T60:T93" si="40">R60*K60</f>
        <v>6.6195348996443153E-5</v>
      </c>
      <c r="U60" s="9">
        <f t="shared" ref="U60:U93" si="41">$R60*M60</f>
        <v>1.4917952405457707E-4</v>
      </c>
      <c r="V60" s="102">
        <f t="shared" ref="V60:V93" si="42">K60/M60</f>
        <v>0.44372945560696186</v>
      </c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45">
      <c r="A61" s="7"/>
      <c r="B61" s="46" t="s">
        <v>93</v>
      </c>
      <c r="C61" s="46" t="s">
        <v>94</v>
      </c>
      <c r="D61" s="47">
        <v>3.2672240000000001</v>
      </c>
      <c r="E61" s="47">
        <v>3.6253630000000006</v>
      </c>
      <c r="F61" s="98">
        <v>9.9999999999999995E-7</v>
      </c>
      <c r="G61" s="140"/>
      <c r="H61" s="140"/>
      <c r="I61" s="54">
        <f t="shared" si="24"/>
        <v>1.0599296125914559</v>
      </c>
      <c r="J61" s="54">
        <f t="shared" si="25"/>
        <v>2.465978133838072</v>
      </c>
      <c r="K61" s="55">
        <f t="shared" si="26"/>
        <v>8.5814074414814132E-2</v>
      </c>
      <c r="L61" s="55">
        <f t="shared" si="27"/>
        <v>9.7527902281414839E-3</v>
      </c>
      <c r="M61" s="55">
        <f t="shared" si="28"/>
        <v>0.99024720977185854</v>
      </c>
      <c r="N61" s="55">
        <f t="shared" si="29"/>
        <v>4.7862201004190757E-3</v>
      </c>
      <c r="O61" s="56">
        <f t="shared" si="30"/>
        <v>8.6294260124365396E-8</v>
      </c>
      <c r="P61" s="56">
        <f t="shared" si="31"/>
        <v>2.5232486138869918E-5</v>
      </c>
      <c r="Q61" s="56">
        <f t="shared" si="32"/>
        <v>3.6420416624172701E-4</v>
      </c>
      <c r="R61" s="9">
        <f t="shared" si="38"/>
        <v>1.4999999999999999E-4</v>
      </c>
      <c r="S61" s="9">
        <f t="shared" si="39"/>
        <v>1.4629185342212225E-6</v>
      </c>
      <c r="T61" s="9">
        <f t="shared" si="40"/>
        <v>1.2872111162222119E-5</v>
      </c>
      <c r="U61" s="9">
        <f t="shared" si="41"/>
        <v>1.4853708146577878E-4</v>
      </c>
      <c r="V61" s="102">
        <f t="shared" si="42"/>
        <v>8.6659243841327963E-2</v>
      </c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45">
      <c r="A62" s="7"/>
      <c r="B62" s="46" t="s">
        <v>166</v>
      </c>
      <c r="C62" s="46" t="s">
        <v>111</v>
      </c>
      <c r="D62" s="47">
        <v>2.9091840000000002</v>
      </c>
      <c r="E62" s="47">
        <v>3.4102429999999995</v>
      </c>
      <c r="F62" s="98">
        <v>9.9999999999999995E-7</v>
      </c>
      <c r="G62" s="140"/>
      <c r="H62" s="140"/>
      <c r="I62" s="54">
        <f t="shared" si="24"/>
        <v>0.76837016932652724</v>
      </c>
      <c r="J62" s="54">
        <f t="shared" si="25"/>
        <v>2.1853515861255404</v>
      </c>
      <c r="K62" s="55">
        <f t="shared" si="26"/>
        <v>0.1678842672872447</v>
      </c>
      <c r="L62" s="55">
        <f t="shared" si="27"/>
        <v>9.9989365482179883E-3</v>
      </c>
      <c r="M62" s="55">
        <f t="shared" si="28"/>
        <v>0.99000106345178196</v>
      </c>
      <c r="N62" s="55">
        <f t="shared" si="29"/>
        <v>5.7058998327752476E-3</v>
      </c>
      <c r="O62" s="56">
        <f t="shared" si="30"/>
        <v>1.6882368924756479E-7</v>
      </c>
      <c r="P62" s="56">
        <f t="shared" si="31"/>
        <v>2.5869317595732681E-5</v>
      </c>
      <c r="Q62" s="56">
        <f t="shared" si="32"/>
        <v>4.3418657054086616E-4</v>
      </c>
      <c r="R62" s="9">
        <f t="shared" si="38"/>
        <v>1.4999999999999999E-4</v>
      </c>
      <c r="S62" s="9">
        <f t="shared" si="39"/>
        <v>1.4998404822326981E-6</v>
      </c>
      <c r="T62" s="9">
        <f t="shared" si="40"/>
        <v>2.5182640093086703E-5</v>
      </c>
      <c r="U62" s="9">
        <f t="shared" si="41"/>
        <v>1.4850015951776727E-4</v>
      </c>
      <c r="V62" s="102">
        <f t="shared" si="42"/>
        <v>0.16957988580526562</v>
      </c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45">
      <c r="A63" s="7"/>
      <c r="B63" s="46" t="s">
        <v>95</v>
      </c>
      <c r="C63" s="46" t="s">
        <v>96</v>
      </c>
      <c r="D63" s="47">
        <v>2.857424</v>
      </c>
      <c r="E63" s="47">
        <v>3.3289280000000003</v>
      </c>
      <c r="F63" s="98">
        <v>9.9999999999999995E-7</v>
      </c>
      <c r="G63" s="140"/>
      <c r="H63" s="140"/>
      <c r="I63" s="54">
        <f t="shared" si="24"/>
        <v>0.7211484450377651</v>
      </c>
      <c r="J63" s="54">
        <f t="shared" si="25"/>
        <v>2.1173032596981405</v>
      </c>
      <c r="K63" s="55">
        <f t="shared" si="26"/>
        <v>0.1872557235907554</v>
      </c>
      <c r="L63" s="55">
        <f t="shared" si="27"/>
        <v>9.5352171407257925E-3</v>
      </c>
      <c r="M63" s="55">
        <f t="shared" si="28"/>
        <v>0.9904647828592742</v>
      </c>
      <c r="N63" s="55">
        <f t="shared" si="29"/>
        <v>5.2775729462491072E-3</v>
      </c>
      <c r="O63" s="56">
        <f t="shared" si="30"/>
        <v>1.8830354148208768E-7</v>
      </c>
      <c r="P63" s="56">
        <f t="shared" si="31"/>
        <v>2.4669579546603986E-5</v>
      </c>
      <c r="Q63" s="56">
        <f t="shared" si="32"/>
        <v>4.0159332716442625E-4</v>
      </c>
      <c r="R63" s="9">
        <f t="shared" si="38"/>
        <v>1.4999999999999999E-4</v>
      </c>
      <c r="S63" s="9">
        <f t="shared" si="39"/>
        <v>1.4302825711088688E-6</v>
      </c>
      <c r="T63" s="9">
        <f t="shared" si="40"/>
        <v>2.8088358538613308E-5</v>
      </c>
      <c r="U63" s="9">
        <f t="shared" si="41"/>
        <v>1.4856971742889112E-4</v>
      </c>
      <c r="V63" s="102">
        <f t="shared" si="42"/>
        <v>0.18905843683829474</v>
      </c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45">
      <c r="A64" s="7"/>
      <c r="B64" s="46" t="s">
        <v>97</v>
      </c>
      <c r="C64" s="46" t="s">
        <v>98</v>
      </c>
      <c r="D64" s="47">
        <v>2.0783680000000002</v>
      </c>
      <c r="E64" s="47">
        <v>2.5770209999999998</v>
      </c>
      <c r="F64" s="98">
        <v>9.9999999999999995E-7</v>
      </c>
      <c r="G64" s="140"/>
      <c r="H64" s="140"/>
      <c r="I64" s="54">
        <f t="shared" si="24"/>
        <v>0.2338148544799136</v>
      </c>
      <c r="J64" s="54">
        <f t="shared" si="25"/>
        <v>1.3674698928675459</v>
      </c>
      <c r="K64" s="55">
        <f t="shared" si="26"/>
        <v>0.57763196705339248</v>
      </c>
      <c r="L64" s="55">
        <f t="shared" si="27"/>
        <v>5.2325494261407698E-3</v>
      </c>
      <c r="M64" s="55">
        <f t="shared" si="28"/>
        <v>0.99476745057385918</v>
      </c>
      <c r="N64" s="55">
        <f t="shared" si="29"/>
        <v>2.8823277534426451E-3</v>
      </c>
      <c r="O64" s="56">
        <f t="shared" si="30"/>
        <v>5.808641946087261E-7</v>
      </c>
      <c r="P64" s="56">
        <f t="shared" si="31"/>
        <v>1.3537687961859165E-5</v>
      </c>
      <c r="Q64" s="56">
        <f t="shared" si="32"/>
        <v>2.1932877181850732E-4</v>
      </c>
      <c r="R64" s="9">
        <f t="shared" si="38"/>
        <v>1.4999999999999999E-4</v>
      </c>
      <c r="S64" s="9">
        <f t="shared" si="39"/>
        <v>7.8488241392111544E-7</v>
      </c>
      <c r="T64" s="9">
        <f t="shared" si="40"/>
        <v>8.6644795058008869E-5</v>
      </c>
      <c r="U64" s="9">
        <f t="shared" si="41"/>
        <v>1.4921511758607885E-4</v>
      </c>
      <c r="V64" s="102">
        <f t="shared" si="42"/>
        <v>0.58067035337773609</v>
      </c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45">
      <c r="A65" s="7"/>
      <c r="B65" s="46" t="s">
        <v>167</v>
      </c>
      <c r="C65" s="46" t="s">
        <v>168</v>
      </c>
      <c r="D65" s="47">
        <v>3.4409280000000009</v>
      </c>
      <c r="E65" s="47">
        <v>4.1160660000000009</v>
      </c>
      <c r="F65" s="98">
        <v>9.9999999999999995E-7</v>
      </c>
      <c r="G65" s="140"/>
      <c r="H65" s="140"/>
      <c r="I65" s="54">
        <f t="shared" si="24"/>
        <v>1.2834731216469764</v>
      </c>
      <c r="J65" s="54">
        <f t="shared" si="25"/>
        <v>2.8233837190602822</v>
      </c>
      <c r="K65" s="55">
        <f t="shared" si="26"/>
        <v>5.1107966470422393E-2</v>
      </c>
      <c r="L65" s="55">
        <f t="shared" si="27"/>
        <v>1.3227097260091934E-2</v>
      </c>
      <c r="M65" s="55">
        <f t="shared" si="28"/>
        <v>0.98677290273990803</v>
      </c>
      <c r="N65" s="55">
        <f t="shared" si="29"/>
        <v>8.8231923049261404E-3</v>
      </c>
      <c r="O65" s="56">
        <f t="shared" si="30"/>
        <v>5.1393948872617776E-8</v>
      </c>
      <c r="P65" s="56">
        <f t="shared" si="31"/>
        <v>3.4221237252670292E-5</v>
      </c>
      <c r="Q65" s="56">
        <f t="shared" si="32"/>
        <v>6.7139482296785333E-4</v>
      </c>
      <c r="R65" s="9">
        <f t="shared" si="38"/>
        <v>1.4999999999999999E-4</v>
      </c>
      <c r="S65" s="9">
        <f t="shared" si="39"/>
        <v>1.9840645890137901E-6</v>
      </c>
      <c r="T65" s="9">
        <f t="shared" si="40"/>
        <v>7.6661949705633579E-6</v>
      </c>
      <c r="U65" s="9">
        <f t="shared" si="41"/>
        <v>1.480159354109862E-4</v>
      </c>
      <c r="V65" s="102">
        <f t="shared" si="42"/>
        <v>5.1793038021731477E-2</v>
      </c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45">
      <c r="A66" s="7"/>
      <c r="B66" s="46" t="s">
        <v>169</v>
      </c>
      <c r="C66" s="46" t="s">
        <v>170</v>
      </c>
      <c r="D66" s="47"/>
      <c r="E66" s="47"/>
      <c r="F66" s="57"/>
      <c r="G66" s="140"/>
      <c r="H66" s="140"/>
      <c r="I66" s="54" t="str">
        <f t="shared" si="24"/>
        <v/>
      </c>
      <c r="J66" s="54" t="str">
        <f t="shared" si="25"/>
        <v/>
      </c>
      <c r="K66" s="55" t="str">
        <f t="shared" si="26"/>
        <v/>
      </c>
      <c r="L66" s="55" t="str">
        <f t="shared" si="27"/>
        <v/>
      </c>
      <c r="M66" s="55" t="str">
        <f t="shared" si="28"/>
        <v/>
      </c>
      <c r="N66" s="55" t="str">
        <f t="shared" si="29"/>
        <v/>
      </c>
      <c r="O66" s="56" t="str">
        <f t="shared" si="30"/>
        <v/>
      </c>
      <c r="P66" s="56" t="str">
        <f t="shared" si="31"/>
        <v/>
      </c>
      <c r="Q66" s="56" t="str">
        <f t="shared" si="32"/>
        <v/>
      </c>
      <c r="R66" s="9"/>
      <c r="S66" s="9"/>
      <c r="T66" s="9"/>
      <c r="U66" s="9"/>
      <c r="V66" s="102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45">
      <c r="A67" s="7"/>
      <c r="B67" s="46" t="s">
        <v>171</v>
      </c>
      <c r="C67" s="46" t="s">
        <v>172</v>
      </c>
      <c r="D67" s="47"/>
      <c r="E67" s="47"/>
      <c r="F67" s="57"/>
      <c r="G67" s="140"/>
      <c r="H67" s="140"/>
      <c r="I67" s="54" t="str">
        <f t="shared" si="24"/>
        <v/>
      </c>
      <c r="J67" s="54" t="str">
        <f t="shared" si="25"/>
        <v/>
      </c>
      <c r="K67" s="55" t="str">
        <f t="shared" si="26"/>
        <v/>
      </c>
      <c r="L67" s="55" t="str">
        <f t="shared" si="27"/>
        <v/>
      </c>
      <c r="M67" s="55" t="str">
        <f t="shared" si="28"/>
        <v/>
      </c>
      <c r="N67" s="55" t="str">
        <f t="shared" si="29"/>
        <v/>
      </c>
      <c r="O67" s="56" t="str">
        <f t="shared" si="30"/>
        <v/>
      </c>
      <c r="P67" s="56" t="str">
        <f t="shared" si="31"/>
        <v/>
      </c>
      <c r="Q67" s="56" t="str">
        <f t="shared" si="32"/>
        <v/>
      </c>
      <c r="R67" s="9"/>
      <c r="S67" s="9"/>
      <c r="T67" s="9"/>
      <c r="U67" s="9"/>
      <c r="V67" s="102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45">
      <c r="A68" s="7"/>
      <c r="B68" s="46" t="s">
        <v>99</v>
      </c>
      <c r="C68" s="46" t="s">
        <v>100</v>
      </c>
      <c r="D68" s="47">
        <v>2.3414159999999997</v>
      </c>
      <c r="E68" s="47">
        <v>2.4767320000000002</v>
      </c>
      <c r="F68" s="98">
        <v>9.9999999999999995E-7</v>
      </c>
      <c r="G68" s="140"/>
      <c r="H68" s="140"/>
      <c r="I68" s="54">
        <f t="shared" si="24"/>
        <v>0.33491051106253611</v>
      </c>
      <c r="J68" s="54">
        <f t="shared" si="25"/>
        <v>1.4569140663004096</v>
      </c>
      <c r="K68" s="55">
        <f t="shared" si="26"/>
        <v>0.4577366888798457</v>
      </c>
      <c r="L68" s="55">
        <f t="shared" si="27"/>
        <v>5.0947398967961096E-3</v>
      </c>
      <c r="M68" s="55">
        <f t="shared" si="28"/>
        <v>0.9949052601032039</v>
      </c>
      <c r="N68" s="55">
        <f t="shared" si="29"/>
        <v>1.8130879331030958E-3</v>
      </c>
      <c r="O68" s="56">
        <f t="shared" si="30"/>
        <v>4.602980241647191E-7</v>
      </c>
      <c r="P68" s="56">
        <f t="shared" si="31"/>
        <v>1.3181146197128117E-5</v>
      </c>
      <c r="Q68" s="56">
        <f t="shared" si="32"/>
        <v>1.3796569425232475E-4</v>
      </c>
      <c r="R68" s="9">
        <f>F68*$C$14</f>
        <v>1.4999999999999999E-4</v>
      </c>
      <c r="S68" s="9">
        <f t="shared" si="39"/>
        <v>7.6421098451941633E-7</v>
      </c>
      <c r="T68" s="9">
        <f t="shared" si="40"/>
        <v>6.8660503331976843E-5</v>
      </c>
      <c r="U68" s="9">
        <f t="shared" si="41"/>
        <v>1.4923578901548056E-4</v>
      </c>
      <c r="V68" s="102">
        <f t="shared" si="42"/>
        <v>0.46008068027740007</v>
      </c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45">
      <c r="A69" s="7"/>
      <c r="B69" s="46" t="s">
        <v>173</v>
      </c>
      <c r="C69" s="46" t="s">
        <v>174</v>
      </c>
      <c r="D69" s="47">
        <v>4.3302640000000006</v>
      </c>
      <c r="E69" s="47">
        <v>5.074033</v>
      </c>
      <c r="F69" s="98">
        <v>9.9999999999999995E-7</v>
      </c>
      <c r="G69" s="140"/>
      <c r="H69" s="140"/>
      <c r="I69" s="54">
        <f t="shared" si="24"/>
        <v>2.1724337273682748</v>
      </c>
      <c r="J69" s="54">
        <f t="shared" si="25"/>
        <v>3.7592307464751822</v>
      </c>
      <c r="K69" s="55">
        <f t="shared" si="26"/>
        <v>6.5898207683120578E-3</v>
      </c>
      <c r="L69" s="55">
        <f t="shared" si="27"/>
        <v>1.4712842160401102E-2</v>
      </c>
      <c r="M69" s="55">
        <f t="shared" si="28"/>
        <v>0.98528715783959886</v>
      </c>
      <c r="N69" s="55">
        <f t="shared" si="29"/>
        <v>1.03270848769686E-2</v>
      </c>
      <c r="O69" s="56">
        <f t="shared" si="30"/>
        <v>6.6266951130279556E-9</v>
      </c>
      <c r="P69" s="56">
        <f t="shared" si="31"/>
        <v>3.8065166705266726E-5</v>
      </c>
      <c r="Q69" s="56">
        <f t="shared" si="32"/>
        <v>7.8583250632259342E-4</v>
      </c>
      <c r="R69" s="9">
        <f>F69*$C$14</f>
        <v>1.4999999999999999E-4</v>
      </c>
      <c r="S69" s="9">
        <f t="shared" si="39"/>
        <v>2.2069263240601654E-6</v>
      </c>
      <c r="T69" s="9">
        <f t="shared" si="40"/>
        <v>9.884731152468086E-7</v>
      </c>
      <c r="U69" s="9">
        <f t="shared" si="41"/>
        <v>1.4779307367593982E-4</v>
      </c>
      <c r="V69" s="102">
        <f t="shared" si="42"/>
        <v>6.6882235456730233E-3</v>
      </c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45">
      <c r="A70" s="7"/>
      <c r="B70" s="46" t="s">
        <v>175</v>
      </c>
      <c r="C70" s="46" t="s">
        <v>176</v>
      </c>
      <c r="D70" s="47">
        <v>1.4854320000000003</v>
      </c>
      <c r="E70" s="47">
        <v>1.5057189999999996</v>
      </c>
      <c r="F70" s="98">
        <v>9.9999999999999995E-7</v>
      </c>
      <c r="G70" s="140"/>
      <c r="H70" s="140"/>
      <c r="I70" s="54">
        <f t="shared" si="24"/>
        <v>6.2122287627494992E-2</v>
      </c>
      <c r="J70" s="54">
        <f t="shared" si="25"/>
        <v>0.64559866119554743</v>
      </c>
      <c r="K70" s="55">
        <f t="shared" si="26"/>
        <v>0.86095236655007734</v>
      </c>
      <c r="L70" s="55">
        <f t="shared" si="27"/>
        <v>1.479687523922413E-3</v>
      </c>
      <c r="M70" s="55">
        <f t="shared" si="28"/>
        <v>0.99852031247607753</v>
      </c>
      <c r="N70" s="55">
        <f t="shared" si="29"/>
        <v>3.645602117992943E-4</v>
      </c>
      <c r="O70" s="56">
        <f t="shared" si="30"/>
        <v>8.6576995650651353E-7</v>
      </c>
      <c r="P70" s="56">
        <f t="shared" si="31"/>
        <v>3.8282577666336109E-6</v>
      </c>
      <c r="Q70" s="56">
        <f t="shared" si="32"/>
        <v>2.7740961593396806E-5</v>
      </c>
      <c r="R70" s="9">
        <f t="shared" ref="R70:R86" si="43">F70*$C$14</f>
        <v>1.4999999999999999E-4</v>
      </c>
      <c r="S70" s="9">
        <f t="shared" si="39"/>
        <v>2.2195312858836194E-7</v>
      </c>
      <c r="T70" s="9">
        <f t="shared" si="40"/>
        <v>1.2914285498251158E-4</v>
      </c>
      <c r="U70" s="9">
        <f t="shared" si="41"/>
        <v>1.4977804687141161E-4</v>
      </c>
      <c r="V70" s="102">
        <f t="shared" si="42"/>
        <v>0.86222819485277513</v>
      </c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45">
      <c r="A71" s="7"/>
      <c r="B71" s="46" t="s">
        <v>177</v>
      </c>
      <c r="C71" s="46" t="s">
        <v>178</v>
      </c>
      <c r="D71" s="47">
        <v>2.0758240000000003</v>
      </c>
      <c r="E71" s="47">
        <v>2.477398</v>
      </c>
      <c r="F71" s="98">
        <v>9.9999999999999995E-7</v>
      </c>
      <c r="G71" s="140"/>
      <c r="H71" s="140"/>
      <c r="I71" s="54">
        <f t="shared" ref="I71:I122" si="44">IF(D71=0,"",LOG($K$15*10^D71+$K$16*10^E71+$K$14))</f>
        <v>0.22542744412672311</v>
      </c>
      <c r="J71" s="54">
        <f t="shared" ref="J71:J122" si="45">IF(D71=0,"",LOG($K$21*10^D71+$K$22*10^E71+$K$20))</f>
        <v>1.3142586806508352</v>
      </c>
      <c r="K71" s="55">
        <f t="shared" ref="K71:K122" si="46">IF(D71=0,"",1/(1+10^D71*$J$15/$J$14+10^E71*$J$16/$J$14+10^J71*$J$19/$J$14))</f>
        <v>0.58919836401152292</v>
      </c>
      <c r="L71" s="55">
        <f t="shared" ref="L71:L122" si="47">IF(D71=0,"",1/(1+10^I71/10^J71*$J$13/$J$19))</f>
        <v>4.7218527508745469E-3</v>
      </c>
      <c r="M71" s="55">
        <f t="shared" si="19"/>
        <v>0.99527814724912544</v>
      </c>
      <c r="N71" s="55">
        <f t="shared" ref="N71:N122" si="48">IF(D71=0,"",1/(1/10^E71*$J$20/$J$22+10^D71/10^E71*$J$21/$J$22+10^I71/10^E71*$J$13/$J$22+1))</f>
        <v>2.3373872786594473E-3</v>
      </c>
      <c r="O71" s="56">
        <f t="shared" si="21"/>
        <v>5.9249531310080283E-7</v>
      </c>
      <c r="P71" s="56">
        <f t="shared" ref="P71:P122" si="49">IF(D71=0,"",O71*10^J71)</f>
        <v>1.2216410001564359E-5</v>
      </c>
      <c r="Q71" s="56">
        <f t="shared" ref="Q71:Q122" si="50">IF(D71=0,"",F71*N71*$J$7/$J$22)</f>
        <v>1.7786189668411734E-4</v>
      </c>
      <c r="R71" s="9">
        <f t="shared" si="43"/>
        <v>1.4999999999999999E-4</v>
      </c>
      <c r="S71" s="9">
        <f t="shared" si="39"/>
        <v>7.0827791263118194E-7</v>
      </c>
      <c r="T71" s="9">
        <f t="shared" si="40"/>
        <v>8.8379754601728436E-5</v>
      </c>
      <c r="U71" s="9">
        <f t="shared" si="41"/>
        <v>1.4929172208736881E-4</v>
      </c>
      <c r="V71" s="102">
        <f t="shared" si="42"/>
        <v>0.59199367095522315</v>
      </c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45">
      <c r="A72" s="7"/>
      <c r="B72" s="46" t="s">
        <v>179</v>
      </c>
      <c r="C72" s="46" t="s">
        <v>180</v>
      </c>
      <c r="D72" s="47">
        <v>2.3078000000000003</v>
      </c>
      <c r="E72" s="47">
        <v>2.5099249999999995</v>
      </c>
      <c r="F72" s="98">
        <v>9.9999999999999995E-7</v>
      </c>
      <c r="G72" s="140"/>
      <c r="H72" s="140"/>
      <c r="I72" s="54">
        <f t="shared" si="44"/>
        <v>0.32073739190116707</v>
      </c>
      <c r="J72" s="54">
        <f t="shared" si="45"/>
        <v>1.4492878976223589</v>
      </c>
      <c r="K72" s="55">
        <f t="shared" si="46"/>
        <v>0.4728846713644172</v>
      </c>
      <c r="L72" s="55">
        <f t="shared" si="47"/>
        <v>5.1717242507922766E-3</v>
      </c>
      <c r="M72" s="55">
        <f t="shared" si="19"/>
        <v>0.99482827574920774</v>
      </c>
      <c r="N72" s="55">
        <f t="shared" si="48"/>
        <v>2.0218613961581963E-3</v>
      </c>
      <c r="O72" s="56">
        <f t="shared" si="21"/>
        <v>4.7553076948996939E-7</v>
      </c>
      <c r="P72" s="56">
        <f t="shared" si="49"/>
        <v>1.3380320648713577E-5</v>
      </c>
      <c r="Q72" s="56">
        <f t="shared" si="50"/>
        <v>1.5385216905918186E-4</v>
      </c>
      <c r="R72" s="9">
        <f t="shared" si="43"/>
        <v>1.4999999999999999E-4</v>
      </c>
      <c r="S72" s="9">
        <f t="shared" si="39"/>
        <v>7.7575863761884146E-7</v>
      </c>
      <c r="T72" s="9">
        <f t="shared" si="40"/>
        <v>7.0932700704662578E-5</v>
      </c>
      <c r="U72" s="9">
        <f t="shared" si="41"/>
        <v>1.4922424136238114E-4</v>
      </c>
      <c r="V72" s="102">
        <f t="shared" si="42"/>
        <v>0.47534301435922349</v>
      </c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45">
      <c r="A73" s="7"/>
      <c r="B73" s="46" t="s">
        <v>181</v>
      </c>
      <c r="C73" s="46" t="s">
        <v>182</v>
      </c>
      <c r="D73" s="47">
        <v>5.676184000000001</v>
      </c>
      <c r="E73" s="47">
        <v>7.0708080000000004</v>
      </c>
      <c r="F73" s="98">
        <v>9.9999999999999995E-7</v>
      </c>
      <c r="G73" s="140"/>
      <c r="H73" s="140"/>
      <c r="I73" s="54">
        <f t="shared" si="44"/>
        <v>3.8293839195374848</v>
      </c>
      <c r="J73" s="54">
        <f t="shared" si="45"/>
        <v>5.6416380635271075</v>
      </c>
      <c r="K73" s="55">
        <f t="shared" si="46"/>
        <v>1.4374620340026789E-4</v>
      </c>
      <c r="L73" s="55">
        <f t="shared" si="47"/>
        <v>2.4480860166387952E-2</v>
      </c>
      <c r="M73" s="55">
        <f t="shared" si="19"/>
        <v>0.97551913983361205</v>
      </c>
      <c r="N73" s="55">
        <f t="shared" si="48"/>
        <v>2.2360191915977413E-2</v>
      </c>
      <c r="O73" s="56">
        <f t="shared" si="21"/>
        <v>1.4455055715162806E-10</v>
      </c>
      <c r="P73" s="56">
        <f t="shared" si="49"/>
        <v>6.3337050255997314E-5</v>
      </c>
      <c r="Q73" s="56">
        <f t="shared" si="50"/>
        <v>1.7014836098010846E-3</v>
      </c>
      <c r="R73" s="9">
        <f t="shared" si="43"/>
        <v>1.4999999999999999E-4</v>
      </c>
      <c r="S73" s="9">
        <f t="shared" si="39"/>
        <v>3.6721290249581927E-6</v>
      </c>
      <c r="T73" s="9">
        <f t="shared" si="40"/>
        <v>2.156193051004018E-8</v>
      </c>
      <c r="U73" s="9">
        <f t="shared" si="41"/>
        <v>1.4632787097504179E-4</v>
      </c>
      <c r="V73" s="102">
        <f t="shared" si="42"/>
        <v>1.4735354492868868E-4</v>
      </c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45">
      <c r="A74" s="7"/>
      <c r="B74" s="46" t="s">
        <v>183</v>
      </c>
      <c r="C74" s="46" t="s">
        <v>184</v>
      </c>
      <c r="D74" s="47">
        <v>1.2599279999999999</v>
      </c>
      <c r="E74" s="47">
        <v>1.3925860000000003</v>
      </c>
      <c r="F74" s="98">
        <v>9.9999999999999995E-7</v>
      </c>
      <c r="G74" s="140"/>
      <c r="H74" s="140"/>
      <c r="I74" s="54">
        <f t="shared" si="44"/>
        <v>3.8037572032670899E-2</v>
      </c>
      <c r="J74" s="54">
        <f t="shared" si="45"/>
        <v>0.50257798213592542</v>
      </c>
      <c r="K74" s="55">
        <f t="shared" si="46"/>
        <v>0.91036974097335766</v>
      </c>
      <c r="L74" s="55">
        <f t="shared" si="47"/>
        <v>1.1256102079397075E-3</v>
      </c>
      <c r="M74" s="55">
        <f t="shared" si="19"/>
        <v>0.99887438979206034</v>
      </c>
      <c r="N74" s="55">
        <f t="shared" si="48"/>
        <v>2.9708105524739188E-4</v>
      </c>
      <c r="O74" s="56">
        <f t="shared" si="21"/>
        <v>9.1546385336697472E-7</v>
      </c>
      <c r="P74" s="56">
        <f t="shared" si="49"/>
        <v>2.9121864928106312E-6</v>
      </c>
      <c r="Q74" s="56">
        <f t="shared" si="50"/>
        <v>2.2606181028556352E-5</v>
      </c>
      <c r="R74" s="9">
        <f t="shared" si="43"/>
        <v>1.4999999999999999E-4</v>
      </c>
      <c r="S74" s="9">
        <f t="shared" si="39"/>
        <v>1.688415311909561E-7</v>
      </c>
      <c r="T74" s="9">
        <f t="shared" si="40"/>
        <v>1.3655546114600364E-4</v>
      </c>
      <c r="U74" s="9">
        <f t="shared" si="41"/>
        <v>1.4983115846880905E-4</v>
      </c>
      <c r="V74" s="102">
        <f t="shared" si="42"/>
        <v>0.9113956171835309</v>
      </c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45">
      <c r="A75" s="7"/>
      <c r="B75" s="46" t="s">
        <v>185</v>
      </c>
      <c r="C75" s="46" t="s">
        <v>186</v>
      </c>
      <c r="D75" s="47">
        <v>1.2889359999999999</v>
      </c>
      <c r="E75" s="47">
        <v>1.371977</v>
      </c>
      <c r="F75" s="98">
        <v>9.9999999999999995E-7</v>
      </c>
      <c r="G75" s="140"/>
      <c r="H75" s="140"/>
      <c r="I75" s="54">
        <f t="shared" si="44"/>
        <v>4.0258976380178252E-2</v>
      </c>
      <c r="J75" s="54">
        <f t="shared" si="45"/>
        <v>0.51091120344487995</v>
      </c>
      <c r="K75" s="55">
        <f t="shared" si="46"/>
        <v>0.905710664939396</v>
      </c>
      <c r="L75" s="55">
        <f t="shared" si="47"/>
        <v>1.1415446731963721E-3</v>
      </c>
      <c r="M75" s="55">
        <f t="shared" si="19"/>
        <v>0.99885845532680362</v>
      </c>
      <c r="N75" s="55">
        <f t="shared" si="48"/>
        <v>2.818627114582845E-4</v>
      </c>
      <c r="O75" s="56">
        <f t="shared" si="21"/>
        <v>9.107787067642111E-7</v>
      </c>
      <c r="P75" s="56">
        <f t="shared" si="49"/>
        <v>2.9534122512155382E-6</v>
      </c>
      <c r="Q75" s="56">
        <f t="shared" si="50"/>
        <v>2.1448151498989479E-5</v>
      </c>
      <c r="R75" s="9">
        <f t="shared" si="43"/>
        <v>1.4999999999999999E-4</v>
      </c>
      <c r="S75" s="9">
        <f t="shared" si="39"/>
        <v>1.7123170097945581E-7</v>
      </c>
      <c r="T75" s="9">
        <f t="shared" si="40"/>
        <v>1.358565997409094E-4</v>
      </c>
      <c r="U75" s="9">
        <f t="shared" si="41"/>
        <v>1.4982876829902053E-4</v>
      </c>
      <c r="V75" s="102">
        <f t="shared" si="42"/>
        <v>0.90674575572678939</v>
      </c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45">
      <c r="A76" s="7"/>
      <c r="B76" s="46" t="s">
        <v>187</v>
      </c>
      <c r="C76" s="46" t="s">
        <v>188</v>
      </c>
      <c r="D76" s="47">
        <v>3.3144320000000005</v>
      </c>
      <c r="E76" s="47">
        <v>3.8699789999999998</v>
      </c>
      <c r="F76" s="98">
        <v>9.9999999999999995E-7</v>
      </c>
      <c r="G76" s="140"/>
      <c r="H76" s="140"/>
      <c r="I76" s="54">
        <f t="shared" si="44"/>
        <v>1.137117589232139</v>
      </c>
      <c r="J76" s="54">
        <f t="shared" si="45"/>
        <v>2.621107442671748</v>
      </c>
      <c r="K76" s="55">
        <f t="shared" si="46"/>
        <v>7.1703229544456501E-2</v>
      </c>
      <c r="L76" s="55">
        <f t="shared" si="47"/>
        <v>1.1647651991018833E-2</v>
      </c>
      <c r="M76" s="55">
        <f t="shared" si="19"/>
        <v>0.9883523480089812</v>
      </c>
      <c r="N76" s="55">
        <f t="shared" si="48"/>
        <v>7.0240704801025691E-3</v>
      </c>
      <c r="O76" s="56">
        <f t="shared" si="21"/>
        <v>7.2104455874644333E-8</v>
      </c>
      <c r="P76" s="56">
        <f t="shared" si="49"/>
        <v>3.013488555979836E-5</v>
      </c>
      <c r="Q76" s="56">
        <f t="shared" si="50"/>
        <v>5.3449187023490432E-4</v>
      </c>
      <c r="R76" s="9">
        <f t="shared" si="43"/>
        <v>1.4999999999999999E-4</v>
      </c>
      <c r="S76" s="9">
        <f t="shared" si="39"/>
        <v>1.7471477986528247E-6</v>
      </c>
      <c r="T76" s="9">
        <f t="shared" si="40"/>
        <v>1.0755484431668475E-5</v>
      </c>
      <c r="U76" s="9">
        <f t="shared" si="41"/>
        <v>1.4825285220134717E-4</v>
      </c>
      <c r="V76" s="102">
        <f t="shared" si="42"/>
        <v>7.2548246269563105E-2</v>
      </c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45">
      <c r="A77" s="7"/>
      <c r="B77" s="46" t="s">
        <v>101</v>
      </c>
      <c r="C77" s="46" t="s">
        <v>102</v>
      </c>
      <c r="D77" s="47">
        <v>0.29376000000000013</v>
      </c>
      <c r="E77" s="47">
        <v>0.18140000000000034</v>
      </c>
      <c r="F77" s="98">
        <v>9.9999999999999995E-7</v>
      </c>
      <c r="G77" s="140"/>
      <c r="H77" s="140"/>
      <c r="I77" s="54">
        <f t="shared" si="44"/>
        <v>2.0958974367173925E-3</v>
      </c>
      <c r="J77" s="54">
        <f t="shared" si="45"/>
        <v>3.9402684082655383E-2</v>
      </c>
      <c r="K77" s="55">
        <f t="shared" si="46"/>
        <v>0.98961360831489187</v>
      </c>
      <c r="L77" s="55">
        <f t="shared" si="47"/>
        <v>4.2117304583439552E-4</v>
      </c>
      <c r="M77" s="55">
        <f t="shared" si="19"/>
        <v>0.99957882695416556</v>
      </c>
      <c r="N77" s="55">
        <f t="shared" si="48"/>
        <v>1.9858059263622505E-5</v>
      </c>
      <c r="O77" s="56">
        <f t="shared" si="21"/>
        <v>9.9515114182475907E-7</v>
      </c>
      <c r="P77" s="56">
        <f t="shared" si="49"/>
        <v>1.0896618088244435E-6</v>
      </c>
      <c r="Q77" s="56">
        <f t="shared" si="50"/>
        <v>1.5110855258522646E-6</v>
      </c>
      <c r="R77" s="9">
        <f t="shared" si="43"/>
        <v>1.4999999999999999E-4</v>
      </c>
      <c r="S77" s="9">
        <f t="shared" si="39"/>
        <v>6.317595687515932E-8</v>
      </c>
      <c r="T77" s="9">
        <f t="shared" si="40"/>
        <v>1.4844204124723378E-4</v>
      </c>
      <c r="U77" s="9">
        <f t="shared" si="41"/>
        <v>1.4993682404312482E-4</v>
      </c>
      <c r="V77" s="102">
        <f t="shared" si="42"/>
        <v>0.99003058251079723</v>
      </c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45">
      <c r="A78" s="7"/>
      <c r="B78" s="46" t="s">
        <v>189</v>
      </c>
      <c r="C78" s="46" t="s">
        <v>190</v>
      </c>
      <c r="D78" s="47">
        <v>1.6175039999999998</v>
      </c>
      <c r="E78" s="47">
        <v>1.8999029999999997</v>
      </c>
      <c r="F78" s="98">
        <v>9.9999999999999995E-7</v>
      </c>
      <c r="G78" s="7"/>
      <c r="H78" s="7"/>
      <c r="I78" s="54">
        <f t="shared" si="44"/>
        <v>8.7763082204907472E-2</v>
      </c>
      <c r="J78" s="54">
        <f t="shared" si="45"/>
        <v>0.83897219078208807</v>
      </c>
      <c r="K78" s="55">
        <f t="shared" si="46"/>
        <v>0.81102734943720056</v>
      </c>
      <c r="L78" s="55">
        <f t="shared" si="47"/>
        <v>2.1757045361638205E-3</v>
      </c>
      <c r="M78" s="55">
        <f t="shared" si="19"/>
        <v>0.99782429546383622</v>
      </c>
      <c r="N78" s="55">
        <f t="shared" si="48"/>
        <v>8.511569378542792E-4</v>
      </c>
      <c r="O78" s="56">
        <f t="shared" si="21"/>
        <v>8.1556557636455116E-7</v>
      </c>
      <c r="P78" s="56">
        <f t="shared" si="49"/>
        <v>5.6289977808219064E-6</v>
      </c>
      <c r="Q78" s="56">
        <f t="shared" si="50"/>
        <v>6.4768208813659954E-5</v>
      </c>
      <c r="R78" s="9">
        <f t="shared" si="43"/>
        <v>1.4999999999999999E-4</v>
      </c>
      <c r="S78" s="9">
        <f t="shared" si="39"/>
        <v>3.2635568042457306E-7</v>
      </c>
      <c r="T78" s="9">
        <f t="shared" si="40"/>
        <v>1.2165410241558007E-4</v>
      </c>
      <c r="U78" s="9">
        <f t="shared" si="41"/>
        <v>1.4967364431957541E-4</v>
      </c>
      <c r="V78" s="102">
        <f t="shared" si="42"/>
        <v>0.81279575284363714</v>
      </c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45">
      <c r="A79" s="7"/>
      <c r="B79" s="46" t="s">
        <v>191</v>
      </c>
      <c r="C79" s="46" t="s">
        <v>192</v>
      </c>
      <c r="D79" s="47">
        <v>2.5898400000000001</v>
      </c>
      <c r="E79" s="47">
        <v>2.96393</v>
      </c>
      <c r="F79" s="98">
        <v>9.9999999999999995E-7</v>
      </c>
      <c r="G79" s="7"/>
      <c r="H79" s="7"/>
      <c r="I79" s="54">
        <f t="shared" si="44"/>
        <v>0.50667591684415281</v>
      </c>
      <c r="J79" s="54">
        <f t="shared" si="45"/>
        <v>1.8013240408300564</v>
      </c>
      <c r="K79" s="55">
        <f t="shared" si="46"/>
        <v>0.30744793882458193</v>
      </c>
      <c r="L79" s="55">
        <f t="shared" si="47"/>
        <v>7.5628912119433218E-3</v>
      </c>
      <c r="M79" s="55">
        <f t="shared" si="19"/>
        <v>0.99243710878805669</v>
      </c>
      <c r="N79" s="55">
        <f t="shared" si="48"/>
        <v>3.739148638575203E-3</v>
      </c>
      <c r="O79" s="56">
        <f t="shared" si="21"/>
        <v>3.0916831054287281E-7</v>
      </c>
      <c r="P79" s="56">
        <f t="shared" si="49"/>
        <v>1.9566764301410188E-5</v>
      </c>
      <c r="Q79" s="56">
        <f t="shared" si="50"/>
        <v>2.8452797485158105E-4</v>
      </c>
      <c r="R79" s="9">
        <f t="shared" si="43"/>
        <v>1.4999999999999999E-4</v>
      </c>
      <c r="S79" s="9">
        <f t="shared" si="39"/>
        <v>1.1344336817914981E-6</v>
      </c>
      <c r="T79" s="9">
        <f t="shared" si="40"/>
        <v>4.6117190823687288E-5</v>
      </c>
      <c r="U79" s="9">
        <f t="shared" si="41"/>
        <v>1.4886556631820848E-4</v>
      </c>
      <c r="V79" s="102">
        <f t="shared" si="42"/>
        <v>0.3097908533468996</v>
      </c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45">
      <c r="A80" s="7"/>
      <c r="B80" s="46" t="s">
        <v>193</v>
      </c>
      <c r="C80" s="46" t="s">
        <v>194</v>
      </c>
      <c r="D80" s="47">
        <v>5.0487680000000008</v>
      </c>
      <c r="E80" s="47">
        <v>6.0352960000000007</v>
      </c>
      <c r="F80" s="98">
        <v>9.9999999999999995E-7</v>
      </c>
      <c r="G80" s="7"/>
      <c r="H80" s="7"/>
      <c r="I80" s="54">
        <f t="shared" si="44"/>
        <v>2.9778200964006376</v>
      </c>
      <c r="J80" s="54">
        <f t="shared" si="45"/>
        <v>4.6611522076147738</v>
      </c>
      <c r="K80" s="55">
        <f t="shared" si="46"/>
        <v>1.0277786805864555E-3</v>
      </c>
      <c r="L80" s="55">
        <f t="shared" si="47"/>
        <v>1.8308132173512695E-2</v>
      </c>
      <c r="M80" s="55">
        <f t="shared" si="19"/>
        <v>0.98169186782648732</v>
      </c>
      <c r="N80" s="55">
        <f t="shared" si="48"/>
        <v>1.4732170910361149E-2</v>
      </c>
      <c r="O80" s="56">
        <f t="shared" si="21"/>
        <v>1.0335297725648346E-9</v>
      </c>
      <c r="P80" s="56">
        <f t="shared" si="49"/>
        <v>4.7366925822292549E-5</v>
      </c>
      <c r="Q80" s="56">
        <f t="shared" si="50"/>
        <v>1.1210345347195604E-3</v>
      </c>
      <c r="R80" s="9">
        <f t="shared" si="43"/>
        <v>1.4999999999999999E-4</v>
      </c>
      <c r="S80" s="9">
        <f t="shared" si="39"/>
        <v>2.7462198260269041E-6</v>
      </c>
      <c r="T80" s="9">
        <f t="shared" si="40"/>
        <v>1.5416680208796832E-7</v>
      </c>
      <c r="U80" s="9">
        <f t="shared" si="41"/>
        <v>1.4725378017397308E-4</v>
      </c>
      <c r="V80" s="102">
        <f t="shared" si="42"/>
        <v>1.0469463120459646E-3</v>
      </c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45">
      <c r="A81" s="7"/>
      <c r="B81" s="46" t="s">
        <v>195</v>
      </c>
      <c r="C81" s="46" t="s">
        <v>196</v>
      </c>
      <c r="D81" s="47">
        <v>2.7330160000000001</v>
      </c>
      <c r="E81" s="47">
        <v>3.3310319999999995</v>
      </c>
      <c r="F81" s="98">
        <v>9.9999999999999995E-7</v>
      </c>
      <c r="G81" s="7"/>
      <c r="H81" s="7"/>
      <c r="I81" s="54">
        <f t="shared" si="44"/>
        <v>0.64393554165863076</v>
      </c>
      <c r="J81" s="54">
        <f t="shared" si="45"/>
        <v>2.0682288758066103</v>
      </c>
      <c r="K81" s="55">
        <f t="shared" si="46"/>
        <v>0.22354805890370572</v>
      </c>
      <c r="L81" s="55">
        <f t="shared" si="47"/>
        <v>1.0166980853612027E-2</v>
      </c>
      <c r="M81" s="55">
        <f t="shared" si="19"/>
        <v>0.98983301914638799</v>
      </c>
      <c r="N81" s="55">
        <f t="shared" si="48"/>
        <v>6.3310252691464808E-3</v>
      </c>
      <c r="O81" s="56">
        <f t="shared" si="21"/>
        <v>2.2479895607897084E-7</v>
      </c>
      <c r="P81" s="56">
        <f t="shared" si="49"/>
        <v>2.6304082981574378E-5</v>
      </c>
      <c r="Q81" s="56">
        <f t="shared" si="50"/>
        <v>4.8175506584055913E-4</v>
      </c>
      <c r="R81" s="9">
        <f t="shared" si="43"/>
        <v>1.4999999999999999E-4</v>
      </c>
      <c r="S81" s="9">
        <f t="shared" si="39"/>
        <v>1.5250471280418039E-6</v>
      </c>
      <c r="T81" s="9">
        <f t="shared" si="40"/>
        <v>3.3532208835555853E-5</v>
      </c>
      <c r="U81" s="9">
        <f t="shared" si="41"/>
        <v>1.4847495287195818E-4</v>
      </c>
      <c r="V81" s="102">
        <f t="shared" si="42"/>
        <v>0.22584421269002428</v>
      </c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45">
      <c r="A82" s="7"/>
      <c r="B82" s="46" t="s">
        <v>197</v>
      </c>
      <c r="C82" s="46" t="s">
        <v>198</v>
      </c>
      <c r="D82" s="47">
        <v>3.4406639999999999</v>
      </c>
      <c r="E82" s="47">
        <v>4.222847999999999</v>
      </c>
      <c r="F82" s="98">
        <v>9.9999999999999995E-7</v>
      </c>
      <c r="G82" s="7"/>
      <c r="H82" s="7"/>
      <c r="I82" s="54">
        <f t="shared" si="44"/>
        <v>1.3135143326183101</v>
      </c>
      <c r="J82" s="54">
        <f t="shared" si="45"/>
        <v>2.8973705182690765</v>
      </c>
      <c r="K82" s="55">
        <f t="shared" si="46"/>
        <v>4.7625124219230416E-2</v>
      </c>
      <c r="L82" s="55">
        <f t="shared" si="47"/>
        <v>1.4615001572343861E-2</v>
      </c>
      <c r="M82" s="55">
        <f t="shared" si="19"/>
        <v>0.98538499842765614</v>
      </c>
      <c r="N82" s="55">
        <f t="shared" si="48"/>
        <v>1.0513692363989505E-2</v>
      </c>
      <c r="O82" s="56">
        <f t="shared" si="21"/>
        <v>4.7891617847712999E-8</v>
      </c>
      <c r="P82" s="56">
        <f t="shared" si="49"/>
        <v>3.7812032861082341E-5</v>
      </c>
      <c r="Q82" s="56">
        <f t="shared" si="50"/>
        <v>8.0003227624520141E-4</v>
      </c>
      <c r="R82" s="9">
        <f t="shared" si="43"/>
        <v>1.4999999999999999E-4</v>
      </c>
      <c r="S82" s="9">
        <f t="shared" si="39"/>
        <v>2.1922502358515787E-6</v>
      </c>
      <c r="T82" s="9">
        <f t="shared" si="40"/>
        <v>7.1437686328845614E-6</v>
      </c>
      <c r="U82" s="9">
        <f t="shared" si="41"/>
        <v>1.4780774976414841E-4</v>
      </c>
      <c r="V82" s="102">
        <f t="shared" si="42"/>
        <v>4.8331489007062349E-2</v>
      </c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45">
      <c r="A83" s="7"/>
      <c r="B83" s="46" t="s">
        <v>199</v>
      </c>
      <c r="C83" s="46" t="s">
        <v>200</v>
      </c>
      <c r="D83" s="47">
        <v>2.8976480000000002</v>
      </c>
      <c r="E83" s="47">
        <v>3.5312959999999993</v>
      </c>
      <c r="F83" s="98">
        <v>9.9999999999999995E-7</v>
      </c>
      <c r="G83" s="7"/>
      <c r="H83" s="7"/>
      <c r="I83" s="54">
        <f t="shared" si="44"/>
        <v>0.78379345695532832</v>
      </c>
      <c r="J83" s="54">
        <f t="shared" si="45"/>
        <v>2.2544039273222234</v>
      </c>
      <c r="K83" s="55">
        <f t="shared" si="46"/>
        <v>0.16181409130008387</v>
      </c>
      <c r="L83" s="55">
        <f t="shared" si="47"/>
        <v>1.1298284143768756E-2</v>
      </c>
      <c r="M83" s="55">
        <f t="shared" si="19"/>
        <v>0.98870171585623123</v>
      </c>
      <c r="N83" s="55">
        <f t="shared" si="48"/>
        <v>7.2674739286001039E-3</v>
      </c>
      <c r="O83" s="56">
        <f t="shared" si="21"/>
        <v>1.6271954666712223E-7</v>
      </c>
      <c r="P83" s="56">
        <f t="shared" si="49"/>
        <v>2.9230998655959519E-5</v>
      </c>
      <c r="Q83" s="56">
        <f t="shared" si="50"/>
        <v>5.5301349025247185E-4</v>
      </c>
      <c r="R83" s="9">
        <f t="shared" si="43"/>
        <v>1.4999999999999999E-4</v>
      </c>
      <c r="S83" s="9">
        <f t="shared" si="39"/>
        <v>1.6947426215653134E-6</v>
      </c>
      <c r="T83" s="9">
        <f t="shared" si="40"/>
        <v>2.427211369501258E-5</v>
      </c>
      <c r="U83" s="9">
        <f t="shared" si="41"/>
        <v>1.4830525737843467E-4</v>
      </c>
      <c r="V83" s="102">
        <f t="shared" si="42"/>
        <v>0.16366320469055759</v>
      </c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45">
      <c r="A84" s="7"/>
      <c r="B84" s="46" t="s">
        <v>103</v>
      </c>
      <c r="C84" s="46" t="s">
        <v>104</v>
      </c>
      <c r="D84" s="47">
        <v>1.423632</v>
      </c>
      <c r="E84" s="47">
        <v>1.638849</v>
      </c>
      <c r="F84" s="98">
        <v>9.9999999999999995E-7</v>
      </c>
      <c r="G84" s="7"/>
      <c r="H84" s="7"/>
      <c r="I84" s="54">
        <f t="shared" si="44"/>
        <v>5.6400487609719711E-2</v>
      </c>
      <c r="J84" s="54">
        <f t="shared" si="45"/>
        <v>0.65206362088681824</v>
      </c>
      <c r="K84" s="55">
        <f t="shared" si="46"/>
        <v>0.87233367206064238</v>
      </c>
      <c r="L84" s="55">
        <f t="shared" si="47"/>
        <v>1.5217330890193218E-3</v>
      </c>
      <c r="M84" s="55">
        <f t="shared" si="19"/>
        <v>0.99847826691098063</v>
      </c>
      <c r="N84" s="55">
        <f t="shared" si="48"/>
        <v>5.0188334089303998E-4</v>
      </c>
      <c r="O84" s="56">
        <f t="shared" si="21"/>
        <v>8.7721494784366922E-7</v>
      </c>
      <c r="P84" s="56">
        <f t="shared" si="49"/>
        <v>3.9370383426217477E-6</v>
      </c>
      <c r="Q84" s="56">
        <f t="shared" si="50"/>
        <v>3.8190471788908618E-5</v>
      </c>
      <c r="R84" s="9">
        <f t="shared" si="43"/>
        <v>1.4999999999999999E-4</v>
      </c>
      <c r="S84" s="9">
        <f t="shared" si="39"/>
        <v>2.2825996335289826E-7</v>
      </c>
      <c r="T84" s="9">
        <f t="shared" si="40"/>
        <v>1.3085005080909633E-4</v>
      </c>
      <c r="U84" s="9">
        <f t="shared" si="41"/>
        <v>1.4977174003664707E-4</v>
      </c>
      <c r="V84" s="102">
        <f t="shared" si="42"/>
        <v>0.87366315419103191</v>
      </c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45">
      <c r="A85" s="7"/>
      <c r="B85" s="46" t="s">
        <v>201</v>
      </c>
      <c r="C85" s="46" t="s">
        <v>202</v>
      </c>
      <c r="D85" s="47">
        <v>2.6912000000000003</v>
      </c>
      <c r="E85" s="47">
        <v>3.3249699999999995</v>
      </c>
      <c r="F85" s="98">
        <v>9.9999999999999995E-7</v>
      </c>
      <c r="G85" s="7"/>
      <c r="H85" s="7"/>
      <c r="I85" s="54">
        <f t="shared" si="44"/>
        <v>0.61860589125383414</v>
      </c>
      <c r="J85" s="54">
        <f t="shared" si="45"/>
        <v>2.0493358233382901</v>
      </c>
      <c r="K85" s="55">
        <f t="shared" si="46"/>
        <v>0.23693795211794461</v>
      </c>
      <c r="L85" s="55">
        <f t="shared" si="47"/>
        <v>1.0317219742752654E-2</v>
      </c>
      <c r="M85" s="55">
        <f t="shared" si="19"/>
        <v>0.98968278025724732</v>
      </c>
      <c r="N85" s="55">
        <f t="shared" si="48"/>
        <v>6.6172230554481211E-3</v>
      </c>
      <c r="O85" s="56">
        <f t="shared" si="21"/>
        <v>2.3826377447789233E-7</v>
      </c>
      <c r="P85" s="56">
        <f t="shared" si="49"/>
        <v>2.6692782071689274E-5</v>
      </c>
      <c r="Q85" s="56">
        <f t="shared" si="50"/>
        <v>5.0353309191401331E-4</v>
      </c>
      <c r="R85" s="9">
        <f t="shared" si="43"/>
        <v>1.4999999999999999E-4</v>
      </c>
      <c r="S85" s="9">
        <f t="shared" si="39"/>
        <v>1.5475829614128978E-6</v>
      </c>
      <c r="T85" s="9">
        <f t="shared" si="40"/>
        <v>3.5540692817691687E-5</v>
      </c>
      <c r="U85" s="9">
        <f t="shared" si="41"/>
        <v>1.4845241703858708E-4</v>
      </c>
      <c r="V85" s="102">
        <f t="shared" si="42"/>
        <v>0.23940797682299528</v>
      </c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45">
      <c r="A86" s="7"/>
      <c r="B86" s="46" t="s">
        <v>105</v>
      </c>
      <c r="C86" s="46" t="s">
        <v>106</v>
      </c>
      <c r="D86" s="47">
        <v>2.1493200000000003</v>
      </c>
      <c r="E86" s="47">
        <v>2.6108399999999996</v>
      </c>
      <c r="F86" s="98">
        <v>9.9999999999999995E-7</v>
      </c>
      <c r="G86" s="7"/>
      <c r="H86" s="7"/>
      <c r="I86" s="54">
        <f t="shared" si="44"/>
        <v>0.26171036693668792</v>
      </c>
      <c r="J86" s="54">
        <f t="shared" si="45"/>
        <v>1.4157471407554194</v>
      </c>
      <c r="K86" s="55">
        <f t="shared" si="46"/>
        <v>0.54155993873239061</v>
      </c>
      <c r="L86" s="55">
        <f t="shared" si="47"/>
        <v>5.482591619464695E-3</v>
      </c>
      <c r="M86" s="55">
        <f t="shared" si="19"/>
        <v>0.99451740838053526</v>
      </c>
      <c r="N86" s="55">
        <f t="shared" si="48"/>
        <v>2.9211756657381138E-3</v>
      </c>
      <c r="O86" s="56">
        <f t="shared" si="21"/>
        <v>5.4459031976508354E-7</v>
      </c>
      <c r="P86" s="56">
        <f t="shared" si="49"/>
        <v>1.4184598848855748E-5</v>
      </c>
      <c r="Q86" s="56">
        <f t="shared" si="50"/>
        <v>2.222848773069624E-4</v>
      </c>
      <c r="R86" s="9">
        <f t="shared" si="43"/>
        <v>1.4999999999999999E-4</v>
      </c>
      <c r="S86" s="9">
        <f t="shared" si="39"/>
        <v>8.2238874291970423E-7</v>
      </c>
      <c r="T86" s="9">
        <f t="shared" si="40"/>
        <v>8.1233990809858583E-5</v>
      </c>
      <c r="U86" s="9">
        <f t="shared" si="41"/>
        <v>1.4917761125708028E-4</v>
      </c>
      <c r="V86" s="102">
        <f t="shared" si="42"/>
        <v>0.54454545910288565</v>
      </c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45">
      <c r="A87" s="7"/>
      <c r="B87" s="46" t="s">
        <v>203</v>
      </c>
      <c r="C87" s="46" t="s">
        <v>204</v>
      </c>
      <c r="D87" s="47"/>
      <c r="E87" s="47"/>
      <c r="F87" s="57"/>
      <c r="G87" s="7"/>
      <c r="H87" s="7"/>
      <c r="I87" s="54" t="str">
        <f t="shared" si="44"/>
        <v/>
      </c>
      <c r="J87" s="54" t="str">
        <f t="shared" si="45"/>
        <v/>
      </c>
      <c r="K87" s="55" t="str">
        <f t="shared" si="46"/>
        <v/>
      </c>
      <c r="L87" s="55" t="str">
        <f t="shared" si="47"/>
        <v/>
      </c>
      <c r="M87" s="55" t="str">
        <f t="shared" si="19"/>
        <v/>
      </c>
      <c r="N87" s="55" t="str">
        <f t="shared" si="48"/>
        <v/>
      </c>
      <c r="O87" s="56" t="str">
        <f t="shared" si="21"/>
        <v/>
      </c>
      <c r="P87" s="56" t="str">
        <f t="shared" si="49"/>
        <v/>
      </c>
      <c r="Q87" s="56" t="str">
        <f t="shared" si="50"/>
        <v/>
      </c>
      <c r="R87" s="9"/>
      <c r="S87" s="9"/>
      <c r="T87" s="9"/>
      <c r="U87" s="9"/>
      <c r="V87" s="102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45">
      <c r="A88" s="7"/>
      <c r="B88" s="46" t="s">
        <v>205</v>
      </c>
      <c r="C88" s="46" t="s">
        <v>206</v>
      </c>
      <c r="D88" s="47">
        <v>4.1575040000000012</v>
      </c>
      <c r="E88" s="47">
        <v>5.2456879999999995</v>
      </c>
      <c r="F88" s="98">
        <v>9.9999999999999995E-7</v>
      </c>
      <c r="G88" s="7"/>
      <c r="H88" s="7"/>
      <c r="I88" s="54">
        <f t="shared" si="44"/>
        <v>2.1363569008891736</v>
      </c>
      <c r="J88" s="54">
        <f t="shared" si="45"/>
        <v>3.853517361878346</v>
      </c>
      <c r="K88" s="55">
        <f t="shared" si="46"/>
        <v>7.1239224656497232E-3</v>
      </c>
      <c r="L88" s="55">
        <f t="shared" si="47"/>
        <v>1.9761903429034031E-2</v>
      </c>
      <c r="M88" s="55">
        <f t="shared" si="19"/>
        <v>0.98023809657096594</v>
      </c>
      <c r="N88" s="55">
        <f t="shared" si="48"/>
        <v>1.6575946175506069E-2</v>
      </c>
      <c r="O88" s="56">
        <f t="shared" si="21"/>
        <v>7.163785457673857E-9</v>
      </c>
      <c r="P88" s="56">
        <f t="shared" si="49"/>
        <v>5.1128132840586007E-5</v>
      </c>
      <c r="Q88" s="56">
        <f t="shared" si="50"/>
        <v>1.2613353606511612E-3</v>
      </c>
      <c r="R88" s="9">
        <f>F88*$C$14</f>
        <v>1.4999999999999999E-4</v>
      </c>
      <c r="S88" s="9">
        <f t="shared" si="39"/>
        <v>2.9642855143551045E-6</v>
      </c>
      <c r="T88" s="9">
        <f t="shared" si="40"/>
        <v>1.0685883698474585E-6</v>
      </c>
      <c r="U88" s="9">
        <f t="shared" si="41"/>
        <v>1.4703571448564489E-4</v>
      </c>
      <c r="V88" s="102">
        <f t="shared" si="42"/>
        <v>7.2675429475454745E-3</v>
      </c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45">
      <c r="A89" s="7"/>
      <c r="B89" s="46" t="s">
        <v>207</v>
      </c>
      <c r="C89" s="46" t="s">
        <v>208</v>
      </c>
      <c r="D89" s="47">
        <v>5.4191360000000008</v>
      </c>
      <c r="E89" s="47">
        <v>6.7333169999999996</v>
      </c>
      <c r="F89" s="98">
        <v>9.9999999999999995E-7</v>
      </c>
      <c r="G89" s="7"/>
      <c r="H89" s="7"/>
      <c r="I89" s="54">
        <f t="shared" si="44"/>
        <v>3.5207953657582807</v>
      </c>
      <c r="J89" s="54">
        <f t="shared" si="45"/>
        <v>5.3117367618268752</v>
      </c>
      <c r="K89" s="55">
        <f t="shared" si="46"/>
        <v>2.9288315510283918E-4</v>
      </c>
      <c r="L89" s="55">
        <f t="shared" si="47"/>
        <v>2.3335837016295546E-2</v>
      </c>
      <c r="M89" s="55">
        <f t="shared" si="19"/>
        <v>0.97666416298370451</v>
      </c>
      <c r="N89" s="55">
        <f t="shared" si="48"/>
        <v>2.0945104818901304E-2</v>
      </c>
      <c r="O89" s="56">
        <f t="shared" si="21"/>
        <v>2.9452202735785927E-10</v>
      </c>
      <c r="P89" s="56">
        <f t="shared" si="49"/>
        <v>6.0374638465366888E-5</v>
      </c>
      <c r="Q89" s="56">
        <f t="shared" si="50"/>
        <v>1.5938035187194179E-3</v>
      </c>
      <c r="R89" s="9">
        <f>F89*$C$14</f>
        <v>1.4999999999999999E-4</v>
      </c>
      <c r="S89" s="9">
        <f t="shared" si="39"/>
        <v>3.5003755524443317E-6</v>
      </c>
      <c r="T89" s="9">
        <f t="shared" si="40"/>
        <v>4.3932473265425875E-8</v>
      </c>
      <c r="U89" s="9">
        <f t="shared" si="41"/>
        <v>1.4649962444755567E-4</v>
      </c>
      <c r="V89" s="102">
        <f t="shared" si="42"/>
        <v>2.9988113233118176E-4</v>
      </c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45">
      <c r="A90" s="7"/>
      <c r="B90" s="46" t="s">
        <v>209</v>
      </c>
      <c r="C90" s="46" t="s">
        <v>210</v>
      </c>
      <c r="D90" s="47">
        <v>5.6895360000000004</v>
      </c>
      <c r="E90" s="47">
        <v>7.1197670000000004</v>
      </c>
      <c r="F90" s="98">
        <v>9.9999999999999995E-7</v>
      </c>
      <c r="G90" s="7"/>
      <c r="H90" s="7"/>
      <c r="I90" s="54">
        <f t="shared" si="44"/>
        <v>3.8666483056990257</v>
      </c>
      <c r="J90" s="54">
        <f t="shared" si="45"/>
        <v>5.6876254788112171</v>
      </c>
      <c r="K90" s="55">
        <f t="shared" si="46"/>
        <v>1.3186099365540069E-4</v>
      </c>
      <c r="L90" s="55">
        <f t="shared" si="47"/>
        <v>2.4965142516356825E-2</v>
      </c>
      <c r="M90" s="55">
        <f t="shared" si="19"/>
        <v>0.97503485748364316</v>
      </c>
      <c r="N90" s="55">
        <f t="shared" si="48"/>
        <v>2.2959080344424027E-2</v>
      </c>
      <c r="O90" s="56">
        <f t="shared" si="21"/>
        <v>1.3259884190736087E-10</v>
      </c>
      <c r="P90" s="56">
        <f t="shared" si="49"/>
        <v>6.4589988891715084E-5</v>
      </c>
      <c r="Q90" s="56">
        <f t="shared" si="50"/>
        <v>1.7470556178111464E-3</v>
      </c>
      <c r="R90" s="9">
        <f>F90*$C$14</f>
        <v>1.4999999999999999E-4</v>
      </c>
      <c r="S90" s="9">
        <f t="shared" si="39"/>
        <v>3.7447713774535234E-6</v>
      </c>
      <c r="T90" s="9">
        <f t="shared" si="40"/>
        <v>1.9779149048310103E-8</v>
      </c>
      <c r="U90" s="9">
        <f t="shared" si="41"/>
        <v>1.4625522862254646E-4</v>
      </c>
      <c r="V90" s="102">
        <f t="shared" si="42"/>
        <v>1.352372098734047E-4</v>
      </c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45">
      <c r="A91" s="7"/>
      <c r="B91" s="46" t="s">
        <v>107</v>
      </c>
      <c r="C91" s="46" t="s">
        <v>108</v>
      </c>
      <c r="D91" s="47">
        <v>6.0065360000000005</v>
      </c>
      <c r="E91" s="47">
        <v>7.5552170000000007</v>
      </c>
      <c r="F91" s="98">
        <v>9.9999999999999995E-7</v>
      </c>
      <c r="G91" s="7"/>
      <c r="H91" s="7"/>
      <c r="I91" s="54">
        <f t="shared" si="44"/>
        <v>4.2676323009395754</v>
      </c>
      <c r="J91" s="54">
        <f t="shared" si="45"/>
        <v>6.1146638337723394</v>
      </c>
      <c r="K91" s="55">
        <f t="shared" si="46"/>
        <v>5.2295281819328494E-5</v>
      </c>
      <c r="L91" s="55">
        <f t="shared" si="47"/>
        <v>2.6467844119376246E-2</v>
      </c>
      <c r="M91" s="55">
        <f t="shared" si="19"/>
        <v>0.97353215588062381</v>
      </c>
      <c r="N91" s="55">
        <f t="shared" si="48"/>
        <v>2.4817078332083419E-2</v>
      </c>
      <c r="O91" s="56">
        <f t="shared" si="21"/>
        <v>5.2587908025202504E-11</v>
      </c>
      <c r="P91" s="56">
        <f t="shared" si="49"/>
        <v>6.8477788842506251E-5</v>
      </c>
      <c r="Q91" s="56">
        <f t="shared" si="50"/>
        <v>1.8884387121479583E-3</v>
      </c>
      <c r="R91" s="9">
        <f t="shared" ref="R91:R92" si="51">F91*$C$14</f>
        <v>1.4999999999999999E-4</v>
      </c>
      <c r="S91" s="9">
        <f t="shared" si="39"/>
        <v>3.9701766179064361E-6</v>
      </c>
      <c r="T91" s="9">
        <f t="shared" si="40"/>
        <v>7.844292272899273E-9</v>
      </c>
      <c r="U91" s="9">
        <f t="shared" si="41"/>
        <v>1.4602982338209357E-4</v>
      </c>
      <c r="V91" s="102">
        <f t="shared" si="42"/>
        <v>5.3717056497249418E-5</v>
      </c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45">
      <c r="A92" s="7"/>
      <c r="B92" s="46" t="s">
        <v>109</v>
      </c>
      <c r="C92" s="46" t="s">
        <v>110</v>
      </c>
      <c r="D92" s="47">
        <v>7.0428240000000013</v>
      </c>
      <c r="E92" s="47">
        <v>8.8261279999999989</v>
      </c>
      <c r="F92" s="98">
        <v>9.9999999999999995E-7</v>
      </c>
      <c r="G92" s="7"/>
      <c r="H92" s="7"/>
      <c r="I92" s="54">
        <f t="shared" si="44"/>
        <v>5.487995486122375</v>
      </c>
      <c r="J92" s="54">
        <f t="shared" si="45"/>
        <v>7.3741192893466714</v>
      </c>
      <c r="K92" s="55">
        <f t="shared" si="46"/>
        <v>3.1406387489253039E-6</v>
      </c>
      <c r="L92" s="55">
        <f t="shared" si="47"/>
        <v>2.8888799899245057E-2</v>
      </c>
      <c r="M92" s="55">
        <f t="shared" si="19"/>
        <v>0.97111120010075491</v>
      </c>
      <c r="N92" s="55">
        <f t="shared" si="48"/>
        <v>2.7811033513886127E-2</v>
      </c>
      <c r="O92" s="56">
        <f t="shared" si="21"/>
        <v>3.1582126708766957E-12</v>
      </c>
      <c r="P92" s="56">
        <f t="shared" si="49"/>
        <v>7.4741302332429689E-5</v>
      </c>
      <c r="Q92" s="56">
        <f t="shared" si="50"/>
        <v>2.1162616972752149E-3</v>
      </c>
      <c r="R92" s="9">
        <f t="shared" si="51"/>
        <v>1.4999999999999999E-4</v>
      </c>
      <c r="S92" s="9">
        <f t="shared" si="39"/>
        <v>4.3333199848867581E-6</v>
      </c>
      <c r="T92" s="9">
        <f t="shared" si="40"/>
        <v>4.7109581233879549E-10</v>
      </c>
      <c r="U92" s="9">
        <f t="shared" si="41"/>
        <v>1.4566668001511323E-4</v>
      </c>
      <c r="V92" s="102">
        <f t="shared" si="42"/>
        <v>3.2340670652335756E-6</v>
      </c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45">
      <c r="A93" s="7"/>
      <c r="B93" s="46" t="s">
        <v>211</v>
      </c>
      <c r="C93" s="46" t="s">
        <v>212</v>
      </c>
      <c r="D93" s="47">
        <v>2.17</v>
      </c>
      <c r="E93" s="47">
        <v>2.25</v>
      </c>
      <c r="F93" s="98">
        <v>9.9999999999999995E-7</v>
      </c>
      <c r="G93" s="7"/>
      <c r="H93" s="7"/>
      <c r="I93" s="54">
        <f t="shared" si="44"/>
        <v>0.24855356797573289</v>
      </c>
      <c r="J93" s="54">
        <f t="shared" si="45"/>
        <v>1.2733489644967997</v>
      </c>
      <c r="K93" s="55">
        <f t="shared" si="46"/>
        <v>0.55900620927358002</v>
      </c>
      <c r="L93" s="55">
        <f t="shared" si="47"/>
        <v>4.0771606414059533E-3</v>
      </c>
      <c r="M93" s="55">
        <f t="shared" ref="M93:M127" si="52">IF(D93=0,"",1-L93)</f>
        <v>0.99592283935859405</v>
      </c>
      <c r="N93" s="55">
        <f t="shared" si="48"/>
        <v>1.3136745177172761E-3</v>
      </c>
      <c r="O93" s="56">
        <f t="shared" ref="O93:O127" si="53">IF(D93=0,"",F93*K93*$J$7/$J$14)</f>
        <v>5.6213421356744516E-7</v>
      </c>
      <c r="P93" s="56">
        <f t="shared" si="49"/>
        <v>1.0548458129794735E-5</v>
      </c>
      <c r="Q93" s="56">
        <f t="shared" si="50"/>
        <v>9.9963169766541081E-5</v>
      </c>
      <c r="R93" s="9">
        <f>F93*$C$14</f>
        <v>1.4999999999999999E-4</v>
      </c>
      <c r="S93" s="9">
        <f t="shared" si="39"/>
        <v>6.1157409621089294E-7</v>
      </c>
      <c r="T93" s="9">
        <f t="shared" si="40"/>
        <v>8.3850931391037001E-5</v>
      </c>
      <c r="U93" s="9">
        <f t="shared" si="41"/>
        <v>1.493884259037891E-4</v>
      </c>
      <c r="V93" s="102">
        <f t="shared" si="42"/>
        <v>0.5612946979241864</v>
      </c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45">
      <c r="A94" s="7"/>
      <c r="B94" s="46" t="s">
        <v>213</v>
      </c>
      <c r="C94" s="46" t="s">
        <v>214</v>
      </c>
      <c r="D94" s="47"/>
      <c r="E94" s="47"/>
      <c r="F94" s="57"/>
      <c r="G94" s="7"/>
      <c r="H94" s="7"/>
      <c r="I94" s="54" t="str">
        <f t="shared" si="44"/>
        <v/>
      </c>
      <c r="J94" s="54" t="str">
        <f t="shared" si="45"/>
        <v/>
      </c>
      <c r="K94" s="55" t="str">
        <f t="shared" si="46"/>
        <v/>
      </c>
      <c r="L94" s="55" t="str">
        <f t="shared" si="47"/>
        <v/>
      </c>
      <c r="M94" s="55" t="str">
        <f t="shared" si="52"/>
        <v/>
      </c>
      <c r="N94" s="55" t="str">
        <f t="shared" si="48"/>
        <v/>
      </c>
      <c r="O94" s="56" t="str">
        <f t="shared" si="53"/>
        <v/>
      </c>
      <c r="P94" s="56" t="str">
        <f t="shared" si="49"/>
        <v/>
      </c>
      <c r="Q94" s="56" t="str">
        <f t="shared" si="50"/>
        <v/>
      </c>
      <c r="R94" s="9"/>
      <c r="S94" s="9"/>
      <c r="T94" s="9"/>
      <c r="U94" s="9"/>
      <c r="V94" s="102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45">
      <c r="A95" s="7"/>
      <c r="B95" s="46" t="s">
        <v>215</v>
      </c>
      <c r="C95" s="46" t="s">
        <v>216</v>
      </c>
      <c r="D95" s="47"/>
      <c r="E95" s="47"/>
      <c r="F95" s="57"/>
      <c r="G95" s="7"/>
      <c r="H95" s="7"/>
      <c r="I95" s="54" t="str">
        <f t="shared" si="44"/>
        <v/>
      </c>
      <c r="J95" s="54" t="str">
        <f t="shared" si="45"/>
        <v/>
      </c>
      <c r="K95" s="55" t="str">
        <f t="shared" si="46"/>
        <v/>
      </c>
      <c r="L95" s="55" t="str">
        <f t="shared" si="47"/>
        <v/>
      </c>
      <c r="M95" s="55" t="str">
        <f t="shared" si="52"/>
        <v/>
      </c>
      <c r="N95" s="55" t="str">
        <f t="shared" si="48"/>
        <v/>
      </c>
      <c r="O95" s="56" t="str">
        <f t="shared" si="53"/>
        <v/>
      </c>
      <c r="P95" s="56" t="str">
        <f t="shared" si="49"/>
        <v/>
      </c>
      <c r="Q95" s="56" t="str">
        <f t="shared" si="50"/>
        <v/>
      </c>
      <c r="R95" s="9"/>
      <c r="S95" s="9"/>
      <c r="T95" s="9"/>
      <c r="U95" s="9"/>
      <c r="V95" s="102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45">
      <c r="A96" s="7"/>
      <c r="B96" s="46" t="s">
        <v>217</v>
      </c>
      <c r="C96" s="46" t="s">
        <v>218</v>
      </c>
      <c r="D96" s="47"/>
      <c r="E96" s="47"/>
      <c r="F96" s="57"/>
      <c r="G96" s="7"/>
      <c r="H96" s="7"/>
      <c r="I96" s="54" t="str">
        <f t="shared" si="44"/>
        <v/>
      </c>
      <c r="J96" s="54" t="str">
        <f t="shared" si="45"/>
        <v/>
      </c>
      <c r="K96" s="55" t="str">
        <f t="shared" si="46"/>
        <v/>
      </c>
      <c r="L96" s="55" t="str">
        <f t="shared" si="47"/>
        <v/>
      </c>
      <c r="M96" s="55" t="str">
        <f t="shared" si="52"/>
        <v/>
      </c>
      <c r="N96" s="55" t="str">
        <f t="shared" si="48"/>
        <v/>
      </c>
      <c r="O96" s="56" t="str">
        <f t="shared" si="53"/>
        <v/>
      </c>
      <c r="P96" s="56" t="str">
        <f t="shared" si="49"/>
        <v/>
      </c>
      <c r="Q96" s="56" t="str">
        <f t="shared" si="50"/>
        <v/>
      </c>
      <c r="R96" s="9"/>
      <c r="S96" s="9"/>
      <c r="T96" s="9"/>
      <c r="U96" s="9"/>
      <c r="V96" s="102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45">
      <c r="A97" s="7"/>
      <c r="B97" s="46" t="s">
        <v>219</v>
      </c>
      <c r="C97" s="46" t="s">
        <v>220</v>
      </c>
      <c r="D97" s="47"/>
      <c r="E97" s="47"/>
      <c r="F97" s="57"/>
      <c r="G97" s="7"/>
      <c r="H97" s="7"/>
      <c r="I97" s="54" t="str">
        <f t="shared" si="44"/>
        <v/>
      </c>
      <c r="J97" s="54" t="str">
        <f t="shared" si="45"/>
        <v/>
      </c>
      <c r="K97" s="55" t="str">
        <f t="shared" si="46"/>
        <v/>
      </c>
      <c r="L97" s="55" t="str">
        <f t="shared" si="47"/>
        <v/>
      </c>
      <c r="M97" s="55" t="str">
        <f t="shared" si="52"/>
        <v/>
      </c>
      <c r="N97" s="55" t="str">
        <f t="shared" si="48"/>
        <v/>
      </c>
      <c r="O97" s="56" t="str">
        <f t="shared" si="53"/>
        <v/>
      </c>
      <c r="P97" s="56" t="str">
        <f t="shared" si="49"/>
        <v/>
      </c>
      <c r="Q97" s="56" t="str">
        <f t="shared" si="50"/>
        <v/>
      </c>
      <c r="R97" s="9"/>
      <c r="S97" s="9"/>
      <c r="T97" s="9"/>
      <c r="U97" s="9"/>
      <c r="V97" s="102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45">
      <c r="A98" s="7"/>
      <c r="B98" s="46" t="s">
        <v>221</v>
      </c>
      <c r="C98" s="46" t="s">
        <v>222</v>
      </c>
      <c r="D98" s="47"/>
      <c r="E98" s="47"/>
      <c r="F98" s="57"/>
      <c r="G98" s="7"/>
      <c r="H98" s="7"/>
      <c r="I98" s="54" t="str">
        <f t="shared" si="44"/>
        <v/>
      </c>
      <c r="J98" s="54" t="str">
        <f t="shared" si="45"/>
        <v/>
      </c>
      <c r="K98" s="55" t="str">
        <f t="shared" si="46"/>
        <v/>
      </c>
      <c r="L98" s="55" t="str">
        <f t="shared" si="47"/>
        <v/>
      </c>
      <c r="M98" s="55" t="str">
        <f t="shared" si="52"/>
        <v/>
      </c>
      <c r="N98" s="55" t="str">
        <f t="shared" si="48"/>
        <v/>
      </c>
      <c r="O98" s="56" t="str">
        <f t="shared" si="53"/>
        <v/>
      </c>
      <c r="P98" s="56" t="str">
        <f t="shared" si="49"/>
        <v/>
      </c>
      <c r="Q98" s="56" t="str">
        <f t="shared" si="50"/>
        <v/>
      </c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45">
      <c r="A99" s="7"/>
      <c r="B99" s="46" t="s">
        <v>223</v>
      </c>
      <c r="C99" s="46" t="s">
        <v>224</v>
      </c>
      <c r="D99" s="47"/>
      <c r="E99" s="47"/>
      <c r="F99" s="57"/>
      <c r="G99" s="7"/>
      <c r="H99" s="7"/>
      <c r="I99" s="54" t="str">
        <f t="shared" si="44"/>
        <v/>
      </c>
      <c r="J99" s="54" t="str">
        <f t="shared" si="45"/>
        <v/>
      </c>
      <c r="K99" s="55" t="str">
        <f t="shared" si="46"/>
        <v/>
      </c>
      <c r="L99" s="55" t="str">
        <f t="shared" si="47"/>
        <v/>
      </c>
      <c r="M99" s="55" t="str">
        <f t="shared" si="52"/>
        <v/>
      </c>
      <c r="N99" s="55" t="str">
        <f t="shared" si="48"/>
        <v/>
      </c>
      <c r="O99" s="56" t="str">
        <f t="shared" si="53"/>
        <v/>
      </c>
      <c r="P99" s="56" t="str">
        <f t="shared" si="49"/>
        <v/>
      </c>
      <c r="Q99" s="56" t="str">
        <f t="shared" si="50"/>
        <v/>
      </c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45">
      <c r="A100" s="7"/>
      <c r="B100" s="46" t="s">
        <v>225</v>
      </c>
      <c r="C100" s="46" t="s">
        <v>226</v>
      </c>
      <c r="D100" s="47"/>
      <c r="E100" s="47"/>
      <c r="F100" s="57"/>
      <c r="G100" s="7"/>
      <c r="H100" s="7"/>
      <c r="I100" s="54" t="str">
        <f t="shared" si="44"/>
        <v/>
      </c>
      <c r="J100" s="54" t="str">
        <f t="shared" si="45"/>
        <v/>
      </c>
      <c r="K100" s="55" t="str">
        <f t="shared" si="46"/>
        <v/>
      </c>
      <c r="L100" s="55" t="str">
        <f t="shared" si="47"/>
        <v/>
      </c>
      <c r="M100" s="55" t="str">
        <f t="shared" si="52"/>
        <v/>
      </c>
      <c r="N100" s="55" t="str">
        <f t="shared" si="48"/>
        <v/>
      </c>
      <c r="O100" s="56" t="str">
        <f t="shared" si="53"/>
        <v/>
      </c>
      <c r="P100" s="56" t="str">
        <f t="shared" si="49"/>
        <v/>
      </c>
      <c r="Q100" s="56" t="str">
        <f t="shared" si="50"/>
        <v/>
      </c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45">
      <c r="A101" s="7"/>
      <c r="B101" s="46" t="s">
        <v>227</v>
      </c>
      <c r="C101" s="46" t="s">
        <v>228</v>
      </c>
      <c r="D101" s="47"/>
      <c r="E101" s="47"/>
      <c r="F101" s="57"/>
      <c r="G101" s="7"/>
      <c r="H101" s="7"/>
      <c r="I101" s="54" t="str">
        <f t="shared" si="44"/>
        <v/>
      </c>
      <c r="J101" s="54" t="str">
        <f t="shared" si="45"/>
        <v/>
      </c>
      <c r="K101" s="55" t="str">
        <f t="shared" si="46"/>
        <v/>
      </c>
      <c r="L101" s="55" t="str">
        <f t="shared" si="47"/>
        <v/>
      </c>
      <c r="M101" s="55" t="str">
        <f t="shared" si="52"/>
        <v/>
      </c>
      <c r="N101" s="55" t="str">
        <f t="shared" si="48"/>
        <v/>
      </c>
      <c r="O101" s="56" t="str">
        <f t="shared" si="53"/>
        <v/>
      </c>
      <c r="P101" s="56" t="str">
        <f t="shared" si="49"/>
        <v/>
      </c>
      <c r="Q101" s="56" t="str">
        <f t="shared" si="50"/>
        <v/>
      </c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45">
      <c r="A102" s="7"/>
      <c r="B102" s="46" t="s">
        <v>229</v>
      </c>
      <c r="C102" s="46" t="s">
        <v>230</v>
      </c>
      <c r="D102" s="47"/>
      <c r="E102" s="47"/>
      <c r="F102" s="57"/>
      <c r="G102" s="7"/>
      <c r="H102" s="7"/>
      <c r="I102" s="54" t="str">
        <f t="shared" si="44"/>
        <v/>
      </c>
      <c r="J102" s="54" t="str">
        <f t="shared" si="45"/>
        <v/>
      </c>
      <c r="K102" s="55" t="str">
        <f t="shared" si="46"/>
        <v/>
      </c>
      <c r="L102" s="55" t="str">
        <f t="shared" si="47"/>
        <v/>
      </c>
      <c r="M102" s="55" t="str">
        <f t="shared" si="52"/>
        <v/>
      </c>
      <c r="N102" s="55" t="str">
        <f t="shared" si="48"/>
        <v/>
      </c>
      <c r="O102" s="56" t="str">
        <f t="shared" si="53"/>
        <v/>
      </c>
      <c r="P102" s="56" t="str">
        <f t="shared" si="49"/>
        <v/>
      </c>
      <c r="Q102" s="56" t="str">
        <f t="shared" si="50"/>
        <v/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45">
      <c r="A103" s="7"/>
      <c r="B103" s="46" t="s">
        <v>231</v>
      </c>
      <c r="C103" s="46" t="s">
        <v>232</v>
      </c>
      <c r="D103" s="47"/>
      <c r="E103" s="47"/>
      <c r="F103" s="57"/>
      <c r="G103" s="7"/>
      <c r="H103" s="7"/>
      <c r="I103" s="54" t="str">
        <f t="shared" si="44"/>
        <v/>
      </c>
      <c r="J103" s="54" t="str">
        <f t="shared" si="45"/>
        <v/>
      </c>
      <c r="K103" s="55" t="str">
        <f t="shared" si="46"/>
        <v/>
      </c>
      <c r="L103" s="55" t="str">
        <f t="shared" si="47"/>
        <v/>
      </c>
      <c r="M103" s="55" t="str">
        <f t="shared" si="52"/>
        <v/>
      </c>
      <c r="N103" s="55" t="str">
        <f t="shared" si="48"/>
        <v/>
      </c>
      <c r="O103" s="56" t="str">
        <f t="shared" si="53"/>
        <v/>
      </c>
      <c r="P103" s="56" t="str">
        <f t="shared" si="49"/>
        <v/>
      </c>
      <c r="Q103" s="56" t="str">
        <f t="shared" si="50"/>
        <v/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45">
      <c r="A104" s="7"/>
      <c r="B104" s="46" t="s">
        <v>233</v>
      </c>
      <c r="C104" s="46" t="s">
        <v>234</v>
      </c>
      <c r="D104" s="47"/>
      <c r="E104" s="47"/>
      <c r="F104" s="57"/>
      <c r="G104" s="7"/>
      <c r="H104" s="7"/>
      <c r="I104" s="54" t="str">
        <f t="shared" si="44"/>
        <v/>
      </c>
      <c r="J104" s="54" t="str">
        <f t="shared" si="45"/>
        <v/>
      </c>
      <c r="K104" s="55" t="str">
        <f t="shared" si="46"/>
        <v/>
      </c>
      <c r="L104" s="55" t="str">
        <f t="shared" si="47"/>
        <v/>
      </c>
      <c r="M104" s="55" t="str">
        <f t="shared" si="52"/>
        <v/>
      </c>
      <c r="N104" s="55" t="str">
        <f t="shared" si="48"/>
        <v/>
      </c>
      <c r="O104" s="56" t="str">
        <f t="shared" si="53"/>
        <v/>
      </c>
      <c r="P104" s="56" t="str">
        <f t="shared" si="49"/>
        <v/>
      </c>
      <c r="Q104" s="56" t="str">
        <f t="shared" si="50"/>
        <v/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45">
      <c r="A105" s="7"/>
      <c r="B105" s="46" t="s">
        <v>235</v>
      </c>
      <c r="C105" s="46" t="s">
        <v>236</v>
      </c>
      <c r="D105" s="47"/>
      <c r="E105" s="47"/>
      <c r="F105" s="57"/>
      <c r="G105" s="7"/>
      <c r="H105" s="7"/>
      <c r="I105" s="54" t="str">
        <f t="shared" si="44"/>
        <v/>
      </c>
      <c r="J105" s="54" t="str">
        <f t="shared" si="45"/>
        <v/>
      </c>
      <c r="K105" s="55" t="str">
        <f t="shared" si="46"/>
        <v/>
      </c>
      <c r="L105" s="55" t="str">
        <f t="shared" si="47"/>
        <v/>
      </c>
      <c r="M105" s="55" t="str">
        <f t="shared" si="52"/>
        <v/>
      </c>
      <c r="N105" s="55" t="str">
        <f t="shared" si="48"/>
        <v/>
      </c>
      <c r="O105" s="56" t="str">
        <f t="shared" si="53"/>
        <v/>
      </c>
      <c r="P105" s="56" t="str">
        <f t="shared" si="49"/>
        <v/>
      </c>
      <c r="Q105" s="56" t="str">
        <f t="shared" si="50"/>
        <v/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45">
      <c r="A106" s="7"/>
      <c r="B106" s="46" t="s">
        <v>237</v>
      </c>
      <c r="C106" s="46" t="s">
        <v>238</v>
      </c>
      <c r="D106" s="47"/>
      <c r="E106" s="47"/>
      <c r="F106" s="57"/>
      <c r="G106" s="7"/>
      <c r="H106" s="7"/>
      <c r="I106" s="54" t="str">
        <f t="shared" si="44"/>
        <v/>
      </c>
      <c r="J106" s="54" t="str">
        <f t="shared" si="45"/>
        <v/>
      </c>
      <c r="K106" s="55" t="str">
        <f t="shared" si="46"/>
        <v/>
      </c>
      <c r="L106" s="55" t="str">
        <f t="shared" si="47"/>
        <v/>
      </c>
      <c r="M106" s="55" t="str">
        <f t="shared" si="52"/>
        <v/>
      </c>
      <c r="N106" s="55" t="str">
        <f t="shared" si="48"/>
        <v/>
      </c>
      <c r="O106" s="56" t="str">
        <f t="shared" si="53"/>
        <v/>
      </c>
      <c r="P106" s="56" t="str">
        <f t="shared" si="49"/>
        <v/>
      </c>
      <c r="Q106" s="56" t="str">
        <f t="shared" si="50"/>
        <v/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45">
      <c r="A107" s="7"/>
      <c r="B107" s="46" t="s">
        <v>239</v>
      </c>
      <c r="C107" s="46" t="s">
        <v>240</v>
      </c>
      <c r="D107" s="47">
        <v>0.97789599999999988</v>
      </c>
      <c r="E107" s="47">
        <v>1.067612</v>
      </c>
      <c r="F107" s="98">
        <v>9.9999999999999995E-7</v>
      </c>
      <c r="G107" s="7"/>
      <c r="H107" s="7"/>
      <c r="I107" s="54">
        <f t="shared" si="44"/>
        <v>1.9065682325616583E-2</v>
      </c>
      <c r="J107" s="54">
        <f t="shared" si="45"/>
        <v>0.31039088979163149</v>
      </c>
      <c r="K107" s="55">
        <f t="shared" si="46"/>
        <v>0.95137233194958248</v>
      </c>
      <c r="L107" s="55">
        <f t="shared" si="47"/>
        <v>7.5567252713073022E-4</v>
      </c>
      <c r="M107" s="55">
        <f t="shared" si="52"/>
        <v>0.99924432747286929</v>
      </c>
      <c r="N107" s="55">
        <f t="shared" si="48"/>
        <v>1.4690401337542542E-4</v>
      </c>
      <c r="O107" s="56">
        <f t="shared" si="53"/>
        <v>9.5669588057933705E-7</v>
      </c>
      <c r="P107" s="56">
        <f t="shared" si="49"/>
        <v>1.9550811737272946E-6</v>
      </c>
      <c r="Q107" s="56">
        <f t="shared" si="50"/>
        <v>1.117856107458904E-5</v>
      </c>
      <c r="R107" s="9">
        <f>F107*$C$14</f>
        <v>1.4999999999999999E-4</v>
      </c>
      <c r="S107" s="9">
        <f t="shared" ref="S107:S108" si="54">$R107*L107</f>
        <v>1.1335087906960952E-7</v>
      </c>
      <c r="T107" s="9">
        <f t="shared" ref="T107:T108" si="55">R107*K107</f>
        <v>1.4270584979243737E-4</v>
      </c>
      <c r="U107" s="9">
        <f t="shared" ref="U107:U108" si="56">$R107*M107</f>
        <v>1.4988664912093038E-4</v>
      </c>
      <c r="V107" s="102">
        <f t="shared" ref="V107:V108" si="57">K107/M107</f>
        <v>0.95209180156733331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45">
      <c r="A108" s="7"/>
      <c r="B108" s="46" t="s">
        <v>241</v>
      </c>
      <c r="C108" s="46" t="s">
        <v>242</v>
      </c>
      <c r="D108" s="47">
        <v>1.8253520000000001</v>
      </c>
      <c r="E108" s="47">
        <v>2.0793489999999997</v>
      </c>
      <c r="F108" s="98">
        <v>9.9999999999999995E-7</v>
      </c>
      <c r="G108" s="7"/>
      <c r="H108" s="7"/>
      <c r="I108" s="54">
        <f t="shared" si="44"/>
        <v>0.13401854480859055</v>
      </c>
      <c r="J108" s="54">
        <f t="shared" si="45"/>
        <v>1.0136234276499627</v>
      </c>
      <c r="K108" s="55">
        <f t="shared" si="46"/>
        <v>0.72854289056960053</v>
      </c>
      <c r="L108" s="55">
        <f t="shared" si="47"/>
        <v>2.9219365358740218E-3</v>
      </c>
      <c r="M108" s="55">
        <f t="shared" si="52"/>
        <v>0.99707806346412597</v>
      </c>
      <c r="N108" s="55">
        <f t="shared" si="48"/>
        <v>1.1557802481564085E-3</v>
      </c>
      <c r="O108" s="56">
        <f t="shared" si="53"/>
        <v>7.3261956315777789E-7</v>
      </c>
      <c r="P108" s="56">
        <f t="shared" si="49"/>
        <v>7.5596543568997242E-6</v>
      </c>
      <c r="Q108" s="56">
        <f t="shared" si="50"/>
        <v>8.7948312615544798E-5</v>
      </c>
      <c r="R108" s="9">
        <f>F108*$C$14</f>
        <v>1.4999999999999999E-4</v>
      </c>
      <c r="S108" s="9">
        <f t="shared" si="54"/>
        <v>4.3829048038110324E-7</v>
      </c>
      <c r="T108" s="9">
        <f t="shared" si="55"/>
        <v>1.0928143358544007E-4</v>
      </c>
      <c r="U108" s="9">
        <f t="shared" si="56"/>
        <v>1.4956170951961888E-4</v>
      </c>
      <c r="V108" s="102">
        <f t="shared" si="57"/>
        <v>0.73067788497767194</v>
      </c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45">
      <c r="A109" s="7"/>
      <c r="B109" s="46" t="s">
        <v>243</v>
      </c>
      <c r="C109" s="46" t="s">
        <v>244</v>
      </c>
      <c r="D109" s="47"/>
      <c r="E109" s="47"/>
      <c r="F109" s="98"/>
      <c r="G109" s="7"/>
      <c r="H109" s="7"/>
      <c r="I109" s="54" t="str">
        <f t="shared" si="44"/>
        <v/>
      </c>
      <c r="J109" s="54" t="str">
        <f t="shared" si="45"/>
        <v/>
      </c>
      <c r="K109" s="55" t="str">
        <f t="shared" si="46"/>
        <v/>
      </c>
      <c r="L109" s="55" t="str">
        <f t="shared" si="47"/>
        <v/>
      </c>
      <c r="M109" s="55" t="str">
        <f t="shared" si="52"/>
        <v/>
      </c>
      <c r="N109" s="55" t="str">
        <f t="shared" si="48"/>
        <v/>
      </c>
      <c r="O109" s="56" t="str">
        <f t="shared" si="53"/>
        <v/>
      </c>
      <c r="P109" s="56" t="str">
        <f t="shared" si="49"/>
        <v/>
      </c>
      <c r="Q109" s="56" t="str">
        <f t="shared" si="50"/>
        <v/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45">
      <c r="A110" s="7"/>
      <c r="B110" s="46" t="s">
        <v>245</v>
      </c>
      <c r="C110" s="46" t="s">
        <v>246</v>
      </c>
      <c r="D110" s="47"/>
      <c r="E110" s="47"/>
      <c r="F110" s="98"/>
      <c r="G110" s="7"/>
      <c r="H110" s="7"/>
      <c r="I110" s="54" t="str">
        <f t="shared" si="44"/>
        <v/>
      </c>
      <c r="J110" s="54" t="str">
        <f t="shared" si="45"/>
        <v/>
      </c>
      <c r="K110" s="55" t="str">
        <f t="shared" si="46"/>
        <v/>
      </c>
      <c r="L110" s="55" t="str">
        <f t="shared" si="47"/>
        <v/>
      </c>
      <c r="M110" s="55" t="str">
        <f t="shared" si="52"/>
        <v/>
      </c>
      <c r="N110" s="55" t="str">
        <f t="shared" si="48"/>
        <v/>
      </c>
      <c r="O110" s="56" t="str">
        <f t="shared" si="53"/>
        <v/>
      </c>
      <c r="P110" s="56" t="str">
        <f t="shared" si="49"/>
        <v/>
      </c>
      <c r="Q110" s="56" t="str">
        <f t="shared" si="50"/>
        <v/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45">
      <c r="A111" s="7"/>
      <c r="B111" s="46" t="s">
        <v>247</v>
      </c>
      <c r="C111" s="46" t="s">
        <v>248</v>
      </c>
      <c r="D111" s="47"/>
      <c r="E111" s="47"/>
      <c r="F111" s="98"/>
      <c r="G111" s="7"/>
      <c r="H111" s="7"/>
      <c r="I111" s="54" t="str">
        <f t="shared" si="44"/>
        <v/>
      </c>
      <c r="J111" s="54" t="str">
        <f t="shared" si="45"/>
        <v/>
      </c>
      <c r="K111" s="55" t="str">
        <f t="shared" si="46"/>
        <v/>
      </c>
      <c r="L111" s="55" t="str">
        <f t="shared" si="47"/>
        <v/>
      </c>
      <c r="M111" s="55" t="str">
        <f t="shared" si="52"/>
        <v/>
      </c>
      <c r="N111" s="55" t="str">
        <f t="shared" si="48"/>
        <v/>
      </c>
      <c r="O111" s="56" t="str">
        <f t="shared" si="53"/>
        <v/>
      </c>
      <c r="P111" s="56" t="str">
        <f t="shared" si="49"/>
        <v/>
      </c>
      <c r="Q111" s="56" t="str">
        <f t="shared" si="50"/>
        <v/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45">
      <c r="A112" s="7"/>
      <c r="B112" s="46" t="s">
        <v>249</v>
      </c>
      <c r="C112" s="46" t="s">
        <v>250</v>
      </c>
      <c r="D112" s="47"/>
      <c r="E112" s="47"/>
      <c r="F112" s="98"/>
      <c r="G112" s="7"/>
      <c r="H112" s="7"/>
      <c r="I112" s="54" t="str">
        <f t="shared" si="44"/>
        <v/>
      </c>
      <c r="J112" s="54" t="str">
        <f t="shared" si="45"/>
        <v/>
      </c>
      <c r="K112" s="55" t="str">
        <f t="shared" si="46"/>
        <v/>
      </c>
      <c r="L112" s="55" t="str">
        <f t="shared" si="47"/>
        <v/>
      </c>
      <c r="M112" s="55" t="str">
        <f t="shared" si="52"/>
        <v/>
      </c>
      <c r="N112" s="55" t="str">
        <f t="shared" si="48"/>
        <v/>
      </c>
      <c r="O112" s="56" t="str">
        <f t="shared" si="53"/>
        <v/>
      </c>
      <c r="P112" s="56" t="str">
        <f t="shared" si="49"/>
        <v/>
      </c>
      <c r="Q112" s="56" t="str">
        <f t="shared" si="50"/>
        <v/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45">
      <c r="A113" s="7"/>
      <c r="B113" s="46" t="s">
        <v>251</v>
      </c>
      <c r="C113" s="46" t="s">
        <v>252</v>
      </c>
      <c r="D113" s="47"/>
      <c r="E113" s="47"/>
      <c r="F113" s="57"/>
      <c r="G113" s="7"/>
      <c r="H113" s="7"/>
      <c r="I113" s="54" t="str">
        <f t="shared" si="44"/>
        <v/>
      </c>
      <c r="J113" s="54" t="str">
        <f t="shared" si="45"/>
        <v/>
      </c>
      <c r="K113" s="55" t="str">
        <f t="shared" si="46"/>
        <v/>
      </c>
      <c r="L113" s="55" t="str">
        <f t="shared" si="47"/>
        <v/>
      </c>
      <c r="M113" s="55" t="str">
        <f t="shared" si="52"/>
        <v/>
      </c>
      <c r="N113" s="55" t="str">
        <f t="shared" si="48"/>
        <v/>
      </c>
      <c r="O113" s="56" t="str">
        <f t="shared" si="53"/>
        <v/>
      </c>
      <c r="P113" s="56" t="str">
        <f t="shared" si="49"/>
        <v/>
      </c>
      <c r="Q113" s="56" t="str">
        <f t="shared" si="50"/>
        <v/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45">
      <c r="A114" s="7"/>
      <c r="B114" s="46" t="s">
        <v>253</v>
      </c>
      <c r="C114" s="46" t="s">
        <v>254</v>
      </c>
      <c r="D114" s="47">
        <v>1.6430320000000003</v>
      </c>
      <c r="E114" s="47">
        <v>1.9699289999999996</v>
      </c>
      <c r="F114" s="98">
        <v>9.9999999999999995E-7</v>
      </c>
      <c r="G114" s="7"/>
      <c r="H114" s="7"/>
      <c r="I114" s="54">
        <f t="shared" si="44"/>
        <v>9.3867444440884892E-2</v>
      </c>
      <c r="J114" s="54">
        <f t="shared" si="45"/>
        <v>0.87939054598043731</v>
      </c>
      <c r="K114" s="55">
        <f t="shared" si="46"/>
        <v>0.79956441745612583</v>
      </c>
      <c r="L114" s="55">
        <f t="shared" si="47"/>
        <v>2.3541613831584208E-3</v>
      </c>
      <c r="M114" s="55">
        <f t="shared" si="52"/>
        <v>0.99764583861684153</v>
      </c>
      <c r="N114" s="55">
        <f t="shared" si="48"/>
        <v>9.8594707398132805E-4</v>
      </c>
      <c r="O114" s="56">
        <f t="shared" si="53"/>
        <v>8.040385018035511E-7</v>
      </c>
      <c r="P114" s="56">
        <f t="shared" si="49"/>
        <v>6.0907025661032128E-6</v>
      </c>
      <c r="Q114" s="56">
        <f t="shared" si="50"/>
        <v>7.5024972630573092E-5</v>
      </c>
      <c r="R114" s="9">
        <f>F114*$C$14</f>
        <v>1.4999999999999999E-4</v>
      </c>
      <c r="S114" s="9">
        <f t="shared" ref="S114:S116" si="58">$R114*L114</f>
        <v>3.5312420747376309E-7</v>
      </c>
      <c r="T114" s="9">
        <f t="shared" ref="T114:T116" si="59">R114*K114</f>
        <v>1.1993466261841887E-4</v>
      </c>
      <c r="U114" s="9">
        <f t="shared" ref="U114:U116" si="60">$R114*M114</f>
        <v>1.4964687579252622E-4</v>
      </c>
      <c r="V114" s="102">
        <f t="shared" ref="V114:V116" si="61">K114/M114</f>
        <v>0.8014511628341574</v>
      </c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45">
      <c r="A115" s="7"/>
      <c r="B115" s="46" t="s">
        <v>255</v>
      </c>
      <c r="C115" s="46" t="s">
        <v>256</v>
      </c>
      <c r="D115" s="47">
        <v>1.9888079999999992</v>
      </c>
      <c r="E115" s="47">
        <v>1.7269960000000002</v>
      </c>
      <c r="F115" s="98">
        <v>9.9999999999999995E-7</v>
      </c>
      <c r="G115" s="7"/>
      <c r="H115" s="7"/>
      <c r="I115" s="54">
        <f t="shared" si="44"/>
        <v>0.17110445915344094</v>
      </c>
      <c r="J115" s="54">
        <f t="shared" si="45"/>
        <v>1.0210151944953776</v>
      </c>
      <c r="K115" s="55">
        <f t="shared" si="46"/>
        <v>0.66904153927390841</v>
      </c>
      <c r="L115" s="55">
        <f t="shared" si="47"/>
        <v>2.7293579995350758E-3</v>
      </c>
      <c r="M115" s="55">
        <f t="shared" si="52"/>
        <v>0.99727064200046489</v>
      </c>
      <c r="N115" s="55">
        <f t="shared" si="48"/>
        <v>4.7154183228571595E-4</v>
      </c>
      <c r="O115" s="56">
        <f t="shared" si="53"/>
        <v>6.7278526299809105E-7</v>
      </c>
      <c r="P115" s="56">
        <f t="shared" si="49"/>
        <v>7.0614138395557643E-6</v>
      </c>
      <c r="Q115" s="56">
        <f t="shared" si="50"/>
        <v>3.5881655308889432E-5</v>
      </c>
      <c r="R115" s="9">
        <f>F115*$C$14</f>
        <v>1.4999999999999999E-4</v>
      </c>
      <c r="S115" s="9">
        <f t="shared" si="58"/>
        <v>4.0940369993026132E-7</v>
      </c>
      <c r="T115" s="9">
        <f t="shared" si="59"/>
        <v>1.0035623089108625E-4</v>
      </c>
      <c r="U115" s="9">
        <f t="shared" si="60"/>
        <v>1.4959059630006972E-4</v>
      </c>
      <c r="V115" s="102">
        <f t="shared" si="61"/>
        <v>0.67087259074613026</v>
      </c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45">
      <c r="A116" s="7"/>
      <c r="B116" s="46" t="s">
        <v>257</v>
      </c>
      <c r="C116" s="46" t="s">
        <v>258</v>
      </c>
      <c r="D116" s="47">
        <v>0.57692000000000121</v>
      </c>
      <c r="E116" s="47">
        <v>0.1355349999999973</v>
      </c>
      <c r="F116" s="98">
        <v>9.9999999999999995E-7</v>
      </c>
      <c r="G116" s="7"/>
      <c r="H116" s="7"/>
      <c r="I116" s="54">
        <f t="shared" si="44"/>
        <v>5.8063156695311677E-3</v>
      </c>
      <c r="J116" s="54">
        <f t="shared" si="45"/>
        <v>9.1475309817773021E-2</v>
      </c>
      <c r="K116" s="55">
        <f t="shared" si="46"/>
        <v>0.98114612900642706</v>
      </c>
      <c r="L116" s="55">
        <f t="shared" si="47"/>
        <v>4.707618178994316E-4</v>
      </c>
      <c r="M116" s="55">
        <f t="shared" si="52"/>
        <v>0.9995292381821006</v>
      </c>
      <c r="N116" s="55">
        <f t="shared" si="48"/>
        <v>1.7714946230821274E-5</v>
      </c>
      <c r="O116" s="56">
        <f t="shared" si="53"/>
        <v>9.8663628144754109E-7</v>
      </c>
      <c r="P116" s="56">
        <f t="shared" si="49"/>
        <v>1.2179582219026366E-6</v>
      </c>
      <c r="Q116" s="56">
        <f t="shared" si="50"/>
        <v>1.3480067958948166E-6</v>
      </c>
      <c r="R116" s="9">
        <f>F116*$C$14</f>
        <v>1.4999999999999999E-4</v>
      </c>
      <c r="S116" s="9">
        <f t="shared" si="58"/>
        <v>7.0614272684914739E-8</v>
      </c>
      <c r="T116" s="9">
        <f t="shared" si="59"/>
        <v>1.4717191935096404E-4</v>
      </c>
      <c r="U116" s="9">
        <f t="shared" si="60"/>
        <v>1.4992938572731509E-4</v>
      </c>
      <c r="V116" s="102">
        <f t="shared" si="61"/>
        <v>0.98160823268250974</v>
      </c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45">
      <c r="A117" s="7"/>
      <c r="B117" s="46" t="s">
        <v>259</v>
      </c>
      <c r="C117" s="46" t="s">
        <v>260</v>
      </c>
      <c r="D117" s="47"/>
      <c r="E117" s="47"/>
      <c r="F117" s="98"/>
      <c r="G117" s="7"/>
      <c r="H117" s="7"/>
      <c r="I117" s="54" t="str">
        <f t="shared" si="44"/>
        <v/>
      </c>
      <c r="J117" s="54" t="str">
        <f t="shared" si="45"/>
        <v/>
      </c>
      <c r="K117" s="55" t="str">
        <f t="shared" si="46"/>
        <v/>
      </c>
      <c r="L117" s="55" t="str">
        <f t="shared" si="47"/>
        <v/>
      </c>
      <c r="M117" s="55" t="str">
        <f t="shared" si="52"/>
        <v/>
      </c>
      <c r="N117" s="55" t="str">
        <f t="shared" si="48"/>
        <v/>
      </c>
      <c r="O117" s="56" t="str">
        <f t="shared" si="53"/>
        <v/>
      </c>
      <c r="P117" s="56" t="str">
        <f t="shared" si="49"/>
        <v/>
      </c>
      <c r="Q117" s="56" t="str">
        <f t="shared" si="50"/>
        <v/>
      </c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45">
      <c r="A118" s="7"/>
      <c r="B118" s="46" t="s">
        <v>261</v>
      </c>
      <c r="C118" s="46" t="s">
        <v>262</v>
      </c>
      <c r="D118" s="47"/>
      <c r="E118" s="47"/>
      <c r="F118" s="57"/>
      <c r="G118" s="7"/>
      <c r="H118" s="7"/>
      <c r="I118" s="54" t="str">
        <f t="shared" si="44"/>
        <v/>
      </c>
      <c r="J118" s="54" t="str">
        <f t="shared" si="45"/>
        <v/>
      </c>
      <c r="K118" s="55" t="str">
        <f t="shared" si="46"/>
        <v/>
      </c>
      <c r="L118" s="55" t="str">
        <f t="shared" si="47"/>
        <v/>
      </c>
      <c r="M118" s="55" t="str">
        <f t="shared" si="52"/>
        <v/>
      </c>
      <c r="N118" s="55" t="str">
        <f t="shared" si="48"/>
        <v/>
      </c>
      <c r="O118" s="56" t="str">
        <f t="shared" si="53"/>
        <v/>
      </c>
      <c r="P118" s="56" t="str">
        <f t="shared" si="49"/>
        <v/>
      </c>
      <c r="Q118" s="56" t="str">
        <f t="shared" si="50"/>
        <v/>
      </c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45">
      <c r="A119" s="7"/>
      <c r="B119" s="46" t="s">
        <v>263</v>
      </c>
      <c r="C119" s="46" t="s">
        <v>264</v>
      </c>
      <c r="D119" s="47">
        <v>3.598704000000001</v>
      </c>
      <c r="E119" s="47">
        <v>4.3131730000000008</v>
      </c>
      <c r="F119" s="98">
        <v>9.9999999999999995E-7</v>
      </c>
      <c r="G119" s="7"/>
      <c r="H119" s="7"/>
      <c r="I119" s="54">
        <f t="shared" si="44"/>
        <v>1.4450204174697026</v>
      </c>
      <c r="J119" s="54">
        <f t="shared" si="45"/>
        <v>3.0076215018515007</v>
      </c>
      <c r="K119" s="55">
        <f t="shared" si="46"/>
        <v>3.5207347481990399E-2</v>
      </c>
      <c r="L119" s="55">
        <f t="shared" si="47"/>
        <v>1.3926661992270793E-2</v>
      </c>
      <c r="M119" s="55">
        <f t="shared" si="52"/>
        <v>0.98607333800772923</v>
      </c>
      <c r="N119" s="55">
        <f t="shared" si="48"/>
        <v>9.5692400741635639E-3</v>
      </c>
      <c r="O119" s="56">
        <f t="shared" si="53"/>
        <v>3.5404355551439884E-8</v>
      </c>
      <c r="P119" s="56">
        <f t="shared" si="49"/>
        <v>3.6031155952347791E-5</v>
      </c>
      <c r="Q119" s="56">
        <f t="shared" si="50"/>
        <v>7.2816482101867948E-4</v>
      </c>
      <c r="R119" s="9">
        <f>F119*$C$14</f>
        <v>1.4999999999999999E-4</v>
      </c>
      <c r="S119" s="9">
        <f t="shared" ref="S119:S121" si="62">$R119*L119</f>
        <v>2.0889992988406188E-6</v>
      </c>
      <c r="T119" s="9">
        <f t="shared" ref="T119:T121" si="63">R119*K119</f>
        <v>5.2811021222985596E-6</v>
      </c>
      <c r="U119" s="9">
        <f t="shared" ref="U119:U121" si="64">$R119*M119</f>
        <v>1.4791100070115937E-4</v>
      </c>
      <c r="V119" s="102">
        <f t="shared" ref="V119:V121" si="65">K119/M119</f>
        <v>3.5704593284231388E-2</v>
      </c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45">
      <c r="A120" s="7"/>
      <c r="B120" s="46" t="s">
        <v>265</v>
      </c>
      <c r="C120" s="46" t="s">
        <v>266</v>
      </c>
      <c r="D120" s="47">
        <v>2.0168880000000002</v>
      </c>
      <c r="E120" s="47">
        <v>2.2161360000000005</v>
      </c>
      <c r="F120" s="98">
        <v>9.9999999999999995E-7</v>
      </c>
      <c r="G120" s="7"/>
      <c r="H120" s="7"/>
      <c r="I120" s="54">
        <f t="shared" si="44"/>
        <v>0.19210968761462099</v>
      </c>
      <c r="J120" s="54">
        <f t="shared" si="45"/>
        <v>1.1701393635089397</v>
      </c>
      <c r="K120" s="55">
        <f t="shared" si="46"/>
        <v>0.63685610166798678</v>
      </c>
      <c r="L120" s="55">
        <f t="shared" si="47"/>
        <v>3.6624601191816305E-3</v>
      </c>
      <c r="M120" s="55">
        <f t="shared" si="52"/>
        <v>0.99633753988081841</v>
      </c>
      <c r="N120" s="55">
        <f t="shared" si="48"/>
        <v>1.384358137324511E-3</v>
      </c>
      <c r="O120" s="56">
        <f t="shared" si="53"/>
        <v>6.4041972687919915E-7</v>
      </c>
      <c r="P120" s="56">
        <f t="shared" si="49"/>
        <v>9.4755420786923619E-6</v>
      </c>
      <c r="Q120" s="56">
        <f t="shared" si="50"/>
        <v>1.0534179177010217E-4</v>
      </c>
      <c r="R120" s="9">
        <f>F120*$C$14</f>
        <v>1.4999999999999999E-4</v>
      </c>
      <c r="S120" s="9">
        <f t="shared" si="62"/>
        <v>5.4936901787724453E-7</v>
      </c>
      <c r="T120" s="9">
        <f t="shared" si="63"/>
        <v>9.5528415250198008E-5</v>
      </c>
      <c r="U120" s="9">
        <f t="shared" si="64"/>
        <v>1.4945063098212275E-4</v>
      </c>
      <c r="V120" s="102">
        <f t="shared" si="65"/>
        <v>0.63919713568573089</v>
      </c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45">
      <c r="A121" s="7"/>
      <c r="B121" s="46" t="s">
        <v>267</v>
      </c>
      <c r="C121" s="46" t="s">
        <v>268</v>
      </c>
      <c r="D121" s="47">
        <v>4.2132720000000008</v>
      </c>
      <c r="E121" s="47">
        <v>4.705258999999999</v>
      </c>
      <c r="F121" s="98">
        <v>9.9999999999999995E-7</v>
      </c>
      <c r="G121" s="7"/>
      <c r="H121" s="7"/>
      <c r="I121" s="54">
        <f t="shared" si="44"/>
        <v>1.9943504269299017</v>
      </c>
      <c r="J121" s="54">
        <f t="shared" si="45"/>
        <v>3.4818642141609106</v>
      </c>
      <c r="K121" s="55">
        <f t="shared" si="46"/>
        <v>9.960122242729276E-3</v>
      </c>
      <c r="L121" s="55">
        <f t="shared" si="47"/>
        <v>1.1741433142581397E-2</v>
      </c>
      <c r="M121" s="55">
        <f t="shared" si="52"/>
        <v>0.98825856685741864</v>
      </c>
      <c r="N121" s="55">
        <f t="shared" si="48"/>
        <v>6.6772065755626416E-3</v>
      </c>
      <c r="O121" s="56">
        <f t="shared" si="53"/>
        <v>1.001585562211904E-8</v>
      </c>
      <c r="P121" s="56">
        <f t="shared" si="49"/>
        <v>3.0377516801887584E-5</v>
      </c>
      <c r="Q121" s="56">
        <f t="shared" si="50"/>
        <v>5.0809749711753485E-4</v>
      </c>
      <c r="R121" s="9">
        <f>F121*$C$14</f>
        <v>1.4999999999999999E-4</v>
      </c>
      <c r="S121" s="9">
        <f t="shared" si="62"/>
        <v>1.7612149713872094E-6</v>
      </c>
      <c r="T121" s="9">
        <f t="shared" si="63"/>
        <v>1.4940183364093912E-6</v>
      </c>
      <c r="U121" s="9">
        <f t="shared" si="64"/>
        <v>1.4823878502861278E-4</v>
      </c>
      <c r="V121" s="102">
        <f t="shared" si="65"/>
        <v>1.0078457780944565E-2</v>
      </c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45">
      <c r="A122" s="7"/>
      <c r="B122" s="46" t="s">
        <v>269</v>
      </c>
      <c r="C122" s="46" t="s">
        <v>270</v>
      </c>
      <c r="D122" s="47"/>
      <c r="E122" s="47"/>
      <c r="F122" s="57"/>
      <c r="G122" s="7"/>
      <c r="H122" s="7"/>
      <c r="I122" s="54" t="str">
        <f t="shared" si="44"/>
        <v/>
      </c>
      <c r="J122" s="54" t="str">
        <f t="shared" si="45"/>
        <v/>
      </c>
      <c r="K122" s="55" t="str">
        <f t="shared" si="46"/>
        <v/>
      </c>
      <c r="L122" s="55" t="str">
        <f t="shared" si="47"/>
        <v/>
      </c>
      <c r="M122" s="55" t="str">
        <f t="shared" si="52"/>
        <v/>
      </c>
      <c r="N122" s="55" t="str">
        <f t="shared" si="48"/>
        <v/>
      </c>
      <c r="O122" s="56" t="str">
        <f t="shared" si="53"/>
        <v/>
      </c>
      <c r="P122" s="56" t="str">
        <f t="shared" si="49"/>
        <v/>
      </c>
      <c r="Q122" s="56" t="str">
        <f t="shared" si="50"/>
        <v/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45">
      <c r="A123" s="7"/>
      <c r="B123" s="46" t="s">
        <v>271</v>
      </c>
      <c r="C123" s="46" t="s">
        <v>272</v>
      </c>
      <c r="D123" s="46"/>
      <c r="E123" s="46"/>
      <c r="F123" s="46"/>
      <c r="G123" s="7"/>
      <c r="H123" s="7"/>
      <c r="I123" s="54" t="str">
        <f t="shared" ref="I123:I127" si="66">IF(D123=0,"",LOG($K$15*10^D123+$K$16*10^E123+$K$14))</f>
        <v/>
      </c>
      <c r="J123" s="54" t="str">
        <f t="shared" ref="J123:J127" si="67">IF(D123=0,"",LOG($K$21*10^D123+$K$22*10^E123+$K$20))</f>
        <v/>
      </c>
      <c r="K123" s="55" t="str">
        <f t="shared" ref="K123:K127" si="68">IF(D123=0,"",1/(1+10^D123*$J$15/$J$14+10^E123*$J$16/$J$14+10^J123*$J$19/$J$14))</f>
        <v/>
      </c>
      <c r="L123" s="55" t="str">
        <f t="shared" ref="L123:L127" si="69">IF(D123=0,"",1/(1+10^I123/10^J123*$J$13/$J$19))</f>
        <v/>
      </c>
      <c r="M123" s="55" t="str">
        <f t="shared" si="52"/>
        <v/>
      </c>
      <c r="N123" s="55" t="str">
        <f t="shared" ref="N123:N127" si="70">IF(D123=0,"",1/(1/10^E123*$J$20/$J$22+10^D123/10^E123*$J$21/$J$22+10^I123/10^E123*$J$13/$J$22+1))</f>
        <v/>
      </c>
      <c r="O123" s="56" t="str">
        <f t="shared" si="53"/>
        <v/>
      </c>
      <c r="P123" s="56" t="str">
        <f t="shared" ref="P123:P127" si="71">IF(D123=0,"",O123*10^J123)</f>
        <v/>
      </c>
      <c r="Q123" s="56" t="str">
        <f t="shared" ref="Q123:Q127" si="72">IF(D123=0,"",F123*N123*$J$7/$J$22)</f>
        <v/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45">
      <c r="A124" s="7"/>
      <c r="B124" s="46" t="s">
        <v>273</v>
      </c>
      <c r="C124" s="46" t="s">
        <v>274</v>
      </c>
      <c r="D124" s="46">
        <v>2.7542720000000003</v>
      </c>
      <c r="E124" s="46">
        <v>3.4524839999999992</v>
      </c>
      <c r="F124" s="98">
        <v>9.9999999999999995E-7</v>
      </c>
      <c r="G124" s="7"/>
      <c r="H124" s="7"/>
      <c r="I124" s="54">
        <f t="shared" si="66"/>
        <v>0.68104843309954888</v>
      </c>
      <c r="J124" s="54">
        <f t="shared" si="67"/>
        <v>2.1544017149863013</v>
      </c>
      <c r="K124" s="55">
        <f t="shared" si="68"/>
        <v>0.20498886770835317</v>
      </c>
      <c r="L124" s="55">
        <f t="shared" si="69"/>
        <v>1.1369051093343118E-2</v>
      </c>
      <c r="M124" s="55">
        <f t="shared" si="52"/>
        <v>0.98863094890665693</v>
      </c>
      <c r="N124" s="55">
        <f t="shared" si="70"/>
        <v>7.6786596855313409E-3</v>
      </c>
      <c r="O124" s="56">
        <f t="shared" si="53"/>
        <v>2.0613591410560073E-7</v>
      </c>
      <c r="P124" s="56">
        <f t="shared" si="71"/>
        <v>2.941408739594624E-5</v>
      </c>
      <c r="Q124" s="56">
        <f t="shared" si="72"/>
        <v>5.8430239102001116E-4</v>
      </c>
      <c r="R124" s="9">
        <f>F124*$C$14</f>
        <v>1.4999999999999999E-4</v>
      </c>
      <c r="S124" s="9">
        <f t="shared" ref="S124:S127" si="73">$R124*L124</f>
        <v>1.7053576640014674E-6</v>
      </c>
      <c r="T124" s="9">
        <f t="shared" ref="T124:T127" si="74">R124*K124</f>
        <v>3.0748330156252975E-5</v>
      </c>
      <c r="U124" s="9">
        <f t="shared" ref="U124:U127" si="75">$R124*M124</f>
        <v>1.4829464233599853E-4</v>
      </c>
      <c r="V124" s="102">
        <f t="shared" ref="V124:V127" si="76">K124/M124</f>
        <v>0.20734619721854117</v>
      </c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45">
      <c r="A125" s="7"/>
      <c r="B125" s="46" t="s">
        <v>275</v>
      </c>
      <c r="C125" s="46" t="s">
        <v>276</v>
      </c>
      <c r="D125" s="46"/>
      <c r="E125" s="46"/>
      <c r="F125" s="46"/>
      <c r="G125" s="7"/>
      <c r="H125" s="7"/>
      <c r="I125" s="54" t="str">
        <f t="shared" si="66"/>
        <v/>
      </c>
      <c r="J125" s="54" t="str">
        <f t="shared" si="67"/>
        <v/>
      </c>
      <c r="K125" s="55" t="str">
        <f t="shared" si="68"/>
        <v/>
      </c>
      <c r="L125" s="55" t="str">
        <f t="shared" si="69"/>
        <v/>
      </c>
      <c r="M125" s="55" t="str">
        <f t="shared" si="52"/>
        <v/>
      </c>
      <c r="N125" s="55" t="str">
        <f t="shared" si="70"/>
        <v/>
      </c>
      <c r="O125" s="56" t="str">
        <f t="shared" si="53"/>
        <v/>
      </c>
      <c r="P125" s="56" t="str">
        <f t="shared" si="71"/>
        <v/>
      </c>
      <c r="Q125" s="56" t="str">
        <f t="shared" si="72"/>
        <v/>
      </c>
      <c r="R125" s="9"/>
      <c r="S125" s="9"/>
      <c r="T125" s="9"/>
      <c r="U125" s="9"/>
      <c r="V125" s="102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45">
      <c r="A126" s="7"/>
      <c r="B126" s="46" t="s">
        <v>277</v>
      </c>
      <c r="C126" s="46" t="s">
        <v>278</v>
      </c>
      <c r="D126" s="46">
        <v>2.3368320000000007</v>
      </c>
      <c r="E126" s="46">
        <v>2.6380540000000012</v>
      </c>
      <c r="F126" s="98">
        <v>9.9999999999999995E-7</v>
      </c>
      <c r="G126" s="7"/>
      <c r="H126" s="7"/>
      <c r="I126" s="54">
        <f t="shared" si="66"/>
        <v>0.34290559098075568</v>
      </c>
      <c r="J126" s="54">
        <f t="shared" si="67"/>
        <v>1.5189883983942118</v>
      </c>
      <c r="K126" s="55">
        <f t="shared" si="68"/>
        <v>0.44908374356783104</v>
      </c>
      <c r="L126" s="55">
        <f t="shared" si="69"/>
        <v>5.7664424143292542E-3</v>
      </c>
      <c r="M126" s="55">
        <f t="shared" si="52"/>
        <v>0.99423355758567078</v>
      </c>
      <c r="N126" s="55">
        <f t="shared" si="70"/>
        <v>2.5790067452946819E-3</v>
      </c>
      <c r="O126" s="56">
        <f t="shared" si="53"/>
        <v>4.5159665998071063E-7</v>
      </c>
      <c r="P126" s="56">
        <f t="shared" si="71"/>
        <v>1.4918979582921022E-5</v>
      </c>
      <c r="Q126" s="56">
        <f t="shared" si="72"/>
        <v>1.9624776581411227E-4</v>
      </c>
      <c r="R126" s="9">
        <f>F126*$C$14</f>
        <v>1.4999999999999999E-4</v>
      </c>
      <c r="S126" s="9">
        <f t="shared" si="73"/>
        <v>8.6496636214938806E-7</v>
      </c>
      <c r="T126" s="9">
        <f t="shared" si="74"/>
        <v>6.7362561535174652E-5</v>
      </c>
      <c r="U126" s="9">
        <f t="shared" si="75"/>
        <v>1.4913503363785062E-4</v>
      </c>
      <c r="V126" s="102">
        <f t="shared" si="76"/>
        <v>0.45168837859220473</v>
      </c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45">
      <c r="A127" s="7"/>
      <c r="B127" s="46" t="s">
        <v>279</v>
      </c>
      <c r="C127" s="46" t="s">
        <v>280</v>
      </c>
      <c r="D127" s="46">
        <v>9.5872000000000845E-2</v>
      </c>
      <c r="E127" s="46">
        <v>7.4959000000001108E-2</v>
      </c>
      <c r="F127" s="98">
        <v>9.9999999999999995E-7</v>
      </c>
      <c r="G127" s="7"/>
      <c r="H127" s="7"/>
      <c r="I127" s="54">
        <f t="shared" si="66"/>
        <v>5.456801422185465E-4</v>
      </c>
      <c r="J127" s="54">
        <f t="shared" si="67"/>
        <v>1.1217847539260454E-2</v>
      </c>
      <c r="K127" s="55">
        <f t="shared" si="68"/>
        <v>0.99317723613611475</v>
      </c>
      <c r="L127" s="55">
        <f t="shared" si="69"/>
        <v>3.9612917649591852E-4</v>
      </c>
      <c r="M127" s="55">
        <f t="shared" si="52"/>
        <v>0.9996038708235041</v>
      </c>
      <c r="N127" s="55">
        <f t="shared" si="70"/>
        <v>1.5597568464313762E-5</v>
      </c>
      <c r="O127" s="56">
        <f t="shared" si="53"/>
        <v>9.9873471046764285E-7</v>
      </c>
      <c r="P127" s="56">
        <f t="shared" si="71"/>
        <v>1.0248681373555955E-6</v>
      </c>
      <c r="Q127" s="56">
        <f t="shared" si="72"/>
        <v>1.1868863735385366E-6</v>
      </c>
      <c r="R127" s="9">
        <f>F127*$C$14</f>
        <v>1.4999999999999999E-4</v>
      </c>
      <c r="S127" s="9">
        <f t="shared" si="73"/>
        <v>5.9419376474387775E-8</v>
      </c>
      <c r="T127" s="9">
        <f t="shared" si="74"/>
        <v>1.4897658542041721E-4</v>
      </c>
      <c r="U127" s="9">
        <f t="shared" si="75"/>
        <v>1.499405806235256E-4</v>
      </c>
      <c r="V127" s="102">
        <f t="shared" si="76"/>
        <v>0.99357081852624796</v>
      </c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45">
      <c r="A128" s="7"/>
      <c r="B128" s="46" t="s">
        <v>281</v>
      </c>
      <c r="C128" s="46" t="s">
        <v>282</v>
      </c>
      <c r="D128" s="46"/>
      <c r="E128" s="46"/>
      <c r="F128" s="46"/>
      <c r="G128" s="7"/>
      <c r="H128" s="7"/>
      <c r="I128" s="54" t="str">
        <f t="shared" ref="I128:I134" si="77">IF(D128=0,"",LOG($K$15*10^D128+$K$16*10^E128+$K$14))</f>
        <v/>
      </c>
      <c r="J128" s="54" t="str">
        <f t="shared" ref="J128:J134" si="78">IF(D128=0,"",LOG($K$21*10^D128+$K$22*10^E128+$K$20))</f>
        <v/>
      </c>
      <c r="K128" s="55" t="str">
        <f t="shared" ref="K128:K134" si="79">IF(D128=0,"",1/(1+10^D128*$J$15/$J$14+10^E128*$J$16/$J$14+10^J128*$J$19/$J$14))</f>
        <v/>
      </c>
      <c r="L128" s="55" t="str">
        <f t="shared" ref="L128:L134" si="80">IF(D128=0,"",1/(1+10^I128/10^J128*$J$13/$J$19))</f>
        <v/>
      </c>
      <c r="M128" s="55" t="str">
        <f t="shared" ref="M128:M134" si="81">IF(D128=0,"",1-L128)</f>
        <v/>
      </c>
      <c r="N128" s="55" t="str">
        <f t="shared" ref="N128:N134" si="82">IF(D128=0,"",1/(1/10^E128*$J$20/$J$22+10^D128/10^E128*$J$21/$J$22+10^I128/10^E128*$J$13/$J$22+1))</f>
        <v/>
      </c>
      <c r="O128" s="56" t="str">
        <f t="shared" ref="O128:O134" si="83">IF(D128=0,"",F128*K128*$J$7/$J$14)</f>
        <v/>
      </c>
      <c r="P128" s="56" t="str">
        <f t="shared" ref="P128:P134" si="84">IF(D128=0,"",O128*10^J128)</f>
        <v/>
      </c>
      <c r="Q128" s="56" t="str">
        <f t="shared" ref="Q128:Q134" si="85">IF(D128=0,"",F128*N128*$J$7/$J$22)</f>
        <v/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45">
      <c r="A129" s="7"/>
      <c r="B129" s="46" t="s">
        <v>283</v>
      </c>
      <c r="C129" s="46" t="s">
        <v>284</v>
      </c>
      <c r="D129" s="46"/>
      <c r="E129" s="46"/>
      <c r="F129" s="46"/>
      <c r="G129" s="7"/>
      <c r="H129" s="7"/>
      <c r="I129" s="54" t="str">
        <f t="shared" si="77"/>
        <v/>
      </c>
      <c r="J129" s="54" t="str">
        <f t="shared" si="78"/>
        <v/>
      </c>
      <c r="K129" s="55" t="str">
        <f t="shared" si="79"/>
        <v/>
      </c>
      <c r="L129" s="55" t="str">
        <f t="shared" si="80"/>
        <v/>
      </c>
      <c r="M129" s="55" t="str">
        <f t="shared" si="81"/>
        <v/>
      </c>
      <c r="N129" s="55" t="str">
        <f t="shared" si="82"/>
        <v/>
      </c>
      <c r="O129" s="56" t="str">
        <f t="shared" si="83"/>
        <v/>
      </c>
      <c r="P129" s="56" t="str">
        <f t="shared" si="84"/>
        <v/>
      </c>
      <c r="Q129" s="56" t="str">
        <f t="shared" si="85"/>
        <v/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45">
      <c r="A130" s="7"/>
      <c r="B130" s="46" t="s">
        <v>285</v>
      </c>
      <c r="C130" s="46" t="s">
        <v>286</v>
      </c>
      <c r="D130" s="46">
        <v>1.0310160000000004</v>
      </c>
      <c r="E130" s="46">
        <v>0.78085199999999966</v>
      </c>
      <c r="F130" s="98">
        <v>9.9999999999999995E-7</v>
      </c>
      <c r="G130" s="7"/>
      <c r="H130" s="7"/>
      <c r="I130" s="54">
        <f t="shared" si="77"/>
        <v>2.0637855846763784E-2</v>
      </c>
      <c r="J130" s="54">
        <f t="shared" si="78"/>
        <v>0.29014500901604634</v>
      </c>
      <c r="K130" s="55">
        <f t="shared" si="79"/>
        <v>0.94796962929214901</v>
      </c>
      <c r="L130" s="55">
        <f t="shared" si="80"/>
        <v>7.1867354685341896E-4</v>
      </c>
      <c r="M130" s="55">
        <f t="shared" si="81"/>
        <v>0.9992813264531466</v>
      </c>
      <c r="N130" s="55">
        <f t="shared" si="82"/>
        <v>7.5634086784449935E-5</v>
      </c>
      <c r="O130" s="56">
        <f t="shared" si="83"/>
        <v>9.5327413758148053E-7</v>
      </c>
      <c r="P130" s="56">
        <f t="shared" si="84"/>
        <v>1.8593571567884542E-6</v>
      </c>
      <c r="Q130" s="56">
        <f t="shared" si="85"/>
        <v>5.7553244395035433E-6</v>
      </c>
      <c r="R130" s="9">
        <f>F130*$C$14</f>
        <v>1.4999999999999999E-4</v>
      </c>
      <c r="S130" s="9">
        <f t="shared" ref="S130:S131" si="86">$R130*L130</f>
        <v>1.0780103202801283E-7</v>
      </c>
      <c r="T130" s="9">
        <f t="shared" ref="T130:T131" si="87">R130*K130</f>
        <v>1.4219544439382235E-4</v>
      </c>
      <c r="U130" s="9">
        <f t="shared" ref="U130:U131" si="88">$R130*M130</f>
        <v>1.4989219896797198E-4</v>
      </c>
      <c r="V130" s="102">
        <f t="shared" ref="V130:V131" si="89">K130/M130</f>
        <v>0.94865139995848458</v>
      </c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45">
      <c r="A131" s="7"/>
      <c r="B131" s="46" t="s">
        <v>287</v>
      </c>
      <c r="C131" s="46" t="s">
        <v>288</v>
      </c>
      <c r="D131" s="46">
        <v>-0.1224400000000001</v>
      </c>
      <c r="E131" s="46">
        <v>-0.24365499999999995</v>
      </c>
      <c r="F131" s="98">
        <v>9.9999999999999995E-7</v>
      </c>
      <c r="G131" s="7"/>
      <c r="H131" s="7"/>
      <c r="I131" s="54">
        <f t="shared" si="77"/>
        <v>-5.8338548275705044E-4</v>
      </c>
      <c r="J131" s="54">
        <f t="shared" si="78"/>
        <v>-1.5136542625182742E-2</v>
      </c>
      <c r="K131" s="55">
        <f t="shared" si="79"/>
        <v>0.99578488632771656</v>
      </c>
      <c r="L131" s="55">
        <f t="shared" si="80"/>
        <v>3.7378443656565813E-4</v>
      </c>
      <c r="M131" s="55">
        <f t="shared" si="81"/>
        <v>0.99962621556343434</v>
      </c>
      <c r="N131" s="55">
        <f t="shared" si="82"/>
        <v>7.5089925624878524E-6</v>
      </c>
      <c r="O131" s="56">
        <f t="shared" si="83"/>
        <v>1.0013569521626322E-6</v>
      </c>
      <c r="P131" s="56">
        <f t="shared" si="84"/>
        <v>9.6705767210637104E-7</v>
      </c>
      <c r="Q131" s="56">
        <f t="shared" si="85"/>
        <v>5.7139168658306398E-7</v>
      </c>
      <c r="R131" s="9">
        <f>F131*$C$14</f>
        <v>1.4999999999999999E-4</v>
      </c>
      <c r="S131" s="9">
        <f t="shared" si="86"/>
        <v>5.6067665484848712E-8</v>
      </c>
      <c r="T131" s="9">
        <f t="shared" si="87"/>
        <v>1.4936773294915747E-4</v>
      </c>
      <c r="U131" s="9">
        <f t="shared" si="88"/>
        <v>1.4994393233451513E-4</v>
      </c>
      <c r="V131" s="102">
        <f t="shared" si="89"/>
        <v>0.99615723439830695</v>
      </c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45">
      <c r="A132" s="7"/>
      <c r="B132" s="46" t="s">
        <v>289</v>
      </c>
      <c r="C132" s="46" t="s">
        <v>290</v>
      </c>
      <c r="D132" s="46"/>
      <c r="E132" s="46"/>
      <c r="F132" s="46"/>
      <c r="G132" s="7"/>
      <c r="H132" s="7"/>
      <c r="I132" s="54" t="str">
        <f t="shared" si="77"/>
        <v/>
      </c>
      <c r="J132" s="54" t="str">
        <f t="shared" si="78"/>
        <v/>
      </c>
      <c r="K132" s="55" t="str">
        <f t="shared" si="79"/>
        <v/>
      </c>
      <c r="L132" s="55" t="str">
        <f t="shared" si="80"/>
        <v/>
      </c>
      <c r="M132" s="55" t="str">
        <f t="shared" si="81"/>
        <v/>
      </c>
      <c r="N132" s="55" t="str">
        <f t="shared" si="82"/>
        <v/>
      </c>
      <c r="O132" s="56" t="str">
        <f t="shared" si="83"/>
        <v/>
      </c>
      <c r="P132" s="56" t="str">
        <f t="shared" si="84"/>
        <v/>
      </c>
      <c r="Q132" s="56" t="str">
        <f t="shared" si="85"/>
        <v/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45">
      <c r="A133" s="7"/>
      <c r="B133" s="46" t="s">
        <v>291</v>
      </c>
      <c r="C133" s="46" t="s">
        <v>292</v>
      </c>
      <c r="D133" s="46"/>
      <c r="E133" s="46"/>
      <c r="F133" s="46"/>
      <c r="G133" s="7"/>
      <c r="H133" s="7"/>
      <c r="I133" s="54" t="str">
        <f t="shared" si="77"/>
        <v/>
      </c>
      <c r="J133" s="54" t="str">
        <f t="shared" si="78"/>
        <v/>
      </c>
      <c r="K133" s="55" t="str">
        <f t="shared" si="79"/>
        <v/>
      </c>
      <c r="L133" s="55" t="str">
        <f t="shared" si="80"/>
        <v/>
      </c>
      <c r="M133" s="55" t="str">
        <f t="shared" si="81"/>
        <v/>
      </c>
      <c r="N133" s="55" t="str">
        <f t="shared" si="82"/>
        <v/>
      </c>
      <c r="O133" s="56" t="str">
        <f t="shared" si="83"/>
        <v/>
      </c>
      <c r="P133" s="56" t="str">
        <f t="shared" si="84"/>
        <v/>
      </c>
      <c r="Q133" s="56" t="str">
        <f t="shared" si="85"/>
        <v/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45">
      <c r="A134" s="7"/>
      <c r="B134" s="46" t="s">
        <v>97</v>
      </c>
      <c r="C134" s="46" t="s">
        <v>293</v>
      </c>
      <c r="D134" s="46"/>
      <c r="E134" s="46"/>
      <c r="F134" s="46"/>
      <c r="G134" s="7"/>
      <c r="H134" s="7"/>
      <c r="I134" s="54" t="str">
        <f t="shared" si="77"/>
        <v/>
      </c>
      <c r="J134" s="54" t="str">
        <f t="shared" si="78"/>
        <v/>
      </c>
      <c r="K134" s="55" t="str">
        <f t="shared" si="79"/>
        <v/>
      </c>
      <c r="L134" s="55" t="str">
        <f t="shared" si="80"/>
        <v/>
      </c>
      <c r="M134" s="55" t="str">
        <f t="shared" si="81"/>
        <v/>
      </c>
      <c r="N134" s="55" t="str">
        <f t="shared" si="82"/>
        <v/>
      </c>
      <c r="O134" s="56" t="str">
        <f t="shared" si="83"/>
        <v/>
      </c>
      <c r="P134" s="56" t="str">
        <f t="shared" si="84"/>
        <v/>
      </c>
      <c r="Q134" s="56" t="str">
        <f t="shared" si="85"/>
        <v/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45">
      <c r="A135" s="7"/>
      <c r="B135" s="48"/>
      <c r="C135" s="48"/>
      <c r="D135" s="48"/>
      <c r="E135" s="48"/>
      <c r="F135" s="48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45">
      <c r="A136" s="7"/>
      <c r="B136" s="48"/>
      <c r="C136" s="48"/>
      <c r="D136" s="48"/>
      <c r="E136" s="48"/>
      <c r="F136" s="48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45">
      <c r="A137" s="7"/>
      <c r="B137" s="48"/>
      <c r="C137" s="48"/>
      <c r="D137" s="48"/>
      <c r="E137" s="48"/>
      <c r="F137" s="48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45">
      <c r="A138" s="7"/>
      <c r="B138" s="48"/>
      <c r="C138" s="48"/>
      <c r="D138" s="48"/>
      <c r="E138" s="48"/>
      <c r="F138" s="48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45">
      <c r="A139" s="7"/>
      <c r="B139" s="48"/>
      <c r="C139" s="48"/>
      <c r="D139" s="48"/>
      <c r="E139" s="48"/>
      <c r="F139" s="48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45">
      <c r="A140" s="7"/>
      <c r="B140" s="48"/>
      <c r="C140" s="48"/>
      <c r="D140" s="48"/>
      <c r="E140" s="48"/>
      <c r="F140" s="48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45">
      <c r="A141" s="7"/>
      <c r="B141" s="48"/>
      <c r="C141" s="48"/>
      <c r="D141" s="48"/>
      <c r="E141" s="48"/>
      <c r="F141" s="48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45">
      <c r="A142" s="7"/>
      <c r="B142" s="48"/>
      <c r="C142" s="48"/>
      <c r="D142" s="48"/>
      <c r="E142" s="48"/>
      <c r="F142" s="48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45">
      <c r="A143" s="7"/>
      <c r="B143" s="48"/>
      <c r="C143" s="48"/>
      <c r="D143" s="48"/>
      <c r="E143" s="48"/>
      <c r="F143" s="48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45">
      <c r="A144" s="7"/>
      <c r="B144" s="48"/>
      <c r="C144" s="48"/>
      <c r="D144" s="48"/>
      <c r="E144" s="48"/>
      <c r="F144" s="48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45">
      <c r="A145" s="7"/>
      <c r="B145" s="48"/>
      <c r="C145" s="48"/>
      <c r="D145" s="48"/>
      <c r="E145" s="48"/>
      <c r="F145" s="48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45">
      <c r="A146" s="7"/>
      <c r="B146" s="48"/>
      <c r="C146" s="48"/>
      <c r="D146" s="48"/>
      <c r="E146" s="48"/>
      <c r="F146" s="48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45">
      <c r="A147" s="7"/>
      <c r="B147" s="48"/>
      <c r="C147" s="48"/>
      <c r="D147" s="48"/>
      <c r="E147" s="48"/>
      <c r="F147" s="48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45">
      <c r="A148" s="7"/>
      <c r="B148" s="48"/>
      <c r="C148" s="48"/>
      <c r="D148" s="48"/>
      <c r="E148" s="48"/>
      <c r="F148" s="48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45">
      <c r="A149" s="7"/>
      <c r="B149" s="48"/>
      <c r="C149" s="48"/>
      <c r="D149" s="48"/>
      <c r="E149" s="48"/>
      <c r="F149" s="48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45">
      <c r="A150" s="7"/>
      <c r="B150" s="48"/>
      <c r="C150" s="48"/>
      <c r="D150" s="48"/>
      <c r="E150" s="48"/>
      <c r="F150" s="48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45">
      <c r="A151" s="7"/>
      <c r="B151" s="48"/>
      <c r="C151" s="48"/>
      <c r="D151" s="48"/>
      <c r="E151" s="48"/>
      <c r="F151" s="48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45">
      <c r="A152" s="7"/>
      <c r="B152" s="48"/>
      <c r="C152" s="48"/>
      <c r="D152" s="48"/>
      <c r="E152" s="48"/>
      <c r="F152" s="48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45">
      <c r="A153" s="7"/>
      <c r="B153" s="48"/>
      <c r="C153" s="48"/>
      <c r="D153" s="48"/>
      <c r="E153" s="48"/>
      <c r="F153" s="4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45">
      <c r="A154" s="7"/>
      <c r="B154" s="48"/>
      <c r="C154" s="48"/>
      <c r="D154" s="48"/>
      <c r="E154" s="48"/>
      <c r="F154" s="48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45">
      <c r="A155" s="7"/>
      <c r="B155" s="48"/>
      <c r="C155" s="48"/>
      <c r="D155" s="48"/>
      <c r="E155" s="48"/>
      <c r="F155" s="48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45">
      <c r="A156" s="7"/>
      <c r="B156" s="48"/>
      <c r="C156" s="48"/>
      <c r="D156" s="48"/>
      <c r="E156" s="48"/>
      <c r="F156" s="48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45">
      <c r="A157" s="7"/>
      <c r="B157" s="48"/>
      <c r="C157" s="48"/>
      <c r="D157" s="48"/>
      <c r="E157" s="48"/>
      <c r="F157" s="48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45">
      <c r="A158" s="7"/>
      <c r="B158" s="48"/>
      <c r="C158" s="48"/>
      <c r="D158" s="48"/>
      <c r="E158" s="48"/>
      <c r="F158" s="48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45">
      <c r="A159" s="7"/>
      <c r="B159" s="48"/>
      <c r="C159" s="48"/>
      <c r="D159" s="48"/>
      <c r="E159" s="48"/>
      <c r="F159" s="48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45">
      <c r="A160" s="7"/>
      <c r="B160" s="48"/>
      <c r="C160" s="48"/>
      <c r="D160" s="48"/>
      <c r="E160" s="48"/>
      <c r="F160" s="48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45">
      <c r="A161" s="7"/>
      <c r="B161" s="48"/>
      <c r="C161" s="48"/>
      <c r="D161" s="48"/>
      <c r="E161" s="48"/>
      <c r="F161" s="48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45">
      <c r="A162" s="7"/>
      <c r="B162" s="48"/>
      <c r="C162" s="48"/>
      <c r="D162" s="48"/>
      <c r="E162" s="48"/>
      <c r="F162" s="48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45">
      <c r="A163" s="7"/>
      <c r="B163" s="48"/>
      <c r="C163" s="48"/>
      <c r="D163" s="48"/>
      <c r="E163" s="48"/>
      <c r="F163" s="48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45">
      <c r="A164" s="7"/>
      <c r="B164" s="48"/>
      <c r="C164" s="48"/>
      <c r="D164" s="48"/>
      <c r="E164" s="48"/>
      <c r="F164" s="48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45">
      <c r="A165" s="7"/>
      <c r="B165" s="48"/>
      <c r="C165" s="48"/>
      <c r="D165" s="48"/>
      <c r="E165" s="48"/>
      <c r="F165" s="48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45">
      <c r="A166" s="7"/>
      <c r="B166" s="48"/>
      <c r="C166" s="48"/>
      <c r="D166" s="48"/>
      <c r="E166" s="48"/>
      <c r="F166" s="48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45">
      <c r="A167" s="7"/>
      <c r="B167" s="48"/>
      <c r="C167" s="48"/>
      <c r="D167" s="48"/>
      <c r="E167" s="48"/>
      <c r="F167" s="48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45">
      <c r="A168" s="7"/>
      <c r="B168" s="48"/>
      <c r="C168" s="48"/>
      <c r="D168" s="48"/>
      <c r="E168" s="48"/>
      <c r="F168" s="48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45">
      <c r="A169" s="7"/>
      <c r="B169" s="48"/>
      <c r="C169" s="48"/>
      <c r="D169" s="48"/>
      <c r="E169" s="48"/>
      <c r="F169" s="48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45">
      <c r="A170" s="7"/>
      <c r="B170" s="48"/>
      <c r="C170" s="48"/>
      <c r="D170" s="48"/>
      <c r="E170" s="48"/>
      <c r="F170" s="48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45">
      <c r="A171" s="7"/>
      <c r="B171" s="48"/>
      <c r="C171" s="48"/>
      <c r="D171" s="48"/>
      <c r="E171" s="48"/>
      <c r="F171" s="48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45">
      <c r="A172" s="7"/>
      <c r="B172" s="48"/>
      <c r="C172" s="48"/>
      <c r="D172" s="48"/>
      <c r="E172" s="48"/>
      <c r="F172" s="48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45">
      <c r="A173" s="7"/>
      <c r="B173" s="48"/>
      <c r="C173" s="48"/>
      <c r="D173" s="48"/>
      <c r="E173" s="48"/>
      <c r="F173" s="48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45">
      <c r="A174" s="7"/>
      <c r="B174" s="48"/>
      <c r="C174" s="48"/>
      <c r="D174" s="48"/>
      <c r="E174" s="48"/>
      <c r="F174" s="48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45">
      <c r="A175" s="7"/>
      <c r="B175" s="48"/>
      <c r="C175" s="48"/>
      <c r="D175" s="48"/>
      <c r="E175" s="48"/>
      <c r="F175" s="48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45">
      <c r="A176" s="7"/>
      <c r="B176" s="48"/>
      <c r="C176" s="48"/>
      <c r="D176" s="48"/>
      <c r="E176" s="48"/>
      <c r="F176" s="48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45">
      <c r="A177" s="7"/>
      <c r="B177" s="48"/>
      <c r="C177" s="48"/>
      <c r="D177" s="48"/>
      <c r="E177" s="48"/>
      <c r="F177" s="48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45">
      <c r="A178" s="7"/>
      <c r="B178" s="48"/>
      <c r="C178" s="48"/>
      <c r="D178" s="48"/>
      <c r="E178" s="48"/>
      <c r="F178" s="48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45">
      <c r="A179" s="7"/>
      <c r="B179" s="48"/>
      <c r="C179" s="48"/>
      <c r="D179" s="48"/>
      <c r="E179" s="48"/>
      <c r="F179" s="48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45">
      <c r="A180" s="7"/>
      <c r="B180" s="48"/>
      <c r="C180" s="48"/>
      <c r="D180" s="48"/>
      <c r="E180" s="48"/>
      <c r="F180" s="48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45">
      <c r="A181" s="7"/>
      <c r="B181" s="48"/>
      <c r="C181" s="48"/>
      <c r="D181" s="48"/>
      <c r="E181" s="48"/>
      <c r="F181" s="48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45">
      <c r="A182" s="7"/>
      <c r="B182" s="48"/>
      <c r="C182" s="48"/>
      <c r="D182" s="48"/>
      <c r="E182" s="48"/>
      <c r="F182" s="48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45">
      <c r="A183" s="7"/>
      <c r="B183" s="48"/>
      <c r="C183" s="48"/>
      <c r="D183" s="48"/>
      <c r="E183" s="48"/>
      <c r="F183" s="48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45">
      <c r="A184" s="7"/>
      <c r="B184" s="48"/>
      <c r="C184" s="48"/>
      <c r="D184" s="48"/>
      <c r="E184" s="48"/>
      <c r="F184" s="48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45">
      <c r="A185" s="7"/>
      <c r="B185" s="48"/>
      <c r="C185" s="48"/>
      <c r="D185" s="48"/>
      <c r="E185" s="48"/>
      <c r="F185" s="48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45">
      <c r="A186" s="7"/>
      <c r="B186" s="48"/>
      <c r="C186" s="48"/>
      <c r="D186" s="48"/>
      <c r="E186" s="48"/>
      <c r="F186" s="48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45">
      <c r="A187" s="7"/>
      <c r="B187" s="48"/>
      <c r="C187" s="48"/>
      <c r="D187" s="48"/>
      <c r="E187" s="48"/>
      <c r="F187" s="48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45">
      <c r="A188" s="7"/>
      <c r="B188" s="48"/>
      <c r="C188" s="48"/>
      <c r="D188" s="48"/>
      <c r="E188" s="48"/>
      <c r="F188" s="48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45">
      <c r="A189" s="7"/>
      <c r="B189" s="48"/>
      <c r="C189" s="48"/>
      <c r="D189" s="48"/>
      <c r="E189" s="48"/>
      <c r="F189" s="48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45">
      <c r="A190" s="7"/>
      <c r="B190" s="48"/>
      <c r="C190" s="48"/>
      <c r="D190" s="48"/>
      <c r="E190" s="48"/>
      <c r="F190" s="48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45">
      <c r="A191" s="7"/>
      <c r="B191" s="48"/>
      <c r="C191" s="48"/>
      <c r="D191" s="48"/>
      <c r="E191" s="48"/>
      <c r="F191" s="48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45">
      <c r="A192" s="7"/>
      <c r="B192" s="48"/>
      <c r="C192" s="48"/>
      <c r="D192" s="48"/>
      <c r="E192" s="48"/>
      <c r="F192" s="48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45">
      <c r="A193" s="7"/>
      <c r="B193" s="48"/>
      <c r="C193" s="48"/>
      <c r="D193" s="48"/>
      <c r="E193" s="48"/>
      <c r="F193" s="48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45">
      <c r="A194" s="7"/>
      <c r="B194" s="48"/>
      <c r="C194" s="48"/>
      <c r="D194" s="48"/>
      <c r="E194" s="48"/>
      <c r="F194" s="48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45">
      <c r="A195" s="7"/>
      <c r="B195" s="48"/>
      <c r="C195" s="48"/>
      <c r="D195" s="48"/>
      <c r="E195" s="48"/>
      <c r="F195" s="48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45">
      <c r="A196" s="7"/>
      <c r="B196" s="48"/>
      <c r="C196" s="48"/>
      <c r="D196" s="48"/>
      <c r="E196" s="48"/>
      <c r="F196" s="48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45">
      <c r="A197" s="7"/>
      <c r="B197" s="48"/>
      <c r="C197" s="48"/>
      <c r="D197" s="48"/>
      <c r="E197" s="48"/>
      <c r="F197" s="48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45">
      <c r="A198" s="7"/>
      <c r="B198" s="48"/>
      <c r="C198" s="48"/>
      <c r="D198" s="48"/>
      <c r="E198" s="48"/>
      <c r="F198" s="48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45">
      <c r="A199" s="7"/>
      <c r="B199" s="48"/>
      <c r="C199" s="48"/>
      <c r="D199" s="48"/>
      <c r="E199" s="48"/>
      <c r="F199" s="48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45">
      <c r="A200" s="7"/>
      <c r="B200" s="48"/>
      <c r="C200" s="48"/>
      <c r="D200" s="48"/>
      <c r="E200" s="48"/>
      <c r="F200" s="48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45">
      <c r="A201" s="7"/>
      <c r="B201" s="48"/>
      <c r="C201" s="48"/>
      <c r="D201" s="48"/>
      <c r="E201" s="48"/>
      <c r="F201" s="48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45">
      <c r="A202" s="7"/>
      <c r="B202" s="48"/>
      <c r="C202" s="48"/>
      <c r="D202" s="48"/>
      <c r="E202" s="48"/>
      <c r="F202" s="48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45">
      <c r="A203" s="7"/>
      <c r="B203" s="48"/>
      <c r="C203" s="48"/>
      <c r="D203" s="48"/>
      <c r="E203" s="48"/>
      <c r="F203" s="48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45">
      <c r="A204" s="7"/>
      <c r="B204" s="48"/>
      <c r="C204" s="48"/>
      <c r="D204" s="48"/>
      <c r="E204" s="48"/>
      <c r="F204" s="48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45">
      <c r="A205" s="7"/>
      <c r="B205" s="48"/>
      <c r="C205" s="48"/>
      <c r="D205" s="48"/>
      <c r="E205" s="48"/>
      <c r="F205" s="48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45">
      <c r="A206" s="7"/>
      <c r="B206" s="48"/>
      <c r="C206" s="48"/>
      <c r="D206" s="48"/>
      <c r="E206" s="48"/>
      <c r="F206" s="48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45">
      <c r="A207" s="7"/>
      <c r="B207" s="48"/>
      <c r="C207" s="48"/>
      <c r="D207" s="48"/>
      <c r="E207" s="48"/>
      <c r="F207" s="48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45">
      <c r="A208" s="7"/>
      <c r="B208" s="48"/>
      <c r="C208" s="48"/>
      <c r="D208" s="48"/>
      <c r="E208" s="48"/>
      <c r="F208" s="48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45">
      <c r="A209" s="7"/>
      <c r="B209" s="48"/>
      <c r="C209" s="48"/>
      <c r="D209" s="48"/>
      <c r="E209" s="48"/>
      <c r="F209" s="48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45">
      <c r="A210" s="7"/>
      <c r="B210" s="48"/>
      <c r="C210" s="48"/>
      <c r="D210" s="48"/>
      <c r="E210" s="48"/>
      <c r="F210" s="48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45">
      <c r="A211" s="7"/>
      <c r="B211" s="48"/>
      <c r="C211" s="48"/>
      <c r="D211" s="48"/>
      <c r="E211" s="48"/>
      <c r="F211" s="48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45">
      <c r="A212" s="7"/>
      <c r="B212" s="48"/>
      <c r="C212" s="48"/>
      <c r="D212" s="48"/>
      <c r="E212" s="48"/>
      <c r="F212" s="48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45">
      <c r="A213" s="7"/>
      <c r="B213" s="48"/>
      <c r="C213" s="48"/>
      <c r="D213" s="48"/>
      <c r="E213" s="48"/>
      <c r="F213" s="48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45">
      <c r="A214" s="7"/>
      <c r="B214" s="48"/>
      <c r="C214" s="48"/>
      <c r="D214" s="48"/>
      <c r="E214" s="48"/>
      <c r="F214" s="48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45">
      <c r="A215" s="7"/>
      <c r="B215" s="48"/>
      <c r="C215" s="48"/>
      <c r="D215" s="48"/>
      <c r="E215" s="48"/>
      <c r="F215" s="48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45">
      <c r="A216" s="7"/>
      <c r="B216" s="48"/>
      <c r="C216" s="48"/>
      <c r="D216" s="48"/>
      <c r="E216" s="48"/>
      <c r="F216" s="48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45">
      <c r="A217" s="7"/>
      <c r="B217" s="48"/>
      <c r="C217" s="48"/>
      <c r="D217" s="48"/>
      <c r="E217" s="48"/>
      <c r="F217" s="48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45">
      <c r="A218" s="7"/>
      <c r="B218" s="48"/>
      <c r="C218" s="48"/>
      <c r="D218" s="48"/>
      <c r="E218" s="48"/>
      <c r="F218" s="48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45">
      <c r="A219" s="7"/>
      <c r="B219" s="48"/>
      <c r="C219" s="48"/>
      <c r="D219" s="48"/>
      <c r="E219" s="48"/>
      <c r="F219" s="48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45">
      <c r="A220" s="7"/>
      <c r="B220" s="48"/>
      <c r="C220" s="48"/>
      <c r="D220" s="48"/>
      <c r="E220" s="48"/>
      <c r="F220" s="48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45">
      <c r="A221" s="7"/>
      <c r="B221" s="48"/>
      <c r="C221" s="48"/>
      <c r="D221" s="48"/>
      <c r="E221" s="48"/>
      <c r="F221" s="48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45">
      <c r="A222" s="7"/>
      <c r="B222" s="48"/>
      <c r="C222" s="48"/>
      <c r="D222" s="48"/>
      <c r="E222" s="48"/>
      <c r="F222" s="48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45">
      <c r="A223" s="7"/>
      <c r="B223" s="48"/>
      <c r="C223" s="48"/>
      <c r="D223" s="48"/>
      <c r="E223" s="48"/>
      <c r="F223" s="48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45">
      <c r="A224" s="7"/>
      <c r="B224" s="48"/>
      <c r="C224" s="48"/>
      <c r="D224" s="48"/>
      <c r="E224" s="48"/>
      <c r="F224" s="48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45">
      <c r="A225" s="7"/>
      <c r="B225" s="48"/>
      <c r="C225" s="48"/>
      <c r="D225" s="48"/>
      <c r="E225" s="48"/>
      <c r="F225" s="48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45">
      <c r="A226" s="7"/>
      <c r="B226" s="48"/>
      <c r="C226" s="48"/>
      <c r="D226" s="48"/>
      <c r="E226" s="48"/>
      <c r="F226" s="48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45">
      <c r="A227" s="7"/>
      <c r="B227" s="48"/>
      <c r="C227" s="48"/>
      <c r="D227" s="48"/>
      <c r="E227" s="48"/>
      <c r="F227" s="48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45">
      <c r="A228" s="7"/>
      <c r="B228" s="48"/>
      <c r="C228" s="48"/>
      <c r="D228" s="48"/>
      <c r="E228" s="48"/>
      <c r="F228" s="48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45">
      <c r="A229" s="7"/>
      <c r="B229" s="48"/>
      <c r="C229" s="48"/>
      <c r="D229" s="48"/>
      <c r="E229" s="48"/>
      <c r="F229" s="48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4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4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4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4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</sheetData>
  <mergeCells count="52">
    <mergeCell ref="I2:Q4"/>
    <mergeCell ref="I5:Q5"/>
    <mergeCell ref="B23:F23"/>
    <mergeCell ref="D13:F13"/>
    <mergeCell ref="D14:F14"/>
    <mergeCell ref="D15:F15"/>
    <mergeCell ref="D16:F16"/>
    <mergeCell ref="D17:F17"/>
    <mergeCell ref="D18:F18"/>
    <mergeCell ref="B19:F19"/>
    <mergeCell ref="D20:F20"/>
    <mergeCell ref="D21:F21"/>
    <mergeCell ref="D22:F22"/>
    <mergeCell ref="B13:C13"/>
    <mergeCell ref="B8:F10"/>
    <mergeCell ref="B11:F12"/>
    <mergeCell ref="E26:E27"/>
    <mergeCell ref="F26:F27"/>
    <mergeCell ref="L19:Q19"/>
    <mergeCell ref="L20:Q20"/>
    <mergeCell ref="L21:Q21"/>
    <mergeCell ref="B20:C20"/>
    <mergeCell ref="L14:Q14"/>
    <mergeCell ref="L15:Q15"/>
    <mergeCell ref="L16:Q16"/>
    <mergeCell ref="L18:Q18"/>
    <mergeCell ref="G1:H77"/>
    <mergeCell ref="L22:Q22"/>
    <mergeCell ref="L26:L27"/>
    <mergeCell ref="N26:N27"/>
    <mergeCell ref="C26:C27"/>
    <mergeCell ref="L6:Q6"/>
    <mergeCell ref="L7:Q7"/>
    <mergeCell ref="B24:F25"/>
    <mergeCell ref="I17:Q17"/>
    <mergeCell ref="B26:B27"/>
    <mergeCell ref="D26:D27"/>
    <mergeCell ref="L8:Q8"/>
    <mergeCell ref="L9:Q9"/>
    <mergeCell ref="P26:P27"/>
    <mergeCell ref="I24:Q25"/>
    <mergeCell ref="I23:Q23"/>
    <mergeCell ref="Q26:Q27"/>
    <mergeCell ref="I26:I27"/>
    <mergeCell ref="J26:J27"/>
    <mergeCell ref="O26:O27"/>
    <mergeCell ref="K26:K27"/>
    <mergeCell ref="L10:Q10"/>
    <mergeCell ref="I11:Q11"/>
    <mergeCell ref="L12:Q12"/>
    <mergeCell ref="L13:Q13"/>
    <mergeCell ref="M26:M27"/>
  </mergeCells>
  <phoneticPr fontId="17" type="noConversion"/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 structure</vt:lpstr>
      <vt:lpstr>User input and model output</vt:lpstr>
    </vt:vector>
  </TitlesOfParts>
  <Company>UFZ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Fischer</dc:creator>
  <cp:lastModifiedBy>Hsing-Chieh Lin</cp:lastModifiedBy>
  <dcterms:created xsi:type="dcterms:W3CDTF">2016-11-02T11:21:18Z</dcterms:created>
  <dcterms:modified xsi:type="dcterms:W3CDTF">2024-10-28T22:41:11Z</dcterms:modified>
</cp:coreProperties>
</file>