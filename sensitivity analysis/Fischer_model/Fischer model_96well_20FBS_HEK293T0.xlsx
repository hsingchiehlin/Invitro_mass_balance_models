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540FE44F-9D24-4576-AD83-44E3EA298110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3" i="4" l="1"/>
  <c r="R142" i="4"/>
  <c r="S141" i="4"/>
  <c r="R141" i="4"/>
  <c r="V140" i="4"/>
  <c r="R140" i="4"/>
  <c r="U140" i="4" s="1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 s="1"/>
  <c r="O135" i="4" s="1"/>
  <c r="P135" i="4" s="1"/>
  <c r="N135" i="4"/>
  <c r="Q135" i="4"/>
  <c r="I136" i="4"/>
  <c r="J136" i="4"/>
  <c r="K136" i="4"/>
  <c r="O136" i="4" s="1"/>
  <c r="P136" i="4" s="1"/>
  <c r="I137" i="4"/>
  <c r="J137" i="4"/>
  <c r="K137" i="4" s="1"/>
  <c r="I138" i="4"/>
  <c r="J138" i="4"/>
  <c r="K138" i="4"/>
  <c r="O138" i="4"/>
  <c r="P138" i="4"/>
  <c r="I139" i="4"/>
  <c r="J139" i="4"/>
  <c r="K139" i="4" s="1"/>
  <c r="N139" i="4"/>
  <c r="Q139" i="4" s="1"/>
  <c r="I140" i="4"/>
  <c r="L140" i="4" s="1"/>
  <c r="M140" i="4" s="1"/>
  <c r="J140" i="4"/>
  <c r="K140" i="4"/>
  <c r="O140" i="4" s="1"/>
  <c r="P140" i="4" s="1"/>
  <c r="I141" i="4"/>
  <c r="J141" i="4"/>
  <c r="K141" i="4"/>
  <c r="L141" i="4"/>
  <c r="M141" i="4"/>
  <c r="U141" i="4" s="1"/>
  <c r="N141" i="4"/>
  <c r="Q141" i="4" s="1"/>
  <c r="I142" i="4"/>
  <c r="J142" i="4"/>
  <c r="K142" i="4" s="1"/>
  <c r="I143" i="4"/>
  <c r="N143" i="4" s="1"/>
  <c r="Q143" i="4" s="1"/>
  <c r="J143" i="4"/>
  <c r="K143" i="4" s="1"/>
  <c r="O143" i="4" s="1"/>
  <c r="P143" i="4" s="1"/>
  <c r="L143" i="4"/>
  <c r="M143" i="4"/>
  <c r="O137" i="4" l="1"/>
  <c r="P137" i="4" s="1"/>
  <c r="V137" i="4"/>
  <c r="L137" i="4"/>
  <c r="M137" i="4" s="1"/>
  <c r="U137" i="4" s="1"/>
  <c r="N137" i="4"/>
  <c r="Q137" i="4" s="1"/>
  <c r="V136" i="4"/>
  <c r="U143" i="4"/>
  <c r="T137" i="4"/>
  <c r="V143" i="4"/>
  <c r="L136" i="4"/>
  <c r="M136" i="4" s="1"/>
  <c r="U136" i="4" s="1"/>
  <c r="V142" i="4"/>
  <c r="T142" i="4"/>
  <c r="O142" i="4"/>
  <c r="P142" i="4" s="1"/>
  <c r="O139" i="4"/>
  <c r="P139" i="4" s="1"/>
  <c r="T139" i="4"/>
  <c r="L142" i="4"/>
  <c r="M142" i="4" s="1"/>
  <c r="U142" i="4" s="1"/>
  <c r="N142" i="4"/>
  <c r="Q142" i="4" s="1"/>
  <c r="O141" i="4"/>
  <c r="P141" i="4" s="1"/>
  <c r="V141" i="4"/>
  <c r="T141" i="4"/>
  <c r="L138" i="4"/>
  <c r="M138" i="4" s="1"/>
  <c r="V138" i="4" s="1"/>
  <c r="L135" i="4"/>
  <c r="M135" i="4" s="1"/>
  <c r="V135" i="4" s="1"/>
  <c r="U138" i="4"/>
  <c r="T138" i="4"/>
  <c r="S138" i="4"/>
  <c r="T135" i="4"/>
  <c r="S137" i="4"/>
  <c r="S140" i="4"/>
  <c r="T140" i="4"/>
  <c r="S143" i="4"/>
  <c r="T143" i="4"/>
  <c r="T136" i="4"/>
  <c r="N138" i="4"/>
  <c r="Q138" i="4" s="1"/>
  <c r="L139" i="4"/>
  <c r="N140" i="4"/>
  <c r="Q140" i="4" s="1"/>
  <c r="N136" i="4"/>
  <c r="Q136" i="4" s="1"/>
  <c r="S135" i="4" l="1"/>
  <c r="M139" i="4"/>
  <c r="S139" i="4"/>
  <c r="S136" i="4"/>
  <c r="S142" i="4"/>
  <c r="U135" i="4"/>
  <c r="U139" i="4" l="1"/>
  <c r="V139" i="4"/>
  <c r="I128" i="4" l="1"/>
  <c r="N128" i="4" s="1"/>
  <c r="Q128" i="4" s="1"/>
  <c r="J128" i="4"/>
  <c r="K128" i="4"/>
  <c r="L128" i="4"/>
  <c r="I129" i="4"/>
  <c r="J129" i="4"/>
  <c r="K129" i="4" s="1"/>
  <c r="N129" i="4"/>
  <c r="Q129" i="4" s="1"/>
  <c r="I130" i="4"/>
  <c r="N130" i="4" s="1"/>
  <c r="Q130" i="4" s="1"/>
  <c r="J130" i="4"/>
  <c r="K130" i="4" s="1"/>
  <c r="I131" i="4"/>
  <c r="N131" i="4" s="1"/>
  <c r="Q131" i="4" s="1"/>
  <c r="J131" i="4"/>
  <c r="K131" i="4" s="1"/>
  <c r="I132" i="4"/>
  <c r="J132" i="4"/>
  <c r="K132" i="4" s="1"/>
  <c r="N132" i="4"/>
  <c r="Q132" i="4" s="1"/>
  <c r="I133" i="4"/>
  <c r="N133" i="4" s="1"/>
  <c r="Q133" i="4" s="1"/>
  <c r="J133" i="4"/>
  <c r="K133" i="4"/>
  <c r="I134" i="4"/>
  <c r="L134" i="4" s="1"/>
  <c r="J134" i="4"/>
  <c r="K134" i="4"/>
  <c r="O134" i="4"/>
  <c r="P134" i="4" s="1"/>
  <c r="O130" i="4" l="1"/>
  <c r="P130" i="4" s="1"/>
  <c r="T130" i="4"/>
  <c r="O133" i="4"/>
  <c r="P133" i="4" s="1"/>
  <c r="T133" i="4"/>
  <c r="L129" i="4"/>
  <c r="O128" i="4"/>
  <c r="P128" i="4" s="1"/>
  <c r="V128" i="4"/>
  <c r="T128" i="4"/>
  <c r="L132" i="4"/>
  <c r="T134" i="4"/>
  <c r="L130" i="4"/>
  <c r="O129" i="4"/>
  <c r="P129" i="4" s="1"/>
  <c r="T129" i="4"/>
  <c r="O132" i="4"/>
  <c r="P132" i="4" s="1"/>
  <c r="T132" i="4"/>
  <c r="O131" i="4"/>
  <c r="P131" i="4" s="1"/>
  <c r="T131" i="4"/>
  <c r="M134" i="4"/>
  <c r="U134" i="4" s="1"/>
  <c r="S134" i="4"/>
  <c r="M128" i="4"/>
  <c r="U128" i="4" s="1"/>
  <c r="S128" i="4"/>
  <c r="L133" i="4"/>
  <c r="L131" i="4"/>
  <c r="N134" i="4"/>
  <c r="Q134" i="4" s="1"/>
  <c r="V134" i="4" l="1"/>
  <c r="M132" i="4"/>
  <c r="S132" i="4"/>
  <c r="M129" i="4"/>
  <c r="S129" i="4"/>
  <c r="M131" i="4"/>
  <c r="S131" i="4"/>
  <c r="M133" i="4"/>
  <c r="S133" i="4"/>
  <c r="M130" i="4"/>
  <c r="S130" i="4"/>
  <c r="O15" i="1"/>
  <c r="L15" i="1"/>
  <c r="N15" i="1"/>
  <c r="J16" i="4"/>
  <c r="J15" i="4"/>
  <c r="J87" i="4"/>
  <c r="K87" i="4" s="1"/>
  <c r="J122" i="4"/>
  <c r="K122" i="4"/>
  <c r="J117" i="4"/>
  <c r="K117" i="4" s="1"/>
  <c r="J120" i="4"/>
  <c r="K120" i="4" s="1"/>
  <c r="J101" i="4"/>
  <c r="K101" i="4"/>
  <c r="O101" i="4" s="1"/>
  <c r="P101" i="4" s="1"/>
  <c r="J86" i="4"/>
  <c r="K86" i="4" s="1"/>
  <c r="J85" i="4"/>
  <c r="K85" i="4"/>
  <c r="J88" i="4"/>
  <c r="K88" i="4" s="1"/>
  <c r="J119" i="4"/>
  <c r="K119" i="4" s="1"/>
  <c r="J72" i="4"/>
  <c r="K72" i="4"/>
  <c r="J103" i="4"/>
  <c r="K103" i="4" s="1"/>
  <c r="J118" i="4"/>
  <c r="K118" i="4"/>
  <c r="J104" i="4"/>
  <c r="K104" i="4"/>
  <c r="J90" i="4"/>
  <c r="K90" i="4" s="1"/>
  <c r="J71" i="4"/>
  <c r="K71" i="4" s="1"/>
  <c r="J110" i="4"/>
  <c r="K110" i="4" s="1"/>
  <c r="J82" i="4"/>
  <c r="K82" i="4"/>
  <c r="J113" i="4"/>
  <c r="K113" i="4"/>
  <c r="J97" i="4"/>
  <c r="K97" i="4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 s="1"/>
  <c r="J78" i="4"/>
  <c r="K78" i="4" s="1"/>
  <c r="J115" i="4"/>
  <c r="K115" i="4"/>
  <c r="J99" i="4"/>
  <c r="K99" i="4"/>
  <c r="J83" i="4"/>
  <c r="K83" i="4" s="1"/>
  <c r="J102" i="4"/>
  <c r="L102" i="4" s="1"/>
  <c r="K102" i="4"/>
  <c r="J74" i="4"/>
  <c r="K74" i="4" s="1"/>
  <c r="J125" i="4"/>
  <c r="K125" i="4" s="1"/>
  <c r="J109" i="4"/>
  <c r="K109" i="4" s="1"/>
  <c r="J93" i="4"/>
  <c r="K93" i="4" s="1"/>
  <c r="J77" i="4"/>
  <c r="K77" i="4" s="1"/>
  <c r="J112" i="4"/>
  <c r="K112" i="4"/>
  <c r="J96" i="4"/>
  <c r="L96" i="4" s="1"/>
  <c r="S96" i="4" s="1"/>
  <c r="K96" i="4"/>
  <c r="J80" i="4"/>
  <c r="K80" i="4" s="1"/>
  <c r="J106" i="4"/>
  <c r="K106" i="4" s="1"/>
  <c r="J127" i="4"/>
  <c r="K127" i="4"/>
  <c r="J111" i="4"/>
  <c r="K111" i="4" s="1"/>
  <c r="J95" i="4"/>
  <c r="K95" i="4" s="1"/>
  <c r="J79" i="4"/>
  <c r="K79" i="4"/>
  <c r="J126" i="4"/>
  <c r="K126" i="4" s="1"/>
  <c r="J94" i="4"/>
  <c r="K94" i="4" s="1"/>
  <c r="J121" i="4"/>
  <c r="K121" i="4" s="1"/>
  <c r="J105" i="4"/>
  <c r="K105" i="4" s="1"/>
  <c r="J89" i="4"/>
  <c r="K89" i="4" s="1"/>
  <c r="J73" i="4"/>
  <c r="K73" i="4" s="1"/>
  <c r="J124" i="4"/>
  <c r="K124" i="4"/>
  <c r="J108" i="4"/>
  <c r="K108" i="4" s="1"/>
  <c r="J92" i="4"/>
  <c r="K92" i="4" s="1"/>
  <c r="J76" i="4"/>
  <c r="K76" i="4" s="1"/>
  <c r="J98" i="4"/>
  <c r="K98" i="4"/>
  <c r="J123" i="4"/>
  <c r="K123" i="4" s="1"/>
  <c r="J107" i="4"/>
  <c r="K107" i="4"/>
  <c r="J91" i="4"/>
  <c r="K91" i="4" s="1"/>
  <c r="J75" i="4"/>
  <c r="K75" i="4" s="1"/>
  <c r="O99" i="4"/>
  <c r="P99" i="4"/>
  <c r="I76" i="4"/>
  <c r="N76" i="4" s="1"/>
  <c r="Q76" i="4" s="1"/>
  <c r="I77" i="4"/>
  <c r="N77" i="4" s="1"/>
  <c r="Q77" i="4" s="1"/>
  <c r="I81" i="4"/>
  <c r="L81" i="4" s="1"/>
  <c r="S81" i="4" s="1"/>
  <c r="I89" i="4"/>
  <c r="I90" i="4"/>
  <c r="I96" i="4"/>
  <c r="N96" i="4" s="1"/>
  <c r="Q96" i="4" s="1"/>
  <c r="I99" i="4"/>
  <c r="N99" i="4" s="1"/>
  <c r="Q99" i="4" s="1"/>
  <c r="I102" i="4"/>
  <c r="I104" i="4"/>
  <c r="I108" i="4"/>
  <c r="N108" i="4" s="1"/>
  <c r="Q108" i="4" s="1"/>
  <c r="I111" i="4"/>
  <c r="I113" i="4"/>
  <c r="N113" i="4" s="1"/>
  <c r="Q113" i="4" s="1"/>
  <c r="I115" i="4"/>
  <c r="N115" i="4" s="1"/>
  <c r="Q115" i="4" s="1"/>
  <c r="I119" i="4"/>
  <c r="N119" i="4" s="1"/>
  <c r="Q119" i="4" s="1"/>
  <c r="I120" i="4"/>
  <c r="N120" i="4" s="1"/>
  <c r="Q120" i="4" s="1"/>
  <c r="I123" i="4"/>
  <c r="I125" i="4"/>
  <c r="I79" i="4"/>
  <c r="N79" i="4" s="1"/>
  <c r="Q79" i="4" s="1"/>
  <c r="I92" i="4"/>
  <c r="I100" i="4"/>
  <c r="N100" i="4" s="1"/>
  <c r="Q100" i="4" s="1"/>
  <c r="I103" i="4"/>
  <c r="I107" i="4"/>
  <c r="N107" i="4" s="1"/>
  <c r="Q107" i="4" s="1"/>
  <c r="I109" i="4"/>
  <c r="I110" i="4"/>
  <c r="L110" i="4" s="1"/>
  <c r="I117" i="4"/>
  <c r="L117" i="4" s="1"/>
  <c r="I124" i="4"/>
  <c r="L124" i="4" s="1"/>
  <c r="S124" i="4" s="1"/>
  <c r="I72" i="4"/>
  <c r="N72" i="4" s="1"/>
  <c r="Q72" i="4" s="1"/>
  <c r="I106" i="4"/>
  <c r="I71" i="4"/>
  <c r="N71" i="4" s="1"/>
  <c r="Q71" i="4" s="1"/>
  <c r="I75" i="4"/>
  <c r="N75" i="4" s="1"/>
  <c r="Q75" i="4" s="1"/>
  <c r="I80" i="4"/>
  <c r="I83" i="4"/>
  <c r="N83" i="4" s="1"/>
  <c r="Q83" i="4" s="1"/>
  <c r="I86" i="4"/>
  <c r="I88" i="4"/>
  <c r="N88" i="4" s="1"/>
  <c r="Q88" i="4" s="1"/>
  <c r="I94" i="4"/>
  <c r="L94" i="4" s="1"/>
  <c r="S94" i="4" s="1"/>
  <c r="I95" i="4"/>
  <c r="N95" i="4" s="1"/>
  <c r="Q95" i="4" s="1"/>
  <c r="I98" i="4"/>
  <c r="N98" i="4" s="1"/>
  <c r="Q98" i="4" s="1"/>
  <c r="I101" i="4"/>
  <c r="N101" i="4" s="1"/>
  <c r="Q101" i="4" s="1"/>
  <c r="I118" i="4"/>
  <c r="N118" i="4" s="1"/>
  <c r="Q118" i="4" s="1"/>
  <c r="I127" i="4"/>
  <c r="I73" i="4"/>
  <c r="N73" i="4" s="1"/>
  <c r="Q73" i="4" s="1"/>
  <c r="I74" i="4"/>
  <c r="I78" i="4"/>
  <c r="L78" i="4" s="1"/>
  <c r="S78" i="4" s="1"/>
  <c r="I82" i="4"/>
  <c r="I85" i="4"/>
  <c r="I93" i="4"/>
  <c r="N93" i="4" s="1"/>
  <c r="Q93" i="4" s="1"/>
  <c r="I112" i="4"/>
  <c r="N112" i="4" s="1"/>
  <c r="Q112" i="4" s="1"/>
  <c r="I114" i="4"/>
  <c r="L114" i="4" s="1"/>
  <c r="S114" i="4" s="1"/>
  <c r="I121" i="4"/>
  <c r="N121" i="4" s="1"/>
  <c r="Q121" i="4" s="1"/>
  <c r="I122" i="4"/>
  <c r="L122" i="4" s="1"/>
  <c r="I84" i="4"/>
  <c r="N84" i="4" s="1"/>
  <c r="Q84" i="4" s="1"/>
  <c r="I87" i="4"/>
  <c r="I91" i="4"/>
  <c r="N91" i="4" s="1"/>
  <c r="Q91" i="4" s="1"/>
  <c r="I97" i="4"/>
  <c r="I105" i="4"/>
  <c r="I116" i="4"/>
  <c r="N116" i="4" s="1"/>
  <c r="Q116" i="4" s="1"/>
  <c r="I126" i="4"/>
  <c r="N126" i="4" s="1"/>
  <c r="Q126" i="4" s="1"/>
  <c r="L105" i="4"/>
  <c r="N105" i="4"/>
  <c r="Q105" i="4" s="1"/>
  <c r="L73" i="4"/>
  <c r="S73" i="4" s="1"/>
  <c r="L75" i="4"/>
  <c r="S75" i="4" s="1"/>
  <c r="N106" i="4"/>
  <c r="Q106" i="4"/>
  <c r="L98" i="4"/>
  <c r="N86" i="4"/>
  <c r="Q86" i="4" s="1"/>
  <c r="N125" i="4"/>
  <c r="Q125" i="4"/>
  <c r="N90" i="4"/>
  <c r="Q90" i="4" s="1"/>
  <c r="L127" i="4"/>
  <c r="S127" i="4" s="1"/>
  <c r="N127" i="4"/>
  <c r="Q127" i="4" s="1"/>
  <c r="N110" i="4"/>
  <c r="Q110" i="4" s="1"/>
  <c r="N123" i="4"/>
  <c r="Q123" i="4" s="1"/>
  <c r="N102" i="4"/>
  <c r="Q102" i="4"/>
  <c r="N89" i="4"/>
  <c r="Q89" i="4" s="1"/>
  <c r="L89" i="4"/>
  <c r="S89" i="4" s="1"/>
  <c r="N87" i="4"/>
  <c r="Q87" i="4" s="1"/>
  <c r="N122" i="4"/>
  <c r="Q122" i="4" s="1"/>
  <c r="N74" i="4"/>
  <c r="Q74" i="4" s="1"/>
  <c r="L92" i="4"/>
  <c r="S92" i="4" s="1"/>
  <c r="N92" i="4"/>
  <c r="Q92" i="4" s="1"/>
  <c r="N111" i="4"/>
  <c r="Q111" i="4" s="1"/>
  <c r="M122" i="4" l="1"/>
  <c r="U122" i="4" s="1"/>
  <c r="S122" i="4"/>
  <c r="T109" i="4"/>
  <c r="O109" i="4"/>
  <c r="P109" i="4" s="1"/>
  <c r="M110" i="4"/>
  <c r="U110" i="4" s="1"/>
  <c r="S110" i="4"/>
  <c r="O111" i="4"/>
  <c r="P111" i="4" s="1"/>
  <c r="T111" i="4"/>
  <c r="T90" i="4"/>
  <c r="T124" i="4"/>
  <c r="T127" i="4"/>
  <c r="O125" i="4"/>
  <c r="P125" i="4" s="1"/>
  <c r="T125" i="4"/>
  <c r="O104" i="4"/>
  <c r="P104" i="4" s="1"/>
  <c r="T104" i="4"/>
  <c r="M117" i="4"/>
  <c r="U117" i="4" s="1"/>
  <c r="S117" i="4"/>
  <c r="T116" i="4"/>
  <c r="T75" i="4"/>
  <c r="T81" i="4"/>
  <c r="O118" i="4"/>
  <c r="P118" i="4" s="1"/>
  <c r="T118" i="4"/>
  <c r="L109" i="4"/>
  <c r="T83" i="4"/>
  <c r="V122" i="4"/>
  <c r="T122" i="4"/>
  <c r="L113" i="4"/>
  <c r="L86" i="4"/>
  <c r="S86" i="4" s="1"/>
  <c r="L103" i="4"/>
  <c r="L104" i="4"/>
  <c r="T72" i="4"/>
  <c r="U133" i="4"/>
  <c r="V133" i="4"/>
  <c r="O87" i="4"/>
  <c r="P87" i="4" s="1"/>
  <c r="V87" i="4"/>
  <c r="T87" i="4"/>
  <c r="O122" i="4"/>
  <c r="P122" i="4" s="1"/>
  <c r="O98" i="4"/>
  <c r="P98" i="4" s="1"/>
  <c r="V98" i="4"/>
  <c r="T98" i="4"/>
  <c r="T126" i="4"/>
  <c r="T115" i="4"/>
  <c r="T82" i="4"/>
  <c r="T119" i="4"/>
  <c r="U131" i="4"/>
  <c r="V131" i="4"/>
  <c r="L100" i="4"/>
  <c r="M100" i="4" s="1"/>
  <c r="L125" i="4"/>
  <c r="T108" i="4"/>
  <c r="T84" i="4"/>
  <c r="T86" i="4"/>
  <c r="U132" i="4"/>
  <c r="V132" i="4"/>
  <c r="M98" i="4"/>
  <c r="U98" i="4" s="1"/>
  <c r="S98" i="4"/>
  <c r="L101" i="4"/>
  <c r="T101" i="4"/>
  <c r="O127" i="4"/>
  <c r="P127" i="4" s="1"/>
  <c r="T74" i="4"/>
  <c r="T73" i="4"/>
  <c r="O106" i="4"/>
  <c r="P106" i="4" s="1"/>
  <c r="T106" i="4"/>
  <c r="O102" i="4"/>
  <c r="P102" i="4" s="1"/>
  <c r="T102" i="4"/>
  <c r="T120" i="4"/>
  <c r="L77" i="4"/>
  <c r="S77" i="4" s="1"/>
  <c r="L111" i="4"/>
  <c r="T91" i="4"/>
  <c r="T89" i="4"/>
  <c r="T80" i="4"/>
  <c r="M102" i="4"/>
  <c r="U102" i="4" s="1"/>
  <c r="S102" i="4"/>
  <c r="O117" i="4"/>
  <c r="P117" i="4" s="1"/>
  <c r="T117" i="4"/>
  <c r="U130" i="4"/>
  <c r="V130" i="4"/>
  <c r="L115" i="4"/>
  <c r="S115" i="4" s="1"/>
  <c r="M105" i="4"/>
  <c r="U105" i="4" s="1"/>
  <c r="S105" i="4"/>
  <c r="O105" i="4"/>
  <c r="P105" i="4" s="1"/>
  <c r="T105" i="4"/>
  <c r="O96" i="4"/>
  <c r="P96" i="4" s="1"/>
  <c r="V96" i="4"/>
  <c r="T96" i="4"/>
  <c r="O103" i="4"/>
  <c r="P103" i="4" s="1"/>
  <c r="T103" i="4"/>
  <c r="L118" i="4"/>
  <c r="L119" i="4"/>
  <c r="S119" i="4" s="1"/>
  <c r="T121" i="4"/>
  <c r="T99" i="4"/>
  <c r="T113" i="4"/>
  <c r="O123" i="4"/>
  <c r="P123" i="4" s="1"/>
  <c r="T123" i="4"/>
  <c r="T94" i="4"/>
  <c r="V94" i="4"/>
  <c r="O112" i="4"/>
  <c r="P112" i="4" s="1"/>
  <c r="T112" i="4"/>
  <c r="L123" i="4"/>
  <c r="N124" i="4"/>
  <c r="Q124" i="4" s="1"/>
  <c r="L80" i="4"/>
  <c r="S80" i="4" s="1"/>
  <c r="T79" i="4"/>
  <c r="T77" i="4"/>
  <c r="T88" i="4"/>
  <c r="N117" i="4"/>
  <c r="Q117" i="4" s="1"/>
  <c r="O113" i="4"/>
  <c r="P113" i="4" s="1"/>
  <c r="T76" i="4"/>
  <c r="T93" i="4"/>
  <c r="T78" i="4"/>
  <c r="O110" i="4"/>
  <c r="P110" i="4" s="1"/>
  <c r="V110" i="4"/>
  <c r="T110" i="4"/>
  <c r="O85" i="4"/>
  <c r="P85" i="4" s="1"/>
  <c r="T85" i="4"/>
  <c r="U129" i="4"/>
  <c r="V129" i="4"/>
  <c r="L106" i="4"/>
  <c r="L87" i="4"/>
  <c r="S87" i="4" s="1"/>
  <c r="V92" i="4"/>
  <c r="T92" i="4"/>
  <c r="T95" i="4"/>
  <c r="V114" i="4"/>
  <c r="T114" i="4"/>
  <c r="T71" i="4"/>
  <c r="O121" i="4"/>
  <c r="P121" i="4" s="1"/>
  <c r="O71" i="4"/>
  <c r="P71" i="4" s="1"/>
  <c r="O116" i="4"/>
  <c r="P116" i="4" s="1"/>
  <c r="L85" i="4"/>
  <c r="S85" i="4" s="1"/>
  <c r="O126" i="4"/>
  <c r="P126" i="4" s="1"/>
  <c r="O108" i="4"/>
  <c r="P108" i="4" s="1"/>
  <c r="N81" i="4"/>
  <c r="Q81" i="4" s="1"/>
  <c r="L95" i="4"/>
  <c r="L90" i="4"/>
  <c r="S90" i="4" s="1"/>
  <c r="N103" i="4"/>
  <c r="Q103" i="4" s="1"/>
  <c r="L97" i="4"/>
  <c r="M97" i="4" s="1"/>
  <c r="O124" i="4"/>
  <c r="P124" i="4" s="1"/>
  <c r="O115" i="4"/>
  <c r="P115" i="4" s="1"/>
  <c r="O120" i="4"/>
  <c r="P120" i="4" s="1"/>
  <c r="N109" i="4"/>
  <c r="Q109" i="4" s="1"/>
  <c r="L99" i="4"/>
  <c r="N80" i="4"/>
  <c r="Q80" i="4" s="1"/>
  <c r="O91" i="4"/>
  <c r="P91" i="4" s="1"/>
  <c r="L112" i="4"/>
  <c r="O107" i="4"/>
  <c r="P107" i="4" s="1"/>
  <c r="O114" i="4"/>
  <c r="P114" i="4" s="1"/>
  <c r="L83" i="4"/>
  <c r="S83" i="4" s="1"/>
  <c r="L116" i="4"/>
  <c r="S116" i="4" s="1"/>
  <c r="L72" i="4"/>
  <c r="S72" i="4" s="1"/>
  <c r="N104" i="4"/>
  <c r="Q104" i="4" s="1"/>
  <c r="L121" i="4"/>
  <c r="S121" i="4" s="1"/>
  <c r="N94" i="4"/>
  <c r="Q94" i="4" s="1"/>
  <c r="M127" i="4"/>
  <c r="U127" i="4" s="1"/>
  <c r="M124" i="4"/>
  <c r="U124" i="4" s="1"/>
  <c r="N78" i="4"/>
  <c r="Q78" i="4" s="1"/>
  <c r="L71" i="4"/>
  <c r="S71" i="4" s="1"/>
  <c r="L79" i="4"/>
  <c r="S79" i="4" s="1"/>
  <c r="O119" i="4"/>
  <c r="P119" i="4" s="1"/>
  <c r="M114" i="4"/>
  <c r="U114" i="4" s="1"/>
  <c r="O92" i="4"/>
  <c r="P92" i="4" s="1"/>
  <c r="O76" i="4"/>
  <c r="P76" i="4" s="1"/>
  <c r="O77" i="4"/>
  <c r="P77" i="4" s="1"/>
  <c r="O75" i="4"/>
  <c r="P75" i="4" s="1"/>
  <c r="O93" i="4"/>
  <c r="P93" i="4" s="1"/>
  <c r="O73" i="4"/>
  <c r="P73" i="4" s="1"/>
  <c r="O83" i="4"/>
  <c r="P83" i="4" s="1"/>
  <c r="O74" i="4"/>
  <c r="P74" i="4" s="1"/>
  <c r="N114" i="4"/>
  <c r="Q114" i="4" s="1"/>
  <c r="O79" i="4"/>
  <c r="P79" i="4" s="1"/>
  <c r="M85" i="4"/>
  <c r="U85" i="4" s="1"/>
  <c r="O95" i="4"/>
  <c r="P95" i="4" s="1"/>
  <c r="L107" i="4"/>
  <c r="L82" i="4"/>
  <c r="S82" i="4" s="1"/>
  <c r="M75" i="4"/>
  <c r="U75" i="4" s="1"/>
  <c r="M87" i="4"/>
  <c r="U87" i="4" s="1"/>
  <c r="M94" i="4"/>
  <c r="U94" i="4" s="1"/>
  <c r="L126" i="4"/>
  <c r="S126" i="4" s="1"/>
  <c r="L120" i="4"/>
  <c r="S120" i="4" s="1"/>
  <c r="O89" i="4"/>
  <c r="P89" i="4" s="1"/>
  <c r="O88" i="4"/>
  <c r="P88" i="4" s="1"/>
  <c r="M89" i="4"/>
  <c r="U89" i="4" s="1"/>
  <c r="O82" i="4"/>
  <c r="P82" i="4" s="1"/>
  <c r="M96" i="4"/>
  <c r="U96" i="4" s="1"/>
  <c r="O90" i="4"/>
  <c r="P90" i="4" s="1"/>
  <c r="L91" i="4"/>
  <c r="S91" i="4" s="1"/>
  <c r="O72" i="4"/>
  <c r="P72" i="4" s="1"/>
  <c r="M80" i="4"/>
  <c r="U80" i="4" s="1"/>
  <c r="M77" i="4"/>
  <c r="U77" i="4" s="1"/>
  <c r="L108" i="4"/>
  <c r="S108" i="4" s="1"/>
  <c r="M73" i="4"/>
  <c r="U73" i="4" s="1"/>
  <c r="O81" i="4"/>
  <c r="P81" i="4" s="1"/>
  <c r="M78" i="4"/>
  <c r="U78" i="4" s="1"/>
  <c r="L76" i="4"/>
  <c r="S76" i="4" s="1"/>
  <c r="O97" i="4"/>
  <c r="P97" i="4" s="1"/>
  <c r="O86" i="4"/>
  <c r="P86" i="4" s="1"/>
  <c r="L74" i="4"/>
  <c r="S74" i="4" s="1"/>
  <c r="M92" i="4"/>
  <c r="U92" i="4" s="1"/>
  <c r="L84" i="4"/>
  <c r="S84" i="4" s="1"/>
  <c r="O84" i="4"/>
  <c r="P84" i="4" s="1"/>
  <c r="O94" i="4"/>
  <c r="P94" i="4" s="1"/>
  <c r="O80" i="4"/>
  <c r="P80" i="4" s="1"/>
  <c r="O78" i="4"/>
  <c r="P78" i="4" s="1"/>
  <c r="M81" i="4"/>
  <c r="U81" i="4" s="1"/>
  <c r="N97" i="4"/>
  <c r="Q97" i="4" s="1"/>
  <c r="N85" i="4"/>
  <c r="Q85" i="4" s="1"/>
  <c r="L93" i="4"/>
  <c r="S93" i="4" s="1"/>
  <c r="L88" i="4"/>
  <c r="S88" i="4" s="1"/>
  <c r="N82" i="4"/>
  <c r="Q82" i="4" s="1"/>
  <c r="J14" i="4"/>
  <c r="J13" i="4" s="1"/>
  <c r="K16" i="4" s="1"/>
  <c r="V85" i="4" l="1"/>
  <c r="M118" i="4"/>
  <c r="S118" i="4"/>
  <c r="M112" i="4"/>
  <c r="S112" i="4"/>
  <c r="V78" i="4"/>
  <c r="M103" i="4"/>
  <c r="S103" i="4"/>
  <c r="S106" i="4"/>
  <c r="M106" i="4"/>
  <c r="V102" i="4"/>
  <c r="V105" i="4"/>
  <c r="M113" i="4"/>
  <c r="S113" i="4"/>
  <c r="V75" i="4"/>
  <c r="V127" i="4"/>
  <c r="V89" i="4"/>
  <c r="V73" i="4"/>
  <c r="M109" i="4"/>
  <c r="S109" i="4"/>
  <c r="M115" i="4"/>
  <c r="M95" i="4"/>
  <c r="S95" i="4"/>
  <c r="M111" i="4"/>
  <c r="S111" i="4"/>
  <c r="V77" i="4"/>
  <c r="V117" i="4"/>
  <c r="M104" i="4"/>
  <c r="S104" i="4"/>
  <c r="V81" i="4"/>
  <c r="M99" i="4"/>
  <c r="S99" i="4"/>
  <c r="M125" i="4"/>
  <c r="S125" i="4"/>
  <c r="M101" i="4"/>
  <c r="S101" i="4"/>
  <c r="S123" i="4"/>
  <c r="M123" i="4"/>
  <c r="V80" i="4"/>
  <c r="M86" i="4"/>
  <c r="M119" i="4"/>
  <c r="V124" i="4"/>
  <c r="M108" i="4"/>
  <c r="M90" i="4"/>
  <c r="M72" i="4"/>
  <c r="M83" i="4"/>
  <c r="M120" i="4"/>
  <c r="M126" i="4"/>
  <c r="M71" i="4"/>
  <c r="M91" i="4"/>
  <c r="M116" i="4"/>
  <c r="M107" i="4"/>
  <c r="M121" i="4"/>
  <c r="M79" i="4"/>
  <c r="M88" i="4"/>
  <c r="M93" i="4"/>
  <c r="M82" i="4"/>
  <c r="M76" i="4"/>
  <c r="M84" i="4"/>
  <c r="M74" i="4"/>
  <c r="K14" i="4"/>
  <c r="K13" i="4"/>
  <c r="K15" i="4"/>
  <c r="U91" i="4" l="1"/>
  <c r="V91" i="4"/>
  <c r="U123" i="4"/>
  <c r="V123" i="4"/>
  <c r="U118" i="4"/>
  <c r="V118" i="4"/>
  <c r="U71" i="4"/>
  <c r="V71" i="4"/>
  <c r="U113" i="4"/>
  <c r="V113" i="4"/>
  <c r="U74" i="4"/>
  <c r="V74" i="4"/>
  <c r="U126" i="4"/>
  <c r="V126" i="4"/>
  <c r="U111" i="4"/>
  <c r="V111" i="4"/>
  <c r="U84" i="4"/>
  <c r="V84" i="4"/>
  <c r="U120" i="4"/>
  <c r="V120" i="4"/>
  <c r="U101" i="4"/>
  <c r="V101" i="4"/>
  <c r="U76" i="4"/>
  <c r="V76" i="4"/>
  <c r="U83" i="4"/>
  <c r="V83" i="4"/>
  <c r="U95" i="4"/>
  <c r="V95" i="4"/>
  <c r="U106" i="4"/>
  <c r="V106" i="4"/>
  <c r="U82" i="4"/>
  <c r="V82" i="4"/>
  <c r="U72" i="4"/>
  <c r="V72" i="4"/>
  <c r="U125" i="4"/>
  <c r="V125" i="4"/>
  <c r="U115" i="4"/>
  <c r="V115" i="4"/>
  <c r="U93" i="4"/>
  <c r="V93" i="4"/>
  <c r="U90" i="4"/>
  <c r="V90" i="4"/>
  <c r="U88" i="4"/>
  <c r="V88" i="4"/>
  <c r="U108" i="4"/>
  <c r="V108" i="4"/>
  <c r="U99" i="4"/>
  <c r="V99" i="4"/>
  <c r="U109" i="4"/>
  <c r="V109" i="4"/>
  <c r="U103" i="4"/>
  <c r="V103" i="4"/>
  <c r="U79" i="4"/>
  <c r="V79" i="4"/>
  <c r="U121" i="4"/>
  <c r="V121" i="4"/>
  <c r="U119" i="4"/>
  <c r="V119" i="4"/>
  <c r="U86" i="4"/>
  <c r="V86" i="4"/>
  <c r="U104" i="4"/>
  <c r="V104" i="4"/>
  <c r="U112" i="4"/>
  <c r="V112" i="4"/>
  <c r="U116" i="4"/>
  <c r="V116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9" i="4" l="1"/>
  <c r="P59" i="4" s="1"/>
  <c r="T59" i="4"/>
  <c r="T57" i="4"/>
  <c r="T61" i="4"/>
  <c r="O55" i="4"/>
  <c r="P55" i="4" s="1"/>
  <c r="T55" i="4"/>
  <c r="T63" i="4"/>
  <c r="T60" i="4"/>
  <c r="T62" i="4"/>
  <c r="T58" i="4"/>
  <c r="O56" i="4"/>
  <c r="P56" i="4" s="1"/>
  <c r="T56" i="4"/>
  <c r="O62" i="4"/>
  <c r="P62" i="4" s="1"/>
  <c r="O60" i="4"/>
  <c r="P60" i="4" s="1"/>
  <c r="O61" i="4"/>
  <c r="P61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7" i="4" l="1"/>
  <c r="M56" i="4"/>
  <c r="S56" i="4"/>
  <c r="M59" i="4"/>
  <c r="S59" i="4"/>
  <c r="T68" i="4"/>
  <c r="M55" i="4"/>
  <c r="S55" i="4"/>
  <c r="V64" i="4"/>
  <c r="T64" i="4"/>
  <c r="T69" i="4"/>
  <c r="V69" i="4"/>
  <c r="T70" i="4"/>
  <c r="T65" i="4"/>
  <c r="V66" i="4"/>
  <c r="T66" i="4"/>
  <c r="M61" i="4"/>
  <c r="M62" i="4"/>
  <c r="M60" i="4"/>
  <c r="M70" i="4"/>
  <c r="U70" i="4" s="1"/>
  <c r="M63" i="4"/>
  <c r="O65" i="4"/>
  <c r="P65" i="4" s="1"/>
  <c r="O66" i="4"/>
  <c r="P66" i="4" s="1"/>
  <c r="M69" i="4"/>
  <c r="U69" i="4" s="1"/>
  <c r="M65" i="4"/>
  <c r="U65" i="4" s="1"/>
  <c r="M66" i="4"/>
  <c r="U66" i="4" s="1"/>
  <c r="O64" i="4"/>
  <c r="P64" i="4" s="1"/>
  <c r="O69" i="4"/>
  <c r="P69" i="4" s="1"/>
  <c r="M67" i="4"/>
  <c r="U67" i="4" s="1"/>
  <c r="M58" i="4"/>
  <c r="O67" i="4"/>
  <c r="P67" i="4" s="1"/>
  <c r="M68" i="4"/>
  <c r="U68" i="4" s="1"/>
  <c r="M57" i="4"/>
  <c r="O68" i="4"/>
  <c r="P68" i="4" s="1"/>
  <c r="M64" i="4"/>
  <c r="U64" i="4" s="1"/>
  <c r="O70" i="4"/>
  <c r="P70" i="4" s="1"/>
  <c r="U57" i="4" l="1"/>
  <c r="V57" i="4"/>
  <c r="U63" i="4"/>
  <c r="V63" i="4"/>
  <c r="U60" i="4"/>
  <c r="V60" i="4"/>
  <c r="U58" i="4"/>
  <c r="V58" i="4"/>
  <c r="U62" i="4"/>
  <c r="V62" i="4"/>
  <c r="U61" i="4"/>
  <c r="V61" i="4"/>
  <c r="U55" i="4"/>
  <c r="V55" i="4"/>
  <c r="V68" i="4"/>
  <c r="V65" i="4"/>
  <c r="U59" i="4"/>
  <c r="V59" i="4"/>
  <c r="V70" i="4"/>
  <c r="U56" i="4"/>
  <c r="V56" i="4"/>
  <c r="V67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0" i="4" l="1"/>
  <c r="J43" i="4"/>
  <c r="L43" i="4" s="1"/>
  <c r="S43" i="4" s="1"/>
  <c r="J31" i="4"/>
  <c r="K31" i="4" s="1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S45" i="4" s="1"/>
  <c r="K45" i="4"/>
  <c r="L47" i="4"/>
  <c r="S47" i="4" s="1"/>
  <c r="K47" i="4"/>
  <c r="K52" i="4"/>
  <c r="L52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K30" i="4"/>
  <c r="L30" i="4"/>
  <c r="S30" i="4" s="1"/>
  <c r="M52" i="4" l="1"/>
  <c r="U52" i="4" s="1"/>
  <c r="S52" i="4"/>
  <c r="O52" i="4"/>
  <c r="P52" i="4" s="1"/>
  <c r="V52" i="4"/>
  <c r="T52" i="4"/>
  <c r="V48" i="4"/>
  <c r="T48" i="4"/>
  <c r="T45" i="4"/>
  <c r="V45" i="4"/>
  <c r="O53" i="4"/>
  <c r="P53" i="4" s="1"/>
  <c r="V53" i="4"/>
  <c r="T53" i="4"/>
  <c r="T33" i="4"/>
  <c r="M53" i="4"/>
  <c r="U53" i="4" s="1"/>
  <c r="S53" i="4"/>
  <c r="T46" i="4"/>
  <c r="O51" i="4"/>
  <c r="P51" i="4" s="1"/>
  <c r="V51" i="4"/>
  <c r="T51" i="4"/>
  <c r="M50" i="4"/>
  <c r="U50" i="4" s="1"/>
  <c r="S50" i="4"/>
  <c r="V39" i="4"/>
  <c r="T39" i="4"/>
  <c r="V49" i="4"/>
  <c r="T49" i="4"/>
  <c r="O54" i="4"/>
  <c r="P54" i="4" s="1"/>
  <c r="T54" i="4"/>
  <c r="T31" i="4"/>
  <c r="V47" i="4"/>
  <c r="T47" i="4"/>
  <c r="T28" i="4"/>
  <c r="T30" i="4"/>
  <c r="M51" i="4"/>
  <c r="U51" i="4" s="1"/>
  <c r="S51" i="4"/>
  <c r="M54" i="4"/>
  <c r="U54" i="4" s="1"/>
  <c r="S54" i="4"/>
  <c r="O50" i="4"/>
  <c r="P50" i="4" s="1"/>
  <c r="T50" i="4"/>
  <c r="K43" i="4"/>
  <c r="O43" i="4" s="1"/>
  <c r="P43" i="4" s="1"/>
  <c r="T41" i="4"/>
  <c r="L31" i="4"/>
  <c r="S31" i="4" s="1"/>
  <c r="O48" i="4"/>
  <c r="P48" i="4" s="1"/>
  <c r="O49" i="4"/>
  <c r="P49" i="4" s="1"/>
  <c r="M49" i="4"/>
  <c r="U49" i="4" s="1"/>
  <c r="M48" i="4"/>
  <c r="U48" i="4" s="1"/>
  <c r="K35" i="4"/>
  <c r="M35" i="4"/>
  <c r="U35" i="4" s="1"/>
  <c r="M47" i="4"/>
  <c r="U47" i="4" s="1"/>
  <c r="O30" i="4"/>
  <c r="P30" i="4" s="1"/>
  <c r="O31" i="4"/>
  <c r="P31" i="4" s="1"/>
  <c r="M44" i="4"/>
  <c r="U44" i="4" s="1"/>
  <c r="O47" i="4"/>
  <c r="P47" i="4" s="1"/>
  <c r="O45" i="4"/>
  <c r="P45" i="4" s="1"/>
  <c r="M45" i="4"/>
  <c r="U45" i="4" s="1"/>
  <c r="O33" i="4"/>
  <c r="P33" i="4" s="1"/>
  <c r="O28" i="4"/>
  <c r="P28" i="4" s="1"/>
  <c r="O46" i="4"/>
  <c r="P46" i="4" s="1"/>
  <c r="M43" i="4"/>
  <c r="U43" i="4" s="1"/>
  <c r="O39" i="4"/>
  <c r="P39" i="4" s="1"/>
  <c r="M39" i="4"/>
  <c r="U39" i="4" s="1"/>
  <c r="O41" i="4"/>
  <c r="P41" i="4" s="1"/>
  <c r="K36" i="4"/>
  <c r="K44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29" i="4" l="1"/>
  <c r="T29" i="4"/>
  <c r="V32" i="4"/>
  <c r="T32" i="4"/>
  <c r="V40" i="4"/>
  <c r="T40" i="4"/>
  <c r="V54" i="4"/>
  <c r="V44" i="4"/>
  <c r="T44" i="4"/>
  <c r="V36" i="4"/>
  <c r="T36" i="4"/>
  <c r="V43" i="4"/>
  <c r="T43" i="4"/>
  <c r="V50" i="4"/>
  <c r="V38" i="4"/>
  <c r="T38" i="4"/>
  <c r="V35" i="4"/>
  <c r="T35" i="4"/>
  <c r="V34" i="4"/>
  <c r="T34" i="4"/>
  <c r="V42" i="4"/>
  <c r="T42" i="4"/>
  <c r="V37" i="4"/>
  <c r="T37" i="4"/>
  <c r="V30" i="4"/>
  <c r="M31" i="4"/>
  <c r="O35" i="4"/>
  <c r="P35" i="4" s="1"/>
  <c r="O36" i="4"/>
  <c r="P36" i="4" s="1"/>
  <c r="O32" i="4"/>
  <c r="P32" i="4" s="1"/>
  <c r="O40" i="4"/>
  <c r="P40" i="4" s="1"/>
  <c r="M41" i="4"/>
  <c r="O37" i="4"/>
  <c r="P37" i="4" s="1"/>
  <c r="O29" i="4"/>
  <c r="P29" i="4" s="1"/>
  <c r="O38" i="4"/>
  <c r="P38" i="4" s="1"/>
  <c r="M33" i="4"/>
  <c r="O34" i="4"/>
  <c r="P34" i="4" s="1"/>
  <c r="O42" i="4"/>
  <c r="P42" i="4" s="1"/>
  <c r="M46" i="4"/>
  <c r="O44" i="4"/>
  <c r="P44" i="4" s="1"/>
  <c r="M28" i="4"/>
  <c r="U33" i="4" l="1"/>
  <c r="V33" i="4"/>
  <c r="U41" i="4"/>
  <c r="V41" i="4"/>
  <c r="U28" i="4"/>
  <c r="V28" i="4"/>
  <c r="U46" i="4"/>
  <c r="V46" i="4"/>
  <c r="U31" i="4"/>
  <c r="V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<sst xmlns="http://schemas.openxmlformats.org/spreadsheetml/2006/main" count="340" uniqueCount="315">
  <si>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</si>
  <si>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</si>
  <si>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</si>
  <si>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</si>
  <si>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</si>
  <si>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</si>
  <si>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</si>
  <si>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</si>
  <si>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</si>
  <si>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</si>
  <si>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</si>
  <si>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</si>
  <si>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</si>
  <si>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</si>
  <si>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</si>
  <si>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</si>
  <si>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</si>
  <si>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</si>
  <si>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</si>
  <si>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</si>
  <si>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</si>
  <si>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</si>
  <si>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</si>
  <si>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</si>
  <si>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</si>
  <si>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</si>
  <si>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</si>
  <si>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</si>
  <si>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</si>
  <si>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</si>
  <si>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</si>
  <si>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</si>
  <si>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</si>
  <si>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</si>
  <si>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</si>
  <si>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</si>
  <si>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</si>
  <si>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</si>
  <si>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</si>
  <si>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</si>
  <si>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</si>
  <si>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</si>
  <si>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</si>
  <si>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</si>
  <si>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</si>
  <si>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</si>
  <si>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</si>
  <si>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</si>
  <si>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</si>
  <si>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</si>
  <si>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</si>
  <si>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</si>
  <si>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</si>
  <si>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</si>
  <si>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</si>
  <si>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</si>
  <si>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</si>
  <si>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</si>
  <si>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</si>
  <si>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</si>
  <si>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</si>
  <si>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</si>
  <si>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</si>
  <si>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</si>
  <si>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</si>
  <si>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</si>
  <si>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</si>
  <si>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</si>
  <si>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</si>
  <si>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</si>
  <si>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</si>
  <si>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</si>
  <si>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</si>
  <si>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</si>
  <si>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</si>
  <si>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</si>
  <si>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</si>
  <si>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</si>
  <si>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</si>
  <si>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</si>
  <si>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</si>
  <si>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</si>
  <si>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</si>
  <si>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</si>
  <si>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</si>
  <si>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</si>
  <si>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</si>
  <si>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</si>
  <si>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</si>
  <si>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</si>
  <si>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</si>
  <si>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</si>
  <si>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</si>
  <si>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</si>
  <si>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</si>
  <si>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</si>
  <si>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</si>
  <si>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</si>
  <si>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</si>
  <si>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</si>
  <si>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</si>
  <si>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</si>
  <si>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</si>
  <si>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</si>
  <si>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</si>
  <si>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</si>
  <si>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</si>
  <si>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</si>
  <si>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</si>
  <si>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</si>
  <si>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</si>
  <si>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</si>
  <si>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HEK293T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</si>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</sst>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6.6116099999999995E-3</v>
      </c>
      <c r="M17" s="80">
        <v>6.1539000000000006E-4</v>
      </c>
      <c r="N17" s="80">
        <v>7.2999999999999999E-5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7" zoomScale="70" zoomScaleNormal="70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150.14599999999999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149.35523220000002</v>
      </c>
      <c r="K8" s="39">
        <f>J8/J7</f>
        <v>0.99473334088154219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0.73230780000000006</v>
      </c>
      <c r="K9" s="39">
        <f>J9/J7</f>
        <v>4.8773047567034758E-3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5.8459999999999998E-2</v>
      </c>
      <c r="K10" s="39">
        <f>J10/J7</f>
        <v>3.8935436175455894E-4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0.14599999999999999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0.13223219999999999</v>
      </c>
      <c r="K20" s="39">
        <f>J20/J19</f>
        <v>0.90570000000000006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1.2307800000000001E-2</v>
      </c>
      <c r="K21" s="39">
        <f>J21/J19</f>
        <v>8.4300000000000014E-2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1.4599999999999999E-3</v>
      </c>
      <c r="K22" s="39">
        <f>J22/J19</f>
        <v>0.01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6.7869130147026708E-3</v>
      </c>
      <c r="K28" s="93">
        <f t="shared" ref="K28:K47" si="3">IF(D28=0,"",1/(1+10^D28*$J$15/$J$14+10^E28*$J$16/$J$14+10^J28*$J$19/$J$14))</f>
        <v>0.99298694719824143</v>
      </c>
      <c r="L28" s="93">
        <f t="shared" ref="L28:L47" si="4">IF(D28=0,"",1/(1+10^I28/10^J28*$J$13/$J$19))</f>
        <v>9.8684181115438435E-4</v>
      </c>
      <c r="M28" s="93">
        <f t="shared" ref="M28:M47" si="5">IF(D28=0,"",1-L28)</f>
        <v>0.99901315818884562</v>
      </c>
      <c r="N28" s="93">
        <f t="shared" ref="N28:N47" si="6">IF(D28=0,"",1/(1/10^E28*$J$20/$J$22+10^D28/10^E28*$J$21/$J$22+10^I28/10^E28*$J$13/$J$22+1))</f>
        <v>1.1740230635555146E-5</v>
      </c>
      <c r="O28" s="40">
        <f t="shared" ref="O28:O47" si="7">IF(D28=0,"",F28*K28*$J$7/$J$14)</f>
        <v>9.9912894241522492E-7</v>
      </c>
      <c r="P28" s="40">
        <f t="shared" ref="P28:P47" si="8">IF(D28=0,"",O28*10^J28)</f>
        <v>1.014865414914974E-6</v>
      </c>
      <c r="Q28" s="40">
        <f t="shared" ref="Q28:Q47" si="9">IF(D28=0,"",F28*N28*$J$7/$J$22)</f>
        <v>1.2073621020589472E-6</v>
      </c>
      <c r="R28" s="9">
        <f>F28*$C$14</f>
        <v>1.4999999999999999E-4</v>
      </c>
      <c r="S28" s="9">
        <f>$R28*L28</f>
        <v>1.4802627167315763E-7</v>
      </c>
      <c r="T28" s="9">
        <f t="shared" ref="T28:T91" si="10">R28*K28</f>
        <v>1.4894804207973619E-4</v>
      </c>
      <c r="U28" s="9">
        <f t="shared" ref="U28:U91" si="11">$R28*M28</f>
        <v>1.4985197372832684E-4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1.3408295503880296</v>
      </c>
      <c r="K29" s="93">
        <f t="shared" si="3"/>
        <v>0.46472559116883833</v>
      </c>
      <c r="L29" s="93">
        <f t="shared" si="4"/>
        <v>9.9665127771164184E-3</v>
      </c>
      <c r="M29" s="93">
        <f t="shared" si="5"/>
        <v>0.99003348722288353</v>
      </c>
      <c r="N29" s="93">
        <f t="shared" si="6"/>
        <v>1.7286762983142496E-3</v>
      </c>
      <c r="O29" s="40">
        <f t="shared" si="7"/>
        <v>4.6760009255702125E-7</v>
      </c>
      <c r="P29" s="40">
        <f t="shared" si="8"/>
        <v>1.0249534434472066E-5</v>
      </c>
      <c r="Q29" s="40">
        <f t="shared" si="9"/>
        <v>1.7777659690869265E-4</v>
      </c>
      <c r="R29" s="9">
        <f t="shared" ref="R29:R92" si="12">F29*$C$14</f>
        <v>1.4999999999999999E-4</v>
      </c>
      <c r="S29" s="9">
        <f t="shared" ref="S29:S92" si="13">$R29*L29</f>
        <v>1.4949769165674627E-6</v>
      </c>
      <c r="T29" s="9">
        <f t="shared" si="10"/>
        <v>6.9708838675325738E-5</v>
      </c>
      <c r="U29" s="9">
        <f t="shared" si="11"/>
        <v>1.4850502308343252E-4</v>
      </c>
      <c r="V29" s="100">
        <f t="shared" ref="V29:V92" si="14">K29/M29</f>
        <v>0.46940391124791914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3.3269072622500944</v>
      </c>
      <c r="K30" s="93">
        <f t="shared" si="3"/>
        <v>8.0358696895720377E-3</v>
      </c>
      <c r="L30" s="93">
        <f t="shared" si="4"/>
        <v>1.6690034589847434E-2</v>
      </c>
      <c r="M30" s="93">
        <f t="shared" si="5"/>
        <v>0.98330996541015259</v>
      </c>
      <c r="N30" s="93">
        <f t="shared" si="6"/>
        <v>3.4320212997747739E-5</v>
      </c>
      <c r="O30" s="40">
        <f t="shared" si="7"/>
        <v>8.0855745455491641E-9</v>
      </c>
      <c r="P30" s="40">
        <f t="shared" si="8"/>
        <v>1.7163985846076944E-5</v>
      </c>
      <c r="Q30" s="40">
        <f t="shared" si="9"/>
        <v>3.5294813018902961E-6</v>
      </c>
      <c r="R30" s="9">
        <f t="shared" si="12"/>
        <v>1.4999999999999999E-4</v>
      </c>
      <c r="S30" s="9">
        <f t="shared" si="13"/>
        <v>2.503505188477115E-6</v>
      </c>
      <c r="T30" s="9">
        <f t="shared" si="10"/>
        <v>1.2053804534358055E-6</v>
      </c>
      <c r="U30" s="9">
        <f t="shared" si="11"/>
        <v>1.4749649481152286E-4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-3.812667212265184E-2</v>
      </c>
      <c r="K31" s="93">
        <f t="shared" si="3"/>
        <v>0.99852225506098391</v>
      </c>
      <c r="L31" s="93">
        <f t="shared" si="4"/>
        <v>8.9484572091461101E-4</v>
      </c>
      <c r="M31" s="93">
        <f t="shared" si="5"/>
        <v>0.99910515427908542</v>
      </c>
      <c r="N31" s="93">
        <f t="shared" si="6"/>
        <v>1.5884227037197914E-7</v>
      </c>
      <c r="O31" s="40">
        <f t="shared" si="7"/>
        <v>1.0046984882249149E-6</v>
      </c>
      <c r="P31" s="40">
        <f t="shared" si="8"/>
        <v>9.202568877564739E-7</v>
      </c>
      <c r="Q31" s="40">
        <f t="shared" si="9"/>
        <v>1.6335295566624095E-8</v>
      </c>
      <c r="R31" s="9">
        <f t="shared" si="12"/>
        <v>1.4999999999999999E-4</v>
      </c>
      <c r="S31" s="9">
        <f t="shared" si="13"/>
        <v>1.3422685813719164E-7</v>
      </c>
      <c r="T31" s="9">
        <f t="shared" si="10"/>
        <v>1.4977833825914757E-4</v>
      </c>
      <c r="U31" s="9">
        <f t="shared" si="11"/>
        <v>1.4986577314186279E-4</v>
      </c>
      <c r="V31" s="100">
        <f t="shared" si="14"/>
        <v>0.99941657870985356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8.7462142087006658E-2</v>
      </c>
      <c r="K32" s="93">
        <f t="shared" si="3"/>
        <v>0.98137125766395994</v>
      </c>
      <c r="L32" s="93">
        <f t="shared" si="4"/>
        <v>1.1743905968345002E-3</v>
      </c>
      <c r="M32" s="93">
        <f t="shared" si="5"/>
        <v>0.99882560940316545</v>
      </c>
      <c r="N32" s="93">
        <f t="shared" si="6"/>
        <v>1.9218168857022458E-5</v>
      </c>
      <c r="O32" s="40">
        <f t="shared" si="7"/>
        <v>9.8744140550191913E-7</v>
      </c>
      <c r="P32" s="40">
        <f t="shared" si="8"/>
        <v>1.2077400722761154E-6</v>
      </c>
      <c r="Q32" s="40">
        <f t="shared" si="9"/>
        <v>1.9763912200044479E-6</v>
      </c>
      <c r="R32" s="9">
        <f t="shared" si="12"/>
        <v>1.4999999999999999E-4</v>
      </c>
      <c r="S32" s="9">
        <f t="shared" si="13"/>
        <v>1.7615858952517501E-7</v>
      </c>
      <c r="T32" s="9">
        <f t="shared" si="10"/>
        <v>1.4720568864959397E-4</v>
      </c>
      <c r="U32" s="9">
        <f t="shared" si="11"/>
        <v>1.4982384141047481E-4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0.72912228662279288</v>
      </c>
      <c r="K33" s="93">
        <f t="shared" si="3"/>
        <v>0.80239144336038271</v>
      </c>
      <c r="L33" s="93">
        <f t="shared" si="4"/>
        <v>4.207514916407553E-3</v>
      </c>
      <c r="M33" s="93">
        <f t="shared" si="5"/>
        <v>0.99579248508359242</v>
      </c>
      <c r="N33" s="93">
        <f t="shared" si="6"/>
        <v>5.7258344891565724E-4</v>
      </c>
      <c r="O33" s="40">
        <f t="shared" si="7"/>
        <v>8.0735453418566837E-7</v>
      </c>
      <c r="P33" s="40">
        <f t="shared" si="8"/>
        <v>4.3269968125953991E-6</v>
      </c>
      <c r="Q33" s="40">
        <f t="shared" si="9"/>
        <v>5.8884325014308395E-5</v>
      </c>
      <c r="R33" s="9">
        <f t="shared" si="12"/>
        <v>1.4999999999999999E-4</v>
      </c>
      <c r="S33" s="9">
        <f t="shared" si="13"/>
        <v>6.3112723746113289E-7</v>
      </c>
      <c r="T33" s="9">
        <f t="shared" si="10"/>
        <v>1.2035871650405739E-4</v>
      </c>
      <c r="U33" s="9">
        <f t="shared" si="11"/>
        <v>1.4936887276253884E-4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5.2712683038239401E-2</v>
      </c>
      <c r="K34" s="93">
        <f t="shared" si="3"/>
        <v>0.98652964549140476</v>
      </c>
      <c r="L34" s="93">
        <f t="shared" si="4"/>
        <v>1.0897827077831158E-3</v>
      </c>
      <c r="M34" s="93">
        <f t="shared" si="5"/>
        <v>0.99891021729221685</v>
      </c>
      <c r="N34" s="93">
        <f t="shared" si="6"/>
        <v>1.1861855779448267E-5</v>
      </c>
      <c r="O34" s="40">
        <f t="shared" si="7"/>
        <v>9.9263169988508753E-7</v>
      </c>
      <c r="P34" s="40">
        <f t="shared" si="8"/>
        <v>1.1207295509781074E-6</v>
      </c>
      <c r="Q34" s="40">
        <f t="shared" si="9"/>
        <v>1.2198699985349585E-6</v>
      </c>
      <c r="R34" s="9">
        <f t="shared" si="12"/>
        <v>1.4999999999999999E-4</v>
      </c>
      <c r="S34" s="9">
        <f t="shared" si="13"/>
        <v>1.6346740616746737E-7</v>
      </c>
      <c r="T34" s="9">
        <f t="shared" si="10"/>
        <v>1.479794468237107E-4</v>
      </c>
      <c r="U34" s="9">
        <f t="shared" si="11"/>
        <v>1.4983653259383251E-4</v>
      </c>
      <c r="V34" s="100">
        <f t="shared" si="14"/>
        <v>0.98760592134659253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3.0890416860471809E-2</v>
      </c>
      <c r="K35" s="93">
        <f t="shared" si="3"/>
        <v>0.98959950245276596</v>
      </c>
      <c r="L35" s="93">
        <f t="shared" si="4"/>
        <v>1.0396016833606058E-3</v>
      </c>
      <c r="M35" s="93">
        <f t="shared" si="5"/>
        <v>0.99896039831663941</v>
      </c>
      <c r="N35" s="93">
        <f t="shared" si="6"/>
        <v>8.0061678833813801E-6</v>
      </c>
      <c r="O35" s="40">
        <f t="shared" si="7"/>
        <v>9.9572054505855638E-7</v>
      </c>
      <c r="P35" s="40">
        <f t="shared" si="8"/>
        <v>1.0691235229442567E-6</v>
      </c>
      <c r="Q35" s="40">
        <f t="shared" si="9"/>
        <v>8.2335211165628807E-7</v>
      </c>
      <c r="R35" s="9">
        <f t="shared" si="12"/>
        <v>1.4999999999999999E-4</v>
      </c>
      <c r="S35" s="9">
        <f t="shared" si="13"/>
        <v>1.5594025250409085E-7</v>
      </c>
      <c r="T35" s="9">
        <f t="shared" si="10"/>
        <v>1.4843992536791488E-4</v>
      </c>
      <c r="U35" s="9">
        <f t="shared" si="11"/>
        <v>1.498440597474959E-4</v>
      </c>
      <c r="V35" s="100">
        <f t="shared" si="14"/>
        <v>0.99062936240550914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2.5613647148029952</v>
      </c>
      <c r="K36" s="93">
        <f t="shared" si="3"/>
        <v>5.0854434839905593E-2</v>
      </c>
      <c r="L36" s="93">
        <f t="shared" si="4"/>
        <v>1.8122188187378749E-2</v>
      </c>
      <c r="M36" s="93">
        <f t="shared" si="5"/>
        <v>0.98187781181262124</v>
      </c>
      <c r="N36" s="93">
        <f t="shared" si="6"/>
        <v>6.4999785154575681E-3</v>
      </c>
      <c r="O36" s="40">
        <f t="shared" si="7"/>
        <v>5.1168988517001153E-8</v>
      </c>
      <c r="P36" s="40">
        <f t="shared" si="8"/>
        <v>1.8636808682069662E-5</v>
      </c>
      <c r="Q36" s="40">
        <f t="shared" si="9"/>
        <v>6.6845600971362465E-4</v>
      </c>
      <c r="R36" s="9">
        <f t="shared" si="12"/>
        <v>1.4999999999999999E-4</v>
      </c>
      <c r="S36" s="9">
        <f t="shared" si="13"/>
        <v>2.7183282281068119E-6</v>
      </c>
      <c r="T36" s="9">
        <f t="shared" si="10"/>
        <v>7.6281652259858384E-6</v>
      </c>
      <c r="U36" s="9">
        <f t="shared" si="11"/>
        <v>1.4728167177189316E-4</v>
      </c>
      <c r="V36" s="100">
        <f t="shared" si="14"/>
        <v>5.1793038021731477E-2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4.5810354638391573</v>
      </c>
      <c r="K37" s="93">
        <f t="shared" si="3"/>
        <v>6.1645074002789231E-4</v>
      </c>
      <c r="L37" s="93">
        <f t="shared" si="4"/>
        <v>2.2985339936756281E-2</v>
      </c>
      <c r="M37" s="93">
        <f t="shared" si="5"/>
        <v>0.97701466006324367</v>
      </c>
      <c r="N37" s="93">
        <f t="shared" si="6"/>
        <v>1.8922450065400116E-2</v>
      </c>
      <c r="O37" s="40">
        <f t="shared" si="7"/>
        <v>6.2026371814149227E-10</v>
      </c>
      <c r="P37" s="40">
        <f t="shared" si="8"/>
        <v>2.3638060617426114E-5</v>
      </c>
      <c r="Q37" s="40">
        <f t="shared" si="9"/>
        <v>1.9459795804928532E-3</v>
      </c>
      <c r="R37" s="9">
        <f t="shared" si="12"/>
        <v>1.4999999999999999E-4</v>
      </c>
      <c r="S37" s="9">
        <f t="shared" si="13"/>
        <v>3.447800990513442E-6</v>
      </c>
      <c r="T37" s="9">
        <f t="shared" si="10"/>
        <v>9.2467611004183836E-8</v>
      </c>
      <c r="U37" s="9">
        <f t="shared" si="11"/>
        <v>1.4655219900948653E-4</v>
      </c>
      <c r="V37" s="100">
        <f t="shared" si="14"/>
        <v>6.309534188442868E-4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-3.0439469299610111E-2</v>
      </c>
      <c r="K38" s="93">
        <f t="shared" si="3"/>
        <v>0.9975825001886679</v>
      </c>
      <c r="L38" s="93">
        <f t="shared" si="4"/>
        <v>9.0996867366604248E-4</v>
      </c>
      <c r="M38" s="93">
        <f t="shared" si="5"/>
        <v>0.999090031326334</v>
      </c>
      <c r="N38" s="93">
        <f t="shared" si="6"/>
        <v>6.0947977558330411E-7</v>
      </c>
      <c r="O38" s="40">
        <f t="shared" si="7"/>
        <v>1.0037529206176508E-6</v>
      </c>
      <c r="P38" s="40">
        <f t="shared" si="8"/>
        <v>9.3580929093329905E-7</v>
      </c>
      <c r="Q38" s="40">
        <f t="shared" si="9"/>
        <v>6.2678733140226555E-8</v>
      </c>
      <c r="R38" s="9">
        <f t="shared" si="12"/>
        <v>1.4999999999999999E-4</v>
      </c>
      <c r="S38" s="9">
        <f t="shared" si="13"/>
        <v>1.3649530104990637E-7</v>
      </c>
      <c r="T38" s="9">
        <f t="shared" si="10"/>
        <v>1.4963737502830018E-4</v>
      </c>
      <c r="U38" s="9">
        <f t="shared" si="11"/>
        <v>1.4986350469895008E-4</v>
      </c>
      <c r="V38" s="100">
        <f t="shared" si="14"/>
        <v>0.99849109580678652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1.3503657480277556</v>
      </c>
      <c r="K39" s="93">
        <f t="shared" si="3"/>
        <v>0.45548666431393103</v>
      </c>
      <c r="L39" s="93">
        <f t="shared" si="4"/>
        <v>9.9852398946617318E-3</v>
      </c>
      <c r="M39" s="93">
        <f t="shared" si="5"/>
        <v>0.99001476010533829</v>
      </c>
      <c r="N39" s="93">
        <f t="shared" si="6"/>
        <v>1.3357486846644227E-3</v>
      </c>
      <c r="O39" s="40">
        <f t="shared" si="7"/>
        <v>4.5830401948814513E-7</v>
      </c>
      <c r="P39" s="40">
        <f t="shared" si="8"/>
        <v>1.0268793350848495E-5</v>
      </c>
      <c r="Q39" s="40">
        <f t="shared" si="9"/>
        <v>1.3736802877234547E-4</v>
      </c>
      <c r="R39" s="9">
        <f t="shared" si="12"/>
        <v>1.4999999999999999E-4</v>
      </c>
      <c r="S39" s="9">
        <f t="shared" si="13"/>
        <v>1.4977859841992597E-6</v>
      </c>
      <c r="T39" s="9">
        <f t="shared" si="10"/>
        <v>6.8322999647089648E-5</v>
      </c>
      <c r="U39" s="9">
        <f t="shared" si="11"/>
        <v>1.4850221401580072E-4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1.4331774457412796</v>
      </c>
      <c r="K40" s="93">
        <f t="shared" si="3"/>
        <v>0.41895967242334464</v>
      </c>
      <c r="L40" s="93">
        <f t="shared" si="4"/>
        <v>1.1113906940124067E-2</v>
      </c>
      <c r="M40" s="93">
        <f t="shared" si="5"/>
        <v>0.98888609305987596</v>
      </c>
      <c r="N40" s="93">
        <f t="shared" si="6"/>
        <v>3.007090717082001E-3</v>
      </c>
      <c r="O40" s="40">
        <f t="shared" si="7"/>
        <v>4.2155109450738487E-7</v>
      </c>
      <c r="P40" s="40">
        <f t="shared" si="8"/>
        <v>1.1429511448163482E-5</v>
      </c>
      <c r="Q40" s="40">
        <f t="shared" si="9"/>
        <v>3.0924838548424254E-4</v>
      </c>
      <c r="R40" s="9">
        <f t="shared" si="12"/>
        <v>1.4999999999999999E-4</v>
      </c>
      <c r="S40" s="9">
        <f t="shared" si="13"/>
        <v>1.6670860410186099E-6</v>
      </c>
      <c r="T40" s="9">
        <f t="shared" si="10"/>
        <v>6.2843950863501687E-5</v>
      </c>
      <c r="U40" s="9">
        <f t="shared" si="11"/>
        <v>1.4833291395898137E-4</v>
      </c>
      <c r="V40" s="100">
        <f t="shared" si="14"/>
        <v>0.42366828228615516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0.58023834032426458</v>
      </c>
      <c r="K41" s="93">
        <f t="shared" si="3"/>
        <v>0.85947010491043752</v>
      </c>
      <c r="L41" s="93">
        <f t="shared" si="4"/>
        <v>3.1987934966665648E-3</v>
      </c>
      <c r="M41" s="93">
        <f t="shared" si="5"/>
        <v>0.99680120650333348</v>
      </c>
      <c r="N41" s="93">
        <f t="shared" si="6"/>
        <v>2.6944297441392932E-4</v>
      </c>
      <c r="O41" s="40">
        <f t="shared" si="7"/>
        <v>8.6478624858019549E-7</v>
      </c>
      <c r="P41" s="40">
        <f t="shared" si="8"/>
        <v>3.2896304681540954E-6</v>
      </c>
      <c r="Q41" s="40">
        <f t="shared" si="9"/>
        <v>2.7709441668735498E-5</v>
      </c>
      <c r="R41" s="9">
        <f t="shared" si="12"/>
        <v>1.4999999999999999E-4</v>
      </c>
      <c r="S41" s="9">
        <f t="shared" si="13"/>
        <v>4.7981902449998462E-7</v>
      </c>
      <c r="T41" s="9">
        <f t="shared" si="10"/>
        <v>1.2892051573656563E-4</v>
      </c>
      <c r="U41" s="9">
        <f t="shared" si="11"/>
        <v>1.4952018097550001E-4</v>
      </c>
      <c r="V41" s="100">
        <f t="shared" si="14"/>
        <v>0.86222819485277513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1.1444407422837011</v>
      </c>
      <c r="K42" s="93">
        <f t="shared" si="3"/>
        <v>0.58725018025312803</v>
      </c>
      <c r="L42" s="93">
        <f t="shared" si="4"/>
        <v>8.0127388768213414E-3</v>
      </c>
      <c r="M42" s="93">
        <f t="shared" si="5"/>
        <v>0.9919872611231787</v>
      </c>
      <c r="N42" s="93">
        <f t="shared" si="6"/>
        <v>1.7247980308268958E-3</v>
      </c>
      <c r="O42" s="40">
        <f t="shared" si="7"/>
        <v>5.9088254199611425E-7</v>
      </c>
      <c r="P42" s="40">
        <f t="shared" si="8"/>
        <v>8.2402787082138148E-6</v>
      </c>
      <c r="Q42" s="40">
        <f t="shared" si="9"/>
        <v>1.7737775694283225E-4</v>
      </c>
      <c r="R42" s="9">
        <f t="shared" si="12"/>
        <v>1.4999999999999999E-4</v>
      </c>
      <c r="S42" s="9">
        <f t="shared" si="13"/>
        <v>1.2019108315232011E-6</v>
      </c>
      <c r="T42" s="9">
        <f t="shared" si="10"/>
        <v>8.8087527037969201E-5</v>
      </c>
      <c r="U42" s="9">
        <f t="shared" si="11"/>
        <v>1.4879808916847678E-4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1.3276849779101709</v>
      </c>
      <c r="K43" s="93">
        <f t="shared" si="3"/>
        <v>0.47068777409422707</v>
      </c>
      <c r="L43" s="93">
        <f t="shared" si="4"/>
        <v>9.7934336350179521E-3</v>
      </c>
      <c r="M43" s="93">
        <f t="shared" si="5"/>
        <v>0.99020656636498205</v>
      </c>
      <c r="N43" s="93">
        <f t="shared" si="6"/>
        <v>1.4899613634863395E-3</v>
      </c>
      <c r="O43" s="40">
        <f t="shared" si="7"/>
        <v>4.7359915381108678E-7</v>
      </c>
      <c r="P43" s="40">
        <f t="shared" si="8"/>
        <v>1.0071540318927437E-5</v>
      </c>
      <c r="Q43" s="40">
        <f t="shared" si="9"/>
        <v>1.5322721841234241E-4</v>
      </c>
      <c r="R43" s="9">
        <f t="shared" si="12"/>
        <v>1.4999999999999999E-4</v>
      </c>
      <c r="S43" s="9">
        <f t="shared" si="13"/>
        <v>1.4690150452526927E-6</v>
      </c>
      <c r="T43" s="9">
        <f t="shared" si="10"/>
        <v>7.060316611413406E-5</v>
      </c>
      <c r="U43" s="9">
        <f t="shared" si="11"/>
        <v>1.4853098495474728E-4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5.1978454460498824</v>
      </c>
      <c r="K44" s="93">
        <f t="shared" si="3"/>
        <v>1.4407772540626793E-4</v>
      </c>
      <c r="L44" s="93">
        <f t="shared" si="4"/>
        <v>2.2231019443787896E-2</v>
      </c>
      <c r="M44" s="93">
        <f t="shared" si="5"/>
        <v>0.97776898055621209</v>
      </c>
      <c r="N44" s="93">
        <f t="shared" si="6"/>
        <v>1.6592886116613661E-2</v>
      </c>
      <c r="O44" s="40">
        <f t="shared" si="7"/>
        <v>1.4496889996079358E-10</v>
      </c>
      <c r="P44" s="40">
        <f t="shared" si="8"/>
        <v>2.2862319489088894E-5</v>
      </c>
      <c r="Q44" s="40">
        <f t="shared" si="9"/>
        <v>1.7064078622363525E-3</v>
      </c>
      <c r="R44" s="9">
        <f t="shared" si="12"/>
        <v>1.4999999999999999E-4</v>
      </c>
      <c r="S44" s="9">
        <f t="shared" si="13"/>
        <v>3.3346529165681841E-6</v>
      </c>
      <c r="T44" s="9">
        <f t="shared" si="10"/>
        <v>2.1611658810940187E-8</v>
      </c>
      <c r="U44" s="9">
        <f t="shared" si="11"/>
        <v>1.466653470834318E-4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0.42916913204398671</v>
      </c>
      <c r="K45" s="93">
        <f t="shared" si="3"/>
        <v>0.90921760155680165</v>
      </c>
      <c r="L45" s="93">
        <f t="shared" si="4"/>
        <v>2.3897587235057736E-3</v>
      </c>
      <c r="M45" s="93">
        <f t="shared" si="5"/>
        <v>0.99761024127649423</v>
      </c>
      <c r="N45" s="93">
        <f t="shared" si="6"/>
        <v>2.1967008778054695E-4</v>
      </c>
      <c r="O45" s="40">
        <f t="shared" si="7"/>
        <v>9.1484145207741101E-7</v>
      </c>
      <c r="P45" s="40">
        <f t="shared" si="8"/>
        <v>2.4576213239691636E-6</v>
      </c>
      <c r="Q45" s="40">
        <f t="shared" si="9"/>
        <v>2.2590811643765756E-5</v>
      </c>
      <c r="R45" s="9">
        <f t="shared" si="12"/>
        <v>1.4999999999999999E-4</v>
      </c>
      <c r="S45" s="9">
        <f t="shared" si="13"/>
        <v>3.58463808525866E-7</v>
      </c>
      <c r="T45" s="9">
        <f t="shared" si="10"/>
        <v>1.3638264023352025E-4</v>
      </c>
      <c r="U45" s="9">
        <f t="shared" si="11"/>
        <v>1.4964153619147411E-4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0.44418370932270096</v>
      </c>
      <c r="K46" s="93">
        <f t="shared" si="3"/>
        <v>0.90451423084452853</v>
      </c>
      <c r="L46" s="93">
        <f t="shared" si="4"/>
        <v>2.4610260022359166E-3</v>
      </c>
      <c r="M46" s="93">
        <f t="shared" si="5"/>
        <v>0.99753897399776403</v>
      </c>
      <c r="N46" s="93">
        <f t="shared" si="6"/>
        <v>2.084056520265569E-4</v>
      </c>
      <c r="O46" s="40">
        <f t="shared" si="7"/>
        <v>9.1010898926025169E-7</v>
      </c>
      <c r="P46" s="40">
        <f t="shared" si="8"/>
        <v>2.5309123981624237E-6</v>
      </c>
      <c r="Q46" s="40">
        <f t="shared" si="9"/>
        <v>2.14323801569722E-5</v>
      </c>
      <c r="R46" s="9">
        <f t="shared" si="12"/>
        <v>1.4999999999999999E-4</v>
      </c>
      <c r="S46" s="9">
        <f t="shared" si="13"/>
        <v>3.6915390033538747E-7</v>
      </c>
      <c r="T46" s="9">
        <f t="shared" si="10"/>
        <v>1.3567713462667928E-4</v>
      </c>
      <c r="U46" s="9">
        <f t="shared" si="11"/>
        <v>1.496308460996646E-4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1.6468679908029498</v>
      </c>
      <c r="K47" s="93">
        <f t="shared" si="3"/>
        <v>0.30623769355889913</v>
      </c>
      <c r="L47" s="93">
        <f t="shared" si="4"/>
        <v>1.3287513688513344E-2</v>
      </c>
      <c r="M47" s="93">
        <f t="shared" si="5"/>
        <v>0.98671248631148667</v>
      </c>
      <c r="N47" s="93">
        <f t="shared" si="6"/>
        <v>4.1608275128514581E-3</v>
      </c>
      <c r="O47" s="40">
        <f t="shared" si="7"/>
        <v>3.0813188809429146E-7</v>
      </c>
      <c r="P47" s="40">
        <f t="shared" si="8"/>
        <v>1.3664842673120031E-5</v>
      </c>
      <c r="Q47" s="40">
        <f t="shared" si="9"/>
        <v>4.2789836146890073E-4</v>
      </c>
      <c r="R47" s="9">
        <f t="shared" si="12"/>
        <v>1.4999999999999999E-4</v>
      </c>
      <c r="S47" s="9">
        <f t="shared" si="13"/>
        <v>1.9931270532770016E-6</v>
      </c>
      <c r="T47" s="9">
        <f t="shared" si="10"/>
        <v>4.5935654033834862E-5</v>
      </c>
      <c r="U47" s="9">
        <f t="shared" si="11"/>
        <v>1.48006872946723E-4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3.6103930695935905E-2</v>
      </c>
      <c r="K48" s="93">
        <f t="shared" ref="K48:K50" si="17">IF(D48=0,"",1/(1+10^D48*$J$15/$J$14+10^E48*$J$16/$J$14+10^J48*$J$19/$J$14))</f>
        <v>0.98898955708726133</v>
      </c>
      <c r="L48" s="93">
        <f t="shared" ref="L48:L50" si="18">IF(D48=0,"",1/(1+10^I48/10^J48*$J$13/$J$19))</f>
        <v>1.0515083492629847E-3</v>
      </c>
      <c r="M48" s="93">
        <f t="shared" ref="M48:M92" si="19">IF(D48=0,"",1-L48)</f>
        <v>0.99894849165073707</v>
      </c>
      <c r="N48" s="93">
        <f t="shared" ref="N48:N50" si="20">IF(D48=0,"",1/(1/10^E48*$J$20/$J$22+10^D48/10^E48*$J$21/$J$22+10^I48/10^E48*$J$13/$J$22+1))</f>
        <v>1.4692943032634088E-5</v>
      </c>
      <c r="O48" s="40">
        <f t="shared" ref="O48:O92" si="21">IF(D48=0,"",F48*K48*$J$7/$J$14)</f>
        <v>9.9510682695310963E-7</v>
      </c>
      <c r="P48" s="40">
        <f t="shared" ref="P48:P50" si="22">IF(D48=0,"",O48*10^J48)</f>
        <v>1.0813683055372606E-6</v>
      </c>
      <c r="Q48" s="40">
        <f t="shared" ref="Q48:Q50" si="23">IF(D48=0,"",F48*N48*$J$7/$J$22)</f>
        <v>1.5110182360122448E-6</v>
      </c>
      <c r="R48" s="9">
        <f t="shared" si="12"/>
        <v>1.4999999999999999E-4</v>
      </c>
      <c r="S48" s="9">
        <f t="shared" si="13"/>
        <v>1.5772625238944768E-7</v>
      </c>
      <c r="T48" s="9">
        <f t="shared" si="10"/>
        <v>1.4834843356308918E-4</v>
      </c>
      <c r="U48" s="9">
        <f t="shared" si="11"/>
        <v>1.4984227374761054E-4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0.71549530837913433</v>
      </c>
      <c r="K49" s="93">
        <f t="shared" si="17"/>
        <v>0.80945237757241373</v>
      </c>
      <c r="L49" s="93">
        <f t="shared" si="18"/>
        <v>4.1134261092364661E-3</v>
      </c>
      <c r="M49" s="93">
        <f t="shared" si="19"/>
        <v>0.99588657389076352</v>
      </c>
      <c r="N49" s="93">
        <f t="shared" si="20"/>
        <v>6.2894315073239431E-4</v>
      </c>
      <c r="O49" s="40">
        <f t="shared" si="21"/>
        <v>8.1445914291354283E-7</v>
      </c>
      <c r="P49" s="40">
        <f t="shared" si="22"/>
        <v>4.2302361410782085E-6</v>
      </c>
      <c r="Q49" s="40">
        <f t="shared" si="23"/>
        <v>6.4680341308127442E-5</v>
      </c>
      <c r="R49" s="9">
        <f t="shared" si="12"/>
        <v>1.4999999999999999E-4</v>
      </c>
      <c r="S49" s="9">
        <f t="shared" si="13"/>
        <v>6.1701391638546983E-7</v>
      </c>
      <c r="T49" s="9">
        <f t="shared" si="10"/>
        <v>1.2141785663586205E-4</v>
      </c>
      <c r="U49" s="9">
        <f t="shared" si="11"/>
        <v>1.4938298608361452E-4</v>
      </c>
      <c r="V49" s="100">
        <f t="shared" si="14"/>
        <v>0.81279575284363725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1.6323878148666415</v>
      </c>
      <c r="K50" s="93">
        <f t="shared" si="17"/>
        <v>0.30581498263475737</v>
      </c>
      <c r="L50" s="93">
        <f t="shared" si="18"/>
        <v>1.2834048097895612E-2</v>
      </c>
      <c r="M50" s="93">
        <f t="shared" si="19"/>
        <v>0.98716595190210443</v>
      </c>
      <c r="N50" s="93">
        <f t="shared" si="20"/>
        <v>2.7536316685981403E-3</v>
      </c>
      <c r="O50" s="40">
        <f t="shared" si="21"/>
        <v>3.0770656254517244E-7</v>
      </c>
      <c r="P50" s="40">
        <f t="shared" si="22"/>
        <v>1.3198499902100233E-5</v>
      </c>
      <c r="Q50" s="40">
        <f t="shared" si="23"/>
        <v>2.8318272637899752E-4</v>
      </c>
      <c r="R50" s="9">
        <f t="shared" si="12"/>
        <v>1.4999999999999999E-4</v>
      </c>
      <c r="S50" s="9">
        <f t="shared" si="13"/>
        <v>1.9251072146843418E-6</v>
      </c>
      <c r="T50" s="9">
        <f t="shared" si="10"/>
        <v>4.5872247395213599E-5</v>
      </c>
      <c r="U50" s="9">
        <f t="shared" si="11"/>
        <v>1.4807489278531564E-4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4.3070548137368689</v>
      </c>
      <c r="K51" s="93">
        <f t="shared" ref="K51:K70" si="26">IF(D51=0,"",1/(1+10^D51*$J$15/$J$14+10^E51*$J$16/$J$14+10^J51*$J$19/$J$14))</f>
        <v>1.0256408179480467E-3</v>
      </c>
      <c r="L51" s="93">
        <f t="shared" ref="L51:L70" si="27">IF(D51=0,"",1/(1+10^I51/10^J51*$J$13/$J$19))</f>
        <v>2.0350130520334249E-2</v>
      </c>
      <c r="M51" s="93">
        <f t="shared" ref="M51:M70" si="28">IF(D51=0,"",1-L51)</f>
        <v>0.9796498694796657</v>
      </c>
      <c r="N51" s="93">
        <f t="shared" ref="N51:N70" si="29">IF(D51=0,"",1/(1/10^E51*$J$20/$J$22+10^D51/10^E51*$J$21/$J$22+10^I51/10^E51*$J$13/$J$22+1))</f>
        <v>1.0884497533404557E-2</v>
      </c>
      <c r="O51" s="40">
        <f t="shared" ref="O51:O70" si="30">IF(D51=0,"",F51*K51*$J$7/$J$14)</f>
        <v>1.0319847895540727E-9</v>
      </c>
      <c r="P51" s="40">
        <f t="shared" ref="P51:P70" si="31">IF(D51=0,"",O51*10^J51)</f>
        <v>2.0928018473329488E-5</v>
      </c>
      <c r="Q51" s="40">
        <f t="shared" ref="Q51:Q70" si="32">IF(D51=0,"",F51*N51*$J$7/$J$22)</f>
        <v>1.1193587442812057E-3</v>
      </c>
      <c r="R51" s="9">
        <f t="shared" si="12"/>
        <v>1.4999999999999999E-4</v>
      </c>
      <c r="S51" s="9">
        <f t="shared" si="13"/>
        <v>3.0525195780501372E-6</v>
      </c>
      <c r="T51" s="9">
        <f t="shared" si="10"/>
        <v>1.53846122692207E-7</v>
      </c>
      <c r="U51" s="9">
        <f t="shared" si="11"/>
        <v>1.4694748042194984E-4</v>
      </c>
      <c r="V51" s="100">
        <f t="shared" si="14"/>
        <v>1.0469463120459648E-3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1.8320197616226608</v>
      </c>
      <c r="K52" s="93">
        <f t="shared" si="26"/>
        <v>0.22250468554784855</v>
      </c>
      <c r="L52" s="93">
        <f t="shared" si="27"/>
        <v>1.4786861714979251E-2</v>
      </c>
      <c r="M52" s="93">
        <f t="shared" si="28"/>
        <v>0.98521313828502077</v>
      </c>
      <c r="N52" s="93">
        <f t="shared" si="29"/>
        <v>4.6653931760812142E-3</v>
      </c>
      <c r="O52" s="40">
        <f t="shared" si="30"/>
        <v>2.2388096014868526E-7</v>
      </c>
      <c r="P52" s="40">
        <f t="shared" si="31"/>
        <v>1.5206768075734758E-5</v>
      </c>
      <c r="Q52" s="40">
        <f t="shared" si="32"/>
        <v>4.7978775603828083E-4</v>
      </c>
      <c r="R52" s="9">
        <f t="shared" si="12"/>
        <v>1.4999999999999999E-4</v>
      </c>
      <c r="S52" s="9">
        <f t="shared" si="13"/>
        <v>2.2180292572468876E-6</v>
      </c>
      <c r="T52" s="9">
        <f t="shared" si="10"/>
        <v>3.3375702832177282E-5</v>
      </c>
      <c r="U52" s="9">
        <f t="shared" si="11"/>
        <v>1.477819707427531E-4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2.6025949535148953</v>
      </c>
      <c r="K53" s="93">
        <f t="shared" si="26"/>
        <v>4.7433182629141576E-2</v>
      </c>
      <c r="L53" s="93">
        <f t="shared" si="27"/>
        <v>1.8586358425446314E-2</v>
      </c>
      <c r="M53" s="93">
        <f t="shared" si="28"/>
        <v>0.98141364157455369</v>
      </c>
      <c r="N53" s="93">
        <f t="shared" si="29"/>
        <v>7.7525995999848983E-3</v>
      </c>
      <c r="O53" s="40">
        <f t="shared" si="30"/>
        <v>4.7726574583241792E-8</v>
      </c>
      <c r="P53" s="40">
        <f t="shared" si="31"/>
        <v>1.911416008319906E-5</v>
      </c>
      <c r="Q53" s="40">
        <f t="shared" si="32"/>
        <v>7.9727521886255651E-4</v>
      </c>
      <c r="R53" s="9">
        <f t="shared" si="12"/>
        <v>1.4999999999999999E-4</v>
      </c>
      <c r="S53" s="9">
        <f t="shared" si="13"/>
        <v>2.7879537638169471E-6</v>
      </c>
      <c r="T53" s="9">
        <f t="shared" si="10"/>
        <v>7.1149773943712355E-6</v>
      </c>
      <c r="U53" s="9">
        <f t="shared" si="11"/>
        <v>1.4721204623618304E-4</v>
      </c>
      <c r="V53" s="100">
        <f t="shared" si="14"/>
        <v>4.8331489007062356E-2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2.0064300527387009</v>
      </c>
      <c r="K54" s="93">
        <f t="shared" si="26"/>
        <v>0.16104593806084225</v>
      </c>
      <c r="L54" s="93">
        <f t="shared" si="27"/>
        <v>1.5991784070609381E-2</v>
      </c>
      <c r="M54" s="93">
        <f t="shared" si="28"/>
        <v>0.98400821592939058</v>
      </c>
      <c r="N54" s="93">
        <f t="shared" si="29"/>
        <v>5.355041789828899E-3</v>
      </c>
      <c r="O54" s="40">
        <f t="shared" si="30"/>
        <v>1.6204206734942478E-7</v>
      </c>
      <c r="P54" s="40">
        <f t="shared" si="31"/>
        <v>1.6445906925107644E-5</v>
      </c>
      <c r="Q54" s="40">
        <f t="shared" si="32"/>
        <v>5.5071103053126692E-4</v>
      </c>
      <c r="R54" s="9">
        <f t="shared" si="12"/>
        <v>1.4999999999999999E-4</v>
      </c>
      <c r="S54" s="9">
        <f t="shared" si="13"/>
        <v>2.3987676105914071E-6</v>
      </c>
      <c r="T54" s="9">
        <f t="shared" si="10"/>
        <v>2.4156890709126336E-5</v>
      </c>
      <c r="U54" s="9">
        <f t="shared" si="11"/>
        <v>1.4760123238940858E-4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0.55351864127074724</v>
      </c>
      <c r="K55" s="55">
        <f t="shared" si="26"/>
        <v>0.87099999025825015</v>
      </c>
      <c r="L55" s="55">
        <f t="shared" si="27"/>
        <v>3.0482731473868326E-3</v>
      </c>
      <c r="M55" s="55">
        <f t="shared" si="28"/>
        <v>0.99695172685261313</v>
      </c>
      <c r="N55" s="55">
        <f t="shared" si="29"/>
        <v>3.710088241411017E-4</v>
      </c>
      <c r="O55" s="56">
        <f t="shared" si="30"/>
        <v>8.7638745057608552E-7</v>
      </c>
      <c r="P55" s="56">
        <f t="shared" si="31"/>
        <v>3.1348357533393384E-6</v>
      </c>
      <c r="Q55" s="56">
        <f t="shared" si="32"/>
        <v>3.8154445828417709E-5</v>
      </c>
      <c r="R55" s="9">
        <f t="shared" si="12"/>
        <v>1.4999999999999999E-4</v>
      </c>
      <c r="S55" s="9">
        <f t="shared" si="13"/>
        <v>4.5724097210802483E-7</v>
      </c>
      <c r="T55" s="9">
        <f t="shared" si="10"/>
        <v>1.306499985387375E-4</v>
      </c>
      <c r="U55" s="9">
        <f t="shared" si="11"/>
        <v>1.4954275902789196E-4</v>
      </c>
      <c r="V55" s="100">
        <f t="shared" si="14"/>
        <v>0.87366315419103202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1.8023749945199008</v>
      </c>
      <c r="K56" s="55">
        <f t="shared" si="26"/>
        <v>0.23590237160216099</v>
      </c>
      <c r="L56" s="55">
        <f t="shared" si="27"/>
        <v>1.4642808762492134E-2</v>
      </c>
      <c r="M56" s="55">
        <f t="shared" si="28"/>
        <v>0.98535719123750787</v>
      </c>
      <c r="N56" s="55">
        <f t="shared" si="29"/>
        <v>4.8777484089877849E-3</v>
      </c>
      <c r="O56" s="56">
        <f t="shared" si="30"/>
        <v>2.37361515896196E-7</v>
      </c>
      <c r="P56" s="56">
        <f t="shared" si="31"/>
        <v>1.5058624414062633E-5</v>
      </c>
      <c r="Q56" s="56">
        <f t="shared" si="32"/>
        <v>5.016263100108767E-4</v>
      </c>
      <c r="R56" s="9">
        <f t="shared" si="12"/>
        <v>1.4999999999999999E-4</v>
      </c>
      <c r="S56" s="9">
        <f t="shared" si="13"/>
        <v>2.1964213143738201E-6</v>
      </c>
      <c r="T56" s="9">
        <f t="shared" si="10"/>
        <v>3.5385355740324142E-5</v>
      </c>
      <c r="U56" s="9">
        <f t="shared" si="11"/>
        <v>1.4780357868562617E-4</v>
      </c>
      <c r="V56" s="100">
        <f t="shared" si="14"/>
        <v>0.23940797682299525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1.2272811321709634</v>
      </c>
      <c r="K57" s="55">
        <f t="shared" si="26"/>
        <v>0.53969280882844928</v>
      </c>
      <c r="L57" s="55">
        <f t="shared" si="27"/>
        <v>8.9113777248844457E-3</v>
      </c>
      <c r="M57" s="55">
        <f t="shared" si="28"/>
        <v>0.99108862227511552</v>
      </c>
      <c r="N57" s="55">
        <f t="shared" si="29"/>
        <v>2.1552801060072263E-3</v>
      </c>
      <c r="O57" s="56">
        <f t="shared" si="30"/>
        <v>5.4303101046324176E-7</v>
      </c>
      <c r="P57" s="56">
        <f t="shared" si="31"/>
        <v>9.1644364375376743E-6</v>
      </c>
      <c r="Q57" s="56">
        <f t="shared" si="32"/>
        <v>2.2164841561408288E-4</v>
      </c>
      <c r="R57" s="9">
        <f t="shared" si="12"/>
        <v>1.4999999999999999E-4</v>
      </c>
      <c r="S57" s="9">
        <f t="shared" si="13"/>
        <v>1.3367066587326668E-6</v>
      </c>
      <c r="T57" s="9">
        <f t="shared" si="10"/>
        <v>8.0953921324267389E-5</v>
      </c>
      <c r="U57" s="9">
        <f t="shared" si="11"/>
        <v>1.4866329334126732E-4</v>
      </c>
      <c r="V57" s="100">
        <f t="shared" si="14"/>
        <v>0.54454545910288576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1.0772847763604276</v>
      </c>
      <c r="K58" s="55">
        <f t="shared" si="26"/>
        <v>0.62463105325599499</v>
      </c>
      <c r="L58" s="55">
        <f t="shared" si="27"/>
        <v>7.3017243963695144E-3</v>
      </c>
      <c r="M58" s="55">
        <f t="shared" si="28"/>
        <v>0.99269827560363044</v>
      </c>
      <c r="N58" s="55">
        <f t="shared" si="29"/>
        <v>1.3721533811799894E-3</v>
      </c>
      <c r="O58" s="56">
        <f t="shared" si="30"/>
        <v>6.2849462966281736E-7</v>
      </c>
      <c r="P58" s="56">
        <f t="shared" si="31"/>
        <v>7.5090733645020315E-6</v>
      </c>
      <c r="Q58" s="56">
        <f t="shared" si="32"/>
        <v>1.411118777881169E-4</v>
      </c>
      <c r="R58" s="9">
        <f t="shared" si="12"/>
        <v>1.4999999999999999E-4</v>
      </c>
      <c r="S58" s="9">
        <f t="shared" si="13"/>
        <v>1.0952586594554272E-6</v>
      </c>
      <c r="T58" s="9">
        <f t="shared" si="10"/>
        <v>9.3694657988399241E-5</v>
      </c>
      <c r="U58" s="9">
        <f t="shared" si="11"/>
        <v>1.4890474134054456E-4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0.61123091181973244</v>
      </c>
      <c r="K59" s="55">
        <f t="shared" si="26"/>
        <v>0.85292092535084474</v>
      </c>
      <c r="L59" s="55">
        <f t="shared" si="27"/>
        <v>3.4092336796089791E-3</v>
      </c>
      <c r="M59" s="55">
        <f t="shared" si="28"/>
        <v>0.99659076632039101</v>
      </c>
      <c r="N59" s="55">
        <f t="shared" si="29"/>
        <v>5.937968075312662E-4</v>
      </c>
      <c r="O59" s="56">
        <f t="shared" si="30"/>
        <v>8.5819655989846003E-7</v>
      </c>
      <c r="P59" s="56">
        <f t="shared" si="31"/>
        <v>3.5060465757436285E-6</v>
      </c>
      <c r="Q59" s="56">
        <f t="shared" si="32"/>
        <v>6.1065901002458554E-5</v>
      </c>
      <c r="R59" s="9">
        <f t="shared" si="12"/>
        <v>1.4999999999999999E-4</v>
      </c>
      <c r="S59" s="9">
        <f t="shared" si="13"/>
        <v>5.1138505194134686E-7</v>
      </c>
      <c r="T59" s="9">
        <f t="shared" si="10"/>
        <v>1.2793813880262669E-4</v>
      </c>
      <c r="U59" s="9">
        <f t="shared" si="11"/>
        <v>1.4948861494805865E-4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1.8442960268411308</v>
      </c>
      <c r="K60" s="55">
        <f t="shared" si="26"/>
        <v>0.21998667491628024</v>
      </c>
      <c r="L60" s="55">
        <f t="shared" si="27"/>
        <v>1.5038672135627993E-2</v>
      </c>
      <c r="M60" s="55">
        <f t="shared" si="28"/>
        <v>0.98496132786437196</v>
      </c>
      <c r="N60" s="55">
        <f t="shared" si="29"/>
        <v>5.3126774209258688E-3</v>
      </c>
      <c r="O60" s="56">
        <f t="shared" si="30"/>
        <v>2.2134737468071142E-7</v>
      </c>
      <c r="P60" s="56">
        <f t="shared" si="31"/>
        <v>1.5465729222438359E-5</v>
      </c>
      <c r="Q60" s="56">
        <f t="shared" si="32"/>
        <v>5.463542904399557E-4</v>
      </c>
      <c r="R60" s="9">
        <f t="shared" si="12"/>
        <v>1.4999999999999999E-4</v>
      </c>
      <c r="S60" s="9">
        <f t="shared" si="13"/>
        <v>2.2558008203441987E-6</v>
      </c>
      <c r="T60" s="9">
        <f t="shared" si="10"/>
        <v>3.2998001237442032E-5</v>
      </c>
      <c r="U60" s="9">
        <f t="shared" si="11"/>
        <v>1.4774419917965579E-4</v>
      </c>
      <c r="V60" s="100">
        <f t="shared" si="14"/>
        <v>0.22334549458227274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2.7251612045897451</v>
      </c>
      <c r="K61" s="55">
        <f t="shared" si="26"/>
        <v>3.7788429318660714E-2</v>
      </c>
      <c r="L61" s="55">
        <f t="shared" si="27"/>
        <v>1.9635281608975992E-2</v>
      </c>
      <c r="M61" s="55">
        <f t="shared" si="28"/>
        <v>0.98036471839102401</v>
      </c>
      <c r="N61" s="55">
        <f t="shared" si="29"/>
        <v>1.0490010242598179E-2</v>
      </c>
      <c r="O61" s="56">
        <f t="shared" si="30"/>
        <v>3.8022164870560373E-8</v>
      </c>
      <c r="P61" s="56">
        <f t="shared" si="31"/>
        <v>2.0192869811378843E-5</v>
      </c>
      <c r="Q61" s="56">
        <f t="shared" si="32"/>
        <v>1.0787897793733878E-3</v>
      </c>
      <c r="R61" s="9">
        <f t="shared" si="12"/>
        <v>1.4999999999999999E-4</v>
      </c>
      <c r="S61" s="9">
        <f t="shared" si="13"/>
        <v>2.9452922413463985E-6</v>
      </c>
      <c r="T61" s="9">
        <f t="shared" si="10"/>
        <v>5.6682643977991069E-6</v>
      </c>
      <c r="U61" s="9">
        <f t="shared" si="11"/>
        <v>1.4705470775865358E-4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3.6107629570381072</v>
      </c>
      <c r="K62" s="55">
        <f t="shared" si="26"/>
        <v>5.419604303444573E-3</v>
      </c>
      <c r="L62" s="55">
        <f t="shared" si="27"/>
        <v>2.1639520086730826E-2</v>
      </c>
      <c r="M62" s="55">
        <f t="shared" si="28"/>
        <v>0.97836047991326913</v>
      </c>
      <c r="N62" s="55">
        <f t="shared" si="29"/>
        <v>1.5041274960884391E-2</v>
      </c>
      <c r="O62" s="56">
        <f t="shared" si="30"/>
        <v>5.4531265806543812E-9</v>
      </c>
      <c r="P62" s="56">
        <f t="shared" si="31"/>
        <v>2.2254023170837594E-5</v>
      </c>
      <c r="Q62" s="56">
        <f t="shared" si="32"/>
        <v>1.5468405960801009E-3</v>
      </c>
      <c r="R62" s="9">
        <f t="shared" si="12"/>
        <v>1.4999999999999999E-4</v>
      </c>
      <c r="S62" s="9">
        <f t="shared" si="13"/>
        <v>3.2459280130096236E-6</v>
      </c>
      <c r="T62" s="9">
        <f t="shared" si="10"/>
        <v>8.129406455166859E-7</v>
      </c>
      <c r="U62" s="9">
        <f t="shared" si="11"/>
        <v>1.4675407198699037E-4</v>
      </c>
      <c r="V62" s="100">
        <f t="shared" si="14"/>
        <v>5.539475903528949E-3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4.7120050175112098</v>
      </c>
      <c r="K63" s="55">
        <f t="shared" si="26"/>
        <v>4.587642375289271E-4</v>
      </c>
      <c r="L63" s="55">
        <f t="shared" si="27"/>
        <v>2.3126593246386062E-2</v>
      </c>
      <c r="M63" s="55">
        <f t="shared" si="28"/>
        <v>0.97687340675361389</v>
      </c>
      <c r="N63" s="55">
        <f t="shared" si="29"/>
        <v>1.9346687960702266E-2</v>
      </c>
      <c r="O63" s="56">
        <f t="shared" si="30"/>
        <v>4.6160186571787368E-10</v>
      </c>
      <c r="P63" s="56">
        <f t="shared" si="31"/>
        <v>2.3783325134054001E-5</v>
      </c>
      <c r="Q63" s="56">
        <f t="shared" si="32"/>
        <v>1.9896080894161658E-3</v>
      </c>
      <c r="R63" s="9">
        <f t="shared" si="12"/>
        <v>1.4999999999999999E-4</v>
      </c>
      <c r="S63" s="9">
        <f t="shared" si="13"/>
        <v>3.4689889869579089E-6</v>
      </c>
      <c r="T63" s="9">
        <f t="shared" si="10"/>
        <v>6.8814635629339058E-8</v>
      </c>
      <c r="U63" s="9">
        <f t="shared" si="11"/>
        <v>1.4653101101304208E-4</v>
      </c>
      <c r="V63" s="100">
        <f t="shared" si="14"/>
        <v>4.6962506539461587E-4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4.0002259467739458</v>
      </c>
      <c r="K64" s="55">
        <f t="shared" si="26"/>
        <v>2.2728810079602857E-3</v>
      </c>
      <c r="L64" s="55">
        <f t="shared" si="27"/>
        <v>2.2249473341242998E-2</v>
      </c>
      <c r="M64" s="55">
        <f t="shared" si="28"/>
        <v>0.97775052665875695</v>
      </c>
      <c r="N64" s="55">
        <f t="shared" si="29"/>
        <v>1.6753045622562704E-2</v>
      </c>
      <c r="O64" s="56">
        <f t="shared" si="30"/>
        <v>2.2869396260710809E-9</v>
      </c>
      <c r="P64" s="56">
        <f t="shared" si="31"/>
        <v>2.288129742667311E-5</v>
      </c>
      <c r="Q64" s="56">
        <f t="shared" si="32"/>
        <v>1.7228786219488353E-3</v>
      </c>
      <c r="R64" s="9">
        <f t="shared" si="12"/>
        <v>1.4999999999999999E-4</v>
      </c>
      <c r="S64" s="9">
        <f t="shared" si="13"/>
        <v>3.3374210011864496E-6</v>
      </c>
      <c r="T64" s="9">
        <f t="shared" si="10"/>
        <v>3.409321511940428E-7</v>
      </c>
      <c r="U64" s="9">
        <f t="shared" si="11"/>
        <v>1.4666257899881353E-4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3.7212825462629815</v>
      </c>
      <c r="K65" s="55">
        <f t="shared" si="26"/>
        <v>4.2376946142934349E-3</v>
      </c>
      <c r="L65" s="55">
        <f t="shared" si="27"/>
        <v>2.1823745661382284E-2</v>
      </c>
      <c r="M65" s="55">
        <f t="shared" si="28"/>
        <v>0.97817625433861777</v>
      </c>
      <c r="N65" s="55">
        <f t="shared" si="29"/>
        <v>1.5547004630744267E-2</v>
      </c>
      <c r="O65" s="56">
        <f t="shared" si="30"/>
        <v>4.2639063385517104E-9</v>
      </c>
      <c r="P65" s="56">
        <f t="shared" si="31"/>
        <v>2.2443480247081562E-5</v>
      </c>
      <c r="Q65" s="56">
        <f t="shared" si="32"/>
        <v>1.5988496967724167E-3</v>
      </c>
      <c r="R65" s="9">
        <f t="shared" si="12"/>
        <v>1.4999999999999999E-4</v>
      </c>
      <c r="S65" s="9">
        <f t="shared" si="13"/>
        <v>3.2735618492073425E-6</v>
      </c>
      <c r="T65" s="9">
        <f t="shared" si="10"/>
        <v>6.3565419214401515E-7</v>
      </c>
      <c r="U65" s="9">
        <f t="shared" si="11"/>
        <v>1.4672643815079266E-4</v>
      </c>
      <c r="V65" s="100">
        <f t="shared" si="14"/>
        <v>4.3322403252966935E-3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4.0002259467739458</v>
      </c>
      <c r="K66" s="55">
        <f t="shared" si="26"/>
        <v>2.2728810079602857E-3</v>
      </c>
      <c r="L66" s="55">
        <f t="shared" si="27"/>
        <v>2.2249473341242998E-2</v>
      </c>
      <c r="M66" s="55">
        <f t="shared" si="28"/>
        <v>0.97775052665875695</v>
      </c>
      <c r="N66" s="55">
        <f t="shared" si="29"/>
        <v>1.6753045622562704E-2</v>
      </c>
      <c r="O66" s="56">
        <f t="shared" si="30"/>
        <v>2.2869396260710809E-9</v>
      </c>
      <c r="P66" s="56">
        <f t="shared" si="31"/>
        <v>2.288129742667311E-5</v>
      </c>
      <c r="Q66" s="56">
        <f t="shared" si="32"/>
        <v>1.7228786219488353E-3</v>
      </c>
      <c r="R66" s="9">
        <f t="shared" si="12"/>
        <v>1.4999999999999999E-4</v>
      </c>
      <c r="S66" s="9">
        <f t="shared" si="13"/>
        <v>3.3374210011864496E-6</v>
      </c>
      <c r="T66" s="9">
        <f t="shared" si="10"/>
        <v>3.409321511940428E-7</v>
      </c>
      <c r="U66" s="9">
        <f t="shared" si="11"/>
        <v>1.4666257899881353E-4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-3.553871287659581E-2</v>
      </c>
      <c r="K67" s="55">
        <f t="shared" si="26"/>
        <v>0.99820716432713519</v>
      </c>
      <c r="L67" s="55">
        <f t="shared" si="27"/>
        <v>8.9990996018937132E-4</v>
      </c>
      <c r="M67" s="55">
        <f t="shared" si="28"/>
        <v>0.9991000900398106</v>
      </c>
      <c r="N67" s="55">
        <f t="shared" si="29"/>
        <v>2.9054806474511994E-7</v>
      </c>
      <c r="O67" s="56">
        <f t="shared" si="30"/>
        <v>1.0043814485371691E-6</v>
      </c>
      <c r="P67" s="56">
        <f t="shared" si="31"/>
        <v>9.2546493755200898E-7</v>
      </c>
      <c r="Q67" s="56">
        <f t="shared" si="32"/>
        <v>2.9879883376178614E-8</v>
      </c>
      <c r="R67" s="9">
        <f t="shared" si="12"/>
        <v>1.4999999999999999E-4</v>
      </c>
      <c r="S67" s="9">
        <f t="shared" si="13"/>
        <v>1.3498649402840568E-7</v>
      </c>
      <c r="T67" s="9">
        <f t="shared" si="10"/>
        <v>1.4973107464907027E-4</v>
      </c>
      <c r="U67" s="9">
        <f t="shared" si="11"/>
        <v>1.4986501350597157E-4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4.0594690780898786</v>
      </c>
      <c r="K68" s="55">
        <f t="shared" si="26"/>
        <v>1.858240012890593E-3</v>
      </c>
      <c r="L68" s="55">
        <f t="shared" si="27"/>
        <v>2.0849131780606409E-2</v>
      </c>
      <c r="M68" s="55">
        <f t="shared" si="28"/>
        <v>0.97915086821939357</v>
      </c>
      <c r="N68" s="55">
        <f t="shared" si="29"/>
        <v>1.2450904335174007E-2</v>
      </c>
      <c r="O68" s="56">
        <f t="shared" si="30"/>
        <v>1.8697339215501026E-9</v>
      </c>
      <c r="P68" s="56">
        <f t="shared" si="31"/>
        <v>2.1441190002266657E-5</v>
      </c>
      <c r="Q68" s="56">
        <f t="shared" si="32"/>
        <v>1.2804475906226277E-3</v>
      </c>
      <c r="R68" s="9">
        <f t="shared" si="12"/>
        <v>1.4999999999999999E-4</v>
      </c>
      <c r="S68" s="9">
        <f t="shared" si="13"/>
        <v>3.1273697670909612E-6</v>
      </c>
      <c r="T68" s="9">
        <f t="shared" si="10"/>
        <v>2.7873600193358893E-7</v>
      </c>
      <c r="U68" s="9">
        <f t="shared" si="11"/>
        <v>1.4687263023290903E-4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1.4575688941116358</v>
      </c>
      <c r="K69" s="55">
        <f t="shared" si="26"/>
        <v>0.40529256904145755</v>
      </c>
      <c r="L69" s="55">
        <f t="shared" si="27"/>
        <v>1.137246539892605E-2</v>
      </c>
      <c r="M69" s="55">
        <f t="shared" si="28"/>
        <v>0.988627534601074</v>
      </c>
      <c r="N69" s="55">
        <f t="shared" si="29"/>
        <v>3.1317400953989045E-3</v>
      </c>
      <c r="O69" s="56">
        <f t="shared" si="30"/>
        <v>4.0779945498548262E-7</v>
      </c>
      <c r="P69" s="56">
        <f t="shared" si="31"/>
        <v>1.16954122588161E-5</v>
      </c>
      <c r="Q69" s="56">
        <f t="shared" si="32"/>
        <v>3.2206729339983827E-4</v>
      </c>
      <c r="R69" s="9">
        <f t="shared" si="12"/>
        <v>1.4999999999999999E-4</v>
      </c>
      <c r="S69" s="9">
        <f t="shared" si="13"/>
        <v>1.7058698098389075E-6</v>
      </c>
      <c r="T69" s="9">
        <f t="shared" si="10"/>
        <v>6.0793885356218628E-5</v>
      </c>
      <c r="U69" s="9">
        <f t="shared" si="11"/>
        <v>1.4829413019016107E-4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2.588750951841865</v>
      </c>
      <c r="K70" s="55">
        <f t="shared" si="26"/>
        <v>5.0593293304904162E-2</v>
      </c>
      <c r="L70" s="55">
        <f t="shared" si="27"/>
        <v>1.9202642248100713E-2</v>
      </c>
      <c r="M70" s="55">
        <f t="shared" si="28"/>
        <v>0.98079735775189925</v>
      </c>
      <c r="N70" s="55">
        <f t="shared" si="29"/>
        <v>9.7910448306095053E-3</v>
      </c>
      <c r="O70" s="56">
        <f t="shared" si="30"/>
        <v>5.0906231724051509E-8</v>
      </c>
      <c r="P70" s="56">
        <f t="shared" si="31"/>
        <v>1.9747944677968018E-5</v>
      </c>
      <c r="Q70" s="56">
        <f t="shared" si="32"/>
        <v>1.0069083679018456E-3</v>
      </c>
      <c r="R70" s="9">
        <f t="shared" si="12"/>
        <v>1.4999999999999999E-4</v>
      </c>
      <c r="S70" s="9">
        <f t="shared" si="13"/>
        <v>2.8803963372151067E-6</v>
      </c>
      <c r="T70" s="9">
        <f t="shared" si="10"/>
        <v>7.5889939957356236E-6</v>
      </c>
      <c r="U70" s="9">
        <f t="shared" si="11"/>
        <v>1.4711960366278488E-4</v>
      </c>
      <c r="V70" s="100">
        <f t="shared" si="14"/>
        <v>5.158383931709383E-2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5.2541395657856595</v>
      </c>
      <c r="K71" s="55">
        <f t="shared" ref="K71:K122" si="35">IF(D71=0,"",1/(1+10^D71*$J$15/$J$14+10^E71*$J$16/$J$14+10^J71*$J$19/$J$14))</f>
        <v>1.1955892536494187E-4</v>
      </c>
      <c r="L71" s="55">
        <f t="shared" ref="L71:L122" si="36">IF(D71=0,"",1/(1+10^I71/10^J71*$J$13/$J$19))</f>
        <v>2.100093629432789E-2</v>
      </c>
      <c r="M71" s="55">
        <f t="shared" si="19"/>
        <v>0.97899906370567213</v>
      </c>
      <c r="N71" s="55">
        <f t="shared" ref="N71:N122" si="37">IF(D71=0,"",1/(1/10^E71*$J$20/$J$22+10^D71/10^E71*$J$21/$J$22+10^I71/10^E71*$J$13/$J$22+1))</f>
        <v>1.283036737256292E-2</v>
      </c>
      <c r="O71" s="56">
        <f t="shared" si="21"/>
        <v>1.2029844198176259E-10</v>
      </c>
      <c r="P71" s="56">
        <f t="shared" ref="P71:P122" si="38">IF(D71=0,"",O71*10^J71)</f>
        <v>2.1597305348275039E-5</v>
      </c>
      <c r="Q71" s="56">
        <f t="shared" ref="Q71:Q122" si="39">IF(D71=0,"",F71*N71*$J$7/$J$22)</f>
        <v>1.3194714654252275E-3</v>
      </c>
      <c r="R71" s="9">
        <f t="shared" si="12"/>
        <v>1.4999999999999999E-4</v>
      </c>
      <c r="S71" s="9">
        <f t="shared" si="13"/>
        <v>3.1501404441491831E-6</v>
      </c>
      <c r="T71" s="9">
        <f t="shared" si="10"/>
        <v>1.7933838804741279E-8</v>
      </c>
      <c r="U71" s="9">
        <f t="shared" si="11"/>
        <v>1.4684985955585082E-4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4.7956325345638788</v>
      </c>
      <c r="K72" s="55">
        <f t="shared" si="35"/>
        <v>3.3430258878240079E-4</v>
      </c>
      <c r="L72" s="55">
        <f t="shared" si="36"/>
        <v>2.0430987740413124E-2</v>
      </c>
      <c r="M72" s="55">
        <f t="shared" si="19"/>
        <v>0.97956901225958692</v>
      </c>
      <c r="N72" s="55">
        <f t="shared" si="37"/>
        <v>1.1098053872145965E-2</v>
      </c>
      <c r="O72" s="56">
        <f t="shared" si="21"/>
        <v>3.36370375178909E-10</v>
      </c>
      <c r="P72" s="56">
        <f t="shared" si="38"/>
        <v>2.1011171816931989E-5</v>
      </c>
      <c r="Q72" s="56">
        <f t="shared" si="39"/>
        <v>1.141320819648786E-3</v>
      </c>
      <c r="R72" s="9">
        <f t="shared" si="12"/>
        <v>1.4999999999999999E-4</v>
      </c>
      <c r="S72" s="9">
        <f t="shared" si="13"/>
        <v>3.0646481610619685E-6</v>
      </c>
      <c r="T72" s="9">
        <f t="shared" si="10"/>
        <v>5.0145388317360112E-8</v>
      </c>
      <c r="U72" s="9">
        <f t="shared" si="11"/>
        <v>1.4693535183893803E-4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4.7972521440478495</v>
      </c>
      <c r="K73" s="55">
        <f t="shared" si="35"/>
        <v>3.3933285196426332E-4</v>
      </c>
      <c r="L73" s="55">
        <f t="shared" si="36"/>
        <v>2.0815897474703287E-2</v>
      </c>
      <c r="M73" s="55">
        <f t="shared" si="19"/>
        <v>0.97918410252529675</v>
      </c>
      <c r="N73" s="55">
        <f t="shared" si="37"/>
        <v>1.2275268381243603E-2</v>
      </c>
      <c r="O73" s="56">
        <f t="shared" si="21"/>
        <v>3.4143175241769876E-10</v>
      </c>
      <c r="P73" s="56">
        <f t="shared" si="38"/>
        <v>2.1407011933128778E-5</v>
      </c>
      <c r="Q73" s="56">
        <f t="shared" si="39"/>
        <v>1.2623852372398642E-3</v>
      </c>
      <c r="R73" s="9">
        <f t="shared" si="12"/>
        <v>1.4999999999999999E-4</v>
      </c>
      <c r="S73" s="9">
        <f t="shared" si="13"/>
        <v>3.1223846212054927E-6</v>
      </c>
      <c r="T73" s="9">
        <f t="shared" si="10"/>
        <v>5.0899927794639492E-8</v>
      </c>
      <c r="U73" s="9">
        <f t="shared" si="11"/>
        <v>1.4687761537879451E-4</v>
      </c>
      <c r="V73" s="100">
        <f t="shared" si="14"/>
        <v>3.4654652898176197E-4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1.798585736505889</v>
      </c>
      <c r="K74" s="55">
        <f t="shared" si="35"/>
        <v>0.23415435164104487</v>
      </c>
      <c r="L74" s="55">
        <f t="shared" si="36"/>
        <v>1.4408045084401456E-2</v>
      </c>
      <c r="M74" s="55">
        <f t="shared" si="19"/>
        <v>0.98559195491559859</v>
      </c>
      <c r="N74" s="55">
        <f t="shared" si="37"/>
        <v>4.0747157901871679E-3</v>
      </c>
      <c r="O74" s="56">
        <f t="shared" si="21"/>
        <v>2.3560268377861533E-7</v>
      </c>
      <c r="P74" s="56">
        <f t="shared" si="38"/>
        <v>1.4817194090702337E-5</v>
      </c>
      <c r="Q74" s="56">
        <f t="shared" si="39"/>
        <v>4.1904265550235786E-4</v>
      </c>
      <c r="R74" s="9">
        <f t="shared" si="12"/>
        <v>1.4999999999999999E-4</v>
      </c>
      <c r="S74" s="9">
        <f t="shared" si="13"/>
        <v>2.1612067626602181E-6</v>
      </c>
      <c r="T74" s="9">
        <f t="shared" si="10"/>
        <v>3.5123152746156729E-5</v>
      </c>
      <c r="U74" s="9">
        <f t="shared" si="11"/>
        <v>1.4783879323733976E-4</v>
      </c>
      <c r="V74" s="100">
        <f t="shared" si="14"/>
        <v>0.23757737720281688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3.3735221225182275</v>
      </c>
      <c r="K75" s="55">
        <f t="shared" si="35"/>
        <v>9.1720300622293739E-3</v>
      </c>
      <c r="L75" s="55">
        <f t="shared" si="36"/>
        <v>2.120824251804616E-2</v>
      </c>
      <c r="M75" s="55">
        <f t="shared" si="19"/>
        <v>0.97879175748195379</v>
      </c>
      <c r="N75" s="55">
        <f t="shared" si="37"/>
        <v>1.3905369734908139E-2</v>
      </c>
      <c r="O75" s="56">
        <f t="shared" si="21"/>
        <v>9.2287624945450183E-9</v>
      </c>
      <c r="P75" s="56">
        <f t="shared" si="38"/>
        <v>2.1810498500784671E-5</v>
      </c>
      <c r="Q75" s="56">
        <f t="shared" si="39"/>
        <v>1.4300244138476146E-3</v>
      </c>
      <c r="R75" s="9">
        <f t="shared" si="12"/>
        <v>1.4999999999999999E-4</v>
      </c>
      <c r="S75" s="9">
        <f t="shared" si="13"/>
        <v>3.1812363777069238E-6</v>
      </c>
      <c r="T75" s="9">
        <f t="shared" si="10"/>
        <v>1.375804509334406E-6</v>
      </c>
      <c r="U75" s="9">
        <f t="shared" si="11"/>
        <v>1.4681876362229306E-4</v>
      </c>
      <c r="V75" s="100">
        <f t="shared" si="14"/>
        <v>9.3707675735085882E-3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3.3743997874095357</v>
      </c>
      <c r="K76" s="55">
        <f t="shared" si="35"/>
        <v>8.7541179657606664E-3</v>
      </c>
      <c r="L76" s="55">
        <f t="shared" si="36"/>
        <v>2.0282863641397957E-2</v>
      </c>
      <c r="M76" s="55">
        <f t="shared" si="19"/>
        <v>0.97971713635860203</v>
      </c>
      <c r="N76" s="55">
        <f t="shared" si="37"/>
        <v>1.1055400584804267E-2</v>
      </c>
      <c r="O76" s="56">
        <f t="shared" si="21"/>
        <v>8.8082654556408916E-9</v>
      </c>
      <c r="P76" s="56">
        <f t="shared" si="38"/>
        <v>2.0858841399324257E-5</v>
      </c>
      <c r="Q76" s="56">
        <f t="shared" si="39"/>
        <v>1.1369343672643984E-3</v>
      </c>
      <c r="R76" s="9">
        <f t="shared" si="12"/>
        <v>1.4999999999999999E-4</v>
      </c>
      <c r="S76" s="9">
        <f t="shared" si="13"/>
        <v>3.0424295462096933E-6</v>
      </c>
      <c r="T76" s="9">
        <f t="shared" si="10"/>
        <v>1.3131176948640998E-6</v>
      </c>
      <c r="U76" s="9">
        <f t="shared" si="11"/>
        <v>1.4695757045379029E-4</v>
      </c>
      <c r="V76" s="100">
        <f t="shared" si="14"/>
        <v>8.9353525021495916E-3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1.9813184321206099</v>
      </c>
      <c r="K77" s="55">
        <f t="shared" si="35"/>
        <v>0.17235377689193027</v>
      </c>
      <c r="L77" s="55">
        <f t="shared" si="36"/>
        <v>1.6153116519909666E-2</v>
      </c>
      <c r="M77" s="55">
        <f t="shared" si="19"/>
        <v>0.98384688348009031</v>
      </c>
      <c r="N77" s="55">
        <f t="shared" si="37"/>
        <v>6.3993651774124794E-3</v>
      </c>
      <c r="O77" s="56">
        <f t="shared" si="21"/>
        <v>1.7341984938793453E-7</v>
      </c>
      <c r="P77" s="56">
        <f t="shared" si="38"/>
        <v>1.661182077396135E-5</v>
      </c>
      <c r="Q77" s="56">
        <f t="shared" si="39"/>
        <v>6.5810896159436579E-4</v>
      </c>
      <c r="R77" s="9">
        <f t="shared" si="12"/>
        <v>1.4999999999999999E-4</v>
      </c>
      <c r="S77" s="9">
        <f t="shared" si="13"/>
        <v>2.4229674779864495E-6</v>
      </c>
      <c r="T77" s="9">
        <f t="shared" si="10"/>
        <v>2.5853066533789537E-5</v>
      </c>
      <c r="U77" s="9">
        <f t="shared" si="11"/>
        <v>1.4757703252201354E-4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2.2611102115309216</v>
      </c>
      <c r="K78" s="55">
        <f t="shared" si="35"/>
        <v>0.10170605970399428</v>
      </c>
      <c r="L78" s="55">
        <f t="shared" si="36"/>
        <v>1.8154075181571829E-2</v>
      </c>
      <c r="M78" s="55">
        <f t="shared" si="19"/>
        <v>0.98184592481842814</v>
      </c>
      <c r="N78" s="55">
        <f t="shared" si="37"/>
        <v>9.0753611817350113E-3</v>
      </c>
      <c r="O78" s="56">
        <f t="shared" si="21"/>
        <v>1.0233514967743527E-7</v>
      </c>
      <c r="P78" s="56">
        <f t="shared" si="38"/>
        <v>1.8669601179536197E-5</v>
      </c>
      <c r="Q78" s="56">
        <f t="shared" si="39"/>
        <v>9.3330765752930474E-4</v>
      </c>
      <c r="R78" s="9">
        <f t="shared" si="12"/>
        <v>1.4999999999999999E-4</v>
      </c>
      <c r="S78" s="9">
        <f t="shared" si="13"/>
        <v>2.7231112772357741E-6</v>
      </c>
      <c r="T78" s="9">
        <f t="shared" si="10"/>
        <v>1.5255908955599141E-5</v>
      </c>
      <c r="U78" s="9">
        <f t="shared" si="11"/>
        <v>1.4727688872276419E-4</v>
      </c>
      <c r="V78" s="100">
        <f t="shared" si="14"/>
        <v>0.10358657823303864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2.306689397381505</v>
      </c>
      <c r="K79" s="55">
        <f t="shared" si="35"/>
        <v>8.5748238533282284E-2</v>
      </c>
      <c r="L79" s="55">
        <f t="shared" si="36"/>
        <v>1.6999325654184133E-2</v>
      </c>
      <c r="M79" s="55">
        <f t="shared" si="19"/>
        <v>0.98300067434581584</v>
      </c>
      <c r="N79" s="55">
        <f t="shared" si="37"/>
        <v>4.7668040133497531E-3</v>
      </c>
      <c r="O79" s="56">
        <f t="shared" si="21"/>
        <v>8.6278623421444403E-8</v>
      </c>
      <c r="P79" s="56">
        <f t="shared" si="38"/>
        <v>1.7482059929268023E-5</v>
      </c>
      <c r="Q79" s="56">
        <f t="shared" si="39"/>
        <v>4.9021681875918623E-4</v>
      </c>
      <c r="R79" s="9">
        <f t="shared" si="12"/>
        <v>1.4999999999999999E-4</v>
      </c>
      <c r="S79" s="9">
        <f t="shared" si="13"/>
        <v>2.5498988481276199E-6</v>
      </c>
      <c r="T79" s="9">
        <f t="shared" si="10"/>
        <v>1.2862235779992342E-5</v>
      </c>
      <c r="U79" s="9">
        <f t="shared" si="11"/>
        <v>1.4745010115187237E-4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2.3937036559113518</v>
      </c>
      <c r="K80" s="55">
        <f t="shared" si="35"/>
        <v>7.0930865055911091E-2</v>
      </c>
      <c r="L80" s="55">
        <f t="shared" si="36"/>
        <v>1.7181299217591622E-2</v>
      </c>
      <c r="M80" s="55">
        <f t="shared" si="19"/>
        <v>0.98281870078240841</v>
      </c>
      <c r="N80" s="55">
        <f t="shared" si="37"/>
        <v>4.6012236710586182E-3</v>
      </c>
      <c r="O80" s="56">
        <f t="shared" si="21"/>
        <v>7.1369598953812906E-8</v>
      </c>
      <c r="P80" s="56">
        <f t="shared" si="38"/>
        <v>1.7669201043318576E-5</v>
      </c>
      <c r="Q80" s="56">
        <f t="shared" si="39"/>
        <v>4.7318858172244337E-4</v>
      </c>
      <c r="R80" s="9">
        <f t="shared" si="12"/>
        <v>1.4999999999999999E-4</v>
      </c>
      <c r="S80" s="9">
        <f t="shared" si="13"/>
        <v>2.5771948826387432E-6</v>
      </c>
      <c r="T80" s="9">
        <f t="shared" si="10"/>
        <v>1.0639629758386663E-5</v>
      </c>
      <c r="U80" s="9">
        <f t="shared" si="11"/>
        <v>1.4742280511736126E-4</v>
      </c>
      <c r="V80" s="100">
        <f t="shared" si="14"/>
        <v>7.2170854094904799E-2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3.8177678868718958</v>
      </c>
      <c r="K81" s="55">
        <f t="shared" si="35"/>
        <v>3.3254329984348362E-3</v>
      </c>
      <c r="L81" s="55">
        <f t="shared" si="36"/>
        <v>2.1386178029607714E-2</v>
      </c>
      <c r="M81" s="55">
        <f t="shared" si="19"/>
        <v>0.97861382197039226</v>
      </c>
      <c r="N81" s="55">
        <f t="shared" si="37"/>
        <v>1.4164566605813013E-2</v>
      </c>
      <c r="O81" s="56">
        <f t="shared" si="21"/>
        <v>3.3460020438068988E-9</v>
      </c>
      <c r="P81" s="56">
        <f t="shared" si="38"/>
        <v>2.1993486893380009E-5</v>
      </c>
      <c r="Q81" s="56">
        <f t="shared" si="39"/>
        <v>1.4566801490386305E-3</v>
      </c>
      <c r="R81" s="9">
        <f t="shared" si="12"/>
        <v>1.4999999999999999E-4</v>
      </c>
      <c r="S81" s="9">
        <f t="shared" si="13"/>
        <v>3.2079267044411569E-6</v>
      </c>
      <c r="T81" s="9">
        <f t="shared" si="10"/>
        <v>4.9881494976522535E-7</v>
      </c>
      <c r="U81" s="9">
        <f t="shared" si="11"/>
        <v>1.4679207329555883E-4</v>
      </c>
      <c r="V81" s="100">
        <f t="shared" si="14"/>
        <v>3.3981054873507056E-3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3.5592350116770111</v>
      </c>
      <c r="K82" s="55">
        <f t="shared" si="35"/>
        <v>5.773455619806263E-3</v>
      </c>
      <c r="L82" s="55">
        <f t="shared" si="36"/>
        <v>2.0473303869122241E-2</v>
      </c>
      <c r="M82" s="55">
        <f t="shared" si="19"/>
        <v>0.97952669613087773</v>
      </c>
      <c r="N82" s="55">
        <f t="shared" si="37"/>
        <v>1.1492484341442974E-2</v>
      </c>
      <c r="O82" s="56">
        <f t="shared" si="21"/>
        <v>5.8091665995954444E-9</v>
      </c>
      <c r="P82" s="56">
        <f t="shared" si="38"/>
        <v>2.1054689607761861E-5</v>
      </c>
      <c r="Q82" s="56">
        <f t="shared" si="39"/>
        <v>1.1818839410481484E-3</v>
      </c>
      <c r="R82" s="9">
        <f t="shared" si="12"/>
        <v>1.4999999999999999E-4</v>
      </c>
      <c r="S82" s="9">
        <f t="shared" si="13"/>
        <v>3.0709955803683361E-6</v>
      </c>
      <c r="T82" s="9">
        <f t="shared" si="10"/>
        <v>8.6601834297093935E-7</v>
      </c>
      <c r="U82" s="9">
        <f t="shared" si="11"/>
        <v>1.4692900441963164E-4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1.9227193878324027</v>
      </c>
      <c r="K83" s="55">
        <f t="shared" si="35"/>
        <v>0.1929731515870127</v>
      </c>
      <c r="L83" s="55">
        <f t="shared" si="36"/>
        <v>1.58027753560698E-2</v>
      </c>
      <c r="M83" s="55">
        <f t="shared" si="19"/>
        <v>0.98419722464393022</v>
      </c>
      <c r="N83" s="55">
        <f t="shared" si="37"/>
        <v>6.3328321688397703E-3</v>
      </c>
      <c r="O83" s="56">
        <f t="shared" si="21"/>
        <v>1.9416676261825324E-7</v>
      </c>
      <c r="P83" s="56">
        <f t="shared" si="38"/>
        <v>1.6251530880907232E-5</v>
      </c>
      <c r="Q83" s="56">
        <f t="shared" si="39"/>
        <v>6.5126672522096993E-4</v>
      </c>
      <c r="R83" s="9">
        <f t="shared" si="12"/>
        <v>1.4999999999999999E-4</v>
      </c>
      <c r="S83" s="9">
        <f t="shared" si="13"/>
        <v>2.3704163034104698E-6</v>
      </c>
      <c r="T83" s="9">
        <f t="shared" si="10"/>
        <v>2.8945972738051903E-5</v>
      </c>
      <c r="U83" s="9">
        <f t="shared" si="11"/>
        <v>1.4762958369658952E-4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3.6364038333307582</v>
      </c>
      <c r="K84" s="55">
        <f t="shared" si="35"/>
        <v>4.5915261668457814E-3</v>
      </c>
      <c r="L84" s="55">
        <f t="shared" si="36"/>
        <v>1.9448136138264446E-2</v>
      </c>
      <c r="M84" s="55">
        <f t="shared" si="19"/>
        <v>0.98055186386173554</v>
      </c>
      <c r="N84" s="55">
        <f t="shared" si="37"/>
        <v>8.3001540441578533E-3</v>
      </c>
      <c r="O84" s="56">
        <f t="shared" si="21"/>
        <v>4.6199264714368876E-9</v>
      </c>
      <c r="P84" s="56">
        <f t="shared" si="38"/>
        <v>2.0000409922026392E-5</v>
      </c>
      <c r="Q84" s="56">
        <f t="shared" si="39"/>
        <v>8.5358556788638702E-4</v>
      </c>
      <c r="R84" s="9">
        <f t="shared" si="12"/>
        <v>1.4999999999999999E-4</v>
      </c>
      <c r="S84" s="9">
        <f t="shared" si="13"/>
        <v>2.9172204207396666E-6</v>
      </c>
      <c r="T84" s="9">
        <f t="shared" si="10"/>
        <v>6.8872892502686711E-7</v>
      </c>
      <c r="U84" s="9">
        <f t="shared" si="11"/>
        <v>1.4708277957926032E-4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1.8444393952218296</v>
      </c>
      <c r="K85" s="55">
        <f t="shared" si="35"/>
        <v>0.22207994495183708</v>
      </c>
      <c r="L85" s="55">
        <f t="shared" si="36"/>
        <v>1.5186784321907294E-2</v>
      </c>
      <c r="M85" s="55">
        <f t="shared" si="19"/>
        <v>0.98481321567809266</v>
      </c>
      <c r="N85" s="55">
        <f t="shared" si="37"/>
        <v>5.8675720350117901E-3</v>
      </c>
      <c r="O85" s="56">
        <f t="shared" si="21"/>
        <v>2.234535923734178E-7</v>
      </c>
      <c r="P85" s="56">
        <f t="shared" si="38"/>
        <v>1.5618047389021183E-5</v>
      </c>
      <c r="Q85" s="56">
        <f t="shared" si="39"/>
        <v>6.0341950052663035E-4</v>
      </c>
      <c r="R85" s="9">
        <f t="shared" si="12"/>
        <v>1.4999999999999999E-4</v>
      </c>
      <c r="S85" s="9">
        <f t="shared" si="13"/>
        <v>2.278017648286094E-6</v>
      </c>
      <c r="T85" s="9">
        <f t="shared" si="10"/>
        <v>3.3311991742775562E-5</v>
      </c>
      <c r="U85" s="9">
        <f t="shared" si="11"/>
        <v>1.4772198235171388E-4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2.8994221028694125</v>
      </c>
      <c r="K86" s="55">
        <f t="shared" si="35"/>
        <v>2.2908307174129765E-2</v>
      </c>
      <c r="L86" s="55">
        <f t="shared" si="36"/>
        <v>1.7780017728355909E-2</v>
      </c>
      <c r="M86" s="55">
        <f t="shared" si="19"/>
        <v>0.98221998227164409</v>
      </c>
      <c r="N86" s="55">
        <f t="shared" si="37"/>
        <v>4.09194781802465E-3</v>
      </c>
      <c r="O86" s="56">
        <f t="shared" si="21"/>
        <v>2.3050003611821816E-8</v>
      </c>
      <c r="P86" s="56">
        <f t="shared" si="38"/>
        <v>1.8284921519463886E-5</v>
      </c>
      <c r="Q86" s="56">
        <f t="shared" si="39"/>
        <v>4.2081479252406096E-4</v>
      </c>
      <c r="R86" s="9">
        <f t="shared" si="12"/>
        <v>1.4999999999999999E-4</v>
      </c>
      <c r="S86" s="9">
        <f t="shared" si="13"/>
        <v>2.6670026592533862E-6</v>
      </c>
      <c r="T86" s="9">
        <f t="shared" si="10"/>
        <v>3.4362460761194643E-6</v>
      </c>
      <c r="U86" s="9">
        <f t="shared" si="11"/>
        <v>1.473329973407466E-4</v>
      </c>
      <c r="V86" s="100">
        <f t="shared" si="14"/>
        <v>2.3322990356140213E-2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1.6088897864595915</v>
      </c>
      <c r="K87" s="55">
        <f t="shared" si="35"/>
        <v>0.32495905316557805</v>
      </c>
      <c r="L87" s="55">
        <f t="shared" si="36"/>
        <v>1.2919196862099106E-2</v>
      </c>
      <c r="M87" s="55">
        <f t="shared" si="19"/>
        <v>0.98708080313790092</v>
      </c>
      <c r="N87" s="55">
        <f t="shared" si="37"/>
        <v>3.9468430976278765E-3</v>
      </c>
      <c r="O87" s="56">
        <f t="shared" si="21"/>
        <v>3.2696904630384639E-7</v>
      </c>
      <c r="P87" s="56">
        <f t="shared" si="38"/>
        <v>1.3286066657922825E-5</v>
      </c>
      <c r="Q87" s="56">
        <f t="shared" si="39"/>
        <v>4.0589226283317469E-4</v>
      </c>
      <c r="R87" s="9">
        <f t="shared" si="12"/>
        <v>1.4999999999999999E-4</v>
      </c>
      <c r="S87" s="9">
        <f t="shared" si="13"/>
        <v>1.9378795293148657E-6</v>
      </c>
      <c r="T87" s="9">
        <f t="shared" si="10"/>
        <v>4.8743857974836702E-5</v>
      </c>
      <c r="U87" s="9">
        <f t="shared" si="11"/>
        <v>1.4806212047068512E-4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0.91690756788413585</v>
      </c>
      <c r="K88" s="55">
        <f t="shared" si="35"/>
        <v>0.70148538853932296</v>
      </c>
      <c r="L88" s="55">
        <f t="shared" si="36"/>
        <v>5.6681754693723475E-3</v>
      </c>
      <c r="M88" s="55">
        <f t="shared" si="19"/>
        <v>0.99433182453062763</v>
      </c>
      <c r="N88" s="55">
        <f t="shared" si="37"/>
        <v>1.2204941955386521E-4</v>
      </c>
      <c r="O88" s="56">
        <f t="shared" si="21"/>
        <v>7.0582433772022519E-7</v>
      </c>
      <c r="P88" s="56">
        <f t="shared" si="38"/>
        <v>5.8291361234546615E-6</v>
      </c>
      <c r="Q88" s="56">
        <f t="shared" si="39"/>
        <v>1.2551528868722359E-5</v>
      </c>
      <c r="R88" s="9">
        <f t="shared" si="12"/>
        <v>1.4999999999999999E-4</v>
      </c>
      <c r="S88" s="9">
        <f t="shared" si="13"/>
        <v>8.5022632040585203E-7</v>
      </c>
      <c r="T88" s="9">
        <f t="shared" si="10"/>
        <v>1.0522280828089843E-4</v>
      </c>
      <c r="U88" s="9">
        <f t="shared" si="11"/>
        <v>1.4914977367959414E-4</v>
      </c>
      <c r="V88" s="100">
        <f t="shared" si="14"/>
        <v>0.70548419675741325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0.42189369931502119</v>
      </c>
      <c r="K89" s="55">
        <f t="shared" si="35"/>
        <v>0.91072020573561285</v>
      </c>
      <c r="L89" s="55">
        <f t="shared" si="36"/>
        <v>2.35394201401981E-3</v>
      </c>
      <c r="M89" s="55">
        <f t="shared" si="19"/>
        <v>0.99764605798598016</v>
      </c>
      <c r="N89" s="55">
        <f t="shared" si="37"/>
        <v>1.8336880261907732E-4</v>
      </c>
      <c r="O89" s="56">
        <f t="shared" si="21"/>
        <v>9.1635335042439368E-7</v>
      </c>
      <c r="P89" s="56">
        <f t="shared" si="38"/>
        <v>2.4207875180617699E-6</v>
      </c>
      <c r="Q89" s="56">
        <f t="shared" si="39"/>
        <v>1.8857597423317796E-5</v>
      </c>
      <c r="R89" s="9">
        <f t="shared" si="12"/>
        <v>1.4999999999999999E-4</v>
      </c>
      <c r="S89" s="9">
        <f t="shared" si="13"/>
        <v>3.5309130210297147E-7</v>
      </c>
      <c r="T89" s="9">
        <f t="shared" si="10"/>
        <v>1.3660803086034193E-4</v>
      </c>
      <c r="U89" s="9">
        <f t="shared" si="11"/>
        <v>1.4964690869789701E-4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2.1672092685066032E-2</v>
      </c>
      <c r="K90" s="55">
        <f t="shared" si="35"/>
        <v>0.99085863816397202</v>
      </c>
      <c r="L90" s="55">
        <f t="shared" si="36"/>
        <v>1.0190626430750557E-3</v>
      </c>
      <c r="M90" s="55">
        <f t="shared" si="19"/>
        <v>0.99898093735692495</v>
      </c>
      <c r="N90" s="55">
        <f t="shared" si="37"/>
        <v>6.5569965717850069E-6</v>
      </c>
      <c r="O90" s="56">
        <f t="shared" si="21"/>
        <v>9.9698746899450965E-7</v>
      </c>
      <c r="P90" s="56">
        <f t="shared" si="38"/>
        <v>1.0480012301859402E-6</v>
      </c>
      <c r="Q90" s="56">
        <f t="shared" si="39"/>
        <v>6.7431973100495318E-7</v>
      </c>
      <c r="R90" s="9">
        <f t="shared" si="12"/>
        <v>1.4999999999999999E-4</v>
      </c>
      <c r="S90" s="9">
        <f t="shared" si="13"/>
        <v>1.5285939646125834E-7</v>
      </c>
      <c r="T90" s="9">
        <f t="shared" si="10"/>
        <v>1.4862879572459579E-4</v>
      </c>
      <c r="U90" s="9">
        <f t="shared" si="11"/>
        <v>1.4984714060353873E-4</v>
      </c>
      <c r="V90" s="100">
        <f t="shared" si="14"/>
        <v>0.99186941523184347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-5.0618200796578115E-3</v>
      </c>
      <c r="K91" s="55">
        <f t="shared" si="35"/>
        <v>0.99438895568585961</v>
      </c>
      <c r="L91" s="55">
        <f t="shared" si="36"/>
        <v>9.6163787692745176E-4</v>
      </c>
      <c r="M91" s="55">
        <f t="shared" si="19"/>
        <v>0.99903836212307251</v>
      </c>
      <c r="N91" s="55">
        <f t="shared" si="37"/>
        <v>2.9886906261619018E-6</v>
      </c>
      <c r="O91" s="56">
        <f t="shared" si="21"/>
        <v>1.000539622849085E-6</v>
      </c>
      <c r="P91" s="56">
        <f t="shared" si="38"/>
        <v>9.8894575800787078E-7</v>
      </c>
      <c r="Q91" s="56">
        <f t="shared" si="39"/>
        <v>3.0735612517514036E-7</v>
      </c>
      <c r="R91" s="9">
        <f t="shared" si="12"/>
        <v>1.4999999999999999E-4</v>
      </c>
      <c r="S91" s="9">
        <f t="shared" si="13"/>
        <v>1.4424568153911774E-7</v>
      </c>
      <c r="T91" s="9">
        <f t="shared" si="10"/>
        <v>1.4915834335287894E-4</v>
      </c>
      <c r="U91" s="9">
        <f t="shared" si="11"/>
        <v>1.4985575431846086E-4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0.49337026250812915</v>
      </c>
      <c r="K92" s="55">
        <f t="shared" si="35"/>
        <v>0.88965007724147482</v>
      </c>
      <c r="L92" s="55">
        <f t="shared" si="36"/>
        <v>2.7108567718336246E-3</v>
      </c>
      <c r="M92" s="55">
        <f t="shared" si="19"/>
        <v>0.99728914322816642</v>
      </c>
      <c r="N92" s="55">
        <f t="shared" si="37"/>
        <v>2.4803825215839671E-4</v>
      </c>
      <c r="O92" s="56">
        <f t="shared" si="21"/>
        <v>8.9515289531438479E-7</v>
      </c>
      <c r="P92" s="56">
        <f t="shared" si="38"/>
        <v>2.7878376771488453E-6</v>
      </c>
      <c r="Q92" s="56">
        <f t="shared" si="39"/>
        <v>2.5508185896283996E-5</v>
      </c>
      <c r="R92" s="9">
        <f t="shared" si="12"/>
        <v>1.4999999999999999E-4</v>
      </c>
      <c r="S92" s="9">
        <f t="shared" si="13"/>
        <v>4.0662851577504367E-7</v>
      </c>
      <c r="T92" s="9">
        <f t="shared" ref="T92:T143" si="40">R92*K92</f>
        <v>1.3344751158622122E-4</v>
      </c>
      <c r="U92" s="9">
        <f t="shared" ref="U92:U143" si="41">$R92*M92</f>
        <v>1.4959337148422495E-4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-3.9760371235624641E-3</v>
      </c>
      <c r="K93" s="55">
        <f t="shared" si="35"/>
        <v>0.99424898849831489</v>
      </c>
      <c r="L93" s="55">
        <f t="shared" si="36"/>
        <v>9.6390938694675447E-4</v>
      </c>
      <c r="M93" s="55">
        <f t="shared" ref="M93:M127" si="42">IF(D93=0,"",1-L93)</f>
        <v>0.99903609061305321</v>
      </c>
      <c r="N93" s="55">
        <f t="shared" si="37"/>
        <v>3.114199621134693E-6</v>
      </c>
      <c r="O93" s="56">
        <f t="shared" ref="O93:O127" si="43">IF(D93=0,"",F93*K93*$J$7/$J$14)</f>
        <v>1.0003987899121983E-6</v>
      </c>
      <c r="P93" s="56">
        <f t="shared" si="38"/>
        <v>9.9128177268840685E-7</v>
      </c>
      <c r="Q93" s="56">
        <f t="shared" si="39"/>
        <v>3.2026343583211612E-7</v>
      </c>
      <c r="R93" s="9">
        <f t="shared" ref="R93:R143" si="44">F93*$C$14</f>
        <v>1.4999999999999999E-4</v>
      </c>
      <c r="S93" s="9">
        <f t="shared" ref="S93:S143" si="45">$R93*L93</f>
        <v>1.4458640804201314E-7</v>
      </c>
      <c r="T93" s="9">
        <f t="shared" si="40"/>
        <v>1.4913734827474721E-4</v>
      </c>
      <c r="U93" s="9">
        <f t="shared" si="41"/>
        <v>1.4985541359195797E-4</v>
      </c>
      <c r="V93" s="100">
        <f t="shared" ref="V93:V143" si="46">K93/M93</f>
        <v>0.99520827910050702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-3.1727881413346266E-2</v>
      </c>
      <c r="K94" s="55">
        <f t="shared" si="35"/>
        <v>0.99774083103505218</v>
      </c>
      <c r="L94" s="55">
        <f t="shared" si="36"/>
        <v>9.0741708701455603E-4</v>
      </c>
      <c r="M94" s="55">
        <f t="shared" si="42"/>
        <v>0.99909258291298542</v>
      </c>
      <c r="N94" s="55">
        <f t="shared" si="37"/>
        <v>5.223755802788477E-7</v>
      </c>
      <c r="O94" s="56">
        <f t="shared" si="43"/>
        <v>1.0039122307994673E-6</v>
      </c>
      <c r="P94" s="56">
        <f t="shared" si="38"/>
        <v>9.331852462115583E-7</v>
      </c>
      <c r="Q94" s="56">
        <f t="shared" si="39"/>
        <v>5.3720961559279357E-8</v>
      </c>
      <c r="R94" s="9">
        <f t="shared" si="44"/>
        <v>1.4999999999999999E-4</v>
      </c>
      <c r="S94" s="9">
        <f t="shared" si="45"/>
        <v>1.361125630521834E-7</v>
      </c>
      <c r="T94" s="9">
        <f t="shared" si="40"/>
        <v>1.4966112465525781E-4</v>
      </c>
      <c r="U94" s="9">
        <f t="shared" si="41"/>
        <v>1.4986388743694779E-4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3.2443942098381373</v>
      </c>
      <c r="K95" s="55">
        <f t="shared" si="35"/>
        <v>1.2196924364446304E-2</v>
      </c>
      <c r="L95" s="55">
        <f t="shared" si="36"/>
        <v>2.0948919574015356E-2</v>
      </c>
      <c r="M95" s="55">
        <f t="shared" si="42"/>
        <v>0.97905108042598465</v>
      </c>
      <c r="N95" s="55">
        <f t="shared" si="37"/>
        <v>1.3259813084971905E-2</v>
      </c>
      <c r="O95" s="56">
        <f t="shared" si="43"/>
        <v>1.2272366898026139E-8</v>
      </c>
      <c r="P95" s="56">
        <f t="shared" si="38"/>
        <v>2.1543811495617194E-5</v>
      </c>
      <c r="Q95" s="56">
        <f t="shared" si="39"/>
        <v>1.3636355448330079E-3</v>
      </c>
      <c r="R95" s="9">
        <f t="shared" si="44"/>
        <v>1.4999999999999999E-4</v>
      </c>
      <c r="S95" s="9">
        <f t="shared" si="45"/>
        <v>3.1423379361023033E-6</v>
      </c>
      <c r="T95" s="9">
        <f t="shared" si="40"/>
        <v>1.8295386546669455E-6</v>
      </c>
      <c r="U95" s="9">
        <f t="shared" si="41"/>
        <v>1.4685766206389768E-4</v>
      </c>
      <c r="V95" s="100">
        <f t="shared" si="46"/>
        <v>1.2457903993261953E-2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-4.3015572183228164E-2</v>
      </c>
      <c r="K96" s="55">
        <f t="shared" si="35"/>
        <v>0.99911463906988263</v>
      </c>
      <c r="L96" s="55">
        <f t="shared" si="36"/>
        <v>8.8535376618424687E-4</v>
      </c>
      <c r="M96" s="55">
        <f t="shared" si="42"/>
        <v>0.99911464623381574</v>
      </c>
      <c r="N96" s="55">
        <f t="shared" si="37"/>
        <v>1.6677556139000109E-14</v>
      </c>
      <c r="O96" s="56">
        <f t="shared" si="43"/>
        <v>1.0052945363502043E-6</v>
      </c>
      <c r="P96" s="56">
        <f t="shared" si="38"/>
        <v>9.1049538751712272E-7</v>
      </c>
      <c r="Q96" s="56">
        <f t="shared" si="39"/>
        <v>1.7151153041413081E-15</v>
      </c>
      <c r="R96" s="9">
        <f t="shared" si="44"/>
        <v>1.4999999999999999E-4</v>
      </c>
      <c r="S96" s="9">
        <f t="shared" si="45"/>
        <v>1.3280306492763702E-7</v>
      </c>
      <c r="T96" s="9">
        <f t="shared" si="40"/>
        <v>1.4986719586048238E-4</v>
      </c>
      <c r="U96" s="9">
        <f t="shared" si="41"/>
        <v>1.4986719693507234E-4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3.4916033311365919</v>
      </c>
      <c r="K98" s="55">
        <f t="shared" si="35"/>
        <v>5.6139504964968744E-3</v>
      </c>
      <c r="L98" s="55">
        <f t="shared" si="36"/>
        <v>1.7036838195874246E-2</v>
      </c>
      <c r="M98" s="55">
        <f t="shared" si="42"/>
        <v>0.9829631618041258</v>
      </c>
      <c r="N98" s="55">
        <f t="shared" si="37"/>
        <v>9.7675505533807326E-4</v>
      </c>
      <c r="O98" s="56">
        <f t="shared" si="43"/>
        <v>5.6486748775123105E-9</v>
      </c>
      <c r="P98" s="56">
        <f t="shared" si="38"/>
        <v>1.7520637724368059E-5</v>
      </c>
      <c r="Q98" s="56">
        <f t="shared" si="39"/>
        <v>1.0044922228684271E-4</v>
      </c>
      <c r="R98" s="9">
        <f t="shared" si="44"/>
        <v>1.4999999999999999E-4</v>
      </c>
      <c r="S98" s="9">
        <f t="shared" si="45"/>
        <v>2.5555257293811369E-6</v>
      </c>
      <c r="T98" s="9">
        <f t="shared" si="40"/>
        <v>8.4209257447453106E-7</v>
      </c>
      <c r="U98" s="9">
        <f t="shared" si="41"/>
        <v>1.4744447427061886E-4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1.7780701090410389</v>
      </c>
      <c r="K99" s="55">
        <f t="shared" si="35"/>
        <v>0.22724196126771712</v>
      </c>
      <c r="L99" s="55">
        <f t="shared" si="36"/>
        <v>1.3337539753306175E-2</v>
      </c>
      <c r="M99" s="55">
        <f t="shared" si="42"/>
        <v>0.9866624602466938</v>
      </c>
      <c r="N99" s="55">
        <f t="shared" si="37"/>
        <v>4.6452128401701761E-4</v>
      </c>
      <c r="O99" s="56">
        <f t="shared" si="43"/>
        <v>2.2864753768857782E-7</v>
      </c>
      <c r="P99" s="56">
        <f t="shared" si="38"/>
        <v>1.3716289341095266E-5</v>
      </c>
      <c r="Q99" s="56">
        <f t="shared" si="39"/>
        <v>4.7771241582204877E-5</v>
      </c>
      <c r="R99" s="9">
        <f t="shared" si="44"/>
        <v>1.4999999999999999E-4</v>
      </c>
      <c r="S99" s="9">
        <f t="shared" si="45"/>
        <v>2.0006309629959259E-6</v>
      </c>
      <c r="T99" s="9">
        <f t="shared" si="40"/>
        <v>3.4086294190157565E-5</v>
      </c>
      <c r="U99" s="9">
        <f t="shared" si="41"/>
        <v>1.4799936903700406E-4</v>
      </c>
      <c r="V99" s="100">
        <f t="shared" si="46"/>
        <v>0.23031378047047635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3.1367471227841328</v>
      </c>
      <c r="K101" s="55">
        <f t="shared" si="35"/>
        <v>1.2488084007328027E-2</v>
      </c>
      <c r="L101" s="55">
        <f t="shared" si="36"/>
        <v>1.6740176138024577E-2</v>
      </c>
      <c r="M101" s="55">
        <f t="shared" si="42"/>
        <v>0.98325982386197541</v>
      </c>
      <c r="N101" s="55">
        <f t="shared" si="37"/>
        <v>4.0458790958983496E-4</v>
      </c>
      <c r="O101" s="56">
        <f t="shared" si="43"/>
        <v>1.2565327472067132E-8</v>
      </c>
      <c r="P101" s="56">
        <f t="shared" si="38"/>
        <v>1.721555127684821E-5</v>
      </c>
      <c r="Q101" s="56">
        <f t="shared" si="39"/>
        <v>4.1607709776215995E-5</v>
      </c>
      <c r="R101" s="9">
        <f t="shared" si="44"/>
        <v>1.4999999999999999E-4</v>
      </c>
      <c r="S101" s="9">
        <f t="shared" si="45"/>
        <v>2.5110264207036865E-6</v>
      </c>
      <c r="T101" s="9">
        <f t="shared" si="40"/>
        <v>1.8732126010992039E-6</v>
      </c>
      <c r="U101" s="9">
        <f t="shared" si="41"/>
        <v>1.4748897357929629E-4</v>
      </c>
      <c r="V101" s="100">
        <f t="shared" si="46"/>
        <v>1.2700695893663438E-2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2.3675184084017351</v>
      </c>
      <c r="K102" s="55">
        <f t="shared" si="35"/>
        <v>6.8883860020838072E-2</v>
      </c>
      <c r="L102" s="55">
        <f t="shared" si="36"/>
        <v>1.5709160354192224E-2</v>
      </c>
      <c r="M102" s="55">
        <f t="shared" si="42"/>
        <v>0.98429083964580777</v>
      </c>
      <c r="N102" s="55">
        <f t="shared" si="37"/>
        <v>7.7327527806806075E-10</v>
      </c>
      <c r="O102" s="56">
        <f t="shared" si="43"/>
        <v>6.9309932427901545E-8</v>
      </c>
      <c r="P102" s="56">
        <f t="shared" si="38"/>
        <v>1.6155257469455797E-5</v>
      </c>
      <c r="Q102" s="56">
        <f t="shared" si="39"/>
        <v>7.952341774027879E-11</v>
      </c>
      <c r="R102" s="9">
        <f t="shared" si="44"/>
        <v>1.4999999999999999E-4</v>
      </c>
      <c r="S102" s="9">
        <f t="shared" si="45"/>
        <v>2.3563740531288335E-6</v>
      </c>
      <c r="T102" s="9">
        <f t="shared" si="40"/>
        <v>1.033257900312571E-5</v>
      </c>
      <c r="U102" s="9">
        <f t="shared" si="41"/>
        <v>1.4764362594687114E-4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3.415978567809216</v>
      </c>
      <c r="K103" s="55">
        <f t="shared" si="35"/>
        <v>6.550663216428481E-3</v>
      </c>
      <c r="L103" s="55">
        <f t="shared" si="36"/>
        <v>1.6702478782598802E-2</v>
      </c>
      <c r="M103" s="55">
        <f t="shared" si="42"/>
        <v>0.98329752121740122</v>
      </c>
      <c r="N103" s="55">
        <f t="shared" si="37"/>
        <v>1.2263146662526212E-9</v>
      </c>
      <c r="O103" s="56">
        <f t="shared" si="43"/>
        <v>6.5911815155429827E-9</v>
      </c>
      <c r="P103" s="56">
        <f t="shared" si="38"/>
        <v>1.7176783419808765E-5</v>
      </c>
      <c r="Q103" s="56">
        <f t="shared" si="39"/>
        <v>1.2611386430079867E-10</v>
      </c>
      <c r="R103" s="9">
        <f t="shared" si="44"/>
        <v>1.4999999999999999E-4</v>
      </c>
      <c r="S103" s="9">
        <f t="shared" si="45"/>
        <v>2.5053718173898201E-6</v>
      </c>
      <c r="T103" s="9">
        <f t="shared" si="40"/>
        <v>9.8259948246427204E-7</v>
      </c>
      <c r="U103" s="9">
        <f t="shared" si="41"/>
        <v>1.4749462818261017E-4</v>
      </c>
      <c r="V103" s="100">
        <f t="shared" si="46"/>
        <v>6.6619340281853191E-3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4.1077703317847014</v>
      </c>
      <c r="K104" s="55">
        <f t="shared" si="35"/>
        <v>1.350524344694152E-3</v>
      </c>
      <c r="L104" s="55">
        <f t="shared" si="36"/>
        <v>1.6935180815970504E-2</v>
      </c>
      <c r="M104" s="55">
        <f t="shared" si="42"/>
        <v>0.98306481918402955</v>
      </c>
      <c r="N104" s="55">
        <f t="shared" si="37"/>
        <v>4.5816246443144162E-4</v>
      </c>
      <c r="O104" s="56">
        <f t="shared" si="43"/>
        <v>1.3588778422793275E-9</v>
      </c>
      <c r="P104" s="56">
        <f t="shared" si="38"/>
        <v>1.7416093553388425E-5</v>
      </c>
      <c r="Q104" s="56">
        <f t="shared" si="39"/>
        <v>4.7117302318166591E-5</v>
      </c>
      <c r="R104" s="9">
        <f t="shared" si="44"/>
        <v>1.4999999999999999E-4</v>
      </c>
      <c r="S104" s="9">
        <f t="shared" si="45"/>
        <v>2.5402771223955753E-6</v>
      </c>
      <c r="T104" s="9">
        <f t="shared" si="40"/>
        <v>2.0257865170412277E-7</v>
      </c>
      <c r="U104" s="9">
        <f t="shared" si="41"/>
        <v>1.4745972287760441E-4</v>
      </c>
      <c r="V104" s="100">
        <f t="shared" si="46"/>
        <v>1.3737897220400216E-3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3.7503626918737711</v>
      </c>
      <c r="K105" s="55">
        <f t="shared" si="35"/>
        <v>3.1866727861978128E-3</v>
      </c>
      <c r="L105" s="55">
        <f t="shared" si="36"/>
        <v>1.7547580860763901E-2</v>
      </c>
      <c r="M105" s="55">
        <f t="shared" si="42"/>
        <v>0.98245241913923609</v>
      </c>
      <c r="N105" s="55">
        <f t="shared" si="37"/>
        <v>2.4202184116461577E-3</v>
      </c>
      <c r="O105" s="56">
        <f t="shared" si="43"/>
        <v>3.2063835478207556E-9</v>
      </c>
      <c r="P105" s="56">
        <f t="shared" si="38"/>
        <v>1.80458840816456E-5</v>
      </c>
      <c r="Q105" s="56">
        <f t="shared" si="39"/>
        <v>2.4889459838015342E-4</v>
      </c>
      <c r="R105" s="9">
        <f t="shared" si="44"/>
        <v>1.4999999999999999E-4</v>
      </c>
      <c r="S105" s="9">
        <f t="shared" si="45"/>
        <v>2.632137129114585E-6</v>
      </c>
      <c r="T105" s="9">
        <f t="shared" si="40"/>
        <v>4.7800091792967187E-7</v>
      </c>
      <c r="U105" s="9">
        <f t="shared" si="41"/>
        <v>1.4736786287088539E-4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2.8612615448319914</v>
      </c>
      <c r="K106" s="55">
        <f t="shared" si="35"/>
        <v>2.3207946363727805E-2</v>
      </c>
      <c r="L106" s="55">
        <f t="shared" si="36"/>
        <v>1.6497393971868356E-2</v>
      </c>
      <c r="M106" s="55">
        <f t="shared" si="42"/>
        <v>0.98350260602813167</v>
      </c>
      <c r="N106" s="55">
        <f t="shared" si="37"/>
        <v>1.8456689285183188E-4</v>
      </c>
      <c r="O106" s="56">
        <f t="shared" si="43"/>
        <v>2.3351496181743258E-8</v>
      </c>
      <c r="P106" s="56">
        <f t="shared" si="38"/>
        <v>1.6965874762329766E-5</v>
      </c>
      <c r="Q106" s="56">
        <f t="shared" si="39"/>
        <v>1.8980808694610376E-5</v>
      </c>
      <c r="R106" s="9">
        <f t="shared" si="44"/>
        <v>1.4999999999999999E-4</v>
      </c>
      <c r="S106" s="9">
        <f t="shared" si="45"/>
        <v>2.4746090957802533E-6</v>
      </c>
      <c r="T106" s="9">
        <f t="shared" si="40"/>
        <v>3.4811919545591705E-6</v>
      </c>
      <c r="U106" s="9">
        <f t="shared" si="41"/>
        <v>1.4752539090421974E-4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3.5526703729990983</v>
      </c>
      <c r="K108" s="55">
        <f t="shared" si="35"/>
        <v>4.8495105088287279E-3</v>
      </c>
      <c r="L108" s="55">
        <f t="shared" si="36"/>
        <v>1.6938906340592957E-2</v>
      </c>
      <c r="M108" s="55">
        <f t="shared" si="42"/>
        <v>0.98306109365940708</v>
      </c>
      <c r="N108" s="55">
        <f t="shared" si="37"/>
        <v>6.4005160904929308E-4</v>
      </c>
      <c r="O108" s="56">
        <f t="shared" si="43"/>
        <v>4.8795065429497994E-9</v>
      </c>
      <c r="P108" s="56">
        <f t="shared" si="38"/>
        <v>1.7419924872703214E-5</v>
      </c>
      <c r="Q108" s="56">
        <f t="shared" si="39"/>
        <v>6.5822732118024077E-5</v>
      </c>
      <c r="R108" s="9">
        <f t="shared" si="44"/>
        <v>1.4999999999999999E-4</v>
      </c>
      <c r="S108" s="9">
        <f t="shared" si="45"/>
        <v>2.5408359510889431E-6</v>
      </c>
      <c r="T108" s="9">
        <f t="shared" si="40"/>
        <v>7.2742657632430908E-7</v>
      </c>
      <c r="U108" s="9">
        <f t="shared" si="41"/>
        <v>1.4745916404891105E-4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3.7856475581586708</v>
      </c>
      <c r="K109" s="55">
        <f t="shared" si="35"/>
        <v>2.9091972102550244E-3</v>
      </c>
      <c r="L109" s="55">
        <f t="shared" si="36"/>
        <v>1.7375519954564794E-2</v>
      </c>
      <c r="M109" s="55">
        <f t="shared" si="42"/>
        <v>0.98262448004543523</v>
      </c>
      <c r="N109" s="55">
        <f t="shared" si="37"/>
        <v>1.8805732375271329E-3</v>
      </c>
      <c r="O109" s="56">
        <f t="shared" si="43"/>
        <v>2.9271916817846502E-9</v>
      </c>
      <c r="P109" s="56">
        <f t="shared" si="38"/>
        <v>1.7868937117110174E-5</v>
      </c>
      <c r="Q109" s="56">
        <f t="shared" si="39"/>
        <v>1.9339763652174581E-4</v>
      </c>
      <c r="R109" s="9">
        <f t="shared" si="44"/>
        <v>1.4999999999999999E-4</v>
      </c>
      <c r="S109" s="9">
        <f t="shared" si="45"/>
        <v>2.606327993184719E-6</v>
      </c>
      <c r="T109" s="9">
        <f t="shared" si="40"/>
        <v>4.3637958153825361E-7</v>
      </c>
      <c r="U109" s="9">
        <f t="shared" si="41"/>
        <v>1.4739367200681527E-4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2.1196587435524776</v>
      </c>
      <c r="K110" s="55">
        <f t="shared" si="35"/>
        <v>0.11612376018775662</v>
      </c>
      <c r="L110" s="55">
        <f t="shared" si="36"/>
        <v>1.4965696123945563E-2</v>
      </c>
      <c r="M110" s="55">
        <f t="shared" si="42"/>
        <v>0.9850343038760544</v>
      </c>
      <c r="N110" s="55">
        <f t="shared" si="37"/>
        <v>2.8538962390756609E-5</v>
      </c>
      <c r="O110" s="56">
        <f t="shared" si="43"/>
        <v>1.1684202902468722E-7</v>
      </c>
      <c r="P110" s="56">
        <f t="shared" si="38"/>
        <v>1.5390680891958423E-5</v>
      </c>
      <c r="Q110" s="56">
        <f t="shared" si="39"/>
        <v>2.9349390733716033E-6</v>
      </c>
      <c r="R110" s="9">
        <f t="shared" si="44"/>
        <v>1.4999999999999999E-4</v>
      </c>
      <c r="S110" s="9">
        <f t="shared" si="45"/>
        <v>2.2448544185918341E-6</v>
      </c>
      <c r="T110" s="9">
        <f t="shared" si="40"/>
        <v>1.7418564028163491E-5</v>
      </c>
      <c r="U110" s="9">
        <f t="shared" si="41"/>
        <v>1.4775514558140816E-4</v>
      </c>
      <c r="V110" s="100">
        <f t="shared" si="46"/>
        <v>0.11788803672198642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1.9788605845819818</v>
      </c>
      <c r="K111" s="55">
        <f t="shared" si="35"/>
        <v>0.17234800100763226</v>
      </c>
      <c r="L111" s="55">
        <f t="shared" si="36"/>
        <v>1.6061419452641036E-2</v>
      </c>
      <c r="M111" s="55">
        <f t="shared" si="42"/>
        <v>0.98393858054735894</v>
      </c>
      <c r="N111" s="55">
        <f t="shared" si="37"/>
        <v>6.1186942479377901E-3</v>
      </c>
      <c r="O111" s="56">
        <f t="shared" si="43"/>
        <v>1.7341403777763445E-7</v>
      </c>
      <c r="P111" s="56">
        <f t="shared" si="38"/>
        <v>1.6517519761207128E-5</v>
      </c>
      <c r="Q111" s="56">
        <f t="shared" si="39"/>
        <v>6.2924484010333384E-4</v>
      </c>
      <c r="R111" s="9">
        <f t="shared" si="44"/>
        <v>1.4999999999999999E-4</v>
      </c>
      <c r="S111" s="9">
        <f t="shared" si="45"/>
        <v>2.4092129178961553E-6</v>
      </c>
      <c r="T111" s="9">
        <f t="shared" si="40"/>
        <v>2.5852200151144837E-5</v>
      </c>
      <c r="U111" s="9">
        <f t="shared" si="41"/>
        <v>1.4759078708210383E-4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4.8822108795245622</v>
      </c>
      <c r="K112" s="55">
        <f t="shared" si="35"/>
        <v>2.9331940904506448E-4</v>
      </c>
      <c r="L112" s="55">
        <f t="shared" si="36"/>
        <v>2.1881080797276516E-2</v>
      </c>
      <c r="M112" s="55">
        <f t="shared" si="42"/>
        <v>0.97811891920272354</v>
      </c>
      <c r="N112" s="55">
        <f t="shared" si="37"/>
        <v>1.5530122816800154E-2</v>
      </c>
      <c r="O112" s="56">
        <f t="shared" si="43"/>
        <v>2.951336991648757E-10</v>
      </c>
      <c r="P112" s="56">
        <f t="shared" si="38"/>
        <v>2.2502443543752618E-5</v>
      </c>
      <c r="Q112" s="56">
        <f t="shared" si="39"/>
        <v>1.597113575651559E-3</v>
      </c>
      <c r="R112" s="9">
        <f t="shared" si="44"/>
        <v>1.4999999999999999E-4</v>
      </c>
      <c r="S112" s="9">
        <f t="shared" si="45"/>
        <v>3.2821621195914772E-6</v>
      </c>
      <c r="T112" s="9">
        <f t="shared" si="40"/>
        <v>4.3997911356759666E-8</v>
      </c>
      <c r="U112" s="9">
        <f t="shared" si="41"/>
        <v>1.4671783788040851E-4</v>
      </c>
      <c r="V112" s="100">
        <f t="shared" si="46"/>
        <v>2.9988113233118182E-4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5.2380464528641673</v>
      </c>
      <c r="K113" s="55">
        <f t="shared" si="35"/>
        <v>1.3221080727664122E-4</v>
      </c>
      <c r="L113" s="55">
        <f t="shared" si="36"/>
        <v>2.2378475565981628E-2</v>
      </c>
      <c r="M113" s="55">
        <f t="shared" si="42"/>
        <v>0.9776215244340184</v>
      </c>
      <c r="N113" s="55">
        <f t="shared" si="37"/>
        <v>1.7043196292865152E-2</v>
      </c>
      <c r="O113" s="56">
        <f t="shared" si="43"/>
        <v>1.3302858050942927E-10</v>
      </c>
      <c r="P113" s="56">
        <f t="shared" si="38"/>
        <v>2.3013962961163565E-5</v>
      </c>
      <c r="Q113" s="56">
        <f t="shared" si="39"/>
        <v>1.7527176373894047E-3</v>
      </c>
      <c r="R113" s="9">
        <f t="shared" si="44"/>
        <v>1.4999999999999999E-4</v>
      </c>
      <c r="S113" s="9">
        <f t="shared" si="45"/>
        <v>3.356771334897244E-6</v>
      </c>
      <c r="T113" s="9">
        <f t="shared" si="40"/>
        <v>1.9831621091496181E-8</v>
      </c>
      <c r="U113" s="9">
        <f t="shared" si="41"/>
        <v>1.4664322866510273E-4</v>
      </c>
      <c r="V113" s="100">
        <f t="shared" si="46"/>
        <v>1.3523720987340473E-4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5.6480480937018527</v>
      </c>
      <c r="K114" s="55">
        <f t="shared" si="35"/>
        <v>5.2490305306195615E-5</v>
      </c>
      <c r="L114" s="55">
        <f t="shared" si="36"/>
        <v>2.2837274993215931E-2</v>
      </c>
      <c r="M114" s="55">
        <f t="shared" si="42"/>
        <v>0.97716272500678403</v>
      </c>
      <c r="N114" s="55">
        <f t="shared" si="37"/>
        <v>1.8442219544107095E-2</v>
      </c>
      <c r="O114" s="56">
        <f t="shared" si="43"/>
        <v>5.2814977453234727E-11</v>
      </c>
      <c r="P114" s="56">
        <f t="shared" si="38"/>
        <v>2.3485791035146578E-5</v>
      </c>
      <c r="Q114" s="56">
        <f t="shared" si="39"/>
        <v>1.8965928052530848E-3</v>
      </c>
      <c r="R114" s="9">
        <f t="shared" si="44"/>
        <v>1.4999999999999999E-4</v>
      </c>
      <c r="S114" s="9">
        <f t="shared" si="45"/>
        <v>3.4255912489823891E-6</v>
      </c>
      <c r="T114" s="9">
        <f t="shared" si="40"/>
        <v>7.8735457959293423E-9</v>
      </c>
      <c r="U114" s="9">
        <f t="shared" si="41"/>
        <v>1.4657440875101758E-4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4.2440764192613614</v>
      </c>
      <c r="K115" s="55">
        <f t="shared" si="35"/>
        <v>1.3156965963278138E-3</v>
      </c>
      <c r="L115" s="55">
        <f t="shared" si="36"/>
        <v>2.2581316577882857E-2</v>
      </c>
      <c r="M115" s="55">
        <f t="shared" si="42"/>
        <v>0.97741868342211713</v>
      </c>
      <c r="N115" s="55">
        <f t="shared" si="37"/>
        <v>1.7721107999228825E-2</v>
      </c>
      <c r="O115" s="56">
        <f t="shared" si="43"/>
        <v>1.3238346712787967E-9</v>
      </c>
      <c r="P115" s="56">
        <f t="shared" si="38"/>
        <v>2.322256410207397E-5</v>
      </c>
      <c r="Q115" s="56">
        <f t="shared" si="39"/>
        <v>1.8224338915426102E-3</v>
      </c>
      <c r="R115" s="9">
        <f t="shared" si="44"/>
        <v>1.4999999999999999E-4</v>
      </c>
      <c r="S115" s="9">
        <f t="shared" si="45"/>
        <v>3.3871974866824281E-6</v>
      </c>
      <c r="T115" s="9">
        <f t="shared" si="40"/>
        <v>1.9735448944917205E-7</v>
      </c>
      <c r="U115" s="9">
        <f t="shared" si="41"/>
        <v>1.4661280251331756E-4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-1.2542941534441151E-2</v>
      </c>
      <c r="K116" s="55">
        <f t="shared" si="35"/>
        <v>0.995345733604591</v>
      </c>
      <c r="L116" s="55">
        <f t="shared" si="36"/>
        <v>9.4612410331852681E-4</v>
      </c>
      <c r="M116" s="55">
        <f t="shared" si="42"/>
        <v>0.99905387589668149</v>
      </c>
      <c r="N116" s="55">
        <f t="shared" si="37"/>
        <v>2.1725015436073101E-6</v>
      </c>
      <c r="O116" s="56">
        <f t="shared" si="43"/>
        <v>1.0015023187966658E-6</v>
      </c>
      <c r="P116" s="56">
        <f t="shared" si="38"/>
        <v>9.7299143573194192E-7</v>
      </c>
      <c r="Q116" s="56">
        <f t="shared" si="39"/>
        <v>2.2341946353867336E-7</v>
      </c>
      <c r="R116" s="9">
        <f t="shared" si="44"/>
        <v>1.4999999999999999E-4</v>
      </c>
      <c r="S116" s="9">
        <f t="shared" si="45"/>
        <v>1.41918615497779E-7</v>
      </c>
      <c r="T116" s="9">
        <f t="shared" si="40"/>
        <v>1.4930186004068864E-4</v>
      </c>
      <c r="U116" s="9">
        <f t="shared" si="41"/>
        <v>1.4985808138450222E-4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0.88901420040828383</v>
      </c>
      <c r="K117" s="55">
        <f t="shared" si="35"/>
        <v>0.72665455869051099</v>
      </c>
      <c r="L117" s="55">
        <f t="shared" si="36"/>
        <v>5.5062926768118135E-3</v>
      </c>
      <c r="M117" s="55">
        <f t="shared" si="42"/>
        <v>0.9944937073231882</v>
      </c>
      <c r="N117" s="55">
        <f t="shared" si="37"/>
        <v>8.5348145983989957E-4</v>
      </c>
      <c r="O117" s="56">
        <f t="shared" si="43"/>
        <v>7.3114918859120538E-7</v>
      </c>
      <c r="P117" s="56">
        <f t="shared" si="38"/>
        <v>5.662656303099908E-6</v>
      </c>
      <c r="Q117" s="56">
        <f t="shared" si="39"/>
        <v>8.7771799499398336E-5</v>
      </c>
      <c r="R117" s="9">
        <f t="shared" si="44"/>
        <v>1.4999999999999999E-4</v>
      </c>
      <c r="S117" s="9">
        <f t="shared" si="45"/>
        <v>8.2594390152177199E-7</v>
      </c>
      <c r="T117" s="9">
        <f t="shared" si="40"/>
        <v>1.0899818380357664E-4</v>
      </c>
      <c r="U117" s="9">
        <f t="shared" si="41"/>
        <v>1.4917405609847823E-4</v>
      </c>
      <c r="V117" s="100">
        <f t="shared" si="46"/>
        <v>0.73067788497767183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1.990575292064233</v>
      </c>
      <c r="K118" s="55">
        <f t="shared" si="35"/>
        <v>0.16862206943982389</v>
      </c>
      <c r="L118" s="55">
        <f t="shared" si="36"/>
        <v>1.6143838188535833E-2</v>
      </c>
      <c r="M118" s="55">
        <f t="shared" si="42"/>
        <v>0.98385616181146418</v>
      </c>
      <c r="N118" s="55">
        <f t="shared" si="37"/>
        <v>6.1891568126016192E-3</v>
      </c>
      <c r="O118" s="56">
        <f t="shared" si="43"/>
        <v>1.6966505993118883E-7</v>
      </c>
      <c r="P118" s="56">
        <f t="shared" si="38"/>
        <v>1.660227896339658E-5</v>
      </c>
      <c r="Q118" s="56">
        <f t="shared" si="39"/>
        <v>6.3649119094854971E-4</v>
      </c>
      <c r="R118" s="9">
        <f t="shared" si="44"/>
        <v>1.4999999999999999E-4</v>
      </c>
      <c r="S118" s="9">
        <f t="shared" si="45"/>
        <v>2.421575728280375E-6</v>
      </c>
      <c r="T118" s="9">
        <f t="shared" si="40"/>
        <v>2.5293310415973582E-5</v>
      </c>
      <c r="U118" s="9">
        <f t="shared" si="41"/>
        <v>1.4757842427171961E-4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-3.8836634294089491E-2</v>
      </c>
      <c r="K119" s="55">
        <f t="shared" si="35"/>
        <v>0.99860848485339793</v>
      </c>
      <c r="L119" s="55">
        <f t="shared" si="36"/>
        <v>8.9346121875611925E-4</v>
      </c>
      <c r="M119" s="55">
        <f t="shared" si="42"/>
        <v>0.99910653878124389</v>
      </c>
      <c r="N119" s="55">
        <f t="shared" si="37"/>
        <v>1.2711242847159239E-7</v>
      </c>
      <c r="O119" s="56">
        <f t="shared" si="43"/>
        <v>1.0047852513808074E-6</v>
      </c>
      <c r="P119" s="56">
        <f t="shared" si="38"/>
        <v>9.1883306952983721E-7</v>
      </c>
      <c r="Q119" s="56">
        <f t="shared" si="39"/>
        <v>1.3072207318695691E-8</v>
      </c>
      <c r="R119" s="9">
        <f t="shared" si="44"/>
        <v>1.4999999999999999E-4</v>
      </c>
      <c r="S119" s="9">
        <f t="shared" si="45"/>
        <v>1.3401918281341786E-7</v>
      </c>
      <c r="T119" s="9">
        <f t="shared" si="40"/>
        <v>1.4979127272800967E-4</v>
      </c>
      <c r="U119" s="9">
        <f t="shared" si="41"/>
        <v>1.4986598081718656E-4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-4.3015629916826628E-2</v>
      </c>
      <c r="K120" s="55">
        <f t="shared" si="35"/>
        <v>0.99911464606620393</v>
      </c>
      <c r="L120" s="55">
        <f t="shared" si="36"/>
        <v>8.8535365468811076E-4</v>
      </c>
      <c r="M120" s="55">
        <f t="shared" si="42"/>
        <v>0.99911464634531189</v>
      </c>
      <c r="N120" s="55">
        <f t="shared" si="37"/>
        <v>1.6492345118363049E-16</v>
      </c>
      <c r="O120" s="56">
        <f t="shared" si="43"/>
        <v>1.0052945433898007E-6</v>
      </c>
      <c r="P120" s="56">
        <f t="shared" si="38"/>
        <v>9.1049527285480184E-7</v>
      </c>
      <c r="Q120" s="56">
        <f t="shared" si="39"/>
        <v>1.6960682535217385E-17</v>
      </c>
      <c r="R120" s="9">
        <f t="shared" si="44"/>
        <v>1.4999999999999999E-4</v>
      </c>
      <c r="S120" s="9">
        <f t="shared" si="45"/>
        <v>1.3280304820321661E-7</v>
      </c>
      <c r="T120" s="9">
        <f t="shared" si="40"/>
        <v>1.4986719690993059E-4</v>
      </c>
      <c r="U120" s="9">
        <f t="shared" si="41"/>
        <v>1.4986719695179676E-4</v>
      </c>
      <c r="V120" s="100">
        <f t="shared" si="46"/>
        <v>0.99999999972064468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0.21377788981387841</v>
      </c>
      <c r="K121" s="55">
        <f t="shared" si="35"/>
        <v>0.95951212687826093</v>
      </c>
      <c r="L121" s="55">
        <f t="shared" si="36"/>
        <v>1.5358381341410484E-3</v>
      </c>
      <c r="M121" s="55">
        <f t="shared" si="42"/>
        <v>0.99846416186585896</v>
      </c>
      <c r="N121" s="55">
        <f t="shared" si="37"/>
        <v>5.9301649138751372E-5</v>
      </c>
      <c r="O121" s="56">
        <f t="shared" si="43"/>
        <v>9.6544706782642999E-7</v>
      </c>
      <c r="P121" s="56">
        <f t="shared" si="38"/>
        <v>1.5794517293749442E-6</v>
      </c>
      <c r="Q121" s="56">
        <f t="shared" si="39"/>
        <v>6.09856535040203E-6</v>
      </c>
      <c r="R121" s="9">
        <f t="shared" si="44"/>
        <v>1.4999999999999999E-4</v>
      </c>
      <c r="S121" s="9">
        <f t="shared" si="45"/>
        <v>2.3037572012115725E-7</v>
      </c>
      <c r="T121" s="9">
        <f t="shared" si="40"/>
        <v>1.4392681903173914E-4</v>
      </c>
      <c r="U121" s="9">
        <f t="shared" si="41"/>
        <v>1.4976962427987883E-4</v>
      </c>
      <c r="V121" s="100">
        <f t="shared" si="46"/>
        <v>0.96098804897032331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4.8757664317973175</v>
      </c>
      <c r="K122" s="55">
        <f t="shared" si="35"/>
        <v>3.1689430181816521E-4</v>
      </c>
      <c r="L122" s="55">
        <f t="shared" si="36"/>
        <v>2.3291526401300482E-2</v>
      </c>
      <c r="M122" s="55">
        <f t="shared" si="42"/>
        <v>0.9767084735986995</v>
      </c>
      <c r="N122" s="55">
        <f t="shared" si="37"/>
        <v>1.9844104323862726E-2</v>
      </c>
      <c r="O122" s="56">
        <f t="shared" si="43"/>
        <v>3.188544114566134E-10</v>
      </c>
      <c r="P122" s="56">
        <f t="shared" si="38"/>
        <v>2.3952941938696343E-5</v>
      </c>
      <c r="Q122" s="56">
        <f t="shared" si="39"/>
        <v>2.040762251925132E-3</v>
      </c>
      <c r="R122" s="9">
        <f t="shared" si="44"/>
        <v>1.4999999999999999E-4</v>
      </c>
      <c r="S122" s="9">
        <f t="shared" si="45"/>
        <v>3.4937289601950722E-6</v>
      </c>
      <c r="T122" s="9">
        <f t="shared" si="40"/>
        <v>4.7534145272724774E-8</v>
      </c>
      <c r="U122" s="9">
        <f t="shared" si="41"/>
        <v>1.4650627103980491E-4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0.74385538428887032</v>
      </c>
      <c r="K123" s="55">
        <f t="shared" ref="K123:K127" si="49">IF(D123=0,"",1/(1+10^D123*$J$15/$J$14+10^E123*$J$16/$J$14+10^J123*$J$19/$J$14))</f>
        <v>0.79798185725907533</v>
      </c>
      <c r="L123" s="55">
        <f t="shared" ref="L123:L127" si="50">IF(D123=0,"",1/(1+10^I123/10^J123*$J$13/$J$19))</f>
        <v>4.328779763465118E-3</v>
      </c>
      <c r="M123" s="55">
        <f t="shared" si="42"/>
        <v>0.99567122023653487</v>
      </c>
      <c r="N123" s="55">
        <f t="shared" ref="N123:N127" si="51">IF(D123=0,"",1/(1/10^E123*$J$20/$J$22+10^D123/10^E123*$J$21/$J$22+10^I123/10^E123*$J$13/$J$22+1))</f>
        <v>7.2851602009788583E-4</v>
      </c>
      <c r="O123" s="56">
        <f t="shared" si="43"/>
        <v>8.0291767314704229E-7</v>
      </c>
      <c r="P123" s="56">
        <f t="shared" ref="P123:P127" si="52">IF(D123=0,"",O123*10^J123)</f>
        <v>4.4517052490769419E-6</v>
      </c>
      <c r="Q123" s="56">
        <f t="shared" ref="Q123:Q127" si="53">IF(D123=0,"",F123*N123*$J$7/$J$22)</f>
        <v>7.4920387913436406E-5</v>
      </c>
      <c r="R123" s="9">
        <f t="shared" si="44"/>
        <v>1.4999999999999999E-4</v>
      </c>
      <c r="S123" s="9">
        <f t="shared" si="45"/>
        <v>6.4931696451976768E-7</v>
      </c>
      <c r="T123" s="9">
        <f t="shared" si="40"/>
        <v>1.1969727858886129E-4</v>
      </c>
      <c r="U123" s="9">
        <f t="shared" si="41"/>
        <v>1.4935068303548022E-4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0.98473247557463439</v>
      </c>
      <c r="K124" s="55">
        <f t="shared" si="49"/>
        <v>0.66664798501454448</v>
      </c>
      <c r="L124" s="55">
        <f t="shared" si="50"/>
        <v>6.2971804033417605E-3</v>
      </c>
      <c r="M124" s="55">
        <f t="shared" si="42"/>
        <v>0.99370281959665829</v>
      </c>
      <c r="N124" s="55">
        <f t="shared" si="51"/>
        <v>3.4786413873030819E-4</v>
      </c>
      <c r="O124" s="56">
        <f t="shared" si="43"/>
        <v>6.7077145184049215E-7</v>
      </c>
      <c r="P124" s="56">
        <f t="shared" si="52"/>
        <v>6.4760030742476134E-6</v>
      </c>
      <c r="Q124" s="56">
        <f t="shared" si="53"/>
        <v>3.5774252721781402E-5</v>
      </c>
      <c r="R124" s="9">
        <f t="shared" si="44"/>
        <v>1.4999999999999999E-4</v>
      </c>
      <c r="S124" s="9">
        <f t="shared" si="45"/>
        <v>9.4457706050126397E-7</v>
      </c>
      <c r="T124" s="9">
        <f t="shared" si="40"/>
        <v>9.9997197752181666E-5</v>
      </c>
      <c r="U124" s="9">
        <f t="shared" si="41"/>
        <v>1.4905542293949873E-4</v>
      </c>
      <c r="V124" s="100">
        <f t="shared" si="46"/>
        <v>0.67087259074613004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9.2579382109452407E-2</v>
      </c>
      <c r="K125" s="55">
        <f t="shared" si="49"/>
        <v>0.98044288112571598</v>
      </c>
      <c r="L125" s="55">
        <f t="shared" si="50"/>
        <v>1.1871860055706212E-3</v>
      </c>
      <c r="M125" s="55">
        <f t="shared" si="42"/>
        <v>0.99881281399442934</v>
      </c>
      <c r="N125" s="55">
        <f t="shared" si="51"/>
        <v>1.3106127435405129E-5</v>
      </c>
      <c r="O125" s="56">
        <f t="shared" si="43"/>
        <v>9.8650728660797416E-7</v>
      </c>
      <c r="P125" s="56">
        <f t="shared" si="52"/>
        <v>1.2208988355644278E-6</v>
      </c>
      <c r="Q125" s="56">
        <f t="shared" si="53"/>
        <v>1.347830554737218E-6</v>
      </c>
      <c r="R125" s="9">
        <f t="shared" si="44"/>
        <v>1.4999999999999999E-4</v>
      </c>
      <c r="S125" s="9">
        <f t="shared" si="45"/>
        <v>1.7807790083559318E-7</v>
      </c>
      <c r="T125" s="9">
        <f t="shared" si="40"/>
        <v>1.4706643216885737E-4</v>
      </c>
      <c r="U125" s="9">
        <f t="shared" si="41"/>
        <v>1.498219220991644E-4</v>
      </c>
      <c r="V125" s="100">
        <f t="shared" si="46"/>
        <v>0.98160823268250963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3.8231338433655377</v>
      </c>
      <c r="K126" s="55">
        <f t="shared" si="49"/>
        <v>3.3766252707738164E-3</v>
      </c>
      <c r="L126" s="55">
        <f t="shared" si="50"/>
        <v>2.1985371001866802E-2</v>
      </c>
      <c r="M126" s="55">
        <f t="shared" si="42"/>
        <v>0.97801462899813318</v>
      </c>
      <c r="N126" s="55">
        <f t="shared" si="51"/>
        <v>1.5999261540348673E-2</v>
      </c>
      <c r="O126" s="56">
        <f t="shared" si="43"/>
        <v>3.3975109594741112E-9</v>
      </c>
      <c r="P126" s="56">
        <f t="shared" si="52"/>
        <v>2.2609695304426671E-5</v>
      </c>
      <c r="Q126" s="56">
        <f t="shared" si="53"/>
        <v>1.6453596734501313E-3</v>
      </c>
      <c r="R126" s="9">
        <f t="shared" si="44"/>
        <v>1.4999999999999999E-4</v>
      </c>
      <c r="S126" s="9">
        <f t="shared" si="45"/>
        <v>3.2978056502800202E-6</v>
      </c>
      <c r="T126" s="9">
        <f t="shared" si="40"/>
        <v>5.0649379061607244E-7</v>
      </c>
      <c r="U126" s="9">
        <f t="shared" si="41"/>
        <v>1.4670219434971996E-4</v>
      </c>
      <c r="V126" s="100">
        <f t="shared" si="46"/>
        <v>3.45253043324392E-3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1.8362315957154518</v>
      </c>
      <c r="K127" s="55">
        <f t="shared" si="49"/>
        <v>0.2231296225497103</v>
      </c>
      <c r="L127" s="55">
        <f t="shared" si="50"/>
        <v>1.4972899702104E-2</v>
      </c>
      <c r="M127" s="55">
        <f t="shared" si="42"/>
        <v>0.98502710029789597</v>
      </c>
      <c r="N127" s="55">
        <f t="shared" si="51"/>
        <v>5.2647081650376735E-3</v>
      </c>
      <c r="O127" s="56">
        <f t="shared" si="43"/>
        <v>2.2450976261936026E-7</v>
      </c>
      <c r="P127" s="56">
        <f t="shared" si="52"/>
        <v>1.5398089032000736E-5</v>
      </c>
      <c r="Q127" s="56">
        <f t="shared" si="53"/>
        <v>5.414211453066757E-4</v>
      </c>
      <c r="R127" s="9">
        <f t="shared" si="44"/>
        <v>1.4999999999999999E-4</v>
      </c>
      <c r="S127" s="9">
        <f t="shared" si="45"/>
        <v>2.2459349553155996E-6</v>
      </c>
      <c r="T127" s="9">
        <f t="shared" si="40"/>
        <v>3.3469443382456544E-5</v>
      </c>
      <c r="U127" s="9">
        <f t="shared" si="41"/>
        <v>1.477540650446844E-4</v>
      </c>
      <c r="V127" s="100">
        <f t="shared" si="46"/>
        <v>0.22652130330447814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2.733342553277482</v>
      </c>
      <c r="K128" s="55">
        <f t="shared" ref="K128:K134" si="56">IF(D128=0,"",1/(1+10^D128*$J$15/$J$14+10^E128*$J$16/$J$14+10^J128*$J$19/$J$14))</f>
        <v>3.5042111412568598E-2</v>
      </c>
      <c r="L128" s="55">
        <f t="shared" ref="L128:L134" si="57">IF(D128=0,"",1/(1+10^I128/10^J128*$J$13/$J$19))</f>
        <v>1.8554527883541876E-2</v>
      </c>
      <c r="M128" s="55">
        <f t="shared" ref="M128:M134" si="58">IF(D128=0,"",1-L128)</f>
        <v>0.98144547211645816</v>
      </c>
      <c r="N128" s="55">
        <f t="shared" ref="N128:N134" si="59">IF(D128=0,"",1/(1/10^E128*$J$20/$J$22+10^D128/10^E128*$J$21/$J$22+10^I128/10^E128*$J$13/$J$22+1))</f>
        <v>7.0514812428111645E-3</v>
      </c>
      <c r="O128" s="56">
        <f t="shared" ref="O128:O134" si="60">IF(D128=0,"",F128*K128*$J$7/$J$14)</f>
        <v>3.5258859962281438E-8</v>
      </c>
      <c r="P128" s="56">
        <f t="shared" ref="P128:P134" si="61">IF(D128=0,"",O128*10^J128)</f>
        <v>1.9081425641111504E-5</v>
      </c>
      <c r="Q128" s="56">
        <f t="shared" ref="Q128:Q134" si="62">IF(D128=0,"",F128*N128*$J$7/$J$22)</f>
        <v>7.2517239909803083E-4</v>
      </c>
      <c r="R128" s="9">
        <f t="shared" si="44"/>
        <v>1.4999999999999999E-4</v>
      </c>
      <c r="S128" s="9">
        <f t="shared" si="45"/>
        <v>2.783179182531281E-6</v>
      </c>
      <c r="T128" s="9">
        <f t="shared" si="40"/>
        <v>5.2563167118852893E-6</v>
      </c>
      <c r="U128" s="9">
        <f t="shared" si="41"/>
        <v>1.4721682081746872E-4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-4.0788248152069252E-2</v>
      </c>
      <c r="K129" s="55">
        <f t="shared" si="56"/>
        <v>0.99884510449252073</v>
      </c>
      <c r="L129" s="55">
        <f t="shared" si="57"/>
        <v>8.8966598473000781E-4</v>
      </c>
      <c r="M129" s="55">
        <f t="shared" si="58"/>
        <v>0.99911033401526994</v>
      </c>
      <c r="N129" s="55">
        <f t="shared" si="59"/>
        <v>5.2035265188319331E-8</v>
      </c>
      <c r="O129" s="56">
        <f t="shared" si="60"/>
        <v>1.0050233346007921E-6</v>
      </c>
      <c r="P129" s="56">
        <f t="shared" si="61"/>
        <v>9.1493006125528579E-7</v>
      </c>
      <c r="Q129" s="56">
        <f t="shared" si="62"/>
        <v>5.3512924157297211E-9</v>
      </c>
      <c r="R129" s="9">
        <f t="shared" si="44"/>
        <v>1.4999999999999999E-4</v>
      </c>
      <c r="S129" s="9">
        <f t="shared" si="45"/>
        <v>1.3344989770950115E-7</v>
      </c>
      <c r="T129" s="9">
        <f t="shared" si="40"/>
        <v>1.498267656738781E-4</v>
      </c>
      <c r="U129" s="9">
        <f t="shared" si="41"/>
        <v>1.4986655010229048E-4</v>
      </c>
      <c r="V129" s="100">
        <f t="shared" si="46"/>
        <v>0.99973453430144865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1.22936645448138</v>
      </c>
      <c r="K130" s="55">
        <f t="shared" si="56"/>
        <v>0.53740219030461456</v>
      </c>
      <c r="L130" s="55">
        <f t="shared" si="57"/>
        <v>8.9162651626635159E-3</v>
      </c>
      <c r="M130" s="55">
        <f t="shared" si="58"/>
        <v>0.99108373483733647</v>
      </c>
      <c r="N130" s="55">
        <f t="shared" si="59"/>
        <v>2.0586084012494863E-3</v>
      </c>
      <c r="O130" s="56">
        <f t="shared" si="60"/>
        <v>5.4072622360813441E-7</v>
      </c>
      <c r="P130" s="56">
        <f t="shared" si="61"/>
        <v>9.169462665159429E-6</v>
      </c>
      <c r="Q130" s="56">
        <f t="shared" si="62"/>
        <v>2.1170672398219544E-4</v>
      </c>
      <c r="R130" s="9">
        <f t="shared" si="44"/>
        <v>1.4999999999999999E-4</v>
      </c>
      <c r="S130" s="9">
        <f t="shared" si="45"/>
        <v>1.3374397743995272E-6</v>
      </c>
      <c r="T130" s="9">
        <f t="shared" si="40"/>
        <v>8.0610328545692173E-5</v>
      </c>
      <c r="U130" s="9">
        <f t="shared" si="41"/>
        <v>1.4866256022560046E-4</v>
      </c>
      <c r="V130" s="100">
        <f t="shared" si="46"/>
        <v>0.54223691845050481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7.8374902987815104E-2</v>
      </c>
      <c r="K131" s="55">
        <f t="shared" si="56"/>
        <v>0.98275318842148773</v>
      </c>
      <c r="L131" s="55">
        <f t="shared" si="57"/>
        <v>1.1516922739812638E-3</v>
      </c>
      <c r="M131" s="55">
        <f t="shared" si="58"/>
        <v>0.99884830772601874</v>
      </c>
      <c r="N131" s="55">
        <f t="shared" si="59"/>
        <v>1.7149897667418901E-5</v>
      </c>
      <c r="O131" s="56">
        <f t="shared" si="60"/>
        <v>9.8883188401742813E-7</v>
      </c>
      <c r="P131" s="56">
        <f t="shared" si="61"/>
        <v>1.184397179241033E-6</v>
      </c>
      <c r="Q131" s="56">
        <f t="shared" si="62"/>
        <v>1.7636907775152589E-6</v>
      </c>
      <c r="R131" s="9">
        <f t="shared" si="44"/>
        <v>1.4999999999999999E-4</v>
      </c>
      <c r="S131" s="9">
        <f t="shared" si="45"/>
        <v>1.7275384109718956E-7</v>
      </c>
      <c r="T131" s="9">
        <f t="shared" si="40"/>
        <v>1.4741297826322314E-4</v>
      </c>
      <c r="U131" s="9">
        <f t="shared" si="41"/>
        <v>1.4982724615890281E-4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0.22522678638036808</v>
      </c>
      <c r="K132" s="55">
        <f t="shared" si="56"/>
        <v>0.95726707702398128</v>
      </c>
      <c r="L132" s="55">
        <f t="shared" si="57"/>
        <v>1.5731748612456595E-3</v>
      </c>
      <c r="M132" s="55">
        <f t="shared" si="58"/>
        <v>0.99842682513875436</v>
      </c>
      <c r="N132" s="55">
        <f t="shared" si="59"/>
        <v>6.4073194825242291E-5</v>
      </c>
      <c r="O132" s="56">
        <f t="shared" si="60"/>
        <v>9.6318813150012169E-7</v>
      </c>
      <c r="P132" s="56">
        <f t="shared" si="61"/>
        <v>1.617848717236923E-6</v>
      </c>
      <c r="Q132" s="56">
        <f t="shared" si="62"/>
        <v>6.5892698015279639E-6</v>
      </c>
      <c r="R132" s="9">
        <f t="shared" si="44"/>
        <v>1.4999999999999999E-4</v>
      </c>
      <c r="S132" s="9">
        <f t="shared" si="45"/>
        <v>2.3597622918684891E-7</v>
      </c>
      <c r="T132" s="9">
        <f t="shared" si="40"/>
        <v>1.4359006155359718E-4</v>
      </c>
      <c r="U132" s="9">
        <f t="shared" si="41"/>
        <v>1.4976402377081313E-4</v>
      </c>
      <c r="V132" s="100">
        <f t="shared" si="46"/>
        <v>0.95877539837829073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2.0448179199352046</v>
      </c>
      <c r="K133" s="55">
        <f t="shared" si="56"/>
        <v>0.15221748714458863</v>
      </c>
      <c r="L133" s="55">
        <f t="shared" si="57"/>
        <v>1.6511995327513514E-2</v>
      </c>
      <c r="M133" s="55">
        <f t="shared" si="58"/>
        <v>0.98348800467248654</v>
      </c>
      <c r="N133" s="55">
        <f t="shared" si="59"/>
        <v>6.5155440101301934E-3</v>
      </c>
      <c r="O133" s="56">
        <f t="shared" si="60"/>
        <v>1.5315900916622369E-7</v>
      </c>
      <c r="P133" s="56">
        <f t="shared" si="61"/>
        <v>1.6980890756471533E-5</v>
      </c>
      <c r="Q133" s="56">
        <f t="shared" si="62"/>
        <v>6.7005676092123827E-4</v>
      </c>
      <c r="R133" s="9">
        <f t="shared" si="44"/>
        <v>1.4999999999999999E-4</v>
      </c>
      <c r="S133" s="9">
        <f t="shared" si="45"/>
        <v>2.4767992991270268E-6</v>
      </c>
      <c r="T133" s="9">
        <f t="shared" si="40"/>
        <v>2.2832623071688293E-5</v>
      </c>
      <c r="U133" s="9">
        <f t="shared" si="41"/>
        <v>1.4752320070087296E-4</v>
      </c>
      <c r="V133" s="100">
        <f t="shared" si="46"/>
        <v>0.15477309984607174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-4.2311399475221889E-2</v>
      </c>
      <c r="K134" s="55">
        <f t="shared" si="56"/>
        <v>0.99902943696749236</v>
      </c>
      <c r="L134" s="55">
        <f t="shared" si="57"/>
        <v>8.8671483540467939E-4</v>
      </c>
      <c r="M134" s="55">
        <f t="shared" si="58"/>
        <v>0.9991132851645953</v>
      </c>
      <c r="N134" s="55">
        <f t="shared" si="59"/>
        <v>1.0153983508064046E-8</v>
      </c>
      <c r="O134" s="56">
        <f t="shared" si="60"/>
        <v>1.0052088072409821E-6</v>
      </c>
      <c r="P134" s="56">
        <f t="shared" si="61"/>
        <v>9.118951073744587E-7</v>
      </c>
      <c r="Q134" s="56">
        <f t="shared" si="62"/>
        <v>1.0442328820560166E-9</v>
      </c>
      <c r="R134" s="9">
        <f t="shared" si="44"/>
        <v>1.4999999999999999E-4</v>
      </c>
      <c r="S134" s="9">
        <f t="shared" si="45"/>
        <v>1.3300722531070189E-7</v>
      </c>
      <c r="T134" s="9">
        <f t="shared" si="40"/>
        <v>1.4985441554512383E-4</v>
      </c>
      <c r="U134" s="9">
        <f t="shared" si="41"/>
        <v>1.4986699277468927E-4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0.34202356582905674</v>
      </c>
      <c r="K135" s="55">
        <f t="shared" ref="K135:K143" si="65">IF(D135=0,"",1/(1+10^D135*$J$15/$J$14+10^E135*$J$16/$J$14+10^J135*$J$19/$J$14))</f>
        <v>0.93153974178859222</v>
      </c>
      <c r="L135" s="55">
        <f t="shared" ref="L135:L143" si="66">IF(D135=0,"",1/(1+10^I135/10^J135*$J$13/$J$19))</f>
        <v>2.0032817862608338E-3</v>
      </c>
      <c r="M135" s="55">
        <f t="shared" ref="M135:M143" si="67">IF(D135=0,"",1-L135)</f>
        <v>0.99799671821373914</v>
      </c>
      <c r="N135" s="55">
        <f t="shared" ref="N135:N143" si="68">IF(D135=0,"",1/(1/10^E135*$J$20/$J$22+10^D135/10^E135*$J$21/$J$22+10^I135/10^E135*$J$13/$J$22+1))</f>
        <v>1.2561355559954172E-4</v>
      </c>
      <c r="O135" s="56">
        <f t="shared" ref="O135:O143" si="69">IF(D135=0,"",F135*K135*$J$7/$J$14)</f>
        <v>9.3730166308538188E-7</v>
      </c>
      <c r="P135" s="56">
        <f t="shared" ref="P135:P143" si="70">IF(D135=0,"",O135*10^J135)</f>
        <v>2.0601695005473913E-6</v>
      </c>
      <c r="Q135" s="56">
        <f t="shared" ref="Q135:Q143" si="71">IF(D135=0,"",F135*N135*$J$7/$J$22)</f>
        <v>1.2918063643184102E-5</v>
      </c>
      <c r="R135" s="9">
        <f t="shared" si="44"/>
        <v>1.4999999999999999E-4</v>
      </c>
      <c r="S135" s="9">
        <f t="shared" si="45"/>
        <v>3.0049226793912505E-7</v>
      </c>
      <c r="T135" s="9">
        <f t="shared" si="40"/>
        <v>1.3973096126828881E-4</v>
      </c>
      <c r="U135" s="9">
        <f t="shared" si="41"/>
        <v>1.4969950773206087E-4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-1.533861821554937E-2</v>
      </c>
      <c r="K136" s="55">
        <f t="shared" si="65"/>
        <v>0.99569991346057773</v>
      </c>
      <c r="L136" s="55">
        <f t="shared" si="66"/>
        <v>9.4038770010749985E-4</v>
      </c>
      <c r="M136" s="55">
        <f t="shared" si="67"/>
        <v>0.99905961229989249</v>
      </c>
      <c r="N136" s="55">
        <f t="shared" si="68"/>
        <v>1.8901864621816786E-6</v>
      </c>
      <c r="O136" s="56">
        <f t="shared" si="69"/>
        <v>1.0018586893873724E-6</v>
      </c>
      <c r="P136" s="56">
        <f t="shared" si="70"/>
        <v>9.6709213438589474E-7</v>
      </c>
      <c r="Q136" s="56">
        <f t="shared" si="71"/>
        <v>1.943862579114591E-7</v>
      </c>
      <c r="R136" s="9">
        <f t="shared" si="44"/>
        <v>1.4999999999999999E-4</v>
      </c>
      <c r="S136" s="9">
        <f t="shared" si="45"/>
        <v>1.4105815501612496E-7</v>
      </c>
      <c r="T136" s="9">
        <f t="shared" si="40"/>
        <v>1.4935498701908664E-4</v>
      </c>
      <c r="U136" s="9">
        <f t="shared" si="41"/>
        <v>1.4985894184498387E-4</v>
      </c>
      <c r="V136" s="100">
        <f t="shared" si="46"/>
        <v>0.99663713876734494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-4.2939405086996389E-2</v>
      </c>
      <c r="K137" s="55">
        <f t="shared" si="65"/>
        <v>0.99910541617075099</v>
      </c>
      <c r="L137" s="55">
        <f t="shared" si="66"/>
        <v>8.8550088002731285E-4</v>
      </c>
      <c r="M137" s="55">
        <f t="shared" si="67"/>
        <v>0.99911449911997263</v>
      </c>
      <c r="N137" s="55">
        <f t="shared" si="68"/>
        <v>4.3179393480835318E-10</v>
      </c>
      <c r="O137" s="56">
        <f t="shared" si="69"/>
        <v>1.0052852564039962E-6</v>
      </c>
      <c r="P137" s="56">
        <f t="shared" si="70"/>
        <v>9.1064667899028023E-7</v>
      </c>
      <c r="Q137" s="56">
        <f t="shared" si="71"/>
        <v>4.440556995598287E-11</v>
      </c>
      <c r="R137" s="9">
        <f t="shared" si="44"/>
        <v>1.4999999999999999E-4</v>
      </c>
      <c r="S137" s="9">
        <f t="shared" si="45"/>
        <v>1.3282513200409692E-7</v>
      </c>
      <c r="T137" s="9">
        <f t="shared" si="40"/>
        <v>1.4986581242561263E-4</v>
      </c>
      <c r="U137" s="9">
        <f t="shared" si="41"/>
        <v>1.4986717486799588E-4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-1.8328459527113827E-2</v>
      </c>
      <c r="K138" s="55">
        <f t="shared" si="65"/>
        <v>0.99607669921203279</v>
      </c>
      <c r="L138" s="55">
        <f t="shared" si="66"/>
        <v>9.342893758553175E-4</v>
      </c>
      <c r="M138" s="55">
        <f t="shared" si="67"/>
        <v>0.99906571062414473</v>
      </c>
      <c r="N138" s="55">
        <f t="shared" si="68"/>
        <v>1.6027281040991783E-6</v>
      </c>
      <c r="O138" s="56">
        <f t="shared" si="69"/>
        <v>1.0022378056994556E-6</v>
      </c>
      <c r="P138" s="56">
        <f t="shared" si="70"/>
        <v>9.6082063443268843E-7</v>
      </c>
      <c r="Q138" s="56">
        <f t="shared" si="71"/>
        <v>1.6482411912196931E-7</v>
      </c>
      <c r="R138" s="9">
        <f t="shared" si="44"/>
        <v>1.4999999999999999E-4</v>
      </c>
      <c r="S138" s="9">
        <f t="shared" si="45"/>
        <v>1.4014340637829762E-7</v>
      </c>
      <c r="T138" s="9">
        <f t="shared" si="40"/>
        <v>1.4941150488180491E-4</v>
      </c>
      <c r="U138" s="9">
        <f t="shared" si="41"/>
        <v>1.4985985659362171E-4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0.27218535628460888</v>
      </c>
      <c r="K139" s="55">
        <f t="shared" si="65"/>
        <v>0.94700641467139735</v>
      </c>
      <c r="L139" s="55">
        <f t="shared" si="66"/>
        <v>1.7340250456165615E-3</v>
      </c>
      <c r="M139" s="55">
        <f t="shared" si="67"/>
        <v>0.99826597495438341</v>
      </c>
      <c r="N139" s="55">
        <f t="shared" si="68"/>
        <v>5.5939941734911699E-5</v>
      </c>
      <c r="O139" s="56">
        <f t="shared" si="69"/>
        <v>9.5286400311782767E-7</v>
      </c>
      <c r="P139" s="56">
        <f t="shared" si="70"/>
        <v>1.7832666061585221E-6</v>
      </c>
      <c r="Q139" s="56">
        <f t="shared" si="71"/>
        <v>5.7528482820068845E-6</v>
      </c>
      <c r="R139" s="9">
        <f t="shared" si="44"/>
        <v>1.4999999999999999E-4</v>
      </c>
      <c r="S139" s="9">
        <f t="shared" si="45"/>
        <v>2.6010375684248419E-7</v>
      </c>
      <c r="T139" s="9">
        <f t="shared" si="40"/>
        <v>1.4205096220070958E-4</v>
      </c>
      <c r="U139" s="9">
        <f t="shared" si="41"/>
        <v>1.4973989624315749E-4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-4.2440960889578133E-2</v>
      </c>
      <c r="K140" s="55">
        <f t="shared" si="65"/>
        <v>0.99904510952323489</v>
      </c>
      <c r="L140" s="55">
        <f t="shared" si="66"/>
        <v>8.8646425104765099E-4</v>
      </c>
      <c r="M140" s="55">
        <f t="shared" si="67"/>
        <v>0.99911353574895234</v>
      </c>
      <c r="N140" s="55">
        <f t="shared" si="68"/>
        <v>7.6086002559426769E-9</v>
      </c>
      <c r="O140" s="56">
        <f t="shared" si="69"/>
        <v>1.0052245767373366E-6</v>
      </c>
      <c r="P140" s="56">
        <f t="shared" si="70"/>
        <v>9.1163740710822312E-7</v>
      </c>
      <c r="Q140" s="56">
        <f t="shared" si="71"/>
        <v>7.8246636577312956E-10</v>
      </c>
      <c r="R140" s="9">
        <f t="shared" si="44"/>
        <v>1.4999999999999999E-4</v>
      </c>
      <c r="S140" s="9">
        <f t="shared" si="45"/>
        <v>1.3296963765714763E-7</v>
      </c>
      <c r="T140" s="9">
        <f t="shared" si="40"/>
        <v>1.4985676642848521E-4</v>
      </c>
      <c r="U140" s="9">
        <f t="shared" si="41"/>
        <v>1.4986703036234283E-4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-4.1584645415536546E-2</v>
      </c>
      <c r="K141" s="55">
        <f t="shared" si="65"/>
        <v>0.99894151137514664</v>
      </c>
      <c r="L141" s="55">
        <f t="shared" si="66"/>
        <v>8.8812174645184301E-4</v>
      </c>
      <c r="M141" s="55">
        <f t="shared" si="67"/>
        <v>0.99911187825354819</v>
      </c>
      <c r="N141" s="55">
        <f t="shared" si="68"/>
        <v>2.7772968965971232E-8</v>
      </c>
      <c r="O141" s="56">
        <f t="shared" si="69"/>
        <v>1.0051203377960014E-6</v>
      </c>
      <c r="P141" s="56">
        <f t="shared" si="70"/>
        <v>9.1334197084081106E-7</v>
      </c>
      <c r="Q141" s="56">
        <f t="shared" si="71"/>
        <v>2.8561645194278876E-9</v>
      </c>
      <c r="R141" s="9">
        <f t="shared" si="44"/>
        <v>1.4999999999999999E-4</v>
      </c>
      <c r="S141" s="9">
        <f t="shared" si="45"/>
        <v>1.3321826196777645E-7</v>
      </c>
      <c r="T141" s="9">
        <f t="shared" si="40"/>
        <v>1.4984122670627198E-4</v>
      </c>
      <c r="U141" s="9">
        <f t="shared" si="41"/>
        <v>1.4986678173803221E-4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1.3986521988501153</v>
      </c>
      <c r="K142" s="55">
        <f t="shared" si="65"/>
        <v>0.43856683283753112</v>
      </c>
      <c r="L142" s="55">
        <f t="shared" si="66"/>
        <v>1.074496666048066E-2</v>
      </c>
      <c r="M142" s="55">
        <f t="shared" si="67"/>
        <v>0.98925503333951936</v>
      </c>
      <c r="N142" s="55">
        <f t="shared" si="68"/>
        <v>2.834362894312329E-3</v>
      </c>
      <c r="O142" s="56">
        <f t="shared" si="69"/>
        <v>4.41279532533349E-7</v>
      </c>
      <c r="P142" s="56">
        <f t="shared" si="70"/>
        <v>1.1050094275373487E-5</v>
      </c>
      <c r="Q142" s="56">
        <f t="shared" si="71"/>
        <v>2.9148510351330065E-4</v>
      </c>
      <c r="R142" s="9">
        <f t="shared" si="44"/>
        <v>1.4999999999999999E-4</v>
      </c>
      <c r="S142" s="9">
        <f t="shared" si="45"/>
        <v>1.6117449990720988E-6</v>
      </c>
      <c r="T142" s="9">
        <f t="shared" si="40"/>
        <v>6.5785024925629656E-5</v>
      </c>
      <c r="U142" s="9">
        <f t="shared" si="41"/>
        <v>1.483882550009279E-4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2.394879773509194</v>
      </c>
      <c r="K143" s="55">
        <f t="shared" si="65"/>
        <v>6.5277044984379543E-2</v>
      </c>
      <c r="L143" s="55">
        <f t="shared" si="66"/>
        <v>1.5854675169164872E-2</v>
      </c>
      <c r="M143" s="55">
        <f t="shared" si="67"/>
        <v>0.98414532483083517</v>
      </c>
      <c r="N143" s="55">
        <f t="shared" si="68"/>
        <v>2.6920155094497356E-4</v>
      </c>
      <c r="O143" s="56">
        <f t="shared" si="69"/>
        <v>6.5680807893050321E-8</v>
      </c>
      <c r="P143" s="56">
        <f t="shared" si="70"/>
        <v>1.6304904506502939E-5</v>
      </c>
      <c r="Q143" s="56">
        <f t="shared" si="71"/>
        <v>2.7684613745331505E-5</v>
      </c>
      <c r="R143" s="9">
        <f t="shared" si="44"/>
        <v>1.4999999999999999E-4</v>
      </c>
      <c r="S143" s="9">
        <f t="shared" si="45"/>
        <v>2.3782012753747304E-6</v>
      </c>
      <c r="T143" s="9">
        <f t="shared" si="40"/>
        <v>9.7915567476569303E-6</v>
      </c>
      <c r="U143" s="9">
        <f t="shared" si="41"/>
        <v>1.4762179872462527E-4</v>
      </c>
      <c r="V143" s="100">
        <f t="shared" si="46"/>
        <v>6.6328664413053046E-2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2025-02-02T14:49:12Z</dcterms:modified>
</cp:coreProperties>
</file>