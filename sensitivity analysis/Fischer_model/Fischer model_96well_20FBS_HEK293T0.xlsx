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2F24354E-1305-4C87-97E7-3068D053E222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U130" i="4" s="1"/>
  <c r="V127" i="4"/>
  <c r="U127" i="4"/>
  <c r="T127" i="4"/>
  <c r="R127" i="4"/>
  <c r="S127" i="4" s="1"/>
  <c r="V126" i="4"/>
  <c r="T126" i="4"/>
  <c r="R126" i="4"/>
  <c r="U126" i="4" s="1"/>
  <c r="V124" i="4"/>
  <c r="U124" i="4"/>
  <c r="T124" i="4"/>
  <c r="S124" i="4"/>
  <c r="R124" i="4"/>
  <c r="V121" i="4"/>
  <c r="R121" i="4"/>
  <c r="U121" i="4" s="1"/>
  <c r="V120" i="4"/>
  <c r="U120" i="4"/>
  <c r="T120" i="4"/>
  <c r="R120" i="4"/>
  <c r="S120" i="4" s="1"/>
  <c r="V119" i="4"/>
  <c r="U119" i="4"/>
  <c r="R119" i="4"/>
  <c r="T119" i="4" s="1"/>
  <c r="V116" i="4"/>
  <c r="R116" i="4"/>
  <c r="U116" i="4" s="1"/>
  <c r="V115" i="4"/>
  <c r="U115" i="4"/>
  <c r="T115" i="4"/>
  <c r="S115" i="4"/>
  <c r="R115" i="4"/>
  <c r="V114" i="4"/>
  <c r="R114" i="4"/>
  <c r="V108" i="4"/>
  <c r="R108" i="4"/>
  <c r="U108" i="4" s="1"/>
  <c r="V107" i="4"/>
  <c r="R107" i="4"/>
  <c r="U107" i="4" s="1"/>
  <c r="V93" i="4"/>
  <c r="T93" i="4"/>
  <c r="S93" i="4"/>
  <c r="R93" i="4"/>
  <c r="U93" i="4" s="1"/>
  <c r="V92" i="4"/>
  <c r="U92" i="4"/>
  <c r="T92" i="4"/>
  <c r="R92" i="4"/>
  <c r="S92" i="4" s="1"/>
  <c r="V91" i="4"/>
  <c r="R91" i="4"/>
  <c r="V90" i="4"/>
  <c r="U90" i="4"/>
  <c r="T90" i="4"/>
  <c r="S90" i="4"/>
  <c r="R90" i="4"/>
  <c r="V89" i="4"/>
  <c r="R89" i="4"/>
  <c r="U89" i="4" s="1"/>
  <c r="V88" i="4"/>
  <c r="R88" i="4"/>
  <c r="U88" i="4" s="1"/>
  <c r="V86" i="4"/>
  <c r="U86" i="4"/>
  <c r="R86" i="4"/>
  <c r="T86" i="4" s="1"/>
  <c r="V85" i="4"/>
  <c r="R85" i="4"/>
  <c r="U85" i="4" s="1"/>
  <c r="V84" i="4"/>
  <c r="U84" i="4"/>
  <c r="T84" i="4"/>
  <c r="S84" i="4"/>
  <c r="R84" i="4"/>
  <c r="V83" i="4"/>
  <c r="R83" i="4"/>
  <c r="V82" i="4"/>
  <c r="R82" i="4"/>
  <c r="U82" i="4" s="1"/>
  <c r="V81" i="4"/>
  <c r="R81" i="4"/>
  <c r="U81" i="4" s="1"/>
  <c r="V80" i="4"/>
  <c r="U80" i="4"/>
  <c r="T80" i="4"/>
  <c r="S80" i="4"/>
  <c r="R80" i="4"/>
  <c r="V79" i="4"/>
  <c r="U79" i="4"/>
  <c r="T79" i="4"/>
  <c r="R79" i="4"/>
  <c r="S79" i="4" s="1"/>
  <c r="V78" i="4"/>
  <c r="R78" i="4"/>
  <c r="V77" i="4"/>
  <c r="U77" i="4"/>
  <c r="T77" i="4"/>
  <c r="S77" i="4"/>
  <c r="R77" i="4"/>
  <c r="V76" i="4"/>
  <c r="R76" i="4"/>
  <c r="U76" i="4" s="1"/>
  <c r="V75" i="4"/>
  <c r="R75" i="4"/>
  <c r="T75" i="4" s="1"/>
  <c r="V74" i="4"/>
  <c r="U74" i="4"/>
  <c r="R74" i="4"/>
  <c r="T74" i="4" s="1"/>
  <c r="V73" i="4"/>
  <c r="R73" i="4"/>
  <c r="U73" i="4" s="1"/>
  <c r="V72" i="4"/>
  <c r="U72" i="4"/>
  <c r="T72" i="4"/>
  <c r="S72" i="4"/>
  <c r="R72" i="4"/>
  <c r="V71" i="4"/>
  <c r="R71" i="4"/>
  <c r="V70" i="4"/>
  <c r="U70" i="4"/>
  <c r="R70" i="4"/>
  <c r="T70" i="4" s="1"/>
  <c r="V69" i="4"/>
  <c r="R69" i="4"/>
  <c r="U69" i="4" s="1"/>
  <c r="V68" i="4"/>
  <c r="R68" i="4"/>
  <c r="U68" i="4" s="1"/>
  <c r="V65" i="4"/>
  <c r="U65" i="4"/>
  <c r="T65" i="4"/>
  <c r="R65" i="4"/>
  <c r="S65" i="4" s="1"/>
  <c r="V64" i="4"/>
  <c r="R64" i="4"/>
  <c r="V63" i="4"/>
  <c r="U63" i="4"/>
  <c r="T63" i="4"/>
  <c r="S63" i="4"/>
  <c r="R63" i="4"/>
  <c r="V62" i="4"/>
  <c r="R62" i="4"/>
  <c r="U62" i="4" s="1"/>
  <c r="V61" i="4"/>
  <c r="R61" i="4"/>
  <c r="U61" i="4" s="1"/>
  <c r="V60" i="4"/>
  <c r="U60" i="4"/>
  <c r="R60" i="4"/>
  <c r="T60" i="4" s="1"/>
  <c r="V58" i="4"/>
  <c r="T58" i="4"/>
  <c r="S58" i="4"/>
  <c r="R58" i="4"/>
  <c r="U58" i="4" s="1"/>
  <c r="V57" i="4"/>
  <c r="U57" i="4"/>
  <c r="T57" i="4"/>
  <c r="S57" i="4"/>
  <c r="R57" i="4"/>
  <c r="V49" i="4"/>
  <c r="R49" i="4"/>
  <c r="V48" i="4"/>
  <c r="U48" i="4"/>
  <c r="T48" i="4"/>
  <c r="S48" i="4"/>
  <c r="R48" i="4"/>
  <c r="V47" i="4"/>
  <c r="R47" i="4"/>
  <c r="U47" i="4" s="1"/>
  <c r="V46" i="4"/>
  <c r="R46" i="4"/>
  <c r="S46" i="4" s="1"/>
  <c r="V45" i="4"/>
  <c r="U45" i="4"/>
  <c r="T45" i="4"/>
  <c r="R45" i="4"/>
  <c r="S45" i="4" s="1"/>
  <c r="V44" i="4"/>
  <c r="R44" i="4"/>
  <c r="V43" i="4"/>
  <c r="U43" i="4"/>
  <c r="T43" i="4"/>
  <c r="S43" i="4"/>
  <c r="R43" i="4"/>
  <c r="V42" i="4"/>
  <c r="R42" i="4"/>
  <c r="U42" i="4" s="1"/>
  <c r="V41" i="4"/>
  <c r="U41" i="4"/>
  <c r="T41" i="4"/>
  <c r="R41" i="4"/>
  <c r="S41" i="4" s="1"/>
  <c r="V40" i="4"/>
  <c r="U40" i="4"/>
  <c r="R40" i="4"/>
  <c r="T40" i="4" s="1"/>
  <c r="V39" i="4"/>
  <c r="R39" i="4"/>
  <c r="U39" i="4" s="1"/>
  <c r="V38" i="4"/>
  <c r="U38" i="4"/>
  <c r="T38" i="4"/>
  <c r="S38" i="4"/>
  <c r="R38" i="4"/>
  <c r="V37" i="4"/>
  <c r="R37" i="4"/>
  <c r="V36" i="4"/>
  <c r="R36" i="4"/>
  <c r="U36" i="4" s="1"/>
  <c r="V35" i="4"/>
  <c r="R35" i="4"/>
  <c r="U35" i="4" s="1"/>
  <c r="V34" i="4"/>
  <c r="T34" i="4"/>
  <c r="S34" i="4"/>
  <c r="R34" i="4"/>
  <c r="U34" i="4" s="1"/>
  <c r="V33" i="4"/>
  <c r="U33" i="4"/>
  <c r="T33" i="4"/>
  <c r="R33" i="4"/>
  <c r="S33" i="4" s="1"/>
  <c r="V32" i="4"/>
  <c r="R32" i="4"/>
  <c r="V31" i="4"/>
  <c r="U31" i="4"/>
  <c r="T31" i="4"/>
  <c r="S31" i="4"/>
  <c r="R31" i="4"/>
  <c r="V30" i="4"/>
  <c r="R30" i="4"/>
  <c r="V29" i="4"/>
  <c r="R29" i="4"/>
  <c r="U29" i="4" s="1"/>
  <c r="V28" i="4"/>
  <c r="U28" i="4"/>
  <c r="R28" i="4"/>
  <c r="T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L130" i="4"/>
  <c r="M130" i="4"/>
  <c r="N130" i="4"/>
  <c r="O130" i="4"/>
  <c r="P130" i="4"/>
  <c r="Q130" i="4"/>
  <c r="I131" i="4"/>
  <c r="J131" i="4"/>
  <c r="K131" i="4" s="1"/>
  <c r="O131" i="4" s="1"/>
  <c r="P131" i="4" s="1"/>
  <c r="L131" i="4"/>
  <c r="M131" i="4"/>
  <c r="N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30" i="4" l="1"/>
  <c r="T30" i="4"/>
  <c r="S30" i="4"/>
  <c r="T46" i="4"/>
  <c r="U64" i="4"/>
  <c r="T64" i="4"/>
  <c r="U75" i="4"/>
  <c r="S82" i="4"/>
  <c r="S85" i="4"/>
  <c r="S130" i="4"/>
  <c r="U37" i="4"/>
  <c r="T37" i="4"/>
  <c r="S37" i="4"/>
  <c r="U46" i="4"/>
  <c r="S61" i="4"/>
  <c r="S64" i="4"/>
  <c r="T82" i="4"/>
  <c r="T85" i="4"/>
  <c r="U114" i="4"/>
  <c r="T114" i="4"/>
  <c r="S114" i="4"/>
  <c r="T130" i="4"/>
  <c r="U32" i="4"/>
  <c r="T32" i="4"/>
  <c r="U91" i="4"/>
  <c r="T91" i="4"/>
  <c r="S29" i="4"/>
  <c r="S32" i="4"/>
  <c r="U71" i="4"/>
  <c r="T71" i="4"/>
  <c r="S71" i="4"/>
  <c r="S88" i="4"/>
  <c r="S91" i="4"/>
  <c r="T29" i="4"/>
  <c r="S68" i="4"/>
  <c r="T88" i="4"/>
  <c r="S36" i="4"/>
  <c r="S39" i="4"/>
  <c r="T68" i="4"/>
  <c r="U78" i="4"/>
  <c r="T78" i="4"/>
  <c r="S108" i="4"/>
  <c r="S116" i="4"/>
  <c r="T36" i="4"/>
  <c r="T39" i="4"/>
  <c r="U49" i="4"/>
  <c r="T49" i="4"/>
  <c r="S49" i="4"/>
  <c r="S75" i="4"/>
  <c r="S78" i="4"/>
  <c r="T108" i="4"/>
  <c r="T116" i="4"/>
  <c r="T61" i="4"/>
  <c r="U44" i="4"/>
  <c r="T44" i="4"/>
  <c r="S70" i="4"/>
  <c r="S73" i="4"/>
  <c r="S44" i="4"/>
  <c r="T73" i="4"/>
  <c r="U83" i="4"/>
  <c r="T83" i="4"/>
  <c r="S83" i="4"/>
  <c r="S126" i="4"/>
  <c r="S42" i="4"/>
  <c r="S62" i="4"/>
  <c r="S76" i="4"/>
  <c r="S89" i="4"/>
  <c r="S121" i="4"/>
  <c r="S35" i="4"/>
  <c r="T42" i="4"/>
  <c r="S47" i="4"/>
  <c r="T62" i="4"/>
  <c r="S69" i="4"/>
  <c r="T76" i="4"/>
  <c r="S81" i="4"/>
  <c r="T89" i="4"/>
  <c r="S107" i="4"/>
  <c r="T121" i="4"/>
  <c r="S131" i="4"/>
  <c r="S28" i="4"/>
  <c r="T35" i="4"/>
  <c r="S40" i="4"/>
  <c r="T47" i="4"/>
  <c r="S60" i="4"/>
  <c r="T69" i="4"/>
  <c r="S74" i="4"/>
  <c r="T81" i="4"/>
  <c r="S86" i="4"/>
  <c r="T107" i="4"/>
  <c r="S119" i="4"/>
  <c r="T131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/>
  <c r="J122" i="4"/>
  <c r="K122" i="4"/>
  <c r="J117" i="4"/>
  <c r="K117" i="4"/>
  <c r="J120" i="4"/>
  <c r="K120" i="4" s="1"/>
  <c r="O120" i="4" s="1"/>
  <c r="P120" i="4" s="1"/>
  <c r="J101" i="4"/>
  <c r="K101" i="4"/>
  <c r="J86" i="4"/>
  <c r="K86" i="4" s="1"/>
  <c r="J85" i="4"/>
  <c r="K85" i="4"/>
  <c r="J88" i="4"/>
  <c r="K88" i="4" s="1"/>
  <c r="J119" i="4"/>
  <c r="K119" i="4" s="1"/>
  <c r="O119" i="4" s="1"/>
  <c r="P119" i="4" s="1"/>
  <c r="J72" i="4"/>
  <c r="L72" i="4" s="1"/>
  <c r="K72" i="4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 s="1"/>
  <c r="O114" i="4" s="1"/>
  <c r="P114" i="4" s="1"/>
  <c r="J78" i="4"/>
  <c r="K78" i="4" s="1"/>
  <c r="J115" i="4"/>
  <c r="K115" i="4"/>
  <c r="O115" i="4" s="1"/>
  <c r="P115" i="4" s="1"/>
  <c r="J99" i="4"/>
  <c r="K99" i="4"/>
  <c r="J83" i="4"/>
  <c r="K83" i="4" s="1"/>
  <c r="J102" i="4"/>
  <c r="K102" i="4"/>
  <c r="J74" i="4"/>
  <c r="K74" i="4" s="1"/>
  <c r="J125" i="4"/>
  <c r="K125" i="4"/>
  <c r="J109" i="4"/>
  <c r="K109" i="4"/>
  <c r="J93" i="4"/>
  <c r="K93" i="4" s="1"/>
  <c r="J77" i="4"/>
  <c r="K77" i="4" s="1"/>
  <c r="J112" i="4"/>
  <c r="K112" i="4"/>
  <c r="J96" i="4"/>
  <c r="K96" i="4"/>
  <c r="J80" i="4"/>
  <c r="K80" i="4" s="1"/>
  <c r="J106" i="4"/>
  <c r="K106" i="4"/>
  <c r="J127" i="4"/>
  <c r="K127" i="4"/>
  <c r="J111" i="4"/>
  <c r="K111" i="4"/>
  <c r="J95" i="4"/>
  <c r="K95" i="4" s="1"/>
  <c r="J79" i="4"/>
  <c r="K79" i="4"/>
  <c r="J126" i="4"/>
  <c r="K126" i="4" s="1"/>
  <c r="O126" i="4" s="1"/>
  <c r="P126" i="4" s="1"/>
  <c r="J94" i="4"/>
  <c r="K94" i="4" s="1"/>
  <c r="J121" i="4"/>
  <c r="K121" i="4"/>
  <c r="O121" i="4" s="1"/>
  <c r="P121" i="4" s="1"/>
  <c r="J105" i="4"/>
  <c r="K105" i="4"/>
  <c r="J89" i="4"/>
  <c r="K89" i="4" s="1"/>
  <c r="J73" i="4"/>
  <c r="K73" i="4" s="1"/>
  <c r="J124" i="4"/>
  <c r="K124" i="4"/>
  <c r="O124" i="4" s="1"/>
  <c r="P124" i="4" s="1"/>
  <c r="J108" i="4"/>
  <c r="K108" i="4" s="1"/>
  <c r="O108" i="4" s="1"/>
  <c r="P108" i="4" s="1"/>
  <c r="J92" i="4"/>
  <c r="K92" i="4" s="1"/>
  <c r="J76" i="4"/>
  <c r="K76" i="4" s="1"/>
  <c r="J98" i="4"/>
  <c r="K98" i="4"/>
  <c r="J123" i="4"/>
  <c r="K123" i="4"/>
  <c r="J107" i="4"/>
  <c r="K107" i="4"/>
  <c r="O107" i="4" s="1"/>
  <c r="P107" i="4" s="1"/>
  <c r="J91" i="4"/>
  <c r="K91" i="4" s="1"/>
  <c r="O91" i="4" s="1"/>
  <c r="P91" i="4" s="1"/>
  <c r="J75" i="4"/>
  <c r="K75" i="4" s="1"/>
  <c r="P100" i="4"/>
  <c r="O112" i="4"/>
  <c r="P112" i="4"/>
  <c r="O98" i="4"/>
  <c r="P98" i="4"/>
  <c r="O105" i="4"/>
  <c r="P105" i="4"/>
  <c r="O111" i="4"/>
  <c r="P111" i="4"/>
  <c r="O104" i="4"/>
  <c r="P104" i="4"/>
  <c r="O85" i="4"/>
  <c r="P85" i="4" s="1"/>
  <c r="O127" i="4"/>
  <c r="P127" i="4"/>
  <c r="O96" i="4"/>
  <c r="P96" i="4" s="1"/>
  <c r="O102" i="4"/>
  <c r="P102" i="4"/>
  <c r="O110" i="4"/>
  <c r="P110" i="4"/>
  <c r="O118" i="4"/>
  <c r="P118" i="4"/>
  <c r="O117" i="4"/>
  <c r="P117" i="4"/>
  <c r="O106" i="4"/>
  <c r="P106" i="4"/>
  <c r="O109" i="4"/>
  <c r="P109" i="4"/>
  <c r="O113" i="4"/>
  <c r="P113" i="4"/>
  <c r="O71" i="4"/>
  <c r="P71" i="4" s="1"/>
  <c r="O103" i="4"/>
  <c r="P103" i="4"/>
  <c r="O122" i="4"/>
  <c r="P122" i="4"/>
  <c r="O123" i="4"/>
  <c r="P123" i="4"/>
  <c r="O125" i="4"/>
  <c r="P125" i="4"/>
  <c r="O99" i="4"/>
  <c r="P99" i="4"/>
  <c r="O101" i="4"/>
  <c r="P101" i="4"/>
  <c r="O87" i="4"/>
  <c r="P87" i="4" s="1"/>
  <c r="I76" i="4"/>
  <c r="I77" i="4"/>
  <c r="I81" i="4"/>
  <c r="I89" i="4"/>
  <c r="I90" i="4"/>
  <c r="I96" i="4"/>
  <c r="I99" i="4"/>
  <c r="I102" i="4"/>
  <c r="I104" i="4"/>
  <c r="I108" i="4"/>
  <c r="N108" i="4" s="1"/>
  <c r="Q108" i="4" s="1"/>
  <c r="I111" i="4"/>
  <c r="I113" i="4"/>
  <c r="I115" i="4"/>
  <c r="I119" i="4"/>
  <c r="I120" i="4"/>
  <c r="I123" i="4"/>
  <c r="I125" i="4"/>
  <c r="I79" i="4"/>
  <c r="N79" i="4" s="1"/>
  <c r="Q79" i="4" s="1"/>
  <c r="I92" i="4"/>
  <c r="I100" i="4"/>
  <c r="I103" i="4"/>
  <c r="I107" i="4"/>
  <c r="N107" i="4" s="1"/>
  <c r="Q107" i="4" s="1"/>
  <c r="I109" i="4"/>
  <c r="I110" i="4"/>
  <c r="I117" i="4"/>
  <c r="I124" i="4"/>
  <c r="L124" i="4" s="1"/>
  <c r="M124" i="4" s="1"/>
  <c r="I72" i="4"/>
  <c r="I106" i="4"/>
  <c r="I71" i="4"/>
  <c r="I75" i="4"/>
  <c r="N75" i="4" s="1"/>
  <c r="Q75" i="4" s="1"/>
  <c r="I80" i="4"/>
  <c r="I83" i="4"/>
  <c r="L83" i="4" s="1"/>
  <c r="I86" i="4"/>
  <c r="L86" i="4" s="1"/>
  <c r="I88" i="4"/>
  <c r="N88" i="4" s="1"/>
  <c r="Q88" i="4" s="1"/>
  <c r="I94" i="4"/>
  <c r="I95" i="4"/>
  <c r="I98" i="4"/>
  <c r="I101" i="4"/>
  <c r="I118" i="4"/>
  <c r="I127" i="4"/>
  <c r="I73" i="4"/>
  <c r="N73" i="4" s="1"/>
  <c r="Q73" i="4" s="1"/>
  <c r="I74" i="4"/>
  <c r="I78" i="4"/>
  <c r="I82" i="4"/>
  <c r="I85" i="4"/>
  <c r="L85" i="4" s="1"/>
  <c r="I93" i="4"/>
  <c r="N93" i="4" s="1"/>
  <c r="Q93" i="4" s="1"/>
  <c r="I112" i="4"/>
  <c r="I114" i="4"/>
  <c r="L114" i="4" s="1"/>
  <c r="M114" i="4" s="1"/>
  <c r="I121" i="4"/>
  <c r="I122" i="4"/>
  <c r="I84" i="4"/>
  <c r="I87" i="4"/>
  <c r="I91" i="4"/>
  <c r="N91" i="4" s="1"/>
  <c r="Q91" i="4" s="1"/>
  <c r="I97" i="4"/>
  <c r="L97" i="4" s="1"/>
  <c r="I105" i="4"/>
  <c r="I116" i="4"/>
  <c r="I126" i="4"/>
  <c r="L105" i="4"/>
  <c r="N105" i="4"/>
  <c r="Q105" i="4"/>
  <c r="N84" i="4"/>
  <c r="Q84" i="4" s="1"/>
  <c r="N121" i="4"/>
  <c r="Q121" i="4" s="1"/>
  <c r="L121" i="4"/>
  <c r="M121" i="4" s="1"/>
  <c r="L73" i="4"/>
  <c r="N101" i="4"/>
  <c r="Q101" i="4"/>
  <c r="L101" i="4"/>
  <c r="L75" i="4"/>
  <c r="L106" i="4"/>
  <c r="N106" i="4"/>
  <c r="Q106" i="4"/>
  <c r="N124" i="4"/>
  <c r="Q124" i="4" s="1"/>
  <c r="L79" i="4"/>
  <c r="N119" i="4"/>
  <c r="Q119" i="4" s="1"/>
  <c r="L119" i="4"/>
  <c r="M119" i="4" s="1"/>
  <c r="L96" i="4"/>
  <c r="N96" i="4"/>
  <c r="Q96" i="4" s="1"/>
  <c r="N77" i="4"/>
  <c r="Q77" i="4" s="1"/>
  <c r="L77" i="4"/>
  <c r="N98" i="4"/>
  <c r="Q98" i="4"/>
  <c r="L98" i="4"/>
  <c r="N86" i="4"/>
  <c r="Q86" i="4" s="1"/>
  <c r="N71" i="4"/>
  <c r="Q71" i="4" s="1"/>
  <c r="L71" i="4"/>
  <c r="M71" i="4" s="1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 s="1"/>
  <c r="L115" i="4"/>
  <c r="M115" i="4" s="1"/>
  <c r="L104" i="4"/>
  <c r="N104" i="4"/>
  <c r="Q104" i="4"/>
  <c r="N90" i="4"/>
  <c r="Q90" i="4" s="1"/>
  <c r="L90" i="4"/>
  <c r="N76" i="4"/>
  <c r="Q76" i="4" s="1"/>
  <c r="N126" i="4"/>
  <c r="Q126" i="4" s="1"/>
  <c r="L112" i="4"/>
  <c r="N112" i="4"/>
  <c r="Q112" i="4"/>
  <c r="L78" i="4"/>
  <c r="N78" i="4"/>
  <c r="Q78" i="4" s="1"/>
  <c r="L127" i="4"/>
  <c r="M127" i="4" s="1"/>
  <c r="N127" i="4"/>
  <c r="Q127" i="4" s="1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 s="1"/>
  <c r="L116" i="4"/>
  <c r="M116" i="4" s="1"/>
  <c r="N87" i="4"/>
  <c r="Q87" i="4" s="1"/>
  <c r="L87" i="4"/>
  <c r="N122" i="4"/>
  <c r="Q122" i="4"/>
  <c r="L122" i="4"/>
  <c r="N74" i="4"/>
  <c r="Q74" i="4" s="1"/>
  <c r="N118" i="4"/>
  <c r="Q118" i="4"/>
  <c r="L118" i="4"/>
  <c r="L94" i="4"/>
  <c r="N94" i="4"/>
  <c r="Q94" i="4" s="1"/>
  <c r="L80" i="4"/>
  <c r="N80" i="4"/>
  <c r="Q80" i="4" s="1"/>
  <c r="N109" i="4"/>
  <c r="Q109" i="4"/>
  <c r="L109" i="4"/>
  <c r="L92" i="4"/>
  <c r="N92" i="4"/>
  <c r="Q92" i="4" s="1"/>
  <c r="N120" i="4"/>
  <c r="Q120" i="4" s="1"/>
  <c r="N111" i="4"/>
  <c r="Q111" i="4"/>
  <c r="L111" i="4"/>
  <c r="N99" i="4"/>
  <c r="Q99" i="4"/>
  <c r="L99" i="4"/>
  <c r="L81" i="4"/>
  <c r="N81" i="4"/>
  <c r="Q81" i="4" s="1"/>
  <c r="O92" i="4" l="1"/>
  <c r="P92" i="4" s="1"/>
  <c r="O76" i="4"/>
  <c r="P76" i="4" s="1"/>
  <c r="O77" i="4"/>
  <c r="P77" i="4" s="1"/>
  <c r="O75" i="4"/>
  <c r="P75" i="4" s="1"/>
  <c r="O93" i="4"/>
  <c r="P93" i="4" s="1"/>
  <c r="O73" i="4"/>
  <c r="P73" i="4" s="1"/>
  <c r="O83" i="4"/>
  <c r="P83" i="4" s="1"/>
  <c r="M72" i="4"/>
  <c r="O74" i="4"/>
  <c r="P74" i="4" s="1"/>
  <c r="N114" i="4"/>
  <c r="Q114" i="4" s="1"/>
  <c r="O79" i="4"/>
  <c r="P79" i="4" s="1"/>
  <c r="M85" i="4"/>
  <c r="M86" i="4"/>
  <c r="O95" i="4"/>
  <c r="P95" i="4" s="1"/>
  <c r="L107" i="4"/>
  <c r="M107" i="4" s="1"/>
  <c r="L82" i="4"/>
  <c r="M83" i="4"/>
  <c r="M90" i="4"/>
  <c r="M75" i="4"/>
  <c r="M87" i="4"/>
  <c r="M94" i="4"/>
  <c r="L126" i="4"/>
  <c r="M126" i="4" s="1"/>
  <c r="L120" i="4"/>
  <c r="M120" i="4" s="1"/>
  <c r="O89" i="4"/>
  <c r="P89" i="4" s="1"/>
  <c r="O88" i="4"/>
  <c r="P88" i="4" s="1"/>
  <c r="M89" i="4"/>
  <c r="O82" i="4"/>
  <c r="P82" i="4" s="1"/>
  <c r="M95" i="4"/>
  <c r="M96" i="4"/>
  <c r="M97" i="4"/>
  <c r="O90" i="4"/>
  <c r="P90" i="4" s="1"/>
  <c r="M79" i="4"/>
  <c r="L91" i="4"/>
  <c r="M91" i="4" s="1"/>
  <c r="O72" i="4"/>
  <c r="P72" i="4" s="1"/>
  <c r="M80" i="4"/>
  <c r="M77" i="4"/>
  <c r="L108" i="4"/>
  <c r="M108" i="4" s="1"/>
  <c r="M73" i="4"/>
  <c r="O81" i="4"/>
  <c r="P81" i="4" s="1"/>
  <c r="M78" i="4"/>
  <c r="L76" i="4"/>
  <c r="O97" i="4"/>
  <c r="P97" i="4" s="1"/>
  <c r="O86" i="4"/>
  <c r="P86" i="4" s="1"/>
  <c r="L74" i="4"/>
  <c r="M92" i="4"/>
  <c r="L84" i="4"/>
  <c r="O84" i="4"/>
  <c r="P84" i="4" s="1"/>
  <c r="O94" i="4"/>
  <c r="P94" i="4" s="1"/>
  <c r="O80" i="4"/>
  <c r="P80" i="4" s="1"/>
  <c r="O78" i="4"/>
  <c r="P78" i="4" s="1"/>
  <c r="M81" i="4"/>
  <c r="N97" i="4"/>
  <c r="Q97" i="4" s="1"/>
  <c r="N85" i="4"/>
  <c r="Q85" i="4" s="1"/>
  <c r="L93" i="4"/>
  <c r="L88" i="4"/>
  <c r="N82" i="4"/>
  <c r="Q82" i="4" s="1"/>
  <c r="J14" i="4"/>
  <c r="J13" i="4" s="1"/>
  <c r="K16" i="4" s="1"/>
  <c r="M88" i="4" l="1"/>
  <c r="M93" i="4"/>
  <c r="M82" i="4"/>
  <c r="M76" i="4"/>
  <c r="M84" i="4"/>
  <c r="M74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O65" i="4" l="1"/>
  <c r="P65" i="4" s="1"/>
  <c r="O66" i="4"/>
  <c r="P66" i="4" s="1"/>
  <c r="M69" i="4"/>
  <c r="M65" i="4"/>
  <c r="M66" i="4"/>
  <c r="O64" i="4"/>
  <c r="P64" i="4" s="1"/>
  <c r="O69" i="4"/>
  <c r="P69" i="4" s="1"/>
  <c r="M67" i="4"/>
  <c r="M58" i="4"/>
  <c r="O67" i="4"/>
  <c r="P67" i="4" s="1"/>
  <c r="M68" i="4"/>
  <c r="M57" i="4"/>
  <c r="O68" i="4"/>
  <c r="P68" i="4" s="1"/>
  <c r="M64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J45" i="4" s="1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0" i="4" l="1"/>
  <c r="J43" i="4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5" i="4"/>
  <c r="K45" i="4"/>
  <c r="L47" i="4"/>
  <c r="K47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K30" i="4"/>
  <c r="L30" i="4"/>
  <c r="L31" i="4" l="1"/>
  <c r="O48" i="4"/>
  <c r="P48" i="4" s="1"/>
  <c r="O49" i="4"/>
  <c r="P49" i="4" s="1"/>
  <c r="M49" i="4"/>
  <c r="M48" i="4"/>
  <c r="K35" i="4"/>
  <c r="M35" i="4"/>
  <c r="M47" i="4"/>
  <c r="O30" i="4"/>
  <c r="P30" i="4" s="1"/>
  <c r="O31" i="4"/>
  <c r="P31" i="4" s="1"/>
  <c r="M44" i="4"/>
  <c r="O47" i="4"/>
  <c r="P47" i="4" s="1"/>
  <c r="O45" i="4"/>
  <c r="P45" i="4" s="1"/>
  <c r="M45" i="4"/>
  <c r="M31" i="4"/>
  <c r="O33" i="4"/>
  <c r="P33" i="4" s="1"/>
  <c r="O28" i="4"/>
  <c r="P28" i="4" s="1"/>
  <c r="O46" i="4"/>
  <c r="P46" i="4" s="1"/>
  <c r="O43" i="4"/>
  <c r="P43" i="4" s="1"/>
  <c r="M43" i="4"/>
  <c r="O39" i="4"/>
  <c r="P39" i="4" s="1"/>
  <c r="M39" i="4"/>
  <c r="O41" i="4"/>
  <c r="P41" i="4" s="1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35" i="4" l="1"/>
  <c r="P35" i="4" s="1"/>
  <c r="O36" i="4"/>
  <c r="P36" i="4" s="1"/>
  <c r="O32" i="4"/>
  <c r="P32" i="4" s="1"/>
  <c r="O40" i="4"/>
  <c r="P40" i="4" s="1"/>
  <c r="M41" i="4"/>
  <c r="O37" i="4"/>
  <c r="P37" i="4" s="1"/>
  <c r="O29" i="4"/>
  <c r="P29" i="4" s="1"/>
  <c r="O38" i="4"/>
  <c r="P38" i="4" s="1"/>
  <c r="M33" i="4"/>
  <c r="O34" i="4"/>
  <c r="P34" i="4" s="1"/>
  <c r="O42" i="4"/>
  <c r="P42" i="4" s="1"/>
  <c r="M46" i="4"/>
  <c r="O44" i="4"/>
  <c r="P44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<sst xmlns="http://schemas.openxmlformats.org/spreadsheetml/2006/main" count="318" uniqueCount="295">
  <si>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</si>
  <si>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</si>
  <si>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</si>
  <si>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</si>
  <si>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</si>
  <si>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</si>
  <si>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</si>
  <si>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</si>
  <si>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</si>
  <si>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</si>
  <si>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</si>
  <si>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</si>
  <si>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</si>
  <si>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</si>
  <si>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</si>
  <si>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</si>
  <si>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</si>
  <si>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</si>
  <si>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</si>
  <si>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</si>
  <si>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</si>
  <si>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</si>
  <si>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</si>
  <si>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</si>
  <si>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</si>
  <si>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</si>
  <si>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</si>
  <si>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</si>
  <si>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</si>
  <si>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</si>
  <si>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</si>
  <si>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</si>
  <si>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</si>
  <si>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</si>
  <si>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</si>
  <si>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</si>
  <si>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</si>
  <si>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</si>
  <si>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</si>
  <si>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</si>
  <si>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</si>
  <si>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</si>
  <si>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</si>
  <si>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</si>
  <si>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</si>
  <si>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</si>
  <si>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</si>
  <si>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</si>
  <si>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</si>
  <si>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</si>
  <si>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</si>
  <si>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</si>
  <si>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</si>
  <si>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</si>
  <si>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</si>
  <si>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</si>
  <si>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</si>
  <si>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</si>
  <si>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</si>
  <si>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</si>
  <si>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</si>
  <si>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</si>
  <si>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</si>
  <si>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</si>
  <si>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</si>
  <si>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</si>
  <si>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</si>
  <si>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</si>
  <si>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</si>
  <si>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</si>
  <si>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</si>
  <si>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</si>
  <si>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</si>
  <si>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</si>
  <si>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</si>
  <si>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</si>
  <si>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</si>
  <si>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</si>
  <si>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</si>
  <si>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</si>
  <si>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</si>
  <si>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</si>
  <si>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</si>
  <si>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</si>
  <si>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</si>
  <si>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</si>
  <si>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</si>
  <si>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</si>
  <si>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</si>
  <si>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</si>
  <si>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</si>
  <si>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</si>
  <si>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</si>
  <si>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</si>
  <si>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</si>
  <si>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</si>
  <si>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</si>
  <si>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</si>
  <si>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</si>
  <si>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</si>
  <si>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</si>
  <si>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</si>
  <si>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</si>
  <si>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</si>
  <si>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</si>
  <si>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</si>
  <si>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</si>
  <si>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</si>
  <si>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</si>
  <si>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</si>
  <si>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</si>
  <si>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</si>
  <si>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HEK293T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</si>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</sst>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6.6116099999999995E-3</v>
      </c>
      <c r="M17" s="81">
        <v>6.1539000000000006E-4</v>
      </c>
      <c r="N17" s="81">
        <v>7.2999999999999999E-5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4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150.14599999999999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149.35523220000002</v>
      </c>
      <c r="K8" s="39">
        <f>J8/J7</f>
        <v>0.99473334088154219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0.73230780000000006</v>
      </c>
      <c r="K9" s="39">
        <f>J9/J7</f>
        <v>4.8773047567034758E-3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5.8459999999999998E-2</v>
      </c>
      <c r="K10" s="39">
        <f>J10/J7</f>
        <v>3.8935436175455894E-4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0.14599999999999999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0.13223219999999999</v>
      </c>
      <c r="K20" s="39">
        <f>J20/J19</f>
        <v>0.90570000000000006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1.2307800000000001E-2</v>
      </c>
      <c r="K21" s="39">
        <f>J21/J19</f>
        <v>8.4300000000000014E-2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1.4599999999999999E-3</v>
      </c>
      <c r="K22" s="39">
        <f>J22/J19</f>
        <v>0.01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0.73367838445348477</v>
      </c>
      <c r="K28" s="95">
        <f t="shared" ref="K28:K47" si="3">IF(D28=0,"",1/(1+10^D28*$J$15/$J$14+10^E28*$J$16/$J$14+10^J28*$J$19/$J$14))</f>
        <v>0.80112645300882113</v>
      </c>
      <c r="L28" s="95">
        <f t="shared" ref="L28:L47" si="4">IF(D28=0,"",1/(1+10^I28/10^J28*$J$13/$J$19))</f>
        <v>4.2451842633425847E-3</v>
      </c>
      <c r="M28" s="95">
        <f t="shared" ref="M28:M47" si="5">IF(D28=0,"",1-L28)</f>
        <v>0.99575481573665736</v>
      </c>
      <c r="N28" s="95">
        <f t="shared" ref="N28:N47" si="6">IF(D28=0,"",1/(1/10^E28*$J$20/$J$22+10^D28/10^E28*$J$21/$J$22+10^I28/10^E28*$J$13/$J$22+1))</f>
        <v>6.2612805138495943E-4</v>
      </c>
      <c r="O28" s="40">
        <f t="shared" ref="O28:O47" si="7">IF(D28=0,"",F28*K28*$J$7/$J$14)</f>
        <v>8.0608171939622197E-7</v>
      </c>
      <c r="P28" s="40">
        <f t="shared" ref="P28:P47" si="8">IF(D28=0,"",O28*10^J28)</f>
        <v>4.3657358657796959E-6</v>
      </c>
      <c r="Q28" s="40">
        <f t="shared" ref="Q28:Q47" si="9">IF(D28=0,"",F28*N28*$J$7/$J$22)</f>
        <v>6.4390837262497341E-5</v>
      </c>
      <c r="R28" s="9">
        <f>F28*$C$14</f>
        <v>1.4999999999999999E-4</v>
      </c>
      <c r="S28" s="9">
        <f>$R28*L28</f>
        <v>6.3677763950138768E-7</v>
      </c>
      <c r="T28" s="9">
        <f t="shared" ref="T28:T49" si="10">R28*K28</f>
        <v>1.2016896795132316E-4</v>
      </c>
      <c r="U28" s="9">
        <f t="shared" ref="U28:U49" si="11">$R28*M28</f>
        <v>1.493632223604986E-4</v>
      </c>
      <c r="V28" s="102">
        <f>K28/M28</f>
        <v>0.80454188154354989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2.7194923137791687</v>
      </c>
      <c r="J29" s="94">
        <f t="shared" si="2"/>
        <v>4.0594690780898786</v>
      </c>
      <c r="K29" s="95">
        <f t="shared" si="3"/>
        <v>1.858240012890593E-3</v>
      </c>
      <c r="L29" s="95">
        <f t="shared" si="4"/>
        <v>2.0849131780606409E-2</v>
      </c>
      <c r="M29" s="95">
        <f t="shared" si="5"/>
        <v>0.97915086821939357</v>
      </c>
      <c r="N29" s="95">
        <f t="shared" si="6"/>
        <v>1.2450904335174007E-2</v>
      </c>
      <c r="O29" s="40">
        <f t="shared" si="7"/>
        <v>1.8697339215501026E-9</v>
      </c>
      <c r="P29" s="40">
        <f t="shared" si="8"/>
        <v>2.1441190002266657E-5</v>
      </c>
      <c r="Q29" s="40">
        <f t="shared" si="9"/>
        <v>1.2804475906226277E-3</v>
      </c>
      <c r="R29" s="9">
        <f>F29*$C$14</f>
        <v>1.4999999999999999E-4</v>
      </c>
      <c r="S29" s="9">
        <f t="shared" ref="S29:S49" si="12">$R29*L29</f>
        <v>3.1273697670909612E-6</v>
      </c>
      <c r="T29" s="9">
        <f t="shared" si="10"/>
        <v>2.7873600193358893E-7</v>
      </c>
      <c r="U29" s="9">
        <f t="shared" si="11"/>
        <v>1.4687263023290903E-4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5.9163420575972845</v>
      </c>
      <c r="J30" s="94">
        <f t="shared" si="2"/>
        <v>7.3247125997419902</v>
      </c>
      <c r="K30" s="95">
        <f t="shared" si="3"/>
        <v>1.1768210748541045E-6</v>
      </c>
      <c r="L30" s="95">
        <f t="shared" si="4"/>
        <v>2.4318687160341534E-2</v>
      </c>
      <c r="M30" s="95">
        <f t="shared" si="5"/>
        <v>0.97568131283965842</v>
      </c>
      <c r="N30" s="95">
        <f t="shared" si="6"/>
        <v>2.2969552075333296E-2</v>
      </c>
      <c r="O30" s="40">
        <f t="shared" si="7"/>
        <v>1.1841001528252637E-12</v>
      </c>
      <c r="P30" s="40">
        <f t="shared" si="8"/>
        <v>2.500927124915514E-5</v>
      </c>
      <c r="Q30" s="40">
        <f t="shared" si="9"/>
        <v>2.3621824423993099E-3</v>
      </c>
      <c r="R30" s="9">
        <f t="shared" ref="R30:R49" si="14">F30*$C$14</f>
        <v>1.4999999999999999E-4</v>
      </c>
      <c r="S30" s="9">
        <f t="shared" si="12"/>
        <v>3.6478030740512298E-6</v>
      </c>
      <c r="T30" s="9">
        <f t="shared" si="10"/>
        <v>1.7652316122811567E-10</v>
      </c>
      <c r="U30" s="9">
        <f t="shared" si="11"/>
        <v>1.4635219692594876E-4</v>
      </c>
      <c r="V30" s="102">
        <f t="shared" si="13"/>
        <v>1.2061531356268797E-6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1.2852308448323728</v>
      </c>
      <c r="J31" s="94">
        <f t="shared" si="2"/>
        <v>2.588750951841865</v>
      </c>
      <c r="K31" s="95">
        <f t="shared" si="3"/>
        <v>5.0593293304904162E-2</v>
      </c>
      <c r="L31" s="95">
        <f t="shared" si="4"/>
        <v>1.9202642248100713E-2</v>
      </c>
      <c r="M31" s="95">
        <f t="shared" si="5"/>
        <v>0.98079735775189925</v>
      </c>
      <c r="N31" s="95">
        <f t="shared" si="6"/>
        <v>9.7910448306095053E-3</v>
      </c>
      <c r="O31" s="40">
        <f t="shared" si="7"/>
        <v>5.0906231724051509E-8</v>
      </c>
      <c r="P31" s="40">
        <f t="shared" si="8"/>
        <v>1.9747944677968018E-5</v>
      </c>
      <c r="Q31" s="40">
        <f t="shared" si="9"/>
        <v>1.0069083679018456E-3</v>
      </c>
      <c r="R31" s="9">
        <f t="shared" si="14"/>
        <v>1.4999999999999999E-4</v>
      </c>
      <c r="S31" s="9">
        <f t="shared" si="12"/>
        <v>2.8803963372151067E-6</v>
      </c>
      <c r="T31" s="9">
        <f t="shared" si="10"/>
        <v>7.5889939957356236E-6</v>
      </c>
      <c r="U31" s="9">
        <f t="shared" si="11"/>
        <v>1.4711960366278488E-4</v>
      </c>
      <c r="V31" s="102">
        <f t="shared" si="13"/>
        <v>5.158383931709383E-2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3.9109447814528924</v>
      </c>
      <c r="J32" s="94">
        <f t="shared" si="2"/>
        <v>5.2541395657856595</v>
      </c>
      <c r="K32" s="95">
        <f t="shared" si="3"/>
        <v>1.1955892536494187E-4</v>
      </c>
      <c r="L32" s="95">
        <f t="shared" si="4"/>
        <v>2.100093629432789E-2</v>
      </c>
      <c r="M32" s="95">
        <f t="shared" si="5"/>
        <v>0.97899906370567213</v>
      </c>
      <c r="N32" s="95">
        <f t="shared" si="6"/>
        <v>1.283036737256292E-2</v>
      </c>
      <c r="O32" s="40">
        <f t="shared" si="7"/>
        <v>1.2029844198176259E-10</v>
      </c>
      <c r="P32" s="40">
        <f t="shared" si="8"/>
        <v>2.1597305348275039E-5</v>
      </c>
      <c r="Q32" s="40">
        <f t="shared" si="9"/>
        <v>1.3194714654252275E-3</v>
      </c>
      <c r="R32" s="9">
        <f t="shared" si="14"/>
        <v>1.4999999999999999E-4</v>
      </c>
      <c r="S32" s="9">
        <f t="shared" si="12"/>
        <v>3.1501404441491831E-6</v>
      </c>
      <c r="T32" s="9">
        <f t="shared" si="10"/>
        <v>1.7933838804741279E-8</v>
      </c>
      <c r="U32" s="9">
        <f t="shared" si="11"/>
        <v>1.4684985955585082E-4</v>
      </c>
      <c r="V32" s="102">
        <f t="shared" si="13"/>
        <v>1.2212363606599552E-4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3.4646398062685488</v>
      </c>
      <c r="J33" s="94">
        <f t="shared" si="2"/>
        <v>4.7956325345638788</v>
      </c>
      <c r="K33" s="95">
        <f t="shared" si="3"/>
        <v>3.3430258878240079E-4</v>
      </c>
      <c r="L33" s="95">
        <f t="shared" si="4"/>
        <v>2.0430987740413124E-2</v>
      </c>
      <c r="M33" s="95">
        <f t="shared" si="5"/>
        <v>0.97956901225958692</v>
      </c>
      <c r="N33" s="95">
        <f t="shared" si="6"/>
        <v>1.1098053872145965E-2</v>
      </c>
      <c r="O33" s="40">
        <f t="shared" si="7"/>
        <v>3.36370375178909E-10</v>
      </c>
      <c r="P33" s="40">
        <f t="shared" si="8"/>
        <v>2.1011171816931989E-5</v>
      </c>
      <c r="Q33" s="40">
        <f t="shared" si="9"/>
        <v>1.141320819648786E-3</v>
      </c>
      <c r="R33" s="9">
        <f t="shared" si="14"/>
        <v>1.4999999999999999E-4</v>
      </c>
      <c r="S33" s="9">
        <f t="shared" si="12"/>
        <v>3.0646481610619685E-6</v>
      </c>
      <c r="T33" s="9">
        <f t="shared" si="10"/>
        <v>5.0145388317360112E-8</v>
      </c>
      <c r="U33" s="9">
        <f t="shared" si="11"/>
        <v>1.4693535183893803E-4</v>
      </c>
      <c r="V33" s="102">
        <f t="shared" si="13"/>
        <v>3.4127517775522508E-4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3.4579829545014036</v>
      </c>
      <c r="J34" s="94">
        <f t="shared" si="2"/>
        <v>4.7972521440478495</v>
      </c>
      <c r="K34" s="95">
        <f t="shared" si="3"/>
        <v>3.3933285196426332E-4</v>
      </c>
      <c r="L34" s="95">
        <f t="shared" si="4"/>
        <v>2.0815897474703287E-2</v>
      </c>
      <c r="M34" s="95">
        <f t="shared" si="5"/>
        <v>0.97918410252529675</v>
      </c>
      <c r="N34" s="95">
        <f t="shared" si="6"/>
        <v>1.2275268381243603E-2</v>
      </c>
      <c r="O34" s="40">
        <f t="shared" si="7"/>
        <v>3.4143175241769876E-10</v>
      </c>
      <c r="P34" s="40">
        <f t="shared" si="8"/>
        <v>2.1407011933128778E-5</v>
      </c>
      <c r="Q34" s="40">
        <f t="shared" si="9"/>
        <v>1.2623852372398642E-3</v>
      </c>
      <c r="R34" s="9">
        <f t="shared" si="14"/>
        <v>1.4999999999999999E-4</v>
      </c>
      <c r="S34" s="9">
        <f t="shared" si="12"/>
        <v>3.1223846212054927E-6</v>
      </c>
      <c r="T34" s="9">
        <f t="shared" si="10"/>
        <v>5.0899927794639492E-8</v>
      </c>
      <c r="U34" s="9">
        <f t="shared" si="11"/>
        <v>1.4687761537879451E-4</v>
      </c>
      <c r="V34" s="102">
        <f t="shared" si="13"/>
        <v>3.4654652898176197E-4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0.62193942428688143</v>
      </c>
      <c r="J35" s="94">
        <f t="shared" si="2"/>
        <v>1.798585736505889</v>
      </c>
      <c r="K35" s="95">
        <f t="shared" si="3"/>
        <v>0.23415435164104487</v>
      </c>
      <c r="L35" s="95">
        <f t="shared" si="4"/>
        <v>1.4408045084401456E-2</v>
      </c>
      <c r="M35" s="95">
        <f t="shared" si="5"/>
        <v>0.98559195491559859</v>
      </c>
      <c r="N35" s="95">
        <f t="shared" si="6"/>
        <v>4.0747157901871679E-3</v>
      </c>
      <c r="O35" s="40">
        <f t="shared" si="7"/>
        <v>2.3560268377861533E-7</v>
      </c>
      <c r="P35" s="40">
        <f t="shared" si="8"/>
        <v>1.4817194090702337E-5</v>
      </c>
      <c r="Q35" s="40">
        <f t="shared" si="9"/>
        <v>4.1904265550235786E-4</v>
      </c>
      <c r="R35" s="9">
        <f t="shared" si="14"/>
        <v>1.4999999999999999E-4</v>
      </c>
      <c r="S35" s="9">
        <f t="shared" si="12"/>
        <v>2.1612067626602181E-6</v>
      </c>
      <c r="T35" s="9">
        <f t="shared" si="10"/>
        <v>3.5123152746156729E-5</v>
      </c>
      <c r="U35" s="9">
        <f t="shared" si="11"/>
        <v>1.4783879323733976E-4</v>
      </c>
      <c r="V35" s="102">
        <f t="shared" si="13"/>
        <v>0.23757737720281688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6.3597288158186656</v>
      </c>
      <c r="J36" s="94">
        <f t="shared" si="2"/>
        <v>7.7689430999035345</v>
      </c>
      <c r="K36" s="95">
        <f t="shared" si="3"/>
        <v>4.2393877532056118E-7</v>
      </c>
      <c r="L36" s="95">
        <f t="shared" si="4"/>
        <v>2.4364826868166208E-2</v>
      </c>
      <c r="M36" s="95">
        <f t="shared" si="5"/>
        <v>0.97563517313183379</v>
      </c>
      <c r="N36" s="95">
        <f t="shared" si="6"/>
        <v>2.3110600478016274E-2</v>
      </c>
      <c r="O36" s="40">
        <f t="shared" si="7"/>
        <v>4.2656099501605629E-13</v>
      </c>
      <c r="P36" s="40">
        <f t="shared" si="8"/>
        <v>2.5056721198271847E-5</v>
      </c>
      <c r="Q36" s="40">
        <f t="shared" si="9"/>
        <v>2.3766878214878293E-3</v>
      </c>
      <c r="R36" s="9">
        <f t="shared" si="14"/>
        <v>1.4999999999999999E-4</v>
      </c>
      <c r="S36" s="9">
        <f t="shared" si="12"/>
        <v>3.6547240302249309E-6</v>
      </c>
      <c r="T36" s="9">
        <f t="shared" si="10"/>
        <v>6.3590816298084165E-11</v>
      </c>
      <c r="U36" s="9">
        <f t="shared" si="11"/>
        <v>1.4634527596977506E-4</v>
      </c>
      <c r="V36" s="102">
        <f t="shared" si="13"/>
        <v>4.3452592423425882E-7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2.0466328175843658</v>
      </c>
      <c r="J37" s="94">
        <f t="shared" si="2"/>
        <v>3.3743997874095357</v>
      </c>
      <c r="K37" s="95">
        <f t="shared" si="3"/>
        <v>8.7541179657606664E-3</v>
      </c>
      <c r="L37" s="95">
        <f t="shared" si="4"/>
        <v>2.0282863641397957E-2</v>
      </c>
      <c r="M37" s="95">
        <f t="shared" si="5"/>
        <v>0.97971713635860203</v>
      </c>
      <c r="N37" s="95">
        <f t="shared" si="6"/>
        <v>1.1055400584804267E-2</v>
      </c>
      <c r="O37" s="40">
        <f t="shared" si="7"/>
        <v>8.8082654556408916E-9</v>
      </c>
      <c r="P37" s="40">
        <f t="shared" si="8"/>
        <v>2.0858841399324257E-5</v>
      </c>
      <c r="Q37" s="40">
        <f t="shared" si="9"/>
        <v>1.1369343672643984E-3</v>
      </c>
      <c r="R37" s="9">
        <f t="shared" si="14"/>
        <v>1.4999999999999999E-4</v>
      </c>
      <c r="S37" s="9">
        <f t="shared" si="12"/>
        <v>3.0424295462096933E-6</v>
      </c>
      <c r="T37" s="9">
        <f t="shared" si="10"/>
        <v>1.3131176948640998E-6</v>
      </c>
      <c r="U37" s="9">
        <f t="shared" si="11"/>
        <v>1.4695757045379029E-4</v>
      </c>
      <c r="V37" s="102">
        <f t="shared" si="13"/>
        <v>8.9353525021495916E-3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0.75425121724867172</v>
      </c>
      <c r="J38" s="94">
        <f t="shared" si="2"/>
        <v>1.9813184321206099</v>
      </c>
      <c r="K38" s="95">
        <f t="shared" si="3"/>
        <v>0.17235377689193027</v>
      </c>
      <c r="L38" s="95">
        <f t="shared" si="4"/>
        <v>1.6153116519909666E-2</v>
      </c>
      <c r="M38" s="95">
        <f t="shared" si="5"/>
        <v>0.98384688348009031</v>
      </c>
      <c r="N38" s="95">
        <f t="shared" si="6"/>
        <v>6.3993651774124794E-3</v>
      </c>
      <c r="O38" s="40">
        <f t="shared" si="7"/>
        <v>1.7341984938793453E-7</v>
      </c>
      <c r="P38" s="40">
        <f t="shared" si="8"/>
        <v>1.661182077396135E-5</v>
      </c>
      <c r="Q38" s="40">
        <f t="shared" si="9"/>
        <v>6.5810896159436579E-4</v>
      </c>
      <c r="R38" s="9">
        <f t="shared" si="14"/>
        <v>1.4999999999999999E-4</v>
      </c>
      <c r="S38" s="9">
        <f t="shared" si="12"/>
        <v>2.4229674779864495E-6</v>
      </c>
      <c r="T38" s="9">
        <f t="shared" si="10"/>
        <v>2.5853066533789537E-5</v>
      </c>
      <c r="U38" s="9">
        <f t="shared" si="11"/>
        <v>1.4757703252201354E-4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-1.6810051832329899E-4</v>
      </c>
      <c r="J39" s="94">
        <f t="shared" si="2"/>
        <v>-4.3479864956087882E-3</v>
      </c>
      <c r="K39" s="95">
        <f t="shared" si="3"/>
        <v>0.9942466711660749</v>
      </c>
      <c r="L39" s="95">
        <f t="shared" si="4"/>
        <v>9.6308196021193629E-4</v>
      </c>
      <c r="M39" s="95">
        <f t="shared" si="5"/>
        <v>0.99903691803978811</v>
      </c>
      <c r="N39" s="95">
        <f t="shared" si="6"/>
        <v>4.7119235394774658E-7</v>
      </c>
      <c r="O39" s="40">
        <f t="shared" si="7"/>
        <v>1.0003964582463928E-6</v>
      </c>
      <c r="P39" s="40">
        <f t="shared" si="8"/>
        <v>9.9043084930124226E-7</v>
      </c>
      <c r="Q39" s="40">
        <f t="shared" si="9"/>
        <v>4.8457292586190642E-8</v>
      </c>
      <c r="R39" s="9">
        <f t="shared" si="14"/>
        <v>1.4999999999999999E-4</v>
      </c>
      <c r="S39" s="9">
        <f t="shared" si="12"/>
        <v>1.4446229403179044E-7</v>
      </c>
      <c r="T39" s="9">
        <f t="shared" si="10"/>
        <v>1.4913700067491122E-4</v>
      </c>
      <c r="U39" s="9">
        <f t="shared" si="11"/>
        <v>1.4985553770596819E-4</v>
      </c>
      <c r="V39" s="102">
        <f t="shared" si="13"/>
        <v>0.99520513527857191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1.0570731161685156</v>
      </c>
      <c r="J40" s="94">
        <f t="shared" si="2"/>
        <v>2.306689397381505</v>
      </c>
      <c r="K40" s="95">
        <f t="shared" si="3"/>
        <v>8.5748238533282284E-2</v>
      </c>
      <c r="L40" s="95">
        <f t="shared" si="4"/>
        <v>1.6999325654184133E-2</v>
      </c>
      <c r="M40" s="95">
        <f t="shared" si="5"/>
        <v>0.98300067434581584</v>
      </c>
      <c r="N40" s="95">
        <f t="shared" si="6"/>
        <v>4.7668040133497531E-3</v>
      </c>
      <c r="O40" s="40">
        <f t="shared" si="7"/>
        <v>8.6278623421444403E-8</v>
      </c>
      <c r="P40" s="40">
        <f t="shared" si="8"/>
        <v>1.7482059929268023E-5</v>
      </c>
      <c r="Q40" s="40">
        <f t="shared" si="9"/>
        <v>4.9021681875918623E-4</v>
      </c>
      <c r="R40" s="9">
        <f t="shared" si="14"/>
        <v>1.4999999999999999E-4</v>
      </c>
      <c r="S40" s="9">
        <f t="shared" si="12"/>
        <v>2.5498988481276199E-6</v>
      </c>
      <c r="T40" s="9">
        <f t="shared" si="10"/>
        <v>1.2862235779992342E-5</v>
      </c>
      <c r="U40" s="9">
        <f t="shared" si="11"/>
        <v>1.4745010115187237E-4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1.1393826628828596</v>
      </c>
      <c r="J41" s="94">
        <f t="shared" si="2"/>
        <v>2.3937036559113518</v>
      </c>
      <c r="K41" s="95">
        <f t="shared" si="3"/>
        <v>7.0930865055911091E-2</v>
      </c>
      <c r="L41" s="95">
        <f t="shared" si="4"/>
        <v>1.7181299217591622E-2</v>
      </c>
      <c r="M41" s="95">
        <f t="shared" si="5"/>
        <v>0.98281870078240841</v>
      </c>
      <c r="N41" s="95">
        <f t="shared" si="6"/>
        <v>4.6012236710586182E-3</v>
      </c>
      <c r="O41" s="40">
        <f t="shared" si="7"/>
        <v>7.1369598953812906E-8</v>
      </c>
      <c r="P41" s="40">
        <f t="shared" si="8"/>
        <v>1.7669201043318576E-5</v>
      </c>
      <c r="Q41" s="40">
        <f t="shared" si="9"/>
        <v>4.7318858172244337E-4</v>
      </c>
      <c r="R41" s="9">
        <f t="shared" si="14"/>
        <v>1.4999999999999999E-4</v>
      </c>
      <c r="S41" s="9">
        <f t="shared" si="12"/>
        <v>2.5771948826387432E-6</v>
      </c>
      <c r="T41" s="9">
        <f t="shared" si="10"/>
        <v>1.0639629758386663E-5</v>
      </c>
      <c r="U41" s="9">
        <f t="shared" si="11"/>
        <v>1.4742280511736126E-4</v>
      </c>
      <c r="V41" s="102">
        <f t="shared" si="13"/>
        <v>7.2170854094904799E-2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2.466507651261447</v>
      </c>
      <c r="J42" s="94">
        <f t="shared" si="2"/>
        <v>3.8177678868718958</v>
      </c>
      <c r="K42" s="95">
        <f t="shared" si="3"/>
        <v>3.3254329984348362E-3</v>
      </c>
      <c r="L42" s="95">
        <f t="shared" si="4"/>
        <v>2.1386178029607714E-2</v>
      </c>
      <c r="M42" s="95">
        <f t="shared" si="5"/>
        <v>0.97861382197039226</v>
      </c>
      <c r="N42" s="95">
        <f t="shared" si="6"/>
        <v>1.4164566605813013E-2</v>
      </c>
      <c r="O42" s="40">
        <f t="shared" si="7"/>
        <v>3.3460020438068988E-9</v>
      </c>
      <c r="P42" s="40">
        <f t="shared" si="8"/>
        <v>2.1993486893380009E-5</v>
      </c>
      <c r="Q42" s="40">
        <f t="shared" si="9"/>
        <v>1.4566801490386305E-3</v>
      </c>
      <c r="R42" s="9">
        <f t="shared" si="14"/>
        <v>1.4999999999999999E-4</v>
      </c>
      <c r="S42" s="9">
        <f t="shared" si="12"/>
        <v>3.2079267044411569E-6</v>
      </c>
      <c r="T42" s="9">
        <f t="shared" si="10"/>
        <v>4.9881494976522535E-7</v>
      </c>
      <c r="U42" s="9">
        <f t="shared" si="11"/>
        <v>1.4679207329555883E-4</v>
      </c>
      <c r="V42" s="102">
        <f t="shared" si="13"/>
        <v>3.3981054873507056E-3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2.2273249528367836</v>
      </c>
      <c r="J43" s="94">
        <f t="shared" si="2"/>
        <v>3.5592350116770111</v>
      </c>
      <c r="K43" s="95">
        <f t="shared" si="3"/>
        <v>5.773455619806263E-3</v>
      </c>
      <c r="L43" s="95">
        <f t="shared" si="4"/>
        <v>2.0473303869122241E-2</v>
      </c>
      <c r="M43" s="95">
        <f t="shared" si="5"/>
        <v>0.97952669613087773</v>
      </c>
      <c r="N43" s="95">
        <f t="shared" si="6"/>
        <v>1.1492484341442974E-2</v>
      </c>
      <c r="O43" s="40">
        <f t="shared" si="7"/>
        <v>5.8091665995954444E-9</v>
      </c>
      <c r="P43" s="40">
        <f t="shared" si="8"/>
        <v>2.1054689607761861E-5</v>
      </c>
      <c r="Q43" s="40">
        <f t="shared" si="9"/>
        <v>1.1818839410481484E-3</v>
      </c>
      <c r="R43" s="9">
        <f t="shared" si="14"/>
        <v>1.4999999999999999E-4</v>
      </c>
      <c r="S43" s="9">
        <f t="shared" si="12"/>
        <v>3.0709955803683361E-6</v>
      </c>
      <c r="T43" s="9">
        <f t="shared" si="10"/>
        <v>8.6601834297093935E-7</v>
      </c>
      <c r="U43" s="9">
        <f t="shared" si="11"/>
        <v>1.4692900441963164E-4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0.70532975413914467</v>
      </c>
      <c r="J44" s="94">
        <f t="shared" si="2"/>
        <v>1.9227193878324027</v>
      </c>
      <c r="K44" s="95">
        <f t="shared" si="3"/>
        <v>0.1929731515870127</v>
      </c>
      <c r="L44" s="95">
        <f t="shared" si="4"/>
        <v>1.58027753560698E-2</v>
      </c>
      <c r="M44" s="95">
        <f t="shared" si="5"/>
        <v>0.98419722464393022</v>
      </c>
      <c r="N44" s="95">
        <f t="shared" si="6"/>
        <v>6.3328321688397703E-3</v>
      </c>
      <c r="O44" s="40">
        <f t="shared" si="7"/>
        <v>1.9416676261825324E-7</v>
      </c>
      <c r="P44" s="40">
        <f t="shared" si="8"/>
        <v>1.6251530880907232E-5</v>
      </c>
      <c r="Q44" s="40">
        <f t="shared" si="9"/>
        <v>6.5126672522096993E-4</v>
      </c>
      <c r="R44" s="9">
        <f t="shared" si="14"/>
        <v>1.4999999999999999E-4</v>
      </c>
      <c r="S44" s="9">
        <f t="shared" si="12"/>
        <v>2.3704163034104698E-6</v>
      </c>
      <c r="T44" s="9">
        <f t="shared" si="10"/>
        <v>2.8945972738051903E-5</v>
      </c>
      <c r="U44" s="9">
        <f t="shared" si="11"/>
        <v>1.4762958369658952E-4</v>
      </c>
      <c r="V44" s="102">
        <f t="shared" si="13"/>
        <v>0.19607162746961401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2.3272580136650043</v>
      </c>
      <c r="J45" s="94">
        <f t="shared" si="2"/>
        <v>3.6364038333307582</v>
      </c>
      <c r="K45" s="95">
        <f t="shared" si="3"/>
        <v>4.5915261668457814E-3</v>
      </c>
      <c r="L45" s="95">
        <f t="shared" si="4"/>
        <v>1.9448136138264446E-2</v>
      </c>
      <c r="M45" s="95">
        <f t="shared" si="5"/>
        <v>0.98055186386173554</v>
      </c>
      <c r="N45" s="95">
        <f t="shared" si="6"/>
        <v>8.3001540441578533E-3</v>
      </c>
      <c r="O45" s="40">
        <f t="shared" si="7"/>
        <v>4.6199264714368876E-9</v>
      </c>
      <c r="P45" s="40">
        <f t="shared" si="8"/>
        <v>2.0000409922026392E-5</v>
      </c>
      <c r="Q45" s="40">
        <f t="shared" si="9"/>
        <v>8.5358556788638702E-4</v>
      </c>
      <c r="R45" s="9">
        <f t="shared" si="14"/>
        <v>1.4999999999999999E-4</v>
      </c>
      <c r="S45" s="9">
        <f t="shared" si="12"/>
        <v>2.9172204207396666E-6</v>
      </c>
      <c r="T45" s="9">
        <f t="shared" si="10"/>
        <v>6.8872892502686711E-7</v>
      </c>
      <c r="U45" s="9">
        <f t="shared" si="11"/>
        <v>1.4708277957926032E-4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0.64458903464573347</v>
      </c>
      <c r="J46" s="94">
        <f t="shared" si="2"/>
        <v>1.8444393952218296</v>
      </c>
      <c r="K46" s="95">
        <f t="shared" si="3"/>
        <v>0.22207994495183708</v>
      </c>
      <c r="L46" s="95">
        <f t="shared" si="4"/>
        <v>1.5186784321907294E-2</v>
      </c>
      <c r="M46" s="95">
        <f t="shared" si="5"/>
        <v>0.98481321567809266</v>
      </c>
      <c r="N46" s="95">
        <f t="shared" si="6"/>
        <v>5.8675720350117901E-3</v>
      </c>
      <c r="O46" s="40">
        <f t="shared" si="7"/>
        <v>2.234535923734178E-7</v>
      </c>
      <c r="P46" s="40">
        <f t="shared" si="8"/>
        <v>1.5618047389021183E-5</v>
      </c>
      <c r="Q46" s="40">
        <f t="shared" si="9"/>
        <v>6.0341950052663035E-4</v>
      </c>
      <c r="R46" s="9">
        <f t="shared" si="14"/>
        <v>1.4999999999999999E-4</v>
      </c>
      <c r="S46" s="9">
        <f t="shared" si="12"/>
        <v>2.278017648286094E-6</v>
      </c>
      <c r="T46" s="9">
        <f t="shared" si="10"/>
        <v>3.3311991742775562E-5</v>
      </c>
      <c r="U46" s="9">
        <f t="shared" si="11"/>
        <v>1.4772198235171388E-4</v>
      </c>
      <c r="V46" s="102">
        <f t="shared" si="13"/>
        <v>0.22550463521036732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1.6299602750984028</v>
      </c>
      <c r="J47" s="94">
        <f t="shared" si="2"/>
        <v>2.8994221028694125</v>
      </c>
      <c r="K47" s="95">
        <f t="shared" si="3"/>
        <v>2.2908307174129765E-2</v>
      </c>
      <c r="L47" s="95">
        <f t="shared" si="4"/>
        <v>1.7780017728355909E-2</v>
      </c>
      <c r="M47" s="95">
        <f t="shared" si="5"/>
        <v>0.98221998227164409</v>
      </c>
      <c r="N47" s="95">
        <f t="shared" si="6"/>
        <v>4.09194781802465E-3</v>
      </c>
      <c r="O47" s="40">
        <f t="shared" si="7"/>
        <v>2.3050003611821816E-8</v>
      </c>
      <c r="P47" s="40">
        <f t="shared" si="8"/>
        <v>1.8284921519463886E-5</v>
      </c>
      <c r="Q47" s="40">
        <f t="shared" si="9"/>
        <v>4.2081479252406096E-4</v>
      </c>
      <c r="R47" s="9">
        <f t="shared" si="14"/>
        <v>1.4999999999999999E-4</v>
      </c>
      <c r="S47" s="9">
        <f t="shared" si="12"/>
        <v>2.6670026592533862E-6</v>
      </c>
      <c r="T47" s="9">
        <f t="shared" si="10"/>
        <v>3.4362460761194643E-6</v>
      </c>
      <c r="U47" s="9">
        <f t="shared" si="11"/>
        <v>1.473329973407466E-4</v>
      </c>
      <c r="V47" s="102">
        <f t="shared" si="13"/>
        <v>2.3322990356140213E-2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1.0772847763604276</v>
      </c>
      <c r="K48" s="95">
        <f t="shared" ref="K48:K50" si="17">IF(D48=0,"",1/(1+10^D48*$J$15/$J$14+10^E48*$J$16/$J$14+10^J48*$J$19/$J$14))</f>
        <v>0.62463105325599499</v>
      </c>
      <c r="L48" s="95">
        <f t="shared" ref="L48:L50" si="18">IF(D48=0,"",1/(1+10^I48/10^J48*$J$13/$J$19))</f>
        <v>7.3017243963695144E-3</v>
      </c>
      <c r="M48" s="95">
        <f t="shared" ref="M48:M92" si="19">IF(D48=0,"",1-L48)</f>
        <v>0.99269827560363044</v>
      </c>
      <c r="N48" s="95">
        <f t="shared" ref="N48:N50" si="20">IF(D48=0,"",1/(1/10^E48*$J$20/$J$22+10^D48/10^E48*$J$21/$J$22+10^I48/10^E48*$J$13/$J$22+1))</f>
        <v>1.3721533811799894E-3</v>
      </c>
      <c r="O48" s="40">
        <f t="shared" ref="O48:O92" si="21">IF(D48=0,"",F48*K48*$J$7/$J$14)</f>
        <v>6.2849462966281736E-7</v>
      </c>
      <c r="P48" s="40">
        <f t="shared" ref="P48:P50" si="22">IF(D48=0,"",O48*10^J48)</f>
        <v>7.5090733645020315E-6</v>
      </c>
      <c r="Q48" s="40">
        <f t="shared" ref="Q48:Q50" si="23">IF(D48=0,"",F48*N48*$J$7/$J$22)</f>
        <v>1.411118777881169E-4</v>
      </c>
      <c r="R48" s="9">
        <f t="shared" si="14"/>
        <v>1.4999999999999999E-4</v>
      </c>
      <c r="S48" s="9">
        <f t="shared" si="12"/>
        <v>1.0952586594554272E-6</v>
      </c>
      <c r="T48" s="9">
        <f t="shared" si="10"/>
        <v>9.3694657988399241E-5</v>
      </c>
      <c r="U48" s="9">
        <f t="shared" si="11"/>
        <v>1.4890474134054456E-4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6.5352597387686409E-2</v>
      </c>
      <c r="J49" s="94">
        <f t="shared" si="16"/>
        <v>0.61123091181973244</v>
      </c>
      <c r="K49" s="95">
        <f t="shared" si="17"/>
        <v>0.85292092535084474</v>
      </c>
      <c r="L49" s="95">
        <f t="shared" si="18"/>
        <v>3.4092336796089791E-3</v>
      </c>
      <c r="M49" s="95">
        <f t="shared" si="19"/>
        <v>0.99659076632039101</v>
      </c>
      <c r="N49" s="95">
        <f t="shared" si="20"/>
        <v>5.937968075312662E-4</v>
      </c>
      <c r="O49" s="40">
        <f t="shared" si="21"/>
        <v>8.5819655989846003E-7</v>
      </c>
      <c r="P49" s="40">
        <f t="shared" si="22"/>
        <v>3.5060465757436285E-6</v>
      </c>
      <c r="Q49" s="40">
        <f t="shared" si="23"/>
        <v>6.1065901002458554E-5</v>
      </c>
      <c r="R49" s="9">
        <f t="shared" si="14"/>
        <v>1.4999999999999999E-4</v>
      </c>
      <c r="S49" s="9">
        <f t="shared" si="12"/>
        <v>5.1138505194134686E-7</v>
      </c>
      <c r="T49" s="9">
        <f t="shared" si="10"/>
        <v>1.2793813880262669E-4</v>
      </c>
      <c r="U49" s="9">
        <f t="shared" si="11"/>
        <v>1.4948861494805865E-4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3.7217650281818146E-4</v>
      </c>
      <c r="J57" s="54">
        <f t="shared" si="25"/>
        <v>6.7869130147026708E-3</v>
      </c>
      <c r="K57" s="55">
        <f t="shared" si="26"/>
        <v>0.99298694719824143</v>
      </c>
      <c r="L57" s="55">
        <f t="shared" si="27"/>
        <v>9.8684181115438435E-4</v>
      </c>
      <c r="M57" s="55">
        <f t="shared" si="28"/>
        <v>0.99901315818884562</v>
      </c>
      <c r="N57" s="55">
        <f t="shared" si="29"/>
        <v>1.1740230635555146E-5</v>
      </c>
      <c r="O57" s="56">
        <f t="shared" si="30"/>
        <v>9.9912894241522492E-7</v>
      </c>
      <c r="P57" s="56">
        <f t="shared" si="31"/>
        <v>1.014865414914974E-6</v>
      </c>
      <c r="Q57" s="56">
        <f t="shared" si="32"/>
        <v>1.2073621020589472E-6</v>
      </c>
      <c r="R57" s="9">
        <f t="shared" ref="R57:R58" si="33">F57*$C$14</f>
        <v>1.4999999999999999E-4</v>
      </c>
      <c r="S57" s="9">
        <f t="shared" ref="S57:S58" si="34">$R57*L57</f>
        <v>1.4802627167315763E-7</v>
      </c>
      <c r="T57" s="9">
        <f t="shared" ref="T57:T58" si="35">R57*K57</f>
        <v>1.4894804207973619E-4</v>
      </c>
      <c r="U57" s="9">
        <f t="shared" ref="U57:U58" si="36">$R57*M57</f>
        <v>1.4985197372832684E-4</v>
      </c>
      <c r="V57" s="102">
        <f t="shared" ref="V57:V58" si="37">K57/M57</f>
        <v>0.99396783621796392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0.27242732253974722</v>
      </c>
      <c r="J58" s="54">
        <f t="shared" si="25"/>
        <v>1.2457417230734267</v>
      </c>
      <c r="K58" s="55">
        <f t="shared" si="26"/>
        <v>0.52645354682012835</v>
      </c>
      <c r="L58" s="55">
        <f t="shared" si="27"/>
        <v>9.0702418638825104E-3</v>
      </c>
      <c r="M58" s="55">
        <f t="shared" si="28"/>
        <v>0.9909297581361175</v>
      </c>
      <c r="N58" s="55">
        <f t="shared" si="29"/>
        <v>1.995933855737536E-3</v>
      </c>
      <c r="O58" s="56">
        <f t="shared" si="30"/>
        <v>5.2970985867362927E-7</v>
      </c>
      <c r="P58" s="56">
        <f t="shared" si="31"/>
        <v>9.3278118828390636E-6</v>
      </c>
      <c r="Q58" s="56">
        <f t="shared" si="32"/>
        <v>2.0526129089285485E-4</v>
      </c>
      <c r="R58" s="9">
        <f t="shared" si="33"/>
        <v>1.4999999999999999E-4</v>
      </c>
      <c r="S58" s="9">
        <f t="shared" si="34"/>
        <v>1.3605362795823764E-6</v>
      </c>
      <c r="T58" s="9">
        <f t="shared" si="35"/>
        <v>7.8968032023019239E-5</v>
      </c>
      <c r="U58" s="9">
        <f t="shared" si="36"/>
        <v>1.4863946372041761E-4</v>
      </c>
      <c r="V58" s="102">
        <f t="shared" si="37"/>
        <v>0.53127231521471063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0.35062624883359406</v>
      </c>
      <c r="J60" s="54">
        <f t="shared" si="25"/>
        <v>1.3808784807262005</v>
      </c>
      <c r="K60" s="55">
        <f t="shared" si="26"/>
        <v>0.4391467338907612</v>
      </c>
      <c r="L60" s="55">
        <f t="shared" si="27"/>
        <v>1.0327738351135977E-2</v>
      </c>
      <c r="M60" s="55">
        <f t="shared" si="28"/>
        <v>0.98967226164886402</v>
      </c>
      <c r="N60" s="55">
        <f t="shared" si="29"/>
        <v>1.5868276013497782E-3</v>
      </c>
      <c r="O60" s="56">
        <f t="shared" si="30"/>
        <v>4.4186302049122602E-7</v>
      </c>
      <c r="P60" s="56">
        <f t="shared" si="31"/>
        <v>1.0621017825134674E-5</v>
      </c>
      <c r="Q60" s="56">
        <f t="shared" si="32"/>
        <v>1.6318891577552313E-4</v>
      </c>
      <c r="R60" s="9">
        <f t="shared" ref="R60:R65" si="38">F60*$C$14</f>
        <v>1.4999999999999999E-4</v>
      </c>
      <c r="S60" s="9">
        <f t="shared" ref="S60:S93" si="39">$R60*L60</f>
        <v>1.5491607526703966E-6</v>
      </c>
      <c r="T60" s="9">
        <f t="shared" ref="T60:T93" si="40">R60*K60</f>
        <v>6.5872010083614169E-5</v>
      </c>
      <c r="U60" s="9">
        <f t="shared" ref="U60:U93" si="41">$R60*M60</f>
        <v>1.4845083924732959E-4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1.0599296125914559</v>
      </c>
      <c r="J61" s="54">
        <f t="shared" si="25"/>
        <v>2.2990371955470583</v>
      </c>
      <c r="K61" s="55">
        <f t="shared" si="26"/>
        <v>8.5220728746860153E-2</v>
      </c>
      <c r="L61" s="55">
        <f t="shared" si="27"/>
        <v>1.6599672818536422E-2</v>
      </c>
      <c r="M61" s="55">
        <f t="shared" si="28"/>
        <v>0.98340032718146353</v>
      </c>
      <c r="N61" s="55">
        <f t="shared" si="29"/>
        <v>3.5190491498667182E-3</v>
      </c>
      <c r="O61" s="56">
        <f t="shared" si="30"/>
        <v>8.5747850789932252E-8</v>
      </c>
      <c r="P61" s="56">
        <f t="shared" si="31"/>
        <v>1.707105804802719E-5</v>
      </c>
      <c r="Q61" s="56">
        <f t="shared" si="32"/>
        <v>3.6189805044923847E-4</v>
      </c>
      <c r="R61" s="9">
        <f t="shared" si="38"/>
        <v>1.4999999999999999E-4</v>
      </c>
      <c r="S61" s="9">
        <f t="shared" si="39"/>
        <v>2.4899509227804633E-6</v>
      </c>
      <c r="T61" s="9">
        <f t="shared" si="40"/>
        <v>1.2783109312029022E-5</v>
      </c>
      <c r="U61" s="9">
        <f t="shared" si="41"/>
        <v>1.475100490772195E-4</v>
      </c>
      <c r="V61" s="102">
        <f t="shared" si="42"/>
        <v>8.6659243841327963E-2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0.76837016932652724</v>
      </c>
      <c r="J62" s="54">
        <f t="shared" si="25"/>
        <v>1.9778014578217622</v>
      </c>
      <c r="K62" s="55">
        <f t="shared" si="26"/>
        <v>0.16694795785450822</v>
      </c>
      <c r="L62" s="55">
        <f t="shared" si="27"/>
        <v>1.552028377811104E-2</v>
      </c>
      <c r="M62" s="55">
        <f t="shared" si="28"/>
        <v>0.98447971622188901</v>
      </c>
      <c r="N62" s="55">
        <f t="shared" si="29"/>
        <v>4.2008889383274694E-3</v>
      </c>
      <c r="O62" s="56">
        <f t="shared" si="30"/>
        <v>1.6798059334032278E-7</v>
      </c>
      <c r="P62" s="56">
        <f t="shared" si="31"/>
        <v>1.596101731608398E-5</v>
      </c>
      <c r="Q62" s="56">
        <f t="shared" si="32"/>
        <v>4.3201826748912069E-4</v>
      </c>
      <c r="R62" s="9">
        <f t="shared" si="38"/>
        <v>1.4999999999999999E-4</v>
      </c>
      <c r="S62" s="9">
        <f t="shared" si="39"/>
        <v>2.328042566716656E-6</v>
      </c>
      <c r="T62" s="9">
        <f t="shared" si="40"/>
        <v>2.5042193678176231E-5</v>
      </c>
      <c r="U62" s="9">
        <f t="shared" si="41"/>
        <v>1.4767195743328333E-4</v>
      </c>
      <c r="V62" s="102">
        <f t="shared" si="42"/>
        <v>0.16957988580526559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0.7211484450377651</v>
      </c>
      <c r="J63" s="54">
        <f t="shared" si="25"/>
        <v>1.9187713764182222</v>
      </c>
      <c r="K63" s="55">
        <f t="shared" si="26"/>
        <v>0.18620171338012984</v>
      </c>
      <c r="L63" s="55">
        <f t="shared" si="27"/>
        <v>1.5110266994370118E-2</v>
      </c>
      <c r="M63" s="55">
        <f t="shared" si="28"/>
        <v>0.98488973300562987</v>
      </c>
      <c r="N63" s="55">
        <f t="shared" si="29"/>
        <v>3.8853376080035737E-3</v>
      </c>
      <c r="O63" s="56">
        <f t="shared" si="30"/>
        <v>1.8735344053646536E-7</v>
      </c>
      <c r="P63" s="56">
        <f t="shared" si="31"/>
        <v>1.5539357179018467E-5</v>
      </c>
      <c r="Q63" s="56">
        <f t="shared" si="32"/>
        <v>3.9956705513103052E-4</v>
      </c>
      <c r="R63" s="9">
        <f t="shared" si="38"/>
        <v>1.4999999999999999E-4</v>
      </c>
      <c r="S63" s="9">
        <f t="shared" si="39"/>
        <v>2.2665400491555175E-6</v>
      </c>
      <c r="T63" s="9">
        <f t="shared" si="40"/>
        <v>2.7930257007019472E-5</v>
      </c>
      <c r="U63" s="9">
        <f t="shared" si="41"/>
        <v>1.4773345995084446E-4</v>
      </c>
      <c r="V63" s="102">
        <f t="shared" si="42"/>
        <v>0.18905843683829474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0.2338148544799136</v>
      </c>
      <c r="J64" s="54">
        <f t="shared" si="25"/>
        <v>1.1696356252833553</v>
      </c>
      <c r="K64" s="55">
        <f t="shared" si="26"/>
        <v>0.57583552765724633</v>
      </c>
      <c r="L64" s="55">
        <f t="shared" si="27"/>
        <v>8.3262830491789598E-3</v>
      </c>
      <c r="M64" s="55">
        <f t="shared" si="28"/>
        <v>0.99167371695082107</v>
      </c>
      <c r="N64" s="55">
        <f t="shared" si="29"/>
        <v>2.1273382320708793E-3</v>
      </c>
      <c r="O64" s="56">
        <f t="shared" si="30"/>
        <v>5.7939728550977324E-7</v>
      </c>
      <c r="P64" s="56">
        <f t="shared" si="31"/>
        <v>8.5627266760412623E-6</v>
      </c>
      <c r="Q64" s="56">
        <f t="shared" si="32"/>
        <v>2.1877488095377686E-4</v>
      </c>
      <c r="R64" s="9">
        <f t="shared" si="38"/>
        <v>1.4999999999999999E-4</v>
      </c>
      <c r="S64" s="9">
        <f t="shared" si="39"/>
        <v>1.2489424573768439E-6</v>
      </c>
      <c r="T64" s="9">
        <f t="shared" si="40"/>
        <v>8.6375329148586939E-5</v>
      </c>
      <c r="U64" s="9">
        <f t="shared" si="41"/>
        <v>1.4875105754262315E-4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1.2834731216469764</v>
      </c>
      <c r="J65" s="54">
        <f t="shared" si="25"/>
        <v>2.5613647148029952</v>
      </c>
      <c r="K65" s="55">
        <f t="shared" si="26"/>
        <v>5.0854434839905593E-2</v>
      </c>
      <c r="L65" s="55">
        <f t="shared" si="27"/>
        <v>1.8122188187378749E-2</v>
      </c>
      <c r="M65" s="55">
        <f t="shared" si="28"/>
        <v>0.98187781181262124</v>
      </c>
      <c r="N65" s="55">
        <f t="shared" si="29"/>
        <v>6.4999785154575681E-3</v>
      </c>
      <c r="O65" s="56">
        <f t="shared" si="30"/>
        <v>5.1168988517001153E-8</v>
      </c>
      <c r="P65" s="56">
        <f t="shared" si="31"/>
        <v>1.8636808682069662E-5</v>
      </c>
      <c r="Q65" s="56">
        <f t="shared" si="32"/>
        <v>6.6845600971362465E-4</v>
      </c>
      <c r="R65" s="9">
        <f t="shared" si="38"/>
        <v>1.4999999999999999E-4</v>
      </c>
      <c r="S65" s="9">
        <f t="shared" si="39"/>
        <v>2.7183282281068119E-6</v>
      </c>
      <c r="T65" s="9">
        <f t="shared" si="40"/>
        <v>7.6281652259858384E-6</v>
      </c>
      <c r="U65" s="9">
        <f t="shared" si="41"/>
        <v>1.4728167177189316E-4</v>
      </c>
      <c r="V65" s="102">
        <f t="shared" si="42"/>
        <v>5.1793038021731477E-2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0.33491051106253611</v>
      </c>
      <c r="J68" s="54">
        <f t="shared" si="25"/>
        <v>1.3503657480277556</v>
      </c>
      <c r="K68" s="55">
        <f t="shared" si="26"/>
        <v>0.45548666431393103</v>
      </c>
      <c r="L68" s="55">
        <f t="shared" si="27"/>
        <v>9.9852398946617318E-3</v>
      </c>
      <c r="M68" s="55">
        <f t="shared" si="28"/>
        <v>0.99001476010533829</v>
      </c>
      <c r="N68" s="55">
        <f t="shared" si="29"/>
        <v>1.3357486846644227E-3</v>
      </c>
      <c r="O68" s="56">
        <f t="shared" si="30"/>
        <v>4.5830401948814513E-7</v>
      </c>
      <c r="P68" s="56">
        <f t="shared" si="31"/>
        <v>1.0268793350848495E-5</v>
      </c>
      <c r="Q68" s="56">
        <f t="shared" si="32"/>
        <v>1.3736802877234547E-4</v>
      </c>
      <c r="R68" s="9">
        <f>F68*$C$14</f>
        <v>1.4999999999999999E-4</v>
      </c>
      <c r="S68" s="9">
        <f t="shared" si="39"/>
        <v>1.4977859841992597E-6</v>
      </c>
      <c r="T68" s="9">
        <f t="shared" si="40"/>
        <v>6.8322999647089648E-5</v>
      </c>
      <c r="U68" s="9">
        <f t="shared" si="41"/>
        <v>1.4850221401580072E-4</v>
      </c>
      <c r="V68" s="102">
        <f t="shared" si="42"/>
        <v>0.46008068027740001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2.1724337273682748</v>
      </c>
      <c r="J69" s="54">
        <f t="shared" si="25"/>
        <v>3.475694792810029</v>
      </c>
      <c r="K69" s="55">
        <f t="shared" si="26"/>
        <v>6.559867094054761E-3</v>
      </c>
      <c r="L69" s="55">
        <f t="shared" si="27"/>
        <v>1.9191411701737035E-2</v>
      </c>
      <c r="M69" s="55">
        <f t="shared" si="28"/>
        <v>0.98080858829826301</v>
      </c>
      <c r="N69" s="55">
        <f t="shared" si="29"/>
        <v>7.6110597155765927E-3</v>
      </c>
      <c r="O69" s="56">
        <f t="shared" si="30"/>
        <v>6.600442322590659E-9</v>
      </c>
      <c r="P69" s="56">
        <f t="shared" si="31"/>
        <v>1.9736395214856235E-5</v>
      </c>
      <c r="Q69" s="56">
        <f t="shared" si="32"/>
        <v>7.8271929592805677E-4</v>
      </c>
      <c r="R69" s="9">
        <f>F69*$C$14</f>
        <v>1.4999999999999999E-4</v>
      </c>
      <c r="S69" s="9">
        <f t="shared" si="39"/>
        <v>2.878711755260555E-6</v>
      </c>
      <c r="T69" s="9">
        <f t="shared" si="40"/>
        <v>9.8398006410821409E-7</v>
      </c>
      <c r="U69" s="9">
        <f t="shared" si="41"/>
        <v>1.4712128824473944E-4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6.2122287627494992E-2</v>
      </c>
      <c r="J70" s="54">
        <f t="shared" si="25"/>
        <v>0.58023834032426458</v>
      </c>
      <c r="K70" s="55">
        <f t="shared" si="26"/>
        <v>0.85947010491043752</v>
      </c>
      <c r="L70" s="55">
        <f t="shared" si="27"/>
        <v>3.1987934966665648E-3</v>
      </c>
      <c r="M70" s="55">
        <f t="shared" si="28"/>
        <v>0.99680120650333348</v>
      </c>
      <c r="N70" s="55">
        <f t="shared" si="29"/>
        <v>2.6944297441392932E-4</v>
      </c>
      <c r="O70" s="56">
        <f t="shared" si="30"/>
        <v>8.6478624858019549E-7</v>
      </c>
      <c r="P70" s="56">
        <f t="shared" si="31"/>
        <v>3.2896304681540954E-6</v>
      </c>
      <c r="Q70" s="56">
        <f t="shared" si="32"/>
        <v>2.7709441668735498E-5</v>
      </c>
      <c r="R70" s="9">
        <f t="shared" ref="R70:R86" si="43">F70*$C$14</f>
        <v>1.4999999999999999E-4</v>
      </c>
      <c r="S70" s="9">
        <f t="shared" si="39"/>
        <v>4.7981902449998462E-7</v>
      </c>
      <c r="T70" s="9">
        <f t="shared" si="40"/>
        <v>1.2892051573656563E-4</v>
      </c>
      <c r="U70" s="9">
        <f t="shared" si="41"/>
        <v>1.4952018097550001E-4</v>
      </c>
      <c r="V70" s="102">
        <f t="shared" si="42"/>
        <v>0.86222819485277513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1.1444407422837011</v>
      </c>
      <c r="K71" s="55">
        <f t="shared" ref="K71:K122" si="46">IF(D71=0,"",1/(1+10^D71*$J$15/$J$14+10^E71*$J$16/$J$14+10^J71*$J$19/$J$14))</f>
        <v>0.58725018025312803</v>
      </c>
      <c r="L71" s="55">
        <f t="shared" ref="L71:L122" si="47">IF(D71=0,"",1/(1+10^I71/10^J71*$J$13/$J$19))</f>
        <v>8.0127388768213414E-3</v>
      </c>
      <c r="M71" s="55">
        <f t="shared" si="19"/>
        <v>0.9919872611231787</v>
      </c>
      <c r="N71" s="55">
        <f t="shared" ref="N71:N122" si="48">IF(D71=0,"",1/(1/10^E71*$J$20/$J$22+10^D71/10^E71*$J$21/$J$22+10^I71/10^E71*$J$13/$J$22+1))</f>
        <v>1.7247980308268958E-3</v>
      </c>
      <c r="O71" s="56">
        <f t="shared" si="21"/>
        <v>5.9088254199611425E-7</v>
      </c>
      <c r="P71" s="56">
        <f t="shared" ref="P71:P122" si="49">IF(D71=0,"",O71*10^J71)</f>
        <v>8.2402787082138148E-6</v>
      </c>
      <c r="Q71" s="56">
        <f t="shared" ref="Q71:Q122" si="50">IF(D71=0,"",F71*N71*$J$7/$J$22)</f>
        <v>1.7737775694283225E-4</v>
      </c>
      <c r="R71" s="9">
        <f t="shared" si="43"/>
        <v>1.4999999999999999E-4</v>
      </c>
      <c r="S71" s="9">
        <f t="shared" si="39"/>
        <v>1.2019108315232011E-6</v>
      </c>
      <c r="T71" s="9">
        <f t="shared" si="40"/>
        <v>8.8087527037969201E-5</v>
      </c>
      <c r="U71" s="9">
        <f t="shared" si="41"/>
        <v>1.4879808916847678E-4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0.32073739190116707</v>
      </c>
      <c r="J72" s="54">
        <f t="shared" si="45"/>
        <v>1.3276849779101709</v>
      </c>
      <c r="K72" s="55">
        <f t="shared" si="46"/>
        <v>0.47068777409422707</v>
      </c>
      <c r="L72" s="55">
        <f t="shared" si="47"/>
        <v>9.7934336350179521E-3</v>
      </c>
      <c r="M72" s="55">
        <f t="shared" si="19"/>
        <v>0.99020656636498205</v>
      </c>
      <c r="N72" s="55">
        <f t="shared" si="48"/>
        <v>1.4899613634863395E-3</v>
      </c>
      <c r="O72" s="56">
        <f t="shared" si="21"/>
        <v>4.7359915381108678E-7</v>
      </c>
      <c r="P72" s="56">
        <f t="shared" si="49"/>
        <v>1.0071540318927437E-5</v>
      </c>
      <c r="Q72" s="56">
        <f t="shared" si="50"/>
        <v>1.5322721841234241E-4</v>
      </c>
      <c r="R72" s="9">
        <f t="shared" si="43"/>
        <v>1.4999999999999999E-4</v>
      </c>
      <c r="S72" s="9">
        <f t="shared" si="39"/>
        <v>1.4690150452526927E-6</v>
      </c>
      <c r="T72" s="9">
        <f t="shared" si="40"/>
        <v>7.060316611413406E-5</v>
      </c>
      <c r="U72" s="9">
        <f t="shared" si="41"/>
        <v>1.4853098495474728E-4</v>
      </c>
      <c r="V72" s="102">
        <f t="shared" si="42"/>
        <v>0.47534301435922349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3.8293839195374848</v>
      </c>
      <c r="J73" s="54">
        <f t="shared" si="45"/>
        <v>5.1978454460498824</v>
      </c>
      <c r="K73" s="55">
        <f t="shared" si="46"/>
        <v>1.4407772540626793E-4</v>
      </c>
      <c r="L73" s="55">
        <f t="shared" si="47"/>
        <v>2.2231019443787896E-2</v>
      </c>
      <c r="M73" s="55">
        <f t="shared" si="19"/>
        <v>0.97776898055621209</v>
      </c>
      <c r="N73" s="55">
        <f t="shared" si="48"/>
        <v>1.6592886116613661E-2</v>
      </c>
      <c r="O73" s="56">
        <f t="shared" si="21"/>
        <v>1.4496889996079358E-10</v>
      </c>
      <c r="P73" s="56">
        <f t="shared" si="49"/>
        <v>2.2862319489088894E-5</v>
      </c>
      <c r="Q73" s="56">
        <f t="shared" si="50"/>
        <v>1.7064078622363525E-3</v>
      </c>
      <c r="R73" s="9">
        <f t="shared" si="43"/>
        <v>1.4999999999999999E-4</v>
      </c>
      <c r="S73" s="9">
        <f t="shared" si="39"/>
        <v>3.3346529165681841E-6</v>
      </c>
      <c r="T73" s="9">
        <f t="shared" si="40"/>
        <v>2.1611658810940187E-8</v>
      </c>
      <c r="U73" s="9">
        <f t="shared" si="41"/>
        <v>1.466653470834318E-4</v>
      </c>
      <c r="V73" s="102">
        <f t="shared" si="42"/>
        <v>1.4735354492868868E-4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3.8037572032670899E-2</v>
      </c>
      <c r="J74" s="54">
        <f t="shared" si="45"/>
        <v>0.42916913204398671</v>
      </c>
      <c r="K74" s="55">
        <f t="shared" si="46"/>
        <v>0.90921760155680165</v>
      </c>
      <c r="L74" s="55">
        <f t="shared" si="47"/>
        <v>2.3897587235057736E-3</v>
      </c>
      <c r="M74" s="55">
        <f t="shared" si="19"/>
        <v>0.99761024127649423</v>
      </c>
      <c r="N74" s="55">
        <f t="shared" si="48"/>
        <v>2.1967008778054695E-4</v>
      </c>
      <c r="O74" s="56">
        <f t="shared" si="21"/>
        <v>9.1484145207741101E-7</v>
      </c>
      <c r="P74" s="56">
        <f t="shared" si="49"/>
        <v>2.4576213239691636E-6</v>
      </c>
      <c r="Q74" s="56">
        <f t="shared" si="50"/>
        <v>2.2590811643765756E-5</v>
      </c>
      <c r="R74" s="9">
        <f t="shared" si="43"/>
        <v>1.4999999999999999E-4</v>
      </c>
      <c r="S74" s="9">
        <f t="shared" si="39"/>
        <v>3.58463808525866E-7</v>
      </c>
      <c r="T74" s="9">
        <f t="shared" si="40"/>
        <v>1.3638264023352025E-4</v>
      </c>
      <c r="U74" s="9">
        <f t="shared" si="41"/>
        <v>1.4964153619147411E-4</v>
      </c>
      <c r="V74" s="102">
        <f t="shared" si="42"/>
        <v>0.9113956171835309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4.0258976380178252E-2</v>
      </c>
      <c r="J75" s="54">
        <f t="shared" si="45"/>
        <v>0.44418370932270096</v>
      </c>
      <c r="K75" s="55">
        <f t="shared" si="46"/>
        <v>0.90451423084452853</v>
      </c>
      <c r="L75" s="55">
        <f t="shared" si="47"/>
        <v>2.4610260022359166E-3</v>
      </c>
      <c r="M75" s="55">
        <f t="shared" si="19"/>
        <v>0.99753897399776403</v>
      </c>
      <c r="N75" s="55">
        <f t="shared" si="48"/>
        <v>2.084056520265569E-4</v>
      </c>
      <c r="O75" s="56">
        <f t="shared" si="21"/>
        <v>9.1010898926025169E-7</v>
      </c>
      <c r="P75" s="56">
        <f t="shared" si="49"/>
        <v>2.5309123981624237E-6</v>
      </c>
      <c r="Q75" s="56">
        <f t="shared" si="50"/>
        <v>2.14323801569722E-5</v>
      </c>
      <c r="R75" s="9">
        <f t="shared" si="43"/>
        <v>1.4999999999999999E-4</v>
      </c>
      <c r="S75" s="9">
        <f t="shared" si="39"/>
        <v>3.6915390033538747E-7</v>
      </c>
      <c r="T75" s="9">
        <f t="shared" si="40"/>
        <v>1.3567713462667928E-4</v>
      </c>
      <c r="U75" s="9">
        <f t="shared" si="41"/>
        <v>1.496308460996646E-4</v>
      </c>
      <c r="V75" s="102">
        <f t="shared" si="42"/>
        <v>0.90674575572678928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1.137117589232139</v>
      </c>
      <c r="J76" s="54">
        <f t="shared" si="45"/>
        <v>2.3960547686651839</v>
      </c>
      <c r="K76" s="55">
        <f t="shared" si="46"/>
        <v>7.1288684766553284E-2</v>
      </c>
      <c r="L76" s="55">
        <f t="shared" si="47"/>
        <v>1.7361708487476545E-2</v>
      </c>
      <c r="M76" s="55">
        <f t="shared" si="19"/>
        <v>0.98263829151252347</v>
      </c>
      <c r="N76" s="55">
        <f t="shared" si="48"/>
        <v>5.1703112864514697E-3</v>
      </c>
      <c r="O76" s="56">
        <f t="shared" si="21"/>
        <v>7.1729631913035574E-8</v>
      </c>
      <c r="P76" s="56">
        <f t="shared" si="49"/>
        <v>1.7854733442196265E-5</v>
      </c>
      <c r="Q76" s="56">
        <f t="shared" si="50"/>
        <v>5.3171339617502894E-4</v>
      </c>
      <c r="R76" s="9">
        <f t="shared" si="43"/>
        <v>1.4999999999999999E-4</v>
      </c>
      <c r="S76" s="9">
        <f t="shared" si="39"/>
        <v>2.6042562731214818E-6</v>
      </c>
      <c r="T76" s="9">
        <f t="shared" si="40"/>
        <v>1.0693302714982991E-5</v>
      </c>
      <c r="U76" s="9">
        <f t="shared" si="41"/>
        <v>1.4739574372687851E-4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2.0958974367173925E-3</v>
      </c>
      <c r="J77" s="54">
        <f t="shared" si="45"/>
        <v>3.6103930695935905E-2</v>
      </c>
      <c r="K77" s="55">
        <f t="shared" si="46"/>
        <v>0.98898955708726133</v>
      </c>
      <c r="L77" s="55">
        <f t="shared" si="47"/>
        <v>1.0515083492629847E-3</v>
      </c>
      <c r="M77" s="55">
        <f t="shared" si="19"/>
        <v>0.99894849165073707</v>
      </c>
      <c r="N77" s="55">
        <f t="shared" si="48"/>
        <v>1.4692943032634088E-5</v>
      </c>
      <c r="O77" s="56">
        <f t="shared" si="21"/>
        <v>9.9510682695310963E-7</v>
      </c>
      <c r="P77" s="56">
        <f t="shared" si="49"/>
        <v>1.0813683055372606E-6</v>
      </c>
      <c r="Q77" s="56">
        <f t="shared" si="50"/>
        <v>1.5110182360122448E-6</v>
      </c>
      <c r="R77" s="9">
        <f t="shared" si="43"/>
        <v>1.4999999999999999E-4</v>
      </c>
      <c r="S77" s="9">
        <f t="shared" si="39"/>
        <v>1.5772625238944768E-7</v>
      </c>
      <c r="T77" s="9">
        <f t="shared" si="40"/>
        <v>1.4834843356308918E-4</v>
      </c>
      <c r="U77" s="9">
        <f t="shared" si="41"/>
        <v>1.4984227374761054E-4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0.71549530837913433</v>
      </c>
      <c r="K78" s="55">
        <f t="shared" si="46"/>
        <v>0.80945237757241373</v>
      </c>
      <c r="L78" s="55">
        <f t="shared" si="47"/>
        <v>4.1134261092364661E-3</v>
      </c>
      <c r="M78" s="55">
        <f t="shared" si="19"/>
        <v>0.99588657389076352</v>
      </c>
      <c r="N78" s="55">
        <f t="shared" si="48"/>
        <v>6.2894315073239431E-4</v>
      </c>
      <c r="O78" s="56">
        <f t="shared" si="21"/>
        <v>8.1445914291354283E-7</v>
      </c>
      <c r="P78" s="56">
        <f t="shared" si="49"/>
        <v>4.2302361410782085E-6</v>
      </c>
      <c r="Q78" s="56">
        <f t="shared" si="50"/>
        <v>6.4680341308127442E-5</v>
      </c>
      <c r="R78" s="9">
        <f t="shared" si="43"/>
        <v>1.4999999999999999E-4</v>
      </c>
      <c r="S78" s="9">
        <f t="shared" si="39"/>
        <v>6.1701391638546983E-7</v>
      </c>
      <c r="T78" s="9">
        <f t="shared" si="40"/>
        <v>1.2141785663586205E-4</v>
      </c>
      <c r="U78" s="9">
        <f t="shared" si="41"/>
        <v>1.4938298608361452E-4</v>
      </c>
      <c r="V78" s="102">
        <f t="shared" si="42"/>
        <v>0.81279575284363725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1.6323878148666415</v>
      </c>
      <c r="K79" s="55">
        <f t="shared" si="46"/>
        <v>0.30581498263475737</v>
      </c>
      <c r="L79" s="55">
        <f t="shared" si="47"/>
        <v>1.2834048097895612E-2</v>
      </c>
      <c r="M79" s="55">
        <f t="shared" si="19"/>
        <v>0.98716595190210443</v>
      </c>
      <c r="N79" s="55">
        <f t="shared" si="48"/>
        <v>2.7536316685981403E-3</v>
      </c>
      <c r="O79" s="56">
        <f t="shared" si="21"/>
        <v>3.0770656254517244E-7</v>
      </c>
      <c r="P79" s="56">
        <f t="shared" si="49"/>
        <v>1.3198499902100233E-5</v>
      </c>
      <c r="Q79" s="56">
        <f t="shared" si="50"/>
        <v>2.8318272637899752E-4</v>
      </c>
      <c r="R79" s="9">
        <f t="shared" si="43"/>
        <v>1.4999999999999999E-4</v>
      </c>
      <c r="S79" s="9">
        <f t="shared" si="39"/>
        <v>1.9251072146843418E-6</v>
      </c>
      <c r="T79" s="9">
        <f t="shared" si="40"/>
        <v>4.5872247395213599E-5</v>
      </c>
      <c r="U79" s="9">
        <f t="shared" si="41"/>
        <v>1.4807489278531564E-4</v>
      </c>
      <c r="V79" s="102">
        <f t="shared" si="42"/>
        <v>0.3097908533468996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4.3070548137368689</v>
      </c>
      <c r="K80" s="55">
        <f t="shared" si="46"/>
        <v>1.0256408179480467E-3</v>
      </c>
      <c r="L80" s="55">
        <f t="shared" si="47"/>
        <v>2.0350130520334249E-2</v>
      </c>
      <c r="M80" s="55">
        <f t="shared" si="19"/>
        <v>0.9796498694796657</v>
      </c>
      <c r="N80" s="55">
        <f t="shared" si="48"/>
        <v>1.0884497533404557E-2</v>
      </c>
      <c r="O80" s="56">
        <f t="shared" si="21"/>
        <v>1.0319847895540727E-9</v>
      </c>
      <c r="P80" s="56">
        <f t="shared" si="49"/>
        <v>2.0928018473329488E-5</v>
      </c>
      <c r="Q80" s="56">
        <f t="shared" si="50"/>
        <v>1.1193587442812057E-3</v>
      </c>
      <c r="R80" s="9">
        <f t="shared" si="43"/>
        <v>1.4999999999999999E-4</v>
      </c>
      <c r="S80" s="9">
        <f t="shared" si="39"/>
        <v>3.0525195780501372E-6</v>
      </c>
      <c r="T80" s="9">
        <f t="shared" si="40"/>
        <v>1.53846122692207E-7</v>
      </c>
      <c r="U80" s="9">
        <f t="shared" si="41"/>
        <v>1.4694748042194984E-4</v>
      </c>
      <c r="V80" s="102">
        <f t="shared" si="42"/>
        <v>1.0469463120459648E-3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1.8320197616226608</v>
      </c>
      <c r="K81" s="55">
        <f t="shared" si="46"/>
        <v>0.22250468554784855</v>
      </c>
      <c r="L81" s="55">
        <f t="shared" si="47"/>
        <v>1.4786861714979251E-2</v>
      </c>
      <c r="M81" s="55">
        <f t="shared" si="19"/>
        <v>0.98521313828502077</v>
      </c>
      <c r="N81" s="55">
        <f t="shared" si="48"/>
        <v>4.6653931760812142E-3</v>
      </c>
      <c r="O81" s="56">
        <f t="shared" si="21"/>
        <v>2.2388096014868526E-7</v>
      </c>
      <c r="P81" s="56">
        <f t="shared" si="49"/>
        <v>1.5206768075734758E-5</v>
      </c>
      <c r="Q81" s="56">
        <f t="shared" si="50"/>
        <v>4.7978775603828083E-4</v>
      </c>
      <c r="R81" s="9">
        <f t="shared" si="43"/>
        <v>1.4999999999999999E-4</v>
      </c>
      <c r="S81" s="9">
        <f t="shared" si="39"/>
        <v>2.2180292572468876E-6</v>
      </c>
      <c r="T81" s="9">
        <f t="shared" si="40"/>
        <v>3.3375702832177282E-5</v>
      </c>
      <c r="U81" s="9">
        <f t="shared" si="41"/>
        <v>1.477819707427531E-4</v>
      </c>
      <c r="V81" s="102">
        <f t="shared" si="42"/>
        <v>0.2258442126900243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2.6025949535148953</v>
      </c>
      <c r="K82" s="55">
        <f t="shared" si="46"/>
        <v>4.7433182629141576E-2</v>
      </c>
      <c r="L82" s="55">
        <f t="shared" si="47"/>
        <v>1.8586358425446314E-2</v>
      </c>
      <c r="M82" s="55">
        <f t="shared" si="19"/>
        <v>0.98141364157455369</v>
      </c>
      <c r="N82" s="55">
        <f t="shared" si="48"/>
        <v>7.7525995999848983E-3</v>
      </c>
      <c r="O82" s="56">
        <f t="shared" si="21"/>
        <v>4.7726574583241792E-8</v>
      </c>
      <c r="P82" s="56">
        <f t="shared" si="49"/>
        <v>1.911416008319906E-5</v>
      </c>
      <c r="Q82" s="56">
        <f t="shared" si="50"/>
        <v>7.9727521886255651E-4</v>
      </c>
      <c r="R82" s="9">
        <f t="shared" si="43"/>
        <v>1.4999999999999999E-4</v>
      </c>
      <c r="S82" s="9">
        <f t="shared" si="39"/>
        <v>2.7879537638169471E-6</v>
      </c>
      <c r="T82" s="9">
        <f t="shared" si="40"/>
        <v>7.1149773943712355E-6</v>
      </c>
      <c r="U82" s="9">
        <f t="shared" si="41"/>
        <v>1.4721204623618304E-4</v>
      </c>
      <c r="V82" s="102">
        <f t="shared" si="42"/>
        <v>4.8331489007062356E-2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2.0064300527387009</v>
      </c>
      <c r="K83" s="55">
        <f t="shared" si="46"/>
        <v>0.16104593806084225</v>
      </c>
      <c r="L83" s="55">
        <f t="shared" si="47"/>
        <v>1.5991784070609381E-2</v>
      </c>
      <c r="M83" s="55">
        <f t="shared" si="19"/>
        <v>0.98400821592939058</v>
      </c>
      <c r="N83" s="55">
        <f t="shared" si="48"/>
        <v>5.355041789828899E-3</v>
      </c>
      <c r="O83" s="56">
        <f t="shared" si="21"/>
        <v>1.6204206734942478E-7</v>
      </c>
      <c r="P83" s="56">
        <f t="shared" si="49"/>
        <v>1.6445906925107644E-5</v>
      </c>
      <c r="Q83" s="56">
        <f t="shared" si="50"/>
        <v>5.5071103053126692E-4</v>
      </c>
      <c r="R83" s="9">
        <f t="shared" si="43"/>
        <v>1.4999999999999999E-4</v>
      </c>
      <c r="S83" s="9">
        <f t="shared" si="39"/>
        <v>2.3987676105914071E-6</v>
      </c>
      <c r="T83" s="9">
        <f t="shared" si="40"/>
        <v>2.4156890709126336E-5</v>
      </c>
      <c r="U83" s="9">
        <f t="shared" si="41"/>
        <v>1.4760123238940858E-4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0.55351864127074724</v>
      </c>
      <c r="K84" s="55">
        <f t="shared" si="46"/>
        <v>0.87099999025825015</v>
      </c>
      <c r="L84" s="55">
        <f t="shared" si="47"/>
        <v>3.0482731473868326E-3</v>
      </c>
      <c r="M84" s="55">
        <f t="shared" si="19"/>
        <v>0.99695172685261313</v>
      </c>
      <c r="N84" s="55">
        <f t="shared" si="48"/>
        <v>3.710088241411017E-4</v>
      </c>
      <c r="O84" s="56">
        <f t="shared" si="21"/>
        <v>8.7638745057608552E-7</v>
      </c>
      <c r="P84" s="56">
        <f t="shared" si="49"/>
        <v>3.1348357533393384E-6</v>
      </c>
      <c r="Q84" s="56">
        <f t="shared" si="50"/>
        <v>3.8154445828417709E-5</v>
      </c>
      <c r="R84" s="9">
        <f t="shared" si="43"/>
        <v>1.4999999999999999E-4</v>
      </c>
      <c r="S84" s="9">
        <f t="shared" si="39"/>
        <v>4.5724097210802483E-7</v>
      </c>
      <c r="T84" s="9">
        <f t="shared" si="40"/>
        <v>1.306499985387375E-4</v>
      </c>
      <c r="U84" s="9">
        <f t="shared" si="41"/>
        <v>1.4954275902789196E-4</v>
      </c>
      <c r="V84" s="102">
        <f t="shared" si="42"/>
        <v>0.87366315419103202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0.61860589125383414</v>
      </c>
      <c r="J85" s="54">
        <f t="shared" si="45"/>
        <v>1.8023749945199008</v>
      </c>
      <c r="K85" s="55">
        <f t="shared" si="46"/>
        <v>0.23590237160216099</v>
      </c>
      <c r="L85" s="55">
        <f t="shared" si="47"/>
        <v>1.4642808762492134E-2</v>
      </c>
      <c r="M85" s="55">
        <f t="shared" si="19"/>
        <v>0.98535719123750787</v>
      </c>
      <c r="N85" s="55">
        <f t="shared" si="48"/>
        <v>4.8777484089877849E-3</v>
      </c>
      <c r="O85" s="56">
        <f t="shared" si="21"/>
        <v>2.37361515896196E-7</v>
      </c>
      <c r="P85" s="56">
        <f t="shared" si="49"/>
        <v>1.5058624414062633E-5</v>
      </c>
      <c r="Q85" s="56">
        <f t="shared" si="50"/>
        <v>5.016263100108767E-4</v>
      </c>
      <c r="R85" s="9">
        <f t="shared" si="43"/>
        <v>1.4999999999999999E-4</v>
      </c>
      <c r="S85" s="9">
        <f t="shared" si="39"/>
        <v>2.1964213143738201E-6</v>
      </c>
      <c r="T85" s="9">
        <f t="shared" si="40"/>
        <v>3.5385355740324142E-5</v>
      </c>
      <c r="U85" s="9">
        <f t="shared" si="41"/>
        <v>1.4780357868562617E-4</v>
      </c>
      <c r="V85" s="102">
        <f t="shared" si="42"/>
        <v>0.23940797682299525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1.2272811321709634</v>
      </c>
      <c r="K86" s="55">
        <f t="shared" si="46"/>
        <v>0.53969280882844928</v>
      </c>
      <c r="L86" s="55">
        <f t="shared" si="47"/>
        <v>8.9113777248844457E-3</v>
      </c>
      <c r="M86" s="55">
        <f t="shared" si="19"/>
        <v>0.99108862227511552</v>
      </c>
      <c r="N86" s="55">
        <f t="shared" si="48"/>
        <v>2.1552801060072263E-3</v>
      </c>
      <c r="O86" s="56">
        <f t="shared" si="21"/>
        <v>5.4303101046324176E-7</v>
      </c>
      <c r="P86" s="56">
        <f t="shared" si="49"/>
        <v>9.1644364375376743E-6</v>
      </c>
      <c r="Q86" s="56">
        <f t="shared" si="50"/>
        <v>2.2164841561408288E-4</v>
      </c>
      <c r="R86" s="9">
        <f t="shared" si="43"/>
        <v>1.4999999999999999E-4</v>
      </c>
      <c r="S86" s="9">
        <f t="shared" si="39"/>
        <v>1.3367066587326668E-6</v>
      </c>
      <c r="T86" s="9">
        <f t="shared" si="40"/>
        <v>8.0953921324267389E-5</v>
      </c>
      <c r="U86" s="9">
        <f t="shared" si="41"/>
        <v>1.4866329334126732E-4</v>
      </c>
      <c r="V86" s="102">
        <f t="shared" si="42"/>
        <v>0.54454545910288576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3.4732152339918136</v>
      </c>
      <c r="K88" s="55">
        <f t="shared" si="46"/>
        <v>7.1170826422723371E-3</v>
      </c>
      <c r="L88" s="55">
        <f t="shared" si="47"/>
        <v>2.0703050034806169E-2</v>
      </c>
      <c r="M88" s="55">
        <f t="shared" si="19"/>
        <v>0.97929694996519379</v>
      </c>
      <c r="N88" s="55">
        <f t="shared" si="48"/>
        <v>1.2260469399587769E-2</v>
      </c>
      <c r="O88" s="56">
        <f t="shared" si="21"/>
        <v>7.1611044571320908E-9</v>
      </c>
      <c r="P88" s="56">
        <f t="shared" si="49"/>
        <v>2.129095993510963E-5</v>
      </c>
      <c r="Q88" s="56">
        <f t="shared" si="50"/>
        <v>1.260863314020894E-3</v>
      </c>
      <c r="R88" s="9">
        <f>F88*$C$14</f>
        <v>1.4999999999999999E-4</v>
      </c>
      <c r="S88" s="9">
        <f t="shared" si="39"/>
        <v>3.1054575052209249E-6</v>
      </c>
      <c r="T88" s="9">
        <f t="shared" si="40"/>
        <v>1.0675623963408504E-6</v>
      </c>
      <c r="U88" s="9">
        <f t="shared" si="41"/>
        <v>1.4689454249477906E-4</v>
      </c>
      <c r="V88" s="102">
        <f t="shared" si="42"/>
        <v>7.2675429475454745E-3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4.8822108795245622</v>
      </c>
      <c r="K89" s="55">
        <f t="shared" si="46"/>
        <v>2.9331940904506448E-4</v>
      </c>
      <c r="L89" s="55">
        <f t="shared" si="47"/>
        <v>2.1881080797276516E-2</v>
      </c>
      <c r="M89" s="55">
        <f t="shared" si="19"/>
        <v>0.97811891920272354</v>
      </c>
      <c r="N89" s="55">
        <f t="shared" si="48"/>
        <v>1.5530122816800154E-2</v>
      </c>
      <c r="O89" s="56">
        <f t="shared" si="21"/>
        <v>2.951336991648757E-10</v>
      </c>
      <c r="P89" s="56">
        <f t="shared" si="49"/>
        <v>2.2502443543752618E-5</v>
      </c>
      <c r="Q89" s="56">
        <f t="shared" si="50"/>
        <v>1.597113575651559E-3</v>
      </c>
      <c r="R89" s="9">
        <f>F89*$C$14</f>
        <v>1.4999999999999999E-4</v>
      </c>
      <c r="S89" s="9">
        <f t="shared" si="39"/>
        <v>3.2821621195914772E-6</v>
      </c>
      <c r="T89" s="9">
        <f t="shared" si="40"/>
        <v>4.3997911356759666E-8</v>
      </c>
      <c r="U89" s="9">
        <f t="shared" si="41"/>
        <v>1.4671783788040851E-4</v>
      </c>
      <c r="V89" s="102">
        <f t="shared" si="42"/>
        <v>2.9988113233118182E-4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5.2380464528641673</v>
      </c>
      <c r="K90" s="55">
        <f t="shared" si="46"/>
        <v>1.3221080727664122E-4</v>
      </c>
      <c r="L90" s="55">
        <f t="shared" si="47"/>
        <v>2.2378475565981628E-2</v>
      </c>
      <c r="M90" s="55">
        <f t="shared" si="19"/>
        <v>0.9776215244340184</v>
      </c>
      <c r="N90" s="55">
        <f t="shared" si="48"/>
        <v>1.7043196292865152E-2</v>
      </c>
      <c r="O90" s="56">
        <f t="shared" si="21"/>
        <v>1.3302858050942927E-10</v>
      </c>
      <c r="P90" s="56">
        <f t="shared" si="49"/>
        <v>2.3013962961163565E-5</v>
      </c>
      <c r="Q90" s="56">
        <f t="shared" si="50"/>
        <v>1.7527176373894047E-3</v>
      </c>
      <c r="R90" s="9">
        <f>F90*$C$14</f>
        <v>1.4999999999999999E-4</v>
      </c>
      <c r="S90" s="9">
        <f t="shared" si="39"/>
        <v>3.356771334897244E-6</v>
      </c>
      <c r="T90" s="9">
        <f t="shared" si="40"/>
        <v>1.9831621091496181E-8</v>
      </c>
      <c r="U90" s="9">
        <f t="shared" si="41"/>
        <v>1.4664322866510273E-4</v>
      </c>
      <c r="V90" s="102">
        <f t="shared" si="42"/>
        <v>1.3523720987340473E-4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5.6480480937018527</v>
      </c>
      <c r="K91" s="55">
        <f t="shared" si="46"/>
        <v>5.2490305306195615E-5</v>
      </c>
      <c r="L91" s="55">
        <f t="shared" si="47"/>
        <v>2.2837274993215931E-2</v>
      </c>
      <c r="M91" s="55">
        <f t="shared" si="19"/>
        <v>0.97716272500678403</v>
      </c>
      <c r="N91" s="55">
        <f t="shared" si="48"/>
        <v>1.8442219544107095E-2</v>
      </c>
      <c r="O91" s="56">
        <f t="shared" si="21"/>
        <v>5.2814977453234727E-11</v>
      </c>
      <c r="P91" s="56">
        <f t="shared" si="49"/>
        <v>2.3485791035146578E-5</v>
      </c>
      <c r="Q91" s="56">
        <f t="shared" si="50"/>
        <v>1.8965928052530848E-3</v>
      </c>
      <c r="R91" s="9">
        <f t="shared" ref="R91:R92" si="51">F91*$C$14</f>
        <v>1.4999999999999999E-4</v>
      </c>
      <c r="S91" s="9">
        <f t="shared" si="39"/>
        <v>3.4255912489823891E-6</v>
      </c>
      <c r="T91" s="9">
        <f t="shared" si="40"/>
        <v>7.8735457959293423E-9</v>
      </c>
      <c r="U91" s="9">
        <f t="shared" si="41"/>
        <v>1.4657440875101758E-4</v>
      </c>
      <c r="V91" s="102">
        <f t="shared" si="42"/>
        <v>5.3717056497249418E-5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6.8825918577396408</v>
      </c>
      <c r="K92" s="55">
        <f t="shared" si="46"/>
        <v>3.1578161930282696E-6</v>
      </c>
      <c r="L92" s="55">
        <f t="shared" si="47"/>
        <v>2.3577393624581139E-2</v>
      </c>
      <c r="M92" s="55">
        <f t="shared" si="19"/>
        <v>0.97642260637541889</v>
      </c>
      <c r="N92" s="55">
        <f t="shared" si="48"/>
        <v>2.0702935846894928E-2</v>
      </c>
      <c r="O92" s="56">
        <f t="shared" si="21"/>
        <v>3.1773484658425475E-12</v>
      </c>
      <c r="P92" s="56">
        <f t="shared" si="49"/>
        <v>2.4246927007920311E-5</v>
      </c>
      <c r="Q92" s="56">
        <f t="shared" si="50"/>
        <v>2.1290842504574558E-3</v>
      </c>
      <c r="R92" s="9">
        <f t="shared" si="51"/>
        <v>1.4999999999999999E-4</v>
      </c>
      <c r="S92" s="9">
        <f t="shared" si="39"/>
        <v>3.5366090436871703E-6</v>
      </c>
      <c r="T92" s="9">
        <f t="shared" si="40"/>
        <v>4.7367242895424037E-10</v>
      </c>
      <c r="U92" s="9">
        <f t="shared" si="41"/>
        <v>1.4646339095631281E-4</v>
      </c>
      <c r="V92" s="102">
        <f t="shared" si="42"/>
        <v>3.2340670652335752E-6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1.1804947002134922</v>
      </c>
      <c r="K93" s="55">
        <f t="shared" si="46"/>
        <v>0.55666241974335273</v>
      </c>
      <c r="L93" s="55">
        <f t="shared" si="47"/>
        <v>8.2528450704506175E-3</v>
      </c>
      <c r="M93" s="55">
        <f t="shared" ref="M93:M127" si="52">IF(D93=0,"",1-L93)</f>
        <v>0.99174715492954935</v>
      </c>
      <c r="N93" s="55">
        <f t="shared" si="48"/>
        <v>9.6852088906079585E-4</v>
      </c>
      <c r="O93" s="56">
        <f t="shared" ref="O93:O127" si="53">IF(D93=0,"",F93*K93*$J$7/$J$14)</f>
        <v>5.6010558476096453E-7</v>
      </c>
      <c r="P93" s="56">
        <f t="shared" si="49"/>
        <v>8.4872032599169749E-6</v>
      </c>
      <c r="Q93" s="56">
        <f t="shared" si="50"/>
        <v>9.9602422882823471E-5</v>
      </c>
      <c r="R93" s="9">
        <f>F93*$C$14</f>
        <v>1.4999999999999999E-4</v>
      </c>
      <c r="S93" s="9">
        <f t="shared" si="39"/>
        <v>1.2379267605675925E-6</v>
      </c>
      <c r="T93" s="9">
        <f t="shared" si="40"/>
        <v>8.3499362961502902E-5</v>
      </c>
      <c r="U93" s="9">
        <f t="shared" si="41"/>
        <v>1.4876207323943238E-4</v>
      </c>
      <c r="V93" s="102">
        <f t="shared" si="42"/>
        <v>0.5612946979241864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0.26095660478938415</v>
      </c>
      <c r="K107" s="55">
        <f t="shared" si="46"/>
        <v>0.95047709291006999</v>
      </c>
      <c r="L107" s="55">
        <f t="shared" si="47"/>
        <v>1.695958997446794E-3</v>
      </c>
      <c r="M107" s="55">
        <f t="shared" si="52"/>
        <v>0.99830404100255321</v>
      </c>
      <c r="N107" s="55">
        <f t="shared" si="48"/>
        <v>1.0866026090488123E-4</v>
      </c>
      <c r="O107" s="56">
        <f t="shared" si="53"/>
        <v>9.5635614879794212E-7</v>
      </c>
      <c r="P107" s="56">
        <f t="shared" si="49"/>
        <v>1.7441195865112753E-6</v>
      </c>
      <c r="Q107" s="56">
        <f t="shared" si="50"/>
        <v>1.1174591461523489E-5</v>
      </c>
      <c r="R107" s="9">
        <f>F107*$C$14</f>
        <v>1.4999999999999999E-4</v>
      </c>
      <c r="S107" s="9">
        <f t="shared" ref="S107:S108" si="54">$R107*L107</f>
        <v>2.5439384961701906E-7</v>
      </c>
      <c r="T107" s="9">
        <f t="shared" ref="T107:T108" si="55">R107*K107</f>
        <v>1.4257156393651047E-4</v>
      </c>
      <c r="U107" s="9">
        <f t="shared" ref="U107:U108" si="56">$R107*M107</f>
        <v>1.4974560615038296E-4</v>
      </c>
      <c r="V107" s="102">
        <f t="shared" ref="V107:V108" si="57">K107/M107</f>
        <v>0.95209180156733342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0.88901420040828383</v>
      </c>
      <c r="K108" s="55">
        <f t="shared" si="46"/>
        <v>0.72665455869051099</v>
      </c>
      <c r="L108" s="55">
        <f t="shared" si="47"/>
        <v>5.5062926768118135E-3</v>
      </c>
      <c r="M108" s="55">
        <f t="shared" si="52"/>
        <v>0.9944937073231882</v>
      </c>
      <c r="N108" s="55">
        <f t="shared" si="48"/>
        <v>8.5348145983989957E-4</v>
      </c>
      <c r="O108" s="56">
        <f t="shared" si="53"/>
        <v>7.3114918859120538E-7</v>
      </c>
      <c r="P108" s="56">
        <f t="shared" si="49"/>
        <v>5.662656303099908E-6</v>
      </c>
      <c r="Q108" s="56">
        <f t="shared" si="50"/>
        <v>8.7771799499398336E-5</v>
      </c>
      <c r="R108" s="9">
        <f>F108*$C$14</f>
        <v>1.4999999999999999E-4</v>
      </c>
      <c r="S108" s="9">
        <f t="shared" si="54"/>
        <v>8.2594390152177199E-7</v>
      </c>
      <c r="T108" s="9">
        <f t="shared" si="55"/>
        <v>1.0899818380357664E-4</v>
      </c>
      <c r="U108" s="9">
        <f t="shared" si="56"/>
        <v>1.4917405609847823E-4</v>
      </c>
      <c r="V108" s="102">
        <f t="shared" si="57"/>
        <v>0.73067788497767183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0.74385538428887032</v>
      </c>
      <c r="K114" s="55">
        <f t="shared" si="46"/>
        <v>0.79798185725907533</v>
      </c>
      <c r="L114" s="55">
        <f t="shared" si="47"/>
        <v>4.328779763465118E-3</v>
      </c>
      <c r="M114" s="55">
        <f t="shared" si="52"/>
        <v>0.99567122023653487</v>
      </c>
      <c r="N114" s="55">
        <f t="shared" si="48"/>
        <v>7.2851602009788583E-4</v>
      </c>
      <c r="O114" s="56">
        <f t="shared" si="53"/>
        <v>8.0291767314704229E-7</v>
      </c>
      <c r="P114" s="56">
        <f t="shared" si="49"/>
        <v>4.4517052490769419E-6</v>
      </c>
      <c r="Q114" s="56">
        <f t="shared" si="50"/>
        <v>7.4920387913436406E-5</v>
      </c>
      <c r="R114" s="9">
        <f>F114*$C$14</f>
        <v>1.4999999999999999E-4</v>
      </c>
      <c r="S114" s="9">
        <f t="shared" ref="S114:S116" si="58">$R114*L114</f>
        <v>6.4931696451976768E-7</v>
      </c>
      <c r="T114" s="9">
        <f t="shared" ref="T114:T116" si="59">R114*K114</f>
        <v>1.1969727858886129E-4</v>
      </c>
      <c r="U114" s="9">
        <f t="shared" ref="U114:U116" si="60">$R114*M114</f>
        <v>1.4935068303548022E-4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0.17110445915344094</v>
      </c>
      <c r="J115" s="54">
        <f t="shared" si="45"/>
        <v>0.98473247557463439</v>
      </c>
      <c r="K115" s="55">
        <f t="shared" si="46"/>
        <v>0.66664798501454448</v>
      </c>
      <c r="L115" s="55">
        <f t="shared" si="47"/>
        <v>6.2971804033417605E-3</v>
      </c>
      <c r="M115" s="55">
        <f t="shared" si="52"/>
        <v>0.99370281959665829</v>
      </c>
      <c r="N115" s="55">
        <f t="shared" si="48"/>
        <v>3.4786413873030819E-4</v>
      </c>
      <c r="O115" s="56">
        <f t="shared" si="53"/>
        <v>6.7077145184049215E-7</v>
      </c>
      <c r="P115" s="56">
        <f t="shared" si="49"/>
        <v>6.4760030742476134E-6</v>
      </c>
      <c r="Q115" s="56">
        <f t="shared" si="50"/>
        <v>3.5774252721781402E-5</v>
      </c>
      <c r="R115" s="9">
        <f>F115*$C$14</f>
        <v>1.4999999999999999E-4</v>
      </c>
      <c r="S115" s="9">
        <f t="shared" si="58"/>
        <v>9.4457706050126397E-7</v>
      </c>
      <c r="T115" s="9">
        <f t="shared" si="59"/>
        <v>9.9997197752181666E-5</v>
      </c>
      <c r="U115" s="9">
        <f t="shared" si="60"/>
        <v>1.4905542293949873E-4</v>
      </c>
      <c r="V115" s="102">
        <f t="shared" si="61"/>
        <v>0.67087259074613004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9.2579382109452407E-2</v>
      </c>
      <c r="K116" s="55">
        <f t="shared" si="46"/>
        <v>0.98044288112571598</v>
      </c>
      <c r="L116" s="55">
        <f t="shared" si="47"/>
        <v>1.1871860055706212E-3</v>
      </c>
      <c r="M116" s="55">
        <f t="shared" si="52"/>
        <v>0.99881281399442934</v>
      </c>
      <c r="N116" s="55">
        <f t="shared" si="48"/>
        <v>1.3106127435405129E-5</v>
      </c>
      <c r="O116" s="56">
        <f t="shared" si="53"/>
        <v>9.8650728660797416E-7</v>
      </c>
      <c r="P116" s="56">
        <f t="shared" si="49"/>
        <v>1.2208988355644278E-6</v>
      </c>
      <c r="Q116" s="56">
        <f t="shared" si="50"/>
        <v>1.347830554737218E-6</v>
      </c>
      <c r="R116" s="9">
        <f>F116*$C$14</f>
        <v>1.4999999999999999E-4</v>
      </c>
      <c r="S116" s="9">
        <f t="shared" si="58"/>
        <v>1.7807790083559318E-7</v>
      </c>
      <c r="T116" s="9">
        <f t="shared" si="59"/>
        <v>1.4706643216885737E-4</v>
      </c>
      <c r="U116" s="9">
        <f t="shared" si="60"/>
        <v>1.498219220991644E-4</v>
      </c>
      <c r="V116" s="102">
        <f t="shared" si="61"/>
        <v>0.98160823268250963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2.733342553277482</v>
      </c>
      <c r="K119" s="55">
        <f t="shared" si="46"/>
        <v>3.5042111412568598E-2</v>
      </c>
      <c r="L119" s="55">
        <f t="shared" si="47"/>
        <v>1.8554527883541876E-2</v>
      </c>
      <c r="M119" s="55">
        <f t="shared" si="52"/>
        <v>0.98144547211645816</v>
      </c>
      <c r="N119" s="55">
        <f t="shared" si="48"/>
        <v>7.0514812428111645E-3</v>
      </c>
      <c r="O119" s="56">
        <f t="shared" si="53"/>
        <v>3.5258859962281438E-8</v>
      </c>
      <c r="P119" s="56">
        <f t="shared" si="49"/>
        <v>1.9081425641111504E-5</v>
      </c>
      <c r="Q119" s="56">
        <f t="shared" si="50"/>
        <v>7.2517239909803083E-4</v>
      </c>
      <c r="R119" s="9">
        <f>F119*$C$14</f>
        <v>1.4999999999999999E-4</v>
      </c>
      <c r="S119" s="9">
        <f t="shared" ref="S119:S121" si="62">$R119*L119</f>
        <v>2.783179182531281E-6</v>
      </c>
      <c r="T119" s="9">
        <f t="shared" ref="T119:T121" si="63">R119*K119</f>
        <v>5.2563167118852893E-6</v>
      </c>
      <c r="U119" s="9">
        <f t="shared" ref="U119:U121" si="64">$R119*M119</f>
        <v>1.4721682081746872E-4</v>
      </c>
      <c r="V119" s="102">
        <f t="shared" ref="V119:V121" si="65">K119/M119</f>
        <v>3.5704593284231388E-2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1.0536489251052004</v>
      </c>
      <c r="K120" s="55">
        <f t="shared" si="46"/>
        <v>0.63470582274160692</v>
      </c>
      <c r="L120" s="55">
        <f t="shared" si="47"/>
        <v>7.0264910359863599E-3</v>
      </c>
      <c r="M120" s="55">
        <f t="shared" si="52"/>
        <v>0.9929735089640136</v>
      </c>
      <c r="N120" s="55">
        <f t="shared" si="48"/>
        <v>1.0214698947971263E-3</v>
      </c>
      <c r="O120" s="56">
        <f t="shared" si="53"/>
        <v>6.3863171536131352E-7</v>
      </c>
      <c r="P120" s="56">
        <f t="shared" si="49"/>
        <v>7.2260241307479996E-6</v>
      </c>
      <c r="Q120" s="56">
        <f t="shared" si="50"/>
        <v>1.0504768412617075E-4</v>
      </c>
      <c r="R120" s="9">
        <f>F120*$C$14</f>
        <v>1.4999999999999999E-4</v>
      </c>
      <c r="S120" s="9">
        <f t="shared" si="62"/>
        <v>1.0539736553979539E-6</v>
      </c>
      <c r="T120" s="9">
        <f t="shared" si="63"/>
        <v>9.520587341124103E-5</v>
      </c>
      <c r="U120" s="9">
        <f t="shared" si="64"/>
        <v>1.4894602634460202E-4</v>
      </c>
      <c r="V120" s="102">
        <f t="shared" si="65"/>
        <v>0.63919713568573089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3.2754781567040245</v>
      </c>
      <c r="K121" s="55">
        <f t="shared" si="46"/>
        <v>9.894472960823044E-3</v>
      </c>
      <c r="L121" s="55">
        <f t="shared" si="47"/>
        <v>1.8255255329777204E-2</v>
      </c>
      <c r="M121" s="55">
        <f t="shared" si="52"/>
        <v>0.98174474467022277</v>
      </c>
      <c r="N121" s="55">
        <f t="shared" si="48"/>
        <v>4.9109866658038261E-3</v>
      </c>
      <c r="O121" s="56">
        <f t="shared" si="53"/>
        <v>9.95567397234834E-9</v>
      </c>
      <c r="P121" s="56">
        <f t="shared" si="49"/>
        <v>1.8773654566744721E-5</v>
      </c>
      <c r="Q121" s="56">
        <f t="shared" si="50"/>
        <v>5.0504452323546652E-4</v>
      </c>
      <c r="R121" s="9">
        <f>F121*$C$14</f>
        <v>1.4999999999999999E-4</v>
      </c>
      <c r="S121" s="9">
        <f t="shared" si="62"/>
        <v>2.7382882994665802E-6</v>
      </c>
      <c r="T121" s="9">
        <f t="shared" si="63"/>
        <v>1.4841709441234565E-6</v>
      </c>
      <c r="U121" s="9">
        <f t="shared" si="64"/>
        <v>1.472617117005334E-4</v>
      </c>
      <c r="V121" s="102">
        <f t="shared" si="65"/>
        <v>1.0078457780944567E-2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1.8871961709462508</v>
      </c>
      <c r="K124" s="55">
        <f t="shared" si="68"/>
        <v>0.20415199097473236</v>
      </c>
      <c r="L124" s="55">
        <f t="shared" si="69"/>
        <v>1.5405183633255494E-2</v>
      </c>
      <c r="M124" s="55">
        <f t="shared" si="52"/>
        <v>0.98459481636674451</v>
      </c>
      <c r="N124" s="55">
        <f t="shared" si="70"/>
        <v>5.6618024058256245E-3</v>
      </c>
      <c r="O124" s="56">
        <f t="shared" si="53"/>
        <v>2.0541474730364731E-7</v>
      </c>
      <c r="P124" s="56">
        <f t="shared" si="71"/>
        <v>1.5842648642457402E-5</v>
      </c>
      <c r="Q124" s="56">
        <f t="shared" si="72"/>
        <v>5.8225820823636586E-4</v>
      </c>
      <c r="R124" s="9">
        <f>F124*$C$14</f>
        <v>1.4999999999999999E-4</v>
      </c>
      <c r="S124" s="9">
        <f t="shared" ref="S124:S127" si="73">$R124*L124</f>
        <v>2.3107775449883238E-6</v>
      </c>
      <c r="T124" s="9">
        <f t="shared" ref="T124:T127" si="74">R124*K124</f>
        <v>3.0622798646209854E-5</v>
      </c>
      <c r="U124" s="9">
        <f t="shared" ref="U124:U127" si="75">$R124*M124</f>
        <v>1.4768922245501166E-4</v>
      </c>
      <c r="V124" s="102">
        <f t="shared" ref="V124:V127" si="76">K124/M124</f>
        <v>0.2073461972185412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1.3721776759184094</v>
      </c>
      <c r="K126" s="55">
        <f t="shared" si="68"/>
        <v>0.44703386708854653</v>
      </c>
      <c r="L126" s="55">
        <f t="shared" si="69"/>
        <v>1.0304696167223027E-2</v>
      </c>
      <c r="M126" s="55">
        <f t="shared" si="52"/>
        <v>0.98969530383277693</v>
      </c>
      <c r="N126" s="55">
        <f t="shared" si="70"/>
        <v>1.9006909867768183E-3</v>
      </c>
      <c r="O126" s="56">
        <f t="shared" si="53"/>
        <v>4.4979893855422348E-7</v>
      </c>
      <c r="P126" s="56">
        <f t="shared" si="71"/>
        <v>1.059732130632787E-5</v>
      </c>
      <c r="Q126" s="56">
        <f t="shared" si="72"/>
        <v>1.9546654034287129E-4</v>
      </c>
      <c r="R126" s="9">
        <f>F126*$C$14</f>
        <v>1.4999999999999999E-4</v>
      </c>
      <c r="S126" s="9">
        <f t="shared" si="73"/>
        <v>1.5457044250834541E-6</v>
      </c>
      <c r="T126" s="9">
        <f t="shared" si="74"/>
        <v>6.7055080063281973E-5</v>
      </c>
      <c r="U126" s="9">
        <f t="shared" si="75"/>
        <v>1.4845429557491652E-4</v>
      </c>
      <c r="V126" s="102">
        <f t="shared" si="76"/>
        <v>0.45168837859220484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9.7513741218238463E-3</v>
      </c>
      <c r="K127" s="55">
        <f t="shared" si="68"/>
        <v>0.99258400620431886</v>
      </c>
      <c r="L127" s="55">
        <f t="shared" si="69"/>
        <v>9.9319777063593432E-4</v>
      </c>
      <c r="M127" s="55">
        <f t="shared" si="52"/>
        <v>0.99900680222936411</v>
      </c>
      <c r="N127" s="55">
        <f t="shared" si="70"/>
        <v>1.1540997898086612E-5</v>
      </c>
      <c r="O127" s="56">
        <f t="shared" si="53"/>
        <v>9.9872350908072892E-7</v>
      </c>
      <c r="P127" s="56">
        <f t="shared" si="71"/>
        <v>1.0214018662322122E-6</v>
      </c>
      <c r="Q127" s="56">
        <f t="shared" si="72"/>
        <v>1.1868730619219945E-6</v>
      </c>
      <c r="R127" s="9">
        <f>F127*$C$14</f>
        <v>1.4999999999999999E-4</v>
      </c>
      <c r="S127" s="9">
        <f t="shared" si="73"/>
        <v>1.4897966559539013E-7</v>
      </c>
      <c r="T127" s="9">
        <f t="shared" si="74"/>
        <v>1.4888760093064783E-4</v>
      </c>
      <c r="U127" s="9">
        <f t="shared" si="75"/>
        <v>1.498510203344046E-4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0.27218535628460888</v>
      </c>
      <c r="K130" s="55">
        <f t="shared" si="79"/>
        <v>0.94700641467139735</v>
      </c>
      <c r="L130" s="55">
        <f t="shared" si="80"/>
        <v>1.7340250456165615E-3</v>
      </c>
      <c r="M130" s="55">
        <f t="shared" si="81"/>
        <v>0.99826597495438341</v>
      </c>
      <c r="N130" s="55">
        <f t="shared" si="82"/>
        <v>5.5939941734911699E-5</v>
      </c>
      <c r="O130" s="56">
        <f t="shared" si="83"/>
        <v>9.5286400311782767E-7</v>
      </c>
      <c r="P130" s="56">
        <f t="shared" si="84"/>
        <v>1.7832666061585221E-6</v>
      </c>
      <c r="Q130" s="56">
        <f t="shared" si="85"/>
        <v>5.7528482820068845E-6</v>
      </c>
      <c r="R130" s="9">
        <f>F130*$C$14</f>
        <v>1.4999999999999999E-4</v>
      </c>
      <c r="S130" s="9">
        <f t="shared" ref="S130:S131" si="86">$R130*L130</f>
        <v>2.6010375684248419E-7</v>
      </c>
      <c r="T130" s="9">
        <f t="shared" ref="T130:T131" si="87">R130*K130</f>
        <v>1.4205096220070958E-4</v>
      </c>
      <c r="U130" s="9">
        <f t="shared" ref="U130:U131" si="88">$R130*M130</f>
        <v>1.4973989624315749E-4</v>
      </c>
      <c r="V130" s="102">
        <f t="shared" ref="V130:V131" si="89">K130/M130</f>
        <v>0.94865139995848458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-1.0997170132127058E-2</v>
      </c>
      <c r="K131" s="55">
        <f t="shared" si="79"/>
        <v>0.99521151302640998</v>
      </c>
      <c r="L131" s="55">
        <f t="shared" si="80"/>
        <v>9.4936957664958576E-4</v>
      </c>
      <c r="M131" s="55">
        <f t="shared" si="81"/>
        <v>0.99905063042335041</v>
      </c>
      <c r="N131" s="55">
        <f t="shared" si="82"/>
        <v>5.556195013928968E-6</v>
      </c>
      <c r="O131" s="56">
        <f t="shared" si="83"/>
        <v>1.0013672680140683E-6</v>
      </c>
      <c r="P131" s="56">
        <f t="shared" si="84"/>
        <v>9.7632907161389515E-7</v>
      </c>
      <c r="Q131" s="56">
        <f t="shared" si="85"/>
        <v>5.7139757298724573E-7</v>
      </c>
      <c r="R131" s="9">
        <f>F131*$C$14</f>
        <v>1.4999999999999999E-4</v>
      </c>
      <c r="S131" s="9">
        <f t="shared" si="86"/>
        <v>1.4240543649743786E-7</v>
      </c>
      <c r="T131" s="9">
        <f t="shared" si="87"/>
        <v>1.4928172695396149E-4</v>
      </c>
      <c r="U131" s="9">
        <f t="shared" si="88"/>
        <v>1.4985759456350256E-4</v>
      </c>
      <c r="V131" s="102">
        <f t="shared" si="89"/>
        <v>0.99615723439830717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2024-10-28T22:41:41Z</dcterms:modified>
</cp:coreProperties>
</file>