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9EC2588C-C62C-4904-99D0-4B4C67D53EC6}" xr6:coauthVersionLast="47" xr6:coauthVersionMax="47" xr10:uidLastSave="{00000000-0000-0000-0000-000000000000}"/>
  <bookViews>
    <workbookView xWindow="-98" yWindow="-98" windowWidth="21795" windowHeight="13875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U131" i="4"/>
  <c r="T131" i="4"/>
  <c r="S131" i="4"/>
  <c r="R131" i="4"/>
  <c r="V130" i="4"/>
  <c r="R130" i="4"/>
  <c r="U130" i="4" s="1"/>
  <c r="V127" i="4"/>
  <c r="U127" i="4"/>
  <c r="T127" i="4"/>
  <c r="S127" i="4"/>
  <c r="R127" i="4"/>
  <c r="V126" i="4"/>
  <c r="R126" i="4"/>
  <c r="S126" i="4" s="1"/>
  <c r="V124" i="4"/>
  <c r="U124" i="4"/>
  <c r="T124" i="4"/>
  <c r="S124" i="4"/>
  <c r="R124" i="4"/>
  <c r="V121" i="4"/>
  <c r="R121" i="4"/>
  <c r="U121" i="4" s="1"/>
  <c r="V120" i="4"/>
  <c r="R120" i="4"/>
  <c r="U120" i="4" s="1"/>
  <c r="V119" i="4"/>
  <c r="U119" i="4"/>
  <c r="T119" i="4"/>
  <c r="R119" i="4"/>
  <c r="S119" i="4" s="1"/>
  <c r="V116" i="4"/>
  <c r="R116" i="4"/>
  <c r="U116" i="4" s="1"/>
  <c r="V115" i="4"/>
  <c r="U115" i="4"/>
  <c r="T115" i="4"/>
  <c r="S115" i="4"/>
  <c r="R115" i="4"/>
  <c r="V114" i="4"/>
  <c r="R114" i="4"/>
  <c r="U114" i="4" s="1"/>
  <c r="V108" i="4"/>
  <c r="R108" i="4"/>
  <c r="T108" i="4" s="1"/>
  <c r="V107" i="4"/>
  <c r="U107" i="4"/>
  <c r="T107" i="4"/>
  <c r="S107" i="4"/>
  <c r="R107" i="4"/>
  <c r="V93" i="4"/>
  <c r="R93" i="4"/>
  <c r="U93" i="4" s="1"/>
  <c r="V92" i="4"/>
  <c r="U92" i="4"/>
  <c r="T92" i="4"/>
  <c r="S92" i="4"/>
  <c r="R92" i="4"/>
  <c r="V91" i="4"/>
  <c r="R91" i="4"/>
  <c r="U91" i="4" s="1"/>
  <c r="V90" i="4"/>
  <c r="U90" i="4"/>
  <c r="T90" i="4"/>
  <c r="S90" i="4"/>
  <c r="R90" i="4"/>
  <c r="V89" i="4"/>
  <c r="R89" i="4"/>
  <c r="U89" i="4" s="1"/>
  <c r="V88" i="4"/>
  <c r="R88" i="4"/>
  <c r="T88" i="4" s="1"/>
  <c r="V86" i="4"/>
  <c r="U86" i="4"/>
  <c r="T86" i="4"/>
  <c r="R86" i="4"/>
  <c r="S86" i="4" s="1"/>
  <c r="V85" i="4"/>
  <c r="R85" i="4"/>
  <c r="U85" i="4" s="1"/>
  <c r="V84" i="4"/>
  <c r="U84" i="4"/>
  <c r="T84" i="4"/>
  <c r="R84" i="4"/>
  <c r="S84" i="4" s="1"/>
  <c r="V83" i="4"/>
  <c r="R83" i="4"/>
  <c r="U83" i="4" s="1"/>
  <c r="V82" i="4"/>
  <c r="R82" i="4"/>
  <c r="U82" i="4" s="1"/>
  <c r="V81" i="4"/>
  <c r="U81" i="4"/>
  <c r="T81" i="4"/>
  <c r="S81" i="4"/>
  <c r="R81" i="4"/>
  <c r="V80" i="4"/>
  <c r="R80" i="4"/>
  <c r="S80" i="4" s="1"/>
  <c r="V79" i="4"/>
  <c r="U79" i="4"/>
  <c r="T79" i="4"/>
  <c r="S79" i="4"/>
  <c r="R79" i="4"/>
  <c r="V78" i="4"/>
  <c r="R78" i="4"/>
  <c r="U78" i="4" s="1"/>
  <c r="V77" i="4"/>
  <c r="U77" i="4"/>
  <c r="T77" i="4"/>
  <c r="S77" i="4"/>
  <c r="R77" i="4"/>
  <c r="V76" i="4"/>
  <c r="R76" i="4"/>
  <c r="U76" i="4" s="1"/>
  <c r="V75" i="4"/>
  <c r="R75" i="4"/>
  <c r="T75" i="4" s="1"/>
  <c r="V74" i="4"/>
  <c r="U74" i="4"/>
  <c r="T74" i="4"/>
  <c r="R74" i="4"/>
  <c r="S74" i="4" s="1"/>
  <c r="V73" i="4"/>
  <c r="R73" i="4"/>
  <c r="U73" i="4" s="1"/>
  <c r="V72" i="4"/>
  <c r="U72" i="4"/>
  <c r="T72" i="4"/>
  <c r="S72" i="4"/>
  <c r="R72" i="4"/>
  <c r="V71" i="4"/>
  <c r="R71" i="4"/>
  <c r="U71" i="4" s="1"/>
  <c r="V70" i="4"/>
  <c r="R70" i="4"/>
  <c r="U70" i="4" s="1"/>
  <c r="V69" i="4"/>
  <c r="U69" i="4"/>
  <c r="T69" i="4"/>
  <c r="S69" i="4"/>
  <c r="R69" i="4"/>
  <c r="V68" i="4"/>
  <c r="R68" i="4"/>
  <c r="U68" i="4" s="1"/>
  <c r="V65" i="4"/>
  <c r="U65" i="4"/>
  <c r="T65" i="4"/>
  <c r="S65" i="4"/>
  <c r="R65" i="4"/>
  <c r="V64" i="4"/>
  <c r="R64" i="4"/>
  <c r="U64" i="4" s="1"/>
  <c r="V63" i="4"/>
  <c r="U63" i="4"/>
  <c r="T63" i="4"/>
  <c r="S63" i="4"/>
  <c r="R63" i="4"/>
  <c r="V62" i="4"/>
  <c r="R62" i="4"/>
  <c r="U62" i="4" s="1"/>
  <c r="V61" i="4"/>
  <c r="R61" i="4"/>
  <c r="S61" i="4" s="1"/>
  <c r="V60" i="4"/>
  <c r="U60" i="4"/>
  <c r="T60" i="4"/>
  <c r="R60" i="4"/>
  <c r="S60" i="4" s="1"/>
  <c r="V58" i="4"/>
  <c r="R58" i="4"/>
  <c r="U58" i="4" s="1"/>
  <c r="V57" i="4"/>
  <c r="U57" i="4"/>
  <c r="T57" i="4"/>
  <c r="S57" i="4"/>
  <c r="R57" i="4"/>
  <c r="V49" i="4"/>
  <c r="R49" i="4"/>
  <c r="U49" i="4" s="1"/>
  <c r="V48" i="4"/>
  <c r="R48" i="4"/>
  <c r="T48" i="4" s="1"/>
  <c r="V47" i="4"/>
  <c r="U47" i="4"/>
  <c r="T47" i="4"/>
  <c r="S47" i="4"/>
  <c r="R47" i="4"/>
  <c r="V46" i="4"/>
  <c r="R46" i="4"/>
  <c r="U46" i="4" s="1"/>
  <c r="V45" i="4"/>
  <c r="U45" i="4"/>
  <c r="T45" i="4"/>
  <c r="S45" i="4"/>
  <c r="R45" i="4"/>
  <c r="V44" i="4"/>
  <c r="R44" i="4"/>
  <c r="U44" i="4" s="1"/>
  <c r="V43" i="4"/>
  <c r="U43" i="4"/>
  <c r="T43" i="4"/>
  <c r="S43" i="4"/>
  <c r="R43" i="4"/>
  <c r="V42" i="4"/>
  <c r="R42" i="4"/>
  <c r="U42" i="4" s="1"/>
  <c r="V41" i="4"/>
  <c r="R41" i="4"/>
  <c r="T41" i="4" s="1"/>
  <c r="V40" i="4"/>
  <c r="U40" i="4"/>
  <c r="T40" i="4"/>
  <c r="R40" i="4"/>
  <c r="S40" i="4" s="1"/>
  <c r="V39" i="4"/>
  <c r="R39" i="4"/>
  <c r="S39" i="4" s="1"/>
  <c r="V38" i="4"/>
  <c r="U38" i="4"/>
  <c r="T38" i="4"/>
  <c r="S38" i="4"/>
  <c r="R38" i="4"/>
  <c r="V37" i="4"/>
  <c r="R37" i="4"/>
  <c r="U37" i="4" s="1"/>
  <c r="V36" i="4"/>
  <c r="R36" i="4"/>
  <c r="T36" i="4" s="1"/>
  <c r="V35" i="4"/>
  <c r="U35" i="4"/>
  <c r="T35" i="4"/>
  <c r="S35" i="4"/>
  <c r="R35" i="4"/>
  <c r="V34" i="4"/>
  <c r="R34" i="4"/>
  <c r="T34" i="4" s="1"/>
  <c r="V33" i="4"/>
  <c r="U33" i="4"/>
  <c r="T33" i="4"/>
  <c r="S33" i="4"/>
  <c r="R33" i="4"/>
  <c r="V32" i="4"/>
  <c r="R32" i="4"/>
  <c r="U32" i="4" s="1"/>
  <c r="V31" i="4"/>
  <c r="U31" i="4"/>
  <c r="T31" i="4"/>
  <c r="S31" i="4"/>
  <c r="R31" i="4"/>
  <c r="V30" i="4"/>
  <c r="R30" i="4"/>
  <c r="U30" i="4" s="1"/>
  <c r="V29" i="4"/>
  <c r="R29" i="4"/>
  <c r="T29" i="4" s="1"/>
  <c r="V28" i="4"/>
  <c r="U28" i="4"/>
  <c r="T28" i="4"/>
  <c r="R28" i="4"/>
  <c r="S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L130" i="4" s="1"/>
  <c r="M130" i="4" s="1"/>
  <c r="J130" i="4"/>
  <c r="K130" i="4"/>
  <c r="O130" i="4" s="1"/>
  <c r="P130" i="4" s="1"/>
  <c r="N130" i="4"/>
  <c r="Q130" i="4" s="1"/>
  <c r="I131" i="4"/>
  <c r="J131" i="4"/>
  <c r="K131" i="4"/>
  <c r="O131" i="4" s="1"/>
  <c r="P131" i="4" s="1"/>
  <c r="L131" i="4"/>
  <c r="M131" i="4"/>
  <c r="N131" i="4"/>
  <c r="Q131" i="4" s="1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S36" i="4" l="1"/>
  <c r="S48" i="4"/>
  <c r="S70" i="4"/>
  <c r="S82" i="4"/>
  <c r="S29" i="4"/>
  <c r="S41" i="4"/>
  <c r="T70" i="4"/>
  <c r="S75" i="4"/>
  <c r="T82" i="4"/>
  <c r="S88" i="4"/>
  <c r="S34" i="4"/>
  <c r="U36" i="4"/>
  <c r="S46" i="4"/>
  <c r="U48" i="4"/>
  <c r="T61" i="4"/>
  <c r="S68" i="4"/>
  <c r="S93" i="4"/>
  <c r="U108" i="4"/>
  <c r="S130" i="4"/>
  <c r="U29" i="4"/>
  <c r="U41" i="4"/>
  <c r="T46" i="4"/>
  <c r="S58" i="4"/>
  <c r="T68" i="4"/>
  <c r="S73" i="4"/>
  <c r="U75" i="4"/>
  <c r="T80" i="4"/>
  <c r="S85" i="4"/>
  <c r="U88" i="4"/>
  <c r="T93" i="4"/>
  <c r="S116" i="4"/>
  <c r="T130" i="4"/>
  <c r="S32" i="4"/>
  <c r="U34" i="4"/>
  <c r="T39" i="4"/>
  <c r="S44" i="4"/>
  <c r="T58" i="4"/>
  <c r="S64" i="4"/>
  <c r="T73" i="4"/>
  <c r="S78" i="4"/>
  <c r="U80" i="4"/>
  <c r="T85" i="4"/>
  <c r="S91" i="4"/>
  <c r="T116" i="4"/>
  <c r="T32" i="4"/>
  <c r="S37" i="4"/>
  <c r="U39" i="4"/>
  <c r="T44" i="4"/>
  <c r="S49" i="4"/>
  <c r="T64" i="4"/>
  <c r="S71" i="4"/>
  <c r="T78" i="4"/>
  <c r="S83" i="4"/>
  <c r="T91" i="4"/>
  <c r="S114" i="4"/>
  <c r="T126" i="4"/>
  <c r="S30" i="4"/>
  <c r="T37" i="4"/>
  <c r="S42" i="4"/>
  <c r="T49" i="4"/>
  <c r="S62" i="4"/>
  <c r="T71" i="4"/>
  <c r="S76" i="4"/>
  <c r="T83" i="4"/>
  <c r="S89" i="4"/>
  <c r="T114" i="4"/>
  <c r="S121" i="4"/>
  <c r="U126" i="4"/>
  <c r="T120" i="4"/>
  <c r="U61" i="4"/>
  <c r="T30" i="4"/>
  <c r="T42" i="4"/>
  <c r="T62" i="4"/>
  <c r="T76" i="4"/>
  <c r="T89" i="4"/>
  <c r="T121" i="4"/>
  <c r="S120" i="4"/>
  <c r="S108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K120" i="4" s="1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 s="1"/>
  <c r="O119" i="4" s="1"/>
  <c r="P119" i="4" s="1"/>
  <c r="J72" i="4"/>
  <c r="K72" i="4"/>
  <c r="J103" i="4"/>
  <c r="K103" i="4"/>
  <c r="J118" i="4"/>
  <c r="K118" i="4"/>
  <c r="J104" i="4"/>
  <c r="K104" i="4"/>
  <c r="J90" i="4"/>
  <c r="K90" i="4" s="1"/>
  <c r="J71" i="4"/>
  <c r="K71" i="4"/>
  <c r="O71" i="4" s="1"/>
  <c r="P71" i="4" s="1"/>
  <c r="J110" i="4"/>
  <c r="K110" i="4"/>
  <c r="J82" i="4"/>
  <c r="K82" i="4" s="1"/>
  <c r="J113" i="4"/>
  <c r="K113" i="4"/>
  <c r="J97" i="4"/>
  <c r="K97" i="4" s="1"/>
  <c r="J81" i="4"/>
  <c r="K81" i="4" s="1"/>
  <c r="J116" i="4"/>
  <c r="K116" i="4"/>
  <c r="J100" i="4"/>
  <c r="K100" i="4"/>
  <c r="O100" i="4"/>
  <c r="J84" i="4"/>
  <c r="K84" i="4" s="1"/>
  <c r="J114" i="4"/>
  <c r="K114" i="4" s="1"/>
  <c r="O114" i="4" s="1"/>
  <c r="P114" i="4" s="1"/>
  <c r="J78" i="4"/>
  <c r="K78" i="4" s="1"/>
  <c r="J115" i="4"/>
  <c r="K115" i="4" s="1"/>
  <c r="O115" i="4" s="1"/>
  <c r="P115" i="4" s="1"/>
  <c r="J99" i="4"/>
  <c r="K99" i="4"/>
  <c r="J83" i="4"/>
  <c r="K83" i="4" s="1"/>
  <c r="J102" i="4"/>
  <c r="K102" i="4"/>
  <c r="J74" i="4"/>
  <c r="K74" i="4" s="1"/>
  <c r="J125" i="4"/>
  <c r="K125" i="4"/>
  <c r="J109" i="4"/>
  <c r="K109" i="4"/>
  <c r="J93" i="4"/>
  <c r="K93" i="4"/>
  <c r="J77" i="4"/>
  <c r="K77" i="4"/>
  <c r="J112" i="4"/>
  <c r="K112" i="4"/>
  <c r="J96" i="4"/>
  <c r="K96" i="4" s="1"/>
  <c r="J80" i="4"/>
  <c r="K80" i="4" s="1"/>
  <c r="J106" i="4"/>
  <c r="K106" i="4"/>
  <c r="J127" i="4"/>
  <c r="K127" i="4" s="1"/>
  <c r="O127" i="4" s="1"/>
  <c r="P127" i="4" s="1"/>
  <c r="J111" i="4"/>
  <c r="K111" i="4"/>
  <c r="J95" i="4"/>
  <c r="K95" i="4" s="1"/>
  <c r="J79" i="4"/>
  <c r="K79" i="4" s="1"/>
  <c r="J126" i="4"/>
  <c r="K126" i="4"/>
  <c r="O126" i="4" s="1"/>
  <c r="P126" i="4" s="1"/>
  <c r="J94" i="4"/>
  <c r="K94" i="4"/>
  <c r="J121" i="4"/>
  <c r="K121" i="4" s="1"/>
  <c r="O121" i="4" s="1"/>
  <c r="P121" i="4" s="1"/>
  <c r="J105" i="4"/>
  <c r="K105" i="4"/>
  <c r="J89" i="4"/>
  <c r="K89" i="4" s="1"/>
  <c r="J73" i="4"/>
  <c r="K73" i="4" s="1"/>
  <c r="J124" i="4"/>
  <c r="K124" i="4"/>
  <c r="J108" i="4"/>
  <c r="K108" i="4"/>
  <c r="O108" i="4" s="1"/>
  <c r="P108" i="4" s="1"/>
  <c r="J92" i="4"/>
  <c r="K92" i="4" s="1"/>
  <c r="J76" i="4"/>
  <c r="K76" i="4"/>
  <c r="J98" i="4"/>
  <c r="K98" i="4"/>
  <c r="J123" i="4"/>
  <c r="K123" i="4"/>
  <c r="J107" i="4"/>
  <c r="K107" i="4"/>
  <c r="J91" i="4"/>
  <c r="K91" i="4"/>
  <c r="O91" i="4" s="1"/>
  <c r="P91" i="4" s="1"/>
  <c r="J75" i="4"/>
  <c r="K75" i="4" s="1"/>
  <c r="P100" i="4"/>
  <c r="O107" i="4"/>
  <c r="P107" i="4" s="1"/>
  <c r="O112" i="4"/>
  <c r="P112" i="4"/>
  <c r="O98" i="4"/>
  <c r="P98" i="4"/>
  <c r="O105" i="4"/>
  <c r="P105" i="4"/>
  <c r="O111" i="4"/>
  <c r="P111" i="4"/>
  <c r="O104" i="4"/>
  <c r="P104" i="4"/>
  <c r="O124" i="4"/>
  <c r="P124" i="4" s="1"/>
  <c r="O102" i="4"/>
  <c r="P102" i="4"/>
  <c r="O110" i="4"/>
  <c r="P110" i="4"/>
  <c r="O118" i="4"/>
  <c r="P118" i="4"/>
  <c r="O117" i="4"/>
  <c r="P117" i="4"/>
  <c r="O106" i="4"/>
  <c r="P106" i="4"/>
  <c r="O109" i="4"/>
  <c r="P109" i="4"/>
  <c r="O116" i="4"/>
  <c r="P116" i="4"/>
  <c r="O113" i="4"/>
  <c r="P113" i="4"/>
  <c r="O103" i="4"/>
  <c r="P103" i="4"/>
  <c r="O122" i="4"/>
  <c r="P122" i="4"/>
  <c r="O123" i="4"/>
  <c r="P123" i="4"/>
  <c r="O94" i="4"/>
  <c r="P94" i="4"/>
  <c r="O125" i="4"/>
  <c r="P125" i="4"/>
  <c r="O99" i="4"/>
  <c r="P99" i="4"/>
  <c r="O101" i="4"/>
  <c r="P101" i="4"/>
  <c r="I76" i="4"/>
  <c r="I77" i="4"/>
  <c r="L77" i="4" s="1"/>
  <c r="I81" i="4"/>
  <c r="N81" i="4" s="1"/>
  <c r="Q81" i="4" s="1"/>
  <c r="I89" i="4"/>
  <c r="L89" i="4" s="1"/>
  <c r="I90" i="4"/>
  <c r="N90" i="4" s="1"/>
  <c r="Q90" i="4" s="1"/>
  <c r="I96" i="4"/>
  <c r="I99" i="4"/>
  <c r="I102" i="4"/>
  <c r="I104" i="4"/>
  <c r="I108" i="4"/>
  <c r="N108" i="4" s="1"/>
  <c r="Q108" i="4" s="1"/>
  <c r="I111" i="4"/>
  <c r="I113" i="4"/>
  <c r="I115" i="4"/>
  <c r="I119" i="4"/>
  <c r="N119" i="4" s="1"/>
  <c r="Q119" i="4" s="1"/>
  <c r="I120" i="4"/>
  <c r="N120" i="4" s="1"/>
  <c r="Q120" i="4" s="1"/>
  <c r="I123" i="4"/>
  <c r="I125" i="4"/>
  <c r="I79" i="4"/>
  <c r="I92" i="4"/>
  <c r="I100" i="4"/>
  <c r="I103" i="4"/>
  <c r="I107" i="4"/>
  <c r="N107" i="4" s="1"/>
  <c r="Q107" i="4" s="1"/>
  <c r="I109" i="4"/>
  <c r="I110" i="4"/>
  <c r="I117" i="4"/>
  <c r="I124" i="4"/>
  <c r="I72" i="4"/>
  <c r="L72" i="4" s="1"/>
  <c r="I106" i="4"/>
  <c r="I71" i="4"/>
  <c r="N71" i="4" s="1"/>
  <c r="Q71" i="4" s="1"/>
  <c r="I75" i="4"/>
  <c r="I80" i="4"/>
  <c r="I83" i="4"/>
  <c r="I86" i="4"/>
  <c r="I88" i="4"/>
  <c r="N88" i="4" s="1"/>
  <c r="Q88" i="4" s="1"/>
  <c r="I94" i="4"/>
  <c r="I95" i="4"/>
  <c r="I98" i="4"/>
  <c r="I101" i="4"/>
  <c r="I118" i="4"/>
  <c r="I127" i="4"/>
  <c r="L127" i="4" s="1"/>
  <c r="M127" i="4" s="1"/>
  <c r="I73" i="4"/>
  <c r="N73" i="4" s="1"/>
  <c r="Q73" i="4" s="1"/>
  <c r="I74" i="4"/>
  <c r="I78" i="4"/>
  <c r="I82" i="4"/>
  <c r="I85" i="4"/>
  <c r="N85" i="4" s="1"/>
  <c r="Q85" i="4" s="1"/>
  <c r="I93" i="4"/>
  <c r="L93" i="4" s="1"/>
  <c r="I112" i="4"/>
  <c r="I114" i="4"/>
  <c r="I121" i="4"/>
  <c r="I122" i="4"/>
  <c r="I84" i="4"/>
  <c r="L84" i="4" s="1"/>
  <c r="I87" i="4"/>
  <c r="I91" i="4"/>
  <c r="N91" i="4" s="1"/>
  <c r="Q91" i="4" s="1"/>
  <c r="I97" i="4"/>
  <c r="I105" i="4"/>
  <c r="I116" i="4"/>
  <c r="I126" i="4"/>
  <c r="N126" i="4" s="1"/>
  <c r="Q126" i="4" s="1"/>
  <c r="L105" i="4"/>
  <c r="N105" i="4"/>
  <c r="Q105" i="4"/>
  <c r="N121" i="4"/>
  <c r="Q121" i="4"/>
  <c r="L121" i="4"/>
  <c r="M121" i="4" s="1"/>
  <c r="N101" i="4"/>
  <c r="Q101" i="4"/>
  <c r="L101" i="4"/>
  <c r="L106" i="4"/>
  <c r="N106" i="4"/>
  <c r="Q106" i="4"/>
  <c r="L124" i="4"/>
  <c r="M124" i="4" s="1"/>
  <c r="N124" i="4"/>
  <c r="Q124" i="4" s="1"/>
  <c r="N79" i="4"/>
  <c r="Q79" i="4" s="1"/>
  <c r="L119" i="4"/>
  <c r="M119" i="4" s="1"/>
  <c r="L96" i="4"/>
  <c r="N96" i="4"/>
  <c r="Q96" i="4"/>
  <c r="N77" i="4"/>
  <c r="Q77" i="4" s="1"/>
  <c r="L97" i="4"/>
  <c r="N97" i="4"/>
  <c r="Q97" i="4" s="1"/>
  <c r="N114" i="4"/>
  <c r="Q114" i="4"/>
  <c r="L114" i="4"/>
  <c r="M114" i="4" s="1"/>
  <c r="N98" i="4"/>
  <c r="Q98" i="4"/>
  <c r="L98" i="4"/>
  <c r="N86" i="4"/>
  <c r="Q86" i="4" s="1"/>
  <c r="L86" i="4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/>
  <c r="L115" i="4"/>
  <c r="M115" i="4" s="1"/>
  <c r="L104" i="4"/>
  <c r="N104" i="4"/>
  <c r="Q104" i="4"/>
  <c r="N76" i="4"/>
  <c r="Q76" i="4" s="1"/>
  <c r="L76" i="4"/>
  <c r="L112" i="4"/>
  <c r="N112" i="4"/>
  <c r="Q112" i="4"/>
  <c r="L78" i="4"/>
  <c r="N78" i="4"/>
  <c r="Q78" i="4"/>
  <c r="N95" i="4"/>
  <c r="Q95" i="4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N116" i="4"/>
  <c r="Q116" i="4" s="1"/>
  <c r="L116" i="4"/>
  <c r="M116" i="4" s="1"/>
  <c r="N87" i="4"/>
  <c r="Q87" i="4" s="1"/>
  <c r="L87" i="4"/>
  <c r="N122" i="4"/>
  <c r="Q122" i="4"/>
  <c r="L122" i="4"/>
  <c r="N74" i="4"/>
  <c r="Q74" i="4"/>
  <c r="L74" i="4"/>
  <c r="N118" i="4"/>
  <c r="Q118" i="4"/>
  <c r="L118" i="4"/>
  <c r="L94" i="4"/>
  <c r="N94" i="4"/>
  <c r="Q94" i="4"/>
  <c r="L80" i="4"/>
  <c r="N80" i="4"/>
  <c r="Q80" i="4" s="1"/>
  <c r="N109" i="4"/>
  <c r="Q109" i="4"/>
  <c r="L109" i="4"/>
  <c r="L92" i="4"/>
  <c r="N92" i="4"/>
  <c r="Q92" i="4"/>
  <c r="L120" i="4"/>
  <c r="M120" i="4" s="1"/>
  <c r="N111" i="4"/>
  <c r="Q111" i="4"/>
  <c r="L111" i="4"/>
  <c r="N99" i="4"/>
  <c r="Q99" i="4"/>
  <c r="L99" i="4"/>
  <c r="L81" i="4"/>
  <c r="O75" i="4" l="1"/>
  <c r="P75" i="4" s="1"/>
  <c r="M89" i="4"/>
  <c r="O92" i="4"/>
  <c r="P92" i="4" s="1"/>
  <c r="O83" i="4"/>
  <c r="P83" i="4" s="1"/>
  <c r="M72" i="4"/>
  <c r="M77" i="4"/>
  <c r="O78" i="4"/>
  <c r="P78" i="4" s="1"/>
  <c r="O82" i="4"/>
  <c r="P82" i="4" s="1"/>
  <c r="L107" i="4"/>
  <c r="M107" i="4" s="1"/>
  <c r="M78" i="4"/>
  <c r="L90" i="4"/>
  <c r="L82" i="4"/>
  <c r="L83" i="4"/>
  <c r="O76" i="4"/>
  <c r="P76" i="4" s="1"/>
  <c r="O97" i="4"/>
  <c r="P97" i="4" s="1"/>
  <c r="M96" i="4"/>
  <c r="L73" i="4"/>
  <c r="M81" i="4"/>
  <c r="M86" i="4"/>
  <c r="L108" i="4"/>
  <c r="M108" i="4" s="1"/>
  <c r="L85" i="4"/>
  <c r="L75" i="4"/>
  <c r="O80" i="4"/>
  <c r="P80" i="4" s="1"/>
  <c r="O74" i="4"/>
  <c r="P74" i="4" s="1"/>
  <c r="O96" i="4"/>
  <c r="P96" i="4" s="1"/>
  <c r="O72" i="4"/>
  <c r="P72" i="4" s="1"/>
  <c r="M76" i="4"/>
  <c r="O84" i="4"/>
  <c r="P84" i="4" s="1"/>
  <c r="M95" i="4"/>
  <c r="O77" i="4"/>
  <c r="P77" i="4" s="1"/>
  <c r="O87" i="4"/>
  <c r="P87" i="4" s="1"/>
  <c r="M74" i="4"/>
  <c r="M84" i="4"/>
  <c r="M94" i="4"/>
  <c r="O79" i="4"/>
  <c r="P79" i="4" s="1"/>
  <c r="L126" i="4"/>
  <c r="M126" i="4" s="1"/>
  <c r="L71" i="4"/>
  <c r="M71" i="4" s="1"/>
  <c r="M97" i="4"/>
  <c r="O95" i="4"/>
  <c r="P95" i="4" s="1"/>
  <c r="O88" i="4"/>
  <c r="P88" i="4" s="1"/>
  <c r="N127" i="4"/>
  <c r="Q127" i="4" s="1"/>
  <c r="L79" i="4"/>
  <c r="O73" i="4"/>
  <c r="P73" i="4" s="1"/>
  <c r="O93" i="4"/>
  <c r="P93" i="4" s="1"/>
  <c r="O90" i="4"/>
  <c r="P90" i="4" s="1"/>
  <c r="O85" i="4"/>
  <c r="P85" i="4" s="1"/>
  <c r="M93" i="4"/>
  <c r="M80" i="4"/>
  <c r="M87" i="4"/>
  <c r="L91" i="4"/>
  <c r="M91" i="4" s="1"/>
  <c r="N75" i="4"/>
  <c r="Q75" i="4" s="1"/>
  <c r="O89" i="4"/>
  <c r="P89" i="4" s="1"/>
  <c r="O86" i="4"/>
  <c r="P86" i="4" s="1"/>
  <c r="M92" i="4"/>
  <c r="O81" i="4"/>
  <c r="P81" i="4" s="1"/>
  <c r="L88" i="4"/>
  <c r="N82" i="4"/>
  <c r="Q82" i="4" s="1"/>
  <c r="N93" i="4"/>
  <c r="Q93" i="4" s="1"/>
  <c r="N84" i="4"/>
  <c r="Q84" i="4" s="1"/>
  <c r="J14" i="4"/>
  <c r="J13" i="4" s="1"/>
  <c r="K16" i="4" s="1"/>
  <c r="M88" i="4" l="1"/>
  <c r="M73" i="4"/>
  <c r="M79" i="4"/>
  <c r="M75" i="4"/>
  <c r="M85" i="4"/>
  <c r="M83" i="4"/>
  <c r="M82" i="4"/>
  <c r="M90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8" i="4" l="1"/>
  <c r="P58" i="4" s="1"/>
  <c r="O57" i="4"/>
  <c r="P57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O64" i="4"/>
  <c r="P64" i="4" s="1"/>
  <c r="M69" i="4"/>
  <c r="O69" i="4"/>
  <c r="P69" i="4" s="1"/>
  <c r="M66" i="4"/>
  <c r="O67" i="4"/>
  <c r="P67" i="4" s="1"/>
  <c r="M67" i="4"/>
  <c r="M68" i="4"/>
  <c r="M58" i="4"/>
  <c r="M57" i="4"/>
  <c r="O65" i="4"/>
  <c r="P65" i="4" s="1"/>
  <c r="O66" i="4"/>
  <c r="P66" i="4" s="1"/>
  <c r="M65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L45" i="4" s="1"/>
  <c r="J30" i="4"/>
  <c r="K30" i="4" s="1"/>
  <c r="J43" i="4"/>
  <c r="K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O49" i="4" l="1"/>
  <c r="P49" i="4" s="1"/>
  <c r="M49" i="4"/>
  <c r="L47" i="4"/>
  <c r="O48" i="4"/>
  <c r="P48" i="4" s="1"/>
  <c r="M48" i="4"/>
  <c r="L30" i="4"/>
  <c r="K44" i="4"/>
  <c r="K45" i="4"/>
  <c r="O39" i="4"/>
  <c r="P39" i="4" s="1"/>
  <c r="M39" i="4"/>
  <c r="O33" i="4"/>
  <c r="P33" i="4" s="1"/>
  <c r="O44" i="4"/>
  <c r="P44" i="4" s="1"/>
  <c r="O47" i="4"/>
  <c r="P47" i="4" s="1"/>
  <c r="M45" i="4"/>
  <c r="M35" i="4"/>
  <c r="O28" i="4"/>
  <c r="P28" i="4" s="1"/>
  <c r="O46" i="4"/>
  <c r="P46" i="4" s="1"/>
  <c r="M44" i="4"/>
  <c r="O31" i="4"/>
  <c r="P31" i="4" s="1"/>
  <c r="O43" i="4"/>
  <c r="P43" i="4" s="1"/>
  <c r="L43" i="4"/>
  <c r="O41" i="4"/>
  <c r="P41" i="4" s="1"/>
  <c r="O30" i="4"/>
  <c r="P30" i="4" s="1"/>
  <c r="L31" i="4"/>
  <c r="K35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5" i="4" l="1"/>
  <c r="P45" i="4" s="1"/>
  <c r="M47" i="4"/>
  <c r="O35" i="4"/>
  <c r="P35" i="4" s="1"/>
  <c r="O38" i="4"/>
  <c r="P38" i="4" s="1"/>
  <c r="O40" i="4"/>
  <c r="P40" i="4" s="1"/>
  <c r="M33" i="4"/>
  <c r="M46" i="4"/>
  <c r="M31" i="4"/>
  <c r="O29" i="4"/>
  <c r="P29" i="4" s="1"/>
  <c r="O32" i="4"/>
  <c r="P32" i="4" s="1"/>
  <c r="O34" i="4"/>
  <c r="P34" i="4" s="1"/>
  <c r="O42" i="4"/>
  <c r="P42" i="4" s="1"/>
  <c r="O36" i="4"/>
  <c r="P36" i="4" s="1"/>
  <c r="M41" i="4"/>
  <c r="M43" i="4"/>
  <c r="O37" i="4"/>
  <c r="P37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<sst xmlns="http://schemas.openxmlformats.org/spreadsheetml/2006/main" count="318" uniqueCount="294">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</sst>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N25" sqref="N25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80</v>
      </c>
      <c r="K17" s="31" t="s">
        <v>80</v>
      </c>
      <c r="L17" s="81">
        <v>2.6205E-3</v>
      </c>
      <c r="M17" s="81">
        <v>2.8380000000000001E-4</v>
      </c>
      <c r="N17" s="81">
        <v>9.5699999999999995E-5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6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0"/>
      <c r="H2" s="140"/>
      <c r="I2" s="153" t="s">
        <v>19</v>
      </c>
      <c r="J2" s="154"/>
      <c r="K2" s="154"/>
      <c r="L2" s="154"/>
      <c r="M2" s="154"/>
      <c r="N2" s="154"/>
      <c r="O2" s="154"/>
      <c r="P2" s="154"/>
      <c r="Q2" s="15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0"/>
      <c r="H3" s="140"/>
      <c r="I3" s="156"/>
      <c r="J3" s="157"/>
      <c r="K3" s="157"/>
      <c r="L3" s="157"/>
      <c r="M3" s="157"/>
      <c r="N3" s="157"/>
      <c r="O3" s="157"/>
      <c r="P3" s="157"/>
      <c r="Q3" s="15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0"/>
      <c r="H4" s="140"/>
      <c r="I4" s="159"/>
      <c r="J4" s="160"/>
      <c r="K4" s="160"/>
      <c r="L4" s="160"/>
      <c r="M4" s="160"/>
      <c r="N4" s="160"/>
      <c r="O4" s="160"/>
      <c r="P4" s="160"/>
      <c r="Q4" s="16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0"/>
      <c r="H5" s="140"/>
      <c r="I5" s="162" t="s">
        <v>38</v>
      </c>
      <c r="J5" s="163"/>
      <c r="K5" s="163"/>
      <c r="L5" s="163"/>
      <c r="M5" s="163"/>
      <c r="N5" s="163"/>
      <c r="O5" s="163"/>
      <c r="P5" s="163"/>
      <c r="Q5" s="16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0"/>
      <c r="H6" s="140"/>
      <c r="I6" s="49" t="s">
        <v>49</v>
      </c>
      <c r="J6" s="49" t="s">
        <v>50</v>
      </c>
      <c r="K6" s="49" t="s">
        <v>46</v>
      </c>
      <c r="L6" s="132" t="s">
        <v>39</v>
      </c>
      <c r="M6" s="133"/>
      <c r="N6" s="133"/>
      <c r="O6" s="133"/>
      <c r="P6" s="133"/>
      <c r="Q6" s="13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0"/>
      <c r="H7" s="140"/>
      <c r="I7" s="50" t="s">
        <v>20</v>
      </c>
      <c r="J7" s="37">
        <f>SUM(J13,J19)</f>
        <v>150.06</v>
      </c>
      <c r="K7" s="38">
        <f>J7/J7</f>
        <v>1</v>
      </c>
      <c r="L7" s="115" t="s">
        <v>68</v>
      </c>
      <c r="M7" s="116"/>
      <c r="N7" s="116"/>
      <c r="O7" s="116"/>
      <c r="P7" s="116"/>
      <c r="Q7" s="11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8" t="s">
        <v>3</v>
      </c>
      <c r="C8" s="179"/>
      <c r="D8" s="179"/>
      <c r="E8" s="179"/>
      <c r="F8" s="180"/>
      <c r="G8" s="140"/>
      <c r="H8" s="140"/>
      <c r="I8" s="51" t="s">
        <v>6</v>
      </c>
      <c r="J8" s="37">
        <f>SUM(J14,J20)</f>
        <v>149.27541000000002</v>
      </c>
      <c r="K8" s="39">
        <f>J8/J7</f>
        <v>0.99477149140343879</v>
      </c>
      <c r="L8" s="115" t="s">
        <v>69</v>
      </c>
      <c r="M8" s="116"/>
      <c r="N8" s="116"/>
      <c r="O8" s="116"/>
      <c r="P8" s="116"/>
      <c r="Q8" s="11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1"/>
      <c r="C9" s="182"/>
      <c r="D9" s="182"/>
      <c r="E9" s="182"/>
      <c r="F9" s="183"/>
      <c r="G9" s="140"/>
      <c r="H9" s="140"/>
      <c r="I9" s="50" t="s">
        <v>8</v>
      </c>
      <c r="J9" s="40">
        <f t="shared" ref="J9:J10" si="0">SUM(J15,J21)</f>
        <v>0.7256760000000001</v>
      </c>
      <c r="K9" s="39">
        <f>J9/J7</f>
        <v>4.8359056377449026E-3</v>
      </c>
      <c r="L9" s="115" t="s">
        <v>69</v>
      </c>
      <c r="M9" s="116"/>
      <c r="N9" s="116"/>
      <c r="O9" s="116"/>
      <c r="P9" s="116"/>
      <c r="Q9" s="11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4"/>
      <c r="C10" s="185"/>
      <c r="D10" s="185"/>
      <c r="E10" s="185"/>
      <c r="F10" s="186"/>
      <c r="G10" s="140"/>
      <c r="H10" s="140"/>
      <c r="I10" s="51" t="s">
        <v>9</v>
      </c>
      <c r="J10" s="40">
        <f t="shared" si="0"/>
        <v>5.8913999999999994E-2</v>
      </c>
      <c r="K10" s="39">
        <f>J10/J7</f>
        <v>3.9260295881647335E-4</v>
      </c>
      <c r="L10" s="115" t="s">
        <v>69</v>
      </c>
      <c r="M10" s="116"/>
      <c r="N10" s="116"/>
      <c r="O10" s="116"/>
      <c r="P10" s="116"/>
      <c r="Q10" s="11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3" t="s">
        <v>36</v>
      </c>
      <c r="C11" s="144"/>
      <c r="D11" s="144"/>
      <c r="E11" s="144"/>
      <c r="F11" s="145"/>
      <c r="G11" s="140"/>
      <c r="H11" s="140"/>
      <c r="I11" s="131"/>
      <c r="J11" s="131"/>
      <c r="K11" s="131"/>
      <c r="L11" s="131"/>
      <c r="M11" s="131"/>
      <c r="N11" s="131"/>
      <c r="O11" s="131"/>
      <c r="P11" s="131"/>
      <c r="Q11" s="13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6"/>
      <c r="C12" s="147"/>
      <c r="D12" s="147"/>
      <c r="E12" s="147"/>
      <c r="F12" s="148"/>
      <c r="G12" s="140"/>
      <c r="H12" s="140"/>
      <c r="I12" s="49" t="s">
        <v>51</v>
      </c>
      <c r="J12" s="49" t="s">
        <v>50</v>
      </c>
      <c r="K12" s="49" t="s">
        <v>46</v>
      </c>
      <c r="L12" s="132" t="s">
        <v>39</v>
      </c>
      <c r="M12" s="133"/>
      <c r="N12" s="133"/>
      <c r="O12" s="133"/>
      <c r="P12" s="133"/>
      <c r="Q12" s="13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5" t="s">
        <v>4</v>
      </c>
      <c r="C13" s="136"/>
      <c r="D13" s="168" t="s">
        <v>39</v>
      </c>
      <c r="E13" s="168"/>
      <c r="F13" s="168"/>
      <c r="G13" s="140"/>
      <c r="H13" s="140"/>
      <c r="I13" s="50" t="s">
        <v>5</v>
      </c>
      <c r="J13" s="41">
        <f>SUM(J14:J16)</f>
        <v>150</v>
      </c>
      <c r="K13" s="38">
        <f>J13/J13</f>
        <v>1</v>
      </c>
      <c r="L13" s="115" t="s">
        <v>71</v>
      </c>
      <c r="M13" s="116"/>
      <c r="N13" s="116"/>
      <c r="O13" s="116"/>
      <c r="P13" s="116"/>
      <c r="Q13" s="11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9" t="s">
        <v>17</v>
      </c>
      <c r="E14" s="169"/>
      <c r="F14" s="169"/>
      <c r="G14" s="140"/>
      <c r="H14" s="140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37" t="s">
        <v>70</v>
      </c>
      <c r="M14" s="138"/>
      <c r="N14" s="138"/>
      <c r="O14" s="138"/>
      <c r="P14" s="138"/>
      <c r="Q14" s="13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70" t="s">
        <v>60</v>
      </c>
      <c r="E15" s="170"/>
      <c r="F15" s="170"/>
      <c r="G15" s="140"/>
      <c r="H15" s="14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15" t="s">
        <v>69</v>
      </c>
      <c r="M15" s="116"/>
      <c r="N15" s="116"/>
      <c r="O15" s="116"/>
      <c r="P15" s="116"/>
      <c r="Q15" s="11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71" t="s">
        <v>40</v>
      </c>
      <c r="E16" s="172"/>
      <c r="F16" s="173"/>
      <c r="G16" s="140"/>
      <c r="H16" s="14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15" t="s">
        <v>69</v>
      </c>
      <c r="M16" s="116"/>
      <c r="N16" s="116"/>
      <c r="O16" s="116"/>
      <c r="P16" s="116"/>
      <c r="Q16" s="1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4" t="s">
        <v>61</v>
      </c>
      <c r="E17" s="175"/>
      <c r="F17" s="176"/>
      <c r="G17" s="140"/>
      <c r="H17" s="140"/>
      <c r="I17" s="137"/>
      <c r="J17" s="138"/>
      <c r="K17" s="138"/>
      <c r="L17" s="138"/>
      <c r="M17" s="138"/>
      <c r="N17" s="138"/>
      <c r="O17" s="138"/>
      <c r="P17" s="138"/>
      <c r="Q17" s="13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71" t="s">
        <v>41</v>
      </c>
      <c r="E18" s="172"/>
      <c r="F18" s="173"/>
      <c r="G18" s="140"/>
      <c r="H18" s="140"/>
      <c r="I18" s="49" t="s">
        <v>29</v>
      </c>
      <c r="J18" s="49" t="s">
        <v>50</v>
      </c>
      <c r="K18" s="49" t="s">
        <v>46</v>
      </c>
      <c r="L18" s="132" t="s">
        <v>39</v>
      </c>
      <c r="M18" s="133"/>
      <c r="N18" s="133"/>
      <c r="O18" s="133"/>
      <c r="P18" s="133"/>
      <c r="Q18" s="13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0"/>
      <c r="C19" s="170"/>
      <c r="D19" s="170"/>
      <c r="E19" s="170"/>
      <c r="F19" s="170"/>
      <c r="G19" s="140"/>
      <c r="H19" s="140"/>
      <c r="I19" s="50" t="s">
        <v>5</v>
      </c>
      <c r="J19" s="41">
        <f>SUM(J20:J22)</f>
        <v>0.06</v>
      </c>
      <c r="K19" s="38">
        <f>J19/J19</f>
        <v>1</v>
      </c>
      <c r="L19" s="115" t="s">
        <v>55</v>
      </c>
      <c r="M19" s="116"/>
      <c r="N19" s="116"/>
      <c r="O19" s="116"/>
      <c r="P19" s="116"/>
      <c r="Q19" s="11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5" t="s">
        <v>7</v>
      </c>
      <c r="C20" s="136"/>
      <c r="D20" s="168" t="s">
        <v>39</v>
      </c>
      <c r="E20" s="168"/>
      <c r="F20" s="168"/>
      <c r="G20" s="140"/>
      <c r="H20" s="14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5.2409999999999998E-2</v>
      </c>
      <c r="K20" s="39">
        <f>J20/J19</f>
        <v>0.87350000000000005</v>
      </c>
      <c r="L20" s="115" t="s">
        <v>69</v>
      </c>
      <c r="M20" s="116"/>
      <c r="N20" s="116"/>
      <c r="O20" s="116"/>
      <c r="P20" s="116"/>
      <c r="Q20" s="11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4" t="s">
        <v>61</v>
      </c>
      <c r="E21" s="175"/>
      <c r="F21" s="176"/>
      <c r="G21" s="140"/>
      <c r="H21" s="14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5.6760000000000005E-3</v>
      </c>
      <c r="K21" s="39">
        <f>J21/J19</f>
        <v>9.4600000000000017E-2</v>
      </c>
      <c r="L21" s="115" t="s">
        <v>69</v>
      </c>
      <c r="M21" s="116"/>
      <c r="N21" s="116"/>
      <c r="O21" s="116"/>
      <c r="P21" s="116"/>
      <c r="Q21" s="11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7" t="s">
        <v>67</v>
      </c>
      <c r="E22" s="177"/>
      <c r="F22" s="177"/>
      <c r="G22" s="140"/>
      <c r="H22" s="14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1.9139999999999999E-3</v>
      </c>
      <c r="K22" s="39">
        <f>J22/J19</f>
        <v>3.1899999999999998E-2</v>
      </c>
      <c r="L22" s="115" t="s">
        <v>69</v>
      </c>
      <c r="M22" s="116"/>
      <c r="N22" s="116"/>
      <c r="O22" s="116"/>
      <c r="P22" s="116"/>
      <c r="Q22" s="11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5"/>
      <c r="C23" s="166"/>
      <c r="D23" s="166"/>
      <c r="E23" s="166"/>
      <c r="F23" s="167"/>
      <c r="G23" s="140"/>
      <c r="H23" s="140"/>
      <c r="I23" s="126"/>
      <c r="J23" s="127"/>
      <c r="K23" s="127"/>
      <c r="L23" s="127"/>
      <c r="M23" s="127"/>
      <c r="N23" s="127"/>
      <c r="O23" s="127"/>
      <c r="P23" s="127"/>
      <c r="Q23" s="12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3" t="s">
        <v>37</v>
      </c>
      <c r="C24" s="144"/>
      <c r="D24" s="144"/>
      <c r="E24" s="144"/>
      <c r="F24" s="145"/>
      <c r="G24" s="140"/>
      <c r="H24" s="140"/>
      <c r="I24" s="120" t="s">
        <v>42</v>
      </c>
      <c r="J24" s="121"/>
      <c r="K24" s="121"/>
      <c r="L24" s="121"/>
      <c r="M24" s="121"/>
      <c r="N24" s="121"/>
      <c r="O24" s="121"/>
      <c r="P24" s="121"/>
      <c r="Q24" s="12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6"/>
      <c r="C25" s="147"/>
      <c r="D25" s="147"/>
      <c r="E25" s="147"/>
      <c r="F25" s="148"/>
      <c r="G25" s="140"/>
      <c r="H25" s="140"/>
      <c r="I25" s="123"/>
      <c r="J25" s="124"/>
      <c r="K25" s="124"/>
      <c r="L25" s="124"/>
      <c r="M25" s="124"/>
      <c r="N25" s="124"/>
      <c r="O25" s="124"/>
      <c r="P25" s="124"/>
      <c r="Q25" s="12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1" t="s">
        <v>11</v>
      </c>
      <c r="C26" s="141" t="s">
        <v>12</v>
      </c>
      <c r="D26" s="149" t="s">
        <v>47</v>
      </c>
      <c r="E26" s="149" t="s">
        <v>48</v>
      </c>
      <c r="F26" s="151" t="s">
        <v>66</v>
      </c>
      <c r="G26" s="140"/>
      <c r="H26" s="140"/>
      <c r="I26" s="129" t="s">
        <v>53</v>
      </c>
      <c r="J26" s="129" t="s">
        <v>54</v>
      </c>
      <c r="K26" s="118" t="s">
        <v>73</v>
      </c>
      <c r="L26" s="118" t="s">
        <v>52</v>
      </c>
      <c r="M26" s="118" t="s">
        <v>59</v>
      </c>
      <c r="N26" s="118" t="s">
        <v>62</v>
      </c>
      <c r="O26" s="118" t="s">
        <v>72</v>
      </c>
      <c r="P26" s="118" t="s">
        <v>64</v>
      </c>
      <c r="Q26" s="118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2"/>
      <c r="C27" s="142"/>
      <c r="D27" s="150"/>
      <c r="E27" s="150"/>
      <c r="F27" s="152"/>
      <c r="G27" s="140"/>
      <c r="H27" s="140"/>
      <c r="I27" s="130"/>
      <c r="J27" s="130"/>
      <c r="K27" s="119"/>
      <c r="L27" s="119"/>
      <c r="M27" s="119"/>
      <c r="N27" s="119"/>
      <c r="O27" s="119"/>
      <c r="P27" s="119"/>
      <c r="Q27" s="119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40"/>
      <c r="H28" s="14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0.88005151635701673</v>
      </c>
      <c r="K28" s="95">
        <f t="shared" ref="K28:K47" si="3">IF(D28=0,"",1/(1+10^D28*$J$15/$J$14+10^E28*$J$16/$J$14+10^J28*$J$19/$J$14))</f>
        <v>0.80257218301800082</v>
      </c>
      <c r="L28" s="95">
        <f t="shared" ref="L28:L47" si="4">IF(D28=0,"",1/(1+10^I28/10^J28*$J$13/$J$19))</f>
        <v>2.4482237292233863E-3</v>
      </c>
      <c r="M28" s="95">
        <f t="shared" ref="M28:M47" si="5">IF(D28=0,"",1-L28)</f>
        <v>0.99755177627077662</v>
      </c>
      <c r="N28" s="95">
        <f t="shared" ref="N28:N47" si="6">IF(D28=0,"",1/(1/10^E28*$J$20/$J$22+10^D28/10^E28*$J$21/$J$22+10^I28/10^E28*$J$13/$J$22+1))</f>
        <v>8.2230942818006607E-4</v>
      </c>
      <c r="O28" s="40">
        <f t="shared" ref="O28:O47" si="7">IF(D28=0,"",F28*K28*$J$7/$J$14)</f>
        <v>8.0707385445729667E-7</v>
      </c>
      <c r="P28" s="40">
        <f t="shared" ref="P28:P47" si="8">IF(D28=0,"",O28*10^J28)</f>
        <v>6.1230075467876878E-6</v>
      </c>
      <c r="Q28" s="40">
        <f t="shared" ref="Q28:Q47" si="9">IF(D28=0,"",F28*N28*$J$7/$J$22)</f>
        <v>6.4470090278318036E-5</v>
      </c>
      <c r="R28" s="9">
        <f>F28*$C$14</f>
        <v>1.4999999999999999E-4</v>
      </c>
      <c r="S28" s="9">
        <f>$R28*L28</f>
        <v>3.6723355938350791E-7</v>
      </c>
      <c r="T28" s="9">
        <f t="shared" ref="T28:T49" si="10">R28*K28</f>
        <v>1.2038582745270012E-4</v>
      </c>
      <c r="U28" s="9">
        <f t="shared" ref="U28:U49" si="11">$R28*M28</f>
        <v>1.4963276644061648E-4</v>
      </c>
      <c r="V28" s="102">
        <f>K28/M28</f>
        <v>0.80454188154354978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40"/>
      <c r="H29" s="140"/>
      <c r="I29" s="94">
        <f t="shared" si="1"/>
        <v>2.7194923137791687</v>
      </c>
      <c r="J29" s="94">
        <f t="shared" si="2"/>
        <v>4.4318380891863303</v>
      </c>
      <c r="K29" s="95">
        <f t="shared" si="3"/>
        <v>1.8594553454028943E-3</v>
      </c>
      <c r="L29" s="95">
        <f t="shared" si="4"/>
        <v>2.0208744168489553E-2</v>
      </c>
      <c r="M29" s="95">
        <f t="shared" si="5"/>
        <v>0.9797912558315105</v>
      </c>
      <c r="N29" s="95">
        <f t="shared" si="6"/>
        <v>1.6333299280930923E-2</v>
      </c>
      <c r="O29" s="40">
        <f t="shared" si="7"/>
        <v>1.869885132527548E-9</v>
      </c>
      <c r="P29" s="40">
        <f t="shared" si="8"/>
        <v>5.0542069165392406E-5</v>
      </c>
      <c r="Q29" s="40">
        <f t="shared" si="9"/>
        <v>1.2805511442510419E-3</v>
      </c>
      <c r="R29" s="9">
        <f>F29*$C$14</f>
        <v>1.4999999999999999E-4</v>
      </c>
      <c r="S29" s="9">
        <f t="shared" ref="S29:S49" si="12">$R29*L29</f>
        <v>3.0313116252734326E-6</v>
      </c>
      <c r="T29" s="9">
        <f t="shared" si="10"/>
        <v>2.7891830181043413E-7</v>
      </c>
      <c r="U29" s="9">
        <f t="shared" si="11"/>
        <v>1.4696868837472656E-4</v>
      </c>
      <c r="V29" s="102">
        <f t="shared" ref="V29:V49" si="13">K29/M29</f>
        <v>1.8978076547793309E-3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40"/>
      <c r="H30" s="140"/>
      <c r="I30" s="94">
        <f t="shared" si="1"/>
        <v>5.9163420575972845</v>
      </c>
      <c r="J30" s="94">
        <f t="shared" si="2"/>
        <v>7.8125976975428566</v>
      </c>
      <c r="K30" s="95">
        <f t="shared" si="3"/>
        <v>1.1693191517118866E-6</v>
      </c>
      <c r="L30" s="95">
        <f t="shared" si="4"/>
        <v>3.0538397511066451E-2</v>
      </c>
      <c r="M30" s="95">
        <f t="shared" si="5"/>
        <v>0.96946160248893354</v>
      </c>
      <c r="N30" s="95">
        <f t="shared" si="6"/>
        <v>2.9920181894757456E-2</v>
      </c>
      <c r="O30" s="40">
        <f t="shared" si="7"/>
        <v>1.1758779270346103E-12</v>
      </c>
      <c r="P30" s="40">
        <f t="shared" si="8"/>
        <v>7.6376532175177409E-5</v>
      </c>
      <c r="Q30" s="40">
        <f t="shared" si="9"/>
        <v>2.3457797780184453E-3</v>
      </c>
      <c r="R30" s="9">
        <f t="shared" ref="R30:R49" si="14">F30*$C$14</f>
        <v>1.4999999999999999E-4</v>
      </c>
      <c r="S30" s="9">
        <f t="shared" si="12"/>
        <v>4.5807596266599675E-6</v>
      </c>
      <c r="T30" s="9">
        <f t="shared" si="10"/>
        <v>1.7539787275678296E-10</v>
      </c>
      <c r="U30" s="9">
        <f t="shared" si="11"/>
        <v>1.4541924037334E-4</v>
      </c>
      <c r="V30" s="102">
        <f t="shared" si="13"/>
        <v>1.2061531356268795E-6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40"/>
      <c r="H31" s="140"/>
      <c r="I31" s="94">
        <f t="shared" si="1"/>
        <v>1.2852308448323728</v>
      </c>
      <c r="J31" s="94">
        <f t="shared" si="2"/>
        <v>2.9264404342876054</v>
      </c>
      <c r="K31" s="95">
        <f t="shared" si="3"/>
        <v>5.0696183011101556E-2</v>
      </c>
      <c r="L31" s="95">
        <f t="shared" si="4"/>
        <v>1.7208030998540222E-2</v>
      </c>
      <c r="M31" s="95">
        <f t="shared" si="5"/>
        <v>0.98279196900145982</v>
      </c>
      <c r="N31" s="95">
        <f t="shared" si="6"/>
        <v>1.2861760802140951E-2</v>
      </c>
      <c r="O31" s="40">
        <f t="shared" si="7"/>
        <v>5.0980540685054569E-8</v>
      </c>
      <c r="P31" s="40">
        <f t="shared" si="8"/>
        <v>4.3037285527349114E-5</v>
      </c>
      <c r="Q31" s="40">
        <f t="shared" si="9"/>
        <v>1.0083781744876024E-3</v>
      </c>
      <c r="R31" s="9">
        <f t="shared" si="14"/>
        <v>1.4999999999999999E-4</v>
      </c>
      <c r="S31" s="9">
        <f t="shared" si="12"/>
        <v>2.5812046497810332E-6</v>
      </c>
      <c r="T31" s="9">
        <f t="shared" si="10"/>
        <v>7.6044274516652327E-6</v>
      </c>
      <c r="U31" s="9">
        <f t="shared" si="11"/>
        <v>1.4741879535021897E-4</v>
      </c>
      <c r="V31" s="102">
        <f t="shared" si="13"/>
        <v>5.1583839317093823E-2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40"/>
      <c r="H32" s="140"/>
      <c r="I32" s="94">
        <f t="shared" si="1"/>
        <v>3.9109447814528924</v>
      </c>
      <c r="J32" s="94">
        <f t="shared" si="2"/>
        <v>5.6317189226525786</v>
      </c>
      <c r="K32" s="95">
        <f t="shared" si="3"/>
        <v>1.1960830322005991E-4</v>
      </c>
      <c r="L32" s="95">
        <f t="shared" si="4"/>
        <v>2.0596609525909661E-2</v>
      </c>
      <c r="M32" s="95">
        <f t="shared" si="5"/>
        <v>0.97940339047409031</v>
      </c>
      <c r="N32" s="95">
        <f t="shared" si="6"/>
        <v>1.6827031047559976E-2</v>
      </c>
      <c r="O32" s="40">
        <f t="shared" si="7"/>
        <v>1.2027919275984389E-10</v>
      </c>
      <c r="P32" s="40">
        <f t="shared" si="8"/>
        <v>5.1512120424300059E-5</v>
      </c>
      <c r="Q32" s="40">
        <f t="shared" si="9"/>
        <v>1.3192603338541538E-3</v>
      </c>
      <c r="R32" s="9">
        <f t="shared" si="14"/>
        <v>1.4999999999999999E-4</v>
      </c>
      <c r="S32" s="9">
        <f t="shared" si="12"/>
        <v>3.0894914288864488E-6</v>
      </c>
      <c r="T32" s="9">
        <f t="shared" si="10"/>
        <v>1.7941245483008984E-8</v>
      </c>
      <c r="U32" s="9">
        <f t="shared" si="11"/>
        <v>1.4691050857111354E-4</v>
      </c>
      <c r="V32" s="102">
        <f t="shared" si="13"/>
        <v>1.2212363606599552E-4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40"/>
      <c r="H33" s="140"/>
      <c r="I33" s="94">
        <f t="shared" si="1"/>
        <v>3.4646398062685488</v>
      </c>
      <c r="J33" s="94">
        <f t="shared" si="2"/>
        <v>5.1469287331716504</v>
      </c>
      <c r="K33" s="95">
        <f t="shared" si="3"/>
        <v>3.3483089712134975E-4</v>
      </c>
      <c r="L33" s="95">
        <f t="shared" si="4"/>
        <v>1.8882945651844108E-2</v>
      </c>
      <c r="M33" s="95">
        <f t="shared" si="5"/>
        <v>0.98111705434815588</v>
      </c>
      <c r="N33" s="95">
        <f t="shared" si="6"/>
        <v>1.4572084906296646E-2</v>
      </c>
      <c r="O33" s="40">
        <f t="shared" si="7"/>
        <v>3.367089820069945E-10</v>
      </c>
      <c r="P33" s="40">
        <f t="shared" si="8"/>
        <v>4.7226247075262137E-5</v>
      </c>
      <c r="Q33" s="40">
        <f t="shared" si="9"/>
        <v>1.1424697288604361E-3</v>
      </c>
      <c r="R33" s="9">
        <f t="shared" si="14"/>
        <v>1.4999999999999999E-4</v>
      </c>
      <c r="S33" s="9">
        <f t="shared" si="12"/>
        <v>2.8324418477766158E-6</v>
      </c>
      <c r="T33" s="9">
        <f t="shared" si="10"/>
        <v>5.0224634568202457E-8</v>
      </c>
      <c r="U33" s="9">
        <f t="shared" si="11"/>
        <v>1.4716755815222336E-4</v>
      </c>
      <c r="V33" s="102">
        <f t="shared" si="13"/>
        <v>3.4127517775522508E-4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40"/>
      <c r="H34" s="140"/>
      <c r="I34" s="94">
        <f t="shared" si="1"/>
        <v>3.4579829545014036</v>
      </c>
      <c r="J34" s="94">
        <f t="shared" si="2"/>
        <v>5.1667621736278413</v>
      </c>
      <c r="K34" s="95">
        <f t="shared" si="3"/>
        <v>3.3959938804610778E-4</v>
      </c>
      <c r="L34" s="95">
        <f t="shared" si="4"/>
        <v>2.0046776852928157E-2</v>
      </c>
      <c r="M34" s="95">
        <f t="shared" si="5"/>
        <v>0.97995322314707189</v>
      </c>
      <c r="N34" s="95">
        <f t="shared" si="6"/>
        <v>1.6105012475003871E-2</v>
      </c>
      <c r="O34" s="40">
        <f t="shared" si="7"/>
        <v>3.4150421965916063E-10</v>
      </c>
      <c r="P34" s="40">
        <f t="shared" si="8"/>
        <v>5.013698890917337E-5</v>
      </c>
      <c r="Q34" s="40">
        <f t="shared" si="9"/>
        <v>1.2626531724133127E-3</v>
      </c>
      <c r="R34" s="9">
        <f t="shared" si="14"/>
        <v>1.4999999999999999E-4</v>
      </c>
      <c r="S34" s="9">
        <f t="shared" si="12"/>
        <v>3.0070165279392233E-6</v>
      </c>
      <c r="T34" s="9">
        <f t="shared" si="10"/>
        <v>5.0939908206916162E-8</v>
      </c>
      <c r="U34" s="9">
        <f t="shared" si="11"/>
        <v>1.4699298347206077E-4</v>
      </c>
      <c r="V34" s="102">
        <f t="shared" si="13"/>
        <v>3.4654652898176192E-4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40"/>
      <c r="H35" s="140"/>
      <c r="I35" s="94">
        <f t="shared" si="1"/>
        <v>0.62193942428688143</v>
      </c>
      <c r="J35" s="94">
        <f t="shared" si="2"/>
        <v>2.03023552063889</v>
      </c>
      <c r="K35" s="95">
        <f t="shared" si="3"/>
        <v>0.23516893603534764</v>
      </c>
      <c r="L35" s="95">
        <f t="shared" si="4"/>
        <v>1.0137502130150961E-2</v>
      </c>
      <c r="M35" s="95">
        <f t="shared" si="5"/>
        <v>0.98986249786984903</v>
      </c>
      <c r="N35" s="95">
        <f t="shared" si="6"/>
        <v>5.3649307547736589E-3</v>
      </c>
      <c r="O35" s="40">
        <f t="shared" si="7"/>
        <v>2.3648801150938034E-7</v>
      </c>
      <c r="P35" s="40">
        <f t="shared" si="8"/>
        <v>2.535389282750755E-5</v>
      </c>
      <c r="Q35" s="40">
        <f t="shared" si="9"/>
        <v>4.2061729836015427E-4</v>
      </c>
      <c r="R35" s="9">
        <f t="shared" si="14"/>
        <v>1.4999999999999999E-4</v>
      </c>
      <c r="S35" s="9">
        <f t="shared" si="12"/>
        <v>1.520625319522644E-6</v>
      </c>
      <c r="T35" s="9">
        <f t="shared" si="10"/>
        <v>3.5275340405302142E-5</v>
      </c>
      <c r="U35" s="9">
        <f t="shared" si="11"/>
        <v>1.4847937468047734E-4</v>
      </c>
      <c r="V35" s="102">
        <f t="shared" si="13"/>
        <v>0.23757737720281688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40"/>
      <c r="H36" s="140"/>
      <c r="I36" s="94">
        <f t="shared" si="1"/>
        <v>6.3597288158186656</v>
      </c>
      <c r="J36" s="94">
        <f t="shared" si="2"/>
        <v>8.2579948157300773</v>
      </c>
      <c r="K36" s="95">
        <f t="shared" si="3"/>
        <v>4.2119651920400901E-7</v>
      </c>
      <c r="L36" s="95">
        <f t="shared" si="4"/>
        <v>3.0675741737939927E-2</v>
      </c>
      <c r="M36" s="95">
        <f t="shared" si="5"/>
        <v>0.96932425826206003</v>
      </c>
      <c r="N36" s="95">
        <f t="shared" si="6"/>
        <v>3.0101070442046594E-2</v>
      </c>
      <c r="O36" s="40">
        <f t="shared" si="7"/>
        <v>4.2355903360576844E-13</v>
      </c>
      <c r="P36" s="40">
        <f t="shared" si="8"/>
        <v>7.6720030086587881E-5</v>
      </c>
      <c r="Q36" s="40">
        <f t="shared" si="9"/>
        <v>2.3599616669454085E-3</v>
      </c>
      <c r="R36" s="9">
        <f t="shared" si="14"/>
        <v>1.4999999999999999E-4</v>
      </c>
      <c r="S36" s="9">
        <f t="shared" si="12"/>
        <v>4.6013612606909885E-6</v>
      </c>
      <c r="T36" s="9">
        <f t="shared" si="10"/>
        <v>6.3179477880601342E-11</v>
      </c>
      <c r="U36" s="9">
        <f t="shared" si="11"/>
        <v>1.4539863873930898E-4</v>
      </c>
      <c r="V36" s="102">
        <f t="shared" si="13"/>
        <v>4.3452592423425882E-7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40"/>
      <c r="H37" s="140"/>
      <c r="I37" s="94">
        <f t="shared" si="1"/>
        <v>2.0466328175843658</v>
      </c>
      <c r="J37" s="94">
        <f t="shared" si="2"/>
        <v>3.7264296384905324</v>
      </c>
      <c r="K37" s="95">
        <f t="shared" si="3"/>
        <v>8.7675740229572665E-3</v>
      </c>
      <c r="L37" s="95">
        <f t="shared" si="4"/>
        <v>1.8776928963010798E-2</v>
      </c>
      <c r="M37" s="95">
        <f t="shared" si="5"/>
        <v>0.98122307103698925</v>
      </c>
      <c r="N37" s="95">
        <f t="shared" si="6"/>
        <v>1.4515453465373758E-2</v>
      </c>
      <c r="O37" s="40">
        <f t="shared" si="7"/>
        <v>8.8167518270304665E-9</v>
      </c>
      <c r="P37" s="40">
        <f t="shared" si="8"/>
        <v>4.696109933649007E-5</v>
      </c>
      <c r="Q37" s="40">
        <f t="shared" si="9"/>
        <v>1.1380297528808703E-3</v>
      </c>
      <c r="R37" s="9">
        <f t="shared" si="14"/>
        <v>1.4999999999999999E-4</v>
      </c>
      <c r="S37" s="9">
        <f t="shared" si="12"/>
        <v>2.8165393444516194E-6</v>
      </c>
      <c r="T37" s="9">
        <f t="shared" si="10"/>
        <v>1.3151361034435898E-6</v>
      </c>
      <c r="U37" s="9">
        <f t="shared" si="11"/>
        <v>1.4718346065554838E-4</v>
      </c>
      <c r="V37" s="102">
        <f t="shared" si="13"/>
        <v>8.9353525021495898E-3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40"/>
      <c r="H38" s="140"/>
      <c r="I38" s="94">
        <f t="shared" si="1"/>
        <v>0.75425121724867172</v>
      </c>
      <c r="J38" s="94">
        <f t="shared" si="2"/>
        <v>2.2690970019934102</v>
      </c>
      <c r="K38" s="95">
        <f t="shared" si="3"/>
        <v>0.17292018823773642</v>
      </c>
      <c r="L38" s="95">
        <f t="shared" si="4"/>
        <v>1.2919871229969999E-2</v>
      </c>
      <c r="M38" s="95">
        <f t="shared" si="5"/>
        <v>0.98708012877003004</v>
      </c>
      <c r="N38" s="95">
        <f t="shared" si="6"/>
        <v>8.4168747818546292E-3</v>
      </c>
      <c r="O38" s="40">
        <f t="shared" si="7"/>
        <v>1.7389010706764188E-7</v>
      </c>
      <c r="P38" s="40">
        <f t="shared" si="8"/>
        <v>3.231259794615497E-5</v>
      </c>
      <c r="Q38" s="40">
        <f t="shared" si="9"/>
        <v>6.5989353697236451E-4</v>
      </c>
      <c r="R38" s="9">
        <f t="shared" si="14"/>
        <v>1.4999999999999999E-4</v>
      </c>
      <c r="S38" s="9">
        <f t="shared" si="12"/>
        <v>1.9379806844954996E-6</v>
      </c>
      <c r="T38" s="9">
        <f t="shared" si="10"/>
        <v>2.5938028235660461E-5</v>
      </c>
      <c r="U38" s="9">
        <f t="shared" si="11"/>
        <v>1.4806201931550448E-4</v>
      </c>
      <c r="V38" s="102">
        <f t="shared" si="13"/>
        <v>0.1751835369770911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40"/>
      <c r="H39" s="140"/>
      <c r="I39" s="94">
        <f t="shared" si="1"/>
        <v>-1.6810051832329899E-4</v>
      </c>
      <c r="J39" s="94">
        <f t="shared" si="2"/>
        <v>-1.3611403546582255E-2</v>
      </c>
      <c r="K39" s="95">
        <f t="shared" si="3"/>
        <v>0.9948193364484067</v>
      </c>
      <c r="L39" s="95">
        <f t="shared" si="4"/>
        <v>3.8765759589591802E-4</v>
      </c>
      <c r="M39" s="95">
        <f t="shared" si="5"/>
        <v>0.99961234240410413</v>
      </c>
      <c r="N39" s="95">
        <f t="shared" si="6"/>
        <v>6.1806960218888444E-7</v>
      </c>
      <c r="O39" s="40">
        <f t="shared" si="7"/>
        <v>1.0003993327265092E-6</v>
      </c>
      <c r="P39" s="40">
        <f t="shared" si="8"/>
        <v>9.6953164733569093E-7</v>
      </c>
      <c r="Q39" s="40">
        <f t="shared" si="9"/>
        <v>4.8457431820514103E-8</v>
      </c>
      <c r="R39" s="9">
        <f t="shared" si="14"/>
        <v>1.4999999999999999E-4</v>
      </c>
      <c r="S39" s="9">
        <f t="shared" si="12"/>
        <v>5.8148639384387701E-8</v>
      </c>
      <c r="T39" s="9">
        <f t="shared" si="10"/>
        <v>1.4922290046726099E-4</v>
      </c>
      <c r="U39" s="9">
        <f t="shared" si="11"/>
        <v>1.4994185136061561E-4</v>
      </c>
      <c r="V39" s="102">
        <f t="shared" si="13"/>
        <v>0.99520513527857202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40"/>
      <c r="H40" s="140"/>
      <c r="I40" s="94">
        <f t="shared" si="1"/>
        <v>1.0570731161685156</v>
      </c>
      <c r="J40" s="94">
        <f t="shared" si="2"/>
        <v>2.5374746618878143</v>
      </c>
      <c r="K40" s="95">
        <f t="shared" si="3"/>
        <v>8.6188999009340475E-2</v>
      </c>
      <c r="L40" s="95">
        <f t="shared" si="4"/>
        <v>1.1946535619062764E-2</v>
      </c>
      <c r="M40" s="95">
        <f t="shared" si="5"/>
        <v>0.98805346438093722</v>
      </c>
      <c r="N40" s="95">
        <f t="shared" si="6"/>
        <v>6.2812055169608342E-3</v>
      </c>
      <c r="O40" s="40">
        <f t="shared" si="7"/>
        <v>8.6672437836939538E-8</v>
      </c>
      <c r="P40" s="40">
        <f t="shared" si="8"/>
        <v>2.9878285583275978E-5</v>
      </c>
      <c r="Q40" s="40">
        <f t="shared" si="9"/>
        <v>4.9245438864949987E-4</v>
      </c>
      <c r="R40" s="9">
        <f t="shared" si="14"/>
        <v>1.4999999999999999E-4</v>
      </c>
      <c r="S40" s="9">
        <f t="shared" si="12"/>
        <v>1.7919803428594145E-6</v>
      </c>
      <c r="T40" s="9">
        <f t="shared" si="10"/>
        <v>1.2928349851401069E-5</v>
      </c>
      <c r="U40" s="9">
        <f t="shared" si="11"/>
        <v>1.4820801965714057E-4</v>
      </c>
      <c r="V40" s="102">
        <f t="shared" si="13"/>
        <v>8.7231108554780487E-2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40"/>
      <c r="H41" s="140"/>
      <c r="I41" s="94">
        <f t="shared" si="1"/>
        <v>1.1393826628828596</v>
      </c>
      <c r="J41" s="94">
        <f t="shared" si="2"/>
        <v>2.6178158804762943</v>
      </c>
      <c r="K41" s="95">
        <f t="shared" si="3"/>
        <v>7.1312514866851834E-2</v>
      </c>
      <c r="L41" s="95">
        <f t="shared" si="4"/>
        <v>1.1893156022849028E-2</v>
      </c>
      <c r="M41" s="95">
        <f t="shared" si="5"/>
        <v>0.98810684397715098</v>
      </c>
      <c r="N41" s="95">
        <f t="shared" si="6"/>
        <v>6.0644709338768827E-3</v>
      </c>
      <c r="O41" s="40">
        <f t="shared" si="7"/>
        <v>7.1712510678111189E-8</v>
      </c>
      <c r="P41" s="40">
        <f t="shared" si="8"/>
        <v>2.974478321314544E-5</v>
      </c>
      <c r="Q41" s="40">
        <f t="shared" si="9"/>
        <v>4.7546212556821583E-4</v>
      </c>
      <c r="R41" s="9">
        <f t="shared" si="14"/>
        <v>1.4999999999999999E-4</v>
      </c>
      <c r="S41" s="9">
        <f t="shared" si="12"/>
        <v>1.7839734034273541E-6</v>
      </c>
      <c r="T41" s="9">
        <f t="shared" si="10"/>
        <v>1.0696877230027775E-5</v>
      </c>
      <c r="U41" s="9">
        <f t="shared" si="11"/>
        <v>1.4821602659657263E-4</v>
      </c>
      <c r="V41" s="102">
        <f t="shared" si="13"/>
        <v>7.2170854094904813E-2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40"/>
      <c r="H42" s="140"/>
      <c r="I42" s="94">
        <f t="shared" si="1"/>
        <v>2.466507651261447</v>
      </c>
      <c r="J42" s="94">
        <f t="shared" si="2"/>
        <v>4.2142679595923802</v>
      </c>
      <c r="K42" s="95">
        <f t="shared" si="3"/>
        <v>3.3237272842824056E-3</v>
      </c>
      <c r="L42" s="95">
        <f t="shared" si="4"/>
        <v>2.1888138359791674E-2</v>
      </c>
      <c r="M42" s="95">
        <f t="shared" si="5"/>
        <v>0.97811186164020836</v>
      </c>
      <c r="N42" s="95">
        <f t="shared" si="6"/>
        <v>1.8559640034178197E-2</v>
      </c>
      <c r="O42" s="40">
        <f t="shared" si="7"/>
        <v>3.342370253107213E-9</v>
      </c>
      <c r="P42" s="40">
        <f t="shared" si="8"/>
        <v>5.4742234037838993E-5</v>
      </c>
      <c r="Q42" s="40">
        <f t="shared" si="9"/>
        <v>1.4550990509554756E-3</v>
      </c>
      <c r="R42" s="9">
        <f t="shared" si="14"/>
        <v>1.4999999999999999E-4</v>
      </c>
      <c r="S42" s="9">
        <f t="shared" si="12"/>
        <v>3.2832207539687507E-6</v>
      </c>
      <c r="T42" s="9">
        <f t="shared" si="10"/>
        <v>4.985590926423608E-7</v>
      </c>
      <c r="U42" s="9">
        <f t="shared" si="11"/>
        <v>1.4671677924603125E-4</v>
      </c>
      <c r="V42" s="102">
        <f t="shared" si="13"/>
        <v>3.3981054873507052E-3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40"/>
      <c r="H43" s="140"/>
      <c r="I43" s="94">
        <f t="shared" si="1"/>
        <v>2.2273249528367836</v>
      </c>
      <c r="J43" s="94">
        <f t="shared" si="2"/>
        <v>3.9177203460984957</v>
      </c>
      <c r="K43" s="95">
        <f t="shared" si="3"/>
        <v>5.780772734773976E-3</v>
      </c>
      <c r="L43" s="95">
        <f t="shared" si="4"/>
        <v>1.9231879335616542E-2</v>
      </c>
      <c r="M43" s="95">
        <f t="shared" si="5"/>
        <v>0.98076812066438346</v>
      </c>
      <c r="N43" s="95">
        <f t="shared" si="6"/>
        <v>1.5085269123005573E-2</v>
      </c>
      <c r="O43" s="40">
        <f t="shared" si="7"/>
        <v>5.8131974064332092E-9</v>
      </c>
      <c r="P43" s="40">
        <f t="shared" si="8"/>
        <v>4.8098930218377037E-5</v>
      </c>
      <c r="Q43" s="40">
        <f t="shared" si="9"/>
        <v>1.1827040149415967E-3</v>
      </c>
      <c r="R43" s="9">
        <f t="shared" si="14"/>
        <v>1.4999999999999999E-4</v>
      </c>
      <c r="S43" s="9">
        <f t="shared" si="12"/>
        <v>2.8847819003424811E-6</v>
      </c>
      <c r="T43" s="9">
        <f t="shared" si="10"/>
        <v>8.6711591021609635E-7</v>
      </c>
      <c r="U43" s="9">
        <f t="shared" si="11"/>
        <v>1.4711521809965752E-4</v>
      </c>
      <c r="V43" s="102">
        <f t="shared" si="13"/>
        <v>5.894127891165564E-3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40"/>
      <c r="H44" s="140"/>
      <c r="I44" s="94">
        <f t="shared" si="1"/>
        <v>0.70532975413914467</v>
      </c>
      <c r="J44" s="94">
        <f t="shared" si="2"/>
        <v>2.2125616665002776</v>
      </c>
      <c r="K44" s="95">
        <f t="shared" si="3"/>
        <v>0.19358187260065596</v>
      </c>
      <c r="L44" s="95">
        <f t="shared" si="4"/>
        <v>1.2698190457688342E-2</v>
      </c>
      <c r="M44" s="95">
        <f t="shared" si="5"/>
        <v>0.98730180954231161</v>
      </c>
      <c r="N44" s="95">
        <f t="shared" si="6"/>
        <v>8.3282710895307525E-3</v>
      </c>
      <c r="O44" s="40">
        <f t="shared" si="7"/>
        <v>1.9466768395257052E-7</v>
      </c>
      <c r="P44" s="40">
        <f t="shared" si="8"/>
        <v>3.1758174334678539E-5</v>
      </c>
      <c r="Q44" s="40">
        <f t="shared" si="9"/>
        <v>6.5294689639236415E-4</v>
      </c>
      <c r="R44" s="9">
        <f t="shared" si="14"/>
        <v>1.4999999999999999E-4</v>
      </c>
      <c r="S44" s="9">
        <f t="shared" si="12"/>
        <v>1.9047285686532511E-6</v>
      </c>
      <c r="T44" s="9">
        <f t="shared" si="10"/>
        <v>2.9037280890098392E-5</v>
      </c>
      <c r="U44" s="9">
        <f t="shared" si="11"/>
        <v>1.4809527143134672E-4</v>
      </c>
      <c r="V44" s="102">
        <f t="shared" si="13"/>
        <v>0.19607162746961404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40"/>
      <c r="H45" s="140"/>
      <c r="I45" s="94">
        <f t="shared" si="1"/>
        <v>2.3272580136650043</v>
      </c>
      <c r="J45" s="94">
        <f t="shared" si="2"/>
        <v>3.9384447971611571</v>
      </c>
      <c r="K45" s="95">
        <f t="shared" si="3"/>
        <v>4.6073113378530409E-3</v>
      </c>
      <c r="L45" s="95">
        <f t="shared" si="4"/>
        <v>1.6077104744757823E-2</v>
      </c>
      <c r="M45" s="95">
        <f t="shared" si="5"/>
        <v>0.98392289525524212</v>
      </c>
      <c r="N45" s="95">
        <f t="shared" si="6"/>
        <v>1.091856910534097E-2</v>
      </c>
      <c r="O45" s="40">
        <f t="shared" si="7"/>
        <v>4.6331540001087448E-9</v>
      </c>
      <c r="P45" s="40">
        <f t="shared" si="8"/>
        <v>4.0208838966639316E-5</v>
      </c>
      <c r="Q45" s="40">
        <f t="shared" si="9"/>
        <v>8.5602950885447539E-4</v>
      </c>
      <c r="R45" s="9">
        <f t="shared" si="14"/>
        <v>1.4999999999999999E-4</v>
      </c>
      <c r="S45" s="9">
        <f t="shared" si="12"/>
        <v>2.4115657117136733E-6</v>
      </c>
      <c r="T45" s="9">
        <f t="shared" si="10"/>
        <v>6.910967006779561E-7</v>
      </c>
      <c r="U45" s="9">
        <f t="shared" si="11"/>
        <v>1.4758843428828631E-4</v>
      </c>
      <c r="V45" s="102">
        <f t="shared" si="13"/>
        <v>4.6825938903046318E-3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40"/>
      <c r="H46" s="140"/>
      <c r="I46" s="94">
        <f t="shared" si="1"/>
        <v>0.64458903464573347</v>
      </c>
      <c r="J46" s="94">
        <f t="shared" si="2"/>
        <v>2.1275282735995251</v>
      </c>
      <c r="K46" s="95">
        <f t="shared" si="3"/>
        <v>0.22279503795100902</v>
      </c>
      <c r="L46" s="95">
        <f t="shared" si="4"/>
        <v>1.2015705383752287E-2</v>
      </c>
      <c r="M46" s="95">
        <f t="shared" si="5"/>
        <v>0.9879842946162477</v>
      </c>
      <c r="N46" s="95">
        <f t="shared" si="6"/>
        <v>7.7169143610760398E-3</v>
      </c>
      <c r="O46" s="40">
        <f t="shared" si="7"/>
        <v>2.2404470755130515E-7</v>
      </c>
      <c r="P46" s="40">
        <f t="shared" si="8"/>
        <v>3.0051279164764467E-5</v>
      </c>
      <c r="Q46" s="40">
        <f t="shared" si="9"/>
        <v>6.0501576229000551E-4</v>
      </c>
      <c r="R46" s="9">
        <f t="shared" si="14"/>
        <v>1.4999999999999999E-4</v>
      </c>
      <c r="S46" s="9">
        <f t="shared" si="12"/>
        <v>1.8023558075628428E-6</v>
      </c>
      <c r="T46" s="9">
        <f t="shared" si="10"/>
        <v>3.3419255692651351E-5</v>
      </c>
      <c r="U46" s="9">
        <f t="shared" si="11"/>
        <v>1.4819764419243714E-4</v>
      </c>
      <c r="V46" s="102">
        <f t="shared" si="13"/>
        <v>0.22550463521036734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40"/>
      <c r="H47" s="140"/>
      <c r="I47" s="94">
        <f t="shared" si="1"/>
        <v>1.6299602750984028</v>
      </c>
      <c r="J47" s="94">
        <f t="shared" si="2"/>
        <v>3.1029707241226632</v>
      </c>
      <c r="K47" s="95">
        <f t="shared" si="3"/>
        <v>2.304900794832529E-2</v>
      </c>
      <c r="L47" s="95">
        <f t="shared" si="4"/>
        <v>1.1747310427661008E-2</v>
      </c>
      <c r="M47" s="95">
        <f t="shared" si="5"/>
        <v>0.98825268957233903</v>
      </c>
      <c r="N47" s="95">
        <f t="shared" si="6"/>
        <v>5.3973229413809016E-3</v>
      </c>
      <c r="O47" s="40">
        <f t="shared" si="7"/>
        <v>2.3178291099399506E-8</v>
      </c>
      <c r="P47" s="40">
        <f t="shared" si="8"/>
        <v>2.9380023379580197E-5</v>
      </c>
      <c r="Q47" s="40">
        <f t="shared" si="9"/>
        <v>4.2315688640732395E-4</v>
      </c>
      <c r="R47" s="9">
        <f t="shared" si="14"/>
        <v>1.4999999999999999E-4</v>
      </c>
      <c r="S47" s="9">
        <f t="shared" si="12"/>
        <v>1.7620965641491509E-6</v>
      </c>
      <c r="T47" s="9">
        <f t="shared" si="10"/>
        <v>3.4573511922487932E-6</v>
      </c>
      <c r="U47" s="9">
        <f t="shared" si="11"/>
        <v>1.4823790343585085E-4</v>
      </c>
      <c r="V47" s="102">
        <f t="shared" si="13"/>
        <v>2.3322990356140213E-2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40"/>
      <c r="H48" s="14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1.2530323770467107</v>
      </c>
      <c r="K48" s="95">
        <f t="shared" ref="K48:K50" si="17">IF(D48=0,"",1/(1+10^D48*$J$15/$J$14+10^E48*$J$16/$J$14+10^J48*$J$19/$J$14))</f>
        <v>0.62638758291268115</v>
      </c>
      <c r="L48" s="95">
        <f t="shared" ref="L48:L50" si="18">IF(D48=0,"",1/(1+10^I48/10^J48*$J$13/$J$19))</f>
        <v>4.5101501508216192E-3</v>
      </c>
      <c r="M48" s="95">
        <f t="shared" ref="M48:M92" si="19">IF(D48=0,"",1-L48)</f>
        <v>0.99548984984917843</v>
      </c>
      <c r="N48" s="95">
        <f t="shared" ref="N48:N50" si="20">IF(D48=0,"",1/(1/10^E48*$J$20/$J$22+10^D48/10^E48*$J$21/$J$22+10^I48/10^E48*$J$13/$J$22+1))</f>
        <v>1.8038952149800854E-3</v>
      </c>
      <c r="O48" s="40">
        <f t="shared" ref="O48:O92" si="21">IF(D48=0,"",F48*K48*$J$7/$J$14)</f>
        <v>6.2990102525667566E-7</v>
      </c>
      <c r="P48" s="40">
        <f t="shared" ref="P48:P50" si="22">IF(D48=0,"",O48*10^J48)</f>
        <v>1.1279885527204871E-5</v>
      </c>
      <c r="Q48" s="40">
        <f t="shared" ref="Q48:Q50" si="23">IF(D48=0,"",F48*N48*$J$7/$J$22)</f>
        <v>1.4142764679201232E-4</v>
      </c>
      <c r="R48" s="9">
        <f t="shared" si="14"/>
        <v>1.4999999999999999E-4</v>
      </c>
      <c r="S48" s="9">
        <f t="shared" si="12"/>
        <v>6.7652252262324278E-7</v>
      </c>
      <c r="T48" s="9">
        <f t="shared" si="10"/>
        <v>9.3958137436902161E-5</v>
      </c>
      <c r="U48" s="9">
        <f t="shared" si="11"/>
        <v>1.4932347747737676E-4</v>
      </c>
      <c r="V48" s="102">
        <f t="shared" si="13"/>
        <v>0.62922548432571357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40"/>
      <c r="H49" s="140"/>
      <c r="I49" s="94">
        <f t="shared" si="15"/>
        <v>6.5352597387686409E-2</v>
      </c>
      <c r="J49" s="94">
        <f t="shared" si="16"/>
        <v>0.77181105160959218</v>
      </c>
      <c r="K49" s="95">
        <f t="shared" si="17"/>
        <v>0.85410076829687054</v>
      </c>
      <c r="L49" s="95">
        <f t="shared" si="18"/>
        <v>2.0306526754742768E-3</v>
      </c>
      <c r="M49" s="95">
        <f t="shared" si="19"/>
        <v>0.99796934732452569</v>
      </c>
      <c r="N49" s="95">
        <f t="shared" si="20"/>
        <v>7.7952003021461425E-4</v>
      </c>
      <c r="O49" s="40">
        <f t="shared" si="21"/>
        <v>8.5889146640014187E-7</v>
      </c>
      <c r="P49" s="40">
        <f t="shared" si="22"/>
        <v>5.0786623413611645E-6</v>
      </c>
      <c r="Q49" s="40">
        <f t="shared" si="23"/>
        <v>6.1115347823409099E-5</v>
      </c>
      <c r="R49" s="9">
        <f t="shared" si="14"/>
        <v>1.4999999999999999E-4</v>
      </c>
      <c r="S49" s="9">
        <f t="shared" si="12"/>
        <v>3.045979013211415E-7</v>
      </c>
      <c r="T49" s="9">
        <f t="shared" si="10"/>
        <v>1.2811511524453057E-4</v>
      </c>
      <c r="U49" s="9">
        <f t="shared" si="11"/>
        <v>1.4969540209867885E-4</v>
      </c>
      <c r="V49" s="102">
        <f t="shared" si="13"/>
        <v>0.85583867940097047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40"/>
      <c r="H50" s="14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40"/>
      <c r="H51" s="14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40"/>
      <c r="H52" s="14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40"/>
      <c r="H53" s="14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40"/>
      <c r="H54" s="14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40"/>
      <c r="H55" s="14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40"/>
      <c r="H56" s="14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40"/>
      <c r="H57" s="140"/>
      <c r="I57" s="54">
        <f t="shared" si="24"/>
        <v>3.7217650281818146E-4</v>
      </c>
      <c r="J57" s="54">
        <f t="shared" si="25"/>
        <v>9.4441934040065591E-3</v>
      </c>
      <c r="K57" s="55">
        <f t="shared" si="26"/>
        <v>0.99356202225021328</v>
      </c>
      <c r="L57" s="55">
        <f t="shared" si="27"/>
        <v>4.0827676003549391E-4</v>
      </c>
      <c r="M57" s="55">
        <f t="shared" si="28"/>
        <v>0.99959172323996448</v>
      </c>
      <c r="N57" s="55">
        <f t="shared" si="29"/>
        <v>1.5399873355658148E-5</v>
      </c>
      <c r="O57" s="56">
        <f t="shared" si="30"/>
        <v>9.9913496618394622E-7</v>
      </c>
      <c r="P57" s="56">
        <f t="shared" si="31"/>
        <v>1.0211001768487703E-6</v>
      </c>
      <c r="Q57" s="56">
        <f t="shared" si="32"/>
        <v>1.2073693812696249E-6</v>
      </c>
      <c r="R57" s="9">
        <f t="shared" ref="R57:R58" si="33">F57*$C$14</f>
        <v>1.4999999999999999E-4</v>
      </c>
      <c r="S57" s="9">
        <f t="shared" ref="S57:S58" si="34">$R57*L57</f>
        <v>6.1241514005324076E-8</v>
      </c>
      <c r="T57" s="9">
        <f t="shared" ref="T57:T58" si="35">R57*K57</f>
        <v>1.4903430333753197E-4</v>
      </c>
      <c r="U57" s="9">
        <f t="shared" ref="U57:U58" si="36">$R57*M57</f>
        <v>1.4993875848599465E-4</v>
      </c>
      <c r="V57" s="102">
        <f t="shared" ref="V57:V58" si="37">K57/M57</f>
        <v>0.99396783621796392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40"/>
      <c r="H58" s="140"/>
      <c r="I58" s="54">
        <f t="shared" si="24"/>
        <v>0.27242732253974722</v>
      </c>
      <c r="J58" s="54">
        <f t="shared" si="25"/>
        <v>1.4413921389547875</v>
      </c>
      <c r="K58" s="55">
        <f t="shared" si="26"/>
        <v>0.52815496086645575</v>
      </c>
      <c r="L58" s="55">
        <f t="shared" si="27"/>
        <v>5.8677146521272103E-3</v>
      </c>
      <c r="M58" s="55">
        <f t="shared" si="28"/>
        <v>0.99413228534787279</v>
      </c>
      <c r="N58" s="55">
        <f t="shared" si="29"/>
        <v>2.6250436536293721E-3</v>
      </c>
      <c r="O58" s="56">
        <f t="shared" si="30"/>
        <v>5.3111741103998931E-7</v>
      </c>
      <c r="P58" s="56">
        <f t="shared" si="31"/>
        <v>1.4675154344970152E-5</v>
      </c>
      <c r="Q58" s="56">
        <f t="shared" si="32"/>
        <v>2.05806714035331E-4</v>
      </c>
      <c r="R58" s="9">
        <f t="shared" si="33"/>
        <v>1.4999999999999999E-4</v>
      </c>
      <c r="S58" s="9">
        <f t="shared" si="34"/>
        <v>8.8015719781908151E-7</v>
      </c>
      <c r="T58" s="9">
        <f t="shared" si="35"/>
        <v>7.9223244129968354E-5</v>
      </c>
      <c r="U58" s="9">
        <f t="shared" si="36"/>
        <v>1.491198428021809E-4</v>
      </c>
      <c r="V58" s="102">
        <f t="shared" si="37"/>
        <v>0.53127231521471063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40"/>
      <c r="H59" s="14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40"/>
      <c r="H60" s="140"/>
      <c r="I60" s="54">
        <f t="shared" si="24"/>
        <v>0.35062624883359406</v>
      </c>
      <c r="J60" s="54">
        <f t="shared" si="25"/>
        <v>1.5374135578346046</v>
      </c>
      <c r="K60" s="55">
        <f t="shared" si="26"/>
        <v>0.44101737247377182</v>
      </c>
      <c r="L60" s="55">
        <f t="shared" si="27"/>
        <v>6.1120196077140499E-3</v>
      </c>
      <c r="M60" s="55">
        <f t="shared" si="28"/>
        <v>0.99388798039228599</v>
      </c>
      <c r="N60" s="55">
        <f t="shared" si="29"/>
        <v>2.0891271062160972E-3</v>
      </c>
      <c r="O60" s="56">
        <f t="shared" si="30"/>
        <v>4.434910631297735E-7</v>
      </c>
      <c r="P60" s="56">
        <f t="shared" si="31"/>
        <v>1.5286161038892839E-5</v>
      </c>
      <c r="Q60" s="56">
        <f t="shared" si="32"/>
        <v>1.6379018472245953E-4</v>
      </c>
      <c r="R60" s="9">
        <f t="shared" ref="R60:R65" si="38">F60*$C$14</f>
        <v>1.4999999999999999E-4</v>
      </c>
      <c r="S60" s="9">
        <f t="shared" ref="S60:S93" si="39">$R60*L60</f>
        <v>9.1680294115710738E-7</v>
      </c>
      <c r="T60" s="9">
        <f t="shared" ref="T60:T93" si="40">R60*K60</f>
        <v>6.6152605871065774E-5</v>
      </c>
      <c r="U60" s="9">
        <f t="shared" ref="U60:U93" si="41">$R60*M60</f>
        <v>1.4908319705884287E-4</v>
      </c>
      <c r="V60" s="102">
        <f t="shared" ref="V60:V93" si="42">K60/M60</f>
        <v>0.44372945560696181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40"/>
      <c r="H61" s="140"/>
      <c r="I61" s="54">
        <f t="shared" si="24"/>
        <v>1.0599296125914559</v>
      </c>
      <c r="J61" s="54">
        <f t="shared" si="25"/>
        <v>2.4921150802892003</v>
      </c>
      <c r="K61" s="55">
        <f t="shared" si="26"/>
        <v>8.5731589175718839E-2</v>
      </c>
      <c r="L61" s="55">
        <f t="shared" si="27"/>
        <v>1.0704624509621213E-2</v>
      </c>
      <c r="M61" s="55">
        <f t="shared" si="28"/>
        <v>0.98929537549037883</v>
      </c>
      <c r="N61" s="55">
        <f t="shared" si="29"/>
        <v>4.6409836748501528E-3</v>
      </c>
      <c r="O61" s="56">
        <f t="shared" si="30"/>
        <v>8.6212462366447311E-8</v>
      </c>
      <c r="P61" s="56">
        <f t="shared" si="31"/>
        <v>2.6772265898562656E-5</v>
      </c>
      <c r="Q61" s="56">
        <f t="shared" si="32"/>
        <v>3.6385893952351823E-4</v>
      </c>
      <c r="R61" s="9">
        <f t="shared" si="38"/>
        <v>1.4999999999999999E-4</v>
      </c>
      <c r="S61" s="9">
        <f t="shared" si="39"/>
        <v>1.6056936764431817E-6</v>
      </c>
      <c r="T61" s="9">
        <f t="shared" si="40"/>
        <v>1.2859738376357825E-5</v>
      </c>
      <c r="U61" s="9">
        <f t="shared" si="41"/>
        <v>1.4839430632355681E-4</v>
      </c>
      <c r="V61" s="102">
        <f t="shared" si="42"/>
        <v>8.6659243841327963E-2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40"/>
      <c r="H62" s="140"/>
      <c r="I62" s="54">
        <f t="shared" si="24"/>
        <v>0.76837016932652724</v>
      </c>
      <c r="J62" s="54">
        <f t="shared" si="25"/>
        <v>2.20320821086194</v>
      </c>
      <c r="K62" s="55">
        <f t="shared" si="26"/>
        <v>0.16775359526523445</v>
      </c>
      <c r="L62" s="55">
        <f t="shared" si="27"/>
        <v>1.0769499763246261E-2</v>
      </c>
      <c r="M62" s="55">
        <f t="shared" si="28"/>
        <v>0.98923050023675374</v>
      </c>
      <c r="N62" s="55">
        <f t="shared" si="29"/>
        <v>5.533768708481066E-3</v>
      </c>
      <c r="O62" s="56">
        <f t="shared" si="30"/>
        <v>1.6869453439148843E-7</v>
      </c>
      <c r="P62" s="56">
        <f t="shared" si="31"/>
        <v>2.6934518907878909E-5</v>
      </c>
      <c r="Q62" s="56">
        <f t="shared" si="32"/>
        <v>4.3385440563984784E-4</v>
      </c>
      <c r="R62" s="9">
        <f t="shared" si="38"/>
        <v>1.4999999999999999E-4</v>
      </c>
      <c r="S62" s="9">
        <f t="shared" si="39"/>
        <v>1.6154249644869391E-6</v>
      </c>
      <c r="T62" s="9">
        <f t="shared" si="40"/>
        <v>2.5163039289785167E-5</v>
      </c>
      <c r="U62" s="9">
        <f t="shared" si="41"/>
        <v>1.4838457503551304E-4</v>
      </c>
      <c r="V62" s="102">
        <f t="shared" si="42"/>
        <v>0.16957988580526559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40"/>
      <c r="H63" s="140"/>
      <c r="I63" s="54">
        <f t="shared" si="24"/>
        <v>0.7211484450377651</v>
      </c>
      <c r="J63" s="54">
        <f t="shared" si="25"/>
        <v>2.1368242314772878</v>
      </c>
      <c r="K63" s="55">
        <f t="shared" si="26"/>
        <v>0.1871093496489635</v>
      </c>
      <c r="L63" s="55">
        <f t="shared" si="27"/>
        <v>1.0309443058594181E-2</v>
      </c>
      <c r="M63" s="55">
        <f t="shared" si="28"/>
        <v>0.98969055694140584</v>
      </c>
      <c r="N63" s="55">
        <f t="shared" si="29"/>
        <v>5.1183461768916482E-3</v>
      </c>
      <c r="O63" s="56">
        <f t="shared" si="30"/>
        <v>1.8815885626427199E-7</v>
      </c>
      <c r="P63" s="56">
        <f t="shared" si="31"/>
        <v>2.5783917089544053E-5</v>
      </c>
      <c r="Q63" s="56">
        <f t="shared" si="32"/>
        <v>4.0128475825724173E-4</v>
      </c>
      <c r="R63" s="9">
        <f t="shared" si="38"/>
        <v>1.4999999999999999E-4</v>
      </c>
      <c r="S63" s="9">
        <f t="shared" si="39"/>
        <v>1.5464164587891271E-6</v>
      </c>
      <c r="T63" s="9">
        <f t="shared" si="40"/>
        <v>2.8066402447344522E-5</v>
      </c>
      <c r="U63" s="9">
        <f t="shared" si="41"/>
        <v>1.4845358354121087E-4</v>
      </c>
      <c r="V63" s="102">
        <f t="shared" si="42"/>
        <v>0.18905843683829474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40"/>
      <c r="H64" s="140"/>
      <c r="I64" s="54">
        <f t="shared" si="24"/>
        <v>0.2338148544799136</v>
      </c>
      <c r="J64" s="54">
        <f t="shared" si="25"/>
        <v>1.3847009580887457</v>
      </c>
      <c r="K64" s="55">
        <f t="shared" si="26"/>
        <v>0.57740128622476961</v>
      </c>
      <c r="L64" s="55">
        <f t="shared" si="27"/>
        <v>5.6298158394870179E-3</v>
      </c>
      <c r="M64" s="55">
        <f t="shared" si="28"/>
        <v>0.99437018416051304</v>
      </c>
      <c r="N64" s="55">
        <f t="shared" si="29"/>
        <v>2.796436187836278E-3</v>
      </c>
      <c r="O64" s="56">
        <f t="shared" si="30"/>
        <v>5.8063996174107824E-7</v>
      </c>
      <c r="P64" s="56">
        <f t="shared" si="31"/>
        <v>1.4080169414557033E-5</v>
      </c>
      <c r="Q64" s="56">
        <f t="shared" si="32"/>
        <v>2.1924410362942105E-4</v>
      </c>
      <c r="R64" s="9">
        <f t="shared" si="38"/>
        <v>1.4999999999999999E-4</v>
      </c>
      <c r="S64" s="9">
        <f t="shared" si="39"/>
        <v>8.4447237592305265E-7</v>
      </c>
      <c r="T64" s="9">
        <f t="shared" si="40"/>
        <v>8.661019293371543E-5</v>
      </c>
      <c r="U64" s="9">
        <f t="shared" si="41"/>
        <v>1.4915552762407693E-4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40"/>
      <c r="H65" s="140"/>
      <c r="I65" s="54">
        <f t="shared" si="24"/>
        <v>1.2834731216469764</v>
      </c>
      <c r="J65" s="54">
        <f t="shared" si="25"/>
        <v>2.8316859841390225</v>
      </c>
      <c r="K65" s="55">
        <f t="shared" si="26"/>
        <v>5.1071184983801116E-2</v>
      </c>
      <c r="L65" s="55">
        <f t="shared" si="27"/>
        <v>1.3937260016056267E-2</v>
      </c>
      <c r="M65" s="55">
        <f t="shared" si="28"/>
        <v>0.98606273998394378</v>
      </c>
      <c r="N65" s="55">
        <f t="shared" si="29"/>
        <v>8.5575235172452961E-3</v>
      </c>
      <c r="O65" s="56">
        <f t="shared" si="30"/>
        <v>5.1357646064408262E-8</v>
      </c>
      <c r="P65" s="56">
        <f t="shared" si="31"/>
        <v>3.485708730015675E-5</v>
      </c>
      <c r="Q65" s="56">
        <f t="shared" si="32"/>
        <v>6.7092057418904341E-4</v>
      </c>
      <c r="R65" s="9">
        <f t="shared" si="38"/>
        <v>1.4999999999999999E-4</v>
      </c>
      <c r="S65" s="9">
        <f t="shared" si="39"/>
        <v>2.0905890024084398E-6</v>
      </c>
      <c r="T65" s="9">
        <f t="shared" si="40"/>
        <v>7.6606777475701659E-6</v>
      </c>
      <c r="U65" s="9">
        <f t="shared" si="41"/>
        <v>1.4790941099759156E-4</v>
      </c>
      <c r="V65" s="102">
        <f t="shared" si="42"/>
        <v>5.179303802173147E-2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40"/>
      <c r="H66" s="14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40"/>
      <c r="H67" s="14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40"/>
      <c r="H68" s="140"/>
      <c r="I68" s="54">
        <f t="shared" si="24"/>
        <v>0.33491051106253611</v>
      </c>
      <c r="J68" s="54">
        <f t="shared" si="25"/>
        <v>1.4941370637576192</v>
      </c>
      <c r="K68" s="55">
        <f t="shared" si="26"/>
        <v>0.45744057510451319</v>
      </c>
      <c r="L68" s="55">
        <f t="shared" si="27"/>
        <v>5.7383526108834527E-3</v>
      </c>
      <c r="M68" s="55">
        <f t="shared" si="28"/>
        <v>0.9942616473891166</v>
      </c>
      <c r="N68" s="55">
        <f t="shared" si="29"/>
        <v>1.7586234124669824E-3</v>
      </c>
      <c r="O68" s="56">
        <f t="shared" si="30"/>
        <v>4.6000638440577692E-7</v>
      </c>
      <c r="P68" s="56">
        <f t="shared" si="31"/>
        <v>1.4351619879819518E-5</v>
      </c>
      <c r="Q68" s="56">
        <f t="shared" si="32"/>
        <v>1.3787828070783458E-4</v>
      </c>
      <c r="R68" s="9">
        <f>F68*$C$14</f>
        <v>1.4999999999999999E-4</v>
      </c>
      <c r="S68" s="9">
        <f t="shared" si="39"/>
        <v>8.6075289163251781E-7</v>
      </c>
      <c r="T68" s="9">
        <f t="shared" si="40"/>
        <v>6.861608626567697E-5</v>
      </c>
      <c r="U68" s="9">
        <f t="shared" si="41"/>
        <v>1.4913924710836747E-4</v>
      </c>
      <c r="V68" s="102">
        <f t="shared" si="42"/>
        <v>0.46008068027740001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40"/>
      <c r="H69" s="140"/>
      <c r="I69" s="54">
        <f t="shared" si="24"/>
        <v>2.1724337273682748</v>
      </c>
      <c r="J69" s="54">
        <f t="shared" si="25"/>
        <v>3.7639896073264434</v>
      </c>
      <c r="K69" s="55">
        <f t="shared" si="26"/>
        <v>6.5853754134277739E-3</v>
      </c>
      <c r="L69" s="55">
        <f t="shared" si="27"/>
        <v>1.5377496212994774E-2</v>
      </c>
      <c r="M69" s="55">
        <f t="shared" si="28"/>
        <v>0.98462250378700522</v>
      </c>
      <c r="N69" s="55">
        <f t="shared" si="29"/>
        <v>1.0016585546741164E-2</v>
      </c>
      <c r="O69" s="56">
        <f t="shared" si="30"/>
        <v>6.6223131456878076E-9</v>
      </c>
      <c r="P69" s="56">
        <f t="shared" si="31"/>
        <v>3.8459118028699958E-5</v>
      </c>
      <c r="Q69" s="56">
        <f t="shared" si="32"/>
        <v>7.8531286684638409E-4</v>
      </c>
      <c r="R69" s="9">
        <f>F69*$C$14</f>
        <v>1.4999999999999999E-4</v>
      </c>
      <c r="S69" s="9">
        <f t="shared" si="39"/>
        <v>2.3066244319492159E-6</v>
      </c>
      <c r="T69" s="9">
        <f t="shared" si="40"/>
        <v>9.878063120141659E-7</v>
      </c>
      <c r="U69" s="9">
        <f t="shared" si="41"/>
        <v>1.4769337556805076E-4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40"/>
      <c r="H70" s="140"/>
      <c r="I70" s="54">
        <f t="shared" si="24"/>
        <v>6.2122287627494992E-2</v>
      </c>
      <c r="J70" s="54">
        <f t="shared" si="25"/>
        <v>0.68019675641126665</v>
      </c>
      <c r="K70" s="55">
        <f t="shared" si="26"/>
        <v>0.86079918143889755</v>
      </c>
      <c r="L70" s="55">
        <f t="shared" si="27"/>
        <v>1.6573494376642391E-3</v>
      </c>
      <c r="M70" s="55">
        <f t="shared" si="28"/>
        <v>0.99834265056233573</v>
      </c>
      <c r="N70" s="55">
        <f t="shared" si="29"/>
        <v>3.5377489596248092E-4</v>
      </c>
      <c r="O70" s="56">
        <f t="shared" si="30"/>
        <v>8.6562745130925487E-7</v>
      </c>
      <c r="P70" s="56">
        <f t="shared" si="31"/>
        <v>4.1450309435982613E-6</v>
      </c>
      <c r="Q70" s="56">
        <f t="shared" si="32"/>
        <v>2.7736395448343725E-5</v>
      </c>
      <c r="R70" s="9">
        <f t="shared" ref="R70:R86" si="43">F70*$C$14</f>
        <v>1.4999999999999999E-4</v>
      </c>
      <c r="S70" s="9">
        <f t="shared" si="39"/>
        <v>2.4860241564963585E-7</v>
      </c>
      <c r="T70" s="9">
        <f t="shared" si="40"/>
        <v>1.2911987721583463E-4</v>
      </c>
      <c r="U70" s="9">
        <f t="shared" si="41"/>
        <v>1.4975139758435034E-4</v>
      </c>
      <c r="V70" s="102">
        <f t="shared" si="42"/>
        <v>0.86222819485277513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40"/>
      <c r="H71" s="14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1.3367435070507094</v>
      </c>
      <c r="K71" s="55">
        <f t="shared" ref="K71:K122" si="46">IF(D71=0,"",1/(1+10^D71*$J$15/$J$14+10^E71*$J$16/$J$14+10^J71*$J$19/$J$14))</f>
        <v>0.58894960408570818</v>
      </c>
      <c r="L71" s="55">
        <f t="shared" ref="L71:L122" si="47">IF(D71=0,"",1/(1+10^I71/10^J71*$J$13/$J$19))</f>
        <v>5.1420598206788452E-3</v>
      </c>
      <c r="M71" s="55">
        <f t="shared" si="19"/>
        <v>0.99485794017932117</v>
      </c>
      <c r="N71" s="55">
        <f t="shared" ref="N71:N122" si="48">IF(D71=0,"",1/(1/10^E71*$J$20/$J$22+10^D71/10^E71*$J$21/$J$22+10^I71/10^E71*$J$13/$J$22+1))</f>
        <v>2.2676827724844272E-3</v>
      </c>
      <c r="O71" s="56">
        <f t="shared" si="21"/>
        <v>5.9225305475095229E-7</v>
      </c>
      <c r="P71" s="56">
        <f t="shared" ref="P71:P122" si="49">IF(D71=0,"",O71*10^J71)</f>
        <v>1.2860291611517791E-5</v>
      </c>
      <c r="Q71" s="56">
        <f t="shared" ref="Q71:Q122" si="50">IF(D71=0,"",F71*N71*$J$7/$J$22)</f>
        <v>1.7778917285214896E-4</v>
      </c>
      <c r="R71" s="9">
        <f t="shared" si="43"/>
        <v>1.4999999999999999E-4</v>
      </c>
      <c r="S71" s="9">
        <f t="shared" si="39"/>
        <v>7.7130897310182667E-7</v>
      </c>
      <c r="T71" s="9">
        <f t="shared" si="40"/>
        <v>8.8342440612856221E-5</v>
      </c>
      <c r="U71" s="9">
        <f t="shared" si="41"/>
        <v>1.4922869102689817E-4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40"/>
      <c r="H72" s="140"/>
      <c r="I72" s="54">
        <f t="shared" si="44"/>
        <v>0.32073739190116707</v>
      </c>
      <c r="J72" s="54">
        <f t="shared" si="45"/>
        <v>1.483039277776858</v>
      </c>
      <c r="K72" s="55">
        <f t="shared" si="46"/>
        <v>0.4725960566659661</v>
      </c>
      <c r="L72" s="55">
        <f t="shared" si="47"/>
        <v>5.7788956822273363E-3</v>
      </c>
      <c r="M72" s="55">
        <f t="shared" si="19"/>
        <v>0.99422110431777266</v>
      </c>
      <c r="N72" s="55">
        <f t="shared" si="48"/>
        <v>1.9611971801990059E-3</v>
      </c>
      <c r="O72" s="56">
        <f t="shared" si="21"/>
        <v>4.7524687389541066E-7</v>
      </c>
      <c r="P72" s="56">
        <f t="shared" si="49"/>
        <v>1.4453018101250574E-5</v>
      </c>
      <c r="Q72" s="56">
        <f t="shared" si="50"/>
        <v>1.5376031810901921E-4</v>
      </c>
      <c r="R72" s="9">
        <f t="shared" si="43"/>
        <v>1.4999999999999999E-4</v>
      </c>
      <c r="S72" s="9">
        <f t="shared" si="39"/>
        <v>8.6683435233410039E-7</v>
      </c>
      <c r="T72" s="9">
        <f t="shared" si="40"/>
        <v>7.0889408499894913E-5</v>
      </c>
      <c r="U72" s="9">
        <f t="shared" si="41"/>
        <v>1.4913316564766588E-4</v>
      </c>
      <c r="V72" s="102">
        <f t="shared" si="42"/>
        <v>0.47534301435922355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40"/>
      <c r="H73" s="140"/>
      <c r="I73" s="54">
        <f t="shared" si="44"/>
        <v>3.8293839195374848</v>
      </c>
      <c r="J73" s="54">
        <f t="shared" si="45"/>
        <v>5.6236352715565152</v>
      </c>
      <c r="K73" s="55">
        <f t="shared" si="46"/>
        <v>1.4377268183389015E-4</v>
      </c>
      <c r="L73" s="55">
        <f t="shared" si="47"/>
        <v>2.4301166941938689E-2</v>
      </c>
      <c r="M73" s="55">
        <f t="shared" si="19"/>
        <v>0.97569883305806127</v>
      </c>
      <c r="N73" s="55">
        <f t="shared" si="48"/>
        <v>2.1706536878107256E-2</v>
      </c>
      <c r="O73" s="56">
        <f t="shared" si="21"/>
        <v>1.4457911070004995E-10</v>
      </c>
      <c r="P73" s="56">
        <f t="shared" si="49"/>
        <v>6.0777218521788674E-5</v>
      </c>
      <c r="Q73" s="56">
        <f t="shared" si="50"/>
        <v>1.7018197094716692E-3</v>
      </c>
      <c r="R73" s="9">
        <f t="shared" si="43"/>
        <v>1.4999999999999999E-4</v>
      </c>
      <c r="S73" s="9">
        <f t="shared" si="39"/>
        <v>3.6451750412908032E-6</v>
      </c>
      <c r="T73" s="9">
        <f t="shared" si="40"/>
        <v>2.156590227508352E-8</v>
      </c>
      <c r="U73" s="9">
        <f t="shared" si="41"/>
        <v>1.4635482495870919E-4</v>
      </c>
      <c r="V73" s="102">
        <f t="shared" si="42"/>
        <v>1.4735354492868868E-4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40"/>
      <c r="H74" s="140"/>
      <c r="I74" s="54">
        <f t="shared" si="44"/>
        <v>3.8037572032670899E-2</v>
      </c>
      <c r="J74" s="54">
        <f t="shared" si="45"/>
        <v>0.52922244534276219</v>
      </c>
      <c r="K74" s="55">
        <f t="shared" si="46"/>
        <v>0.91026734513862195</v>
      </c>
      <c r="L74" s="55">
        <f t="shared" si="47"/>
        <v>1.2379607973051082E-3</v>
      </c>
      <c r="M74" s="55">
        <f t="shared" si="19"/>
        <v>0.99876203920269491</v>
      </c>
      <c r="N74" s="55">
        <f t="shared" si="48"/>
        <v>2.8831094509766648E-4</v>
      </c>
      <c r="O74" s="56">
        <f t="shared" si="21"/>
        <v>9.1537308465519125E-7</v>
      </c>
      <c r="P74" s="56">
        <f t="shared" si="49"/>
        <v>3.0961399540600756E-6</v>
      </c>
      <c r="Q74" s="56">
        <f t="shared" si="50"/>
        <v>2.260393961408351E-5</v>
      </c>
      <c r="R74" s="9">
        <f t="shared" si="43"/>
        <v>1.4999999999999999E-4</v>
      </c>
      <c r="S74" s="9">
        <f t="shared" si="39"/>
        <v>1.8569411959576621E-7</v>
      </c>
      <c r="T74" s="9">
        <f t="shared" si="40"/>
        <v>1.3654010177079328E-4</v>
      </c>
      <c r="U74" s="9">
        <f t="shared" si="41"/>
        <v>1.4981430588040422E-4</v>
      </c>
      <c r="V74" s="102">
        <f t="shared" si="42"/>
        <v>0.91139561718353079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40"/>
      <c r="H75" s="140"/>
      <c r="I75" s="54">
        <f t="shared" si="44"/>
        <v>4.0258976380178252E-2</v>
      </c>
      <c r="J75" s="54">
        <f t="shared" si="45"/>
        <v>0.53967320644667971</v>
      </c>
      <c r="K75" s="55">
        <f t="shared" si="46"/>
        <v>0.90560179399750496</v>
      </c>
      <c r="L75" s="55">
        <f t="shared" si="47"/>
        <v>1.2616124443475996E-3</v>
      </c>
      <c r="M75" s="55">
        <f t="shared" si="19"/>
        <v>0.99873838755565236</v>
      </c>
      <c r="N75" s="55">
        <f t="shared" si="48"/>
        <v>2.7353974691391093E-4</v>
      </c>
      <c r="O75" s="56">
        <f t="shared" si="21"/>
        <v>9.1068136418156445E-7</v>
      </c>
      <c r="P75" s="56">
        <f t="shared" si="49"/>
        <v>3.1552927233133472E-6</v>
      </c>
      <c r="Q75" s="56">
        <f t="shared" si="50"/>
        <v>2.1445859154598473E-5</v>
      </c>
      <c r="R75" s="9">
        <f t="shared" si="43"/>
        <v>1.4999999999999999E-4</v>
      </c>
      <c r="S75" s="9">
        <f t="shared" si="39"/>
        <v>1.8924186665213992E-7</v>
      </c>
      <c r="T75" s="9">
        <f t="shared" si="40"/>
        <v>1.3584026909962572E-4</v>
      </c>
      <c r="U75" s="9">
        <f t="shared" si="41"/>
        <v>1.4981075813334785E-4</v>
      </c>
      <c r="V75" s="102">
        <f t="shared" si="42"/>
        <v>0.90674575572678928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40"/>
      <c r="H76" s="140"/>
      <c r="I76" s="54">
        <f t="shared" si="44"/>
        <v>1.137117589232139</v>
      </c>
      <c r="J76" s="54">
        <f t="shared" si="45"/>
        <v>2.6359556091931937</v>
      </c>
      <c r="K76" s="55">
        <f t="shared" si="46"/>
        <v>7.1644429407483293E-2</v>
      </c>
      <c r="L76" s="55">
        <f t="shared" si="47"/>
        <v>1.2458149005029678E-2</v>
      </c>
      <c r="M76" s="55">
        <f t="shared" si="19"/>
        <v>0.98754185099497027</v>
      </c>
      <c r="N76" s="55">
        <f t="shared" si="48"/>
        <v>6.8118895064163479E-3</v>
      </c>
      <c r="O76" s="56">
        <f t="shared" si="21"/>
        <v>7.2046286945624605E-8</v>
      </c>
      <c r="P76" s="56">
        <f t="shared" si="49"/>
        <v>3.1157830661579241E-5</v>
      </c>
      <c r="Q76" s="56">
        <f t="shared" si="50"/>
        <v>5.3406067885728174E-4</v>
      </c>
      <c r="R76" s="9">
        <f t="shared" si="43"/>
        <v>1.4999999999999999E-4</v>
      </c>
      <c r="S76" s="9">
        <f t="shared" si="39"/>
        <v>1.8687223507544516E-6</v>
      </c>
      <c r="T76" s="9">
        <f t="shared" si="40"/>
        <v>1.0746664411122493E-5</v>
      </c>
      <c r="U76" s="9">
        <f t="shared" si="41"/>
        <v>1.4813127764924552E-4</v>
      </c>
      <c r="V76" s="102">
        <f t="shared" si="42"/>
        <v>7.2548246269563105E-2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40"/>
      <c r="H77" s="140"/>
      <c r="I77" s="54">
        <f t="shared" si="44"/>
        <v>2.0958974367173925E-3</v>
      </c>
      <c r="J77" s="54">
        <f t="shared" si="45"/>
        <v>4.4538856592537125E-2</v>
      </c>
      <c r="K77" s="55">
        <f t="shared" si="46"/>
        <v>0.98959410683021531</v>
      </c>
      <c r="L77" s="55">
        <f t="shared" si="47"/>
        <v>4.4087090670962014E-4</v>
      </c>
      <c r="M77" s="55">
        <f t="shared" si="19"/>
        <v>0.99955912909329037</v>
      </c>
      <c r="N77" s="55">
        <f t="shared" si="48"/>
        <v>1.9273618880532057E-5</v>
      </c>
      <c r="O77" s="56">
        <f t="shared" si="21"/>
        <v>9.9514479450850128E-7</v>
      </c>
      <c r="P77" s="56">
        <f t="shared" si="49"/>
        <v>1.1026181376807598E-6</v>
      </c>
      <c r="Q77" s="56">
        <f t="shared" si="50"/>
        <v>1.5110758877808988E-6</v>
      </c>
      <c r="R77" s="9">
        <f t="shared" si="43"/>
        <v>1.4999999999999999E-4</v>
      </c>
      <c r="S77" s="9">
        <f t="shared" si="39"/>
        <v>6.6130636006443011E-8</v>
      </c>
      <c r="T77" s="9">
        <f t="shared" si="40"/>
        <v>1.4843911602453229E-4</v>
      </c>
      <c r="U77" s="9">
        <f t="shared" si="41"/>
        <v>1.4993386936399354E-4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0.8649751353960996</v>
      </c>
      <c r="K78" s="55">
        <f t="shared" si="46"/>
        <v>0.81085390740882746</v>
      </c>
      <c r="L78" s="55">
        <f t="shared" si="47"/>
        <v>2.3890939735057232E-3</v>
      </c>
      <c r="M78" s="55">
        <f t="shared" si="19"/>
        <v>0.99761090602649427</v>
      </c>
      <c r="N78" s="55">
        <f t="shared" si="48"/>
        <v>8.2594623998499079E-4</v>
      </c>
      <c r="O78" s="56">
        <f t="shared" si="21"/>
        <v>8.1540203149493471E-7</v>
      </c>
      <c r="P78" s="56">
        <f t="shared" si="49"/>
        <v>5.9751240277378146E-6</v>
      </c>
      <c r="Q78" s="56">
        <f t="shared" si="50"/>
        <v>6.4755220884089718E-5</v>
      </c>
      <c r="R78" s="9">
        <f t="shared" si="43"/>
        <v>1.4999999999999999E-4</v>
      </c>
      <c r="S78" s="9">
        <f t="shared" si="39"/>
        <v>3.5836409602585846E-7</v>
      </c>
      <c r="T78" s="9">
        <f t="shared" si="40"/>
        <v>1.2162808611132411E-4</v>
      </c>
      <c r="U78" s="9">
        <f t="shared" si="41"/>
        <v>1.4964163590397412E-4</v>
      </c>
      <c r="V78" s="102">
        <f t="shared" si="42"/>
        <v>0.81279575284363725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1.8262123505679773</v>
      </c>
      <c r="K79" s="55">
        <f t="shared" si="46"/>
        <v>0.30722604771295925</v>
      </c>
      <c r="L79" s="55">
        <f t="shared" si="47"/>
        <v>8.2791522287725839E-3</v>
      </c>
      <c r="M79" s="55">
        <f t="shared" si="19"/>
        <v>0.99172084777122738</v>
      </c>
      <c r="N79" s="55">
        <f t="shared" si="48"/>
        <v>3.6265544339251499E-3</v>
      </c>
      <c r="O79" s="56">
        <f t="shared" si="21"/>
        <v>3.0894929548264446E-7</v>
      </c>
      <c r="P79" s="56">
        <f t="shared" si="49"/>
        <v>2.0706159724160223E-5</v>
      </c>
      <c r="Q79" s="56">
        <f t="shared" si="50"/>
        <v>2.8432641502341066E-4</v>
      </c>
      <c r="R79" s="9">
        <f t="shared" si="43"/>
        <v>1.4999999999999999E-4</v>
      </c>
      <c r="S79" s="9">
        <f t="shared" si="39"/>
        <v>1.2418728343158874E-6</v>
      </c>
      <c r="T79" s="9">
        <f t="shared" si="40"/>
        <v>4.6083907156943882E-5</v>
      </c>
      <c r="U79" s="9">
        <f t="shared" si="41"/>
        <v>1.487581271656841E-4</v>
      </c>
      <c r="V79" s="102">
        <f t="shared" si="42"/>
        <v>0.3097908533468996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4.65500335522374</v>
      </c>
      <c r="K80" s="55">
        <f t="shared" si="46"/>
        <v>1.0274036220624654E-3</v>
      </c>
      <c r="L80" s="55">
        <f t="shared" si="47"/>
        <v>1.8666372629278942E-2</v>
      </c>
      <c r="M80" s="55">
        <f t="shared" si="19"/>
        <v>0.98133362737072105</v>
      </c>
      <c r="N80" s="55">
        <f t="shared" si="48"/>
        <v>1.4293653800397585E-2</v>
      </c>
      <c r="O80" s="56">
        <f t="shared" si="21"/>
        <v>1.033166385387598E-9</v>
      </c>
      <c r="P80" s="56">
        <f t="shared" si="49"/>
        <v>4.6684597945826624E-5</v>
      </c>
      <c r="Q80" s="56">
        <f t="shared" si="50"/>
        <v>1.1206403810280364E-3</v>
      </c>
      <c r="R80" s="9">
        <f t="shared" si="43"/>
        <v>1.4999999999999999E-4</v>
      </c>
      <c r="S80" s="9">
        <f t="shared" si="39"/>
        <v>2.799955894391841E-6</v>
      </c>
      <c r="T80" s="9">
        <f t="shared" si="40"/>
        <v>1.5411054330936979E-7</v>
      </c>
      <c r="U80" s="9">
        <f t="shared" si="41"/>
        <v>1.4720004410560814E-4</v>
      </c>
      <c r="V80" s="102">
        <f t="shared" si="42"/>
        <v>1.0469463120459648E-3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2.0806048106090933</v>
      </c>
      <c r="K81" s="55">
        <f t="shared" si="46"/>
        <v>0.22340181735370573</v>
      </c>
      <c r="L81" s="55">
        <f t="shared" si="47"/>
        <v>1.0814513718227406E-2</v>
      </c>
      <c r="M81" s="55">
        <f t="shared" si="19"/>
        <v>0.98918548628177261</v>
      </c>
      <c r="N81" s="55">
        <f t="shared" si="48"/>
        <v>6.1407988019112139E-3</v>
      </c>
      <c r="O81" s="56">
        <f t="shared" si="21"/>
        <v>2.2465489041298647E-7</v>
      </c>
      <c r="P81" s="56">
        <f t="shared" si="49"/>
        <v>2.7047098809286742E-5</v>
      </c>
      <c r="Q81" s="56">
        <f t="shared" si="50"/>
        <v>4.8144632613103278E-4</v>
      </c>
      <c r="R81" s="9">
        <f t="shared" si="43"/>
        <v>1.4999999999999999E-4</v>
      </c>
      <c r="S81" s="9">
        <f t="shared" si="39"/>
        <v>1.6221770577341108E-6</v>
      </c>
      <c r="T81" s="9">
        <f t="shared" si="40"/>
        <v>3.3510272603055854E-5</v>
      </c>
      <c r="U81" s="9">
        <f t="shared" si="41"/>
        <v>1.4837782294226587E-4</v>
      </c>
      <c r="V81" s="102">
        <f t="shared" si="42"/>
        <v>0.22584421269002428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2.9002106257320843</v>
      </c>
      <c r="K82" s="55">
        <f t="shared" si="46"/>
        <v>4.7596415898345845E-2</v>
      </c>
      <c r="L82" s="55">
        <f t="shared" si="47"/>
        <v>1.5208989497697762E-2</v>
      </c>
      <c r="M82" s="55">
        <f t="shared" si="19"/>
        <v>0.98479101050230222</v>
      </c>
      <c r="N82" s="55">
        <f t="shared" si="48"/>
        <v>1.0198314888096483E-2</v>
      </c>
      <c r="O82" s="56">
        <f t="shared" si="21"/>
        <v>4.7863386808372544E-8</v>
      </c>
      <c r="P82" s="56">
        <f t="shared" si="49"/>
        <v>3.8037682733742108E-5</v>
      </c>
      <c r="Q82" s="56">
        <f t="shared" si="50"/>
        <v>7.9956067508242339E-4</v>
      </c>
      <c r="R82" s="9">
        <f t="shared" si="43"/>
        <v>1.4999999999999999E-4</v>
      </c>
      <c r="S82" s="9">
        <f t="shared" si="39"/>
        <v>2.2813484246546641E-6</v>
      </c>
      <c r="T82" s="9">
        <f t="shared" si="40"/>
        <v>7.1394623847518763E-6</v>
      </c>
      <c r="U82" s="9">
        <f t="shared" si="41"/>
        <v>1.4771865157534533E-4</v>
      </c>
      <c r="V82" s="102">
        <f t="shared" si="42"/>
        <v>4.8331489007062349E-2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2.2648778324590841</v>
      </c>
      <c r="K83" s="55">
        <f t="shared" si="46"/>
        <v>0.16170495665682419</v>
      </c>
      <c r="L83" s="55">
        <f t="shared" si="47"/>
        <v>1.1965108696459356E-2</v>
      </c>
      <c r="M83" s="55">
        <f t="shared" si="19"/>
        <v>0.98803489130354061</v>
      </c>
      <c r="N83" s="55">
        <f t="shared" si="48"/>
        <v>7.048967348736725E-3</v>
      </c>
      <c r="O83" s="56">
        <f t="shared" si="21"/>
        <v>1.6261196863702668E-7</v>
      </c>
      <c r="P83" s="56">
        <f t="shared" si="49"/>
        <v>2.9924736849844853E-5</v>
      </c>
      <c r="Q83" s="56">
        <f t="shared" si="50"/>
        <v>5.526478789714905E-4</v>
      </c>
      <c r="R83" s="9">
        <f t="shared" si="43"/>
        <v>1.4999999999999999E-4</v>
      </c>
      <c r="S83" s="9">
        <f t="shared" si="39"/>
        <v>1.7947663044689032E-6</v>
      </c>
      <c r="T83" s="9">
        <f t="shared" si="40"/>
        <v>2.4255743498523626E-5</v>
      </c>
      <c r="U83" s="9">
        <f t="shared" si="41"/>
        <v>1.4820523369553107E-4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0.678648535608118</v>
      </c>
      <c r="K84" s="55">
        <f t="shared" si="46"/>
        <v>0.87220123039817421</v>
      </c>
      <c r="L84" s="55">
        <f t="shared" si="47"/>
        <v>1.67332659714983E-3</v>
      </c>
      <c r="M84" s="55">
        <f t="shared" si="19"/>
        <v>0.9983266734028502</v>
      </c>
      <c r="N84" s="55">
        <f t="shared" si="48"/>
        <v>4.8704810907505006E-4</v>
      </c>
      <c r="O84" s="56">
        <f t="shared" si="21"/>
        <v>8.7709345498716683E-7</v>
      </c>
      <c r="P84" s="56">
        <f t="shared" si="49"/>
        <v>4.1849898194717238E-6</v>
      </c>
      <c r="Q84" s="56">
        <f t="shared" si="50"/>
        <v>3.818518247011599E-5</v>
      </c>
      <c r="R84" s="9">
        <f t="shared" si="43"/>
        <v>1.4999999999999999E-4</v>
      </c>
      <c r="S84" s="9">
        <f t="shared" si="39"/>
        <v>2.5099898957247447E-7</v>
      </c>
      <c r="T84" s="9">
        <f t="shared" si="40"/>
        <v>1.3083018455972611E-4</v>
      </c>
      <c r="U84" s="9">
        <f t="shared" si="41"/>
        <v>1.4974900101042752E-4</v>
      </c>
      <c r="V84" s="102">
        <f t="shared" si="42"/>
        <v>0.8736631541910318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0.61860589125383414</v>
      </c>
      <c r="J85" s="54">
        <f t="shared" si="45"/>
        <v>2.0597542825278099</v>
      </c>
      <c r="K85" s="55">
        <f t="shared" si="46"/>
        <v>0.23679234840438654</v>
      </c>
      <c r="L85" s="55">
        <f t="shared" si="47"/>
        <v>1.0925402124519002E-2</v>
      </c>
      <c r="M85" s="55">
        <f t="shared" si="19"/>
        <v>0.98907459787548102</v>
      </c>
      <c r="N85" s="55">
        <f t="shared" si="48"/>
        <v>6.4186520161395545E-3</v>
      </c>
      <c r="O85" s="56">
        <f t="shared" si="21"/>
        <v>2.3812052968752966E-7</v>
      </c>
      <c r="P85" s="56">
        <f t="shared" si="49"/>
        <v>2.7324430713422029E-5</v>
      </c>
      <c r="Q85" s="56">
        <f t="shared" si="50"/>
        <v>5.0323036653181902E-4</v>
      </c>
      <c r="R85" s="9">
        <f t="shared" si="43"/>
        <v>1.4999999999999999E-4</v>
      </c>
      <c r="S85" s="9">
        <f t="shared" si="39"/>
        <v>1.63881031867785E-6</v>
      </c>
      <c r="T85" s="9">
        <f t="shared" si="40"/>
        <v>3.5518852260657976E-5</v>
      </c>
      <c r="U85" s="9">
        <f t="shared" si="41"/>
        <v>1.4836118968132215E-4</v>
      </c>
      <c r="V85" s="102">
        <f t="shared" si="42"/>
        <v>0.23940797682299528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1.435139969210834</v>
      </c>
      <c r="K86" s="55">
        <f t="shared" si="46"/>
        <v>0.54131739923801969</v>
      </c>
      <c r="L86" s="55">
        <f t="shared" si="47"/>
        <v>5.9279896855334363E-3</v>
      </c>
      <c r="M86" s="55">
        <f t="shared" si="19"/>
        <v>0.99407201031446657</v>
      </c>
      <c r="N86" s="55">
        <f t="shared" si="48"/>
        <v>2.8339889539481474E-3</v>
      </c>
      <c r="O86" s="56">
        <f t="shared" si="21"/>
        <v>5.443536782510553E-7</v>
      </c>
      <c r="P86" s="56">
        <f t="shared" si="49"/>
        <v>1.4825902203519124E-5</v>
      </c>
      <c r="Q86" s="56">
        <f t="shared" si="50"/>
        <v>2.2218828758069958E-4</v>
      </c>
      <c r="R86" s="9">
        <f t="shared" si="43"/>
        <v>1.4999999999999999E-4</v>
      </c>
      <c r="S86" s="9">
        <f t="shared" si="39"/>
        <v>8.8919845283001541E-7</v>
      </c>
      <c r="T86" s="9">
        <f t="shared" si="40"/>
        <v>8.119760988570295E-5</v>
      </c>
      <c r="U86" s="9">
        <f t="shared" si="41"/>
        <v>1.4911080154716996E-4</v>
      </c>
      <c r="V86" s="102">
        <f t="shared" si="42"/>
        <v>0.54454545910288565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3.8436743524136028</v>
      </c>
      <c r="K88" s="55">
        <f t="shared" si="46"/>
        <v>7.1223319025128917E-3</v>
      </c>
      <c r="L88" s="55">
        <f t="shared" si="47"/>
        <v>1.9980761872432633E-2</v>
      </c>
      <c r="M88" s="55">
        <f t="shared" si="19"/>
        <v>0.98001923812756742</v>
      </c>
      <c r="N88" s="55">
        <f t="shared" si="48"/>
        <v>1.6084826274431026E-2</v>
      </c>
      <c r="O88" s="56">
        <f t="shared" si="21"/>
        <v>7.1622814532014796E-9</v>
      </c>
      <c r="P88" s="56">
        <f t="shared" si="49"/>
        <v>4.9971885442954017E-5</v>
      </c>
      <c r="Q88" s="56">
        <f t="shared" si="50"/>
        <v>1.2610705489765517E-3</v>
      </c>
      <c r="R88" s="9">
        <f>F88*$C$14</f>
        <v>1.4999999999999999E-4</v>
      </c>
      <c r="S88" s="9">
        <f t="shared" si="39"/>
        <v>2.9971142808648945E-6</v>
      </c>
      <c r="T88" s="9">
        <f t="shared" si="40"/>
        <v>1.0683497853769338E-6</v>
      </c>
      <c r="U88" s="9">
        <f t="shared" si="41"/>
        <v>1.4700288571913511E-4</v>
      </c>
      <c r="V88" s="102">
        <f t="shared" si="42"/>
        <v>7.2675429475454745E-3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5.2954798864379393</v>
      </c>
      <c r="K89" s="55">
        <f t="shared" si="46"/>
        <v>2.9290724971649761E-4</v>
      </c>
      <c r="L89" s="55">
        <f t="shared" si="47"/>
        <v>2.3255489801813963E-2</v>
      </c>
      <c r="M89" s="55">
        <f t="shared" si="19"/>
        <v>0.97674451019818609</v>
      </c>
      <c r="N89" s="55">
        <f t="shared" si="48"/>
        <v>2.033074473568313E-2</v>
      </c>
      <c r="O89" s="56">
        <f t="shared" si="21"/>
        <v>2.9455018256205562E-10</v>
      </c>
      <c r="P89" s="56">
        <f t="shared" si="49"/>
        <v>5.816197999433676E-5</v>
      </c>
      <c r="Q89" s="56">
        <f t="shared" si="50"/>
        <v>1.5939558803744049E-3</v>
      </c>
      <c r="R89" s="9">
        <f>F89*$C$14</f>
        <v>1.4999999999999999E-4</v>
      </c>
      <c r="S89" s="9">
        <f t="shared" si="39"/>
        <v>3.488323470272094E-6</v>
      </c>
      <c r="T89" s="9">
        <f t="shared" si="40"/>
        <v>4.3936087457474635E-8</v>
      </c>
      <c r="U89" s="9">
        <f t="shared" si="41"/>
        <v>1.465116765297279E-4</v>
      </c>
      <c r="V89" s="102">
        <f t="shared" si="42"/>
        <v>2.9988113233118182E-4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5.6689287455654798</v>
      </c>
      <c r="K90" s="55">
        <f t="shared" si="46"/>
        <v>1.3189098184561107E-4</v>
      </c>
      <c r="L90" s="55">
        <f t="shared" si="47"/>
        <v>2.4743397404649547E-2</v>
      </c>
      <c r="M90" s="55">
        <f t="shared" si="19"/>
        <v>0.97525660259535041</v>
      </c>
      <c r="N90" s="55">
        <f t="shared" si="48"/>
        <v>2.2288881121636194E-2</v>
      </c>
      <c r="O90" s="56">
        <f t="shared" si="21"/>
        <v>1.3263076560417896E-10</v>
      </c>
      <c r="P90" s="56">
        <f t="shared" si="49"/>
        <v>6.1883236909028572E-5</v>
      </c>
      <c r="Q90" s="56">
        <f t="shared" si="50"/>
        <v>1.7474762283765557E-3</v>
      </c>
      <c r="R90" s="9">
        <f>F90*$C$14</f>
        <v>1.4999999999999999E-4</v>
      </c>
      <c r="S90" s="9">
        <f t="shared" si="39"/>
        <v>3.7115096106974316E-6</v>
      </c>
      <c r="T90" s="9">
        <f t="shared" si="40"/>
        <v>1.9783647276841658E-8</v>
      </c>
      <c r="U90" s="9">
        <f t="shared" si="41"/>
        <v>1.4628849038930255E-4</v>
      </c>
      <c r="V90" s="102">
        <f t="shared" si="42"/>
        <v>1.3523720987340473E-4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6.0939707025144498</v>
      </c>
      <c r="K91" s="55">
        <f t="shared" si="46"/>
        <v>5.2314185109483942E-5</v>
      </c>
      <c r="L91" s="55">
        <f t="shared" si="47"/>
        <v>2.6115939316915252E-2</v>
      </c>
      <c r="M91" s="55">
        <f t="shared" si="19"/>
        <v>0.97388406068308475</v>
      </c>
      <c r="N91" s="55">
        <f t="shared" si="48"/>
        <v>2.4095871103560408E-2</v>
      </c>
      <c r="O91" s="56">
        <f t="shared" si="21"/>
        <v>5.2607618246042225E-11</v>
      </c>
      <c r="P91" s="56">
        <f t="shared" si="49"/>
        <v>6.5315964231605063E-5</v>
      </c>
      <c r="Q91" s="56">
        <f t="shared" si="50"/>
        <v>1.8891465087775732E-3</v>
      </c>
      <c r="R91" s="9">
        <f t="shared" ref="R91:R92" si="51">F91*$C$14</f>
        <v>1.4999999999999999E-4</v>
      </c>
      <c r="S91" s="9">
        <f t="shared" si="39"/>
        <v>3.9173908975372877E-6</v>
      </c>
      <c r="T91" s="9">
        <f t="shared" si="40"/>
        <v>7.84712776642259E-9</v>
      </c>
      <c r="U91" s="9">
        <f t="shared" si="41"/>
        <v>1.4608260910246271E-4</v>
      </c>
      <c r="V91" s="102">
        <f t="shared" si="42"/>
        <v>5.3717056497249418E-5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7.3506289103249456</v>
      </c>
      <c r="K92" s="55">
        <f t="shared" si="46"/>
        <v>3.1424529894018397E-6</v>
      </c>
      <c r="L92" s="55">
        <f t="shared" si="47"/>
        <v>2.8327821898498248E-2</v>
      </c>
      <c r="M92" s="55">
        <f t="shared" si="19"/>
        <v>0.97167217810150175</v>
      </c>
      <c r="N92" s="55">
        <f t="shared" si="48"/>
        <v>2.7008654916241371E-2</v>
      </c>
      <c r="O92" s="56">
        <f t="shared" si="21"/>
        <v>3.1600791807539054E-12</v>
      </c>
      <c r="P92" s="56">
        <f t="shared" si="49"/>
        <v>7.084788256814424E-5</v>
      </c>
      <c r="Q92" s="56">
        <f t="shared" si="50"/>
        <v>2.1175124120852559E-3</v>
      </c>
      <c r="R92" s="9">
        <f t="shared" si="51"/>
        <v>1.4999999999999999E-4</v>
      </c>
      <c r="S92" s="9">
        <f t="shared" si="39"/>
        <v>4.249173284774737E-6</v>
      </c>
      <c r="T92" s="9">
        <f t="shared" si="40"/>
        <v>4.7136794841027587E-10</v>
      </c>
      <c r="U92" s="9">
        <f t="shared" si="41"/>
        <v>1.4575082671522524E-4</v>
      </c>
      <c r="V92" s="102">
        <f t="shared" si="42"/>
        <v>3.2340670652335752E-6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1.3125703435581537</v>
      </c>
      <c r="K93" s="55">
        <f t="shared" si="46"/>
        <v>0.55870493936096677</v>
      </c>
      <c r="L93" s="55">
        <f t="shared" si="47"/>
        <v>4.6139017040374066E-3</v>
      </c>
      <c r="M93" s="55">
        <f t="shared" ref="M93:M127" si="52">IF(D93=0,"",1-L93)</f>
        <v>0.99538609829596258</v>
      </c>
      <c r="N93" s="55">
        <f t="shared" si="48"/>
        <v>1.2743498654827858E-3</v>
      </c>
      <c r="O93" s="56">
        <f t="shared" ref="O93:O127" si="53">IF(D93=0,"",F93*K93*$J$7/$J$14)</f>
        <v>5.6183874604120456E-7</v>
      </c>
      <c r="P93" s="56">
        <f t="shared" si="49"/>
        <v>1.1539368161797554E-5</v>
      </c>
      <c r="Q93" s="56">
        <f t="shared" si="50"/>
        <v>9.9910627384716224E-5</v>
      </c>
      <c r="R93" s="9">
        <f>F93*$C$14</f>
        <v>1.4999999999999999E-4</v>
      </c>
      <c r="S93" s="9">
        <f t="shared" si="39"/>
        <v>6.9208525560561097E-7</v>
      </c>
      <c r="T93" s="9">
        <f t="shared" si="40"/>
        <v>8.3805740904145003E-5</v>
      </c>
      <c r="U93" s="9">
        <f t="shared" si="41"/>
        <v>1.4930791474439438E-4</v>
      </c>
      <c r="V93" s="102">
        <f t="shared" si="42"/>
        <v>0.56129469792418629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0.3314868111062052</v>
      </c>
      <c r="K107" s="55">
        <f t="shared" si="46"/>
        <v>0.95131052747516331</v>
      </c>
      <c r="L107" s="55">
        <f t="shared" si="47"/>
        <v>8.2058693382715882E-4</v>
      </c>
      <c r="M107" s="55">
        <f t="shared" si="52"/>
        <v>0.99917941306617286</v>
      </c>
      <c r="N107" s="55">
        <f t="shared" si="48"/>
        <v>1.4257404438931665E-4</v>
      </c>
      <c r="O107" s="56">
        <f t="shared" si="53"/>
        <v>9.5664648045490976E-7</v>
      </c>
      <c r="P107" s="56">
        <f t="shared" si="49"/>
        <v>2.0522879215017242E-6</v>
      </c>
      <c r="Q107" s="56">
        <f t="shared" si="50"/>
        <v>1.1177983856353636E-5</v>
      </c>
      <c r="R107" s="9">
        <f>F107*$C$14</f>
        <v>1.4999999999999999E-4</v>
      </c>
      <c r="S107" s="9">
        <f t="shared" ref="S107:S108" si="54">$R107*L107</f>
        <v>1.2308804007407381E-7</v>
      </c>
      <c r="T107" s="9">
        <f t="shared" ref="T107:T108" si="55">R107*K107</f>
        <v>1.4269657912127447E-4</v>
      </c>
      <c r="U107" s="9">
        <f t="shared" ref="U107:U108" si="56">$R107*M107</f>
        <v>1.4987691195992591E-4</v>
      </c>
      <c r="V107" s="102">
        <f t="shared" ref="V107:V108" si="57">K107/M107</f>
        <v>0.95209180156733342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1.0426006689905334</v>
      </c>
      <c r="K108" s="55">
        <f t="shared" si="46"/>
        <v>0.72831760824407266</v>
      </c>
      <c r="L108" s="55">
        <f t="shared" si="47"/>
        <v>3.2302561527115612E-3</v>
      </c>
      <c r="M108" s="55">
        <f t="shared" si="52"/>
        <v>0.99676974384728845</v>
      </c>
      <c r="N108" s="55">
        <f t="shared" si="48"/>
        <v>1.1214398290284706E-3</v>
      </c>
      <c r="O108" s="56">
        <f t="shared" si="53"/>
        <v>7.3240278169655849E-7</v>
      </c>
      <c r="P108" s="56">
        <f t="shared" si="49"/>
        <v>8.0788706379316185E-6</v>
      </c>
      <c r="Q108" s="56">
        <f t="shared" si="50"/>
        <v>8.7922288789975077E-5</v>
      </c>
      <c r="R108" s="9">
        <f>F108*$C$14</f>
        <v>1.4999999999999999E-4</v>
      </c>
      <c r="S108" s="9">
        <f t="shared" si="54"/>
        <v>4.8453842290673417E-7</v>
      </c>
      <c r="T108" s="9">
        <f t="shared" si="55"/>
        <v>1.0924764123661089E-4</v>
      </c>
      <c r="U108" s="9">
        <f t="shared" si="56"/>
        <v>1.4951546157709325E-4</v>
      </c>
      <c r="V108" s="102">
        <f t="shared" si="57"/>
        <v>0.73067788497767205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0.90354926162364302</v>
      </c>
      <c r="K114" s="55">
        <f t="shared" si="46"/>
        <v>0.79938816144321523</v>
      </c>
      <c r="L114" s="55">
        <f t="shared" si="47"/>
        <v>2.5740824726573006E-3</v>
      </c>
      <c r="M114" s="55">
        <f t="shared" si="52"/>
        <v>0.99742591752734266</v>
      </c>
      <c r="N114" s="55">
        <f t="shared" si="48"/>
        <v>9.567376808336317E-4</v>
      </c>
      <c r="O114" s="56">
        <f t="shared" si="53"/>
        <v>8.0387197353068141E-7</v>
      </c>
      <c r="P114" s="56">
        <f t="shared" si="49"/>
        <v>6.4377802641159088E-6</v>
      </c>
      <c r="Q114" s="56">
        <f t="shared" si="50"/>
        <v>7.5009433848429878E-5</v>
      </c>
      <c r="R114" s="9">
        <f>F114*$C$14</f>
        <v>1.4999999999999999E-4</v>
      </c>
      <c r="S114" s="9">
        <f t="shared" ref="S114:S116" si="58">$R114*L114</f>
        <v>3.8611237089859505E-7</v>
      </c>
      <c r="T114" s="9">
        <f t="shared" ref="T114:T116" si="59">R114*K114</f>
        <v>1.1990822421648227E-4</v>
      </c>
      <c r="U114" s="9">
        <f t="shared" ref="U114:U116" si="60">$R114*M114</f>
        <v>1.496138876291014E-4</v>
      </c>
      <c r="V114" s="102">
        <f t="shared" ref="V114:V116" si="61">K114/M114</f>
        <v>0.80145116283415752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0.17110445915344094</v>
      </c>
      <c r="J115" s="54">
        <f t="shared" si="45"/>
        <v>1.0716665691586713</v>
      </c>
      <c r="K115" s="55">
        <f t="shared" si="46"/>
        <v>0.66874502658234125</v>
      </c>
      <c r="L115" s="55">
        <f t="shared" si="47"/>
        <v>3.1713386314124342E-3</v>
      </c>
      <c r="M115" s="55">
        <f t="shared" si="52"/>
        <v>0.99682866136858761</v>
      </c>
      <c r="N115" s="55">
        <f t="shared" si="48"/>
        <v>4.5747011867117355E-4</v>
      </c>
      <c r="O115" s="56">
        <f t="shared" si="53"/>
        <v>6.7249605415348915E-7</v>
      </c>
      <c r="P115" s="56">
        <f t="shared" si="49"/>
        <v>7.9315179171624964E-6</v>
      </c>
      <c r="Q115" s="56">
        <f t="shared" si="50"/>
        <v>3.586623093406286E-5</v>
      </c>
      <c r="R115" s="9">
        <f>F115*$C$14</f>
        <v>1.4999999999999999E-4</v>
      </c>
      <c r="S115" s="9">
        <f t="shared" si="58"/>
        <v>4.757007947118651E-7</v>
      </c>
      <c r="T115" s="9">
        <f t="shared" si="59"/>
        <v>1.0031175398735117E-4</v>
      </c>
      <c r="U115" s="9">
        <f t="shared" si="60"/>
        <v>1.4952429920528812E-4</v>
      </c>
      <c r="V115" s="102">
        <f t="shared" si="61"/>
        <v>0.67087259074613015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0.1052380650673532</v>
      </c>
      <c r="K116" s="55">
        <f t="shared" si="46"/>
        <v>0.98111481855969684</v>
      </c>
      <c r="L116" s="55">
        <f t="shared" si="47"/>
        <v>5.0265890849787395E-4</v>
      </c>
      <c r="M116" s="55">
        <f t="shared" si="52"/>
        <v>0.99949734109150212</v>
      </c>
      <c r="N116" s="55">
        <f t="shared" si="48"/>
        <v>1.7193369706225723E-5</v>
      </c>
      <c r="O116" s="56">
        <f t="shared" si="53"/>
        <v>9.866179454445233E-7</v>
      </c>
      <c r="P116" s="56">
        <f t="shared" si="49"/>
        <v>1.2571499301531826E-6</v>
      </c>
      <c r="Q116" s="56">
        <f t="shared" si="50"/>
        <v>1.3479817440523677E-6</v>
      </c>
      <c r="R116" s="9">
        <f>F116*$C$14</f>
        <v>1.4999999999999999E-4</v>
      </c>
      <c r="S116" s="9">
        <f t="shared" si="58"/>
        <v>7.5398836274681085E-8</v>
      </c>
      <c r="T116" s="9">
        <f t="shared" si="59"/>
        <v>1.471672227839545E-4</v>
      </c>
      <c r="U116" s="9">
        <f t="shared" si="60"/>
        <v>1.4992460116372531E-4</v>
      </c>
      <c r="V116" s="102">
        <f t="shared" si="61"/>
        <v>0.98160823268250952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3.013869491074634</v>
      </c>
      <c r="K119" s="55">
        <f t="shared" si="46"/>
        <v>3.5183106569727784E-2</v>
      </c>
      <c r="L119" s="55">
        <f t="shared" si="47"/>
        <v>1.4605591789051834E-2</v>
      </c>
      <c r="M119" s="55">
        <f t="shared" si="52"/>
        <v>0.98539440821094815</v>
      </c>
      <c r="N119" s="55">
        <f t="shared" si="48"/>
        <v>9.2813970196079596E-3</v>
      </c>
      <c r="O119" s="56">
        <f t="shared" si="53"/>
        <v>3.5380450546184911E-8</v>
      </c>
      <c r="P119" s="56">
        <f t="shared" si="49"/>
        <v>3.6528585064418658E-5</v>
      </c>
      <c r="Q119" s="56">
        <f t="shared" si="50"/>
        <v>7.2767316445264917E-4</v>
      </c>
      <c r="R119" s="9">
        <f>F119*$C$14</f>
        <v>1.4999999999999999E-4</v>
      </c>
      <c r="S119" s="9">
        <f t="shared" ref="S119:S121" si="62">$R119*L119</f>
        <v>2.1908387683577747E-6</v>
      </c>
      <c r="T119" s="9">
        <f t="shared" ref="T119:T121" si="63">R119*K119</f>
        <v>5.2774659854591669E-6</v>
      </c>
      <c r="U119" s="9">
        <f t="shared" ref="U119:U121" si="64">$R119*M119</f>
        <v>1.4780916123164221E-4</v>
      </c>
      <c r="V119" s="102">
        <f t="shared" ref="V119:V121" si="65">K119/M119</f>
        <v>3.5704593284231388E-2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1.2029184961851247</v>
      </c>
      <c r="K120" s="55">
        <f t="shared" si="46"/>
        <v>0.63658662000575394</v>
      </c>
      <c r="L120" s="55">
        <f t="shared" si="47"/>
        <v>4.0840540957310838E-3</v>
      </c>
      <c r="M120" s="55">
        <f t="shared" si="52"/>
        <v>0.99591594590426891</v>
      </c>
      <c r="N120" s="55">
        <f t="shared" si="48"/>
        <v>1.343073167959672E-3</v>
      </c>
      <c r="O120" s="56">
        <f t="shared" si="53"/>
        <v>6.4015726930877562E-7</v>
      </c>
      <c r="P120" s="56">
        <f t="shared" si="49"/>
        <v>1.0214219293423439E-5</v>
      </c>
      <c r="Q120" s="56">
        <f t="shared" si="50"/>
        <v>1.0529862047232412E-4</v>
      </c>
      <c r="R120" s="9">
        <f>F120*$C$14</f>
        <v>1.4999999999999999E-4</v>
      </c>
      <c r="S120" s="9">
        <f t="shared" si="62"/>
        <v>6.1260811435966254E-7</v>
      </c>
      <c r="T120" s="9">
        <f t="shared" si="63"/>
        <v>9.5487993000863085E-5</v>
      </c>
      <c r="U120" s="9">
        <f t="shared" si="64"/>
        <v>1.4938739188564032E-4</v>
      </c>
      <c r="V120" s="102">
        <f t="shared" si="65"/>
        <v>0.63919713568573089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3.500370099559007</v>
      </c>
      <c r="K121" s="55">
        <f t="shared" si="46"/>
        <v>9.9508318127092248E-3</v>
      </c>
      <c r="L121" s="55">
        <f t="shared" si="47"/>
        <v>1.2663243822546586E-2</v>
      </c>
      <c r="M121" s="55">
        <f t="shared" si="52"/>
        <v>0.98733675617745342</v>
      </c>
      <c r="N121" s="55">
        <f t="shared" si="48"/>
        <v>6.4747730817590879E-3</v>
      </c>
      <c r="O121" s="56">
        <f t="shared" si="53"/>
        <v>1.0006646574691209E-8</v>
      </c>
      <c r="P121" s="56">
        <f t="shared" si="49"/>
        <v>3.1670772800189042E-5</v>
      </c>
      <c r="Q121" s="56">
        <f t="shared" si="50"/>
        <v>5.076303284476325E-4</v>
      </c>
      <c r="R121" s="9">
        <f>F121*$C$14</f>
        <v>1.4999999999999999E-4</v>
      </c>
      <c r="S121" s="9">
        <f t="shared" si="62"/>
        <v>1.8994865733819878E-6</v>
      </c>
      <c r="T121" s="9">
        <f t="shared" si="63"/>
        <v>1.4926247719063836E-6</v>
      </c>
      <c r="U121" s="9">
        <f t="shared" si="64"/>
        <v>1.48100513426618E-4</v>
      </c>
      <c r="V121" s="102">
        <f t="shared" si="65"/>
        <v>1.0078457780944568E-2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2.1614248336382942</v>
      </c>
      <c r="K124" s="55">
        <f t="shared" si="68"/>
        <v>0.20486927019022017</v>
      </c>
      <c r="L124" s="55">
        <f t="shared" si="69"/>
        <v>1.1945852210206489E-2</v>
      </c>
      <c r="M124" s="55">
        <f t="shared" si="52"/>
        <v>0.9880541477897935</v>
      </c>
      <c r="N124" s="55">
        <f t="shared" si="70"/>
        <v>7.4484685253474788E-3</v>
      </c>
      <c r="O124" s="56">
        <f t="shared" si="53"/>
        <v>2.0601839317494241E-7</v>
      </c>
      <c r="P124" s="56">
        <f t="shared" si="71"/>
        <v>2.987657637772643E-5</v>
      </c>
      <c r="Q124" s="56">
        <f t="shared" si="72"/>
        <v>5.8396927215968795E-4</v>
      </c>
      <c r="R124" s="9">
        <f>F124*$C$14</f>
        <v>1.4999999999999999E-4</v>
      </c>
      <c r="S124" s="9">
        <f t="shared" ref="S124:S127" si="73">$R124*L124</f>
        <v>1.7918778315309733E-6</v>
      </c>
      <c r="T124" s="9">
        <f t="shared" ref="T124:T127" si="74">R124*K124</f>
        <v>3.073039052853302E-5</v>
      </c>
      <c r="U124" s="9">
        <f t="shared" ref="U124:U127" si="75">$R124*M124</f>
        <v>1.4820812216846901E-4</v>
      </c>
      <c r="V124" s="102">
        <f t="shared" ref="V124:V127" si="76">K124/M124</f>
        <v>0.2073461972185412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1.5475520078740368</v>
      </c>
      <c r="K126" s="55">
        <f t="shared" si="68"/>
        <v>0.44881249470769685</v>
      </c>
      <c r="L126" s="55">
        <f t="shared" si="69"/>
        <v>6.3669645286674945E-3</v>
      </c>
      <c r="M126" s="55">
        <f t="shared" si="52"/>
        <v>0.99363303547133253</v>
      </c>
      <c r="N126" s="55">
        <f t="shared" si="70"/>
        <v>2.5016416882462774E-3</v>
      </c>
      <c r="O126" s="56">
        <f t="shared" si="53"/>
        <v>4.5132990863229516E-7</v>
      </c>
      <c r="P126" s="56">
        <f t="shared" si="71"/>
        <v>1.5923778286197405E-5</v>
      </c>
      <c r="Q126" s="56">
        <f t="shared" si="72"/>
        <v>1.9613184521328965E-4</v>
      </c>
      <c r="R126" s="9">
        <f>F126*$C$14</f>
        <v>1.4999999999999999E-4</v>
      </c>
      <c r="S126" s="9">
        <f t="shared" si="73"/>
        <v>9.5504467930012404E-7</v>
      </c>
      <c r="T126" s="9">
        <f t="shared" si="74"/>
        <v>6.7321874206154516E-5</v>
      </c>
      <c r="U126" s="9">
        <f t="shared" si="75"/>
        <v>1.4904495532069986E-4</v>
      </c>
      <c r="V126" s="102">
        <f t="shared" si="76"/>
        <v>0.45168837859220473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1.2574607383316736E-2</v>
      </c>
      <c r="K127" s="55">
        <f t="shared" si="68"/>
        <v>0.99316239647110538</v>
      </c>
      <c r="L127" s="55">
        <f t="shared" si="69"/>
        <v>4.1106486576208956E-4</v>
      </c>
      <c r="M127" s="55">
        <f t="shared" si="52"/>
        <v>0.99958893513423797</v>
      </c>
      <c r="N127" s="55">
        <f t="shared" si="70"/>
        <v>1.5138590252395376E-5</v>
      </c>
      <c r="O127" s="56">
        <f t="shared" si="53"/>
        <v>9.9873309888190197E-7</v>
      </c>
      <c r="P127" s="56">
        <f t="shared" si="71"/>
        <v>1.0280732292709861E-6</v>
      </c>
      <c r="Q127" s="56">
        <f t="shared" si="72"/>
        <v>1.186884458346108E-6</v>
      </c>
      <c r="R127" s="9">
        <f>F127*$C$14</f>
        <v>1.4999999999999999E-4</v>
      </c>
      <c r="S127" s="9">
        <f t="shared" si="73"/>
        <v>6.1659729864313432E-8</v>
      </c>
      <c r="T127" s="9">
        <f t="shared" si="74"/>
        <v>1.4897435947066579E-4</v>
      </c>
      <c r="U127" s="9">
        <f t="shared" si="75"/>
        <v>1.4993834027013568E-4</v>
      </c>
      <c r="V127" s="102">
        <f t="shared" si="76"/>
        <v>0.99357081852624796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0.3185068789023815</v>
      </c>
      <c r="K130" s="55">
        <f t="shared" si="79"/>
        <v>0.94789858041113861</v>
      </c>
      <c r="L130" s="55">
        <f t="shared" si="80"/>
        <v>7.9356816147534018E-4</v>
      </c>
      <c r="M130" s="55">
        <f t="shared" si="81"/>
        <v>0.99920643183852464</v>
      </c>
      <c r="N130" s="55">
        <f t="shared" si="82"/>
        <v>7.3404052885788865E-5</v>
      </c>
      <c r="O130" s="56">
        <f t="shared" si="83"/>
        <v>9.5321539559247189E-7</v>
      </c>
      <c r="P130" s="56">
        <f t="shared" si="84"/>
        <v>1.9847139718498258E-6</v>
      </c>
      <c r="Q130" s="56">
        <f t="shared" si="85"/>
        <v>5.7549697889453913E-6</v>
      </c>
      <c r="R130" s="9">
        <f>F130*$C$14</f>
        <v>1.4999999999999999E-4</v>
      </c>
      <c r="S130" s="9">
        <f t="shared" ref="S130:S131" si="86">$R130*L130</f>
        <v>1.1903522422130101E-7</v>
      </c>
      <c r="T130" s="9">
        <f t="shared" ref="T130:T131" si="87">R130*K130</f>
        <v>1.4218478706167078E-4</v>
      </c>
      <c r="U130" s="9">
        <f t="shared" ref="U130:U131" si="88">$R130*M130</f>
        <v>1.4988096477577868E-4</v>
      </c>
      <c r="V130" s="102">
        <f t="shared" ref="V130:V131" si="89">K130/M130</f>
        <v>0.94865139995848469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-1.6345714255076655E-2</v>
      </c>
      <c r="K131" s="55">
        <f t="shared" si="79"/>
        <v>0.99577312223281234</v>
      </c>
      <c r="L131" s="55">
        <f t="shared" si="80"/>
        <v>3.855939125178492E-4</v>
      </c>
      <c r="M131" s="55">
        <f t="shared" si="81"/>
        <v>0.9996144060874822</v>
      </c>
      <c r="N131" s="55">
        <f t="shared" si="82"/>
        <v>7.2880537387662381E-6</v>
      </c>
      <c r="O131" s="56">
        <f t="shared" si="83"/>
        <v>1.0013584683477466E-6</v>
      </c>
      <c r="P131" s="56">
        <f t="shared" si="84"/>
        <v>9.6437037520714067E-7</v>
      </c>
      <c r="Q131" s="56">
        <f t="shared" si="85"/>
        <v>5.7139255174465094E-7</v>
      </c>
      <c r="R131" s="9">
        <f>F131*$C$14</f>
        <v>1.4999999999999999E-4</v>
      </c>
      <c r="S131" s="9">
        <f t="shared" si="86"/>
        <v>5.7839086877677375E-8</v>
      </c>
      <c r="T131" s="9">
        <f t="shared" si="87"/>
        <v>1.4936596833492184E-4</v>
      </c>
      <c r="U131" s="9">
        <f t="shared" si="88"/>
        <v>1.4994216091312231E-4</v>
      </c>
      <c r="V131" s="102">
        <f t="shared" si="89"/>
        <v>0.99615723439830695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293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2024-10-28T22:41:01Z</dcterms:modified>
</cp:coreProperties>
</file>