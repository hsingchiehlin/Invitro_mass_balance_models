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225726C9-693E-4DB5-AE70-E7C5938B6BB0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3" i="4" l="1"/>
  <c r="R142" i="4"/>
  <c r="R141" i="4"/>
  <c r="R140" i="4"/>
  <c r="T139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J135" i="4"/>
  <c r="K135" i="4"/>
  <c r="O135" i="4" s="1"/>
  <c r="P135" i="4" s="1"/>
  <c r="I136" i="4"/>
  <c r="N136" i="4" s="1"/>
  <c r="Q136" i="4" s="1"/>
  <c r="J136" i="4"/>
  <c r="K136" i="4" s="1"/>
  <c r="I137" i="4"/>
  <c r="N137" i="4" s="1"/>
  <c r="Q137" i="4" s="1"/>
  <c r="J137" i="4"/>
  <c r="K137" i="4"/>
  <c r="O137" i="4" s="1"/>
  <c r="P137" i="4" s="1"/>
  <c r="L137" i="4"/>
  <c r="M137" i="4" s="1"/>
  <c r="I138" i="4"/>
  <c r="J138" i="4"/>
  <c r="K138" i="4" s="1"/>
  <c r="N138" i="4"/>
  <c r="Q138" i="4" s="1"/>
  <c r="I139" i="4"/>
  <c r="L139" i="4" s="1"/>
  <c r="J139" i="4"/>
  <c r="K139" i="4"/>
  <c r="O139" i="4" s="1"/>
  <c r="P139" i="4" s="1"/>
  <c r="I140" i="4"/>
  <c r="N140" i="4" s="1"/>
  <c r="Q140" i="4" s="1"/>
  <c r="J140" i="4"/>
  <c r="K140" i="4"/>
  <c r="O140" i="4"/>
  <c r="P140" i="4" s="1"/>
  <c r="I141" i="4"/>
  <c r="N141" i="4" s="1"/>
  <c r="Q141" i="4" s="1"/>
  <c r="J141" i="4"/>
  <c r="K141" i="4" s="1"/>
  <c r="L141" i="4"/>
  <c r="M141" i="4" s="1"/>
  <c r="U141" i="4" s="1"/>
  <c r="I142" i="4"/>
  <c r="J142" i="4"/>
  <c r="K142" i="4" s="1"/>
  <c r="N142" i="4"/>
  <c r="Q142" i="4" s="1"/>
  <c r="I143" i="4"/>
  <c r="J143" i="4"/>
  <c r="K143" i="4"/>
  <c r="O143" i="4"/>
  <c r="P143" i="4"/>
  <c r="O138" i="4" l="1"/>
  <c r="P138" i="4" s="1"/>
  <c r="O141" i="4"/>
  <c r="P141" i="4" s="1"/>
  <c r="T141" i="4"/>
  <c r="V141" i="4"/>
  <c r="V135" i="4"/>
  <c r="V143" i="4"/>
  <c r="O136" i="4"/>
  <c r="P136" i="4" s="1"/>
  <c r="O142" i="4"/>
  <c r="P142" i="4" s="1"/>
  <c r="M139" i="4"/>
  <c r="S139" i="4"/>
  <c r="U135" i="4"/>
  <c r="L135" i="4"/>
  <c r="M135" i="4" s="1"/>
  <c r="S141" i="4"/>
  <c r="L143" i="4"/>
  <c r="M143" i="4" s="1"/>
  <c r="U143" i="4" s="1"/>
  <c r="U137" i="4"/>
  <c r="V137" i="4"/>
  <c r="L138" i="4"/>
  <c r="M138" i="4" s="1"/>
  <c r="V138" i="4" s="1"/>
  <c r="L142" i="4"/>
  <c r="M142" i="4" s="1"/>
  <c r="V142" i="4" s="1"/>
  <c r="T138" i="4"/>
  <c r="U138" i="4"/>
  <c r="S135" i="4"/>
  <c r="T135" i="4"/>
  <c r="T142" i="4"/>
  <c r="S137" i="4"/>
  <c r="S140" i="4"/>
  <c r="T137" i="4"/>
  <c r="T140" i="4"/>
  <c r="S143" i="4"/>
  <c r="T143" i="4"/>
  <c r="T136" i="4"/>
  <c r="L140" i="4"/>
  <c r="M140" i="4" s="1"/>
  <c r="V140" i="4" s="1"/>
  <c r="L136" i="4"/>
  <c r="M136" i="4" s="1"/>
  <c r="U136" i="4" s="1"/>
  <c r="N143" i="4"/>
  <c r="Q143" i="4" s="1"/>
  <c r="N139" i="4"/>
  <c r="Q139" i="4" s="1"/>
  <c r="N135" i="4"/>
  <c r="Q135" i="4" s="1"/>
  <c r="V136" i="4" l="1"/>
  <c r="U142" i="4"/>
  <c r="U139" i="4"/>
  <c r="V139" i="4"/>
  <c r="S138" i="4"/>
  <c r="S142" i="4"/>
  <c r="S136" i="4"/>
  <c r="U140" i="4"/>
  <c r="I128" i="4" l="1"/>
  <c r="L128" i="4" s="1"/>
  <c r="J128" i="4"/>
  <c r="K128" i="4"/>
  <c r="N128" i="4"/>
  <c r="O128" i="4"/>
  <c r="P128" i="4"/>
  <c r="Q128" i="4"/>
  <c r="I129" i="4"/>
  <c r="L129" i="4" s="1"/>
  <c r="J129" i="4"/>
  <c r="K129" i="4" s="1"/>
  <c r="I130" i="4"/>
  <c r="J130" i="4"/>
  <c r="K130" i="4"/>
  <c r="N130" i="4"/>
  <c r="Q130" i="4" s="1"/>
  <c r="I131" i="4"/>
  <c r="J131" i="4"/>
  <c r="K131" i="4"/>
  <c r="I132" i="4"/>
  <c r="N132" i="4" s="1"/>
  <c r="Q132" i="4" s="1"/>
  <c r="J132" i="4"/>
  <c r="K132" i="4"/>
  <c r="L132" i="4"/>
  <c r="S132" i="4" s="1"/>
  <c r="I133" i="4"/>
  <c r="L133" i="4" s="1"/>
  <c r="J133" i="4"/>
  <c r="K133" i="4" s="1"/>
  <c r="N133" i="4"/>
  <c r="Q133" i="4" s="1"/>
  <c r="I134" i="4"/>
  <c r="L134" i="4" s="1"/>
  <c r="J134" i="4"/>
  <c r="K134" i="4"/>
  <c r="S133" i="4" l="1"/>
  <c r="M133" i="4"/>
  <c r="U133" i="4" s="1"/>
  <c r="T132" i="4"/>
  <c r="T128" i="4"/>
  <c r="M129" i="4"/>
  <c r="U129" i="4" s="1"/>
  <c r="S129" i="4"/>
  <c r="O131" i="4"/>
  <c r="P131" i="4" s="1"/>
  <c r="T131" i="4"/>
  <c r="L131" i="4"/>
  <c r="O133" i="4"/>
  <c r="P133" i="4" s="1"/>
  <c r="V133" i="4"/>
  <c r="T133" i="4"/>
  <c r="M128" i="4"/>
  <c r="U128" i="4" s="1"/>
  <c r="S128" i="4"/>
  <c r="M134" i="4"/>
  <c r="U134" i="4" s="1"/>
  <c r="S134" i="4"/>
  <c r="O130" i="4"/>
  <c r="P130" i="4" s="1"/>
  <c r="T130" i="4"/>
  <c r="O132" i="4"/>
  <c r="P132" i="4" s="1"/>
  <c r="V134" i="4"/>
  <c r="T134" i="4"/>
  <c r="O134" i="4"/>
  <c r="P134" i="4" s="1"/>
  <c r="M132" i="4"/>
  <c r="U132" i="4" s="1"/>
  <c r="O129" i="4"/>
  <c r="P129" i="4" s="1"/>
  <c r="T129" i="4"/>
  <c r="N134" i="4"/>
  <c r="Q134" i="4" s="1"/>
  <c r="N131" i="4"/>
  <c r="Q131" i="4" s="1"/>
  <c r="L130" i="4"/>
  <c r="N129" i="4"/>
  <c r="Q129" i="4" s="1"/>
  <c r="M131" i="4" l="1"/>
  <c r="S131" i="4"/>
  <c r="V129" i="4"/>
  <c r="M130" i="4"/>
  <c r="S130" i="4"/>
  <c r="V128" i="4"/>
  <c r="V132" i="4"/>
  <c r="O15" i="1"/>
  <c r="L15" i="1"/>
  <c r="N15" i="1"/>
  <c r="M105" i="4"/>
  <c r="U105" i="4" s="1"/>
  <c r="M122" i="4"/>
  <c r="U122" i="4" s="1"/>
  <c r="J16" i="4"/>
  <c r="J15" i="4"/>
  <c r="J87" i="4"/>
  <c r="K87" i="4" s="1"/>
  <c r="J122" i="4"/>
  <c r="K122" i="4" s="1"/>
  <c r="J117" i="4"/>
  <c r="K117" i="4"/>
  <c r="J120" i="4"/>
  <c r="K120" i="4" s="1"/>
  <c r="J101" i="4"/>
  <c r="L101" i="4" s="1"/>
  <c r="K101" i="4"/>
  <c r="J86" i="4"/>
  <c r="K86" i="4" s="1"/>
  <c r="J85" i="4"/>
  <c r="K85" i="4" s="1"/>
  <c r="J88" i="4"/>
  <c r="K88" i="4" s="1"/>
  <c r="J119" i="4"/>
  <c r="K119" i="4" s="1"/>
  <c r="J72" i="4"/>
  <c r="K72" i="4"/>
  <c r="J103" i="4"/>
  <c r="K103" i="4" s="1"/>
  <c r="J118" i="4"/>
  <c r="K118" i="4"/>
  <c r="J104" i="4"/>
  <c r="K104" i="4"/>
  <c r="J90" i="4"/>
  <c r="K90" i="4" s="1"/>
  <c r="J71" i="4"/>
  <c r="K71" i="4"/>
  <c r="J110" i="4"/>
  <c r="K110" i="4" s="1"/>
  <c r="J82" i="4"/>
  <c r="K82" i="4" s="1"/>
  <c r="J113" i="4"/>
  <c r="K113" i="4" s="1"/>
  <c r="J97" i="4"/>
  <c r="K97" i="4" s="1"/>
  <c r="J81" i="4"/>
  <c r="K81" i="4" s="1"/>
  <c r="J116" i="4"/>
  <c r="K116" i="4"/>
  <c r="J100" i="4"/>
  <c r="K100" i="4"/>
  <c r="O100" i="4" s="1"/>
  <c r="P100" i="4" s="1"/>
  <c r="J84" i="4"/>
  <c r="K84" i="4" s="1"/>
  <c r="J114" i="4"/>
  <c r="K114" i="4" s="1"/>
  <c r="J78" i="4"/>
  <c r="K78" i="4" s="1"/>
  <c r="J115" i="4"/>
  <c r="K115" i="4" s="1"/>
  <c r="J99" i="4"/>
  <c r="K99" i="4"/>
  <c r="J83" i="4"/>
  <c r="K83" i="4" s="1"/>
  <c r="J102" i="4"/>
  <c r="K102" i="4"/>
  <c r="J74" i="4"/>
  <c r="K74" i="4" s="1"/>
  <c r="J125" i="4"/>
  <c r="K125" i="4"/>
  <c r="J109" i="4"/>
  <c r="K109" i="4" s="1"/>
  <c r="J93" i="4"/>
  <c r="K93" i="4" s="1"/>
  <c r="J77" i="4"/>
  <c r="K77" i="4" s="1"/>
  <c r="J112" i="4"/>
  <c r="K112" i="4"/>
  <c r="J96" i="4"/>
  <c r="K96" i="4" s="1"/>
  <c r="J80" i="4"/>
  <c r="K80" i="4" s="1"/>
  <c r="J106" i="4"/>
  <c r="K106" i="4"/>
  <c r="J127" i="4"/>
  <c r="K127" i="4" s="1"/>
  <c r="J111" i="4"/>
  <c r="K111" i="4"/>
  <c r="J95" i="4"/>
  <c r="K95" i="4" s="1"/>
  <c r="J79" i="4"/>
  <c r="K79" i="4" s="1"/>
  <c r="J126" i="4"/>
  <c r="K126" i="4" s="1"/>
  <c r="J94" i="4"/>
  <c r="K94" i="4"/>
  <c r="J121" i="4"/>
  <c r="K121" i="4" s="1"/>
  <c r="J105" i="4"/>
  <c r="K105" i="4"/>
  <c r="J89" i="4"/>
  <c r="K89" i="4" s="1"/>
  <c r="J73" i="4"/>
  <c r="K73" i="4" s="1"/>
  <c r="J124" i="4"/>
  <c r="L124" i="4" s="1"/>
  <c r="S124" i="4" s="1"/>
  <c r="K124" i="4"/>
  <c r="J108" i="4"/>
  <c r="K108" i="4" s="1"/>
  <c r="J92" i="4"/>
  <c r="K92" i="4" s="1"/>
  <c r="J76" i="4"/>
  <c r="K76" i="4"/>
  <c r="J98" i="4"/>
  <c r="K98" i="4"/>
  <c r="J123" i="4"/>
  <c r="L123" i="4" s="1"/>
  <c r="K123" i="4"/>
  <c r="J107" i="4"/>
  <c r="K107" i="4" s="1"/>
  <c r="J91" i="4"/>
  <c r="K91" i="4" s="1"/>
  <c r="J75" i="4"/>
  <c r="K75" i="4" s="1"/>
  <c r="O112" i="4"/>
  <c r="P112" i="4" s="1"/>
  <c r="O118" i="4"/>
  <c r="P118" i="4"/>
  <c r="O117" i="4"/>
  <c r="P117" i="4" s="1"/>
  <c r="O99" i="4"/>
  <c r="P99" i="4"/>
  <c r="O101" i="4"/>
  <c r="P101" i="4"/>
  <c r="I76" i="4"/>
  <c r="N76" i="4" s="1"/>
  <c r="Q76" i="4" s="1"/>
  <c r="I77" i="4"/>
  <c r="I81" i="4"/>
  <c r="N81" i="4" s="1"/>
  <c r="Q81" i="4" s="1"/>
  <c r="I89" i="4"/>
  <c r="I90" i="4"/>
  <c r="N90" i="4" s="1"/>
  <c r="Q90" i="4" s="1"/>
  <c r="I96" i="4"/>
  <c r="N96" i="4" s="1"/>
  <c r="Q96" i="4" s="1"/>
  <c r="I99" i="4"/>
  <c r="N99" i="4" s="1"/>
  <c r="Q99" i="4" s="1"/>
  <c r="I102" i="4"/>
  <c r="I104" i="4"/>
  <c r="L104" i="4" s="1"/>
  <c r="I108" i="4"/>
  <c r="N108" i="4" s="1"/>
  <c r="Q108" i="4" s="1"/>
  <c r="I111" i="4"/>
  <c r="N111" i="4" s="1"/>
  <c r="Q111" i="4" s="1"/>
  <c r="I113" i="4"/>
  <c r="L113" i="4" s="1"/>
  <c r="I115" i="4"/>
  <c r="L115" i="4" s="1"/>
  <c r="S115" i="4" s="1"/>
  <c r="I119" i="4"/>
  <c r="N119" i="4" s="1"/>
  <c r="Q119" i="4" s="1"/>
  <c r="I120" i="4"/>
  <c r="N120" i="4" s="1"/>
  <c r="Q120" i="4" s="1"/>
  <c r="I123" i="4"/>
  <c r="I125" i="4"/>
  <c r="N125" i="4" s="1"/>
  <c r="Q125" i="4" s="1"/>
  <c r="I79" i="4"/>
  <c r="I92" i="4"/>
  <c r="I100" i="4"/>
  <c r="L100" i="4" s="1"/>
  <c r="M100" i="4" s="1"/>
  <c r="I103" i="4"/>
  <c r="N103" i="4" s="1"/>
  <c r="Q103" i="4" s="1"/>
  <c r="I107" i="4"/>
  <c r="N107" i="4" s="1"/>
  <c r="Q107" i="4" s="1"/>
  <c r="I109" i="4"/>
  <c r="N109" i="4" s="1"/>
  <c r="Q109" i="4" s="1"/>
  <c r="I110" i="4"/>
  <c r="I117" i="4"/>
  <c r="N117" i="4" s="1"/>
  <c r="Q117" i="4" s="1"/>
  <c r="I124" i="4"/>
  <c r="I72" i="4"/>
  <c r="L72" i="4" s="1"/>
  <c r="S72" i="4" s="1"/>
  <c r="I106" i="4"/>
  <c r="N106" i="4" s="1"/>
  <c r="Q106" i="4" s="1"/>
  <c r="I71" i="4"/>
  <c r="N71" i="4" s="1"/>
  <c r="Q71" i="4" s="1"/>
  <c r="I75" i="4"/>
  <c r="I80" i="4"/>
  <c r="L80" i="4" s="1"/>
  <c r="S80" i="4" s="1"/>
  <c r="I83" i="4"/>
  <c r="N83" i="4" s="1"/>
  <c r="Q83" i="4" s="1"/>
  <c r="I86" i="4"/>
  <c r="N86" i="4" s="1"/>
  <c r="Q86" i="4" s="1"/>
  <c r="I88" i="4"/>
  <c r="N88" i="4" s="1"/>
  <c r="Q88" i="4" s="1"/>
  <c r="I94" i="4"/>
  <c r="L94" i="4" s="1"/>
  <c r="S94" i="4" s="1"/>
  <c r="I95" i="4"/>
  <c r="N95" i="4" s="1"/>
  <c r="Q95" i="4" s="1"/>
  <c r="I98" i="4"/>
  <c r="N98" i="4" s="1"/>
  <c r="Q98" i="4" s="1"/>
  <c r="I101" i="4"/>
  <c r="N101" i="4" s="1"/>
  <c r="Q101" i="4" s="1"/>
  <c r="I118" i="4"/>
  <c r="I127" i="4"/>
  <c r="I73" i="4"/>
  <c r="N73" i="4" s="1"/>
  <c r="Q73" i="4" s="1"/>
  <c r="I74" i="4"/>
  <c r="I78" i="4"/>
  <c r="I82" i="4"/>
  <c r="I85" i="4"/>
  <c r="N85" i="4" s="1"/>
  <c r="Q85" i="4" s="1"/>
  <c r="I93" i="4"/>
  <c r="I112" i="4"/>
  <c r="L112" i="4" s="1"/>
  <c r="I114" i="4"/>
  <c r="N114" i="4" s="1"/>
  <c r="Q114" i="4" s="1"/>
  <c r="I121" i="4"/>
  <c r="L121" i="4" s="1"/>
  <c r="S121" i="4" s="1"/>
  <c r="I122" i="4"/>
  <c r="N122" i="4" s="1"/>
  <c r="Q122" i="4" s="1"/>
  <c r="I84" i="4"/>
  <c r="I87" i="4"/>
  <c r="I91" i="4"/>
  <c r="N91" i="4" s="1"/>
  <c r="Q91" i="4" s="1"/>
  <c r="I97" i="4"/>
  <c r="L97" i="4" s="1"/>
  <c r="I105" i="4"/>
  <c r="I116" i="4"/>
  <c r="N116" i="4" s="1"/>
  <c r="Q116" i="4" s="1"/>
  <c r="I126" i="4"/>
  <c r="N126" i="4" s="1"/>
  <c r="Q126" i="4" s="1"/>
  <c r="L105" i="4"/>
  <c r="S105" i="4" s="1"/>
  <c r="N105" i="4"/>
  <c r="Q105" i="4"/>
  <c r="N121" i="4"/>
  <c r="Q121" i="4" s="1"/>
  <c r="N124" i="4"/>
  <c r="Q124" i="4" s="1"/>
  <c r="N79" i="4"/>
  <c r="Q79" i="4" s="1"/>
  <c r="N97" i="4"/>
  <c r="Q97" i="4" s="1"/>
  <c r="L103" i="4"/>
  <c r="L125" i="4"/>
  <c r="N100" i="4"/>
  <c r="Q100" i="4" s="1"/>
  <c r="N123" i="4"/>
  <c r="Q123" i="4" s="1"/>
  <c r="L102" i="4"/>
  <c r="N102" i="4"/>
  <c r="Q102" i="4"/>
  <c r="N89" i="4"/>
  <c r="Q89" i="4" s="1"/>
  <c r="N87" i="4"/>
  <c r="Q87" i="4" s="1"/>
  <c r="L87" i="4"/>
  <c r="S87" i="4" s="1"/>
  <c r="L122" i="4"/>
  <c r="S122" i="4" s="1"/>
  <c r="N74" i="4"/>
  <c r="Q74" i="4"/>
  <c r="L74" i="4"/>
  <c r="S74" i="4" s="1"/>
  <c r="N118" i="4"/>
  <c r="Q118" i="4"/>
  <c r="L118" i="4"/>
  <c r="L92" i="4"/>
  <c r="S92" i="4" s="1"/>
  <c r="N92" i="4"/>
  <c r="Q92" i="4" s="1"/>
  <c r="L99" i="4"/>
  <c r="L81" i="4"/>
  <c r="S81" i="4" s="1"/>
  <c r="T77" i="4" l="1"/>
  <c r="T108" i="4"/>
  <c r="T126" i="4"/>
  <c r="T88" i="4"/>
  <c r="M118" i="4"/>
  <c r="U118" i="4" s="1"/>
  <c r="S118" i="4"/>
  <c r="M113" i="4"/>
  <c r="U113" i="4" s="1"/>
  <c r="S113" i="4"/>
  <c r="T124" i="4"/>
  <c r="T85" i="4"/>
  <c r="L117" i="4"/>
  <c r="T111" i="4"/>
  <c r="L93" i="4"/>
  <c r="S93" i="4" s="1"/>
  <c r="O104" i="4"/>
  <c r="P104" i="4" s="1"/>
  <c r="V104" i="4"/>
  <c r="T104" i="4"/>
  <c r="V105" i="4"/>
  <c r="T105" i="4"/>
  <c r="O106" i="4"/>
  <c r="P106" i="4" s="1"/>
  <c r="T106" i="4"/>
  <c r="T120" i="4"/>
  <c r="L78" i="4"/>
  <c r="S78" i="4" s="1"/>
  <c r="O98" i="4"/>
  <c r="P98" i="4" s="1"/>
  <c r="T98" i="4"/>
  <c r="L106" i="4"/>
  <c r="O102" i="4"/>
  <c r="P102" i="4" s="1"/>
  <c r="T102" i="4"/>
  <c r="O116" i="4"/>
  <c r="P116" i="4" s="1"/>
  <c r="T116" i="4"/>
  <c r="T118" i="4"/>
  <c r="T117" i="4"/>
  <c r="O110" i="4"/>
  <c r="P110" i="4" s="1"/>
  <c r="T110" i="4"/>
  <c r="T95" i="4"/>
  <c r="T71" i="4"/>
  <c r="M112" i="4"/>
  <c r="U112" i="4" s="1"/>
  <c r="S112" i="4"/>
  <c r="T91" i="4"/>
  <c r="V86" i="4"/>
  <c r="T86" i="4"/>
  <c r="V101" i="4"/>
  <c r="T101" i="4"/>
  <c r="T127" i="4"/>
  <c r="M101" i="4"/>
  <c r="U101" i="4" s="1"/>
  <c r="S101" i="4"/>
  <c r="L98" i="4"/>
  <c r="T121" i="4"/>
  <c r="T80" i="4"/>
  <c r="T90" i="4"/>
  <c r="T72" i="4"/>
  <c r="T87" i="4"/>
  <c r="M125" i="4"/>
  <c r="U125" i="4" s="1"/>
  <c r="S125" i="4"/>
  <c r="T79" i="4"/>
  <c r="T78" i="4"/>
  <c r="M103" i="4"/>
  <c r="U103" i="4" s="1"/>
  <c r="S103" i="4"/>
  <c r="L110" i="4"/>
  <c r="T75" i="4"/>
  <c r="T93" i="4"/>
  <c r="T114" i="4"/>
  <c r="M102" i="4"/>
  <c r="U102" i="4" s="1"/>
  <c r="S102" i="4"/>
  <c r="O109" i="4"/>
  <c r="P109" i="4" s="1"/>
  <c r="T109" i="4"/>
  <c r="T84" i="4"/>
  <c r="T73" i="4"/>
  <c r="M104" i="4"/>
  <c r="U104" i="4" s="1"/>
  <c r="S104" i="4"/>
  <c r="T89" i="4"/>
  <c r="M123" i="4"/>
  <c r="U123" i="4" s="1"/>
  <c r="S123" i="4"/>
  <c r="V74" i="4"/>
  <c r="T74" i="4"/>
  <c r="M99" i="4"/>
  <c r="U99" i="4" s="1"/>
  <c r="S99" i="4"/>
  <c r="L76" i="4"/>
  <c r="S76" i="4" s="1"/>
  <c r="O124" i="4"/>
  <c r="P124" i="4" s="1"/>
  <c r="T76" i="4"/>
  <c r="O94" i="4"/>
  <c r="P94" i="4" s="1"/>
  <c r="T94" i="4"/>
  <c r="T96" i="4"/>
  <c r="T83" i="4"/>
  <c r="T81" i="4"/>
  <c r="O103" i="4"/>
  <c r="P103" i="4" s="1"/>
  <c r="T103" i="4"/>
  <c r="O122" i="4"/>
  <c r="P122" i="4" s="1"/>
  <c r="V122" i="4"/>
  <c r="T122" i="4"/>
  <c r="U130" i="4"/>
  <c r="V130" i="4"/>
  <c r="L120" i="4"/>
  <c r="S120" i="4" s="1"/>
  <c r="O111" i="4"/>
  <c r="P111" i="4" s="1"/>
  <c r="V112" i="4"/>
  <c r="T112" i="4"/>
  <c r="T99" i="4"/>
  <c r="N115" i="4"/>
  <c r="Q115" i="4" s="1"/>
  <c r="O105" i="4"/>
  <c r="P105" i="4" s="1"/>
  <c r="V92" i="4"/>
  <c r="T92" i="4"/>
  <c r="O113" i="4"/>
  <c r="P113" i="4" s="1"/>
  <c r="T113" i="4"/>
  <c r="O125" i="4"/>
  <c r="P125" i="4" s="1"/>
  <c r="T125" i="4"/>
  <c r="O123" i="4"/>
  <c r="P123" i="4" s="1"/>
  <c r="T123" i="4"/>
  <c r="N112" i="4"/>
  <c r="Q112" i="4" s="1"/>
  <c r="L77" i="4"/>
  <c r="S77" i="4" s="1"/>
  <c r="T115" i="4"/>
  <c r="V115" i="4"/>
  <c r="T82" i="4"/>
  <c r="T119" i="4"/>
  <c r="U131" i="4"/>
  <c r="V131" i="4"/>
  <c r="M121" i="4"/>
  <c r="U121" i="4" s="1"/>
  <c r="M115" i="4"/>
  <c r="U115" i="4" s="1"/>
  <c r="O91" i="4"/>
  <c r="P91" i="4" s="1"/>
  <c r="O107" i="4"/>
  <c r="P107" i="4" s="1"/>
  <c r="O127" i="4"/>
  <c r="P127" i="4" s="1"/>
  <c r="L109" i="4"/>
  <c r="N110" i="4"/>
  <c r="Q110" i="4" s="1"/>
  <c r="N80" i="4"/>
  <c r="Q80" i="4" s="1"/>
  <c r="L95" i="4"/>
  <c r="S95" i="4" s="1"/>
  <c r="N104" i="4"/>
  <c r="Q104" i="4" s="1"/>
  <c r="O126" i="4"/>
  <c r="P126" i="4" s="1"/>
  <c r="O120" i="4"/>
  <c r="P120" i="4" s="1"/>
  <c r="L111" i="4"/>
  <c r="N72" i="4"/>
  <c r="Q72" i="4" s="1"/>
  <c r="L127" i="4"/>
  <c r="S127" i="4" s="1"/>
  <c r="L89" i="4"/>
  <c r="S89" i="4" s="1"/>
  <c r="O119" i="4"/>
  <c r="P119" i="4" s="1"/>
  <c r="L114" i="4"/>
  <c r="S114" i="4" s="1"/>
  <c r="M124" i="4"/>
  <c r="U124" i="4" s="1"/>
  <c r="N113" i="4"/>
  <c r="Q113" i="4" s="1"/>
  <c r="N77" i="4"/>
  <c r="Q77" i="4" s="1"/>
  <c r="O108" i="4"/>
  <c r="P108" i="4" s="1"/>
  <c r="N94" i="4"/>
  <c r="Q94" i="4" s="1"/>
  <c r="L86" i="4"/>
  <c r="S86" i="4" s="1"/>
  <c r="L84" i="4"/>
  <c r="S84" i="4" s="1"/>
  <c r="O115" i="4"/>
  <c r="P115" i="4" s="1"/>
  <c r="O71" i="4"/>
  <c r="P71" i="4" s="1"/>
  <c r="L116" i="4"/>
  <c r="S116" i="4" s="1"/>
  <c r="N78" i="4"/>
  <c r="Q78" i="4" s="1"/>
  <c r="L96" i="4"/>
  <c r="S96" i="4" s="1"/>
  <c r="O121" i="4"/>
  <c r="P121" i="4" s="1"/>
  <c r="M120" i="4"/>
  <c r="U120" i="4" s="1"/>
  <c r="L119" i="4"/>
  <c r="S119" i="4" s="1"/>
  <c r="O114" i="4"/>
  <c r="P114" i="4" s="1"/>
  <c r="O75" i="4"/>
  <c r="P75" i="4" s="1"/>
  <c r="O92" i="4"/>
  <c r="P92" i="4" s="1"/>
  <c r="O83" i="4"/>
  <c r="P83" i="4" s="1"/>
  <c r="M72" i="4"/>
  <c r="U72" i="4" s="1"/>
  <c r="M77" i="4"/>
  <c r="U77" i="4" s="1"/>
  <c r="O78" i="4"/>
  <c r="P78" i="4" s="1"/>
  <c r="O82" i="4"/>
  <c r="P82" i="4" s="1"/>
  <c r="L107" i="4"/>
  <c r="M78" i="4"/>
  <c r="U78" i="4" s="1"/>
  <c r="L90" i="4"/>
  <c r="S90" i="4" s="1"/>
  <c r="L82" i="4"/>
  <c r="S82" i="4" s="1"/>
  <c r="L83" i="4"/>
  <c r="S83" i="4" s="1"/>
  <c r="O76" i="4"/>
  <c r="P76" i="4" s="1"/>
  <c r="O97" i="4"/>
  <c r="P97" i="4" s="1"/>
  <c r="L73" i="4"/>
  <c r="S73" i="4" s="1"/>
  <c r="M81" i="4"/>
  <c r="U81" i="4" s="1"/>
  <c r="M86" i="4"/>
  <c r="U86" i="4" s="1"/>
  <c r="L108" i="4"/>
  <c r="S108" i="4" s="1"/>
  <c r="L85" i="4"/>
  <c r="S85" i="4" s="1"/>
  <c r="L75" i="4"/>
  <c r="S75" i="4" s="1"/>
  <c r="O80" i="4"/>
  <c r="P80" i="4" s="1"/>
  <c r="O74" i="4"/>
  <c r="P74" i="4" s="1"/>
  <c r="O96" i="4"/>
  <c r="P96" i="4" s="1"/>
  <c r="O72" i="4"/>
  <c r="P72" i="4" s="1"/>
  <c r="M76" i="4"/>
  <c r="U76" i="4" s="1"/>
  <c r="O84" i="4"/>
  <c r="P84" i="4" s="1"/>
  <c r="O77" i="4"/>
  <c r="P77" i="4" s="1"/>
  <c r="O87" i="4"/>
  <c r="P87" i="4" s="1"/>
  <c r="M74" i="4"/>
  <c r="U74" i="4" s="1"/>
  <c r="M94" i="4"/>
  <c r="U94" i="4" s="1"/>
  <c r="O79" i="4"/>
  <c r="P79" i="4" s="1"/>
  <c r="L126" i="4"/>
  <c r="S126" i="4" s="1"/>
  <c r="L71" i="4"/>
  <c r="S71" i="4" s="1"/>
  <c r="M97" i="4"/>
  <c r="O95" i="4"/>
  <c r="P95" i="4" s="1"/>
  <c r="O88" i="4"/>
  <c r="P88" i="4" s="1"/>
  <c r="N127" i="4"/>
  <c r="Q127" i="4" s="1"/>
  <c r="L79" i="4"/>
  <c r="S79" i="4" s="1"/>
  <c r="O73" i="4"/>
  <c r="P73" i="4" s="1"/>
  <c r="O93" i="4"/>
  <c r="P93" i="4" s="1"/>
  <c r="O90" i="4"/>
  <c r="P90" i="4" s="1"/>
  <c r="O85" i="4"/>
  <c r="P85" i="4" s="1"/>
  <c r="M93" i="4"/>
  <c r="U93" i="4" s="1"/>
  <c r="M80" i="4"/>
  <c r="U80" i="4" s="1"/>
  <c r="M87" i="4"/>
  <c r="U87" i="4" s="1"/>
  <c r="L91" i="4"/>
  <c r="S91" i="4" s="1"/>
  <c r="N75" i="4"/>
  <c r="Q75" i="4" s="1"/>
  <c r="O89" i="4"/>
  <c r="P89" i="4" s="1"/>
  <c r="O86" i="4"/>
  <c r="P86" i="4" s="1"/>
  <c r="M92" i="4"/>
  <c r="U92" i="4" s="1"/>
  <c r="O81" i="4"/>
  <c r="P81" i="4" s="1"/>
  <c r="L88" i="4"/>
  <c r="S88" i="4" s="1"/>
  <c r="N82" i="4"/>
  <c r="Q82" i="4" s="1"/>
  <c r="N93" i="4"/>
  <c r="Q93" i="4" s="1"/>
  <c r="N84" i="4"/>
  <c r="Q84" i="4" s="1"/>
  <c r="J14" i="4"/>
  <c r="J13" i="4" s="1"/>
  <c r="K16" i="4" s="1"/>
  <c r="M106" i="4" l="1"/>
  <c r="S106" i="4"/>
  <c r="V113" i="4"/>
  <c r="V78" i="4"/>
  <c r="V80" i="4"/>
  <c r="V94" i="4"/>
  <c r="M95" i="4"/>
  <c r="V121" i="4"/>
  <c r="V118" i="4"/>
  <c r="M96" i="4"/>
  <c r="M98" i="4"/>
  <c r="S98" i="4"/>
  <c r="V120" i="4"/>
  <c r="M117" i="4"/>
  <c r="S117" i="4"/>
  <c r="M109" i="4"/>
  <c r="S109" i="4"/>
  <c r="V103" i="4"/>
  <c r="M89" i="4"/>
  <c r="V99" i="4"/>
  <c r="V93" i="4"/>
  <c r="M110" i="4"/>
  <c r="S110" i="4"/>
  <c r="V123" i="4"/>
  <c r="V76" i="4"/>
  <c r="V87" i="4"/>
  <c r="M111" i="4"/>
  <c r="S111" i="4"/>
  <c r="V125" i="4"/>
  <c r="V81" i="4"/>
  <c r="V72" i="4"/>
  <c r="V102" i="4"/>
  <c r="V124" i="4"/>
  <c r="V77" i="4"/>
  <c r="M91" i="4"/>
  <c r="M126" i="4"/>
  <c r="M114" i="4"/>
  <c r="M84" i="4"/>
  <c r="M107" i="4"/>
  <c r="M71" i="4"/>
  <c r="M116" i="4"/>
  <c r="M119" i="4"/>
  <c r="M108" i="4"/>
  <c r="M127" i="4"/>
  <c r="M88" i="4"/>
  <c r="M73" i="4"/>
  <c r="M79" i="4"/>
  <c r="M75" i="4"/>
  <c r="M85" i="4"/>
  <c r="M83" i="4"/>
  <c r="M82" i="4"/>
  <c r="M90" i="4"/>
  <c r="K14" i="4"/>
  <c r="K13" i="4"/>
  <c r="K15" i="4"/>
  <c r="U75" i="4" l="1"/>
  <c r="V75" i="4"/>
  <c r="U91" i="4"/>
  <c r="V91" i="4"/>
  <c r="U98" i="4"/>
  <c r="V98" i="4"/>
  <c r="U73" i="4"/>
  <c r="V73" i="4"/>
  <c r="U110" i="4"/>
  <c r="V110" i="4"/>
  <c r="U88" i="4"/>
  <c r="V88" i="4"/>
  <c r="U108" i="4"/>
  <c r="V108" i="4"/>
  <c r="U89" i="4"/>
  <c r="V89" i="4"/>
  <c r="U95" i="4"/>
  <c r="V95" i="4"/>
  <c r="U119" i="4"/>
  <c r="V119" i="4"/>
  <c r="U126" i="4"/>
  <c r="V126" i="4"/>
  <c r="U79" i="4"/>
  <c r="V79" i="4"/>
  <c r="U96" i="4"/>
  <c r="V96" i="4"/>
  <c r="U127" i="4"/>
  <c r="V127" i="4"/>
  <c r="U116" i="4"/>
  <c r="V116" i="4"/>
  <c r="U71" i="4"/>
  <c r="V71" i="4"/>
  <c r="U82" i="4"/>
  <c r="V82" i="4"/>
  <c r="U111" i="4"/>
  <c r="V111" i="4"/>
  <c r="U84" i="4"/>
  <c r="V84" i="4"/>
  <c r="U117" i="4"/>
  <c r="V117" i="4"/>
  <c r="U90" i="4"/>
  <c r="V90" i="4"/>
  <c r="U109" i="4"/>
  <c r="V109" i="4"/>
  <c r="U83" i="4"/>
  <c r="V83" i="4"/>
  <c r="U85" i="4"/>
  <c r="V85" i="4"/>
  <c r="U114" i="4"/>
  <c r="V114" i="4"/>
  <c r="U106" i="4"/>
  <c r="V106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T58" i="4" l="1"/>
  <c r="T60" i="4"/>
  <c r="T62" i="4"/>
  <c r="O56" i="4"/>
  <c r="P56" i="4" s="1"/>
  <c r="T56" i="4"/>
  <c r="T57" i="4"/>
  <c r="T61" i="4"/>
  <c r="O59" i="4"/>
  <c r="P59" i="4" s="1"/>
  <c r="T59" i="4"/>
  <c r="O55" i="4"/>
  <c r="P55" i="4" s="1"/>
  <c r="T55" i="4"/>
  <c r="T63" i="4"/>
  <c r="O61" i="4"/>
  <c r="P61" i="4" s="1"/>
  <c r="O60" i="4"/>
  <c r="P60" i="4" s="1"/>
  <c r="O62" i="4"/>
  <c r="P62" i="4" s="1"/>
  <c r="O58" i="4"/>
  <c r="P58" i="4" s="1"/>
  <c r="O57" i="4"/>
  <c r="P57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8" i="4" l="1"/>
  <c r="T64" i="4"/>
  <c r="M56" i="4"/>
  <c r="S56" i="4"/>
  <c r="M55" i="4"/>
  <c r="S55" i="4"/>
  <c r="V69" i="4"/>
  <c r="T69" i="4"/>
  <c r="V70" i="4"/>
  <c r="T70" i="4"/>
  <c r="T65" i="4"/>
  <c r="M59" i="4"/>
  <c r="S59" i="4"/>
  <c r="T67" i="4"/>
  <c r="V66" i="4"/>
  <c r="T66" i="4"/>
  <c r="M60" i="4"/>
  <c r="M61" i="4"/>
  <c r="M70" i="4"/>
  <c r="U70" i="4" s="1"/>
  <c r="M62" i="4"/>
  <c r="M63" i="4"/>
  <c r="M64" i="4"/>
  <c r="U64" i="4" s="1"/>
  <c r="O64" i="4"/>
  <c r="P64" i="4" s="1"/>
  <c r="M69" i="4"/>
  <c r="U69" i="4" s="1"/>
  <c r="O69" i="4"/>
  <c r="P69" i="4" s="1"/>
  <c r="M66" i="4"/>
  <c r="U66" i="4" s="1"/>
  <c r="O67" i="4"/>
  <c r="P67" i="4" s="1"/>
  <c r="M67" i="4"/>
  <c r="U67" i="4" s="1"/>
  <c r="M68" i="4"/>
  <c r="U68" i="4" s="1"/>
  <c r="M58" i="4"/>
  <c r="M57" i="4"/>
  <c r="O65" i="4"/>
  <c r="P65" i="4" s="1"/>
  <c r="O66" i="4"/>
  <c r="P66" i="4" s="1"/>
  <c r="M65" i="4"/>
  <c r="U65" i="4" s="1"/>
  <c r="O68" i="4"/>
  <c r="P68" i="4" s="1"/>
  <c r="O70" i="4"/>
  <c r="P70" i="4" s="1"/>
  <c r="U62" i="4" l="1"/>
  <c r="V62" i="4"/>
  <c r="U58" i="4"/>
  <c r="V58" i="4"/>
  <c r="U60" i="4"/>
  <c r="V60" i="4"/>
  <c r="U55" i="4"/>
  <c r="V55" i="4"/>
  <c r="U61" i="4"/>
  <c r="V61" i="4"/>
  <c r="V67" i="4"/>
  <c r="U56" i="4"/>
  <c r="V56" i="4"/>
  <c r="U57" i="4"/>
  <c r="V57" i="4"/>
  <c r="U59" i="4"/>
  <c r="V59" i="4"/>
  <c r="V64" i="4"/>
  <c r="U63" i="4"/>
  <c r="V63" i="4"/>
  <c r="V65" i="4"/>
  <c r="V68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L45" i="4" s="1"/>
  <c r="S45" i="4" s="1"/>
  <c r="J30" i="4"/>
  <c r="K30" i="4" s="1"/>
  <c r="J43" i="4"/>
  <c r="K43" i="4" s="1"/>
  <c r="J31" i="4"/>
  <c r="K31" i="4" s="1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52" i="4"/>
  <c r="L52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T49" i="4" l="1"/>
  <c r="T47" i="4"/>
  <c r="M50" i="4"/>
  <c r="U50" i="4" s="1"/>
  <c r="S50" i="4"/>
  <c r="O52" i="4"/>
  <c r="P52" i="4" s="1"/>
  <c r="V52" i="4"/>
  <c r="T52" i="4"/>
  <c r="T28" i="4"/>
  <c r="T46" i="4"/>
  <c r="M54" i="4"/>
  <c r="U54" i="4" s="1"/>
  <c r="S54" i="4"/>
  <c r="M52" i="4"/>
  <c r="U52" i="4" s="1"/>
  <c r="S52" i="4"/>
  <c r="T33" i="4"/>
  <c r="T39" i="4"/>
  <c r="T48" i="4"/>
  <c r="V48" i="4"/>
  <c r="O50" i="4"/>
  <c r="P50" i="4" s="1"/>
  <c r="T50" i="4"/>
  <c r="T43" i="4"/>
  <c r="M51" i="4"/>
  <c r="U51" i="4" s="1"/>
  <c r="S51" i="4"/>
  <c r="T31" i="4"/>
  <c r="M53" i="4"/>
  <c r="U53" i="4" s="1"/>
  <c r="S53" i="4"/>
  <c r="T41" i="4"/>
  <c r="T30" i="4"/>
  <c r="O54" i="4"/>
  <c r="P54" i="4" s="1"/>
  <c r="V54" i="4"/>
  <c r="T54" i="4"/>
  <c r="O53" i="4"/>
  <c r="P53" i="4" s="1"/>
  <c r="T53" i="4"/>
  <c r="O51" i="4"/>
  <c r="P51" i="4" s="1"/>
  <c r="V51" i="4"/>
  <c r="T51" i="4"/>
  <c r="O49" i="4"/>
  <c r="P49" i="4" s="1"/>
  <c r="M49" i="4"/>
  <c r="U49" i="4" s="1"/>
  <c r="L47" i="4"/>
  <c r="S47" i="4" s="1"/>
  <c r="O48" i="4"/>
  <c r="P48" i="4" s="1"/>
  <c r="M48" i="4"/>
  <c r="U48" i="4" s="1"/>
  <c r="L30" i="4"/>
  <c r="S30" i="4" s="1"/>
  <c r="K44" i="4"/>
  <c r="K45" i="4"/>
  <c r="O39" i="4"/>
  <c r="P39" i="4" s="1"/>
  <c r="M39" i="4"/>
  <c r="U39" i="4" s="1"/>
  <c r="O33" i="4"/>
  <c r="P33" i="4" s="1"/>
  <c r="O44" i="4"/>
  <c r="P44" i="4" s="1"/>
  <c r="O47" i="4"/>
  <c r="P47" i="4" s="1"/>
  <c r="M45" i="4"/>
  <c r="U45" i="4" s="1"/>
  <c r="M35" i="4"/>
  <c r="U35" i="4" s="1"/>
  <c r="O28" i="4"/>
  <c r="P28" i="4" s="1"/>
  <c r="O46" i="4"/>
  <c r="P46" i="4" s="1"/>
  <c r="M44" i="4"/>
  <c r="U44" i="4" s="1"/>
  <c r="O31" i="4"/>
  <c r="P31" i="4" s="1"/>
  <c r="O43" i="4"/>
  <c r="P43" i="4" s="1"/>
  <c r="L43" i="4"/>
  <c r="S43" i="4" s="1"/>
  <c r="O41" i="4"/>
  <c r="P41" i="4" s="1"/>
  <c r="O30" i="4"/>
  <c r="P30" i="4" s="1"/>
  <c r="L31" i="4"/>
  <c r="S31" i="4" s="1"/>
  <c r="K35" i="4"/>
  <c r="K36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35" i="4" l="1"/>
  <c r="T35" i="4"/>
  <c r="V40" i="4"/>
  <c r="T40" i="4"/>
  <c r="V38" i="4"/>
  <c r="T38" i="4"/>
  <c r="V45" i="4"/>
  <c r="T45" i="4"/>
  <c r="V44" i="4"/>
  <c r="T44" i="4"/>
  <c r="V42" i="4"/>
  <c r="T42" i="4"/>
  <c r="V29" i="4"/>
  <c r="T29" i="4"/>
  <c r="V32" i="4"/>
  <c r="T32" i="4"/>
  <c r="V39" i="4"/>
  <c r="V53" i="4"/>
  <c r="V34" i="4"/>
  <c r="T34" i="4"/>
  <c r="V37" i="4"/>
  <c r="T37" i="4"/>
  <c r="V36" i="4"/>
  <c r="T36" i="4"/>
  <c r="V30" i="4"/>
  <c r="V50" i="4"/>
  <c r="V49" i="4"/>
  <c r="O45" i="4"/>
  <c r="P45" i="4" s="1"/>
  <c r="M47" i="4"/>
  <c r="O35" i="4"/>
  <c r="P35" i="4" s="1"/>
  <c r="O38" i="4"/>
  <c r="P38" i="4" s="1"/>
  <c r="O40" i="4"/>
  <c r="P40" i="4" s="1"/>
  <c r="M33" i="4"/>
  <c r="M46" i="4"/>
  <c r="M31" i="4"/>
  <c r="O29" i="4"/>
  <c r="P29" i="4" s="1"/>
  <c r="O32" i="4"/>
  <c r="P32" i="4" s="1"/>
  <c r="O34" i="4"/>
  <c r="P34" i="4" s="1"/>
  <c r="O42" i="4"/>
  <c r="P42" i="4" s="1"/>
  <c r="O36" i="4"/>
  <c r="P36" i="4" s="1"/>
  <c r="M41" i="4"/>
  <c r="M43" i="4"/>
  <c r="O37" i="4"/>
  <c r="P37" i="4" s="1"/>
  <c r="M28" i="4"/>
  <c r="U33" i="4" l="1"/>
  <c r="V33" i="4"/>
  <c r="U43" i="4"/>
  <c r="V43" i="4"/>
  <c r="U41" i="4"/>
  <c r="V41" i="4"/>
  <c r="U47" i="4"/>
  <c r="V47" i="4"/>
  <c r="U46" i="4"/>
  <c r="V46" i="4"/>
  <c r="U31" i="4"/>
  <c r="V31" i="4"/>
  <c r="U28" i="4"/>
  <c r="V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<sst xmlns="http://schemas.openxmlformats.org/spreadsheetml/2006/main" count="340" uniqueCount="314">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</sst>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N25" sqref="N2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80</v>
      </c>
      <c r="K17" s="31" t="s">
        <v>80</v>
      </c>
      <c r="L17" s="80">
        <v>2.6205E-3</v>
      </c>
      <c r="M17" s="80">
        <v>2.8380000000000001E-4</v>
      </c>
      <c r="N17" s="80">
        <v>9.5699999999999995E-5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9" zoomScale="70" zoomScaleNormal="70" workbookViewId="0">
      <selection activeCell="D28" sqref="D28:E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150.06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149.27541000000002</v>
      </c>
      <c r="K8" s="39">
        <f>J8/J7</f>
        <v>0.99477149140343879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0.7256760000000001</v>
      </c>
      <c r="K9" s="39">
        <f>J9/J7</f>
        <v>4.8359056377449026E-3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5.8913999999999994E-2</v>
      </c>
      <c r="K10" s="39">
        <f>J10/J7</f>
        <v>3.9260295881647335E-4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0.06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5.2409999999999998E-2</v>
      </c>
      <c r="K20" s="39">
        <f>J20/J19</f>
        <v>0.87350000000000005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5.6760000000000005E-3</v>
      </c>
      <c r="K21" s="39">
        <f>J21/J19</f>
        <v>9.4600000000000017E-2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1.9139999999999999E-3</v>
      </c>
      <c r="K22" s="39">
        <f>J22/J19</f>
        <v>3.1899999999999998E-2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9.4441934040065591E-3</v>
      </c>
      <c r="K28" s="93">
        <f t="shared" ref="K28:K47" si="3">IF(D28=0,"",1/(1+10^D28*$J$15/$J$14+10^E28*$J$16/$J$14+10^J28*$J$19/$J$14))</f>
        <v>0.99356202225021328</v>
      </c>
      <c r="L28" s="93">
        <f t="shared" ref="L28:L47" si="4">IF(D28=0,"",1/(1+10^I28/10^J28*$J$13/$J$19))</f>
        <v>4.0827676003549391E-4</v>
      </c>
      <c r="M28" s="93">
        <f t="shared" ref="M28:M47" si="5">IF(D28=0,"",1-L28)</f>
        <v>0.99959172323996448</v>
      </c>
      <c r="N28" s="93">
        <f t="shared" ref="N28:N47" si="6">IF(D28=0,"",1/(1/10^E28*$J$20/$J$22+10^D28/10^E28*$J$21/$J$22+10^I28/10^E28*$J$13/$J$22+1))</f>
        <v>1.5399873355658148E-5</v>
      </c>
      <c r="O28" s="40">
        <f t="shared" ref="O28:O47" si="7">IF(D28=0,"",F28*K28*$J$7/$J$14)</f>
        <v>9.9913496618394622E-7</v>
      </c>
      <c r="P28" s="40">
        <f t="shared" ref="P28:P47" si="8">IF(D28=0,"",O28*10^J28)</f>
        <v>1.0211001768487703E-6</v>
      </c>
      <c r="Q28" s="40">
        <f t="shared" ref="Q28:Q47" si="9">IF(D28=0,"",F28*N28*$J$7/$J$22)</f>
        <v>1.2073693812696249E-6</v>
      </c>
      <c r="R28" s="9">
        <f>F28*$C$14</f>
        <v>1.4999999999999999E-4</v>
      </c>
      <c r="S28" s="9">
        <f>$R28*L28</f>
        <v>6.1241514005324076E-8</v>
      </c>
      <c r="T28" s="9">
        <f t="shared" ref="T28:T91" si="10">R28*K28</f>
        <v>1.4903430333753197E-4</v>
      </c>
      <c r="U28" s="9">
        <f t="shared" ref="U28:U91" si="11">$R28*M28</f>
        <v>1.4993875848599465E-4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1.5094227425203597</v>
      </c>
      <c r="K29" s="93">
        <f t="shared" si="3"/>
        <v>0.46655820047971858</v>
      </c>
      <c r="L29" s="93">
        <f t="shared" si="4"/>
        <v>6.0623925366005997E-3</v>
      </c>
      <c r="M29" s="93">
        <f t="shared" si="5"/>
        <v>0.99393760746339943</v>
      </c>
      <c r="N29" s="93">
        <f t="shared" si="6"/>
        <v>2.2751602624725906E-3</v>
      </c>
      <c r="O29" s="40">
        <f t="shared" si="7"/>
        <v>4.6917515104230952E-7</v>
      </c>
      <c r="P29" s="40">
        <f t="shared" si="8"/>
        <v>1.5162043734038094E-5</v>
      </c>
      <c r="Q29" s="40">
        <f t="shared" si="9"/>
        <v>1.7837541744338399E-4</v>
      </c>
      <c r="R29" s="9">
        <f t="shared" ref="R29:R92" si="12">F29*$C$14</f>
        <v>1.4999999999999999E-4</v>
      </c>
      <c r="S29" s="9">
        <f t="shared" ref="S29:S92" si="13">$R29*L29</f>
        <v>9.0935888049008982E-7</v>
      </c>
      <c r="T29" s="9">
        <f t="shared" si="10"/>
        <v>6.9983730071957774E-5</v>
      </c>
      <c r="U29" s="9">
        <f t="shared" si="11"/>
        <v>1.4909064111950991E-4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3.3785873717782535</v>
      </c>
      <c r="K30" s="93">
        <f t="shared" si="3"/>
        <v>8.1085578176551525E-3</v>
      </c>
      <c r="L30" s="93">
        <f t="shared" si="4"/>
        <v>7.7955448243045089E-3</v>
      </c>
      <c r="M30" s="93">
        <f t="shared" si="5"/>
        <v>0.99220445517569544</v>
      </c>
      <c r="N30" s="93">
        <f t="shared" si="6"/>
        <v>4.5399365619073046E-5</v>
      </c>
      <c r="O30" s="40">
        <f t="shared" si="7"/>
        <v>8.1540391636499209E-9</v>
      </c>
      <c r="P30" s="40">
        <f t="shared" si="8"/>
        <v>1.9496657605585594E-5</v>
      </c>
      <c r="Q30" s="40">
        <f t="shared" si="9"/>
        <v>3.5593671916395517E-6</v>
      </c>
      <c r="R30" s="9">
        <f t="shared" si="12"/>
        <v>1.4999999999999999E-4</v>
      </c>
      <c r="S30" s="9">
        <f t="shared" si="13"/>
        <v>1.1693317236456762E-6</v>
      </c>
      <c r="T30" s="9">
        <f t="shared" si="10"/>
        <v>1.2162836726482728E-6</v>
      </c>
      <c r="U30" s="9">
        <f t="shared" si="11"/>
        <v>1.4883066827635431E-4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-5.2888799671809497E-2</v>
      </c>
      <c r="K31" s="93">
        <f t="shared" si="3"/>
        <v>0.99906113952862374</v>
      </c>
      <c r="L31" s="93">
        <f t="shared" si="4"/>
        <v>3.5564667307064879E-4</v>
      </c>
      <c r="M31" s="93">
        <f t="shared" si="5"/>
        <v>0.99964435332692936</v>
      </c>
      <c r="N31" s="93">
        <f t="shared" si="6"/>
        <v>2.083480697418999E-7</v>
      </c>
      <c r="O31" s="40">
        <f t="shared" si="7"/>
        <v>1.0046649283130972E-6</v>
      </c>
      <c r="P31" s="40">
        <f t="shared" si="8"/>
        <v>8.894723293496928E-7</v>
      </c>
      <c r="Q31" s="40">
        <f t="shared" si="9"/>
        <v>1.633474991926306E-8</v>
      </c>
      <c r="R31" s="9">
        <f t="shared" si="12"/>
        <v>1.4999999999999999E-4</v>
      </c>
      <c r="S31" s="9">
        <f t="shared" si="13"/>
        <v>5.3347000960597316E-8</v>
      </c>
      <c r="T31" s="9">
        <f t="shared" si="10"/>
        <v>1.4985917092929355E-4</v>
      </c>
      <c r="U31" s="9">
        <f t="shared" si="11"/>
        <v>1.4994665299903939E-4</v>
      </c>
      <c r="V31" s="100">
        <f t="shared" si="14"/>
        <v>0.99941657870985356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0.10416922018936327</v>
      </c>
      <c r="K32" s="93">
        <f t="shared" si="3"/>
        <v>0.9820320043505959</v>
      </c>
      <c r="L32" s="93">
        <f t="shared" si="4"/>
        <v>5.0189208336533751E-4</v>
      </c>
      <c r="M32" s="93">
        <f t="shared" si="5"/>
        <v>0.99949810791663463</v>
      </c>
      <c r="N32" s="93">
        <f t="shared" si="6"/>
        <v>2.5211192586929676E-5</v>
      </c>
      <c r="O32" s="40">
        <f t="shared" si="7"/>
        <v>9.875402757808809E-7</v>
      </c>
      <c r="P32" s="40">
        <f t="shared" si="8"/>
        <v>1.2552321004967091E-6</v>
      </c>
      <c r="Q32" s="40">
        <f t="shared" si="9"/>
        <v>1.9765891115959599E-6</v>
      </c>
      <c r="R32" s="9">
        <f t="shared" si="12"/>
        <v>1.4999999999999999E-4</v>
      </c>
      <c r="S32" s="9">
        <f t="shared" si="13"/>
        <v>7.5283812504800621E-8</v>
      </c>
      <c r="T32" s="9">
        <f t="shared" si="10"/>
        <v>1.4730480065258938E-4</v>
      </c>
      <c r="U32" s="9">
        <f t="shared" si="11"/>
        <v>1.4992471618749517E-4</v>
      </c>
      <c r="V32" s="100">
        <f t="shared" si="14"/>
        <v>0.98252512593300922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0.8680334254166765</v>
      </c>
      <c r="K33" s="93">
        <f t="shared" si="3"/>
        <v>0.80385981193694755</v>
      </c>
      <c r="L33" s="93">
        <f t="shared" si="4"/>
        <v>2.3852243050415151E-3</v>
      </c>
      <c r="M33" s="93">
        <f t="shared" si="5"/>
        <v>0.99761477569495849</v>
      </c>
      <c r="N33" s="93">
        <f t="shared" si="6"/>
        <v>7.5200702250622384E-4</v>
      </c>
      <c r="O33" s="40">
        <f t="shared" si="7"/>
        <v>8.083687057575464E-7</v>
      </c>
      <c r="P33" s="40">
        <f t="shared" si="8"/>
        <v>5.9654459869088293E-6</v>
      </c>
      <c r="Q33" s="40">
        <f t="shared" si="9"/>
        <v>5.8958293520002066E-5</v>
      </c>
      <c r="R33" s="9">
        <f t="shared" si="12"/>
        <v>1.4999999999999999E-4</v>
      </c>
      <c r="S33" s="9">
        <f t="shared" si="13"/>
        <v>3.5778364575622721E-7</v>
      </c>
      <c r="T33" s="9">
        <f t="shared" si="10"/>
        <v>1.2057897179054212E-4</v>
      </c>
      <c r="U33" s="9">
        <f t="shared" si="11"/>
        <v>1.4964221635424375E-4</v>
      </c>
      <c r="V33" s="100">
        <f t="shared" si="14"/>
        <v>0.80578178222847863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6.0527862782966999E-2</v>
      </c>
      <c r="K34" s="93">
        <f t="shared" si="3"/>
        <v>0.98715529922009537</v>
      </c>
      <c r="L34" s="93">
        <f t="shared" si="4"/>
        <v>4.5627726277977434E-4</v>
      </c>
      <c r="M34" s="93">
        <f t="shared" si="5"/>
        <v>0.99954372273722025</v>
      </c>
      <c r="N34" s="93">
        <f t="shared" si="6"/>
        <v>1.5560267467310493E-5</v>
      </c>
      <c r="O34" s="40">
        <f t="shared" si="7"/>
        <v>9.9269230749259496E-7</v>
      </c>
      <c r="P34" s="40">
        <f t="shared" si="8"/>
        <v>1.1411494342122158E-6</v>
      </c>
      <c r="Q34" s="40">
        <f t="shared" si="9"/>
        <v>1.2199444807443117E-6</v>
      </c>
      <c r="R34" s="9">
        <f t="shared" si="12"/>
        <v>1.4999999999999999E-4</v>
      </c>
      <c r="S34" s="9">
        <f t="shared" si="13"/>
        <v>6.8441589416966146E-8</v>
      </c>
      <c r="T34" s="9">
        <f t="shared" si="10"/>
        <v>1.480732948830143E-4</v>
      </c>
      <c r="U34" s="9">
        <f t="shared" si="11"/>
        <v>1.4993155841058303E-4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3.308020042167583E-2</v>
      </c>
      <c r="K35" s="93">
        <f t="shared" si="3"/>
        <v>0.99020373318111321</v>
      </c>
      <c r="L35" s="93">
        <f t="shared" si="4"/>
        <v>4.2965536915080284E-4</v>
      </c>
      <c r="M35" s="93">
        <f t="shared" si="5"/>
        <v>0.99957034463084915</v>
      </c>
      <c r="N35" s="93">
        <f t="shared" si="6"/>
        <v>1.0502165585155932E-5</v>
      </c>
      <c r="O35" s="40">
        <f t="shared" si="7"/>
        <v>9.9575784028707261E-7</v>
      </c>
      <c r="P35" s="40">
        <f t="shared" si="8"/>
        <v>1.0745680782461578E-6</v>
      </c>
      <c r="Q35" s="40">
        <f t="shared" si="9"/>
        <v>8.2338295073589303E-7</v>
      </c>
      <c r="R35" s="9">
        <f t="shared" si="12"/>
        <v>1.4999999999999999E-4</v>
      </c>
      <c r="S35" s="9">
        <f t="shared" si="13"/>
        <v>6.4448305372620425E-8</v>
      </c>
      <c r="T35" s="9">
        <f t="shared" si="10"/>
        <v>1.4853055997716697E-4</v>
      </c>
      <c r="U35" s="9">
        <f t="shared" si="11"/>
        <v>1.4993555169462737E-4</v>
      </c>
      <c r="V35" s="100">
        <f t="shared" si="14"/>
        <v>0.99062936240550925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2.8316859841390225</v>
      </c>
      <c r="K36" s="93">
        <f t="shared" si="3"/>
        <v>5.1071184983801116E-2</v>
      </c>
      <c r="L36" s="93">
        <f t="shared" si="4"/>
        <v>1.3937260016056267E-2</v>
      </c>
      <c r="M36" s="93">
        <f t="shared" si="5"/>
        <v>0.98606273998394378</v>
      </c>
      <c r="N36" s="93">
        <f t="shared" si="6"/>
        <v>8.5575235172452961E-3</v>
      </c>
      <c r="O36" s="40">
        <f t="shared" si="7"/>
        <v>5.1357646064408262E-8</v>
      </c>
      <c r="P36" s="40">
        <f t="shared" si="8"/>
        <v>3.485708730015675E-5</v>
      </c>
      <c r="Q36" s="40">
        <f t="shared" si="9"/>
        <v>6.7092057418904341E-4</v>
      </c>
      <c r="R36" s="9">
        <f t="shared" si="12"/>
        <v>1.4999999999999999E-4</v>
      </c>
      <c r="S36" s="9">
        <f t="shared" si="13"/>
        <v>2.0905890024084398E-6</v>
      </c>
      <c r="T36" s="9">
        <f t="shared" si="10"/>
        <v>7.6606777475701659E-6</v>
      </c>
      <c r="U36" s="9">
        <f t="shared" si="11"/>
        <v>1.4790941099759156E-4</v>
      </c>
      <c r="V36" s="100">
        <f t="shared" si="14"/>
        <v>5.179303802173147E-2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5.0319753139522181</v>
      </c>
      <c r="K37" s="93">
        <f t="shared" si="3"/>
        <v>6.1418142203788369E-4</v>
      </c>
      <c r="L37" s="93">
        <f t="shared" si="4"/>
        <v>2.6581988947970685E-2</v>
      </c>
      <c r="M37" s="93">
        <f t="shared" si="5"/>
        <v>0.9734180110520293</v>
      </c>
      <c r="N37" s="93">
        <f t="shared" si="6"/>
        <v>2.4715234922189223E-2</v>
      </c>
      <c r="O37" s="40">
        <f t="shared" si="7"/>
        <v>6.176263993553596E-10</v>
      </c>
      <c r="P37" s="40">
        <f t="shared" si="8"/>
        <v>6.6481554358874766E-5</v>
      </c>
      <c r="Q37" s="40">
        <f t="shared" si="9"/>
        <v>1.9377054087898198E-3</v>
      </c>
      <c r="R37" s="9">
        <f t="shared" si="12"/>
        <v>1.4999999999999999E-4</v>
      </c>
      <c r="S37" s="9">
        <f t="shared" si="13"/>
        <v>3.9872983421956028E-6</v>
      </c>
      <c r="T37" s="9">
        <f t="shared" si="10"/>
        <v>9.2127213305682551E-8</v>
      </c>
      <c r="U37" s="9">
        <f t="shared" si="11"/>
        <v>1.4601270165780439E-4</v>
      </c>
      <c r="V37" s="100">
        <f t="shared" si="14"/>
        <v>6.3095341884428691E-4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-4.3517986531337385E-2</v>
      </c>
      <c r="K38" s="93">
        <f t="shared" si="3"/>
        <v>0.99812857896812646</v>
      </c>
      <c r="L38" s="93">
        <f t="shared" si="4"/>
        <v>3.6306466846058259E-4</v>
      </c>
      <c r="M38" s="93">
        <f t="shared" si="5"/>
        <v>0.99963693533153941</v>
      </c>
      <c r="N38" s="93">
        <f t="shared" si="6"/>
        <v>7.99440314581352E-7</v>
      </c>
      <c r="O38" s="40">
        <f t="shared" si="7"/>
        <v>1.0037271369692141E-6</v>
      </c>
      <c r="P38" s="40">
        <f t="shared" si="8"/>
        <v>9.0802473581991696E-7</v>
      </c>
      <c r="Q38" s="40">
        <f t="shared" si="9"/>
        <v>6.2677123096174327E-8</v>
      </c>
      <c r="R38" s="9">
        <f t="shared" si="12"/>
        <v>1.4999999999999999E-4</v>
      </c>
      <c r="S38" s="9">
        <f t="shared" si="13"/>
        <v>5.4459700269087382E-8</v>
      </c>
      <c r="T38" s="9">
        <f t="shared" si="10"/>
        <v>1.4971928684521894E-4</v>
      </c>
      <c r="U38" s="9">
        <f t="shared" si="11"/>
        <v>1.4994554029973089E-4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1.4941370637576192</v>
      </c>
      <c r="K39" s="93">
        <f t="shared" si="3"/>
        <v>0.45744057510451319</v>
      </c>
      <c r="L39" s="93">
        <f t="shared" si="4"/>
        <v>5.7383526108834527E-3</v>
      </c>
      <c r="M39" s="93">
        <f t="shared" si="5"/>
        <v>0.9942616473891166</v>
      </c>
      <c r="N39" s="93">
        <f t="shared" si="6"/>
        <v>1.7586234124669824E-3</v>
      </c>
      <c r="O39" s="40">
        <f t="shared" si="7"/>
        <v>4.6000638440577692E-7</v>
      </c>
      <c r="P39" s="40">
        <f t="shared" si="8"/>
        <v>1.4351619879819518E-5</v>
      </c>
      <c r="Q39" s="40">
        <f t="shared" si="9"/>
        <v>1.3787828070783458E-4</v>
      </c>
      <c r="R39" s="9">
        <f t="shared" si="12"/>
        <v>1.4999999999999999E-4</v>
      </c>
      <c r="S39" s="9">
        <f t="shared" si="13"/>
        <v>8.6075289163251781E-7</v>
      </c>
      <c r="T39" s="9">
        <f t="shared" si="10"/>
        <v>6.861608626567697E-5</v>
      </c>
      <c r="U39" s="9">
        <f t="shared" si="11"/>
        <v>1.4913924710836747E-4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1.6575558987283585</v>
      </c>
      <c r="K40" s="93">
        <f t="shared" si="3"/>
        <v>0.42041311293565675</v>
      </c>
      <c r="L40" s="93">
        <f t="shared" si="4"/>
        <v>7.683297255421633E-3</v>
      </c>
      <c r="M40" s="93">
        <f t="shared" si="5"/>
        <v>0.99231670274457839</v>
      </c>
      <c r="N40" s="93">
        <f t="shared" si="6"/>
        <v>3.9558484000058207E-3</v>
      </c>
      <c r="O40" s="40">
        <f t="shared" si="7"/>
        <v>4.2277123316864457E-7</v>
      </c>
      <c r="P40" s="40">
        <f t="shared" si="8"/>
        <v>1.9215926435809508E-5</v>
      </c>
      <c r="Q40" s="40">
        <f t="shared" si="9"/>
        <v>3.1014347487192968E-4</v>
      </c>
      <c r="R40" s="9">
        <f t="shared" si="12"/>
        <v>1.4999999999999999E-4</v>
      </c>
      <c r="S40" s="9">
        <f t="shared" si="13"/>
        <v>1.1524945883132449E-6</v>
      </c>
      <c r="T40" s="9">
        <f t="shared" si="10"/>
        <v>6.3061966940348508E-5</v>
      </c>
      <c r="U40" s="9">
        <f t="shared" si="11"/>
        <v>1.4884750541168675E-4</v>
      </c>
      <c r="V40" s="100">
        <f t="shared" si="14"/>
        <v>0.42366828228615516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0.68019675641126665</v>
      </c>
      <c r="K41" s="93">
        <f t="shared" si="3"/>
        <v>0.86079918143889755</v>
      </c>
      <c r="L41" s="93">
        <f t="shared" si="4"/>
        <v>1.6573494376642391E-3</v>
      </c>
      <c r="M41" s="93">
        <f t="shared" si="5"/>
        <v>0.99834265056233573</v>
      </c>
      <c r="N41" s="93">
        <f t="shared" si="6"/>
        <v>3.5377489596248092E-4</v>
      </c>
      <c r="O41" s="40">
        <f t="shared" si="7"/>
        <v>8.6562745130925487E-7</v>
      </c>
      <c r="P41" s="40">
        <f t="shared" si="8"/>
        <v>4.1450309435982613E-6</v>
      </c>
      <c r="Q41" s="40">
        <f t="shared" si="9"/>
        <v>2.7736395448343725E-5</v>
      </c>
      <c r="R41" s="9">
        <f t="shared" si="12"/>
        <v>1.4999999999999999E-4</v>
      </c>
      <c r="S41" s="9">
        <f t="shared" si="13"/>
        <v>2.4860241564963585E-7</v>
      </c>
      <c r="T41" s="9">
        <f t="shared" si="10"/>
        <v>1.2911987721583463E-4</v>
      </c>
      <c r="U41" s="9">
        <f t="shared" si="11"/>
        <v>1.4975139758435034E-4</v>
      </c>
      <c r="V41" s="100">
        <f t="shared" si="14"/>
        <v>0.86222819485277513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1.3367435070507094</v>
      </c>
      <c r="K42" s="93">
        <f t="shared" si="3"/>
        <v>0.58894960408570818</v>
      </c>
      <c r="L42" s="93">
        <f t="shared" si="4"/>
        <v>5.1420598206788452E-3</v>
      </c>
      <c r="M42" s="93">
        <f t="shared" si="5"/>
        <v>0.99485794017932117</v>
      </c>
      <c r="N42" s="93">
        <f t="shared" si="6"/>
        <v>2.2676827724844272E-3</v>
      </c>
      <c r="O42" s="40">
        <f t="shared" si="7"/>
        <v>5.9225305475095229E-7</v>
      </c>
      <c r="P42" s="40">
        <f t="shared" si="8"/>
        <v>1.2860291611517791E-5</v>
      </c>
      <c r="Q42" s="40">
        <f t="shared" si="9"/>
        <v>1.7778917285214896E-4</v>
      </c>
      <c r="R42" s="9">
        <f t="shared" si="12"/>
        <v>1.4999999999999999E-4</v>
      </c>
      <c r="S42" s="9">
        <f t="shared" si="13"/>
        <v>7.7130897310182667E-7</v>
      </c>
      <c r="T42" s="9">
        <f t="shared" si="10"/>
        <v>8.8342440612856221E-5</v>
      </c>
      <c r="U42" s="9">
        <f t="shared" si="11"/>
        <v>1.4922869102689817E-4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1.483039277776858</v>
      </c>
      <c r="K43" s="93">
        <f t="shared" si="3"/>
        <v>0.4725960566659661</v>
      </c>
      <c r="L43" s="93">
        <f t="shared" si="4"/>
        <v>5.7788956822273363E-3</v>
      </c>
      <c r="M43" s="93">
        <f t="shared" si="5"/>
        <v>0.99422110431777266</v>
      </c>
      <c r="N43" s="93">
        <f t="shared" si="6"/>
        <v>1.9611971801990059E-3</v>
      </c>
      <c r="O43" s="40">
        <f t="shared" si="7"/>
        <v>4.7524687389541066E-7</v>
      </c>
      <c r="P43" s="40">
        <f t="shared" si="8"/>
        <v>1.4453018101250574E-5</v>
      </c>
      <c r="Q43" s="40">
        <f t="shared" si="9"/>
        <v>1.5376031810901921E-4</v>
      </c>
      <c r="R43" s="9">
        <f t="shared" si="12"/>
        <v>1.4999999999999999E-4</v>
      </c>
      <c r="S43" s="9">
        <f t="shared" si="13"/>
        <v>8.6683435233410039E-7</v>
      </c>
      <c r="T43" s="9">
        <f t="shared" si="10"/>
        <v>7.0889408499894913E-5</v>
      </c>
      <c r="U43" s="9">
        <f t="shared" si="11"/>
        <v>1.4913316564766588E-4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5.6236352715565152</v>
      </c>
      <c r="K44" s="93">
        <f t="shared" si="3"/>
        <v>1.4377268183389015E-4</v>
      </c>
      <c r="L44" s="93">
        <f t="shared" si="4"/>
        <v>2.4301166941938689E-2</v>
      </c>
      <c r="M44" s="93">
        <f t="shared" si="5"/>
        <v>0.97569883305806127</v>
      </c>
      <c r="N44" s="93">
        <f t="shared" si="6"/>
        <v>2.1706536878107256E-2</v>
      </c>
      <c r="O44" s="40">
        <f t="shared" si="7"/>
        <v>1.4457911070004995E-10</v>
      </c>
      <c r="P44" s="40">
        <f t="shared" si="8"/>
        <v>6.0777218521788674E-5</v>
      </c>
      <c r="Q44" s="40">
        <f t="shared" si="9"/>
        <v>1.7018197094716692E-3</v>
      </c>
      <c r="R44" s="9">
        <f t="shared" si="12"/>
        <v>1.4999999999999999E-4</v>
      </c>
      <c r="S44" s="9">
        <f t="shared" si="13"/>
        <v>3.6451750412908032E-6</v>
      </c>
      <c r="T44" s="9">
        <f t="shared" si="10"/>
        <v>2.156590227508352E-8</v>
      </c>
      <c r="U44" s="9">
        <f t="shared" si="11"/>
        <v>1.4635482495870919E-4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0.52922244534276219</v>
      </c>
      <c r="K45" s="93">
        <f t="shared" si="3"/>
        <v>0.91026734513862195</v>
      </c>
      <c r="L45" s="93">
        <f t="shared" si="4"/>
        <v>1.2379607973051082E-3</v>
      </c>
      <c r="M45" s="93">
        <f t="shared" si="5"/>
        <v>0.99876203920269491</v>
      </c>
      <c r="N45" s="93">
        <f t="shared" si="6"/>
        <v>2.8831094509766648E-4</v>
      </c>
      <c r="O45" s="40">
        <f t="shared" si="7"/>
        <v>9.1537308465519125E-7</v>
      </c>
      <c r="P45" s="40">
        <f t="shared" si="8"/>
        <v>3.0961399540600756E-6</v>
      </c>
      <c r="Q45" s="40">
        <f t="shared" si="9"/>
        <v>2.260393961408351E-5</v>
      </c>
      <c r="R45" s="9">
        <f t="shared" si="12"/>
        <v>1.4999999999999999E-4</v>
      </c>
      <c r="S45" s="9">
        <f t="shared" si="13"/>
        <v>1.8569411959576621E-7</v>
      </c>
      <c r="T45" s="9">
        <f t="shared" si="10"/>
        <v>1.3654010177079328E-4</v>
      </c>
      <c r="U45" s="9">
        <f t="shared" si="11"/>
        <v>1.4981430588040422E-4</v>
      </c>
      <c r="V45" s="100">
        <f t="shared" si="14"/>
        <v>0.91139561718353079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0.53967320644667971</v>
      </c>
      <c r="K46" s="93">
        <f t="shared" si="3"/>
        <v>0.90560179399750496</v>
      </c>
      <c r="L46" s="93">
        <f t="shared" si="4"/>
        <v>1.2616124443475996E-3</v>
      </c>
      <c r="M46" s="93">
        <f t="shared" si="5"/>
        <v>0.99873838755565236</v>
      </c>
      <c r="N46" s="93">
        <f t="shared" si="6"/>
        <v>2.7353974691391093E-4</v>
      </c>
      <c r="O46" s="40">
        <f t="shared" si="7"/>
        <v>9.1068136418156445E-7</v>
      </c>
      <c r="P46" s="40">
        <f t="shared" si="8"/>
        <v>3.1552927233133472E-6</v>
      </c>
      <c r="Q46" s="40">
        <f t="shared" si="9"/>
        <v>2.1445859154598473E-5</v>
      </c>
      <c r="R46" s="9">
        <f t="shared" si="12"/>
        <v>1.4999999999999999E-4</v>
      </c>
      <c r="S46" s="9">
        <f t="shared" si="13"/>
        <v>1.8924186665213992E-7</v>
      </c>
      <c r="T46" s="9">
        <f t="shared" si="10"/>
        <v>1.3584026909962572E-4</v>
      </c>
      <c r="U46" s="9">
        <f t="shared" si="11"/>
        <v>1.4981075813334785E-4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1.8939751851989683</v>
      </c>
      <c r="K47" s="93">
        <f t="shared" si="3"/>
        <v>0.30735692396687908</v>
      </c>
      <c r="L47" s="93">
        <f t="shared" si="4"/>
        <v>9.6812998166049703E-3</v>
      </c>
      <c r="M47" s="93">
        <f t="shared" si="5"/>
        <v>0.99031870018339507</v>
      </c>
      <c r="N47" s="93">
        <f t="shared" si="6"/>
        <v>5.4746094917987268E-3</v>
      </c>
      <c r="O47" s="40">
        <f t="shared" si="7"/>
        <v>3.0908090582865827E-7</v>
      </c>
      <c r="P47" s="40">
        <f t="shared" si="8"/>
        <v>2.4212930841329033E-5</v>
      </c>
      <c r="Q47" s="40">
        <f t="shared" si="9"/>
        <v>4.2921624887111648E-4</v>
      </c>
      <c r="R47" s="9">
        <f t="shared" si="12"/>
        <v>1.4999999999999999E-4</v>
      </c>
      <c r="S47" s="9">
        <f t="shared" si="13"/>
        <v>1.4521949724907455E-6</v>
      </c>
      <c r="T47" s="9">
        <f t="shared" si="10"/>
        <v>4.6103538595031857E-5</v>
      </c>
      <c r="U47" s="9">
        <f t="shared" si="11"/>
        <v>1.4854780502750924E-4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4.4538856592537125E-2</v>
      </c>
      <c r="K48" s="93">
        <f t="shared" ref="K48:K50" si="17">IF(D48=0,"",1/(1+10^D48*$J$15/$J$14+10^E48*$J$16/$J$14+10^J48*$J$19/$J$14))</f>
        <v>0.98959410683021531</v>
      </c>
      <c r="L48" s="93">
        <f t="shared" ref="L48:L50" si="18">IF(D48=0,"",1/(1+10^I48/10^J48*$J$13/$J$19))</f>
        <v>4.4087090670962014E-4</v>
      </c>
      <c r="M48" s="93">
        <f t="shared" ref="M48:M92" si="19">IF(D48=0,"",1-L48)</f>
        <v>0.99955912909329037</v>
      </c>
      <c r="N48" s="93">
        <f t="shared" ref="N48:N50" si="20">IF(D48=0,"",1/(1/10^E48*$J$20/$J$22+10^D48/10^E48*$J$21/$J$22+10^I48/10^E48*$J$13/$J$22+1))</f>
        <v>1.9273618880532057E-5</v>
      </c>
      <c r="O48" s="40">
        <f t="shared" ref="O48:O92" si="21">IF(D48=0,"",F48*K48*$J$7/$J$14)</f>
        <v>9.9514479450850128E-7</v>
      </c>
      <c r="P48" s="40">
        <f t="shared" ref="P48:P50" si="22">IF(D48=0,"",O48*10^J48)</f>
        <v>1.1026181376807598E-6</v>
      </c>
      <c r="Q48" s="40">
        <f t="shared" ref="Q48:Q50" si="23">IF(D48=0,"",F48*N48*$J$7/$J$22)</f>
        <v>1.5110758877808988E-6</v>
      </c>
      <c r="R48" s="9">
        <f t="shared" si="12"/>
        <v>1.4999999999999999E-4</v>
      </c>
      <c r="S48" s="9">
        <f t="shared" si="13"/>
        <v>6.6130636006443011E-8</v>
      </c>
      <c r="T48" s="9">
        <f t="shared" si="10"/>
        <v>1.4843911602453229E-4</v>
      </c>
      <c r="U48" s="9">
        <f t="shared" si="11"/>
        <v>1.4993386936399354E-4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0.8649751353960996</v>
      </c>
      <c r="K49" s="93">
        <f t="shared" si="17"/>
        <v>0.81085390740882746</v>
      </c>
      <c r="L49" s="93">
        <f t="shared" si="18"/>
        <v>2.3890939735057232E-3</v>
      </c>
      <c r="M49" s="93">
        <f t="shared" si="19"/>
        <v>0.99761090602649427</v>
      </c>
      <c r="N49" s="93">
        <f t="shared" si="20"/>
        <v>8.2594623998499079E-4</v>
      </c>
      <c r="O49" s="40">
        <f t="shared" si="21"/>
        <v>8.1540203149493471E-7</v>
      </c>
      <c r="P49" s="40">
        <f t="shared" si="22"/>
        <v>5.9751240277378146E-6</v>
      </c>
      <c r="Q49" s="40">
        <f t="shared" si="23"/>
        <v>6.4755220884089718E-5</v>
      </c>
      <c r="R49" s="9">
        <f t="shared" si="12"/>
        <v>1.4999999999999999E-4</v>
      </c>
      <c r="S49" s="9">
        <f t="shared" si="13"/>
        <v>3.5836409602585846E-7</v>
      </c>
      <c r="T49" s="9">
        <f t="shared" si="10"/>
        <v>1.2162808611132411E-4</v>
      </c>
      <c r="U49" s="9">
        <f t="shared" si="11"/>
        <v>1.4964163590397412E-4</v>
      </c>
      <c r="V49" s="100">
        <f t="shared" si="14"/>
        <v>0.81279575284363725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1.8262123505679773</v>
      </c>
      <c r="K50" s="93">
        <f t="shared" si="17"/>
        <v>0.30722604771295925</v>
      </c>
      <c r="L50" s="93">
        <f t="shared" si="18"/>
        <v>8.2791522287725839E-3</v>
      </c>
      <c r="M50" s="93">
        <f t="shared" si="19"/>
        <v>0.99172084777122738</v>
      </c>
      <c r="N50" s="93">
        <f t="shared" si="20"/>
        <v>3.6265544339251499E-3</v>
      </c>
      <c r="O50" s="40">
        <f t="shared" si="21"/>
        <v>3.0894929548264446E-7</v>
      </c>
      <c r="P50" s="40">
        <f t="shared" si="22"/>
        <v>2.0706159724160223E-5</v>
      </c>
      <c r="Q50" s="40">
        <f t="shared" si="23"/>
        <v>2.8432641502341066E-4</v>
      </c>
      <c r="R50" s="9">
        <f t="shared" si="12"/>
        <v>1.4999999999999999E-4</v>
      </c>
      <c r="S50" s="9">
        <f t="shared" si="13"/>
        <v>1.2418728343158874E-6</v>
      </c>
      <c r="T50" s="9">
        <f t="shared" si="10"/>
        <v>4.6083907156943882E-5</v>
      </c>
      <c r="U50" s="9">
        <f t="shared" si="11"/>
        <v>1.487581271656841E-4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4.65500335522374</v>
      </c>
      <c r="K51" s="93">
        <f t="shared" ref="K51:K70" si="26">IF(D51=0,"",1/(1+10^D51*$J$15/$J$14+10^E51*$J$16/$J$14+10^J51*$J$19/$J$14))</f>
        <v>1.0274036220624654E-3</v>
      </c>
      <c r="L51" s="93">
        <f t="shared" ref="L51:L70" si="27">IF(D51=0,"",1/(1+10^I51/10^J51*$J$13/$J$19))</f>
        <v>1.8666372629278942E-2</v>
      </c>
      <c r="M51" s="93">
        <f t="shared" ref="M51:M70" si="28">IF(D51=0,"",1-L51)</f>
        <v>0.98133362737072105</v>
      </c>
      <c r="N51" s="93">
        <f t="shared" ref="N51:N70" si="29">IF(D51=0,"",1/(1/10^E51*$J$20/$J$22+10^D51/10^E51*$J$21/$J$22+10^I51/10^E51*$J$13/$J$22+1))</f>
        <v>1.4293653800397585E-2</v>
      </c>
      <c r="O51" s="40">
        <f t="shared" ref="O51:O70" si="30">IF(D51=0,"",F51*K51*$J$7/$J$14)</f>
        <v>1.033166385387598E-9</v>
      </c>
      <c r="P51" s="40">
        <f t="shared" ref="P51:P70" si="31">IF(D51=0,"",O51*10^J51)</f>
        <v>4.6684597945826624E-5</v>
      </c>
      <c r="Q51" s="40">
        <f t="shared" ref="Q51:Q70" si="32">IF(D51=0,"",F51*N51*$J$7/$J$22)</f>
        <v>1.1206403810280364E-3</v>
      </c>
      <c r="R51" s="9">
        <f t="shared" si="12"/>
        <v>1.4999999999999999E-4</v>
      </c>
      <c r="S51" s="9">
        <f t="shared" si="13"/>
        <v>2.799955894391841E-6</v>
      </c>
      <c r="T51" s="9">
        <f t="shared" si="10"/>
        <v>1.5411054330936979E-7</v>
      </c>
      <c r="U51" s="9">
        <f t="shared" si="11"/>
        <v>1.4720004410560814E-4</v>
      </c>
      <c r="V51" s="100">
        <f t="shared" si="14"/>
        <v>1.0469463120459648E-3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2.0806048106090933</v>
      </c>
      <c r="K52" s="93">
        <f t="shared" si="26"/>
        <v>0.22340181735370573</v>
      </c>
      <c r="L52" s="93">
        <f t="shared" si="27"/>
        <v>1.0814513718227406E-2</v>
      </c>
      <c r="M52" s="93">
        <f t="shared" si="28"/>
        <v>0.98918548628177261</v>
      </c>
      <c r="N52" s="93">
        <f t="shared" si="29"/>
        <v>6.1407988019112139E-3</v>
      </c>
      <c r="O52" s="40">
        <f t="shared" si="30"/>
        <v>2.2465489041298647E-7</v>
      </c>
      <c r="P52" s="40">
        <f t="shared" si="31"/>
        <v>2.7047098809286742E-5</v>
      </c>
      <c r="Q52" s="40">
        <f t="shared" si="32"/>
        <v>4.8144632613103278E-4</v>
      </c>
      <c r="R52" s="9">
        <f t="shared" si="12"/>
        <v>1.4999999999999999E-4</v>
      </c>
      <c r="S52" s="9">
        <f t="shared" si="13"/>
        <v>1.6221770577341108E-6</v>
      </c>
      <c r="T52" s="9">
        <f t="shared" si="10"/>
        <v>3.3510272603055854E-5</v>
      </c>
      <c r="U52" s="9">
        <f t="shared" si="11"/>
        <v>1.4837782294226587E-4</v>
      </c>
      <c r="V52" s="100">
        <f t="shared" si="14"/>
        <v>0.22584421269002428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2.9002106257320843</v>
      </c>
      <c r="K53" s="93">
        <f t="shared" si="26"/>
        <v>4.7596415898345845E-2</v>
      </c>
      <c r="L53" s="93">
        <f t="shared" si="27"/>
        <v>1.5208989497697762E-2</v>
      </c>
      <c r="M53" s="93">
        <f t="shared" si="28"/>
        <v>0.98479101050230222</v>
      </c>
      <c r="N53" s="93">
        <f t="shared" si="29"/>
        <v>1.0198314888096483E-2</v>
      </c>
      <c r="O53" s="40">
        <f t="shared" si="30"/>
        <v>4.7863386808372544E-8</v>
      </c>
      <c r="P53" s="40">
        <f t="shared" si="31"/>
        <v>3.8037682733742108E-5</v>
      </c>
      <c r="Q53" s="40">
        <f t="shared" si="32"/>
        <v>7.9956067508242339E-4</v>
      </c>
      <c r="R53" s="9">
        <f t="shared" si="12"/>
        <v>1.4999999999999999E-4</v>
      </c>
      <c r="S53" s="9">
        <f t="shared" si="13"/>
        <v>2.2813484246546641E-6</v>
      </c>
      <c r="T53" s="9">
        <f t="shared" si="10"/>
        <v>7.1394623847518763E-6</v>
      </c>
      <c r="U53" s="9">
        <f t="shared" si="11"/>
        <v>1.4771865157534533E-4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2.2648778324590841</v>
      </c>
      <c r="K54" s="93">
        <f t="shared" si="26"/>
        <v>0.16170495665682419</v>
      </c>
      <c r="L54" s="93">
        <f t="shared" si="27"/>
        <v>1.1965108696459356E-2</v>
      </c>
      <c r="M54" s="93">
        <f t="shared" si="28"/>
        <v>0.98803489130354061</v>
      </c>
      <c r="N54" s="93">
        <f t="shared" si="29"/>
        <v>7.048967348736725E-3</v>
      </c>
      <c r="O54" s="40">
        <f t="shared" si="30"/>
        <v>1.6261196863702668E-7</v>
      </c>
      <c r="P54" s="40">
        <f t="shared" si="31"/>
        <v>2.9924736849844853E-5</v>
      </c>
      <c r="Q54" s="40">
        <f t="shared" si="32"/>
        <v>5.526478789714905E-4</v>
      </c>
      <c r="R54" s="9">
        <f t="shared" si="12"/>
        <v>1.4999999999999999E-4</v>
      </c>
      <c r="S54" s="9">
        <f t="shared" si="13"/>
        <v>1.7947663044689032E-6</v>
      </c>
      <c r="T54" s="9">
        <f t="shared" si="10"/>
        <v>2.4255743498523626E-5</v>
      </c>
      <c r="U54" s="9">
        <f t="shared" si="11"/>
        <v>1.4820523369553107E-4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0.678648535608118</v>
      </c>
      <c r="K55" s="55">
        <f t="shared" si="26"/>
        <v>0.87220123039817421</v>
      </c>
      <c r="L55" s="55">
        <f t="shared" si="27"/>
        <v>1.67332659714983E-3</v>
      </c>
      <c r="M55" s="55">
        <f t="shared" si="28"/>
        <v>0.9983266734028502</v>
      </c>
      <c r="N55" s="55">
        <f t="shared" si="29"/>
        <v>4.8704810907505006E-4</v>
      </c>
      <c r="O55" s="56">
        <f t="shared" si="30"/>
        <v>8.7709345498716683E-7</v>
      </c>
      <c r="P55" s="56">
        <f t="shared" si="31"/>
        <v>4.1849898194717238E-6</v>
      </c>
      <c r="Q55" s="56">
        <f t="shared" si="32"/>
        <v>3.818518247011599E-5</v>
      </c>
      <c r="R55" s="9">
        <f t="shared" si="12"/>
        <v>1.4999999999999999E-4</v>
      </c>
      <c r="S55" s="9">
        <f t="shared" si="13"/>
        <v>2.5099898957247447E-7</v>
      </c>
      <c r="T55" s="9">
        <f t="shared" si="10"/>
        <v>1.3083018455972611E-4</v>
      </c>
      <c r="U55" s="9">
        <f t="shared" si="11"/>
        <v>1.4974900101042752E-4</v>
      </c>
      <c r="V55" s="100">
        <f t="shared" si="14"/>
        <v>0.8736631541910318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2.0597542825278099</v>
      </c>
      <c r="K56" s="55">
        <f t="shared" si="26"/>
        <v>0.23679234840438654</v>
      </c>
      <c r="L56" s="55">
        <f t="shared" si="27"/>
        <v>1.0925402124519002E-2</v>
      </c>
      <c r="M56" s="55">
        <f t="shared" si="28"/>
        <v>0.98907459787548102</v>
      </c>
      <c r="N56" s="55">
        <f t="shared" si="29"/>
        <v>6.4186520161395545E-3</v>
      </c>
      <c r="O56" s="56">
        <f t="shared" si="30"/>
        <v>2.3812052968752966E-7</v>
      </c>
      <c r="P56" s="56">
        <f t="shared" si="31"/>
        <v>2.7324430713422029E-5</v>
      </c>
      <c r="Q56" s="56">
        <f t="shared" si="32"/>
        <v>5.0323036653181902E-4</v>
      </c>
      <c r="R56" s="9">
        <f t="shared" si="12"/>
        <v>1.4999999999999999E-4</v>
      </c>
      <c r="S56" s="9">
        <f t="shared" si="13"/>
        <v>1.63881031867785E-6</v>
      </c>
      <c r="T56" s="9">
        <f t="shared" si="10"/>
        <v>3.5518852260657976E-5</v>
      </c>
      <c r="U56" s="9">
        <f t="shared" si="11"/>
        <v>1.4836118968132215E-4</v>
      </c>
      <c r="V56" s="100">
        <f t="shared" si="14"/>
        <v>0.23940797682299528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1.435139969210834</v>
      </c>
      <c r="K57" s="55">
        <f t="shared" si="26"/>
        <v>0.54131739923801969</v>
      </c>
      <c r="L57" s="55">
        <f t="shared" si="27"/>
        <v>5.9279896855334363E-3</v>
      </c>
      <c r="M57" s="55">
        <f t="shared" si="28"/>
        <v>0.99407201031446657</v>
      </c>
      <c r="N57" s="55">
        <f t="shared" si="29"/>
        <v>2.8339889539481474E-3</v>
      </c>
      <c r="O57" s="56">
        <f t="shared" si="30"/>
        <v>5.443536782510553E-7</v>
      </c>
      <c r="P57" s="56">
        <f t="shared" si="31"/>
        <v>1.4825902203519124E-5</v>
      </c>
      <c r="Q57" s="56">
        <f t="shared" si="32"/>
        <v>2.2218828758069958E-4</v>
      </c>
      <c r="R57" s="9">
        <f t="shared" si="12"/>
        <v>1.4999999999999999E-4</v>
      </c>
      <c r="S57" s="9">
        <f t="shared" si="13"/>
        <v>8.8919845283001541E-7</v>
      </c>
      <c r="T57" s="9">
        <f t="shared" si="10"/>
        <v>8.119760988570295E-5</v>
      </c>
      <c r="U57" s="9">
        <f t="shared" si="11"/>
        <v>1.4911080154716996E-4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1.2530323770467107</v>
      </c>
      <c r="K58" s="55">
        <f t="shared" si="26"/>
        <v>0.62638758291268115</v>
      </c>
      <c r="L58" s="55">
        <f t="shared" si="27"/>
        <v>4.5101501508216192E-3</v>
      </c>
      <c r="M58" s="55">
        <f t="shared" si="28"/>
        <v>0.99548984984917843</v>
      </c>
      <c r="N58" s="55">
        <f t="shared" si="29"/>
        <v>1.8038952149800854E-3</v>
      </c>
      <c r="O58" s="56">
        <f t="shared" si="30"/>
        <v>6.2990102525667566E-7</v>
      </c>
      <c r="P58" s="56">
        <f t="shared" si="31"/>
        <v>1.1279885527204871E-5</v>
      </c>
      <c r="Q58" s="56">
        <f t="shared" si="32"/>
        <v>1.4142764679201232E-4</v>
      </c>
      <c r="R58" s="9">
        <f t="shared" si="12"/>
        <v>1.4999999999999999E-4</v>
      </c>
      <c r="S58" s="9">
        <f t="shared" si="13"/>
        <v>6.7652252262324278E-7</v>
      </c>
      <c r="T58" s="9">
        <f t="shared" si="10"/>
        <v>9.3958137436902161E-5</v>
      </c>
      <c r="U58" s="9">
        <f t="shared" si="11"/>
        <v>1.4932347747737676E-4</v>
      </c>
      <c r="V58" s="100">
        <f t="shared" si="14"/>
        <v>0.62922548432571357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0.77181105160959218</v>
      </c>
      <c r="K59" s="55">
        <f t="shared" si="26"/>
        <v>0.85410076829687054</v>
      </c>
      <c r="L59" s="55">
        <f t="shared" si="27"/>
        <v>2.0306526754742768E-3</v>
      </c>
      <c r="M59" s="55">
        <f t="shared" si="28"/>
        <v>0.99796934732452569</v>
      </c>
      <c r="N59" s="55">
        <f t="shared" si="29"/>
        <v>7.7952003021461425E-4</v>
      </c>
      <c r="O59" s="56">
        <f t="shared" si="30"/>
        <v>8.5889146640014187E-7</v>
      </c>
      <c r="P59" s="56">
        <f t="shared" si="31"/>
        <v>5.0786623413611645E-6</v>
      </c>
      <c r="Q59" s="56">
        <f t="shared" si="32"/>
        <v>6.1115347823409099E-5</v>
      </c>
      <c r="R59" s="9">
        <f t="shared" si="12"/>
        <v>1.4999999999999999E-4</v>
      </c>
      <c r="S59" s="9">
        <f t="shared" si="13"/>
        <v>3.045979013211415E-7</v>
      </c>
      <c r="T59" s="9">
        <f t="shared" si="10"/>
        <v>1.2811511524453057E-4</v>
      </c>
      <c r="U59" s="9">
        <f t="shared" si="11"/>
        <v>1.4969540209867885E-4</v>
      </c>
      <c r="V59" s="100">
        <f t="shared" si="14"/>
        <v>0.85583867940097047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2.1116158946803365</v>
      </c>
      <c r="K60" s="55">
        <f t="shared" si="26"/>
        <v>0.22078176756405576</v>
      </c>
      <c r="L60" s="55">
        <f t="shared" si="27"/>
        <v>1.147874965202199E-2</v>
      </c>
      <c r="M60" s="55">
        <f t="shared" si="28"/>
        <v>0.988521250347978</v>
      </c>
      <c r="N60" s="55">
        <f t="shared" si="29"/>
        <v>6.9898741268735794E-3</v>
      </c>
      <c r="O60" s="56">
        <f t="shared" si="30"/>
        <v>2.2202014462021406E-7</v>
      </c>
      <c r="P60" s="56">
        <f t="shared" si="31"/>
        <v>2.8708352879707002E-5</v>
      </c>
      <c r="Q60" s="56">
        <f t="shared" si="32"/>
        <v>5.4801489627933611E-4</v>
      </c>
      <c r="R60" s="9">
        <f t="shared" si="12"/>
        <v>1.4999999999999999E-4</v>
      </c>
      <c r="S60" s="9">
        <f t="shared" si="13"/>
        <v>1.7218124478032984E-6</v>
      </c>
      <c r="T60" s="9">
        <f t="shared" si="10"/>
        <v>3.3117265134608362E-5</v>
      </c>
      <c r="U60" s="9">
        <f t="shared" si="11"/>
        <v>1.4827818755219668E-4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3.0728093485084504</v>
      </c>
      <c r="K61" s="55">
        <f t="shared" si="26"/>
        <v>3.7851563694163648E-2</v>
      </c>
      <c r="L61" s="55">
        <f t="shared" si="27"/>
        <v>1.7997353931728924E-2</v>
      </c>
      <c r="M61" s="55">
        <f t="shared" si="28"/>
        <v>0.98200264606827103</v>
      </c>
      <c r="N61" s="55">
        <f t="shared" si="29"/>
        <v>1.3774948205587056E-2</v>
      </c>
      <c r="O61" s="56">
        <f t="shared" si="30"/>
        <v>3.8063875193141788E-8</v>
      </c>
      <c r="P61" s="56">
        <f t="shared" si="31"/>
        <v>4.5011382183254079E-5</v>
      </c>
      <c r="Q61" s="56">
        <f t="shared" si="32"/>
        <v>1.0799732119803518E-3</v>
      </c>
      <c r="R61" s="9">
        <f t="shared" si="12"/>
        <v>1.4999999999999999E-4</v>
      </c>
      <c r="S61" s="9">
        <f t="shared" si="13"/>
        <v>2.6996030897593384E-6</v>
      </c>
      <c r="T61" s="9">
        <f t="shared" si="10"/>
        <v>5.6777345541245465E-6</v>
      </c>
      <c r="U61" s="9">
        <f t="shared" si="11"/>
        <v>1.4730039691024065E-4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4.0189102052984715</v>
      </c>
      <c r="K62" s="55">
        <f t="shared" si="26"/>
        <v>5.4135325880942933E-3</v>
      </c>
      <c r="L62" s="55">
        <f t="shared" si="27"/>
        <v>2.2735601278529492E-2</v>
      </c>
      <c r="M62" s="55">
        <f t="shared" si="28"/>
        <v>0.97726439872147053</v>
      </c>
      <c r="N62" s="55">
        <f t="shared" si="29"/>
        <v>1.9696402228418352E-2</v>
      </c>
      <c r="O62" s="56">
        <f t="shared" si="30"/>
        <v>5.4438973896076984E-9</v>
      </c>
      <c r="P62" s="56">
        <f t="shared" si="31"/>
        <v>5.6861738797602295E-5</v>
      </c>
      <c r="Q62" s="56">
        <f t="shared" si="32"/>
        <v>1.5442226323910439E-3</v>
      </c>
      <c r="R62" s="9">
        <f t="shared" si="12"/>
        <v>1.4999999999999999E-4</v>
      </c>
      <c r="S62" s="9">
        <f t="shared" si="13"/>
        <v>3.4103401917794236E-6</v>
      </c>
      <c r="T62" s="9">
        <f t="shared" si="10"/>
        <v>8.1202988821414392E-7</v>
      </c>
      <c r="U62" s="9">
        <f t="shared" si="11"/>
        <v>1.4658965980822057E-4</v>
      </c>
      <c r="V62" s="100">
        <f t="shared" si="14"/>
        <v>5.539475903528949E-3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5.1671582969725547</v>
      </c>
      <c r="K63" s="55">
        <f t="shared" si="26"/>
        <v>4.569459236657925E-4</v>
      </c>
      <c r="L63" s="55">
        <f t="shared" si="27"/>
        <v>2.6998434843270944E-2</v>
      </c>
      <c r="M63" s="55">
        <f t="shared" si="28"/>
        <v>0.97300156515672909</v>
      </c>
      <c r="N63" s="55">
        <f t="shared" si="29"/>
        <v>2.5262187634805082E-2</v>
      </c>
      <c r="O63" s="56">
        <f t="shared" si="30"/>
        <v>4.5950895843997786E-10</v>
      </c>
      <c r="P63" s="56">
        <f t="shared" si="31"/>
        <v>6.7523085543020716E-5</v>
      </c>
      <c r="Q63" s="56">
        <f t="shared" si="32"/>
        <v>1.9805871872930255E-3</v>
      </c>
      <c r="R63" s="9">
        <f t="shared" si="12"/>
        <v>1.4999999999999999E-4</v>
      </c>
      <c r="S63" s="9">
        <f t="shared" si="13"/>
        <v>4.0497652264906409E-6</v>
      </c>
      <c r="T63" s="9">
        <f t="shared" si="10"/>
        <v>6.8541888549868865E-8</v>
      </c>
      <c r="U63" s="9">
        <f t="shared" si="11"/>
        <v>1.4595023477350936E-4</v>
      </c>
      <c r="V63" s="100">
        <f t="shared" si="14"/>
        <v>4.6962506539461587E-4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4.4282245597152992</v>
      </c>
      <c r="K64" s="55">
        <f t="shared" si="26"/>
        <v>2.2677836125308604E-3</v>
      </c>
      <c r="L64" s="55">
        <f t="shared" si="27"/>
        <v>2.4442276681256449E-2</v>
      </c>
      <c r="M64" s="55">
        <f t="shared" si="28"/>
        <v>0.97555772331874357</v>
      </c>
      <c r="N64" s="55">
        <f t="shared" si="29"/>
        <v>2.1913298859079128E-2</v>
      </c>
      <c r="O64" s="56">
        <f t="shared" si="30"/>
        <v>2.2805037353248553E-9</v>
      </c>
      <c r="P64" s="56">
        <f t="shared" si="31"/>
        <v>6.1130133979822455E-5</v>
      </c>
      <c r="Q64" s="56">
        <f t="shared" si="32"/>
        <v>1.718030108042536E-3</v>
      </c>
      <c r="R64" s="9">
        <f t="shared" si="12"/>
        <v>1.4999999999999999E-4</v>
      </c>
      <c r="S64" s="9">
        <f t="shared" si="13"/>
        <v>3.6663415021884673E-6</v>
      </c>
      <c r="T64" s="9">
        <f t="shared" si="10"/>
        <v>3.4016754187962903E-7</v>
      </c>
      <c r="U64" s="9">
        <f t="shared" si="11"/>
        <v>1.4633365849781152E-4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4.1354611831278669</v>
      </c>
      <c r="K65" s="55">
        <f t="shared" si="26"/>
        <v>4.2315497870978524E-3</v>
      </c>
      <c r="L65" s="55">
        <f t="shared" si="27"/>
        <v>2.324214047196145E-2</v>
      </c>
      <c r="M65" s="55">
        <f t="shared" si="28"/>
        <v>0.97675785952803851</v>
      </c>
      <c r="N65" s="55">
        <f t="shared" si="29"/>
        <v>2.0351930183235421E-2</v>
      </c>
      <c r="O65" s="56">
        <f t="shared" si="30"/>
        <v>4.255284782184407E-9</v>
      </c>
      <c r="P65" s="56">
        <f t="shared" si="31"/>
        <v>5.8128593320375662E-5</v>
      </c>
      <c r="Q65" s="56">
        <f t="shared" si="32"/>
        <v>1.5956168460273287E-3</v>
      </c>
      <c r="R65" s="9">
        <f t="shared" si="12"/>
        <v>1.4999999999999999E-4</v>
      </c>
      <c r="S65" s="9">
        <f t="shared" si="13"/>
        <v>3.4863210707942174E-6</v>
      </c>
      <c r="T65" s="9">
        <f t="shared" si="10"/>
        <v>6.3473246806467782E-7</v>
      </c>
      <c r="U65" s="9">
        <f t="shared" si="11"/>
        <v>1.4651367892920577E-4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4.4282245597152992</v>
      </c>
      <c r="K66" s="55">
        <f t="shared" si="26"/>
        <v>2.2677836125308604E-3</v>
      </c>
      <c r="L66" s="55">
        <f t="shared" si="27"/>
        <v>2.4442276681256449E-2</v>
      </c>
      <c r="M66" s="55">
        <f t="shared" si="28"/>
        <v>0.97555772331874357</v>
      </c>
      <c r="N66" s="55">
        <f t="shared" si="29"/>
        <v>2.1913298859079128E-2</v>
      </c>
      <c r="O66" s="56">
        <f t="shared" si="30"/>
        <v>2.2805037353248553E-9</v>
      </c>
      <c r="P66" s="56">
        <f t="shared" si="31"/>
        <v>6.1130133979822455E-5</v>
      </c>
      <c r="Q66" s="56">
        <f t="shared" si="32"/>
        <v>1.718030108042536E-3</v>
      </c>
      <c r="R66" s="9">
        <f t="shared" si="12"/>
        <v>1.4999999999999999E-4</v>
      </c>
      <c r="S66" s="9">
        <f t="shared" si="13"/>
        <v>3.6663415021884673E-6</v>
      </c>
      <c r="T66" s="9">
        <f t="shared" si="10"/>
        <v>3.4016754187962903E-7</v>
      </c>
      <c r="U66" s="9">
        <f t="shared" si="11"/>
        <v>1.4633365849781152E-4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-4.9749784336411765E-2</v>
      </c>
      <c r="K67" s="55">
        <f t="shared" si="26"/>
        <v>0.99874847563209657</v>
      </c>
      <c r="L67" s="55">
        <f t="shared" si="27"/>
        <v>3.5811443632030907E-4</v>
      </c>
      <c r="M67" s="55">
        <f t="shared" si="28"/>
        <v>0.99964188556367972</v>
      </c>
      <c r="N67" s="55">
        <f t="shared" si="29"/>
        <v>3.811031264874348E-7</v>
      </c>
      <c r="O67" s="56">
        <f t="shared" si="30"/>
        <v>1.0043505106676073E-6</v>
      </c>
      <c r="P67" s="56">
        <f t="shared" si="31"/>
        <v>8.9564420523709299E-7</v>
      </c>
      <c r="Q67" s="56">
        <f t="shared" si="32"/>
        <v>2.9878962988873809E-8</v>
      </c>
      <c r="R67" s="9">
        <f t="shared" si="12"/>
        <v>1.4999999999999999E-4</v>
      </c>
      <c r="S67" s="9">
        <f t="shared" si="13"/>
        <v>5.3717165448046356E-8</v>
      </c>
      <c r="T67" s="9">
        <f t="shared" si="10"/>
        <v>1.4981227134481446E-4</v>
      </c>
      <c r="U67" s="9">
        <f t="shared" si="11"/>
        <v>1.4994628283455195E-4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4.4318380891863303</v>
      </c>
      <c r="K68" s="55">
        <f t="shared" si="26"/>
        <v>1.8594553454028943E-3</v>
      </c>
      <c r="L68" s="55">
        <f t="shared" si="27"/>
        <v>2.0208744168489553E-2</v>
      </c>
      <c r="M68" s="55">
        <f t="shared" si="28"/>
        <v>0.9797912558315105</v>
      </c>
      <c r="N68" s="55">
        <f t="shared" si="29"/>
        <v>1.6333299280930923E-2</v>
      </c>
      <c r="O68" s="56">
        <f t="shared" si="30"/>
        <v>1.869885132527548E-9</v>
      </c>
      <c r="P68" s="56">
        <f t="shared" si="31"/>
        <v>5.0542069165392406E-5</v>
      </c>
      <c r="Q68" s="56">
        <f t="shared" si="32"/>
        <v>1.2805511442510419E-3</v>
      </c>
      <c r="R68" s="9">
        <f t="shared" si="12"/>
        <v>1.4999999999999999E-4</v>
      </c>
      <c r="S68" s="9">
        <f t="shared" si="13"/>
        <v>3.0313116252734326E-6</v>
      </c>
      <c r="T68" s="9">
        <f t="shared" si="10"/>
        <v>2.7891830181043413E-7</v>
      </c>
      <c r="U68" s="9">
        <f t="shared" si="11"/>
        <v>1.4696868837472656E-4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1.6845900491093684</v>
      </c>
      <c r="K69" s="55">
        <f t="shared" si="26"/>
        <v>0.40671190426055248</v>
      </c>
      <c r="L69" s="55">
        <f t="shared" si="27"/>
        <v>7.9102902059661404E-3</v>
      </c>
      <c r="M69" s="55">
        <f t="shared" si="28"/>
        <v>0.99208970979403388</v>
      </c>
      <c r="N69" s="55">
        <f t="shared" si="29"/>
        <v>4.1199603200638745E-3</v>
      </c>
      <c r="O69" s="56">
        <f t="shared" si="30"/>
        <v>4.0899317366182494E-7</v>
      </c>
      <c r="P69" s="56">
        <f t="shared" si="31"/>
        <v>1.9783635805121314E-5</v>
      </c>
      <c r="Q69" s="56">
        <f t="shared" si="32"/>
        <v>3.2301005518745295E-4</v>
      </c>
      <c r="R69" s="9">
        <f t="shared" si="12"/>
        <v>1.4999999999999999E-4</v>
      </c>
      <c r="S69" s="9">
        <f t="shared" si="13"/>
        <v>1.1865435308949209E-6</v>
      </c>
      <c r="T69" s="9">
        <f t="shared" si="10"/>
        <v>6.1006785639082868E-5</v>
      </c>
      <c r="U69" s="9">
        <f t="shared" si="11"/>
        <v>1.4881345646910508E-4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2.9264404342876054</v>
      </c>
      <c r="K70" s="55">
        <f t="shared" si="26"/>
        <v>5.0696183011101556E-2</v>
      </c>
      <c r="L70" s="55">
        <f t="shared" si="27"/>
        <v>1.7208030998540222E-2</v>
      </c>
      <c r="M70" s="55">
        <f t="shared" si="28"/>
        <v>0.98279196900145982</v>
      </c>
      <c r="N70" s="55">
        <f t="shared" si="29"/>
        <v>1.2861760802140951E-2</v>
      </c>
      <c r="O70" s="56">
        <f t="shared" si="30"/>
        <v>5.0980540685054569E-8</v>
      </c>
      <c r="P70" s="56">
        <f t="shared" si="31"/>
        <v>4.3037285527349114E-5</v>
      </c>
      <c r="Q70" s="56">
        <f t="shared" si="32"/>
        <v>1.0083781744876024E-3</v>
      </c>
      <c r="R70" s="9">
        <f t="shared" si="12"/>
        <v>1.4999999999999999E-4</v>
      </c>
      <c r="S70" s="9">
        <f t="shared" si="13"/>
        <v>2.5812046497810332E-6</v>
      </c>
      <c r="T70" s="9">
        <f t="shared" si="10"/>
        <v>7.6044274516652327E-6</v>
      </c>
      <c r="U70" s="9">
        <f t="shared" si="11"/>
        <v>1.4741879535021897E-4</v>
      </c>
      <c r="V70" s="100">
        <f t="shared" si="14"/>
        <v>5.1583839317093823E-2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5.6317189226525786</v>
      </c>
      <c r="K71" s="55">
        <f t="shared" ref="K71:K122" si="35">IF(D71=0,"",1/(1+10^D71*$J$15/$J$14+10^E71*$J$16/$J$14+10^J71*$J$19/$J$14))</f>
        <v>1.1960830322005991E-4</v>
      </c>
      <c r="L71" s="55">
        <f t="shared" ref="L71:L122" si="36">IF(D71=0,"",1/(1+10^I71/10^J71*$J$13/$J$19))</f>
        <v>2.0596609525909661E-2</v>
      </c>
      <c r="M71" s="55">
        <f t="shared" si="19"/>
        <v>0.97940339047409031</v>
      </c>
      <c r="N71" s="55">
        <f t="shared" ref="N71:N122" si="37">IF(D71=0,"",1/(1/10^E71*$J$20/$J$22+10^D71/10^E71*$J$21/$J$22+10^I71/10^E71*$J$13/$J$22+1))</f>
        <v>1.6827031047559976E-2</v>
      </c>
      <c r="O71" s="56">
        <f t="shared" si="21"/>
        <v>1.2027919275984389E-10</v>
      </c>
      <c r="P71" s="56">
        <f t="shared" ref="P71:P122" si="38">IF(D71=0,"",O71*10^J71)</f>
        <v>5.1512120424300059E-5</v>
      </c>
      <c r="Q71" s="56">
        <f t="shared" ref="Q71:Q122" si="39">IF(D71=0,"",F71*N71*$J$7/$J$22)</f>
        <v>1.3192603338541538E-3</v>
      </c>
      <c r="R71" s="9">
        <f t="shared" si="12"/>
        <v>1.4999999999999999E-4</v>
      </c>
      <c r="S71" s="9">
        <f t="shared" si="13"/>
        <v>3.0894914288864488E-6</v>
      </c>
      <c r="T71" s="9">
        <f t="shared" si="10"/>
        <v>1.7941245483008984E-8</v>
      </c>
      <c r="U71" s="9">
        <f t="shared" si="11"/>
        <v>1.4691050857111354E-4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5.1469287331716504</v>
      </c>
      <c r="K72" s="55">
        <f t="shared" si="35"/>
        <v>3.3483089712134975E-4</v>
      </c>
      <c r="L72" s="55">
        <f t="shared" si="36"/>
        <v>1.8882945651844108E-2</v>
      </c>
      <c r="M72" s="55">
        <f t="shared" si="19"/>
        <v>0.98111705434815588</v>
      </c>
      <c r="N72" s="55">
        <f t="shared" si="37"/>
        <v>1.4572084906296646E-2</v>
      </c>
      <c r="O72" s="56">
        <f t="shared" si="21"/>
        <v>3.367089820069945E-10</v>
      </c>
      <c r="P72" s="56">
        <f t="shared" si="38"/>
        <v>4.7226247075262137E-5</v>
      </c>
      <c r="Q72" s="56">
        <f t="shared" si="39"/>
        <v>1.1424697288604361E-3</v>
      </c>
      <c r="R72" s="9">
        <f t="shared" si="12"/>
        <v>1.4999999999999999E-4</v>
      </c>
      <c r="S72" s="9">
        <f t="shared" si="13"/>
        <v>2.8324418477766158E-6</v>
      </c>
      <c r="T72" s="9">
        <f t="shared" si="10"/>
        <v>5.0224634568202457E-8</v>
      </c>
      <c r="U72" s="9">
        <f t="shared" si="11"/>
        <v>1.4716755815222336E-4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5.1667621736278413</v>
      </c>
      <c r="K73" s="55">
        <f t="shared" si="35"/>
        <v>3.3959938804610778E-4</v>
      </c>
      <c r="L73" s="55">
        <f t="shared" si="36"/>
        <v>2.0046776852928157E-2</v>
      </c>
      <c r="M73" s="55">
        <f t="shared" si="19"/>
        <v>0.97995322314707189</v>
      </c>
      <c r="N73" s="55">
        <f t="shared" si="37"/>
        <v>1.6105012475003871E-2</v>
      </c>
      <c r="O73" s="56">
        <f t="shared" si="21"/>
        <v>3.4150421965916063E-10</v>
      </c>
      <c r="P73" s="56">
        <f t="shared" si="38"/>
        <v>5.013698890917337E-5</v>
      </c>
      <c r="Q73" s="56">
        <f t="shared" si="39"/>
        <v>1.2626531724133127E-3</v>
      </c>
      <c r="R73" s="9">
        <f t="shared" si="12"/>
        <v>1.4999999999999999E-4</v>
      </c>
      <c r="S73" s="9">
        <f t="shared" si="13"/>
        <v>3.0070165279392233E-6</v>
      </c>
      <c r="T73" s="9">
        <f t="shared" si="10"/>
        <v>5.0939908206916162E-8</v>
      </c>
      <c r="U73" s="9">
        <f t="shared" si="11"/>
        <v>1.4699298347206077E-4</v>
      </c>
      <c r="V73" s="100">
        <f t="shared" si="14"/>
        <v>3.4654652898176192E-4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2.03023552063889</v>
      </c>
      <c r="K74" s="55">
        <f t="shared" si="35"/>
        <v>0.23516893603534764</v>
      </c>
      <c r="L74" s="55">
        <f t="shared" si="36"/>
        <v>1.0137502130150961E-2</v>
      </c>
      <c r="M74" s="55">
        <f t="shared" si="19"/>
        <v>0.98986249786984903</v>
      </c>
      <c r="N74" s="55">
        <f t="shared" si="37"/>
        <v>5.3649307547736589E-3</v>
      </c>
      <c r="O74" s="56">
        <f t="shared" si="21"/>
        <v>2.3648801150938034E-7</v>
      </c>
      <c r="P74" s="56">
        <f t="shared" si="38"/>
        <v>2.535389282750755E-5</v>
      </c>
      <c r="Q74" s="56">
        <f t="shared" si="39"/>
        <v>4.2061729836015427E-4</v>
      </c>
      <c r="R74" s="9">
        <f t="shared" si="12"/>
        <v>1.4999999999999999E-4</v>
      </c>
      <c r="S74" s="9">
        <f t="shared" si="13"/>
        <v>1.520625319522644E-6</v>
      </c>
      <c r="T74" s="9">
        <f t="shared" si="10"/>
        <v>3.5275340405302142E-5</v>
      </c>
      <c r="U74" s="9">
        <f t="shared" si="11"/>
        <v>1.4847937468047734E-4</v>
      </c>
      <c r="V74" s="100">
        <f t="shared" si="14"/>
        <v>0.23757737720281688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3.7676067300109843</v>
      </c>
      <c r="K75" s="55">
        <f t="shared" si="35"/>
        <v>9.1684683710106206E-3</v>
      </c>
      <c r="L75" s="55">
        <f t="shared" si="36"/>
        <v>2.1588327840920133E-2</v>
      </c>
      <c r="M75" s="55">
        <f t="shared" si="19"/>
        <v>0.97841167215907987</v>
      </c>
      <c r="N75" s="55">
        <f t="shared" si="37"/>
        <v>1.8222289423724006E-2</v>
      </c>
      <c r="O75" s="56">
        <f t="shared" si="21"/>
        <v>9.2198948134929176E-9</v>
      </c>
      <c r="P75" s="56">
        <f t="shared" si="38"/>
        <v>5.399240793014132E-5</v>
      </c>
      <c r="Q75" s="56">
        <f t="shared" si="39"/>
        <v>1.4286503400856971E-3</v>
      </c>
      <c r="R75" s="9">
        <f t="shared" si="12"/>
        <v>1.4999999999999999E-4</v>
      </c>
      <c r="S75" s="9">
        <f t="shared" si="13"/>
        <v>3.2382491761380196E-6</v>
      </c>
      <c r="T75" s="9">
        <f t="shared" si="10"/>
        <v>1.375270255651593E-6</v>
      </c>
      <c r="U75" s="9">
        <f t="shared" si="11"/>
        <v>1.4676175082386196E-4</v>
      </c>
      <c r="V75" s="100">
        <f t="shared" si="14"/>
        <v>9.3707675735085882E-3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3.7264296384905324</v>
      </c>
      <c r="K76" s="55">
        <f t="shared" si="35"/>
        <v>8.7675740229572665E-3</v>
      </c>
      <c r="L76" s="55">
        <f t="shared" si="36"/>
        <v>1.8776928963010798E-2</v>
      </c>
      <c r="M76" s="55">
        <f t="shared" si="19"/>
        <v>0.98122307103698925</v>
      </c>
      <c r="N76" s="55">
        <f t="shared" si="37"/>
        <v>1.4515453465373758E-2</v>
      </c>
      <c r="O76" s="56">
        <f t="shared" si="21"/>
        <v>8.8167518270304665E-9</v>
      </c>
      <c r="P76" s="56">
        <f t="shared" si="38"/>
        <v>4.696109933649007E-5</v>
      </c>
      <c r="Q76" s="56">
        <f t="shared" si="39"/>
        <v>1.1380297528808703E-3</v>
      </c>
      <c r="R76" s="9">
        <f t="shared" si="12"/>
        <v>1.4999999999999999E-4</v>
      </c>
      <c r="S76" s="9">
        <f t="shared" si="13"/>
        <v>2.8165393444516194E-6</v>
      </c>
      <c r="T76" s="9">
        <f t="shared" si="10"/>
        <v>1.3151361034435898E-6</v>
      </c>
      <c r="U76" s="9">
        <f t="shared" si="11"/>
        <v>1.4718346065554838E-4</v>
      </c>
      <c r="V76" s="100">
        <f t="shared" si="14"/>
        <v>8.9353525021495898E-3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2.2690970019934102</v>
      </c>
      <c r="K77" s="55">
        <f t="shared" si="35"/>
        <v>0.17292018823773642</v>
      </c>
      <c r="L77" s="55">
        <f t="shared" si="36"/>
        <v>1.2919871229969999E-2</v>
      </c>
      <c r="M77" s="55">
        <f t="shared" si="19"/>
        <v>0.98708012877003004</v>
      </c>
      <c r="N77" s="55">
        <f t="shared" si="37"/>
        <v>8.4168747818546292E-3</v>
      </c>
      <c r="O77" s="56">
        <f t="shared" si="21"/>
        <v>1.7389010706764188E-7</v>
      </c>
      <c r="P77" s="56">
        <f t="shared" si="38"/>
        <v>3.231259794615497E-5</v>
      </c>
      <c r="Q77" s="56">
        <f t="shared" si="39"/>
        <v>6.5989353697236451E-4</v>
      </c>
      <c r="R77" s="9">
        <f t="shared" si="12"/>
        <v>1.4999999999999999E-4</v>
      </c>
      <c r="S77" s="9">
        <f t="shared" si="13"/>
        <v>1.9379806844954996E-6</v>
      </c>
      <c r="T77" s="9">
        <f t="shared" si="10"/>
        <v>2.5938028235660461E-5</v>
      </c>
      <c r="U77" s="9">
        <f t="shared" si="11"/>
        <v>1.4806201931550448E-4</v>
      </c>
      <c r="V77" s="100">
        <f t="shared" si="14"/>
        <v>0.1751835369770911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2.5945811280852147</v>
      </c>
      <c r="K78" s="55">
        <f t="shared" si="35"/>
        <v>0.10191760523882273</v>
      </c>
      <c r="L78" s="55">
        <f t="shared" si="36"/>
        <v>1.6111865288775378E-2</v>
      </c>
      <c r="M78" s="55">
        <f t="shared" si="19"/>
        <v>0.9838881347112246</v>
      </c>
      <c r="N78" s="55">
        <f t="shared" si="37"/>
        <v>1.1922171835299641E-2</v>
      </c>
      <c r="O78" s="56">
        <f t="shared" si="21"/>
        <v>1.0248926668233274E-7</v>
      </c>
      <c r="P78" s="56">
        <f t="shared" si="38"/>
        <v>4.0295775087227236E-5</v>
      </c>
      <c r="Q78" s="56">
        <f t="shared" si="39"/>
        <v>9.3471322131926033E-4</v>
      </c>
      <c r="R78" s="9">
        <f t="shared" si="12"/>
        <v>1.4999999999999999E-4</v>
      </c>
      <c r="S78" s="9">
        <f t="shared" si="13"/>
        <v>2.4167797933163064E-6</v>
      </c>
      <c r="T78" s="9">
        <f t="shared" si="10"/>
        <v>1.5287640785823408E-5</v>
      </c>
      <c r="U78" s="9">
        <f t="shared" si="11"/>
        <v>1.4758322020668368E-4</v>
      </c>
      <c r="V78" s="100">
        <f t="shared" si="14"/>
        <v>0.10358657823303864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2.5374746618878143</v>
      </c>
      <c r="K79" s="55">
        <f t="shared" si="35"/>
        <v>8.6188999009340475E-2</v>
      </c>
      <c r="L79" s="55">
        <f t="shared" si="36"/>
        <v>1.1946535619062764E-2</v>
      </c>
      <c r="M79" s="55">
        <f t="shared" si="19"/>
        <v>0.98805346438093722</v>
      </c>
      <c r="N79" s="55">
        <f t="shared" si="37"/>
        <v>6.2812055169608342E-3</v>
      </c>
      <c r="O79" s="56">
        <f t="shared" si="21"/>
        <v>8.6672437836939538E-8</v>
      </c>
      <c r="P79" s="56">
        <f t="shared" si="38"/>
        <v>2.9878285583275978E-5</v>
      </c>
      <c r="Q79" s="56">
        <f t="shared" si="39"/>
        <v>4.9245438864949987E-4</v>
      </c>
      <c r="R79" s="9">
        <f t="shared" si="12"/>
        <v>1.4999999999999999E-4</v>
      </c>
      <c r="S79" s="9">
        <f t="shared" si="13"/>
        <v>1.7919803428594145E-6</v>
      </c>
      <c r="T79" s="9">
        <f t="shared" si="10"/>
        <v>1.2928349851401069E-5</v>
      </c>
      <c r="U79" s="9">
        <f t="shared" si="11"/>
        <v>1.4820801965714057E-4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2.6178158804762943</v>
      </c>
      <c r="K80" s="55">
        <f t="shared" si="35"/>
        <v>7.1312514866851834E-2</v>
      </c>
      <c r="L80" s="55">
        <f t="shared" si="36"/>
        <v>1.1893156022849028E-2</v>
      </c>
      <c r="M80" s="55">
        <f t="shared" si="19"/>
        <v>0.98810684397715098</v>
      </c>
      <c r="N80" s="55">
        <f t="shared" si="37"/>
        <v>6.0644709338768827E-3</v>
      </c>
      <c r="O80" s="56">
        <f t="shared" si="21"/>
        <v>7.1712510678111189E-8</v>
      </c>
      <c r="P80" s="56">
        <f t="shared" si="38"/>
        <v>2.974478321314544E-5</v>
      </c>
      <c r="Q80" s="56">
        <f t="shared" si="39"/>
        <v>4.7546212556821583E-4</v>
      </c>
      <c r="R80" s="9">
        <f t="shared" si="12"/>
        <v>1.4999999999999999E-4</v>
      </c>
      <c r="S80" s="9">
        <f t="shared" si="13"/>
        <v>1.7839734034273541E-6</v>
      </c>
      <c r="T80" s="9">
        <f t="shared" si="10"/>
        <v>1.0696877230027775E-5</v>
      </c>
      <c r="U80" s="9">
        <f t="shared" si="11"/>
        <v>1.4821602659657263E-4</v>
      </c>
      <c r="V80" s="100">
        <f t="shared" si="14"/>
        <v>7.2170854094904813E-2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4.2142679595923802</v>
      </c>
      <c r="K81" s="55">
        <f t="shared" si="35"/>
        <v>3.3237272842824056E-3</v>
      </c>
      <c r="L81" s="55">
        <f t="shared" si="36"/>
        <v>2.1888138359791674E-2</v>
      </c>
      <c r="M81" s="55">
        <f t="shared" si="19"/>
        <v>0.97811186164020836</v>
      </c>
      <c r="N81" s="55">
        <f t="shared" si="37"/>
        <v>1.8559640034178197E-2</v>
      </c>
      <c r="O81" s="56">
        <f t="shared" si="21"/>
        <v>3.342370253107213E-9</v>
      </c>
      <c r="P81" s="56">
        <f t="shared" si="38"/>
        <v>5.4742234037838993E-5</v>
      </c>
      <c r="Q81" s="56">
        <f t="shared" si="39"/>
        <v>1.4550990509554756E-3</v>
      </c>
      <c r="R81" s="9">
        <f t="shared" si="12"/>
        <v>1.4999999999999999E-4</v>
      </c>
      <c r="S81" s="9">
        <f t="shared" si="13"/>
        <v>3.2832207539687507E-6</v>
      </c>
      <c r="T81" s="9">
        <f t="shared" si="10"/>
        <v>4.985590926423608E-7</v>
      </c>
      <c r="U81" s="9">
        <f t="shared" si="11"/>
        <v>1.4671677924603125E-4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3.9177203460984957</v>
      </c>
      <c r="K82" s="55">
        <f t="shared" si="35"/>
        <v>5.780772734773976E-3</v>
      </c>
      <c r="L82" s="55">
        <f t="shared" si="36"/>
        <v>1.9231879335616542E-2</v>
      </c>
      <c r="M82" s="55">
        <f t="shared" si="19"/>
        <v>0.98076812066438346</v>
      </c>
      <c r="N82" s="55">
        <f t="shared" si="37"/>
        <v>1.5085269123005573E-2</v>
      </c>
      <c r="O82" s="56">
        <f t="shared" si="21"/>
        <v>5.8131974064332092E-9</v>
      </c>
      <c r="P82" s="56">
        <f t="shared" si="38"/>
        <v>4.8098930218377037E-5</v>
      </c>
      <c r="Q82" s="56">
        <f t="shared" si="39"/>
        <v>1.1827040149415967E-3</v>
      </c>
      <c r="R82" s="9">
        <f t="shared" si="12"/>
        <v>1.4999999999999999E-4</v>
      </c>
      <c r="S82" s="9">
        <f t="shared" si="13"/>
        <v>2.8847819003424811E-6</v>
      </c>
      <c r="T82" s="9">
        <f t="shared" si="10"/>
        <v>8.6711591021609635E-7</v>
      </c>
      <c r="U82" s="9">
        <f t="shared" si="11"/>
        <v>1.4711521809965752E-4</v>
      </c>
      <c r="V82" s="100">
        <f t="shared" si="14"/>
        <v>5.894127891165564E-3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2.2125616665002776</v>
      </c>
      <c r="K83" s="55">
        <f t="shared" si="35"/>
        <v>0.19358187260065596</v>
      </c>
      <c r="L83" s="55">
        <f t="shared" si="36"/>
        <v>1.2698190457688342E-2</v>
      </c>
      <c r="M83" s="55">
        <f t="shared" si="19"/>
        <v>0.98730180954231161</v>
      </c>
      <c r="N83" s="55">
        <f t="shared" si="37"/>
        <v>8.3282710895307525E-3</v>
      </c>
      <c r="O83" s="56">
        <f t="shared" si="21"/>
        <v>1.9466768395257052E-7</v>
      </c>
      <c r="P83" s="56">
        <f t="shared" si="38"/>
        <v>3.1758174334678539E-5</v>
      </c>
      <c r="Q83" s="56">
        <f t="shared" si="39"/>
        <v>6.5294689639236415E-4</v>
      </c>
      <c r="R83" s="9">
        <f t="shared" si="12"/>
        <v>1.4999999999999999E-4</v>
      </c>
      <c r="S83" s="9">
        <f t="shared" si="13"/>
        <v>1.9047285686532511E-6</v>
      </c>
      <c r="T83" s="9">
        <f t="shared" si="10"/>
        <v>2.9037280890098392E-5</v>
      </c>
      <c r="U83" s="9">
        <f t="shared" si="11"/>
        <v>1.4809527143134672E-4</v>
      </c>
      <c r="V83" s="100">
        <f t="shared" si="14"/>
        <v>0.19607162746961404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3.9384447971611571</v>
      </c>
      <c r="K84" s="55">
        <f t="shared" si="35"/>
        <v>4.6073113378530409E-3</v>
      </c>
      <c r="L84" s="55">
        <f t="shared" si="36"/>
        <v>1.6077104744757823E-2</v>
      </c>
      <c r="M84" s="55">
        <f t="shared" si="19"/>
        <v>0.98392289525524212</v>
      </c>
      <c r="N84" s="55">
        <f t="shared" si="37"/>
        <v>1.091856910534097E-2</v>
      </c>
      <c r="O84" s="56">
        <f t="shared" si="21"/>
        <v>4.6331540001087448E-9</v>
      </c>
      <c r="P84" s="56">
        <f t="shared" si="38"/>
        <v>4.0208838966639316E-5</v>
      </c>
      <c r="Q84" s="56">
        <f t="shared" si="39"/>
        <v>8.5602950885447539E-4</v>
      </c>
      <c r="R84" s="9">
        <f t="shared" si="12"/>
        <v>1.4999999999999999E-4</v>
      </c>
      <c r="S84" s="9">
        <f t="shared" si="13"/>
        <v>2.4115657117136733E-6</v>
      </c>
      <c r="T84" s="9">
        <f t="shared" si="10"/>
        <v>6.910967006779561E-7</v>
      </c>
      <c r="U84" s="9">
        <f t="shared" si="11"/>
        <v>1.4758843428828631E-4</v>
      </c>
      <c r="V84" s="100">
        <f t="shared" si="14"/>
        <v>4.6825938903046318E-3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2.1275282735995251</v>
      </c>
      <c r="K85" s="55">
        <f t="shared" si="35"/>
        <v>0.22279503795100902</v>
      </c>
      <c r="L85" s="55">
        <f t="shared" si="36"/>
        <v>1.2015705383752287E-2</v>
      </c>
      <c r="M85" s="55">
        <f t="shared" si="19"/>
        <v>0.9879842946162477</v>
      </c>
      <c r="N85" s="55">
        <f t="shared" si="37"/>
        <v>7.7169143610760398E-3</v>
      </c>
      <c r="O85" s="56">
        <f t="shared" si="21"/>
        <v>2.2404470755130515E-7</v>
      </c>
      <c r="P85" s="56">
        <f t="shared" si="38"/>
        <v>3.0051279164764467E-5</v>
      </c>
      <c r="Q85" s="56">
        <f t="shared" si="39"/>
        <v>6.0501576229000551E-4</v>
      </c>
      <c r="R85" s="9">
        <f t="shared" si="12"/>
        <v>1.4999999999999999E-4</v>
      </c>
      <c r="S85" s="9">
        <f t="shared" si="13"/>
        <v>1.8023558075628428E-6</v>
      </c>
      <c r="T85" s="9">
        <f t="shared" si="10"/>
        <v>3.3419255692651351E-5</v>
      </c>
      <c r="U85" s="9">
        <f t="shared" si="11"/>
        <v>1.4819764419243714E-4</v>
      </c>
      <c r="V85" s="100">
        <f t="shared" si="14"/>
        <v>0.22550463521036734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3.1029707241226632</v>
      </c>
      <c r="K86" s="55">
        <f t="shared" si="35"/>
        <v>2.304900794832529E-2</v>
      </c>
      <c r="L86" s="55">
        <f t="shared" si="36"/>
        <v>1.1747310427661008E-2</v>
      </c>
      <c r="M86" s="55">
        <f t="shared" si="19"/>
        <v>0.98825268957233903</v>
      </c>
      <c r="N86" s="55">
        <f t="shared" si="37"/>
        <v>5.3973229413809016E-3</v>
      </c>
      <c r="O86" s="56">
        <f t="shared" si="21"/>
        <v>2.3178291099399506E-8</v>
      </c>
      <c r="P86" s="56">
        <f t="shared" si="38"/>
        <v>2.9380023379580197E-5</v>
      </c>
      <c r="Q86" s="56">
        <f t="shared" si="39"/>
        <v>4.2315688640732395E-4</v>
      </c>
      <c r="R86" s="9">
        <f t="shared" si="12"/>
        <v>1.4999999999999999E-4</v>
      </c>
      <c r="S86" s="9">
        <f t="shared" si="13"/>
        <v>1.7620965641491509E-6</v>
      </c>
      <c r="T86" s="9">
        <f t="shared" si="10"/>
        <v>3.4573511922487932E-6</v>
      </c>
      <c r="U86" s="9">
        <f t="shared" si="11"/>
        <v>1.4823790343585085E-4</v>
      </c>
      <c r="V86" s="100">
        <f t="shared" si="14"/>
        <v>2.3322990356140213E-2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1.8520245187455604</v>
      </c>
      <c r="K87" s="55">
        <f t="shared" si="35"/>
        <v>0.32614161820632909</v>
      </c>
      <c r="L87" s="55">
        <f t="shared" si="36"/>
        <v>9.3270912142758844E-3</v>
      </c>
      <c r="M87" s="55">
        <f t="shared" si="19"/>
        <v>0.99067290878572412</v>
      </c>
      <c r="N87" s="55">
        <f t="shared" si="37"/>
        <v>5.1929784522538099E-3</v>
      </c>
      <c r="O87" s="56">
        <f t="shared" si="21"/>
        <v>3.2797096444945971E-7</v>
      </c>
      <c r="P87" s="56">
        <f t="shared" si="38"/>
        <v>2.3327055126903983E-5</v>
      </c>
      <c r="Q87" s="56">
        <f t="shared" si="39"/>
        <v>4.0713602222842564E-4</v>
      </c>
      <c r="R87" s="9">
        <f t="shared" si="12"/>
        <v>1.4999999999999999E-4</v>
      </c>
      <c r="S87" s="9">
        <f t="shared" si="13"/>
        <v>1.3990636821413826E-6</v>
      </c>
      <c r="T87" s="9">
        <f t="shared" si="10"/>
        <v>4.8921242730949362E-5</v>
      </c>
      <c r="U87" s="9">
        <f t="shared" si="11"/>
        <v>1.4860093631785859E-4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0.97738229738140248</v>
      </c>
      <c r="K88" s="55">
        <f t="shared" si="35"/>
        <v>0.70358965354675074</v>
      </c>
      <c r="L88" s="55">
        <f t="shared" si="36"/>
        <v>2.6854509560528855E-3</v>
      </c>
      <c r="M88" s="55">
        <f t="shared" si="19"/>
        <v>0.99731454904394712</v>
      </c>
      <c r="N88" s="55">
        <f t="shared" si="37"/>
        <v>1.6048173502419952E-4</v>
      </c>
      <c r="O88" s="56">
        <f t="shared" si="21"/>
        <v>7.0753612654366553E-7</v>
      </c>
      <c r="P88" s="56">
        <f t="shared" si="38"/>
        <v>6.7163128410882666E-6</v>
      </c>
      <c r="Q88" s="56">
        <f t="shared" si="39"/>
        <v>1.2581969256912946E-5</v>
      </c>
      <c r="R88" s="9">
        <f t="shared" si="12"/>
        <v>1.4999999999999999E-4</v>
      </c>
      <c r="S88" s="9">
        <f t="shared" si="13"/>
        <v>4.0281764340793279E-7</v>
      </c>
      <c r="T88" s="9">
        <f t="shared" si="10"/>
        <v>1.055384480320126E-4</v>
      </c>
      <c r="U88" s="9">
        <f t="shared" si="11"/>
        <v>1.4959718235659205E-4</v>
      </c>
      <c r="V88" s="100">
        <f t="shared" si="14"/>
        <v>0.70548419675741314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0.51151091680566108</v>
      </c>
      <c r="K89" s="55">
        <f t="shared" si="35"/>
        <v>0.91178230556436246</v>
      </c>
      <c r="L89" s="55">
        <f t="shared" si="36"/>
        <v>1.1904675454987505E-3</v>
      </c>
      <c r="M89" s="55">
        <f t="shared" si="19"/>
        <v>0.99880953245450121</v>
      </c>
      <c r="N89" s="55">
        <f t="shared" si="37"/>
        <v>2.4066931087116968E-4</v>
      </c>
      <c r="O89" s="56">
        <f t="shared" si="21"/>
        <v>9.1689654257713767E-7</v>
      </c>
      <c r="P89" s="56">
        <f t="shared" si="38"/>
        <v>2.9773593312923751E-6</v>
      </c>
      <c r="Q89" s="56">
        <f t="shared" si="39"/>
        <v>1.8868775751999855E-5</v>
      </c>
      <c r="R89" s="9">
        <f t="shared" si="12"/>
        <v>1.4999999999999999E-4</v>
      </c>
      <c r="S89" s="9">
        <f t="shared" si="13"/>
        <v>1.7857013182481256E-7</v>
      </c>
      <c r="T89" s="9">
        <f t="shared" si="10"/>
        <v>1.3676734583465436E-4</v>
      </c>
      <c r="U89" s="9">
        <f t="shared" si="11"/>
        <v>1.4982142986817517E-4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2.1490056662363401E-2</v>
      </c>
      <c r="K90" s="55">
        <f t="shared" si="35"/>
        <v>0.99145395200755349</v>
      </c>
      <c r="L90" s="55">
        <f t="shared" si="36"/>
        <v>4.1886887317005273E-4</v>
      </c>
      <c r="M90" s="55">
        <f t="shared" si="19"/>
        <v>0.99958113112683</v>
      </c>
      <c r="N90" s="55">
        <f t="shared" si="37"/>
        <v>8.6011175404080448E-6</v>
      </c>
      <c r="O90" s="56">
        <f t="shared" si="21"/>
        <v>9.9701507165955288E-7</v>
      </c>
      <c r="P90" s="56">
        <f t="shared" si="38"/>
        <v>1.0475910517983018E-6</v>
      </c>
      <c r="Q90" s="56">
        <f t="shared" si="39"/>
        <v>6.7433840026835487E-7</v>
      </c>
      <c r="R90" s="9">
        <f t="shared" si="12"/>
        <v>1.4999999999999999E-4</v>
      </c>
      <c r="S90" s="9">
        <f t="shared" si="13"/>
        <v>6.2830330975507907E-8</v>
      </c>
      <c r="T90" s="9">
        <f t="shared" si="10"/>
        <v>1.4871809280113301E-4</v>
      </c>
      <c r="U90" s="9">
        <f t="shared" si="11"/>
        <v>1.4993716966902449E-4</v>
      </c>
      <c r="V90" s="100">
        <f t="shared" si="14"/>
        <v>0.99186941523184347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-1.2034235561148411E-2</v>
      </c>
      <c r="K91" s="55">
        <f t="shared" si="35"/>
        <v>0.99495880663952652</v>
      </c>
      <c r="L91" s="55">
        <f t="shared" si="36"/>
        <v>3.8912250439607676E-4</v>
      </c>
      <c r="M91" s="55">
        <f t="shared" si="19"/>
        <v>0.99961087749560396</v>
      </c>
      <c r="N91" s="55">
        <f t="shared" si="37"/>
        <v>3.9202958913565492E-6</v>
      </c>
      <c r="O91" s="56">
        <f t="shared" si="21"/>
        <v>1.0005395852135886E-6</v>
      </c>
      <c r="P91" s="56">
        <f t="shared" si="38"/>
        <v>9.7319538349458798E-7</v>
      </c>
      <c r="Q91" s="56">
        <f t="shared" si="39"/>
        <v>3.0735611361387866E-7</v>
      </c>
      <c r="R91" s="9">
        <f t="shared" si="12"/>
        <v>1.4999999999999999E-4</v>
      </c>
      <c r="S91" s="9">
        <f t="shared" si="13"/>
        <v>5.8368375659411511E-8</v>
      </c>
      <c r="T91" s="9">
        <f t="shared" si="10"/>
        <v>1.4924382099592898E-4</v>
      </c>
      <c r="U91" s="9">
        <f t="shared" si="11"/>
        <v>1.4994163162434059E-4</v>
      </c>
      <c r="V91" s="100">
        <f t="shared" si="14"/>
        <v>0.99534611821378671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0.59563671510665295</v>
      </c>
      <c r="K92" s="55">
        <f t="shared" si="35"/>
        <v>0.89080903012867829</v>
      </c>
      <c r="L92" s="55">
        <f t="shared" si="36"/>
        <v>1.4116817799033881E-3</v>
      </c>
      <c r="M92" s="55">
        <f t="shared" si="19"/>
        <v>0.99858831822009664</v>
      </c>
      <c r="N92" s="55">
        <f t="shared" si="37"/>
        <v>3.2559155361700203E-4</v>
      </c>
      <c r="O92" s="56">
        <f t="shared" si="21"/>
        <v>8.9580562688800958E-7</v>
      </c>
      <c r="P92" s="56">
        <f t="shared" si="38"/>
        <v>3.530616131538374E-6</v>
      </c>
      <c r="Q92" s="56">
        <f t="shared" si="39"/>
        <v>2.5526786068843954E-5</v>
      </c>
      <c r="R92" s="9">
        <f t="shared" si="12"/>
        <v>1.4999999999999999E-4</v>
      </c>
      <c r="S92" s="9">
        <f t="shared" si="13"/>
        <v>2.1175226698550818E-7</v>
      </c>
      <c r="T92" s="9">
        <f t="shared" ref="T92:T143" si="40">R92*K92</f>
        <v>1.3362135451930172E-4</v>
      </c>
      <c r="U92" s="9">
        <f t="shared" ref="U92:U143" si="41">$R92*M92</f>
        <v>1.4978824773301448E-4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-1.067712111790353E-2</v>
      </c>
      <c r="K93" s="55">
        <f t="shared" si="35"/>
        <v>0.99481986338729433</v>
      </c>
      <c r="L93" s="55">
        <f t="shared" si="36"/>
        <v>3.9028585409637959E-4</v>
      </c>
      <c r="M93" s="55">
        <f t="shared" ref="M93:M127" si="42">IF(D93=0,"",1-L93)</f>
        <v>0.99960971414590361</v>
      </c>
      <c r="N93" s="55">
        <f t="shared" si="37"/>
        <v>4.0849318504206931E-6</v>
      </c>
      <c r="O93" s="56">
        <f t="shared" ref="O93:O127" si="43">IF(D93=0,"",F93*K93*$J$7/$J$14)</f>
        <v>1.000399862621026E-6</v>
      </c>
      <c r="P93" s="56">
        <f t="shared" si="38"/>
        <v>9.7610492109504538E-7</v>
      </c>
      <c r="Q93" s="56">
        <f t="shared" si="39"/>
        <v>3.2026377924458159E-7</v>
      </c>
      <c r="R93" s="9">
        <f t="shared" ref="R93:R143" si="44">F93*$C$14</f>
        <v>1.4999999999999999E-4</v>
      </c>
      <c r="S93" s="9">
        <f t="shared" ref="S93:S143" si="45">$R93*L93</f>
        <v>5.8542878114456933E-8</v>
      </c>
      <c r="T93" s="9">
        <f t="shared" si="40"/>
        <v>1.4922297950809414E-4</v>
      </c>
      <c r="U93" s="9">
        <f t="shared" si="41"/>
        <v>1.4994145712188552E-4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-4.5097358117664625E-2</v>
      </c>
      <c r="K94" s="55">
        <f t="shared" si="35"/>
        <v>0.99828570623964574</v>
      </c>
      <c r="L94" s="55">
        <f t="shared" si="36"/>
        <v>3.6180367861282187E-4</v>
      </c>
      <c r="M94" s="55">
        <f t="shared" si="42"/>
        <v>0.99963819632138717</v>
      </c>
      <c r="N94" s="55">
        <f t="shared" si="37"/>
        <v>6.8518690072449824E-7</v>
      </c>
      <c r="O94" s="56">
        <f t="shared" si="43"/>
        <v>1.0038851455762264E-6</v>
      </c>
      <c r="P94" s="56">
        <f t="shared" si="38"/>
        <v>9.0487100021066731E-7</v>
      </c>
      <c r="Q94" s="56">
        <f t="shared" si="39"/>
        <v>5.3719512185328219E-8</v>
      </c>
      <c r="R94" s="9">
        <f t="shared" si="44"/>
        <v>1.4999999999999999E-4</v>
      </c>
      <c r="S94" s="9">
        <f t="shared" si="45"/>
        <v>5.4270551791923272E-8</v>
      </c>
      <c r="T94" s="9">
        <f t="shared" si="40"/>
        <v>1.4974285593594684E-4</v>
      </c>
      <c r="U94" s="9">
        <f t="shared" si="41"/>
        <v>1.4994572944820807E-4</v>
      </c>
      <c r="V94" s="100">
        <f t="shared" si="46"/>
        <v>0.9986470204052641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3.6301694260723134</v>
      </c>
      <c r="K95" s="55">
        <f t="shared" si="35"/>
        <v>1.2197175107875892E-2</v>
      </c>
      <c r="L95" s="55">
        <f t="shared" si="36"/>
        <v>2.0928792317478288E-2</v>
      </c>
      <c r="M95" s="55">
        <f t="shared" si="42"/>
        <v>0.97907120768252176</v>
      </c>
      <c r="N95" s="55">
        <f t="shared" si="37"/>
        <v>1.7383427390384624E-2</v>
      </c>
      <c r="O95" s="56">
        <f t="shared" si="43"/>
        <v>1.2265589732734606E-8</v>
      </c>
      <c r="P95" s="56">
        <f t="shared" si="38"/>
        <v>5.2342909586013213E-5</v>
      </c>
      <c r="Q95" s="56">
        <f t="shared" si="39"/>
        <v>1.362882504807271E-3</v>
      </c>
      <c r="R95" s="9">
        <f t="shared" si="44"/>
        <v>1.4999999999999999E-4</v>
      </c>
      <c r="S95" s="9">
        <f t="shared" si="45"/>
        <v>3.139318847621743E-6</v>
      </c>
      <c r="T95" s="9">
        <f t="shared" si="40"/>
        <v>1.8295762661813835E-6</v>
      </c>
      <c r="U95" s="9">
        <f t="shared" si="41"/>
        <v>1.4686068115237825E-4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-5.8737020764399468E-2</v>
      </c>
      <c r="K96" s="55">
        <f t="shared" si="35"/>
        <v>0.99964889677389124</v>
      </c>
      <c r="L96" s="55">
        <f t="shared" si="36"/>
        <v>3.5109605834484877E-4</v>
      </c>
      <c r="M96" s="55">
        <f t="shared" si="42"/>
        <v>0.99964890394165518</v>
      </c>
      <c r="N96" s="55">
        <f t="shared" si="37"/>
        <v>2.1875281861869703E-14</v>
      </c>
      <c r="O96" s="56">
        <f t="shared" si="43"/>
        <v>1.0052559823210237E-6</v>
      </c>
      <c r="P96" s="56">
        <f t="shared" si="38"/>
        <v>8.78091241920467E-7</v>
      </c>
      <c r="Q96" s="56">
        <f t="shared" si="39"/>
        <v>1.7150495277911013E-15</v>
      </c>
      <c r="R96" s="9">
        <f t="shared" si="44"/>
        <v>1.4999999999999999E-4</v>
      </c>
      <c r="S96" s="9">
        <f t="shared" si="45"/>
        <v>5.2664408751727313E-8</v>
      </c>
      <c r="T96" s="9">
        <f t="shared" si="40"/>
        <v>1.4994733451608366E-4</v>
      </c>
      <c r="U96" s="9">
        <f t="shared" si="41"/>
        <v>1.4994733559124825E-4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3.5852661261702856</v>
      </c>
      <c r="K98" s="55">
        <f t="shared" si="35"/>
        <v>5.6612230158495196E-3</v>
      </c>
      <c r="L98" s="55">
        <f t="shared" si="36"/>
        <v>8.7597532592831335E-3</v>
      </c>
      <c r="M98" s="55">
        <f t="shared" si="42"/>
        <v>0.99124024674071687</v>
      </c>
      <c r="N98" s="55">
        <f t="shared" si="37"/>
        <v>1.2912681239166256E-3</v>
      </c>
      <c r="O98" s="56">
        <f t="shared" si="43"/>
        <v>5.6929771265714991E-9</v>
      </c>
      <c r="P98" s="56">
        <f t="shared" si="38"/>
        <v>2.190814290146714E-5</v>
      </c>
      <c r="Q98" s="56">
        <f t="shared" si="39"/>
        <v>1.0123704006004641E-4</v>
      </c>
      <c r="R98" s="9">
        <f t="shared" si="44"/>
        <v>1.4999999999999999E-4</v>
      </c>
      <c r="S98" s="9">
        <f t="shared" si="45"/>
        <v>1.3139629888924699E-6</v>
      </c>
      <c r="T98" s="9">
        <f t="shared" si="40"/>
        <v>8.4918345237742789E-7</v>
      </c>
      <c r="U98" s="9">
        <f t="shared" si="41"/>
        <v>1.4868603701110751E-4</v>
      </c>
      <c r="V98" s="100">
        <f t="shared" si="46"/>
        <v>5.7112521757102857E-3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1.8542805551315384</v>
      </c>
      <c r="K99" s="55">
        <f t="shared" si="35"/>
        <v>0.22879892935649324</v>
      </c>
      <c r="L99" s="55">
        <f t="shared" si="36"/>
        <v>6.577335975679016E-3</v>
      </c>
      <c r="M99" s="55">
        <f t="shared" si="42"/>
        <v>0.993422664024321</v>
      </c>
      <c r="N99" s="55">
        <f t="shared" si="37"/>
        <v>6.1314071286678457E-4</v>
      </c>
      <c r="O99" s="56">
        <f t="shared" si="43"/>
        <v>2.3008227511332284E-7</v>
      </c>
      <c r="P99" s="56">
        <f t="shared" si="38"/>
        <v>1.6449917275173222E-5</v>
      </c>
      <c r="Q99" s="56">
        <f t="shared" si="39"/>
        <v>4.8071000717235991E-5</v>
      </c>
      <c r="R99" s="9">
        <f t="shared" si="44"/>
        <v>1.4999999999999999E-4</v>
      </c>
      <c r="S99" s="9">
        <f t="shared" si="45"/>
        <v>9.8660039635185237E-7</v>
      </c>
      <c r="T99" s="9">
        <f t="shared" si="40"/>
        <v>3.4319839403473983E-5</v>
      </c>
      <c r="U99" s="9">
        <f t="shared" si="41"/>
        <v>1.4901339960364814E-4</v>
      </c>
      <c r="V99" s="100">
        <f t="shared" si="46"/>
        <v>0.23031378047047635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3.2056950473044594</v>
      </c>
      <c r="K101" s="55">
        <f t="shared" si="35"/>
        <v>1.2597391527905729E-2</v>
      </c>
      <c r="L101" s="55">
        <f t="shared" si="36"/>
        <v>8.1337563408040627E-3</v>
      </c>
      <c r="M101" s="55">
        <f t="shared" si="42"/>
        <v>0.99186624365919596</v>
      </c>
      <c r="N101" s="55">
        <f t="shared" si="37"/>
        <v>5.3504066851114279E-4</v>
      </c>
      <c r="O101" s="56">
        <f t="shared" si="43"/>
        <v>1.2668050988638035E-8</v>
      </c>
      <c r="P101" s="56">
        <f t="shared" si="38"/>
        <v>2.0342524608350968E-5</v>
      </c>
      <c r="Q101" s="56">
        <f t="shared" si="39"/>
        <v>4.1947859308663576E-5</v>
      </c>
      <c r="R101" s="9">
        <f t="shared" si="44"/>
        <v>1.4999999999999999E-4</v>
      </c>
      <c r="S101" s="9">
        <f t="shared" si="45"/>
        <v>1.2200634511206093E-6</v>
      </c>
      <c r="T101" s="9">
        <f t="shared" si="40"/>
        <v>1.8896087291858592E-6</v>
      </c>
      <c r="U101" s="9">
        <f t="shared" si="41"/>
        <v>1.4877993654887939E-4</v>
      </c>
      <c r="V101" s="100">
        <f t="shared" si="46"/>
        <v>1.2700695893663438E-2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2.4173447443020346</v>
      </c>
      <c r="K102" s="55">
        <f t="shared" si="35"/>
        <v>6.9472185773516271E-2</v>
      </c>
      <c r="L102" s="55">
        <f t="shared" si="36"/>
        <v>7.3024936994242531E-3</v>
      </c>
      <c r="M102" s="55">
        <f t="shared" si="42"/>
        <v>0.99269750630057574</v>
      </c>
      <c r="N102" s="55">
        <f t="shared" si="37"/>
        <v>1.0223902308376376E-9</v>
      </c>
      <c r="O102" s="56">
        <f t="shared" si="43"/>
        <v>6.9861859077848917E-8</v>
      </c>
      <c r="P102" s="56">
        <f t="shared" si="38"/>
        <v>1.8263536742260055E-5</v>
      </c>
      <c r="Q102" s="56">
        <f t="shared" si="39"/>
        <v>8.0156676091690636E-11</v>
      </c>
      <c r="R102" s="9">
        <f t="shared" si="44"/>
        <v>1.4999999999999999E-4</v>
      </c>
      <c r="S102" s="9">
        <f t="shared" si="45"/>
        <v>1.0953740549136379E-6</v>
      </c>
      <c r="T102" s="9">
        <f t="shared" si="40"/>
        <v>1.042082786602744E-5</v>
      </c>
      <c r="U102" s="9">
        <f t="shared" si="41"/>
        <v>1.4890462594508634E-4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3.4660209722219997</v>
      </c>
      <c r="K103" s="55">
        <f t="shared" si="35"/>
        <v>6.610155646908096E-3</v>
      </c>
      <c r="L103" s="55">
        <f t="shared" si="36"/>
        <v>7.772274696531023E-3</v>
      </c>
      <c r="M103" s="55">
        <f t="shared" si="42"/>
        <v>0.99222772530346903</v>
      </c>
      <c r="N103" s="55">
        <f t="shared" si="37"/>
        <v>1.6222486212513869E-9</v>
      </c>
      <c r="O103" s="56">
        <f t="shared" si="43"/>
        <v>6.6472323728582647E-9</v>
      </c>
      <c r="P103" s="56">
        <f t="shared" si="38"/>
        <v>1.9438459016024093E-5</v>
      </c>
      <c r="Q103" s="56">
        <f t="shared" si="39"/>
        <v>1.2718632607365887E-10</v>
      </c>
      <c r="R103" s="9">
        <f t="shared" si="44"/>
        <v>1.4999999999999999E-4</v>
      </c>
      <c r="S103" s="9">
        <f t="shared" si="45"/>
        <v>1.1658412044796533E-6</v>
      </c>
      <c r="T103" s="9">
        <f t="shared" si="40"/>
        <v>9.915233470362143E-7</v>
      </c>
      <c r="U103" s="9">
        <f t="shared" si="41"/>
        <v>1.4883415879552033E-4</v>
      </c>
      <c r="V103" s="100">
        <f t="shared" si="46"/>
        <v>6.6619340281853191E-3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4.1789576597323235</v>
      </c>
      <c r="K104" s="55">
        <f t="shared" si="35"/>
        <v>1.3624263703743264E-3</v>
      </c>
      <c r="L104" s="55">
        <f t="shared" si="36"/>
        <v>8.2715363809978439E-3</v>
      </c>
      <c r="M104" s="55">
        <f t="shared" si="42"/>
        <v>0.99172846361900213</v>
      </c>
      <c r="N104" s="55">
        <f t="shared" si="37"/>
        <v>6.0592546886964374E-4</v>
      </c>
      <c r="O104" s="56">
        <f t="shared" si="43"/>
        <v>1.3700682946889647E-9</v>
      </c>
      <c r="P104" s="56">
        <f t="shared" si="38"/>
        <v>2.0687112488875633E-5</v>
      </c>
      <c r="Q104" s="56">
        <f t="shared" si="39"/>
        <v>4.7505316540532257E-5</v>
      </c>
      <c r="R104" s="9">
        <f t="shared" si="44"/>
        <v>1.4999999999999999E-4</v>
      </c>
      <c r="S104" s="9">
        <f t="shared" si="45"/>
        <v>1.2407304571496765E-6</v>
      </c>
      <c r="T104" s="9">
        <f t="shared" si="40"/>
        <v>2.0436395555614895E-7</v>
      </c>
      <c r="U104" s="9">
        <f t="shared" si="41"/>
        <v>1.487592695428503E-4</v>
      </c>
      <c r="V104" s="100">
        <f t="shared" si="46"/>
        <v>1.3737897220400213E-3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3.8987670522081364</v>
      </c>
      <c r="K105" s="55">
        <f t="shared" si="35"/>
        <v>3.2104256232379459E-3</v>
      </c>
      <c r="L105" s="55">
        <f t="shared" si="36"/>
        <v>1.0224572263027686E-2</v>
      </c>
      <c r="M105" s="55">
        <f t="shared" si="42"/>
        <v>0.98977542773697236</v>
      </c>
      <c r="N105" s="55">
        <f t="shared" si="37"/>
        <v>3.196456359893826E-3</v>
      </c>
      <c r="O105" s="56">
        <f t="shared" si="43"/>
        <v>3.228433076825195E-9</v>
      </c>
      <c r="P105" s="56">
        <f t="shared" si="38"/>
        <v>2.5571655229832261E-5</v>
      </c>
      <c r="Q105" s="56">
        <f t="shared" si="39"/>
        <v>2.5060618671142508E-4</v>
      </c>
      <c r="R105" s="9">
        <f t="shared" si="44"/>
        <v>1.4999999999999999E-4</v>
      </c>
      <c r="S105" s="9">
        <f t="shared" si="45"/>
        <v>1.5336858394541528E-6</v>
      </c>
      <c r="T105" s="9">
        <f t="shared" si="40"/>
        <v>4.8156384348569186E-7</v>
      </c>
      <c r="U105" s="9">
        <f t="shared" si="41"/>
        <v>1.4846631416054584E-4</v>
      </c>
      <c r="V105" s="100">
        <f t="shared" si="46"/>
        <v>3.2435899430017976E-3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2.9201125615030872</v>
      </c>
      <c r="K106" s="55">
        <f t="shared" si="35"/>
        <v>2.3412424987896335E-2</v>
      </c>
      <c r="L106" s="55">
        <f t="shared" si="36"/>
        <v>7.8320318327559698E-3</v>
      </c>
      <c r="M106" s="55">
        <f t="shared" si="42"/>
        <v>0.99216796816724406</v>
      </c>
      <c r="N106" s="55">
        <f t="shared" si="37"/>
        <v>2.4409144900718719E-4</v>
      </c>
      <c r="O106" s="56">
        <f t="shared" si="43"/>
        <v>2.3543746565098703E-8</v>
      </c>
      <c r="P106" s="56">
        <f t="shared" si="38"/>
        <v>1.9587911613722678E-5</v>
      </c>
      <c r="Q106" s="56">
        <f t="shared" si="39"/>
        <v>1.913707567294593E-5</v>
      </c>
      <c r="R106" s="9">
        <f t="shared" si="44"/>
        <v>1.4999999999999999E-4</v>
      </c>
      <c r="S106" s="9">
        <f t="shared" si="45"/>
        <v>1.1748047749133953E-6</v>
      </c>
      <c r="T106" s="9">
        <f t="shared" si="40"/>
        <v>3.5118637481844499E-6</v>
      </c>
      <c r="U106" s="9">
        <f t="shared" si="41"/>
        <v>1.4882519522508658E-4</v>
      </c>
      <c r="V106" s="100">
        <f t="shared" si="46"/>
        <v>2.3597239317395335E-2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3.6319518486565139</v>
      </c>
      <c r="K108" s="55">
        <f t="shared" si="35"/>
        <v>4.8914968924675057E-3</v>
      </c>
      <c r="L108" s="55">
        <f t="shared" si="36"/>
        <v>8.4277009016941584E-3</v>
      </c>
      <c r="M108" s="55">
        <f t="shared" si="42"/>
        <v>0.9915722990983058</v>
      </c>
      <c r="N108" s="55">
        <f t="shared" si="37"/>
        <v>8.4634600498264937E-4</v>
      </c>
      <c r="O108" s="56">
        <f t="shared" si="43"/>
        <v>4.9189335671020812E-9</v>
      </c>
      <c r="P108" s="56">
        <f t="shared" si="38"/>
        <v>2.1077679955137091E-5</v>
      </c>
      <c r="Q108" s="56">
        <f t="shared" si="39"/>
        <v>6.6354588039548772E-5</v>
      </c>
      <c r="R108" s="9">
        <f t="shared" si="44"/>
        <v>1.4999999999999999E-4</v>
      </c>
      <c r="S108" s="9">
        <f t="shared" si="45"/>
        <v>1.2641551352541237E-6</v>
      </c>
      <c r="T108" s="9">
        <f t="shared" si="40"/>
        <v>7.3372453387012583E-7</v>
      </c>
      <c r="U108" s="9">
        <f t="shared" si="41"/>
        <v>1.4873584486474586E-4</v>
      </c>
      <c r="V108" s="100">
        <f t="shared" si="46"/>
        <v>4.9330713422668501E-3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3.9146802316515763</v>
      </c>
      <c r="K109" s="55">
        <f t="shared" si="35"/>
        <v>2.931962471885E-3</v>
      </c>
      <c r="L109" s="55">
        <f t="shared" si="36"/>
        <v>9.6862153954242781E-3</v>
      </c>
      <c r="M109" s="55">
        <f t="shared" si="42"/>
        <v>0.99031378460457575</v>
      </c>
      <c r="N109" s="55">
        <f t="shared" si="37"/>
        <v>2.4846462998257633E-3</v>
      </c>
      <c r="O109" s="56">
        <f t="shared" si="43"/>
        <v>2.948408010367457E-9</v>
      </c>
      <c r="P109" s="56">
        <f t="shared" si="38"/>
        <v>2.4225224703956118E-5</v>
      </c>
      <c r="Q109" s="56">
        <f t="shared" si="39"/>
        <v>1.9479938545028947E-4</v>
      </c>
      <c r="R109" s="9">
        <f t="shared" si="44"/>
        <v>1.4999999999999999E-4</v>
      </c>
      <c r="S109" s="9">
        <f t="shared" si="45"/>
        <v>1.4529323093136416E-6</v>
      </c>
      <c r="T109" s="9">
        <f t="shared" si="40"/>
        <v>4.3979437078274994E-7</v>
      </c>
      <c r="U109" s="9">
        <f t="shared" si="41"/>
        <v>1.4854706769068635E-4</v>
      </c>
      <c r="V109" s="100">
        <f t="shared" si="46"/>
        <v>2.9606398673484172E-3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2.1708272325180955</v>
      </c>
      <c r="K110" s="55">
        <f t="shared" si="35"/>
        <v>0.11706571422780693</v>
      </c>
      <c r="L110" s="55">
        <f t="shared" si="36"/>
        <v>6.9754532948815484E-3</v>
      </c>
      <c r="M110" s="55">
        <f t="shared" si="42"/>
        <v>0.99302454670511842</v>
      </c>
      <c r="N110" s="55">
        <f t="shared" si="37"/>
        <v>3.7716890916247828E-5</v>
      </c>
      <c r="O110" s="56">
        <f t="shared" si="43"/>
        <v>1.1772234224633405E-7</v>
      </c>
      <c r="P110" s="56">
        <f t="shared" si="38"/>
        <v>1.7445608690498754E-5</v>
      </c>
      <c r="Q110" s="56">
        <f t="shared" si="39"/>
        <v>2.9570515417409352E-6</v>
      </c>
      <c r="R110" s="9">
        <f t="shared" si="44"/>
        <v>1.4999999999999999E-4</v>
      </c>
      <c r="S110" s="9">
        <f t="shared" si="45"/>
        <v>1.0463179942322322E-6</v>
      </c>
      <c r="T110" s="9">
        <f t="shared" si="40"/>
        <v>1.7559857134171039E-5</v>
      </c>
      <c r="U110" s="9">
        <f t="shared" si="41"/>
        <v>1.4895368200576776E-4</v>
      </c>
      <c r="V110" s="100">
        <f t="shared" si="46"/>
        <v>0.11788803672198643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2.259536875659184</v>
      </c>
      <c r="K111" s="55">
        <f t="shared" si="35"/>
        <v>0.17294720540804306</v>
      </c>
      <c r="L111" s="55">
        <f t="shared" si="36"/>
        <v>1.2640548170404305E-2</v>
      </c>
      <c r="M111" s="55">
        <f t="shared" si="42"/>
        <v>0.98735945182959572</v>
      </c>
      <c r="N111" s="55">
        <f t="shared" si="37"/>
        <v>8.0492446547018714E-3</v>
      </c>
      <c r="O111" s="56">
        <f t="shared" si="43"/>
        <v>1.7391727577874015E-7</v>
      </c>
      <c r="P111" s="56">
        <f t="shared" si="38"/>
        <v>3.1614010974181171E-5</v>
      </c>
      <c r="Q111" s="56">
        <f t="shared" si="39"/>
        <v>6.3107087402537244E-4</v>
      </c>
      <c r="R111" s="9">
        <f t="shared" si="44"/>
        <v>1.4999999999999999E-4</v>
      </c>
      <c r="S111" s="9">
        <f t="shared" si="45"/>
        <v>1.8960822255606455E-6</v>
      </c>
      <c r="T111" s="9">
        <f t="shared" si="40"/>
        <v>2.5942080811206458E-5</v>
      </c>
      <c r="U111" s="9">
        <f t="shared" si="41"/>
        <v>1.4810391777443933E-4</v>
      </c>
      <c r="V111" s="100">
        <f t="shared" si="46"/>
        <v>0.17516134077368542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5.2954798864379393</v>
      </c>
      <c r="K112" s="55">
        <f t="shared" si="35"/>
        <v>2.9290724971649761E-4</v>
      </c>
      <c r="L112" s="55">
        <f t="shared" si="36"/>
        <v>2.3255489801813963E-2</v>
      </c>
      <c r="M112" s="55">
        <f t="shared" si="42"/>
        <v>0.97674451019818609</v>
      </c>
      <c r="N112" s="55">
        <f t="shared" si="37"/>
        <v>2.033074473568313E-2</v>
      </c>
      <c r="O112" s="56">
        <f t="shared" si="43"/>
        <v>2.9455018256205562E-10</v>
      </c>
      <c r="P112" s="56">
        <f t="shared" si="38"/>
        <v>5.816197999433676E-5</v>
      </c>
      <c r="Q112" s="56">
        <f t="shared" si="39"/>
        <v>1.5939558803744049E-3</v>
      </c>
      <c r="R112" s="9">
        <f t="shared" si="44"/>
        <v>1.4999999999999999E-4</v>
      </c>
      <c r="S112" s="9">
        <f t="shared" si="45"/>
        <v>3.488323470272094E-6</v>
      </c>
      <c r="T112" s="9">
        <f t="shared" si="40"/>
        <v>4.3936087457474635E-8</v>
      </c>
      <c r="U112" s="9">
        <f t="shared" si="41"/>
        <v>1.465116765297279E-4</v>
      </c>
      <c r="V112" s="100">
        <f t="shared" si="46"/>
        <v>2.9988113233118182E-4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5.6689287455654798</v>
      </c>
      <c r="K113" s="55">
        <f t="shared" si="35"/>
        <v>1.3189098184561107E-4</v>
      </c>
      <c r="L113" s="55">
        <f t="shared" si="36"/>
        <v>2.4743397404649547E-2</v>
      </c>
      <c r="M113" s="55">
        <f t="shared" si="42"/>
        <v>0.97525660259535041</v>
      </c>
      <c r="N113" s="55">
        <f t="shared" si="37"/>
        <v>2.2288881121636194E-2</v>
      </c>
      <c r="O113" s="56">
        <f t="shared" si="43"/>
        <v>1.3263076560417896E-10</v>
      </c>
      <c r="P113" s="56">
        <f t="shared" si="38"/>
        <v>6.1883236909028572E-5</v>
      </c>
      <c r="Q113" s="56">
        <f t="shared" si="39"/>
        <v>1.7474762283765557E-3</v>
      </c>
      <c r="R113" s="9">
        <f t="shared" si="44"/>
        <v>1.4999999999999999E-4</v>
      </c>
      <c r="S113" s="9">
        <f t="shared" si="45"/>
        <v>3.7115096106974316E-6</v>
      </c>
      <c r="T113" s="9">
        <f t="shared" si="40"/>
        <v>1.9783647276841658E-8</v>
      </c>
      <c r="U113" s="9">
        <f t="shared" si="41"/>
        <v>1.4628849038930255E-4</v>
      </c>
      <c r="V113" s="100">
        <f t="shared" si="46"/>
        <v>1.3523720987340473E-4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6.0939707025144498</v>
      </c>
      <c r="K114" s="55">
        <f t="shared" si="35"/>
        <v>5.2314185109483942E-5</v>
      </c>
      <c r="L114" s="55">
        <f t="shared" si="36"/>
        <v>2.6115939316915252E-2</v>
      </c>
      <c r="M114" s="55">
        <f t="shared" si="42"/>
        <v>0.97388406068308475</v>
      </c>
      <c r="N114" s="55">
        <f t="shared" si="37"/>
        <v>2.4095871103560408E-2</v>
      </c>
      <c r="O114" s="56">
        <f t="shared" si="43"/>
        <v>5.2607618246042225E-11</v>
      </c>
      <c r="P114" s="56">
        <f t="shared" si="38"/>
        <v>6.5315964231605063E-5</v>
      </c>
      <c r="Q114" s="56">
        <f t="shared" si="39"/>
        <v>1.8891465087775732E-3</v>
      </c>
      <c r="R114" s="9">
        <f t="shared" si="44"/>
        <v>1.4999999999999999E-4</v>
      </c>
      <c r="S114" s="9">
        <f t="shared" si="45"/>
        <v>3.9173908975372877E-6</v>
      </c>
      <c r="T114" s="9">
        <f t="shared" si="40"/>
        <v>7.84712776642259E-9</v>
      </c>
      <c r="U114" s="9">
        <f t="shared" si="41"/>
        <v>1.4608260910246271E-4</v>
      </c>
      <c r="V114" s="100">
        <f t="shared" si="46"/>
        <v>5.3717056497249418E-5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4.6826081077472583</v>
      </c>
      <c r="K115" s="55">
        <f t="shared" si="35"/>
        <v>1.3119030459912188E-3</v>
      </c>
      <c r="L115" s="55">
        <f t="shared" si="36"/>
        <v>2.5399509606457357E-2</v>
      </c>
      <c r="M115" s="55">
        <f t="shared" si="42"/>
        <v>0.97460049039354268</v>
      </c>
      <c r="N115" s="55">
        <f t="shared" si="37"/>
        <v>2.3164660480877085E-2</v>
      </c>
      <c r="O115" s="56">
        <f t="shared" si="43"/>
        <v>1.3192615822054391E-9</v>
      </c>
      <c r="P115" s="56">
        <f t="shared" si="38"/>
        <v>6.3524173525749851E-5</v>
      </c>
      <c r="Q115" s="56">
        <f t="shared" si="39"/>
        <v>1.8161384282969777E-3</v>
      </c>
      <c r="R115" s="9">
        <f t="shared" si="44"/>
        <v>1.4999999999999999E-4</v>
      </c>
      <c r="S115" s="9">
        <f t="shared" si="45"/>
        <v>3.8099264409686033E-6</v>
      </c>
      <c r="T115" s="9">
        <f t="shared" si="40"/>
        <v>1.967854568986828E-7</v>
      </c>
      <c r="U115" s="9">
        <f t="shared" si="41"/>
        <v>1.4619007355903138E-4</v>
      </c>
      <c r="V115" s="100">
        <f t="shared" si="46"/>
        <v>1.3460931519349776E-3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-2.1368353720901772E-2</v>
      </c>
      <c r="K116" s="55">
        <f t="shared" si="35"/>
        <v>0.99590854892599423</v>
      </c>
      <c r="L116" s="55">
        <f t="shared" si="36"/>
        <v>3.8121202374813228E-4</v>
      </c>
      <c r="M116" s="55">
        <f t="shared" si="42"/>
        <v>0.99961878797625192</v>
      </c>
      <c r="N116" s="55">
        <f t="shared" si="37"/>
        <v>2.8496706700824058E-6</v>
      </c>
      <c r="O116" s="56">
        <f t="shared" si="43"/>
        <v>1.001494654656686E-6</v>
      </c>
      <c r="P116" s="56">
        <f t="shared" si="38"/>
        <v>9.5341127139407865E-7</v>
      </c>
      <c r="Q116" s="56">
        <f t="shared" si="39"/>
        <v>2.2341775378921938E-7</v>
      </c>
      <c r="R116" s="9">
        <f t="shared" si="44"/>
        <v>1.4999999999999999E-4</v>
      </c>
      <c r="S116" s="9">
        <f t="shared" si="45"/>
        <v>5.7181803562219835E-8</v>
      </c>
      <c r="T116" s="9">
        <f t="shared" si="40"/>
        <v>1.4938628233889911E-4</v>
      </c>
      <c r="U116" s="9">
        <f t="shared" si="41"/>
        <v>1.4994281819643776E-4</v>
      </c>
      <c r="V116" s="100">
        <f t="shared" si="46"/>
        <v>0.99628834602261818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1.0426006689905334</v>
      </c>
      <c r="K117" s="55">
        <f t="shared" si="35"/>
        <v>0.72831760824407266</v>
      </c>
      <c r="L117" s="55">
        <f t="shared" si="36"/>
        <v>3.2302561527115612E-3</v>
      </c>
      <c r="M117" s="55">
        <f t="shared" si="42"/>
        <v>0.99676974384728845</v>
      </c>
      <c r="N117" s="55">
        <f t="shared" si="37"/>
        <v>1.1214398290284706E-3</v>
      </c>
      <c r="O117" s="56">
        <f t="shared" si="43"/>
        <v>7.3240278169655849E-7</v>
      </c>
      <c r="P117" s="56">
        <f t="shared" si="38"/>
        <v>8.0788706379316185E-6</v>
      </c>
      <c r="Q117" s="56">
        <f t="shared" si="39"/>
        <v>8.7922288789975077E-5</v>
      </c>
      <c r="R117" s="9">
        <f t="shared" si="44"/>
        <v>1.4999999999999999E-4</v>
      </c>
      <c r="S117" s="9">
        <f t="shared" si="45"/>
        <v>4.8453842290673417E-7</v>
      </c>
      <c r="T117" s="9">
        <f t="shared" si="40"/>
        <v>1.0924764123661089E-4</v>
      </c>
      <c r="U117" s="9">
        <f t="shared" si="41"/>
        <v>1.4951546157709325E-4</v>
      </c>
      <c r="V117" s="100">
        <f t="shared" si="46"/>
        <v>0.73067788497767205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2.2723978215081706</v>
      </c>
      <c r="K118" s="55">
        <f t="shared" si="35"/>
        <v>0.16920565702884355</v>
      </c>
      <c r="L118" s="55">
        <f t="shared" si="36"/>
        <v>1.2738790158220971E-2</v>
      </c>
      <c r="M118" s="55">
        <f t="shared" si="42"/>
        <v>0.98726120984177901</v>
      </c>
      <c r="N118" s="55">
        <f t="shared" si="37"/>
        <v>8.1418112082877279E-3</v>
      </c>
      <c r="O118" s="56">
        <f t="shared" si="43"/>
        <v>1.701547408492542E-7</v>
      </c>
      <c r="P118" s="56">
        <f t="shared" si="38"/>
        <v>3.1859714185710646E-5</v>
      </c>
      <c r="Q118" s="56">
        <f t="shared" si="39"/>
        <v>6.3832820789741724E-4</v>
      </c>
      <c r="R118" s="9">
        <f t="shared" si="44"/>
        <v>1.4999999999999999E-4</v>
      </c>
      <c r="S118" s="9">
        <f t="shared" si="45"/>
        <v>1.9108185237331455E-6</v>
      </c>
      <c r="T118" s="9">
        <f t="shared" si="40"/>
        <v>2.538084855432653E-5</v>
      </c>
      <c r="U118" s="9">
        <f t="shared" si="41"/>
        <v>1.4808918147626683E-4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-5.374618131365505E-2</v>
      </c>
      <c r="K119" s="55">
        <f t="shared" si="35"/>
        <v>0.99914670198885969</v>
      </c>
      <c r="L119" s="55">
        <f t="shared" si="36"/>
        <v>3.5497564860509682E-4</v>
      </c>
      <c r="M119" s="55">
        <f t="shared" si="42"/>
        <v>0.99964502435139491</v>
      </c>
      <c r="N119" s="55">
        <f t="shared" si="37"/>
        <v>1.6672898296071718E-7</v>
      </c>
      <c r="O119" s="56">
        <f t="shared" si="43"/>
        <v>1.0047509706978701E-6</v>
      </c>
      <c r="P119" s="56">
        <f t="shared" si="38"/>
        <v>8.8779409716134694E-7</v>
      </c>
      <c r="Q119" s="56">
        <f t="shared" si="39"/>
        <v>1.3071761328675665E-8</v>
      </c>
      <c r="R119" s="9">
        <f t="shared" si="44"/>
        <v>1.4999999999999999E-4</v>
      </c>
      <c r="S119" s="9">
        <f t="shared" si="45"/>
        <v>5.3246347290764521E-8</v>
      </c>
      <c r="T119" s="9">
        <f t="shared" si="40"/>
        <v>1.4987200529832895E-4</v>
      </c>
      <c r="U119" s="9">
        <f t="shared" si="41"/>
        <v>1.4994675365270923E-4</v>
      </c>
      <c r="V119" s="100">
        <f t="shared" si="46"/>
        <v>0.99950150068234622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-5.8737087957689227E-2</v>
      </c>
      <c r="K120" s="55">
        <f t="shared" si="35"/>
        <v>0.9996489037142815</v>
      </c>
      <c r="L120" s="55">
        <f t="shared" si="36"/>
        <v>3.5109600646147834E-4</v>
      </c>
      <c r="M120" s="55">
        <f t="shared" si="42"/>
        <v>0.99964890399353856</v>
      </c>
      <c r="N120" s="55">
        <f t="shared" si="37"/>
        <v>2.1632347989057146E-16</v>
      </c>
      <c r="O120" s="56">
        <f t="shared" si="43"/>
        <v>1.0052559893003429E-6</v>
      </c>
      <c r="P120" s="56">
        <f t="shared" si="38"/>
        <v>8.7809111216015737E-7</v>
      </c>
      <c r="Q120" s="56">
        <f t="shared" si="39"/>
        <v>1.6960032075433202E-17</v>
      </c>
      <c r="R120" s="9">
        <f t="shared" si="44"/>
        <v>1.4999999999999999E-4</v>
      </c>
      <c r="S120" s="9">
        <f t="shared" si="45"/>
        <v>5.2664400969221747E-8</v>
      </c>
      <c r="T120" s="9">
        <f t="shared" si="40"/>
        <v>1.4994733555714221E-4</v>
      </c>
      <c r="U120" s="9">
        <f t="shared" si="41"/>
        <v>1.4994733559903076E-4</v>
      </c>
      <c r="V120" s="100">
        <f t="shared" si="46"/>
        <v>0.99999999972064491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0.26093616996066504</v>
      </c>
      <c r="K121" s="55">
        <f t="shared" si="35"/>
        <v>0.96031137150822421</v>
      </c>
      <c r="L121" s="55">
        <f t="shared" si="36"/>
        <v>7.0414763515978568E-4</v>
      </c>
      <c r="M121" s="55">
        <f t="shared" si="42"/>
        <v>0.9992958523648402</v>
      </c>
      <c r="N121" s="55">
        <f t="shared" si="37"/>
        <v>7.780678172626592E-5</v>
      </c>
      <c r="O121" s="56">
        <f t="shared" si="43"/>
        <v>9.6569781071633811E-7</v>
      </c>
      <c r="P121" s="56">
        <f t="shared" si="38"/>
        <v>1.7610732355346243E-6</v>
      </c>
      <c r="Q121" s="56">
        <f t="shared" si="39"/>
        <v>6.100149250701915E-6</v>
      </c>
      <c r="R121" s="9">
        <f t="shared" si="44"/>
        <v>1.4999999999999999E-4</v>
      </c>
      <c r="S121" s="9">
        <f t="shared" si="45"/>
        <v>1.0562214527396784E-7</v>
      </c>
      <c r="T121" s="9">
        <f t="shared" si="40"/>
        <v>1.4404670572623361E-4</v>
      </c>
      <c r="U121" s="9">
        <f t="shared" si="41"/>
        <v>1.4989437785472602E-4</v>
      </c>
      <c r="V121" s="100">
        <f t="shared" si="46"/>
        <v>0.96098804897032353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5.3357521430084338</v>
      </c>
      <c r="K122" s="55">
        <f t="shared" si="35"/>
        <v>3.1553337116895023E-4</v>
      </c>
      <c r="L122" s="55">
        <f t="shared" si="36"/>
        <v>2.7486087456649533E-2</v>
      </c>
      <c r="M122" s="55">
        <f t="shared" si="42"/>
        <v>0.97251391254335051</v>
      </c>
      <c r="N122" s="55">
        <f t="shared" si="37"/>
        <v>2.5903082371914028E-2</v>
      </c>
      <c r="O122" s="56">
        <f t="shared" si="43"/>
        <v>3.1730321517200873E-10</v>
      </c>
      <c r="P122" s="56">
        <f t="shared" si="38"/>
        <v>6.8742704729080553E-5</v>
      </c>
      <c r="Q122" s="56">
        <f t="shared" si="39"/>
        <v>2.0308341383121309E-3</v>
      </c>
      <c r="R122" s="9">
        <f t="shared" si="44"/>
        <v>1.4999999999999999E-4</v>
      </c>
      <c r="S122" s="9">
        <f t="shared" si="45"/>
        <v>4.1229131184974297E-6</v>
      </c>
      <c r="T122" s="9">
        <f t="shared" si="40"/>
        <v>4.7330005675342531E-8</v>
      </c>
      <c r="U122" s="9">
        <f t="shared" si="41"/>
        <v>1.4587708688150257E-4</v>
      </c>
      <c r="V122" s="100">
        <f t="shared" si="46"/>
        <v>3.2445126707108689E-4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0.90354926162364302</v>
      </c>
      <c r="K123" s="55">
        <f t="shared" ref="K123:K127" si="49">IF(D123=0,"",1/(1+10^D123*$J$15/$J$14+10^E123*$J$16/$J$14+10^J123*$J$19/$J$14))</f>
        <v>0.79938816144321523</v>
      </c>
      <c r="L123" s="55">
        <f t="shared" ref="L123:L127" si="50">IF(D123=0,"",1/(1+10^I123/10^J123*$J$13/$J$19))</f>
        <v>2.5740824726573006E-3</v>
      </c>
      <c r="M123" s="55">
        <f t="shared" si="42"/>
        <v>0.99742591752734266</v>
      </c>
      <c r="N123" s="55">
        <f t="shared" ref="N123:N127" si="51">IF(D123=0,"",1/(1/10^E123*$J$20/$J$22+10^D123/10^E123*$J$21/$J$22+10^I123/10^E123*$J$13/$J$22+1))</f>
        <v>9.567376808336317E-4</v>
      </c>
      <c r="O123" s="56">
        <f t="shared" si="43"/>
        <v>8.0387197353068141E-7</v>
      </c>
      <c r="P123" s="56">
        <f t="shared" ref="P123:P127" si="52">IF(D123=0,"",O123*10^J123)</f>
        <v>6.4377802641159088E-6</v>
      </c>
      <c r="Q123" s="56">
        <f t="shared" ref="Q123:Q127" si="53">IF(D123=0,"",F123*N123*$J$7/$J$22)</f>
        <v>7.5009433848429878E-5</v>
      </c>
      <c r="R123" s="9">
        <f t="shared" si="44"/>
        <v>1.4999999999999999E-4</v>
      </c>
      <c r="S123" s="9">
        <f t="shared" si="45"/>
        <v>3.8611237089859505E-7</v>
      </c>
      <c r="T123" s="9">
        <f t="shared" si="40"/>
        <v>1.1990822421648227E-4</v>
      </c>
      <c r="U123" s="9">
        <f t="shared" si="41"/>
        <v>1.496138876291014E-4</v>
      </c>
      <c r="V123" s="100">
        <f t="shared" si="46"/>
        <v>0.80145116283415752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1.0716665691586713</v>
      </c>
      <c r="K124" s="55">
        <f t="shared" si="49"/>
        <v>0.66874502658234125</v>
      </c>
      <c r="L124" s="55">
        <f t="shared" si="50"/>
        <v>3.1713386314124342E-3</v>
      </c>
      <c r="M124" s="55">
        <f t="shared" si="42"/>
        <v>0.99682866136858761</v>
      </c>
      <c r="N124" s="55">
        <f t="shared" si="51"/>
        <v>4.5747011867117355E-4</v>
      </c>
      <c r="O124" s="56">
        <f t="shared" si="43"/>
        <v>6.7249605415348915E-7</v>
      </c>
      <c r="P124" s="56">
        <f t="shared" si="52"/>
        <v>7.9315179171624964E-6</v>
      </c>
      <c r="Q124" s="56">
        <f t="shared" si="53"/>
        <v>3.586623093406286E-5</v>
      </c>
      <c r="R124" s="9">
        <f t="shared" si="44"/>
        <v>1.4999999999999999E-4</v>
      </c>
      <c r="S124" s="9">
        <f t="shared" si="45"/>
        <v>4.757007947118651E-7</v>
      </c>
      <c r="T124" s="9">
        <f t="shared" si="40"/>
        <v>1.0031175398735117E-4</v>
      </c>
      <c r="U124" s="9">
        <f t="shared" si="41"/>
        <v>1.4952429920528812E-4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0.1052380650673532</v>
      </c>
      <c r="K125" s="55">
        <f t="shared" si="49"/>
        <v>0.98111481855969684</v>
      </c>
      <c r="L125" s="55">
        <f t="shared" si="50"/>
        <v>5.0265890849787395E-4</v>
      </c>
      <c r="M125" s="55">
        <f t="shared" si="42"/>
        <v>0.99949734109150212</v>
      </c>
      <c r="N125" s="55">
        <f t="shared" si="51"/>
        <v>1.7193369706225723E-5</v>
      </c>
      <c r="O125" s="56">
        <f t="shared" si="43"/>
        <v>9.866179454445233E-7</v>
      </c>
      <c r="P125" s="56">
        <f t="shared" si="52"/>
        <v>1.2571499301531826E-6</v>
      </c>
      <c r="Q125" s="56">
        <f t="shared" si="53"/>
        <v>1.3479817440523677E-6</v>
      </c>
      <c r="R125" s="9">
        <f t="shared" si="44"/>
        <v>1.4999999999999999E-4</v>
      </c>
      <c r="S125" s="9">
        <f t="shared" si="45"/>
        <v>7.5398836274681085E-8</v>
      </c>
      <c r="T125" s="9">
        <f t="shared" si="40"/>
        <v>1.471672227839545E-4</v>
      </c>
      <c r="U125" s="9">
        <f t="shared" si="41"/>
        <v>1.4992460116372531E-4</v>
      </c>
      <c r="V125" s="100">
        <f t="shared" si="46"/>
        <v>0.98160823268250952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4.2425872318946825</v>
      </c>
      <c r="K126" s="55">
        <f t="shared" si="49"/>
        <v>3.3707284197497488E-3</v>
      </c>
      <c r="L126" s="55">
        <f t="shared" si="50"/>
        <v>2.3693350450009525E-2</v>
      </c>
      <c r="M126" s="55">
        <f t="shared" si="42"/>
        <v>0.97630664954999047</v>
      </c>
      <c r="N126" s="55">
        <f t="shared" si="51"/>
        <v>2.093774527066803E-2</v>
      </c>
      <c r="O126" s="56">
        <f t="shared" si="43"/>
        <v>3.3896350205239623E-9</v>
      </c>
      <c r="P126" s="56">
        <f t="shared" si="52"/>
        <v>5.9257069475473855E-5</v>
      </c>
      <c r="Q126" s="56">
        <f t="shared" si="53"/>
        <v>1.6415454834464182E-3</v>
      </c>
      <c r="R126" s="9">
        <f t="shared" si="44"/>
        <v>1.4999999999999999E-4</v>
      </c>
      <c r="S126" s="9">
        <f t="shared" si="45"/>
        <v>3.5540025675014286E-6</v>
      </c>
      <c r="T126" s="9">
        <f t="shared" si="40"/>
        <v>5.0560926296246227E-7</v>
      </c>
      <c r="U126" s="9">
        <f t="shared" si="41"/>
        <v>1.4644599743249856E-4</v>
      </c>
      <c r="V126" s="100">
        <f t="shared" si="46"/>
        <v>3.45253043324392E-3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2.1027401001650152</v>
      </c>
      <c r="K127" s="55">
        <f t="shared" si="49"/>
        <v>0.22393731171504747</v>
      </c>
      <c r="L127" s="55">
        <f t="shared" si="50"/>
        <v>1.1407278484343638E-2</v>
      </c>
      <c r="M127" s="55">
        <f t="shared" si="42"/>
        <v>0.98859272151565636</v>
      </c>
      <c r="N127" s="55">
        <f t="shared" si="51"/>
        <v>6.926799381195759E-3</v>
      </c>
      <c r="O127" s="56">
        <f t="shared" si="43"/>
        <v>2.2519338839160194E-7</v>
      </c>
      <c r="P127" s="56">
        <f t="shared" si="52"/>
        <v>2.8529603489343443E-5</v>
      </c>
      <c r="Q127" s="56">
        <f t="shared" si="53"/>
        <v>5.4306975712760483E-4</v>
      </c>
      <c r="R127" s="9">
        <f t="shared" si="44"/>
        <v>1.4999999999999999E-4</v>
      </c>
      <c r="S127" s="9">
        <f t="shared" si="45"/>
        <v>1.7110917726515456E-6</v>
      </c>
      <c r="T127" s="9">
        <f t="shared" si="40"/>
        <v>3.3590596757257117E-5</v>
      </c>
      <c r="U127" s="9">
        <f t="shared" si="41"/>
        <v>1.4828890822734845E-4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3.013869491074634</v>
      </c>
      <c r="K128" s="55">
        <f t="shared" ref="K128:K134" si="56">IF(D128=0,"",1/(1+10^D128*$J$15/$J$14+10^E128*$J$16/$J$14+10^J128*$J$19/$J$14))</f>
        <v>3.5183106569727784E-2</v>
      </c>
      <c r="L128" s="55">
        <f t="shared" ref="L128:L134" si="57">IF(D128=0,"",1/(1+10^I128/10^J128*$J$13/$J$19))</f>
        <v>1.4605591789051834E-2</v>
      </c>
      <c r="M128" s="55">
        <f t="shared" ref="M128:M134" si="58">IF(D128=0,"",1-L128)</f>
        <v>0.98539440821094815</v>
      </c>
      <c r="N128" s="55">
        <f t="shared" ref="N128:N134" si="59">IF(D128=0,"",1/(1/10^E128*$J$20/$J$22+10^D128/10^E128*$J$21/$J$22+10^I128/10^E128*$J$13/$J$22+1))</f>
        <v>9.2813970196079596E-3</v>
      </c>
      <c r="O128" s="56">
        <f t="shared" ref="O128:O134" si="60">IF(D128=0,"",F128*K128*$J$7/$J$14)</f>
        <v>3.5380450546184911E-8</v>
      </c>
      <c r="P128" s="56">
        <f t="shared" ref="P128:P134" si="61">IF(D128=0,"",O128*10^J128)</f>
        <v>3.6528585064418658E-5</v>
      </c>
      <c r="Q128" s="56">
        <f t="shared" ref="Q128:Q134" si="62">IF(D128=0,"",F128*N128*$J$7/$J$22)</f>
        <v>7.2767316445264917E-4</v>
      </c>
      <c r="R128" s="9">
        <f t="shared" si="44"/>
        <v>1.4999999999999999E-4</v>
      </c>
      <c r="S128" s="9">
        <f t="shared" si="45"/>
        <v>2.1908387683577747E-6</v>
      </c>
      <c r="T128" s="9">
        <f t="shared" si="40"/>
        <v>5.2774659854591669E-6</v>
      </c>
      <c r="U128" s="9">
        <f t="shared" si="41"/>
        <v>1.4780916123164221E-4</v>
      </c>
      <c r="V128" s="100">
        <f t="shared" si="46"/>
        <v>3.5704593284231388E-2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-5.6092090125515102E-2</v>
      </c>
      <c r="K129" s="55">
        <f t="shared" si="56"/>
        <v>0.99938148172462549</v>
      </c>
      <c r="L129" s="55">
        <f t="shared" si="57"/>
        <v>3.5314632505892654E-4</v>
      </c>
      <c r="M129" s="55">
        <f t="shared" si="58"/>
        <v>0.9996468536749411</v>
      </c>
      <c r="N129" s="55">
        <f t="shared" si="59"/>
        <v>6.8252726092114311E-8</v>
      </c>
      <c r="O129" s="56">
        <f t="shared" si="60"/>
        <v>1.0049870673260642E-6</v>
      </c>
      <c r="P129" s="56">
        <f t="shared" si="61"/>
        <v>8.83218958972375E-7</v>
      </c>
      <c r="Q129" s="56">
        <f t="shared" si="62"/>
        <v>5.3510993089773627E-9</v>
      </c>
      <c r="R129" s="9">
        <f t="shared" si="44"/>
        <v>1.4999999999999999E-4</v>
      </c>
      <c r="S129" s="9">
        <f t="shared" si="45"/>
        <v>5.2971948758838973E-8</v>
      </c>
      <c r="T129" s="9">
        <f t="shared" si="40"/>
        <v>1.499072222586938E-4</v>
      </c>
      <c r="U129" s="9">
        <f t="shared" si="41"/>
        <v>1.4994702805124115E-4</v>
      </c>
      <c r="V129" s="100">
        <f t="shared" si="46"/>
        <v>0.99973453430144854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1.431085952984696</v>
      </c>
      <c r="K130" s="55">
        <f t="shared" si="56"/>
        <v>0.53906565601222045</v>
      </c>
      <c r="L130" s="55">
        <f t="shared" si="57"/>
        <v>5.8484812272585627E-3</v>
      </c>
      <c r="M130" s="55">
        <f t="shared" si="58"/>
        <v>0.99415151877274144</v>
      </c>
      <c r="N130" s="55">
        <f t="shared" si="59"/>
        <v>2.7071046822219709E-3</v>
      </c>
      <c r="O130" s="56">
        <f t="shared" si="60"/>
        <v>5.4208930487387195E-7</v>
      </c>
      <c r="P130" s="56">
        <f t="shared" si="61"/>
        <v>1.4627051549373666E-5</v>
      </c>
      <c r="Q130" s="56">
        <f t="shared" si="62"/>
        <v>2.1224040157483224E-4</v>
      </c>
      <c r="R130" s="9">
        <f t="shared" si="44"/>
        <v>1.4999999999999999E-4</v>
      </c>
      <c r="S130" s="9">
        <f t="shared" si="45"/>
        <v>8.7727218408878435E-7</v>
      </c>
      <c r="T130" s="9">
        <f t="shared" si="40"/>
        <v>8.085984840183306E-5</v>
      </c>
      <c r="U130" s="9">
        <f t="shared" si="41"/>
        <v>1.491227278159112E-4</v>
      </c>
      <c r="V130" s="100">
        <f t="shared" si="46"/>
        <v>0.54223691845050481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9.2770544988280301E-2</v>
      </c>
      <c r="K131" s="55">
        <f t="shared" si="56"/>
        <v>0.98340463760730645</v>
      </c>
      <c r="L131" s="55">
        <f t="shared" si="57"/>
        <v>4.8957392677986128E-4</v>
      </c>
      <c r="M131" s="55">
        <f t="shared" si="58"/>
        <v>0.99951042607322016</v>
      </c>
      <c r="N131" s="55">
        <f t="shared" si="59"/>
        <v>2.2497714497548523E-5</v>
      </c>
      <c r="O131" s="56">
        <f t="shared" si="60"/>
        <v>9.8892060821289217E-7</v>
      </c>
      <c r="P131" s="56">
        <f t="shared" si="61"/>
        <v>1.2244243908764333E-6</v>
      </c>
      <c r="Q131" s="56">
        <f t="shared" si="62"/>
        <v>1.7638490269081147E-6</v>
      </c>
      <c r="R131" s="9">
        <f t="shared" si="44"/>
        <v>1.4999999999999999E-4</v>
      </c>
      <c r="S131" s="9">
        <f t="shared" si="45"/>
        <v>7.3436089016979188E-8</v>
      </c>
      <c r="T131" s="9">
        <f t="shared" si="40"/>
        <v>1.4751069564109594E-4</v>
      </c>
      <c r="U131" s="9">
        <f t="shared" si="41"/>
        <v>1.49926563910983E-4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0.27496781452008195</v>
      </c>
      <c r="K132" s="55">
        <f t="shared" si="56"/>
        <v>0.95807973069012087</v>
      </c>
      <c r="L132" s="55">
        <f t="shared" si="57"/>
        <v>7.2557941030462075E-4</v>
      </c>
      <c r="M132" s="55">
        <f t="shared" si="58"/>
        <v>0.9992744205896954</v>
      </c>
      <c r="N132" s="55">
        <f t="shared" si="59"/>
        <v>8.4068633201534536E-5</v>
      </c>
      <c r="O132" s="56">
        <f t="shared" si="60"/>
        <v>9.6345365250235912E-7</v>
      </c>
      <c r="P132" s="56">
        <f t="shared" si="61"/>
        <v>1.8146741051718568E-6</v>
      </c>
      <c r="Q132" s="56">
        <f t="shared" si="62"/>
        <v>6.5910862582143538E-6</v>
      </c>
      <c r="R132" s="9">
        <f t="shared" si="44"/>
        <v>1.4999999999999999E-4</v>
      </c>
      <c r="S132" s="9">
        <f t="shared" si="45"/>
        <v>1.0883691154569311E-7</v>
      </c>
      <c r="T132" s="9">
        <f t="shared" si="40"/>
        <v>1.4371195960351813E-4</v>
      </c>
      <c r="U132" s="9">
        <f t="shared" si="41"/>
        <v>1.4989116308845429E-4</v>
      </c>
      <c r="V132" s="100">
        <f t="shared" si="46"/>
        <v>0.95877539837829073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2.3319124893564669</v>
      </c>
      <c r="K133" s="55">
        <f t="shared" si="56"/>
        <v>0.15273204989033481</v>
      </c>
      <c r="L133" s="55">
        <f t="shared" si="57"/>
        <v>1.3187368850057713E-2</v>
      </c>
      <c r="M133" s="55">
        <f t="shared" si="58"/>
        <v>0.98681263114994233</v>
      </c>
      <c r="N133" s="55">
        <f t="shared" si="59"/>
        <v>8.5704848740097896E-3</v>
      </c>
      <c r="O133" s="56">
        <f t="shared" si="60"/>
        <v>1.53588732343832E-7</v>
      </c>
      <c r="P133" s="56">
        <f t="shared" si="61"/>
        <v>3.2981609493994359E-5</v>
      </c>
      <c r="Q133" s="56">
        <f t="shared" si="62"/>
        <v>6.7193676081186461E-4</v>
      </c>
      <c r="R133" s="9">
        <f t="shared" si="44"/>
        <v>1.4999999999999999E-4</v>
      </c>
      <c r="S133" s="9">
        <f t="shared" si="45"/>
        <v>1.978105327508657E-6</v>
      </c>
      <c r="T133" s="9">
        <f t="shared" si="40"/>
        <v>2.290980748355022E-5</v>
      </c>
      <c r="U133" s="9">
        <f t="shared" si="41"/>
        <v>1.4802189467249134E-4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-5.7907129439144098E-2</v>
      </c>
      <c r="K134" s="55">
        <f t="shared" si="56"/>
        <v>0.99956436904318124</v>
      </c>
      <c r="L134" s="55">
        <f t="shared" si="57"/>
        <v>3.5173786305054268E-4</v>
      </c>
      <c r="M134" s="55">
        <f t="shared" si="58"/>
        <v>0.99964826213694946</v>
      </c>
      <c r="N134" s="55">
        <f t="shared" si="59"/>
        <v>1.3318582734207286E-8</v>
      </c>
      <c r="O134" s="56">
        <f t="shared" si="60"/>
        <v>1.0051709804696312E-6</v>
      </c>
      <c r="P134" s="56">
        <f t="shared" si="61"/>
        <v>8.7969639548940713E-7</v>
      </c>
      <c r="Q134" s="56">
        <f t="shared" si="62"/>
        <v>1.044193586779073E-9</v>
      </c>
      <c r="R134" s="9">
        <f t="shared" si="44"/>
        <v>1.4999999999999999E-4</v>
      </c>
      <c r="S134" s="9">
        <f t="shared" si="45"/>
        <v>5.2760679457581398E-8</v>
      </c>
      <c r="T134" s="9">
        <f t="shared" si="40"/>
        <v>1.4993465535647718E-4</v>
      </c>
      <c r="U134" s="9">
        <f t="shared" si="41"/>
        <v>1.4994723932054241E-4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0.41641808606377462</v>
      </c>
      <c r="K135" s="55">
        <f t="shared" ref="K135:K143" si="65">IF(D135=0,"",1/(1+10^D135*$J$15/$J$14+10^E135*$J$16/$J$14+10^J135*$J$19/$J$14))</f>
        <v>0.932496661387619</v>
      </c>
      <c r="L135" s="55">
        <f t="shared" ref="L135:L143" si="66">IF(D135=0,"",1/(1+10^I135/10^J135*$J$13/$J$19))</f>
        <v>9.7809458642172074E-4</v>
      </c>
      <c r="M135" s="55">
        <f t="shared" ref="M135:M143" si="67">IF(D135=0,"",1-L135)</f>
        <v>0.99902190541357827</v>
      </c>
      <c r="N135" s="55">
        <f t="shared" ref="N135:N143" si="68">IF(D135=0,"",1/(1/10^E135*$J$20/$J$22+10^D135/10^E135*$J$21/$J$22+10^I135/10^E135*$J$13/$J$22+1))</f>
        <v>1.6484336995817512E-4</v>
      </c>
      <c r="O135" s="56">
        <f t="shared" ref="O135:O143" si="69">IF(D135=0,"",F135*K135*$J$7/$J$14)</f>
        <v>9.3772708635951618E-7</v>
      </c>
      <c r="P135" s="56">
        <f t="shared" ref="P135:P143" si="70">IF(D135=0,"",O135*10^J135)</f>
        <v>2.4462145606407231E-6</v>
      </c>
      <c r="Q135" s="56">
        <f t="shared" ref="Q135:Q143" si="71">IF(D135=0,"",F135*N135*$J$7/$J$22)</f>
        <v>1.2923926904871346E-5</v>
      </c>
      <c r="R135" s="9">
        <f t="shared" si="44"/>
        <v>1.4999999999999999E-4</v>
      </c>
      <c r="S135" s="9">
        <f t="shared" si="45"/>
        <v>1.4671418796325809E-7</v>
      </c>
      <c r="T135" s="9">
        <f t="shared" si="40"/>
        <v>1.3987449920814285E-4</v>
      </c>
      <c r="U135" s="9">
        <f t="shared" si="41"/>
        <v>1.4985328581203672E-4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-2.4847756824831816E-2</v>
      </c>
      <c r="K136" s="55">
        <f t="shared" si="65"/>
        <v>0.99626010735589499</v>
      </c>
      <c r="L136" s="55">
        <f t="shared" si="66"/>
        <v>3.7830359394013132E-4</v>
      </c>
      <c r="M136" s="55">
        <f t="shared" si="67"/>
        <v>0.99962169640605991</v>
      </c>
      <c r="N136" s="55">
        <f t="shared" si="68"/>
        <v>2.4793509041661389E-6</v>
      </c>
      <c r="O136" s="56">
        <f t="shared" si="69"/>
        <v>1.0018481849971223E-6</v>
      </c>
      <c r="P136" s="56">
        <f t="shared" si="70"/>
        <v>9.4613728844426845E-7</v>
      </c>
      <c r="Q136" s="56">
        <f t="shared" si="71"/>
        <v>1.9438421979058035E-7</v>
      </c>
      <c r="R136" s="9">
        <f t="shared" si="44"/>
        <v>1.4999999999999999E-4</v>
      </c>
      <c r="S136" s="9">
        <f t="shared" si="45"/>
        <v>5.6745539091019692E-8</v>
      </c>
      <c r="T136" s="9">
        <f t="shared" si="40"/>
        <v>1.4943901610338424E-4</v>
      </c>
      <c r="U136" s="9">
        <f t="shared" si="41"/>
        <v>1.4994325446090898E-4</v>
      </c>
      <c r="V136" s="100">
        <f t="shared" si="46"/>
        <v>0.99663713876734483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-5.8647943797627743E-2</v>
      </c>
      <c r="K137" s="55">
        <f t="shared" si="65"/>
        <v>0.99963974732915784</v>
      </c>
      <c r="L137" s="55">
        <f t="shared" si="66"/>
        <v>3.5116486397217261E-4</v>
      </c>
      <c r="M137" s="55">
        <f t="shared" si="67"/>
        <v>0.99964883513602787</v>
      </c>
      <c r="N137" s="55">
        <f t="shared" si="68"/>
        <v>5.6636684008891082E-10</v>
      </c>
      <c r="O137" s="56">
        <f t="shared" si="69"/>
        <v>1.0052467815565524E-6</v>
      </c>
      <c r="P137" s="56">
        <f t="shared" si="70"/>
        <v>8.7826332479440379E-7</v>
      </c>
      <c r="Q137" s="56">
        <f t="shared" si="71"/>
        <v>4.4403870440826515E-11</v>
      </c>
      <c r="R137" s="9">
        <f t="shared" si="44"/>
        <v>1.4999999999999999E-4</v>
      </c>
      <c r="S137" s="9">
        <f t="shared" si="45"/>
        <v>5.2674729595825888E-8</v>
      </c>
      <c r="T137" s="9">
        <f t="shared" si="40"/>
        <v>1.4994596209937365E-4</v>
      </c>
      <c r="U137" s="9">
        <f t="shared" si="41"/>
        <v>1.4994732527040416E-4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-2.8562424368517695E-2</v>
      </c>
      <c r="K138" s="55">
        <f t="shared" si="65"/>
        <v>0.99663409353149357</v>
      </c>
      <c r="L138" s="55">
        <f t="shared" si="66"/>
        <v>3.7522243622061912E-4</v>
      </c>
      <c r="M138" s="55">
        <f t="shared" si="67"/>
        <v>0.99962477756377943</v>
      </c>
      <c r="N138" s="55">
        <f t="shared" si="68"/>
        <v>2.1022864389526968E-6</v>
      </c>
      <c r="O138" s="56">
        <f t="shared" si="69"/>
        <v>1.0022242688817133E-6</v>
      </c>
      <c r="P138" s="56">
        <f t="shared" si="70"/>
        <v>9.3843131298776849E-7</v>
      </c>
      <c r="Q138" s="56">
        <f t="shared" si="71"/>
        <v>1.6482189290973964E-7</v>
      </c>
      <c r="R138" s="9">
        <f t="shared" si="44"/>
        <v>1.4999999999999999E-4</v>
      </c>
      <c r="S138" s="9">
        <f t="shared" si="45"/>
        <v>5.6283365433092865E-8</v>
      </c>
      <c r="T138" s="9">
        <f t="shared" si="40"/>
        <v>1.4949511402972404E-4</v>
      </c>
      <c r="U138" s="9">
        <f t="shared" si="41"/>
        <v>1.4994371663456691E-4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0.3185068789023815</v>
      </c>
      <c r="K139" s="55">
        <f t="shared" si="65"/>
        <v>0.94789858041113861</v>
      </c>
      <c r="L139" s="55">
        <f t="shared" si="66"/>
        <v>7.9356816147534018E-4</v>
      </c>
      <c r="M139" s="55">
        <f t="shared" si="67"/>
        <v>0.99920643183852464</v>
      </c>
      <c r="N139" s="55">
        <f t="shared" si="68"/>
        <v>7.3404052885788865E-5</v>
      </c>
      <c r="O139" s="56">
        <f t="shared" si="69"/>
        <v>9.5321539559247189E-7</v>
      </c>
      <c r="P139" s="56">
        <f t="shared" si="70"/>
        <v>1.9847139718498258E-6</v>
      </c>
      <c r="Q139" s="56">
        <f t="shared" si="71"/>
        <v>5.7549697889453913E-6</v>
      </c>
      <c r="R139" s="9">
        <f t="shared" si="44"/>
        <v>1.4999999999999999E-4</v>
      </c>
      <c r="S139" s="9">
        <f t="shared" si="45"/>
        <v>1.1903522422130101E-7</v>
      </c>
      <c r="T139" s="9">
        <f t="shared" si="40"/>
        <v>1.4218478706167078E-4</v>
      </c>
      <c r="U139" s="9">
        <f t="shared" si="41"/>
        <v>1.4988096477577868E-4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-5.8060513860230811E-2</v>
      </c>
      <c r="K140" s="55">
        <f t="shared" si="65"/>
        <v>0.99957991801679713</v>
      </c>
      <c r="L140" s="55">
        <f t="shared" si="66"/>
        <v>3.516191275812971E-4</v>
      </c>
      <c r="M140" s="55">
        <f t="shared" si="67"/>
        <v>0.9996483808724187</v>
      </c>
      <c r="N140" s="55">
        <f t="shared" si="68"/>
        <v>9.9799018326646469E-9</v>
      </c>
      <c r="O140" s="56">
        <f t="shared" si="69"/>
        <v>1.0051866166582935E-6</v>
      </c>
      <c r="P140" s="56">
        <f t="shared" si="70"/>
        <v>8.7939943808082375E-7</v>
      </c>
      <c r="Q140" s="56">
        <f t="shared" si="71"/>
        <v>7.8243681766439757E-10</v>
      </c>
      <c r="R140" s="9">
        <f t="shared" si="44"/>
        <v>1.4999999999999999E-4</v>
      </c>
      <c r="S140" s="9">
        <f t="shared" si="45"/>
        <v>5.2742869137194561E-8</v>
      </c>
      <c r="T140" s="9">
        <f t="shared" si="40"/>
        <v>1.4993698770251955E-4</v>
      </c>
      <c r="U140" s="9">
        <f t="shared" si="41"/>
        <v>1.4994725713086279E-4</v>
      </c>
      <c r="V140" s="100">
        <f t="shared" si="46"/>
        <v>0.99993151306306138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-5.7043412255376839E-2</v>
      </c>
      <c r="K141" s="55">
        <f t="shared" si="65"/>
        <v>0.99947713444151343</v>
      </c>
      <c r="L141" s="55">
        <f t="shared" si="66"/>
        <v>3.5240733096331394E-4</v>
      </c>
      <c r="M141" s="55">
        <f t="shared" si="67"/>
        <v>0.99964759266903669</v>
      </c>
      <c r="N141" s="55">
        <f t="shared" si="68"/>
        <v>3.6428743242187779E-8</v>
      </c>
      <c r="O141" s="56">
        <f t="shared" si="69"/>
        <v>1.0050832565642931E-6</v>
      </c>
      <c r="P141" s="56">
        <f t="shared" si="70"/>
        <v>8.813707347392484E-7</v>
      </c>
      <c r="Q141" s="56">
        <f t="shared" si="71"/>
        <v>2.8560591488624334E-9</v>
      </c>
      <c r="R141" s="9">
        <f t="shared" si="44"/>
        <v>1.4999999999999999E-4</v>
      </c>
      <c r="S141" s="9">
        <f t="shared" si="45"/>
        <v>5.2861099644497087E-8</v>
      </c>
      <c r="T141" s="9">
        <f t="shared" si="40"/>
        <v>1.4992157016622699E-4</v>
      </c>
      <c r="U141" s="9">
        <f t="shared" si="41"/>
        <v>1.4994713890035548E-4</v>
      </c>
      <c r="V141" s="100">
        <f t="shared" si="46"/>
        <v>0.99982948168057095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1.619266797430863</v>
      </c>
      <c r="K142" s="55">
        <f t="shared" si="65"/>
        <v>0.44006582232572622</v>
      </c>
      <c r="L142" s="55">
        <f t="shared" si="66"/>
        <v>7.3637650166497219E-3</v>
      </c>
      <c r="M142" s="55">
        <f t="shared" si="67"/>
        <v>0.9926362349833503</v>
      </c>
      <c r="N142" s="55">
        <f t="shared" si="68"/>
        <v>3.7284333794418627E-3</v>
      </c>
      <c r="O142" s="56">
        <f t="shared" si="69"/>
        <v>4.425341756847032E-7</v>
      </c>
      <c r="P142" s="56">
        <f t="shared" si="70"/>
        <v>1.841677630664095E-5</v>
      </c>
      <c r="Q142" s="56">
        <f t="shared" si="71"/>
        <v>2.9231385209981496E-4</v>
      </c>
      <c r="R142" s="9">
        <f t="shared" si="44"/>
        <v>1.4999999999999999E-4</v>
      </c>
      <c r="S142" s="9">
        <f t="shared" si="45"/>
        <v>1.1045647524974582E-6</v>
      </c>
      <c r="T142" s="9">
        <f t="shared" si="40"/>
        <v>6.6009873348858928E-5</v>
      </c>
      <c r="U142" s="9">
        <f t="shared" si="41"/>
        <v>1.4889543524750253E-4</v>
      </c>
      <c r="V142" s="100">
        <f t="shared" si="46"/>
        <v>0.44333040323992157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2.4581070126707267</v>
      </c>
      <c r="K143" s="55">
        <f t="shared" si="65"/>
        <v>6.5824570120595602E-2</v>
      </c>
      <c r="L143" s="55">
        <f t="shared" si="66"/>
        <v>7.5999463718772623E-3</v>
      </c>
      <c r="M143" s="55">
        <f t="shared" si="67"/>
        <v>0.99240005362812278</v>
      </c>
      <c r="N143" s="55">
        <f t="shared" si="68"/>
        <v>3.5587229630343028E-4</v>
      </c>
      <c r="O143" s="56">
        <f t="shared" si="69"/>
        <v>6.6193783748460849E-8</v>
      </c>
      <c r="P143" s="56">
        <f t="shared" si="70"/>
        <v>1.900746587606504E-5</v>
      </c>
      <c r="Q143" s="56">
        <f t="shared" si="71"/>
        <v>2.7900834265043235E-5</v>
      </c>
      <c r="R143" s="9">
        <f t="shared" si="44"/>
        <v>1.4999999999999999E-4</v>
      </c>
      <c r="S143" s="9">
        <f t="shared" si="45"/>
        <v>1.1399919557815893E-6</v>
      </c>
      <c r="T143" s="9">
        <f t="shared" si="40"/>
        <v>9.8736855180893393E-6</v>
      </c>
      <c r="U143" s="9">
        <f t="shared" si="41"/>
        <v>1.488600080442184E-4</v>
      </c>
      <c r="V143" s="100">
        <f t="shared" si="46"/>
        <v>6.6328664413053046E-2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2025-02-02T14:49:09Z</dcterms:modified>
</cp:coreProperties>
</file>