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96well_1um\"/>
    </mc:Choice>
  </mc:AlternateContent>
  <xr:revisionPtr revIDLastSave="0" documentId="13_ncr:1_{2ED02206-2BA7-4E16-BF1D-2661242FABFD}" xr6:coauthVersionLast="47" xr6:coauthVersionMax="47" xr10:uidLastSave="{00000000-0000-0000-0000-000000000000}"/>
  <bookViews>
    <workbookView xWindow="-98" yWindow="-98" windowWidth="21795" windowHeight="13875" firstSheet="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S131" i="4"/>
  <c r="R131" i="4"/>
  <c r="U131" i="4" s="1"/>
  <c r="V130" i="4"/>
  <c r="R130" i="4"/>
  <c r="U130" i="4" s="1"/>
  <c r="V127" i="4"/>
  <c r="U127" i="4"/>
  <c r="R127" i="4"/>
  <c r="T127" i="4" s="1"/>
  <c r="V126" i="4"/>
  <c r="R126" i="4"/>
  <c r="U126" i="4" s="1"/>
  <c r="V124" i="4"/>
  <c r="U124" i="4"/>
  <c r="T124" i="4"/>
  <c r="S124" i="4"/>
  <c r="R124" i="4"/>
  <c r="V121" i="4"/>
  <c r="R121" i="4"/>
  <c r="T121" i="4" s="1"/>
  <c r="V120" i="4"/>
  <c r="R120" i="4"/>
  <c r="U120" i="4" s="1"/>
  <c r="V119" i="4"/>
  <c r="R119" i="4"/>
  <c r="U119" i="4" s="1"/>
  <c r="V116" i="4"/>
  <c r="R116" i="4"/>
  <c r="T116" i="4" s="1"/>
  <c r="V115" i="4"/>
  <c r="U115" i="4"/>
  <c r="T115" i="4"/>
  <c r="R115" i="4"/>
  <c r="S115" i="4" s="1"/>
  <c r="V114" i="4"/>
  <c r="R114" i="4"/>
  <c r="U114" i="4" s="1"/>
  <c r="V108" i="4"/>
  <c r="R108" i="4"/>
  <c r="U108" i="4" s="1"/>
  <c r="V107" i="4"/>
  <c r="U107" i="4"/>
  <c r="T107" i="4"/>
  <c r="S107" i="4"/>
  <c r="R107" i="4"/>
  <c r="V93" i="4"/>
  <c r="R93" i="4"/>
  <c r="U93" i="4" s="1"/>
  <c r="V92" i="4"/>
  <c r="U92" i="4"/>
  <c r="S92" i="4"/>
  <c r="R92" i="4"/>
  <c r="T92" i="4" s="1"/>
  <c r="V91" i="4"/>
  <c r="R91" i="4"/>
  <c r="S91" i="4" s="1"/>
  <c r="V90" i="4"/>
  <c r="U90" i="4"/>
  <c r="T90" i="4"/>
  <c r="S90" i="4"/>
  <c r="R90" i="4"/>
  <c r="V89" i="4"/>
  <c r="R89" i="4"/>
  <c r="U89" i="4" s="1"/>
  <c r="V88" i="4"/>
  <c r="R88" i="4"/>
  <c r="T88" i="4" s="1"/>
  <c r="V86" i="4"/>
  <c r="R86" i="4"/>
  <c r="U86" i="4" s="1"/>
  <c r="V85" i="4"/>
  <c r="R85" i="4"/>
  <c r="S85" i="4" s="1"/>
  <c r="V84" i="4"/>
  <c r="U84" i="4"/>
  <c r="T84" i="4"/>
  <c r="R84" i="4"/>
  <c r="S84" i="4" s="1"/>
  <c r="V83" i="4"/>
  <c r="R83" i="4"/>
  <c r="U83" i="4" s="1"/>
  <c r="V82" i="4"/>
  <c r="R82" i="4"/>
  <c r="U82" i="4" s="1"/>
  <c r="V81" i="4"/>
  <c r="S81" i="4"/>
  <c r="R81" i="4"/>
  <c r="U81" i="4" s="1"/>
  <c r="V80" i="4"/>
  <c r="R80" i="4"/>
  <c r="U80" i="4" s="1"/>
  <c r="V79" i="4"/>
  <c r="U79" i="4"/>
  <c r="S79" i="4"/>
  <c r="R79" i="4"/>
  <c r="T79" i="4" s="1"/>
  <c r="V78" i="4"/>
  <c r="R78" i="4"/>
  <c r="S78" i="4" s="1"/>
  <c r="V77" i="4"/>
  <c r="U77" i="4"/>
  <c r="T77" i="4"/>
  <c r="S77" i="4"/>
  <c r="R77" i="4"/>
  <c r="V76" i="4"/>
  <c r="R76" i="4"/>
  <c r="U76" i="4" s="1"/>
  <c r="V75" i="4"/>
  <c r="R75" i="4"/>
  <c r="U75" i="4" s="1"/>
  <c r="V74" i="4"/>
  <c r="R74" i="4"/>
  <c r="U74" i="4" s="1"/>
  <c r="V73" i="4"/>
  <c r="R73" i="4"/>
  <c r="S73" i="4" s="1"/>
  <c r="V72" i="4"/>
  <c r="U72" i="4"/>
  <c r="T72" i="4"/>
  <c r="R72" i="4"/>
  <c r="S72" i="4" s="1"/>
  <c r="V71" i="4"/>
  <c r="R71" i="4"/>
  <c r="U71" i="4" s="1"/>
  <c r="V70" i="4"/>
  <c r="R70" i="4"/>
  <c r="U70" i="4" s="1"/>
  <c r="V69" i="4"/>
  <c r="U69" i="4"/>
  <c r="S69" i="4"/>
  <c r="R69" i="4"/>
  <c r="T69" i="4" s="1"/>
  <c r="V68" i="4"/>
  <c r="R68" i="4"/>
  <c r="U68" i="4" s="1"/>
  <c r="V65" i="4"/>
  <c r="U65" i="4"/>
  <c r="T65" i="4"/>
  <c r="S65" i="4"/>
  <c r="R65" i="4"/>
  <c r="V64" i="4"/>
  <c r="R64" i="4"/>
  <c r="S64" i="4" s="1"/>
  <c r="V63" i="4"/>
  <c r="U63" i="4"/>
  <c r="T63" i="4"/>
  <c r="S63" i="4"/>
  <c r="R63" i="4"/>
  <c r="V62" i="4"/>
  <c r="R62" i="4"/>
  <c r="U62" i="4" s="1"/>
  <c r="V61" i="4"/>
  <c r="R61" i="4"/>
  <c r="U61" i="4" s="1"/>
  <c r="V60" i="4"/>
  <c r="R60" i="4"/>
  <c r="U60" i="4" s="1"/>
  <c r="V58" i="4"/>
  <c r="R58" i="4"/>
  <c r="T58" i="4" s="1"/>
  <c r="V57" i="4"/>
  <c r="U57" i="4"/>
  <c r="T57" i="4"/>
  <c r="R57" i="4"/>
  <c r="S57" i="4" s="1"/>
  <c r="V49" i="4"/>
  <c r="R49" i="4"/>
  <c r="U49" i="4" s="1"/>
  <c r="V48" i="4"/>
  <c r="R48" i="4"/>
  <c r="U48" i="4" s="1"/>
  <c r="V47" i="4"/>
  <c r="U47" i="4"/>
  <c r="S47" i="4"/>
  <c r="R47" i="4"/>
  <c r="T47" i="4" s="1"/>
  <c r="V46" i="4"/>
  <c r="R46" i="4"/>
  <c r="U46" i="4" s="1"/>
  <c r="V45" i="4"/>
  <c r="U45" i="4"/>
  <c r="T45" i="4"/>
  <c r="S45" i="4"/>
  <c r="R45" i="4"/>
  <c r="V44" i="4"/>
  <c r="R44" i="4"/>
  <c r="S44" i="4" s="1"/>
  <c r="V43" i="4"/>
  <c r="U43" i="4"/>
  <c r="T43" i="4"/>
  <c r="S43" i="4"/>
  <c r="R43" i="4"/>
  <c r="V42" i="4"/>
  <c r="R42" i="4"/>
  <c r="U42" i="4" s="1"/>
  <c r="V41" i="4"/>
  <c r="R41" i="4"/>
  <c r="U41" i="4" s="1"/>
  <c r="V40" i="4"/>
  <c r="R40" i="4"/>
  <c r="U40" i="4" s="1"/>
  <c r="V39" i="4"/>
  <c r="R39" i="4"/>
  <c r="S39" i="4" s="1"/>
  <c r="V38" i="4"/>
  <c r="U38" i="4"/>
  <c r="T38" i="4"/>
  <c r="R38" i="4"/>
  <c r="S38" i="4" s="1"/>
  <c r="V37" i="4"/>
  <c r="R37" i="4"/>
  <c r="U37" i="4" s="1"/>
  <c r="V36" i="4"/>
  <c r="R36" i="4"/>
  <c r="U36" i="4" s="1"/>
  <c r="V35" i="4"/>
  <c r="U35" i="4"/>
  <c r="S35" i="4"/>
  <c r="R35" i="4"/>
  <c r="T35" i="4" s="1"/>
  <c r="V34" i="4"/>
  <c r="R34" i="4"/>
  <c r="U34" i="4" s="1"/>
  <c r="V33" i="4"/>
  <c r="U33" i="4"/>
  <c r="T33" i="4"/>
  <c r="S33" i="4"/>
  <c r="R33" i="4"/>
  <c r="V32" i="4"/>
  <c r="R32" i="4"/>
  <c r="S32" i="4" s="1"/>
  <c r="V31" i="4"/>
  <c r="U31" i="4"/>
  <c r="T31" i="4"/>
  <c r="S31" i="4"/>
  <c r="R31" i="4"/>
  <c r="V30" i="4"/>
  <c r="R30" i="4"/>
  <c r="U30" i="4" s="1"/>
  <c r="V29" i="4"/>
  <c r="R29" i="4"/>
  <c r="U29" i="4" s="1"/>
  <c r="V28" i="4"/>
  <c r="R28" i="4"/>
  <c r="U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O130" i="4" s="1"/>
  <c r="P130" i="4" s="1"/>
  <c r="L130" i="4"/>
  <c r="M130" i="4" s="1"/>
  <c r="N130" i="4"/>
  <c r="Q130" i="4" s="1"/>
  <c r="I131" i="4"/>
  <c r="J131" i="4"/>
  <c r="K131" i="4" s="1"/>
  <c r="O131" i="4" s="1"/>
  <c r="P131" i="4" s="1"/>
  <c r="L131" i="4"/>
  <c r="M131" i="4"/>
  <c r="N131" i="4"/>
  <c r="Q131" i="4" s="1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T120" i="4" l="1"/>
  <c r="T39" i="4"/>
  <c r="T73" i="4"/>
  <c r="T85" i="4"/>
  <c r="S126" i="4"/>
  <c r="T32" i="4"/>
  <c r="S37" i="4"/>
  <c r="U39" i="4"/>
  <c r="T44" i="4"/>
  <c r="S49" i="4"/>
  <c r="U58" i="4"/>
  <c r="T64" i="4"/>
  <c r="S71" i="4"/>
  <c r="U73" i="4"/>
  <c r="T78" i="4"/>
  <c r="S83" i="4"/>
  <c r="U85" i="4"/>
  <c r="T91" i="4"/>
  <c r="S114" i="4"/>
  <c r="U116" i="4"/>
  <c r="T126" i="4"/>
  <c r="S30" i="4"/>
  <c r="U32" i="4"/>
  <c r="T37" i="4"/>
  <c r="S42" i="4"/>
  <c r="U44" i="4"/>
  <c r="T49" i="4"/>
  <c r="S62" i="4"/>
  <c r="U64" i="4"/>
  <c r="T71" i="4"/>
  <c r="S76" i="4"/>
  <c r="U78" i="4"/>
  <c r="T83" i="4"/>
  <c r="S89" i="4"/>
  <c r="U91" i="4"/>
  <c r="T114" i="4"/>
  <c r="S121" i="4"/>
  <c r="S36" i="4"/>
  <c r="S48" i="4"/>
  <c r="S70" i="4"/>
  <c r="S82" i="4"/>
  <c r="S108" i="4"/>
  <c r="S29" i="4"/>
  <c r="T36" i="4"/>
  <c r="S41" i="4"/>
  <c r="T48" i="4"/>
  <c r="S61" i="4"/>
  <c r="T70" i="4"/>
  <c r="S75" i="4"/>
  <c r="T82" i="4"/>
  <c r="S88" i="4"/>
  <c r="T108" i="4"/>
  <c r="T29" i="4"/>
  <c r="S34" i="4"/>
  <c r="T41" i="4"/>
  <c r="S46" i="4"/>
  <c r="T61" i="4"/>
  <c r="S68" i="4"/>
  <c r="T75" i="4"/>
  <c r="S80" i="4"/>
  <c r="S93" i="4"/>
  <c r="S130" i="4"/>
  <c r="T34" i="4"/>
  <c r="T46" i="4"/>
  <c r="S58" i="4"/>
  <c r="T68" i="4"/>
  <c r="T80" i="4"/>
  <c r="U88" i="4"/>
  <c r="T93" i="4"/>
  <c r="T130" i="4"/>
  <c r="T30" i="4"/>
  <c r="T42" i="4"/>
  <c r="T62" i="4"/>
  <c r="T76" i="4"/>
  <c r="T89" i="4"/>
  <c r="S28" i="4"/>
  <c r="S40" i="4"/>
  <c r="S60" i="4"/>
  <c r="S74" i="4"/>
  <c r="T81" i="4"/>
  <c r="S86" i="4"/>
  <c r="S119" i="4"/>
  <c r="U121" i="4"/>
  <c r="T131" i="4"/>
  <c r="S116" i="4"/>
  <c r="T28" i="4"/>
  <c r="T40" i="4"/>
  <c r="T60" i="4"/>
  <c r="T74" i="4"/>
  <c r="T86" i="4"/>
  <c r="T119" i="4"/>
  <c r="S127" i="4"/>
  <c r="S120" i="4"/>
  <c r="O15" i="1" l="1"/>
  <c r="L15" i="1"/>
  <c r="N15" i="1"/>
  <c r="M90" i="4"/>
  <c r="M97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5" i="4"/>
  <c r="J16" i="4"/>
  <c r="J15" i="4"/>
  <c r="J87" i="4"/>
  <c r="K87" i="4"/>
  <c r="J122" i="4"/>
  <c r="K122" i="4"/>
  <c r="J117" i="4"/>
  <c r="K117" i="4"/>
  <c r="J120" i="4"/>
  <c r="K120" i="4" s="1"/>
  <c r="O120" i="4" s="1"/>
  <c r="P120" i="4" s="1"/>
  <c r="J101" i="4"/>
  <c r="K101" i="4"/>
  <c r="J86" i="4"/>
  <c r="K86" i="4" s="1"/>
  <c r="J85" i="4"/>
  <c r="K85" i="4" s="1"/>
  <c r="O85" i="4" s="1"/>
  <c r="P85" i="4" s="1"/>
  <c r="J88" i="4"/>
  <c r="K88" i="4" s="1"/>
  <c r="J119" i="4"/>
  <c r="K119" i="4"/>
  <c r="J72" i="4"/>
  <c r="K72" i="4"/>
  <c r="O72" i="4" s="1"/>
  <c r="P72" i="4" s="1"/>
  <c r="J103" i="4"/>
  <c r="K103" i="4"/>
  <c r="J118" i="4"/>
  <c r="K118" i="4"/>
  <c r="J104" i="4"/>
  <c r="K104" i="4"/>
  <c r="J90" i="4"/>
  <c r="K90" i="4" s="1"/>
  <c r="J71" i="4"/>
  <c r="K71" i="4"/>
  <c r="O71" i="4" s="1"/>
  <c r="P71" i="4" s="1"/>
  <c r="J110" i="4"/>
  <c r="K110" i="4"/>
  <c r="J82" i="4"/>
  <c r="L82" i="4" s="1"/>
  <c r="K82" i="4"/>
  <c r="O82" i="4" s="1"/>
  <c r="P82" i="4" s="1"/>
  <c r="J113" i="4"/>
  <c r="K113" i="4"/>
  <c r="J97" i="4"/>
  <c r="K97" i="4"/>
  <c r="J81" i="4"/>
  <c r="K81" i="4" s="1"/>
  <c r="J116" i="4"/>
  <c r="K116" i="4"/>
  <c r="O116" i="4" s="1"/>
  <c r="P116" i="4" s="1"/>
  <c r="J100" i="4"/>
  <c r="K100" i="4"/>
  <c r="O100" i="4"/>
  <c r="J84" i="4"/>
  <c r="K84" i="4" s="1"/>
  <c r="J114" i="4"/>
  <c r="K114" i="4" s="1"/>
  <c r="O114" i="4" s="1"/>
  <c r="P114" i="4" s="1"/>
  <c r="J78" i="4"/>
  <c r="K78" i="4" s="1"/>
  <c r="J115" i="4"/>
  <c r="K115" i="4"/>
  <c r="O115" i="4" s="1"/>
  <c r="P115" i="4" s="1"/>
  <c r="J99" i="4"/>
  <c r="K99" i="4"/>
  <c r="J83" i="4"/>
  <c r="K83" i="4"/>
  <c r="O83" i="4" s="1"/>
  <c r="P83" i="4" s="1"/>
  <c r="J102" i="4"/>
  <c r="K102" i="4"/>
  <c r="J74" i="4"/>
  <c r="K74" i="4" s="1"/>
  <c r="O74" i="4" s="1"/>
  <c r="P74" i="4" s="1"/>
  <c r="J125" i="4"/>
  <c r="K125" i="4"/>
  <c r="J109" i="4"/>
  <c r="K109" i="4"/>
  <c r="J93" i="4"/>
  <c r="K93" i="4" s="1"/>
  <c r="J77" i="4"/>
  <c r="K77" i="4"/>
  <c r="J112" i="4"/>
  <c r="K112" i="4"/>
  <c r="J96" i="4"/>
  <c r="K96" i="4"/>
  <c r="J80" i="4"/>
  <c r="K80" i="4" s="1"/>
  <c r="J106" i="4"/>
  <c r="K106" i="4"/>
  <c r="J127" i="4"/>
  <c r="K127" i="4" s="1"/>
  <c r="O127" i="4" s="1"/>
  <c r="P127" i="4" s="1"/>
  <c r="J111" i="4"/>
  <c r="K111" i="4"/>
  <c r="J95" i="4"/>
  <c r="K95" i="4" s="1"/>
  <c r="J79" i="4"/>
  <c r="L79" i="4" s="1"/>
  <c r="K79" i="4"/>
  <c r="O79" i="4" s="1"/>
  <c r="P79" i="4" s="1"/>
  <c r="J126" i="4"/>
  <c r="K126" i="4"/>
  <c r="O126" i="4" s="1"/>
  <c r="P126" i="4" s="1"/>
  <c r="J94" i="4"/>
  <c r="K94" i="4"/>
  <c r="J121" i="4"/>
  <c r="K121" i="4"/>
  <c r="J105" i="4"/>
  <c r="K105" i="4"/>
  <c r="J89" i="4"/>
  <c r="K89" i="4" s="1"/>
  <c r="J73" i="4"/>
  <c r="L73" i="4" s="1"/>
  <c r="K73" i="4"/>
  <c r="J124" i="4"/>
  <c r="L124" i="4" s="1"/>
  <c r="M124" i="4" s="1"/>
  <c r="K124" i="4"/>
  <c r="O124" i="4" s="1"/>
  <c r="P124" i="4" s="1"/>
  <c r="J108" i="4"/>
  <c r="K108" i="4" s="1"/>
  <c r="O108" i="4" s="1"/>
  <c r="P108" i="4" s="1"/>
  <c r="J92" i="4"/>
  <c r="K92" i="4" s="1"/>
  <c r="J76" i="4"/>
  <c r="K76" i="4"/>
  <c r="O76" i="4" s="1"/>
  <c r="P76" i="4" s="1"/>
  <c r="J98" i="4"/>
  <c r="K98" i="4"/>
  <c r="J123" i="4"/>
  <c r="K123" i="4"/>
  <c r="J107" i="4"/>
  <c r="K107" i="4"/>
  <c r="O107" i="4" s="1"/>
  <c r="P107" i="4" s="1"/>
  <c r="J91" i="4"/>
  <c r="L91" i="4" s="1"/>
  <c r="M91" i="4" s="1"/>
  <c r="K91" i="4"/>
  <c r="O91" i="4" s="1"/>
  <c r="P91" i="4" s="1"/>
  <c r="J75" i="4"/>
  <c r="K75" i="4" s="1"/>
  <c r="P100" i="4"/>
  <c r="O112" i="4"/>
  <c r="P112" i="4"/>
  <c r="O98" i="4"/>
  <c r="P98" i="4"/>
  <c r="O105" i="4"/>
  <c r="P105" i="4"/>
  <c r="O111" i="4"/>
  <c r="P111" i="4"/>
  <c r="O104" i="4"/>
  <c r="P104" i="4"/>
  <c r="O121" i="4"/>
  <c r="P121" i="4" s="1"/>
  <c r="O102" i="4"/>
  <c r="P102" i="4"/>
  <c r="O97" i="4"/>
  <c r="P97" i="4"/>
  <c r="O110" i="4"/>
  <c r="P110" i="4"/>
  <c r="O118" i="4"/>
  <c r="P118" i="4"/>
  <c r="O117" i="4"/>
  <c r="P117" i="4"/>
  <c r="O106" i="4"/>
  <c r="P106" i="4"/>
  <c r="O109" i="4"/>
  <c r="P109" i="4"/>
  <c r="O113" i="4"/>
  <c r="P113" i="4"/>
  <c r="O103" i="4"/>
  <c r="P103" i="4"/>
  <c r="O119" i="4"/>
  <c r="P119" i="4"/>
  <c r="O122" i="4"/>
  <c r="P122" i="4"/>
  <c r="O123" i="4"/>
  <c r="P123" i="4"/>
  <c r="O94" i="4"/>
  <c r="P94" i="4" s="1"/>
  <c r="O125" i="4"/>
  <c r="P125" i="4"/>
  <c r="O99" i="4"/>
  <c r="P99" i="4"/>
  <c r="O101" i="4"/>
  <c r="P101" i="4"/>
  <c r="O87" i="4"/>
  <c r="P87" i="4" s="1"/>
  <c r="I76" i="4"/>
  <c r="I77" i="4"/>
  <c r="I81" i="4"/>
  <c r="I89" i="4"/>
  <c r="I90" i="4"/>
  <c r="I96" i="4"/>
  <c r="I99" i="4"/>
  <c r="I102" i="4"/>
  <c r="I104" i="4"/>
  <c r="I108" i="4"/>
  <c r="L108" i="4" s="1"/>
  <c r="M108" i="4" s="1"/>
  <c r="I111" i="4"/>
  <c r="I113" i="4"/>
  <c r="I115" i="4"/>
  <c r="I119" i="4"/>
  <c r="I120" i="4"/>
  <c r="I123" i="4"/>
  <c r="I125" i="4"/>
  <c r="I79" i="4"/>
  <c r="I92" i="4"/>
  <c r="L92" i="4" s="1"/>
  <c r="I100" i="4"/>
  <c r="I103" i="4"/>
  <c r="I107" i="4"/>
  <c r="N107" i="4" s="1"/>
  <c r="Q107" i="4" s="1"/>
  <c r="I109" i="4"/>
  <c r="I110" i="4"/>
  <c r="I117" i="4"/>
  <c r="I124" i="4"/>
  <c r="I72" i="4"/>
  <c r="I106" i="4"/>
  <c r="I71" i="4"/>
  <c r="I75" i="4"/>
  <c r="N75" i="4" s="1"/>
  <c r="Q75" i="4" s="1"/>
  <c r="I80" i="4"/>
  <c r="I83" i="4"/>
  <c r="N83" i="4" s="1"/>
  <c r="Q83" i="4" s="1"/>
  <c r="I86" i="4"/>
  <c r="L86" i="4" s="1"/>
  <c r="I88" i="4"/>
  <c r="N88" i="4" s="1"/>
  <c r="Q88" i="4" s="1"/>
  <c r="I94" i="4"/>
  <c r="I95" i="4"/>
  <c r="I98" i="4"/>
  <c r="I101" i="4"/>
  <c r="I118" i="4"/>
  <c r="I127" i="4"/>
  <c r="I73" i="4"/>
  <c r="N73" i="4" s="1"/>
  <c r="Q73" i="4" s="1"/>
  <c r="I74" i="4"/>
  <c r="I78" i="4"/>
  <c r="L78" i="4" s="1"/>
  <c r="I82" i="4"/>
  <c r="N82" i="4" s="1"/>
  <c r="Q82" i="4" s="1"/>
  <c r="I85" i="4"/>
  <c r="N85" i="4" s="1"/>
  <c r="Q85" i="4" s="1"/>
  <c r="I93" i="4"/>
  <c r="L93" i="4" s="1"/>
  <c r="I112" i="4"/>
  <c r="I114" i="4"/>
  <c r="L114" i="4" s="1"/>
  <c r="M114" i="4" s="1"/>
  <c r="I121" i="4"/>
  <c r="N121" i="4" s="1"/>
  <c r="Q121" i="4" s="1"/>
  <c r="I122" i="4"/>
  <c r="I84" i="4"/>
  <c r="I87" i="4"/>
  <c r="I91" i="4"/>
  <c r="I97" i="4"/>
  <c r="I105" i="4"/>
  <c r="I116" i="4"/>
  <c r="I126" i="4"/>
  <c r="L105" i="4"/>
  <c r="N105" i="4"/>
  <c r="Q105" i="4"/>
  <c r="N84" i="4"/>
  <c r="Q84" i="4" s="1"/>
  <c r="N101" i="4"/>
  <c r="Q101" i="4"/>
  <c r="L101" i="4"/>
  <c r="L75" i="4"/>
  <c r="L106" i="4"/>
  <c r="N106" i="4"/>
  <c r="Q106" i="4"/>
  <c r="N124" i="4"/>
  <c r="Q124" i="4" s="1"/>
  <c r="N79" i="4"/>
  <c r="Q79" i="4" s="1"/>
  <c r="N119" i="4"/>
  <c r="Q119" i="4"/>
  <c r="L119" i="4"/>
  <c r="M119" i="4" s="1"/>
  <c r="N108" i="4"/>
  <c r="Q108" i="4" s="1"/>
  <c r="L96" i="4"/>
  <c r="N96" i="4"/>
  <c r="Q96" i="4"/>
  <c r="N77" i="4"/>
  <c r="Q77" i="4" s="1"/>
  <c r="L77" i="4"/>
  <c r="L97" i="4"/>
  <c r="N97" i="4"/>
  <c r="Q97" i="4"/>
  <c r="N98" i="4"/>
  <c r="Q98" i="4"/>
  <c r="L98" i="4"/>
  <c r="N71" i="4"/>
  <c r="Q71" i="4"/>
  <c r="L71" i="4"/>
  <c r="M71" i="4" s="1"/>
  <c r="L72" i="4"/>
  <c r="N72" i="4"/>
  <c r="Q72" i="4" s="1"/>
  <c r="N117" i="4"/>
  <c r="Q117" i="4"/>
  <c r="L117" i="4"/>
  <c r="N103" i="4"/>
  <c r="Q103" i="4"/>
  <c r="L103" i="4"/>
  <c r="L125" i="4"/>
  <c r="N125" i="4"/>
  <c r="Q125" i="4"/>
  <c r="N115" i="4"/>
  <c r="Q115" i="4"/>
  <c r="L115" i="4"/>
  <c r="M115" i="4" s="1"/>
  <c r="L104" i="4"/>
  <c r="N104" i="4"/>
  <c r="Q104" i="4"/>
  <c r="N90" i="4"/>
  <c r="Q90" i="4" s="1"/>
  <c r="L90" i="4"/>
  <c r="N76" i="4"/>
  <c r="Q76" i="4"/>
  <c r="N126" i="4"/>
  <c r="Q126" i="4"/>
  <c r="L126" i="4"/>
  <c r="M126" i="4" s="1"/>
  <c r="N91" i="4"/>
  <c r="Q91" i="4" s="1"/>
  <c r="L112" i="4"/>
  <c r="N112" i="4"/>
  <c r="Q112" i="4"/>
  <c r="N78" i="4"/>
  <c r="Q78" i="4" s="1"/>
  <c r="L127" i="4"/>
  <c r="M127" i="4" s="1"/>
  <c r="N127" i="4"/>
  <c r="Q127" i="4"/>
  <c r="N95" i="4"/>
  <c r="Q95" i="4" s="1"/>
  <c r="L95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L89" i="4"/>
  <c r="N116" i="4"/>
  <c r="Q116" i="4"/>
  <c r="L116" i="4"/>
  <c r="M116" i="4" s="1"/>
  <c r="N87" i="4"/>
  <c r="Q87" i="4" s="1"/>
  <c r="L87" i="4"/>
  <c r="N122" i="4"/>
  <c r="Q122" i="4"/>
  <c r="L122" i="4"/>
  <c r="N74" i="4"/>
  <c r="Q74" i="4" s="1"/>
  <c r="N118" i="4"/>
  <c r="Q118" i="4"/>
  <c r="L118" i="4"/>
  <c r="L94" i="4"/>
  <c r="N94" i="4"/>
  <c r="Q94" i="4" s="1"/>
  <c r="L80" i="4"/>
  <c r="N80" i="4"/>
  <c r="Q80" i="4" s="1"/>
  <c r="N109" i="4"/>
  <c r="Q109" i="4"/>
  <c r="L109" i="4"/>
  <c r="N120" i="4"/>
  <c r="Q120" i="4"/>
  <c r="N111" i="4"/>
  <c r="Q111" i="4"/>
  <c r="L111" i="4"/>
  <c r="N99" i="4"/>
  <c r="Q99" i="4"/>
  <c r="L99" i="4"/>
  <c r="L81" i="4"/>
  <c r="N81" i="4"/>
  <c r="Q81" i="4" s="1"/>
  <c r="M78" i="4" l="1"/>
  <c r="M79" i="4"/>
  <c r="L120" i="4"/>
  <c r="M120" i="4" s="1"/>
  <c r="L107" i="4"/>
  <c r="M107" i="4" s="1"/>
  <c r="N92" i="4"/>
  <c r="Q92" i="4" s="1"/>
  <c r="L74" i="4"/>
  <c r="N114" i="4"/>
  <c r="Q114" i="4" s="1"/>
  <c r="L83" i="4"/>
  <c r="N86" i="4"/>
  <c r="Q86" i="4" s="1"/>
  <c r="L121" i="4"/>
  <c r="M121" i="4" s="1"/>
  <c r="L84" i="4"/>
  <c r="L76" i="4"/>
  <c r="M86" i="4"/>
  <c r="O84" i="4"/>
  <c r="P84" i="4" s="1"/>
  <c r="O95" i="4"/>
  <c r="P95" i="4" s="1"/>
  <c r="M83" i="4"/>
  <c r="O89" i="4"/>
  <c r="P89" i="4" s="1"/>
  <c r="O88" i="4"/>
  <c r="P88" i="4" s="1"/>
  <c r="M93" i="4"/>
  <c r="O93" i="4"/>
  <c r="P93" i="4" s="1"/>
  <c r="O90" i="4"/>
  <c r="P90" i="4" s="1"/>
  <c r="M82" i="4"/>
  <c r="O81" i="4"/>
  <c r="P81" i="4" s="1"/>
  <c r="O86" i="4"/>
  <c r="P86" i="4" s="1"/>
  <c r="M84" i="4"/>
  <c r="M76" i="4"/>
  <c r="O92" i="4"/>
  <c r="P92" i="4" s="1"/>
  <c r="O78" i="4"/>
  <c r="P78" i="4" s="1"/>
  <c r="O75" i="4"/>
  <c r="P75" i="4" s="1"/>
  <c r="O80" i="4"/>
  <c r="P80" i="4" s="1"/>
  <c r="M89" i="4"/>
  <c r="M77" i="4"/>
  <c r="L85" i="4"/>
  <c r="L88" i="4"/>
  <c r="M87" i="4"/>
  <c r="M75" i="4"/>
  <c r="M74" i="4"/>
  <c r="N93" i="4"/>
  <c r="Q93" i="4" s="1"/>
  <c r="M73" i="4"/>
  <c r="M96" i="4"/>
  <c r="M72" i="4"/>
  <c r="M95" i="4"/>
  <c r="O73" i="4"/>
  <c r="P73" i="4" s="1"/>
  <c r="M94" i="4"/>
  <c r="M81" i="4"/>
  <c r="O96" i="4"/>
  <c r="P96" i="4" s="1"/>
  <c r="O77" i="4"/>
  <c r="P77" i="4" s="1"/>
  <c r="M92" i="4"/>
  <c r="M80" i="4"/>
  <c r="J14" i="4"/>
  <c r="J13" i="4" s="1"/>
  <c r="K16" i="4" s="1"/>
  <c r="M85" i="4" l="1"/>
  <c r="M88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O69" i="4" l="1"/>
  <c r="P69" i="4" s="1"/>
  <c r="O66" i="4"/>
  <c r="P66" i="4" s="1"/>
  <c r="M58" i="4"/>
  <c r="M66" i="4"/>
  <c r="O64" i="4"/>
  <c r="P64" i="4" s="1"/>
  <c r="M65" i="4"/>
  <c r="M67" i="4"/>
  <c r="O68" i="4"/>
  <c r="P68" i="4" s="1"/>
  <c r="M64" i="4"/>
  <c r="M57" i="4"/>
  <c r="O67" i="4"/>
  <c r="P67" i="4" s="1"/>
  <c r="M68" i="4"/>
  <c r="M69" i="4"/>
  <c r="O65" i="4"/>
  <c r="P65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J45" i="4" s="1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0" i="4" l="1"/>
  <c r="J43" i="4"/>
  <c r="J31" i="4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L47" i="4"/>
  <c r="K47" i="4"/>
  <c r="K52" i="4"/>
  <c r="O52" i="4" s="1"/>
  <c r="P52" i="4" s="1"/>
  <c r="L52" i="4"/>
  <c r="M52" i="4" s="1"/>
  <c r="L43" i="4"/>
  <c r="K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K30" i="4"/>
  <c r="L30" i="4"/>
  <c r="K35" i="4" l="1"/>
  <c r="M48" i="4"/>
  <c r="M49" i="4"/>
  <c r="O48" i="4"/>
  <c r="P48" i="4" s="1"/>
  <c r="O49" i="4"/>
  <c r="P49" i="4" s="1"/>
  <c r="O30" i="4"/>
  <c r="P30" i="4" s="1"/>
  <c r="M45" i="4"/>
  <c r="O35" i="4"/>
  <c r="P35" i="4" s="1"/>
  <c r="M47" i="4"/>
  <c r="O46" i="4"/>
  <c r="P46" i="4" s="1"/>
  <c r="M43" i="4"/>
  <c r="M39" i="4"/>
  <c r="O47" i="4"/>
  <c r="P47" i="4" s="1"/>
  <c r="O45" i="4"/>
  <c r="P45" i="4" s="1"/>
  <c r="M31" i="4"/>
  <c r="M35" i="4"/>
  <c r="O31" i="4"/>
  <c r="P31" i="4" s="1"/>
  <c r="O33" i="4"/>
  <c r="P33" i="4" s="1"/>
  <c r="O43" i="4"/>
  <c r="P43" i="4" s="1"/>
  <c r="O28" i="4"/>
  <c r="P28" i="4" s="1"/>
  <c r="O39" i="4"/>
  <c r="P39" i="4" s="1"/>
  <c r="M44" i="4"/>
  <c r="K36" i="4"/>
  <c r="O41" i="4"/>
  <c r="P41" i="4" s="1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32" i="4" l="1"/>
  <c r="P32" i="4" s="1"/>
  <c r="O42" i="4"/>
  <c r="P42" i="4" s="1"/>
  <c r="O36" i="4"/>
  <c r="P36" i="4" s="1"/>
  <c r="O29" i="4"/>
  <c r="P29" i="4" s="1"/>
  <c r="O38" i="4"/>
  <c r="P38" i="4" s="1"/>
  <c r="O40" i="4"/>
  <c r="P40" i="4" s="1"/>
  <c r="M33" i="4"/>
  <c r="O34" i="4"/>
  <c r="P34" i="4" s="1"/>
  <c r="M41" i="4"/>
  <c r="O37" i="4"/>
  <c r="P37" i="4" s="1"/>
  <c r="M46" i="4"/>
  <c r="O44" i="4"/>
  <c r="P44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<sst xmlns="http://schemas.openxmlformats.org/spreadsheetml/2006/main" count="318" uniqueCount="295">
  <si>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</si>
  <si>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</si>
  <si>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</si>
  <si>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</si>
  <si>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</si>
  <si>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</si>
  <si>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</si>
  <si>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</si>
  <si>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</si>
  <si>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</si>
  <si>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</si>
  <si>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</si>
  <si>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</si>
  <si>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</si>
  <si>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</si>
  <si>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</si>
  <si>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</si>
  <si>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</si>
  <si>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</si>
  <si>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</si>
  <si>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</si>
  <si>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</si>
  <si>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</si>
  <si>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</si>
  <si>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</si>
  <si>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</si>
  <si>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</si>
  <si>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</si>
  <si>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</si>
  <si>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</si>
  <si>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</si>
  <si>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</si>
  <si>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</si>
  <si>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</si>
  <si>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</si>
  <si>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</si>
  <si>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</si>
  <si>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</si>
  <si>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</si>
  <si>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</si>
  <si>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</si>
  <si>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</si>
  <si>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</si>
  <si>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</si>
  <si>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</si>
  <si>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</si>
  <si>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</si>
  <si>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</si>
  <si>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</si>
  <si>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</si>
  <si>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</si>
  <si>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</si>
  <si>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</si>
  <si>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</si>
  <si>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</si>
  <si>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</si>
  <si>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</si>
  <si>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</si>
  <si>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</si>
  <si>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</si>
  <si>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</si>
  <si>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</si>
  <si>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</si>
  <si>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</si>
  <si>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</si>
  <si>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</si>
  <si>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</si>
  <si>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</si>
  <si>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</si>
  <si>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</si>
  <si>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</si>
  <si>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</si>
  <si>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</si>
  <si>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</si>
  <si>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</si>
  <si>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</si>
  <si>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</si>
  <si>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</si>
  <si>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</si>
  <si>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</si>
  <si>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</si>
  <si>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</si>
  <si>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</si>
  <si>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</si>
  <si>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</si>
  <si>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</si>
  <si>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</si>
  <si>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</si>
  <si>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</si>
  <si>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</si>
  <si>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</si>
  <si>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</si>
  <si>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</si>
  <si>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</si>
  <si>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</si>
  <si>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</si>
  <si>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</si>
  <si>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</si>
  <si>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</si>
  <si>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</si>
  <si>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</si>
  <si>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</si>
  <si>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</si>
  <si>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</si>
  <si>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</si>
  <si>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</si>
  <si>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</si>
  <si>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</si>
  <si>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</si>
  <si>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</si>
  <si>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</si>
  <si>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</si>
  <si>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MCF7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</si>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</sst>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P28" sqref="P28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112</v>
      </c>
      <c r="K17" s="31" t="s">
        <v>80</v>
      </c>
      <c r="L17" s="81">
        <v>9.8986000000000005E-3</v>
      </c>
      <c r="M17" s="81">
        <v>5.1399999999999996E-5</v>
      </c>
      <c r="N17" s="81">
        <v>5.0000000000000002E-5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3" zoomScale="55" zoomScaleNormal="55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0"/>
      <c r="H1" s="14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0"/>
      <c r="H2" s="140"/>
      <c r="I2" s="153" t="s">
        <v>19</v>
      </c>
      <c r="J2" s="154"/>
      <c r="K2" s="154"/>
      <c r="L2" s="154"/>
      <c r="M2" s="154"/>
      <c r="N2" s="154"/>
      <c r="O2" s="154"/>
      <c r="P2" s="154"/>
      <c r="Q2" s="15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0"/>
      <c r="H3" s="140"/>
      <c r="I3" s="156"/>
      <c r="J3" s="157"/>
      <c r="K3" s="157"/>
      <c r="L3" s="157"/>
      <c r="M3" s="157"/>
      <c r="N3" s="157"/>
      <c r="O3" s="157"/>
      <c r="P3" s="157"/>
      <c r="Q3" s="15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0"/>
      <c r="H4" s="140"/>
      <c r="I4" s="159"/>
      <c r="J4" s="160"/>
      <c r="K4" s="160"/>
      <c r="L4" s="160"/>
      <c r="M4" s="160"/>
      <c r="N4" s="160"/>
      <c r="O4" s="160"/>
      <c r="P4" s="160"/>
      <c r="Q4" s="16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0"/>
      <c r="H5" s="140"/>
      <c r="I5" s="162" t="s">
        <v>38</v>
      </c>
      <c r="J5" s="163"/>
      <c r="K5" s="163"/>
      <c r="L5" s="163"/>
      <c r="M5" s="163"/>
      <c r="N5" s="163"/>
      <c r="O5" s="163"/>
      <c r="P5" s="163"/>
      <c r="Q5" s="16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0"/>
      <c r="H6" s="140"/>
      <c r="I6" s="49" t="s">
        <v>49</v>
      </c>
      <c r="J6" s="49" t="s">
        <v>50</v>
      </c>
      <c r="K6" s="49" t="s">
        <v>46</v>
      </c>
      <c r="L6" s="132" t="s">
        <v>39</v>
      </c>
      <c r="M6" s="133"/>
      <c r="N6" s="133"/>
      <c r="O6" s="133"/>
      <c r="P6" s="133"/>
      <c r="Q6" s="134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0"/>
      <c r="H7" s="140"/>
      <c r="I7" s="50" t="s">
        <v>20</v>
      </c>
      <c r="J7" s="37">
        <f>SUM(J13,J19)</f>
        <v>150.19999999999999</v>
      </c>
      <c r="K7" s="38">
        <f>J7/J7</f>
        <v>1</v>
      </c>
      <c r="L7" s="115" t="s">
        <v>68</v>
      </c>
      <c r="M7" s="116"/>
      <c r="N7" s="116"/>
      <c r="O7" s="116"/>
      <c r="P7" s="116"/>
      <c r="Q7" s="11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8" t="s">
        <v>3</v>
      </c>
      <c r="C8" s="179"/>
      <c r="D8" s="179"/>
      <c r="E8" s="179"/>
      <c r="F8" s="180"/>
      <c r="G8" s="140"/>
      <c r="H8" s="140"/>
      <c r="I8" s="51" t="s">
        <v>6</v>
      </c>
      <c r="J8" s="37">
        <f>SUM(J14,J20)</f>
        <v>149.42097200000001</v>
      </c>
      <c r="K8" s="39">
        <f>J8/J7</f>
        <v>0.9948133954727032</v>
      </c>
      <c r="L8" s="115" t="s">
        <v>69</v>
      </c>
      <c r="M8" s="116"/>
      <c r="N8" s="116"/>
      <c r="O8" s="116"/>
      <c r="P8" s="116"/>
      <c r="Q8" s="11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1"/>
      <c r="C9" s="182"/>
      <c r="D9" s="182"/>
      <c r="E9" s="182"/>
      <c r="F9" s="183"/>
      <c r="G9" s="140"/>
      <c r="H9" s="140"/>
      <c r="I9" s="50" t="s">
        <v>8</v>
      </c>
      <c r="J9" s="40">
        <f t="shared" ref="J9:J10" si="0">SUM(J15,J21)</f>
        <v>0.72102800000000011</v>
      </c>
      <c r="K9" s="39">
        <f>J9/J7</f>
        <v>4.8004527296937431E-3</v>
      </c>
      <c r="L9" s="115" t="s">
        <v>69</v>
      </c>
      <c r="M9" s="116"/>
      <c r="N9" s="116"/>
      <c r="O9" s="116"/>
      <c r="P9" s="116"/>
      <c r="Q9" s="11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4"/>
      <c r="C10" s="185"/>
      <c r="D10" s="185"/>
      <c r="E10" s="185"/>
      <c r="F10" s="186"/>
      <c r="G10" s="140"/>
      <c r="H10" s="140"/>
      <c r="I10" s="51" t="s">
        <v>9</v>
      </c>
      <c r="J10" s="40">
        <f t="shared" si="0"/>
        <v>5.7999999999999996E-2</v>
      </c>
      <c r="K10" s="39">
        <f>J10/J7</f>
        <v>3.8615179760319573E-4</v>
      </c>
      <c r="L10" s="115" t="s">
        <v>69</v>
      </c>
      <c r="M10" s="116"/>
      <c r="N10" s="116"/>
      <c r="O10" s="116"/>
      <c r="P10" s="116"/>
      <c r="Q10" s="11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3" t="s">
        <v>36</v>
      </c>
      <c r="C11" s="144"/>
      <c r="D11" s="144"/>
      <c r="E11" s="144"/>
      <c r="F11" s="145"/>
      <c r="G11" s="140"/>
      <c r="H11" s="140"/>
      <c r="I11" s="131"/>
      <c r="J11" s="131"/>
      <c r="K11" s="131"/>
      <c r="L11" s="131"/>
      <c r="M11" s="131"/>
      <c r="N11" s="131"/>
      <c r="O11" s="131"/>
      <c r="P11" s="131"/>
      <c r="Q11" s="131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6"/>
      <c r="C12" s="147"/>
      <c r="D12" s="147"/>
      <c r="E12" s="147"/>
      <c r="F12" s="148"/>
      <c r="G12" s="140"/>
      <c r="H12" s="140"/>
      <c r="I12" s="49" t="s">
        <v>51</v>
      </c>
      <c r="J12" s="49" t="s">
        <v>50</v>
      </c>
      <c r="K12" s="49" t="s">
        <v>46</v>
      </c>
      <c r="L12" s="132" t="s">
        <v>39</v>
      </c>
      <c r="M12" s="133"/>
      <c r="N12" s="133"/>
      <c r="O12" s="133"/>
      <c r="P12" s="133"/>
      <c r="Q12" s="134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5" t="s">
        <v>4</v>
      </c>
      <c r="C13" s="136"/>
      <c r="D13" s="168" t="s">
        <v>39</v>
      </c>
      <c r="E13" s="168"/>
      <c r="F13" s="168"/>
      <c r="G13" s="140"/>
      <c r="H13" s="140"/>
      <c r="I13" s="50" t="s">
        <v>5</v>
      </c>
      <c r="J13" s="41">
        <f>SUM(J14:J16)</f>
        <v>150</v>
      </c>
      <c r="K13" s="38">
        <f>J13/J13</f>
        <v>1</v>
      </c>
      <c r="L13" s="115" t="s">
        <v>71</v>
      </c>
      <c r="M13" s="116"/>
      <c r="N13" s="116"/>
      <c r="O13" s="116"/>
      <c r="P13" s="116"/>
      <c r="Q13" s="11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69" t="s">
        <v>17</v>
      </c>
      <c r="E14" s="169"/>
      <c r="F14" s="169"/>
      <c r="G14" s="140"/>
      <c r="H14" s="140"/>
      <c r="I14" s="51" t="s">
        <v>43</v>
      </c>
      <c r="J14" s="41">
        <f>C14-SUM(J15:J16)</f>
        <v>149.22300000000001</v>
      </c>
      <c r="K14" s="39">
        <f>J14/J13</f>
        <v>0.99482000000000004</v>
      </c>
      <c r="L14" s="137" t="s">
        <v>70</v>
      </c>
      <c r="M14" s="138"/>
      <c r="N14" s="138"/>
      <c r="O14" s="138"/>
      <c r="P14" s="138"/>
      <c r="Q14" s="13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70" t="s">
        <v>60</v>
      </c>
      <c r="E15" s="170"/>
      <c r="F15" s="170"/>
      <c r="G15" s="140"/>
      <c r="H15" s="14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0.72000000000000008</v>
      </c>
      <c r="K15" s="39">
        <f>J15/J13</f>
        <v>4.8000000000000004E-3</v>
      </c>
      <c r="L15" s="115" t="s">
        <v>69</v>
      </c>
      <c r="M15" s="116"/>
      <c r="N15" s="116"/>
      <c r="O15" s="116"/>
      <c r="P15" s="116"/>
      <c r="Q15" s="11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71" t="s">
        <v>40</v>
      </c>
      <c r="E16" s="172"/>
      <c r="F16" s="173"/>
      <c r="G16" s="140"/>
      <c r="H16" s="14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5.6999999999999995E-2</v>
      </c>
      <c r="K16" s="39">
        <f>J16/J13</f>
        <v>3.7999999999999997E-4</v>
      </c>
      <c r="L16" s="115" t="s">
        <v>69</v>
      </c>
      <c r="M16" s="116"/>
      <c r="N16" s="116"/>
      <c r="O16" s="116"/>
      <c r="P16" s="116"/>
      <c r="Q16" s="11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74" t="s">
        <v>61</v>
      </c>
      <c r="E17" s="175"/>
      <c r="F17" s="176"/>
      <c r="G17" s="140"/>
      <c r="H17" s="140"/>
      <c r="I17" s="137"/>
      <c r="J17" s="138"/>
      <c r="K17" s="138"/>
      <c r="L17" s="138"/>
      <c r="M17" s="138"/>
      <c r="N17" s="138"/>
      <c r="O17" s="138"/>
      <c r="P17" s="138"/>
      <c r="Q17" s="13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71" t="s">
        <v>41</v>
      </c>
      <c r="E18" s="172"/>
      <c r="F18" s="173"/>
      <c r="G18" s="140"/>
      <c r="H18" s="140"/>
      <c r="I18" s="49" t="s">
        <v>29</v>
      </c>
      <c r="J18" s="49" t="s">
        <v>50</v>
      </c>
      <c r="K18" s="49" t="s">
        <v>46</v>
      </c>
      <c r="L18" s="132" t="s">
        <v>39</v>
      </c>
      <c r="M18" s="133"/>
      <c r="N18" s="133"/>
      <c r="O18" s="133"/>
      <c r="P18" s="133"/>
      <c r="Q18" s="134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0"/>
      <c r="C19" s="170"/>
      <c r="D19" s="170"/>
      <c r="E19" s="170"/>
      <c r="F19" s="170"/>
      <c r="G19" s="140"/>
      <c r="H19" s="140"/>
      <c r="I19" s="50" t="s">
        <v>5</v>
      </c>
      <c r="J19" s="41">
        <f>SUM(J20:J22)</f>
        <v>0.2</v>
      </c>
      <c r="K19" s="38">
        <f>J19/J19</f>
        <v>1</v>
      </c>
      <c r="L19" s="115" t="s">
        <v>55</v>
      </c>
      <c r="M19" s="116"/>
      <c r="N19" s="116"/>
      <c r="O19" s="116"/>
      <c r="P19" s="116"/>
      <c r="Q19" s="11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5" t="s">
        <v>7</v>
      </c>
      <c r="C20" s="136"/>
      <c r="D20" s="168" t="s">
        <v>39</v>
      </c>
      <c r="E20" s="168"/>
      <c r="F20" s="168"/>
      <c r="G20" s="140"/>
      <c r="H20" s="14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0.19797200000000001</v>
      </c>
      <c r="K20" s="39">
        <f>J20/J19</f>
        <v>0.98985999999999996</v>
      </c>
      <c r="L20" s="115" t="s">
        <v>69</v>
      </c>
      <c r="M20" s="116"/>
      <c r="N20" s="116"/>
      <c r="O20" s="116"/>
      <c r="P20" s="116"/>
      <c r="Q20" s="11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74" t="s">
        <v>61</v>
      </c>
      <c r="E21" s="175"/>
      <c r="F21" s="176"/>
      <c r="G21" s="140"/>
      <c r="H21" s="14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1.0279999999999998E-3</v>
      </c>
      <c r="K21" s="39">
        <f>J21/J19</f>
        <v>5.1399999999999987E-3</v>
      </c>
      <c r="L21" s="115" t="s">
        <v>69</v>
      </c>
      <c r="M21" s="116"/>
      <c r="N21" s="116"/>
      <c r="O21" s="116"/>
      <c r="P21" s="116"/>
      <c r="Q21" s="11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77" t="s">
        <v>67</v>
      </c>
      <c r="E22" s="177"/>
      <c r="F22" s="177"/>
      <c r="G22" s="140"/>
      <c r="H22" s="14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1.0000000000000002E-3</v>
      </c>
      <c r="K22" s="39">
        <f>J22/J19</f>
        <v>5.000000000000001E-3</v>
      </c>
      <c r="L22" s="115" t="s">
        <v>69</v>
      </c>
      <c r="M22" s="116"/>
      <c r="N22" s="116"/>
      <c r="O22" s="116"/>
      <c r="P22" s="116"/>
      <c r="Q22" s="11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5"/>
      <c r="C23" s="166"/>
      <c r="D23" s="166"/>
      <c r="E23" s="166"/>
      <c r="F23" s="167"/>
      <c r="G23" s="140"/>
      <c r="H23" s="140"/>
      <c r="I23" s="126"/>
      <c r="J23" s="127"/>
      <c r="K23" s="127"/>
      <c r="L23" s="127"/>
      <c r="M23" s="127"/>
      <c r="N23" s="127"/>
      <c r="O23" s="127"/>
      <c r="P23" s="127"/>
      <c r="Q23" s="128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3" t="s">
        <v>37</v>
      </c>
      <c r="C24" s="144"/>
      <c r="D24" s="144"/>
      <c r="E24" s="144"/>
      <c r="F24" s="145"/>
      <c r="G24" s="140"/>
      <c r="H24" s="140"/>
      <c r="I24" s="120" t="s">
        <v>42</v>
      </c>
      <c r="J24" s="121"/>
      <c r="K24" s="121"/>
      <c r="L24" s="121"/>
      <c r="M24" s="121"/>
      <c r="N24" s="121"/>
      <c r="O24" s="121"/>
      <c r="P24" s="121"/>
      <c r="Q24" s="12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6"/>
      <c r="C25" s="147"/>
      <c r="D25" s="147"/>
      <c r="E25" s="147"/>
      <c r="F25" s="148"/>
      <c r="G25" s="140"/>
      <c r="H25" s="140"/>
      <c r="I25" s="123"/>
      <c r="J25" s="124"/>
      <c r="K25" s="124"/>
      <c r="L25" s="124"/>
      <c r="M25" s="124"/>
      <c r="N25" s="124"/>
      <c r="O25" s="124"/>
      <c r="P25" s="124"/>
      <c r="Q25" s="125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1" t="s">
        <v>11</v>
      </c>
      <c r="C26" s="141" t="s">
        <v>12</v>
      </c>
      <c r="D26" s="149" t="s">
        <v>47</v>
      </c>
      <c r="E26" s="149" t="s">
        <v>48</v>
      </c>
      <c r="F26" s="151" t="s">
        <v>66</v>
      </c>
      <c r="G26" s="140"/>
      <c r="H26" s="140"/>
      <c r="I26" s="129" t="s">
        <v>53</v>
      </c>
      <c r="J26" s="129" t="s">
        <v>54</v>
      </c>
      <c r="K26" s="118" t="s">
        <v>73</v>
      </c>
      <c r="L26" s="118" t="s">
        <v>52</v>
      </c>
      <c r="M26" s="118" t="s">
        <v>59</v>
      </c>
      <c r="N26" s="118" t="s">
        <v>62</v>
      </c>
      <c r="O26" s="118" t="s">
        <v>72</v>
      </c>
      <c r="P26" s="118" t="s">
        <v>64</v>
      </c>
      <c r="Q26" s="118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2"/>
      <c r="C27" s="142"/>
      <c r="D27" s="150"/>
      <c r="E27" s="150"/>
      <c r="F27" s="152"/>
      <c r="G27" s="140"/>
      <c r="H27" s="140"/>
      <c r="I27" s="130"/>
      <c r="J27" s="130"/>
      <c r="K27" s="119"/>
      <c r="L27" s="119"/>
      <c r="M27" s="119"/>
      <c r="N27" s="119"/>
      <c r="O27" s="119"/>
      <c r="P27" s="119"/>
      <c r="Q27" s="119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115</v>
      </c>
      <c r="C28" s="46" t="s">
        <v>116</v>
      </c>
      <c r="D28" s="47">
        <v>1.6437199999999998</v>
      </c>
      <c r="E28" s="47">
        <v>1.9024449999999995</v>
      </c>
      <c r="F28" s="98">
        <v>9.9999999999999995E-7</v>
      </c>
      <c r="G28" s="140"/>
      <c r="H28" s="140"/>
      <c r="I28" s="94">
        <f t="shared" ref="I28:I47" si="1">IF(D28=0,"",LOG($K$15*10^D28+$K$16*10^E28+$K$14))</f>
        <v>9.2195850977354138E-2</v>
      </c>
      <c r="J28" s="94">
        <f t="shared" ref="J28:J47" si="2">IF(D28=0,"",LOG($K$21*10^D28+$K$22*10^E28+$K$20))</f>
        <v>0.20832460750095885</v>
      </c>
      <c r="K28" s="95">
        <f t="shared" ref="K28:K47" si="3">IF(D28=0,"",1/(1+10^D28*$J$15/$J$14+10^E28*$J$16/$J$14+10^J28*$J$19/$J$14))</f>
        <v>0.80314274456960943</v>
      </c>
      <c r="L28" s="95">
        <f t="shared" ref="L28:L47" si="4">IF(D28=0,"",1/(1+10^I28/10^J28*$J$13/$J$19))</f>
        <v>1.7390480297384456E-3</v>
      </c>
      <c r="M28" s="95">
        <f t="shared" ref="M28:M47" si="5">IF(D28=0,"",1-L28)</f>
        <v>0.99826095197026155</v>
      </c>
      <c r="N28" s="95">
        <f t="shared" ref="N28:N47" si="6">IF(D28=0,"",1/(1/10^E28*$J$20/$J$22+10^D28/10^E28*$J$21/$J$22+10^I28/10^E28*$J$13/$J$22+1))</f>
        <v>4.2993418038591219E-4</v>
      </c>
      <c r="O28" s="40">
        <f t="shared" ref="O28:O47" si="7">IF(D28=0,"",F28*K28*$J$7/$J$14)</f>
        <v>8.0840111936065699E-7</v>
      </c>
      <c r="P28" s="40">
        <f t="shared" ref="P28:P47" si="8">IF(D28=0,"",O28*10^J28)</f>
        <v>1.3060250703335723E-6</v>
      </c>
      <c r="Q28" s="40">
        <f t="shared" ref="Q28:Q47" si="9">IF(D28=0,"",F28*N28*$J$7/$J$22)</f>
        <v>6.4576113893963989E-5</v>
      </c>
      <c r="R28" s="9">
        <f>F28*$C$14</f>
        <v>1.4999999999999999E-4</v>
      </c>
      <c r="S28" s="9">
        <f>$R28*L28</f>
        <v>2.608572044607668E-7</v>
      </c>
      <c r="T28" s="9">
        <f t="shared" ref="T28:T49" si="10">R28*K28</f>
        <v>1.204714116854414E-4</v>
      </c>
      <c r="U28" s="9">
        <f t="shared" ref="U28:U49" si="11">$R28*M28</f>
        <v>1.4973914279553922E-4</v>
      </c>
      <c r="V28" s="102">
        <f>K28/M28</f>
        <v>0.80454188154354978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117</v>
      </c>
      <c r="C29" s="46" t="s">
        <v>118</v>
      </c>
      <c r="D29" s="47">
        <v>4.7386560000000006</v>
      </c>
      <c r="E29" s="47">
        <v>5.8355820000000005</v>
      </c>
      <c r="F29" s="98">
        <v>9.9999999999999995E-7</v>
      </c>
      <c r="G29" s="140"/>
      <c r="H29" s="140"/>
      <c r="I29" s="94">
        <f t="shared" si="1"/>
        <v>2.7194923137791687</v>
      </c>
      <c r="J29" s="94">
        <f t="shared" si="2"/>
        <v>3.5689903624588988</v>
      </c>
      <c r="K29" s="95">
        <f t="shared" si="3"/>
        <v>1.8800815435012328E-3</v>
      </c>
      <c r="L29" s="95">
        <f t="shared" si="4"/>
        <v>9.3403097165605138E-3</v>
      </c>
      <c r="M29" s="95">
        <f t="shared" si="5"/>
        <v>0.99065969028343948</v>
      </c>
      <c r="N29" s="95">
        <f t="shared" si="6"/>
        <v>8.6282539547194569E-3</v>
      </c>
      <c r="O29" s="40">
        <f t="shared" si="7"/>
        <v>1.8923909037741176E-9</v>
      </c>
      <c r="P29" s="40">
        <f t="shared" si="8"/>
        <v>7.014572597136951E-6</v>
      </c>
      <c r="Q29" s="40">
        <f t="shared" si="9"/>
        <v>1.2959637439988619E-3</v>
      </c>
      <c r="R29" s="9">
        <f>F29*$C$14</f>
        <v>1.4999999999999999E-4</v>
      </c>
      <c r="S29" s="9">
        <f t="shared" ref="S29:S49" si="12">$R29*L29</f>
        <v>1.4010464574840769E-6</v>
      </c>
      <c r="T29" s="9">
        <f t="shared" si="10"/>
        <v>2.820122315251849E-7</v>
      </c>
      <c r="U29" s="9">
        <f t="shared" si="11"/>
        <v>1.4859895354251592E-4</v>
      </c>
      <c r="V29" s="102">
        <f t="shared" ref="V29:V49" si="13">K29/M29</f>
        <v>1.8978076547793311E-3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119</v>
      </c>
      <c r="C30" s="46" t="s">
        <v>120</v>
      </c>
      <c r="D30" s="91">
        <v>7.1429999999999998</v>
      </c>
      <c r="E30" s="91">
        <v>9.299925</v>
      </c>
      <c r="F30" s="98">
        <v>9.9999999999999995E-7</v>
      </c>
      <c r="G30" s="140"/>
      <c r="H30" s="140"/>
      <c r="I30" s="94">
        <f t="shared" si="1"/>
        <v>5.9163420575972845</v>
      </c>
      <c r="J30" s="94">
        <f t="shared" si="2"/>
        <v>7.0019946190511906</v>
      </c>
      <c r="K30" s="95">
        <f t="shared" si="3"/>
        <v>1.1868780028258127E-6</v>
      </c>
      <c r="L30" s="95">
        <f t="shared" si="4"/>
        <v>1.5980667986282605E-2</v>
      </c>
      <c r="M30" s="95">
        <f t="shared" si="5"/>
        <v>0.98401933201371738</v>
      </c>
      <c r="N30" s="95">
        <f t="shared" si="6"/>
        <v>1.586701798477471E-2</v>
      </c>
      <c r="O30" s="40">
        <f t="shared" si="7"/>
        <v>1.1946487875490846E-12</v>
      </c>
      <c r="P30" s="40">
        <f t="shared" si="8"/>
        <v>1.2001481657698271E-5</v>
      </c>
      <c r="Q30" s="40">
        <f t="shared" si="9"/>
        <v>2.3832261013131606E-3</v>
      </c>
      <c r="R30" s="9">
        <f t="shared" ref="R30:R49" si="14">F30*$C$14</f>
        <v>1.4999999999999999E-4</v>
      </c>
      <c r="S30" s="9">
        <f t="shared" si="12"/>
        <v>2.3971001979423903E-6</v>
      </c>
      <c r="T30" s="9">
        <f t="shared" si="10"/>
        <v>1.7803170042387188E-10</v>
      </c>
      <c r="U30" s="9">
        <f t="shared" si="11"/>
        <v>1.4760289980205758E-4</v>
      </c>
      <c r="V30" s="102">
        <f t="shared" si="13"/>
        <v>1.2061531356268795E-6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113</v>
      </c>
      <c r="C31" s="46" t="s">
        <v>114</v>
      </c>
      <c r="D31" s="47">
        <v>3.3511520000000004</v>
      </c>
      <c r="E31" s="47">
        <v>4.2962190000000007</v>
      </c>
      <c r="F31" s="98">
        <v>9.9999999999999995E-7</v>
      </c>
      <c r="G31" s="140"/>
      <c r="H31" s="140"/>
      <c r="I31" s="94">
        <f t="shared" si="1"/>
        <v>1.2852308448323728</v>
      </c>
      <c r="J31" s="94">
        <f t="shared" si="2"/>
        <v>2.0469857256800985</v>
      </c>
      <c r="K31" s="95">
        <f t="shared" si="3"/>
        <v>5.1189496012799762E-2</v>
      </c>
      <c r="L31" s="95">
        <f t="shared" si="4"/>
        <v>7.6447063559959587E-3</v>
      </c>
      <c r="M31" s="95">
        <f t="shared" si="5"/>
        <v>0.99235529364400399</v>
      </c>
      <c r="N31" s="95">
        <f t="shared" si="6"/>
        <v>6.7852223954675992E-3</v>
      </c>
      <c r="O31" s="40">
        <f t="shared" si="7"/>
        <v>5.1524646342202766E-8</v>
      </c>
      <c r="P31" s="40">
        <f t="shared" si="8"/>
        <v>5.7411744733529665E-6</v>
      </c>
      <c r="Q31" s="40">
        <f t="shared" si="9"/>
        <v>1.0191404037992332E-3</v>
      </c>
      <c r="R31" s="9">
        <f t="shared" si="14"/>
        <v>1.4999999999999999E-4</v>
      </c>
      <c r="S31" s="9">
        <f t="shared" si="12"/>
        <v>1.1467059533993937E-6</v>
      </c>
      <c r="T31" s="9">
        <f t="shared" si="10"/>
        <v>7.6784244019199641E-6</v>
      </c>
      <c r="U31" s="9">
        <f t="shared" si="11"/>
        <v>1.4885329404660058E-4</v>
      </c>
      <c r="V31" s="102">
        <f t="shared" si="13"/>
        <v>5.158383931709383E-2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121</v>
      </c>
      <c r="C32" s="46" t="s">
        <v>122</v>
      </c>
      <c r="D32" s="47">
        <v>5.9183200000000005</v>
      </c>
      <c r="E32" s="47">
        <v>7.0401399999999992</v>
      </c>
      <c r="F32" s="98">
        <v>9.9999999999999995E-7</v>
      </c>
      <c r="G32" s="140"/>
      <c r="H32" s="140"/>
      <c r="I32" s="94">
        <f t="shared" si="1"/>
        <v>3.9109447814528924</v>
      </c>
      <c r="J32" s="94">
        <f t="shared" si="2"/>
        <v>4.7715972923878738</v>
      </c>
      <c r="K32" s="95">
        <f t="shared" si="3"/>
        <v>1.2095357118844343E-4</v>
      </c>
      <c r="L32" s="95">
        <f t="shared" si="4"/>
        <v>9.5809862467556278E-3</v>
      </c>
      <c r="M32" s="95">
        <f t="shared" si="5"/>
        <v>0.99041901375324437</v>
      </c>
      <c r="N32" s="95">
        <f t="shared" si="6"/>
        <v>8.8904333135268795E-3</v>
      </c>
      <c r="O32" s="40">
        <f t="shared" si="7"/>
        <v>1.2174548422498007E-10</v>
      </c>
      <c r="P32" s="40">
        <f t="shared" si="8"/>
        <v>7.1953206713134755E-6</v>
      </c>
      <c r="Q32" s="40">
        <f t="shared" si="9"/>
        <v>1.3353430836917368E-3</v>
      </c>
      <c r="R32" s="9">
        <f t="shared" si="14"/>
        <v>1.4999999999999999E-4</v>
      </c>
      <c r="S32" s="9">
        <f t="shared" si="12"/>
        <v>1.4371479370133441E-6</v>
      </c>
      <c r="T32" s="9">
        <f t="shared" si="10"/>
        <v>1.8143035678266513E-8</v>
      </c>
      <c r="U32" s="9">
        <f t="shared" si="11"/>
        <v>1.4856285206298663E-4</v>
      </c>
      <c r="V32" s="102">
        <f t="shared" si="13"/>
        <v>1.2212363606599552E-4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123</v>
      </c>
      <c r="C33" s="96" t="s">
        <v>124</v>
      </c>
      <c r="D33" s="97">
        <v>5.5295200000000007</v>
      </c>
      <c r="E33" s="97">
        <v>6.5305900000000001</v>
      </c>
      <c r="F33" s="98">
        <v>9.9999999999999995E-7</v>
      </c>
      <c r="G33" s="140"/>
      <c r="H33" s="140"/>
      <c r="I33" s="94">
        <f t="shared" si="1"/>
        <v>3.4646398062685488</v>
      </c>
      <c r="J33" s="94">
        <f t="shared" si="2"/>
        <v>4.2719801127259975</v>
      </c>
      <c r="K33" s="95">
        <f t="shared" si="3"/>
        <v>3.3837994384297972E-4</v>
      </c>
      <c r="L33" s="95">
        <f t="shared" si="4"/>
        <v>8.4835760141980607E-3</v>
      </c>
      <c r="M33" s="95">
        <f t="shared" si="5"/>
        <v>0.99151642398580198</v>
      </c>
      <c r="N33" s="95">
        <f t="shared" si="6"/>
        <v>7.6941180818696914E-3</v>
      </c>
      <c r="O33" s="40">
        <f t="shared" si="7"/>
        <v>3.4059540128006771E-10</v>
      </c>
      <c r="P33" s="40">
        <f t="shared" si="8"/>
        <v>6.3711655866627461E-6</v>
      </c>
      <c r="Q33" s="40">
        <f t="shared" si="9"/>
        <v>1.1556565358968273E-3</v>
      </c>
      <c r="R33" s="9">
        <f t="shared" si="14"/>
        <v>1.4999999999999999E-4</v>
      </c>
      <c r="S33" s="9">
        <f t="shared" si="12"/>
        <v>1.2725364021297089E-6</v>
      </c>
      <c r="T33" s="9">
        <f t="shared" si="10"/>
        <v>5.0756991576446952E-8</v>
      </c>
      <c r="U33" s="9">
        <f t="shared" si="11"/>
        <v>1.4872746359787027E-4</v>
      </c>
      <c r="V33" s="102">
        <f t="shared" si="13"/>
        <v>3.4127517775522513E-4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125</v>
      </c>
      <c r="C34" s="46" t="s">
        <v>126</v>
      </c>
      <c r="D34" s="91">
        <v>5.4845040000000003</v>
      </c>
      <c r="E34" s="91">
        <v>6.5678879999999999</v>
      </c>
      <c r="F34" s="98">
        <v>9.9999999999999995E-7</v>
      </c>
      <c r="G34" s="140"/>
      <c r="H34" s="140"/>
      <c r="I34" s="94">
        <f t="shared" si="1"/>
        <v>3.4579829545014036</v>
      </c>
      <c r="J34" s="94">
        <f t="shared" si="2"/>
        <v>4.3022457905640747</v>
      </c>
      <c r="K34" s="95">
        <f t="shared" si="3"/>
        <v>3.4334810358200115E-4</v>
      </c>
      <c r="L34" s="95">
        <f t="shared" si="4"/>
        <v>9.2294255814898401E-3</v>
      </c>
      <c r="M34" s="95">
        <f t="shared" si="5"/>
        <v>0.99077057441851013</v>
      </c>
      <c r="N34" s="95">
        <f t="shared" si="6"/>
        <v>8.5072047632621418E-3</v>
      </c>
      <c r="O34" s="40">
        <f t="shared" si="7"/>
        <v>3.4559608879339353E-10</v>
      </c>
      <c r="P34" s="40">
        <f t="shared" si="8"/>
        <v>6.9312986116988744E-6</v>
      </c>
      <c r="Q34" s="40">
        <f t="shared" si="9"/>
        <v>1.2777821554419732E-3</v>
      </c>
      <c r="R34" s="9">
        <f t="shared" si="14"/>
        <v>1.4999999999999999E-4</v>
      </c>
      <c r="S34" s="9">
        <f t="shared" si="12"/>
        <v>1.3844138372234758E-6</v>
      </c>
      <c r="T34" s="9">
        <f t="shared" si="10"/>
        <v>5.1502215537300169E-8</v>
      </c>
      <c r="U34" s="9">
        <f t="shared" si="11"/>
        <v>1.4861558616277652E-4</v>
      </c>
      <c r="V34" s="102">
        <f t="shared" si="13"/>
        <v>3.4654652898176197E-4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127</v>
      </c>
      <c r="C35" s="46" t="s">
        <v>128</v>
      </c>
      <c r="D35" s="91">
        <v>2.7195840000000011</v>
      </c>
      <c r="E35" s="91">
        <v>3.2500779999999994</v>
      </c>
      <c r="F35" s="98">
        <v>9.9999999999999995E-7</v>
      </c>
      <c r="G35" s="140"/>
      <c r="H35" s="140"/>
      <c r="I35" s="94">
        <f t="shared" si="1"/>
        <v>0.62193942428688143</v>
      </c>
      <c r="J35" s="94">
        <f t="shared" si="2"/>
        <v>1.0996040565396163</v>
      </c>
      <c r="K35" s="95">
        <f t="shared" si="3"/>
        <v>0.23662967350897463</v>
      </c>
      <c r="L35" s="95">
        <f t="shared" si="4"/>
        <v>3.9890317209506278E-3</v>
      </c>
      <c r="M35" s="95">
        <f t="shared" si="5"/>
        <v>0.99601096827904934</v>
      </c>
      <c r="N35" s="95">
        <f t="shared" si="6"/>
        <v>2.8204047514495661E-3</v>
      </c>
      <c r="O35" s="40">
        <f t="shared" si="7"/>
        <v>2.3817894668414377E-7</v>
      </c>
      <c r="P35" s="40">
        <f t="shared" si="8"/>
        <v>2.9957628224339216E-6</v>
      </c>
      <c r="Q35" s="40">
        <f t="shared" si="9"/>
        <v>4.2362479366772464E-4</v>
      </c>
      <c r="R35" s="9">
        <f t="shared" si="14"/>
        <v>1.4999999999999999E-4</v>
      </c>
      <c r="S35" s="9">
        <f t="shared" si="12"/>
        <v>5.9835475814259414E-7</v>
      </c>
      <c r="T35" s="9">
        <f t="shared" si="10"/>
        <v>3.549445102634619E-5</v>
      </c>
      <c r="U35" s="9">
        <f t="shared" si="11"/>
        <v>1.4940164524185738E-4</v>
      </c>
      <c r="V35" s="102">
        <f t="shared" si="13"/>
        <v>0.23757737720281694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81</v>
      </c>
      <c r="C36" s="46" t="s">
        <v>82</v>
      </c>
      <c r="D36" s="47">
        <v>7.5547280000000008</v>
      </c>
      <c r="E36" s="47">
        <v>9.7459910000000001</v>
      </c>
      <c r="F36" s="98">
        <v>9.9999999999999995E-7</v>
      </c>
      <c r="G36" s="140"/>
      <c r="H36" s="140"/>
      <c r="I36" s="94">
        <f t="shared" si="1"/>
        <v>6.3597288158186656</v>
      </c>
      <c r="J36" s="94">
        <f t="shared" si="2"/>
        <v>7.4478257337388314</v>
      </c>
      <c r="K36" s="95">
        <f t="shared" si="3"/>
        <v>4.2754334606398883E-7</v>
      </c>
      <c r="L36" s="95">
        <f t="shared" si="4"/>
        <v>1.6069416761669546E-2</v>
      </c>
      <c r="M36" s="95">
        <f t="shared" si="5"/>
        <v>0.98393058323833049</v>
      </c>
      <c r="N36" s="95">
        <f t="shared" si="6"/>
        <v>1.5963767167952381E-2</v>
      </c>
      <c r="O36" s="40">
        <f t="shared" si="7"/>
        <v>4.3034257841493012E-13</v>
      </c>
      <c r="P36" s="40">
        <f t="shared" si="8"/>
        <v>1.2068131988013848E-5</v>
      </c>
      <c r="Q36" s="40">
        <f t="shared" si="9"/>
        <v>2.3977578286264469E-3</v>
      </c>
      <c r="R36" s="9">
        <f t="shared" si="14"/>
        <v>1.4999999999999999E-4</v>
      </c>
      <c r="S36" s="9">
        <f t="shared" si="12"/>
        <v>2.4104125142504318E-6</v>
      </c>
      <c r="T36" s="9">
        <f t="shared" si="10"/>
        <v>6.4131501909598313E-11</v>
      </c>
      <c r="U36" s="9">
        <f t="shared" si="11"/>
        <v>1.4758958748574955E-4</v>
      </c>
      <c r="V36" s="102">
        <f t="shared" si="13"/>
        <v>4.3452592423425877E-7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129</v>
      </c>
      <c r="C37" s="96" t="s">
        <v>130</v>
      </c>
      <c r="D37" s="97">
        <v>4.10616</v>
      </c>
      <c r="E37" s="97">
        <v>5.1108449999999994</v>
      </c>
      <c r="F37" s="98">
        <v>9.9999999999999995E-7</v>
      </c>
      <c r="G37" s="140"/>
      <c r="H37" s="140"/>
      <c r="I37" s="94">
        <f t="shared" si="1"/>
        <v>2.0466328175843658</v>
      </c>
      <c r="J37" s="94">
        <f t="shared" si="2"/>
        <v>2.8524813659648856</v>
      </c>
      <c r="K37" s="95">
        <f t="shared" si="3"/>
        <v>8.8598064939241685E-3</v>
      </c>
      <c r="L37" s="95">
        <f t="shared" si="4"/>
        <v>8.4547317195653761E-3</v>
      </c>
      <c r="M37" s="95">
        <f t="shared" si="5"/>
        <v>0.99154526828043466</v>
      </c>
      <c r="N37" s="95">
        <f t="shared" si="6"/>
        <v>7.6636113111755401E-3</v>
      </c>
      <c r="O37" s="40">
        <f t="shared" si="7"/>
        <v>8.917813844966325E-9</v>
      </c>
      <c r="P37" s="40">
        <f t="shared" si="8"/>
        <v>6.3495035213936038E-6</v>
      </c>
      <c r="Q37" s="40">
        <f t="shared" si="9"/>
        <v>1.1510744189385657E-3</v>
      </c>
      <c r="R37" s="9">
        <f t="shared" si="14"/>
        <v>1.4999999999999999E-4</v>
      </c>
      <c r="S37" s="9">
        <f t="shared" si="12"/>
        <v>1.2682097579348062E-6</v>
      </c>
      <c r="T37" s="9">
        <f t="shared" si="10"/>
        <v>1.3289709740886251E-6</v>
      </c>
      <c r="U37" s="9">
        <f t="shared" si="11"/>
        <v>1.4873179024206518E-4</v>
      </c>
      <c r="V37" s="102">
        <f t="shared" si="13"/>
        <v>8.9353525021495898E-3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131</v>
      </c>
      <c r="C38" s="46" t="s">
        <v>132</v>
      </c>
      <c r="D38" s="91">
        <v>2.8295519999999996</v>
      </c>
      <c r="E38" s="91">
        <v>3.5791989999999991</v>
      </c>
      <c r="F38" s="98">
        <v>9.9999999999999995E-7</v>
      </c>
      <c r="G38" s="140"/>
      <c r="H38" s="140"/>
      <c r="I38" s="94">
        <f t="shared" si="1"/>
        <v>0.75425121724867172</v>
      </c>
      <c r="J38" s="94">
        <f t="shared" si="2"/>
        <v>1.3698795093743001</v>
      </c>
      <c r="K38" s="95">
        <f t="shared" si="3"/>
        <v>0.17422484934114518</v>
      </c>
      <c r="L38" s="95">
        <f t="shared" si="4"/>
        <v>5.4724756246434039E-3</v>
      </c>
      <c r="M38" s="95">
        <f t="shared" si="5"/>
        <v>0.99452752437535663</v>
      </c>
      <c r="N38" s="95">
        <f t="shared" si="6"/>
        <v>4.4307100548684579E-3</v>
      </c>
      <c r="O38" s="40">
        <f t="shared" si="7"/>
        <v>1.753655426511999E-7</v>
      </c>
      <c r="P38" s="40">
        <f t="shared" si="8"/>
        <v>4.1098291941071961E-6</v>
      </c>
      <c r="Q38" s="40">
        <f t="shared" si="9"/>
        <v>6.654926502412422E-4</v>
      </c>
      <c r="R38" s="9">
        <f t="shared" si="14"/>
        <v>1.4999999999999999E-4</v>
      </c>
      <c r="S38" s="9">
        <f t="shared" si="12"/>
        <v>8.208713436965105E-7</v>
      </c>
      <c r="T38" s="9">
        <f t="shared" si="10"/>
        <v>2.6133727401171776E-5</v>
      </c>
      <c r="U38" s="9">
        <f t="shared" si="11"/>
        <v>1.4917912865630348E-4</v>
      </c>
      <c r="V38" s="102">
        <f t="shared" si="13"/>
        <v>0.17518353697709113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83</v>
      </c>
      <c r="C39" s="46" t="s">
        <v>84</v>
      </c>
      <c r="D39" s="91">
        <v>-2.3039999999996397E-3</v>
      </c>
      <c r="E39" s="91">
        <v>-1.314813</v>
      </c>
      <c r="F39" s="98">
        <v>9.9999999999999995E-7</v>
      </c>
      <c r="G39" s="140"/>
      <c r="H39" s="140"/>
      <c r="I39" s="94">
        <f t="shared" si="1"/>
        <v>-1.6810051832329899E-4</v>
      </c>
      <c r="J39" s="94">
        <f t="shared" si="2"/>
        <v>-2.0830894197039467E-3</v>
      </c>
      <c r="K39" s="95">
        <f t="shared" si="3"/>
        <v>0.9938857846548127</v>
      </c>
      <c r="L39" s="95">
        <f t="shared" si="4"/>
        <v>1.3257072104937318E-3</v>
      </c>
      <c r="M39" s="95">
        <f t="shared" si="5"/>
        <v>0.99867429278950626</v>
      </c>
      <c r="N39" s="95">
        <f t="shared" si="6"/>
        <v>3.2261734451070641E-7</v>
      </c>
      <c r="O39" s="40">
        <f t="shared" si="7"/>
        <v>1.0003930014485221E-6</v>
      </c>
      <c r="P39" s="40">
        <f t="shared" si="8"/>
        <v>9.9560611508079201E-7</v>
      </c>
      <c r="Q39" s="40">
        <f t="shared" si="9"/>
        <v>4.8457125145508083E-8</v>
      </c>
      <c r="R39" s="9">
        <f t="shared" si="14"/>
        <v>1.4999999999999999E-4</v>
      </c>
      <c r="S39" s="9">
        <f t="shared" si="12"/>
        <v>1.9885608157405974E-7</v>
      </c>
      <c r="T39" s="9">
        <f t="shared" si="10"/>
        <v>1.490828676982219E-4</v>
      </c>
      <c r="U39" s="9">
        <f t="shared" si="11"/>
        <v>1.4980114391842592E-4</v>
      </c>
      <c r="V39" s="102">
        <f t="shared" si="13"/>
        <v>0.99520513527857191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133</v>
      </c>
      <c r="C40" s="46" t="s">
        <v>134</v>
      </c>
      <c r="D40" s="47">
        <v>3.2352399999999997</v>
      </c>
      <c r="E40" s="47">
        <v>3.7544849999999994</v>
      </c>
      <c r="F40" s="98">
        <v>9.9999999999999995E-7</v>
      </c>
      <c r="G40" s="140"/>
      <c r="H40" s="140"/>
      <c r="I40" s="94">
        <f t="shared" si="1"/>
        <v>1.0570731161685156</v>
      </c>
      <c r="J40" s="94">
        <f t="shared" si="2"/>
        <v>1.5824466515947846</v>
      </c>
      <c r="K40" s="95">
        <f t="shared" si="3"/>
        <v>8.684291647338338E-2</v>
      </c>
      <c r="L40" s="95">
        <f t="shared" si="4"/>
        <v>4.4501564617092041E-3</v>
      </c>
      <c r="M40" s="95">
        <f t="shared" si="5"/>
        <v>0.99554984353829079</v>
      </c>
      <c r="N40" s="95">
        <f t="shared" si="6"/>
        <v>3.3066150128604962E-3</v>
      </c>
      <c r="O40" s="40">
        <f t="shared" si="7"/>
        <v>8.7411498591384568E-8</v>
      </c>
      <c r="P40" s="40">
        <f t="shared" si="8"/>
        <v>3.3420675027436126E-6</v>
      </c>
      <c r="Q40" s="40">
        <f t="shared" si="9"/>
        <v>4.9665357493164646E-4</v>
      </c>
      <c r="R40" s="9">
        <f t="shared" si="14"/>
        <v>1.4999999999999999E-4</v>
      </c>
      <c r="S40" s="9">
        <f t="shared" si="12"/>
        <v>6.6752346925638054E-7</v>
      </c>
      <c r="T40" s="9">
        <f t="shared" si="10"/>
        <v>1.3026437471007506E-5</v>
      </c>
      <c r="U40" s="9">
        <f t="shared" si="11"/>
        <v>1.4933247653074362E-4</v>
      </c>
      <c r="V40" s="102">
        <f t="shared" si="13"/>
        <v>8.7231108554780501E-2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135</v>
      </c>
      <c r="C41" s="96" t="s">
        <v>136</v>
      </c>
      <c r="D41" s="97">
        <v>3.3303280000000011</v>
      </c>
      <c r="E41" s="97">
        <v>3.8215209999999997</v>
      </c>
      <c r="F41" s="98">
        <v>9.9999999999999995E-7</v>
      </c>
      <c r="G41" s="140"/>
      <c r="H41" s="140"/>
      <c r="I41" s="94">
        <f t="shared" si="1"/>
        <v>1.1393826628828596</v>
      </c>
      <c r="J41" s="94">
        <f t="shared" si="2"/>
        <v>1.6545409469670946</v>
      </c>
      <c r="K41" s="95">
        <f t="shared" si="3"/>
        <v>7.1857116324867826E-2</v>
      </c>
      <c r="L41" s="95">
        <f t="shared" si="4"/>
        <v>4.347153348419854E-3</v>
      </c>
      <c r="M41" s="95">
        <f t="shared" si="5"/>
        <v>0.99565284665158016</v>
      </c>
      <c r="N41" s="95">
        <f t="shared" si="6"/>
        <v>3.192677251498919E-3</v>
      </c>
      <c r="O41" s="40">
        <f t="shared" si="7"/>
        <v>7.2327582691643684E-8</v>
      </c>
      <c r="P41" s="40">
        <f t="shared" si="8"/>
        <v>3.2647121646633114E-6</v>
      </c>
      <c r="Q41" s="40">
        <f t="shared" si="9"/>
        <v>4.795401231751375E-4</v>
      </c>
      <c r="R41" s="9">
        <f t="shared" si="14"/>
        <v>1.4999999999999999E-4</v>
      </c>
      <c r="S41" s="9">
        <f t="shared" si="12"/>
        <v>6.5207300226297808E-7</v>
      </c>
      <c r="T41" s="9">
        <f t="shared" si="10"/>
        <v>1.0778567448730173E-5</v>
      </c>
      <c r="U41" s="9">
        <f t="shared" si="11"/>
        <v>1.4934792699773701E-4</v>
      </c>
      <c r="V41" s="102">
        <f t="shared" si="13"/>
        <v>7.2170854094904813E-2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137</v>
      </c>
      <c r="C42" s="46" t="s">
        <v>138</v>
      </c>
      <c r="D42" s="91">
        <v>4.4202640000000004</v>
      </c>
      <c r="E42" s="91">
        <v>5.6388380000000007</v>
      </c>
      <c r="F42" s="98">
        <v>9.9999999999999995E-7</v>
      </c>
      <c r="G42" s="140"/>
      <c r="H42" s="140"/>
      <c r="I42" s="94">
        <f t="shared" si="1"/>
        <v>2.466507651261447</v>
      </c>
      <c r="J42" s="94">
        <f t="shared" si="2"/>
        <v>3.3641784665212624</v>
      </c>
      <c r="K42" s="95">
        <f t="shared" si="3"/>
        <v>3.3626816741580941E-3</v>
      </c>
      <c r="L42" s="95">
        <f t="shared" si="4"/>
        <v>1.0424577260616005E-2</v>
      </c>
      <c r="M42" s="95">
        <f t="shared" si="5"/>
        <v>0.98957542273938404</v>
      </c>
      <c r="N42" s="95">
        <f t="shared" si="6"/>
        <v>9.8104288007617828E-3</v>
      </c>
      <c r="O42" s="40">
        <f t="shared" si="7"/>
        <v>3.3846979852874264E-9</v>
      </c>
      <c r="P42" s="40">
        <f t="shared" si="8"/>
        <v>7.8288575227226203E-6</v>
      </c>
      <c r="Q42" s="40">
        <f t="shared" si="9"/>
        <v>1.4735264058744193E-3</v>
      </c>
      <c r="R42" s="9">
        <f t="shared" si="14"/>
        <v>1.4999999999999999E-4</v>
      </c>
      <c r="S42" s="9">
        <f t="shared" si="12"/>
        <v>1.5636865890924006E-6</v>
      </c>
      <c r="T42" s="9">
        <f t="shared" si="10"/>
        <v>5.0440225112371404E-7</v>
      </c>
      <c r="U42" s="9">
        <f t="shared" si="11"/>
        <v>1.484363134109076E-4</v>
      </c>
      <c r="V42" s="102">
        <f t="shared" si="13"/>
        <v>3.3981054873507047E-3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139</v>
      </c>
      <c r="C43" s="46" t="s">
        <v>140</v>
      </c>
      <c r="D43" s="91">
        <v>4.2752879999999998</v>
      </c>
      <c r="E43" s="91">
        <v>5.3084609999999994</v>
      </c>
      <c r="F43" s="98">
        <v>9.9999999999999995E-7</v>
      </c>
      <c r="G43" s="140"/>
      <c r="H43" s="140"/>
      <c r="I43" s="94">
        <f t="shared" si="1"/>
        <v>2.2273249528367836</v>
      </c>
      <c r="J43" s="94">
        <f t="shared" si="2"/>
        <v>3.0473260422149981</v>
      </c>
      <c r="K43" s="95">
        <f t="shared" si="3"/>
        <v>5.842658347538038E-3</v>
      </c>
      <c r="L43" s="95">
        <f t="shared" si="4"/>
        <v>8.7323425242726051E-3</v>
      </c>
      <c r="M43" s="95">
        <f t="shared" si="5"/>
        <v>0.99126765747572743</v>
      </c>
      <c r="N43" s="95">
        <f t="shared" si="6"/>
        <v>7.9659160386403808E-3</v>
      </c>
      <c r="O43" s="40">
        <f t="shared" si="7"/>
        <v>5.8809116811765819E-9</v>
      </c>
      <c r="P43" s="40">
        <f t="shared" si="8"/>
        <v>6.5579892357287335E-6</v>
      </c>
      <c r="Q43" s="40">
        <f t="shared" si="9"/>
        <v>1.1964805890037847E-3</v>
      </c>
      <c r="R43" s="9">
        <f t="shared" si="14"/>
        <v>1.4999999999999999E-4</v>
      </c>
      <c r="S43" s="9">
        <f t="shared" si="12"/>
        <v>1.3098513786408907E-6</v>
      </c>
      <c r="T43" s="9">
        <f t="shared" si="10"/>
        <v>8.7639875213070567E-7</v>
      </c>
      <c r="U43" s="9">
        <f t="shared" si="11"/>
        <v>1.486901486213591E-4</v>
      </c>
      <c r="V43" s="102">
        <f t="shared" si="13"/>
        <v>5.894127891165564E-3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85</v>
      </c>
      <c r="C44" s="46" t="s">
        <v>86</v>
      </c>
      <c r="D44" s="91">
        <v>2.7665919999999997</v>
      </c>
      <c r="E44" s="91">
        <v>3.5255839999999989</v>
      </c>
      <c r="F44" s="98">
        <v>9.9999999999999995E-7</v>
      </c>
      <c r="G44" s="140"/>
      <c r="H44" s="140"/>
      <c r="I44" s="94">
        <f t="shared" si="1"/>
        <v>0.70532975413914467</v>
      </c>
      <c r="J44" s="94">
        <f t="shared" si="2"/>
        <v>1.3173040593206689</v>
      </c>
      <c r="K44" s="95">
        <f t="shared" si="3"/>
        <v>0.19500757139487623</v>
      </c>
      <c r="L44" s="95">
        <f t="shared" si="4"/>
        <v>5.4268742931851055E-3</v>
      </c>
      <c r="M44" s="95">
        <f t="shared" si="5"/>
        <v>0.99457312570681489</v>
      </c>
      <c r="N44" s="95">
        <f t="shared" si="6"/>
        <v>4.3832849751396863E-3</v>
      </c>
      <c r="O44" s="40">
        <f t="shared" si="7"/>
        <v>1.9628433434196071E-7</v>
      </c>
      <c r="P44" s="40">
        <f t="shared" si="8"/>
        <v>4.0755825941820127E-6</v>
      </c>
      <c r="Q44" s="40">
        <f t="shared" si="9"/>
        <v>6.5836940326598062E-4</v>
      </c>
      <c r="R44" s="9">
        <f t="shared" si="14"/>
        <v>1.4999999999999999E-4</v>
      </c>
      <c r="S44" s="9">
        <f t="shared" si="12"/>
        <v>8.1403114397776577E-7</v>
      </c>
      <c r="T44" s="9">
        <f t="shared" si="10"/>
        <v>2.9251135709231431E-5</v>
      </c>
      <c r="U44" s="9">
        <f t="shared" si="11"/>
        <v>1.4918596885602221E-4</v>
      </c>
      <c r="V44" s="102">
        <f t="shared" si="13"/>
        <v>0.19607162746961404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141</v>
      </c>
      <c r="C45" s="46" t="s">
        <v>142</v>
      </c>
      <c r="D45" s="91">
        <v>4.4687359999999998</v>
      </c>
      <c r="E45" s="91">
        <v>5.2666120000000003</v>
      </c>
      <c r="F45" s="98">
        <v>9.9999999999999995E-7</v>
      </c>
      <c r="G45" s="140"/>
      <c r="H45" s="140"/>
      <c r="I45" s="94">
        <f t="shared" si="1"/>
        <v>2.3272580136650043</v>
      </c>
      <c r="J45" s="94">
        <f t="shared" si="2"/>
        <v>3.0318323583249076</v>
      </c>
      <c r="K45" s="95">
        <f t="shared" si="3"/>
        <v>4.6511832685249997E-3</v>
      </c>
      <c r="L45" s="95">
        <f t="shared" si="4"/>
        <v>6.7079534368050487E-3</v>
      </c>
      <c r="M45" s="95">
        <f t="shared" si="5"/>
        <v>0.99329204656319492</v>
      </c>
      <c r="N45" s="95">
        <f t="shared" si="6"/>
        <v>5.7589019623231485E-3</v>
      </c>
      <c r="O45" s="40">
        <f t="shared" si="7"/>
        <v>4.681635719242039E-9</v>
      </c>
      <c r="P45" s="40">
        <f t="shared" si="8"/>
        <v>5.03767303104059E-6</v>
      </c>
      <c r="Q45" s="40">
        <f t="shared" si="9"/>
        <v>8.6498707474093653E-4</v>
      </c>
      <c r="R45" s="9">
        <f t="shared" si="14"/>
        <v>1.4999999999999999E-4</v>
      </c>
      <c r="S45" s="9">
        <f t="shared" si="12"/>
        <v>1.0061930155207573E-6</v>
      </c>
      <c r="T45" s="9">
        <f t="shared" si="10"/>
        <v>6.9767749027874985E-7</v>
      </c>
      <c r="U45" s="9">
        <f t="shared" si="11"/>
        <v>1.4899380698447923E-4</v>
      </c>
      <c r="V45" s="102">
        <f t="shared" si="13"/>
        <v>4.6825938903046309E-3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87</v>
      </c>
      <c r="C46" s="46" t="s">
        <v>88</v>
      </c>
      <c r="D46" s="93">
        <v>2.6972559999999999</v>
      </c>
      <c r="E46" s="93">
        <v>3.431432</v>
      </c>
      <c r="F46" s="98">
        <v>9.9999999999999995E-7</v>
      </c>
      <c r="G46" s="140"/>
      <c r="H46" s="140"/>
      <c r="I46" s="94">
        <f t="shared" si="1"/>
        <v>0.64458903464573347</v>
      </c>
      <c r="J46" s="94">
        <f t="shared" si="2"/>
        <v>1.2317717173887035</v>
      </c>
      <c r="K46" s="95">
        <f t="shared" si="3"/>
        <v>0.22434840475355092</v>
      </c>
      <c r="L46" s="95">
        <f t="shared" si="4"/>
        <v>5.1273023977436681E-3</v>
      </c>
      <c r="M46" s="95">
        <f t="shared" si="5"/>
        <v>0.99487269760225638</v>
      </c>
      <c r="N46" s="95">
        <f t="shared" si="6"/>
        <v>4.0599362938747614E-3</v>
      </c>
      <c r="O46" s="40">
        <f t="shared" si="7"/>
        <v>2.2581726941546102E-7</v>
      </c>
      <c r="P46" s="40">
        <f t="shared" si="8"/>
        <v>3.8506041007054938E-6</v>
      </c>
      <c r="Q46" s="40">
        <f t="shared" si="9"/>
        <v>6.0980243133998901E-4</v>
      </c>
      <c r="R46" s="9">
        <f t="shared" si="14"/>
        <v>1.4999999999999999E-4</v>
      </c>
      <c r="S46" s="9">
        <f t="shared" si="12"/>
        <v>7.6909535966155017E-7</v>
      </c>
      <c r="T46" s="9">
        <f t="shared" si="10"/>
        <v>3.3652260713032633E-5</v>
      </c>
      <c r="U46" s="9">
        <f t="shared" si="11"/>
        <v>1.4923090464033845E-4</v>
      </c>
      <c r="V46" s="102">
        <f t="shared" si="13"/>
        <v>0.22550463521036734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143</v>
      </c>
      <c r="C47" s="46" t="s">
        <v>144</v>
      </c>
      <c r="D47" s="91">
        <v>3.859360000000001</v>
      </c>
      <c r="E47" s="91">
        <v>4.2614199999999993</v>
      </c>
      <c r="F47" s="98">
        <v>9.9999999999999995E-7</v>
      </c>
      <c r="G47" s="140"/>
      <c r="H47" s="140"/>
      <c r="I47" s="94">
        <f t="shared" si="1"/>
        <v>1.6299602750984028</v>
      </c>
      <c r="J47" s="94">
        <f t="shared" si="2"/>
        <v>2.1121156644685484</v>
      </c>
      <c r="K47" s="95">
        <f t="shared" si="3"/>
        <v>2.3228991087771638E-2</v>
      </c>
      <c r="L47" s="95">
        <f t="shared" si="4"/>
        <v>4.0303265976279513E-3</v>
      </c>
      <c r="M47" s="95">
        <f t="shared" si="5"/>
        <v>0.99596967340237208</v>
      </c>
      <c r="N47" s="95">
        <f t="shared" si="6"/>
        <v>2.8419378783932944E-3</v>
      </c>
      <c r="O47" s="40">
        <f t="shared" si="7"/>
        <v>2.338107705503374E-8</v>
      </c>
      <c r="P47" s="40">
        <f t="shared" si="8"/>
        <v>3.0267752748185937E-6</v>
      </c>
      <c r="Q47" s="40">
        <f t="shared" si="9"/>
        <v>4.2685906933467263E-4</v>
      </c>
      <c r="R47" s="9">
        <f t="shared" si="14"/>
        <v>1.4999999999999999E-4</v>
      </c>
      <c r="S47" s="9">
        <f t="shared" si="12"/>
        <v>6.0454898964419263E-7</v>
      </c>
      <c r="T47" s="9">
        <f t="shared" si="10"/>
        <v>3.4843486631657456E-6</v>
      </c>
      <c r="U47" s="9">
        <f t="shared" si="11"/>
        <v>1.493954510103558E-4</v>
      </c>
      <c r="V47" s="102">
        <f t="shared" si="13"/>
        <v>2.3322990356140209E-2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145</v>
      </c>
      <c r="C48" s="46" t="s">
        <v>146</v>
      </c>
      <c r="D48" s="91">
        <v>2.0184960000000003</v>
      </c>
      <c r="E48" s="91">
        <v>2.3512620000000002</v>
      </c>
      <c r="F48" s="98">
        <v>9.9999999999999995E-7</v>
      </c>
      <c r="G48" s="140"/>
      <c r="H48" s="140"/>
      <c r="I48" s="94">
        <f t="shared" ref="I48:I50" si="15">IF(D48=0,"",LOG($K$15*10^D48+$K$16*10^E48+$K$14))</f>
        <v>0.19893820408979257</v>
      </c>
      <c r="J48" s="94">
        <f t="shared" ref="J48:J50" si="16">IF(D48=0,"",LOG($K$21*10^D48+$K$22*10^E48+$K$20))</f>
        <v>0.42305595357710185</v>
      </c>
      <c r="K48" s="95">
        <f t="shared" ref="K48:K50" si="17">IF(D48=0,"",1/(1+10^D48*$J$15/$J$14+10^E48*$J$16/$J$14+10^J48*$J$19/$J$14))</f>
        <v>0.62782301388194084</v>
      </c>
      <c r="L48" s="95">
        <f t="shared" ref="L48:L50" si="18">IF(D48=0,"",1/(1+10^I48/10^J48*$J$13/$J$19))</f>
        <v>2.2288837288203835E-3</v>
      </c>
      <c r="M48" s="95">
        <f t="shared" ref="M48:M92" si="19">IF(D48=0,"",1-L48)</f>
        <v>0.99777111627117965</v>
      </c>
      <c r="N48" s="95">
        <f t="shared" ref="N48:N50" si="20">IF(D48=0,"",1/(1/10^E48*$J$20/$J$22+10^D48/10^E48*$J$21/$J$22+10^I48/10^E48*$J$13/$J$22+1))</f>
        <v>9.4463376419289631E-4</v>
      </c>
      <c r="O48" s="40">
        <f t="shared" ref="O48:O92" si="21">IF(D48=0,"",F48*K48*$J$7/$J$14)</f>
        <v>6.3193352690314168E-7</v>
      </c>
      <c r="P48" s="40">
        <f t="shared" ref="P48:P50" si="22">IF(D48=0,"",O48*10^J48)</f>
        <v>1.6738916803441078E-6</v>
      </c>
      <c r="Q48" s="40">
        <f t="shared" ref="Q48:Q50" si="23">IF(D48=0,"",F48*N48*$J$7/$J$22)</f>
        <v>1.4188399138177299E-4</v>
      </c>
      <c r="R48" s="9">
        <f t="shared" si="14"/>
        <v>1.4999999999999999E-4</v>
      </c>
      <c r="S48" s="9">
        <f t="shared" si="12"/>
        <v>3.3433255932305749E-7</v>
      </c>
      <c r="T48" s="9">
        <f t="shared" si="10"/>
        <v>9.4173452082291112E-5</v>
      </c>
      <c r="U48" s="9">
        <f t="shared" si="11"/>
        <v>1.4966566744067694E-4</v>
      </c>
      <c r="V48" s="102">
        <f t="shared" si="13"/>
        <v>0.62922548432571357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147</v>
      </c>
      <c r="C49" s="46" t="s">
        <v>148</v>
      </c>
      <c r="D49" s="91">
        <v>1.4665360000000003</v>
      </c>
      <c r="E49" s="91">
        <v>1.8522119999999997</v>
      </c>
      <c r="F49" s="98">
        <v>9.9999999999999995E-7</v>
      </c>
      <c r="G49" s="140"/>
      <c r="H49" s="140"/>
      <c r="I49" s="94">
        <f t="shared" si="15"/>
        <v>6.5352597387686409E-2</v>
      </c>
      <c r="J49" s="94">
        <f t="shared" si="16"/>
        <v>0.17496858668585646</v>
      </c>
      <c r="K49" s="95">
        <f t="shared" si="17"/>
        <v>0.85437244987248917</v>
      </c>
      <c r="L49" s="95">
        <f t="shared" si="18"/>
        <v>1.7132078320035821E-3</v>
      </c>
      <c r="M49" s="95">
        <f t="shared" si="19"/>
        <v>0.99828679216799643</v>
      </c>
      <c r="N49" s="95">
        <f t="shared" si="20"/>
        <v>4.0740229276145761E-4</v>
      </c>
      <c r="O49" s="40">
        <f t="shared" si="21"/>
        <v>8.5996623825313691E-7</v>
      </c>
      <c r="P49" s="40">
        <f t="shared" si="22"/>
        <v>1.2866190818346899E-6</v>
      </c>
      <c r="Q49" s="40">
        <f t="shared" si="23"/>
        <v>6.1191824372770924E-5</v>
      </c>
      <c r="R49" s="9">
        <f t="shared" si="14"/>
        <v>1.4999999999999999E-4</v>
      </c>
      <c r="S49" s="9">
        <f t="shared" si="12"/>
        <v>2.5698117480053728E-7</v>
      </c>
      <c r="T49" s="9">
        <f t="shared" si="10"/>
        <v>1.2815586748087337E-4</v>
      </c>
      <c r="U49" s="9">
        <f t="shared" si="11"/>
        <v>1.4974301882519946E-4</v>
      </c>
      <c r="V49" s="102">
        <f t="shared" si="13"/>
        <v>0.85583867940097047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149</v>
      </c>
      <c r="C50" s="46" t="s">
        <v>150</v>
      </c>
      <c r="D50" s="91"/>
      <c r="E50" s="91"/>
      <c r="F50" s="92"/>
      <c r="G50" s="140"/>
      <c r="H50" s="14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151</v>
      </c>
      <c r="C51" s="46" t="s">
        <v>152</v>
      </c>
      <c r="D51" s="91"/>
      <c r="E51" s="91"/>
      <c r="F51" s="92"/>
      <c r="G51" s="140"/>
      <c r="H51" s="14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153</v>
      </c>
      <c r="C52" s="46" t="s">
        <v>154</v>
      </c>
      <c r="D52" s="47"/>
      <c r="E52" s="47"/>
      <c r="F52" s="92"/>
      <c r="G52" s="140"/>
      <c r="H52" s="14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155</v>
      </c>
      <c r="C53" s="46" t="s">
        <v>156</v>
      </c>
      <c r="D53" s="47"/>
      <c r="E53" s="47"/>
      <c r="F53" s="92"/>
      <c r="G53" s="140"/>
      <c r="H53" s="14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157</v>
      </c>
      <c r="C54" s="46" t="s">
        <v>158</v>
      </c>
      <c r="D54" s="47"/>
      <c r="E54" s="47"/>
      <c r="F54" s="92"/>
      <c r="G54" s="140"/>
      <c r="H54" s="14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159</v>
      </c>
      <c r="C55" s="46" t="s">
        <v>160</v>
      </c>
      <c r="D55" s="47"/>
      <c r="E55" s="47"/>
      <c r="F55" s="57"/>
      <c r="G55" s="140"/>
      <c r="H55" s="14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161</v>
      </c>
      <c r="C56" s="46" t="s">
        <v>162</v>
      </c>
      <c r="D56" s="47"/>
      <c r="E56" s="47"/>
      <c r="F56" s="57"/>
      <c r="G56" s="140"/>
      <c r="H56" s="14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89</v>
      </c>
      <c r="C57" s="88" t="s">
        <v>90</v>
      </c>
      <c r="D57" s="91">
        <v>6.5247999999999973E-2</v>
      </c>
      <c r="E57" s="91">
        <v>8.2216000000000289E-2</v>
      </c>
      <c r="F57" s="98">
        <v>9.9999999999999995E-7</v>
      </c>
      <c r="G57" s="140"/>
      <c r="H57" s="140"/>
      <c r="I57" s="54">
        <f t="shared" si="24"/>
        <v>3.7217650281818146E-4</v>
      </c>
      <c r="J57" s="54">
        <f t="shared" si="25"/>
        <v>8.1368247852758456E-4</v>
      </c>
      <c r="K57" s="55">
        <f t="shared" si="26"/>
        <v>0.9926429660778664</v>
      </c>
      <c r="L57" s="55">
        <f t="shared" si="27"/>
        <v>1.3329104743857105E-3</v>
      </c>
      <c r="M57" s="55">
        <f t="shared" si="28"/>
        <v>0.99866708952561434</v>
      </c>
      <c r="N57" s="55">
        <f t="shared" si="29"/>
        <v>8.0384682850734837E-6</v>
      </c>
      <c r="O57" s="56">
        <f t="shared" si="30"/>
        <v>9.9914204583003622E-7</v>
      </c>
      <c r="P57" s="56">
        <f t="shared" si="31"/>
        <v>1.0010157662636683E-6</v>
      </c>
      <c r="Q57" s="56">
        <f t="shared" si="32"/>
        <v>1.2073779364180369E-6</v>
      </c>
      <c r="R57" s="9">
        <f t="shared" ref="R57:R58" si="33">F57*$C$14</f>
        <v>1.4999999999999999E-4</v>
      </c>
      <c r="S57" s="9">
        <f t="shared" ref="S57:S58" si="34">$R57*L57</f>
        <v>1.9993657115785656E-7</v>
      </c>
      <c r="T57" s="9">
        <f t="shared" ref="T57:T58" si="35">R57*K57</f>
        <v>1.4889644491167996E-4</v>
      </c>
      <c r="U57" s="9">
        <f t="shared" ref="U57:U58" si="36">$R57*M57</f>
        <v>1.4980006342884213E-4</v>
      </c>
      <c r="V57" s="102">
        <f t="shared" ref="V57:V58" si="37">K57/M57</f>
        <v>0.99396783621796381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163</v>
      </c>
      <c r="C58" s="46" t="s">
        <v>164</v>
      </c>
      <c r="D58" s="47">
        <v>2.1823520000000003</v>
      </c>
      <c r="E58" s="47">
        <v>2.5882690000000008</v>
      </c>
      <c r="F58" s="98">
        <v>9.9999999999999995E-7</v>
      </c>
      <c r="G58" s="140"/>
      <c r="H58" s="140"/>
      <c r="I58" s="54">
        <f t="shared" si="24"/>
        <v>0.27242732253974722</v>
      </c>
      <c r="J58" s="54">
        <f t="shared" si="25"/>
        <v>0.56932041838992553</v>
      </c>
      <c r="K58" s="55">
        <f t="shared" si="26"/>
        <v>0.52987271696461657</v>
      </c>
      <c r="L58" s="55">
        <f t="shared" si="27"/>
        <v>2.6344272231244399E-3</v>
      </c>
      <c r="M58" s="55">
        <f t="shared" si="28"/>
        <v>0.99736557277687554</v>
      </c>
      <c r="N58" s="55">
        <f t="shared" si="29"/>
        <v>1.3759567766851012E-3</v>
      </c>
      <c r="O58" s="56">
        <f t="shared" si="30"/>
        <v>5.333419250925487E-7</v>
      </c>
      <c r="P58" s="56">
        <f t="shared" si="31"/>
        <v>1.978454844566454E-6</v>
      </c>
      <c r="Q58" s="56">
        <f t="shared" si="32"/>
        <v>2.0666870785810215E-4</v>
      </c>
      <c r="R58" s="9">
        <f t="shared" si="33"/>
        <v>1.4999999999999999E-4</v>
      </c>
      <c r="S58" s="9">
        <f t="shared" si="34"/>
        <v>3.9516408346866596E-7</v>
      </c>
      <c r="T58" s="9">
        <f t="shared" si="35"/>
        <v>7.9480907544692478E-5</v>
      </c>
      <c r="U58" s="9">
        <f t="shared" si="36"/>
        <v>1.4960483591653132E-4</v>
      </c>
      <c r="V58" s="102">
        <f t="shared" si="37"/>
        <v>0.53127231521471052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165</v>
      </c>
      <c r="C59" s="46" t="s">
        <v>166</v>
      </c>
      <c r="D59" s="47"/>
      <c r="E59" s="47"/>
      <c r="F59" s="57"/>
      <c r="G59" s="140"/>
      <c r="H59" s="14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91</v>
      </c>
      <c r="C60" s="46" t="s">
        <v>92</v>
      </c>
      <c r="D60" s="47">
        <v>2.3628240000000003</v>
      </c>
      <c r="E60" s="47">
        <v>2.5674030000000005</v>
      </c>
      <c r="F60" s="98">
        <v>9.9999999999999995E-7</v>
      </c>
      <c r="G60" s="140"/>
      <c r="H60" s="140"/>
      <c r="I60" s="54">
        <f t="shared" si="24"/>
        <v>0.35062624883359406</v>
      </c>
      <c r="J60" s="54">
        <f t="shared" si="25"/>
        <v>0.60440409790510718</v>
      </c>
      <c r="K60" s="55">
        <f t="shared" si="26"/>
        <v>0.44267069601204595</v>
      </c>
      <c r="L60" s="55">
        <f t="shared" si="27"/>
        <v>2.3860475826824276E-3</v>
      </c>
      <c r="M60" s="55">
        <f t="shared" si="28"/>
        <v>0.99761395241731754</v>
      </c>
      <c r="N60" s="55">
        <f t="shared" si="29"/>
        <v>1.0955898662925432E-3</v>
      </c>
      <c r="O60" s="56">
        <f t="shared" si="30"/>
        <v>4.4556897087586553E-7</v>
      </c>
      <c r="P60" s="56">
        <f t="shared" si="31"/>
        <v>1.791921734594503E-6</v>
      </c>
      <c r="Q60" s="56">
        <f t="shared" si="32"/>
        <v>1.6455759791713992E-4</v>
      </c>
      <c r="R60" s="9">
        <f t="shared" ref="R60:R65" si="38">F60*$C$14</f>
        <v>1.4999999999999999E-4</v>
      </c>
      <c r="S60" s="9">
        <f t="shared" ref="S60:S93" si="39">$R60*L60</f>
        <v>3.579071374023641E-7</v>
      </c>
      <c r="T60" s="9">
        <f t="shared" ref="T60:T93" si="40">R60*K60</f>
        <v>6.6400604401806884E-5</v>
      </c>
      <c r="U60" s="9">
        <f t="shared" ref="U60:U93" si="41">$R60*M60</f>
        <v>1.4964209286259762E-4</v>
      </c>
      <c r="V60" s="102">
        <f t="shared" ref="V60:V93" si="42">K60/M60</f>
        <v>0.44372945560696192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93</v>
      </c>
      <c r="C61" s="46" t="s">
        <v>94</v>
      </c>
      <c r="D61" s="47">
        <v>3.2672240000000001</v>
      </c>
      <c r="E61" s="47">
        <v>3.6253630000000006</v>
      </c>
      <c r="F61" s="98">
        <v>9.9999999999999995E-7</v>
      </c>
      <c r="G61" s="140"/>
      <c r="H61" s="140"/>
      <c r="I61" s="54">
        <f t="shared" si="24"/>
        <v>1.0599296125914559</v>
      </c>
      <c r="J61" s="54">
        <f t="shared" si="25"/>
        <v>1.499720898757618</v>
      </c>
      <c r="K61" s="55">
        <f t="shared" si="26"/>
        <v>8.6342320854001009E-2</v>
      </c>
      <c r="L61" s="55">
        <f t="shared" si="27"/>
        <v>3.6571169246207577E-3</v>
      </c>
      <c r="M61" s="55">
        <f t="shared" si="28"/>
        <v>0.99634288307537922</v>
      </c>
      <c r="N61" s="55">
        <f t="shared" si="29"/>
        <v>2.4420297549885219E-3</v>
      </c>
      <c r="O61" s="56">
        <f t="shared" si="30"/>
        <v>8.6907625448295155E-8</v>
      </c>
      <c r="P61" s="56">
        <f t="shared" si="31"/>
        <v>2.746494810390189E-6</v>
      </c>
      <c r="Q61" s="56">
        <f t="shared" si="32"/>
        <v>3.6679286919927582E-4</v>
      </c>
      <c r="R61" s="9">
        <f t="shared" si="38"/>
        <v>1.4999999999999999E-4</v>
      </c>
      <c r="S61" s="9">
        <f t="shared" si="39"/>
        <v>5.4856753869311362E-7</v>
      </c>
      <c r="T61" s="9">
        <f t="shared" si="40"/>
        <v>1.2951348128100151E-5</v>
      </c>
      <c r="U61" s="9">
        <f t="shared" si="41"/>
        <v>1.4945143246130688E-4</v>
      </c>
      <c r="V61" s="102">
        <f t="shared" si="42"/>
        <v>8.6659243841327963E-2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167</v>
      </c>
      <c r="C62" s="46" t="s">
        <v>111</v>
      </c>
      <c r="D62" s="47">
        <v>2.9091840000000002</v>
      </c>
      <c r="E62" s="47">
        <v>3.4102429999999995</v>
      </c>
      <c r="F62" s="98">
        <v>9.9999999999999995E-7</v>
      </c>
      <c r="G62" s="140"/>
      <c r="H62" s="140"/>
      <c r="I62" s="54">
        <f t="shared" si="24"/>
        <v>0.76837016932652724</v>
      </c>
      <c r="J62" s="54">
        <f t="shared" si="25"/>
        <v>1.2557340163142241</v>
      </c>
      <c r="K62" s="55">
        <f t="shared" si="26"/>
        <v>0.16888821105959026</v>
      </c>
      <c r="L62" s="55">
        <f t="shared" si="27"/>
        <v>4.0787546376204126E-3</v>
      </c>
      <c r="M62" s="55">
        <f t="shared" si="28"/>
        <v>0.99592124536237958</v>
      </c>
      <c r="N62" s="55">
        <f t="shared" si="29"/>
        <v>2.910761142425773E-3</v>
      </c>
      <c r="O62" s="56">
        <f t="shared" si="30"/>
        <v>1.6999396407491105E-7</v>
      </c>
      <c r="P62" s="56">
        <f t="shared" si="31"/>
        <v>3.0631447328529313E-6</v>
      </c>
      <c r="Q62" s="56">
        <f t="shared" si="32"/>
        <v>4.3719632359235099E-4</v>
      </c>
      <c r="R62" s="9">
        <f t="shared" si="38"/>
        <v>1.4999999999999999E-4</v>
      </c>
      <c r="S62" s="9">
        <f t="shared" si="39"/>
        <v>6.1181319564306182E-7</v>
      </c>
      <c r="T62" s="9">
        <f t="shared" si="40"/>
        <v>2.5333231658938536E-5</v>
      </c>
      <c r="U62" s="9">
        <f t="shared" si="41"/>
        <v>1.4938818680435692E-4</v>
      </c>
      <c r="V62" s="102">
        <f t="shared" si="42"/>
        <v>0.16957988580526562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95</v>
      </c>
      <c r="C63" s="46" t="s">
        <v>96</v>
      </c>
      <c r="D63" s="47">
        <v>2.857424</v>
      </c>
      <c r="E63" s="47">
        <v>3.3289280000000003</v>
      </c>
      <c r="F63" s="98">
        <v>9.9999999999999995E-7</v>
      </c>
      <c r="G63" s="140"/>
      <c r="H63" s="140"/>
      <c r="I63" s="54">
        <f t="shared" si="24"/>
        <v>0.7211484450377651</v>
      </c>
      <c r="J63" s="54">
        <f t="shared" si="25"/>
        <v>1.1862468902307319</v>
      </c>
      <c r="K63" s="55">
        <f t="shared" si="26"/>
        <v>0.18832570210761129</v>
      </c>
      <c r="L63" s="55">
        <f t="shared" si="27"/>
        <v>3.8757050091880762E-3</v>
      </c>
      <c r="M63" s="55">
        <f t="shared" si="28"/>
        <v>0.9961242949908119</v>
      </c>
      <c r="N63" s="55">
        <f t="shared" si="29"/>
        <v>2.6915461352336818E-3</v>
      </c>
      <c r="O63" s="56">
        <f t="shared" si="30"/>
        <v>1.8955871719884476E-7</v>
      </c>
      <c r="P63" s="56">
        <f t="shared" si="31"/>
        <v>2.9106544619002455E-6</v>
      </c>
      <c r="Q63" s="56">
        <f t="shared" si="32"/>
        <v>4.0427022951209886E-4</v>
      </c>
      <c r="R63" s="9">
        <f t="shared" si="38"/>
        <v>1.4999999999999999E-4</v>
      </c>
      <c r="S63" s="9">
        <f t="shared" si="39"/>
        <v>5.8135575137821139E-7</v>
      </c>
      <c r="T63" s="9">
        <f t="shared" si="40"/>
        <v>2.8248855316141692E-5</v>
      </c>
      <c r="U63" s="9">
        <f t="shared" si="41"/>
        <v>1.4941864424862177E-4</v>
      </c>
      <c r="V63" s="102">
        <f t="shared" si="42"/>
        <v>0.18905843683829474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97</v>
      </c>
      <c r="C64" s="46" t="s">
        <v>98</v>
      </c>
      <c r="D64" s="47">
        <v>2.0783680000000002</v>
      </c>
      <c r="E64" s="47">
        <v>2.5770209999999998</v>
      </c>
      <c r="F64" s="98">
        <v>9.9999999999999995E-7</v>
      </c>
      <c r="G64" s="140"/>
      <c r="H64" s="140"/>
      <c r="I64" s="54">
        <f t="shared" si="24"/>
        <v>0.2338148544799136</v>
      </c>
      <c r="J64" s="54">
        <f t="shared" si="25"/>
        <v>0.54325556656441565</v>
      </c>
      <c r="K64" s="55">
        <f t="shared" si="26"/>
        <v>0.57909589951598583</v>
      </c>
      <c r="L64" s="55">
        <f t="shared" si="27"/>
        <v>2.7114417889457245E-3</v>
      </c>
      <c r="M64" s="55">
        <f t="shared" si="28"/>
        <v>0.99728855821105422</v>
      </c>
      <c r="N64" s="55">
        <f t="shared" si="29"/>
        <v>1.4653309508666943E-3</v>
      </c>
      <c r="O64" s="56">
        <f t="shared" si="30"/>
        <v>5.8288738403128923E-7</v>
      </c>
      <c r="P64" s="56">
        <f t="shared" si="31"/>
        <v>2.0362927834982392E-6</v>
      </c>
      <c r="Q64" s="56">
        <f t="shared" si="32"/>
        <v>2.200927088201774E-4</v>
      </c>
      <c r="R64" s="9">
        <f t="shared" si="38"/>
        <v>1.4999999999999999E-4</v>
      </c>
      <c r="S64" s="9">
        <f t="shared" si="39"/>
        <v>4.0671626834185863E-7</v>
      </c>
      <c r="T64" s="9">
        <f t="shared" si="40"/>
        <v>8.6864384927397872E-5</v>
      </c>
      <c r="U64" s="9">
        <f t="shared" si="41"/>
        <v>1.4959328373165813E-4</v>
      </c>
      <c r="V64" s="102">
        <f t="shared" si="42"/>
        <v>0.58067035337773609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168</v>
      </c>
      <c r="C65" s="46" t="s">
        <v>169</v>
      </c>
      <c r="D65" s="47">
        <v>3.4409280000000009</v>
      </c>
      <c r="E65" s="47">
        <v>4.1160660000000009</v>
      </c>
      <c r="F65" s="98">
        <v>9.9999999999999995E-7</v>
      </c>
      <c r="G65" s="140"/>
      <c r="H65" s="140"/>
      <c r="I65" s="54">
        <f t="shared" si="24"/>
        <v>1.2834731216469764</v>
      </c>
      <c r="J65" s="54">
        <f t="shared" si="25"/>
        <v>1.9057707829015962</v>
      </c>
      <c r="K65" s="55">
        <f t="shared" si="26"/>
        <v>5.1505239994258843E-2</v>
      </c>
      <c r="L65" s="55">
        <f t="shared" si="27"/>
        <v>5.5566933021360607E-3</v>
      </c>
      <c r="M65" s="55">
        <f t="shared" si="28"/>
        <v>0.99444330669786396</v>
      </c>
      <c r="N65" s="55">
        <f t="shared" si="29"/>
        <v>4.5090146701850025E-3</v>
      </c>
      <c r="O65" s="56">
        <f t="shared" si="30"/>
        <v>5.1842457577837703E-8</v>
      </c>
      <c r="P65" s="56">
        <f t="shared" si="31"/>
        <v>4.173076669904183E-6</v>
      </c>
      <c r="Q65" s="56">
        <f t="shared" si="32"/>
        <v>6.7725400346178714E-4</v>
      </c>
      <c r="R65" s="9">
        <f t="shared" si="38"/>
        <v>1.4999999999999999E-4</v>
      </c>
      <c r="S65" s="9">
        <f t="shared" si="39"/>
        <v>8.3350399532040898E-7</v>
      </c>
      <c r="T65" s="9">
        <f t="shared" si="40"/>
        <v>7.7257859991388265E-6</v>
      </c>
      <c r="U65" s="9">
        <f t="shared" si="41"/>
        <v>1.4916649600467958E-4</v>
      </c>
      <c r="V65" s="102">
        <f t="shared" si="42"/>
        <v>5.1793038021731477E-2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170</v>
      </c>
      <c r="C66" s="46" t="s">
        <v>171</v>
      </c>
      <c r="D66" s="47"/>
      <c r="E66" s="47"/>
      <c r="F66" s="57"/>
      <c r="G66" s="140"/>
      <c r="H66" s="14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172</v>
      </c>
      <c r="C67" s="46" t="s">
        <v>173</v>
      </c>
      <c r="D67" s="47"/>
      <c r="E67" s="47"/>
      <c r="F67" s="57"/>
      <c r="G67" s="140"/>
      <c r="H67" s="14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99</v>
      </c>
      <c r="C68" s="46" t="s">
        <v>100</v>
      </c>
      <c r="D68" s="47">
        <v>2.3414159999999997</v>
      </c>
      <c r="E68" s="47">
        <v>2.4767320000000002</v>
      </c>
      <c r="F68" s="98">
        <v>9.9999999999999995E-7</v>
      </c>
      <c r="G68" s="140"/>
      <c r="H68" s="140"/>
      <c r="I68" s="54">
        <f t="shared" si="24"/>
        <v>0.33491051106253611</v>
      </c>
      <c r="J68" s="54">
        <f t="shared" si="25"/>
        <v>0.55831225094540526</v>
      </c>
      <c r="K68" s="55">
        <f t="shared" si="26"/>
        <v>0.45905689944200406</v>
      </c>
      <c r="L68" s="55">
        <f t="shared" si="27"/>
        <v>2.2252202261105756E-3</v>
      </c>
      <c r="M68" s="55">
        <f t="shared" si="28"/>
        <v>0.9977747797738894</v>
      </c>
      <c r="N68" s="55">
        <f t="shared" si="29"/>
        <v>9.2206757945550598E-4</v>
      </c>
      <c r="O68" s="56">
        <f t="shared" si="30"/>
        <v>4.6206245884474238E-7</v>
      </c>
      <c r="P68" s="56">
        <f t="shared" si="31"/>
        <v>1.6711403898090417E-6</v>
      </c>
      <c r="Q68" s="56">
        <f t="shared" si="32"/>
        <v>1.3849455043421697E-4</v>
      </c>
      <c r="R68" s="9">
        <f>F68*$C$14</f>
        <v>1.4999999999999999E-4</v>
      </c>
      <c r="S68" s="9">
        <f t="shared" si="39"/>
        <v>3.3378303391658632E-7</v>
      </c>
      <c r="T68" s="9">
        <f t="shared" si="40"/>
        <v>6.8858534916300609E-5</v>
      </c>
      <c r="U68" s="9">
        <f t="shared" si="41"/>
        <v>1.4966621696608341E-4</v>
      </c>
      <c r="V68" s="102">
        <f t="shared" si="42"/>
        <v>0.46008068027740007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174</v>
      </c>
      <c r="C69" s="46" t="s">
        <v>175</v>
      </c>
      <c r="D69" s="47">
        <v>4.3302640000000006</v>
      </c>
      <c r="E69" s="47">
        <v>5.074033</v>
      </c>
      <c r="F69" s="98">
        <v>9.9999999999999995E-7</v>
      </c>
      <c r="G69" s="140"/>
      <c r="H69" s="140"/>
      <c r="I69" s="54">
        <f t="shared" si="24"/>
        <v>2.1724337273682748</v>
      </c>
      <c r="J69" s="54">
        <f t="shared" si="25"/>
        <v>2.847496995843116</v>
      </c>
      <c r="K69" s="55">
        <f t="shared" si="26"/>
        <v>6.6462881091031208E-3</v>
      </c>
      <c r="L69" s="55">
        <f t="shared" si="27"/>
        <v>6.270041107856384E-3</v>
      </c>
      <c r="M69" s="55">
        <f t="shared" si="28"/>
        <v>0.99372995889214366</v>
      </c>
      <c r="N69" s="55">
        <f t="shared" si="29"/>
        <v>5.2817324347255515E-3</v>
      </c>
      <c r="O69" s="56">
        <f t="shared" si="30"/>
        <v>6.689803006153801E-9</v>
      </c>
      <c r="P69" s="56">
        <f t="shared" si="31"/>
        <v>4.7088008720001477E-6</v>
      </c>
      <c r="Q69" s="56">
        <f t="shared" si="32"/>
        <v>7.9331621169577763E-4</v>
      </c>
      <c r="R69" s="9">
        <f>F69*$C$14</f>
        <v>1.4999999999999999E-4</v>
      </c>
      <c r="S69" s="9">
        <f t="shared" si="39"/>
        <v>9.4050616617845752E-7</v>
      </c>
      <c r="T69" s="9">
        <f t="shared" si="40"/>
        <v>9.9694321636546803E-7</v>
      </c>
      <c r="U69" s="9">
        <f t="shared" si="41"/>
        <v>1.4905949383382154E-4</v>
      </c>
      <c r="V69" s="102">
        <f t="shared" si="42"/>
        <v>6.6882235456730233E-3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176</v>
      </c>
      <c r="C70" s="46" t="s">
        <v>177</v>
      </c>
      <c r="D70" s="47">
        <v>1.4854320000000003</v>
      </c>
      <c r="E70" s="47">
        <v>1.5057189999999996</v>
      </c>
      <c r="F70" s="98">
        <v>9.9999999999999995E-7</v>
      </c>
      <c r="G70" s="140"/>
      <c r="H70" s="140"/>
      <c r="I70" s="54">
        <f t="shared" si="24"/>
        <v>6.2122287627494992E-2</v>
      </c>
      <c r="J70" s="54">
        <f t="shared" si="25"/>
        <v>0.11635831463150176</v>
      </c>
      <c r="K70" s="55">
        <f t="shared" si="26"/>
        <v>0.86092760190313611</v>
      </c>
      <c r="L70" s="55">
        <f t="shared" si="27"/>
        <v>1.5084092093057197E-3</v>
      </c>
      <c r="M70" s="55">
        <f t="shared" si="28"/>
        <v>0.99849159079069427</v>
      </c>
      <c r="N70" s="55">
        <f t="shared" si="29"/>
        <v>1.8486294396508128E-4</v>
      </c>
      <c r="O70" s="56">
        <f t="shared" si="30"/>
        <v>8.6656430849031996E-7</v>
      </c>
      <c r="P70" s="56">
        <f t="shared" si="31"/>
        <v>1.1328153161885953E-6</v>
      </c>
      <c r="Q70" s="56">
        <f t="shared" si="32"/>
        <v>2.7766414183555201E-5</v>
      </c>
      <c r="R70" s="9">
        <f t="shared" ref="R70:R86" si="43">F70*$C$14</f>
        <v>1.4999999999999999E-4</v>
      </c>
      <c r="S70" s="9">
        <f t="shared" si="39"/>
        <v>2.2626138139585793E-7</v>
      </c>
      <c r="T70" s="9">
        <f t="shared" si="40"/>
        <v>1.291391402854704E-4</v>
      </c>
      <c r="U70" s="9">
        <f t="shared" si="41"/>
        <v>1.4977373861860412E-4</v>
      </c>
      <c r="V70" s="102">
        <f t="shared" si="42"/>
        <v>0.86222819485277513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178</v>
      </c>
      <c r="C71" s="46" t="s">
        <v>179</v>
      </c>
      <c r="D71" s="47">
        <v>2.0758240000000003</v>
      </c>
      <c r="E71" s="47">
        <v>2.477398</v>
      </c>
      <c r="F71" s="98">
        <v>9.9999999999999995E-7</v>
      </c>
      <c r="G71" s="140"/>
      <c r="H71" s="140"/>
      <c r="I71" s="54">
        <f t="shared" ref="I71:I122" si="44">IF(D71=0,"",LOG($K$15*10^D71+$K$16*10^E71+$K$14))</f>
        <v>0.22542744412672311</v>
      </c>
      <c r="J71" s="54">
        <f t="shared" ref="J71:J122" si="45">IF(D71=0,"",LOG($K$21*10^D71+$K$22*10^E71+$K$20))</f>
        <v>0.49176308419639264</v>
      </c>
      <c r="K71" s="55">
        <f t="shared" ref="K71:K122" si="46">IF(D71=0,"",1/(1+10^D71*$J$15/$J$14+10^E71*$J$16/$J$14+10^J71*$J$19/$J$14))</f>
        <v>0.59053980771805126</v>
      </c>
      <c r="L71" s="55">
        <f t="shared" ref="L71:L122" si="47">IF(D71=0,"",1/(1+10^I71/10^J71*$J$13/$J$19))</f>
        <v>2.4558763184511691E-3</v>
      </c>
      <c r="M71" s="55">
        <f t="shared" si="19"/>
        <v>0.99754412368154888</v>
      </c>
      <c r="N71" s="55">
        <f t="shared" ref="N71:N122" si="48">IF(D71=0,"",1/(1/10^E71*$J$20/$J$22+10^D71/10^E71*$J$21/$J$22+10^I71/10^E71*$J$13/$J$22+1))</f>
        <v>1.1879862428607493E-3</v>
      </c>
      <c r="O71" s="56">
        <f t="shared" si="21"/>
        <v>5.9440621833933959E-7</v>
      </c>
      <c r="P71" s="56">
        <f t="shared" ref="P71:P122" si="49">IF(D71=0,"",O71*10^J71)</f>
        <v>1.8443631151568273E-6</v>
      </c>
      <c r="Q71" s="56">
        <f t="shared" ref="Q71:Q122" si="50">IF(D71=0,"",F71*N71*$J$7/$J$22)</f>
        <v>1.7843553367768449E-4</v>
      </c>
      <c r="R71" s="9">
        <f t="shared" si="43"/>
        <v>1.4999999999999999E-4</v>
      </c>
      <c r="S71" s="9">
        <f t="shared" si="39"/>
        <v>3.6838144776767536E-7</v>
      </c>
      <c r="T71" s="9">
        <f t="shared" si="40"/>
        <v>8.8580971157707687E-5</v>
      </c>
      <c r="U71" s="9">
        <f t="shared" si="41"/>
        <v>1.4963161855223231E-4</v>
      </c>
      <c r="V71" s="102">
        <f t="shared" si="42"/>
        <v>0.59199367095522315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180</v>
      </c>
      <c r="C72" s="46" t="s">
        <v>181</v>
      </c>
      <c r="D72" s="47">
        <v>2.3078000000000003</v>
      </c>
      <c r="E72" s="47">
        <v>2.5099249999999995</v>
      </c>
      <c r="F72" s="98">
        <v>9.9999999999999995E-7</v>
      </c>
      <c r="G72" s="140"/>
      <c r="H72" s="140"/>
      <c r="I72" s="54">
        <f t="shared" si="44"/>
        <v>0.32073739190116707</v>
      </c>
      <c r="J72" s="54">
        <f t="shared" si="45"/>
        <v>0.56249502482927194</v>
      </c>
      <c r="K72" s="55">
        <f t="shared" si="46"/>
        <v>0.47423971265666698</v>
      </c>
      <c r="L72" s="55">
        <f t="shared" si="47"/>
        <v>2.3210643035194156E-3</v>
      </c>
      <c r="M72" s="55">
        <f t="shared" si="19"/>
        <v>0.99767893569648058</v>
      </c>
      <c r="N72" s="55">
        <f t="shared" si="48"/>
        <v>1.0282226158074199E-3</v>
      </c>
      <c r="O72" s="56">
        <f t="shared" si="21"/>
        <v>4.7734467770404938E-7</v>
      </c>
      <c r="P72" s="56">
        <f t="shared" si="49"/>
        <v>1.7431192919430813E-6</v>
      </c>
      <c r="Q72" s="56">
        <f t="shared" si="50"/>
        <v>1.5443903689427442E-4</v>
      </c>
      <c r="R72" s="9">
        <f t="shared" si="43"/>
        <v>1.4999999999999999E-4</v>
      </c>
      <c r="S72" s="9">
        <f t="shared" si="39"/>
        <v>3.4815964552791233E-7</v>
      </c>
      <c r="T72" s="9">
        <f t="shared" si="40"/>
        <v>7.1135956898500042E-5</v>
      </c>
      <c r="U72" s="9">
        <f t="shared" si="41"/>
        <v>1.4965184035447207E-4</v>
      </c>
      <c r="V72" s="102">
        <f t="shared" si="42"/>
        <v>0.47534301435922349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182</v>
      </c>
      <c r="C73" s="46" t="s">
        <v>183</v>
      </c>
      <c r="D73" s="47">
        <v>5.676184000000001</v>
      </c>
      <c r="E73" s="47">
        <v>7.0708080000000004</v>
      </c>
      <c r="F73" s="98">
        <v>9.9999999999999995E-7</v>
      </c>
      <c r="G73" s="140"/>
      <c r="H73" s="140"/>
      <c r="I73" s="54">
        <f t="shared" si="44"/>
        <v>3.8293839195374848</v>
      </c>
      <c r="J73" s="54">
        <f t="shared" si="45"/>
        <v>4.7874172575965854</v>
      </c>
      <c r="K73" s="55">
        <f t="shared" si="46"/>
        <v>1.4559113469685605E-4</v>
      </c>
      <c r="L73" s="55">
        <f t="shared" si="47"/>
        <v>1.1960419633511576E-2</v>
      </c>
      <c r="M73" s="55">
        <f t="shared" si="19"/>
        <v>0.98803958036648842</v>
      </c>
      <c r="N73" s="55">
        <f t="shared" si="48"/>
        <v>1.1484369681110483E-2</v>
      </c>
      <c r="O73" s="56">
        <f t="shared" si="21"/>
        <v>1.4654435597372908E-10</v>
      </c>
      <c r="P73" s="56">
        <f t="shared" si="49"/>
        <v>8.9822751447671942E-6</v>
      </c>
      <c r="Q73" s="56">
        <f t="shared" si="50"/>
        <v>1.7249523261027939E-3</v>
      </c>
      <c r="R73" s="9">
        <f t="shared" si="43"/>
        <v>1.4999999999999999E-4</v>
      </c>
      <c r="S73" s="9">
        <f t="shared" si="39"/>
        <v>1.7940629450267362E-6</v>
      </c>
      <c r="T73" s="9">
        <f t="shared" si="40"/>
        <v>2.1838670204528406E-8</v>
      </c>
      <c r="U73" s="9">
        <f t="shared" si="41"/>
        <v>1.4820593705497324E-4</v>
      </c>
      <c r="V73" s="102">
        <f t="shared" si="42"/>
        <v>1.4735354492868868E-4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184</v>
      </c>
      <c r="C74" s="46" t="s">
        <v>185</v>
      </c>
      <c r="D74" s="47">
        <v>1.2599279999999999</v>
      </c>
      <c r="E74" s="47">
        <v>1.3925860000000003</v>
      </c>
      <c r="F74" s="98">
        <v>9.9999999999999995E-7</v>
      </c>
      <c r="G74" s="140"/>
      <c r="H74" s="140"/>
      <c r="I74" s="54">
        <f t="shared" si="44"/>
        <v>3.8037572032670899E-2</v>
      </c>
      <c r="J74" s="54">
        <f t="shared" si="45"/>
        <v>8.1651701078615704E-2</v>
      </c>
      <c r="K74" s="55">
        <f t="shared" si="46"/>
        <v>0.91005402647698808</v>
      </c>
      <c r="L74" s="55">
        <f t="shared" si="47"/>
        <v>1.4720179483512297E-3</v>
      </c>
      <c r="M74" s="55">
        <f t="shared" si="19"/>
        <v>0.99852798205164872</v>
      </c>
      <c r="N74" s="55">
        <f t="shared" si="48"/>
        <v>1.5059737733362982E-4</v>
      </c>
      <c r="O74" s="56">
        <f t="shared" si="21"/>
        <v>9.1601237595306071E-7</v>
      </c>
      <c r="P74" s="56">
        <f t="shared" si="49"/>
        <v>1.1054854792117731E-6</v>
      </c>
      <c r="Q74" s="56">
        <f t="shared" si="50"/>
        <v>2.2619726075511189E-5</v>
      </c>
      <c r="R74" s="9">
        <f t="shared" si="43"/>
        <v>1.4999999999999999E-4</v>
      </c>
      <c r="S74" s="9">
        <f t="shared" si="39"/>
        <v>2.2080269225268445E-7</v>
      </c>
      <c r="T74" s="9">
        <f t="shared" si="40"/>
        <v>1.365081039715482E-4</v>
      </c>
      <c r="U74" s="9">
        <f t="shared" si="41"/>
        <v>1.4977919730774729E-4</v>
      </c>
      <c r="V74" s="102">
        <f t="shared" si="42"/>
        <v>0.9113956171835309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186</v>
      </c>
      <c r="C75" s="46" t="s">
        <v>187</v>
      </c>
      <c r="D75" s="47">
        <v>1.2889359999999999</v>
      </c>
      <c r="E75" s="47">
        <v>1.371977</v>
      </c>
      <c r="F75" s="98">
        <v>9.9999999999999995E-7</v>
      </c>
      <c r="G75" s="140"/>
      <c r="H75" s="140"/>
      <c r="I75" s="54">
        <f t="shared" si="44"/>
        <v>4.0258976380178252E-2</v>
      </c>
      <c r="J75" s="54">
        <f t="shared" si="45"/>
        <v>8.191699132953921E-2</v>
      </c>
      <c r="K75" s="55">
        <f t="shared" si="46"/>
        <v>0.9054169992461325</v>
      </c>
      <c r="L75" s="55">
        <f t="shared" si="47"/>
        <v>1.4654124072427149E-3</v>
      </c>
      <c r="M75" s="55">
        <f t="shared" si="19"/>
        <v>0.99853458759275726</v>
      </c>
      <c r="N75" s="55">
        <f t="shared" si="48"/>
        <v>1.4288606536217084E-4</v>
      </c>
      <c r="O75" s="56">
        <f t="shared" si="21"/>
        <v>9.113449889545787E-7</v>
      </c>
      <c r="P75" s="56">
        <f t="shared" si="49"/>
        <v>1.1005247178392789E-6</v>
      </c>
      <c r="Q75" s="56">
        <f t="shared" si="50"/>
        <v>2.1461487017398052E-5</v>
      </c>
      <c r="R75" s="9">
        <f t="shared" si="43"/>
        <v>1.4999999999999999E-4</v>
      </c>
      <c r="S75" s="9">
        <f t="shared" si="39"/>
        <v>2.1981186108640722E-7</v>
      </c>
      <c r="T75" s="9">
        <f t="shared" si="40"/>
        <v>1.3581254988691987E-4</v>
      </c>
      <c r="U75" s="9">
        <f t="shared" si="41"/>
        <v>1.4978018813891357E-4</v>
      </c>
      <c r="V75" s="102">
        <f t="shared" si="42"/>
        <v>0.90674575572678928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188</v>
      </c>
      <c r="C76" s="46" t="s">
        <v>189</v>
      </c>
      <c r="D76" s="47">
        <v>3.3144320000000005</v>
      </c>
      <c r="E76" s="47">
        <v>3.8699789999999998</v>
      </c>
      <c r="F76" s="98">
        <v>9.9999999999999995E-7</v>
      </c>
      <c r="G76" s="140"/>
      <c r="H76" s="140"/>
      <c r="I76" s="54">
        <f t="shared" si="44"/>
        <v>1.137117589232139</v>
      </c>
      <c r="J76" s="54">
        <f t="shared" si="45"/>
        <v>1.6871342472773443</v>
      </c>
      <c r="K76" s="55">
        <f t="shared" si="46"/>
        <v>7.2206634756063634E-2</v>
      </c>
      <c r="L76" s="55">
        <f t="shared" si="47"/>
        <v>4.7087494331725099E-3</v>
      </c>
      <c r="M76" s="55">
        <f t="shared" si="19"/>
        <v>0.99529125056682743</v>
      </c>
      <c r="N76" s="55">
        <f t="shared" si="48"/>
        <v>3.5869088285427732E-3</v>
      </c>
      <c r="O76" s="56">
        <f t="shared" si="21"/>
        <v>7.2679389506716503E-8</v>
      </c>
      <c r="P76" s="56">
        <f t="shared" si="49"/>
        <v>3.536270824312556E-6</v>
      </c>
      <c r="Q76" s="56">
        <f t="shared" si="50"/>
        <v>5.3875370604712441E-4</v>
      </c>
      <c r="R76" s="9">
        <f t="shared" si="43"/>
        <v>1.4999999999999999E-4</v>
      </c>
      <c r="S76" s="9">
        <f t="shared" si="39"/>
        <v>7.0631241497587645E-7</v>
      </c>
      <c r="T76" s="9">
        <f t="shared" si="40"/>
        <v>1.0830995213409544E-5</v>
      </c>
      <c r="U76" s="9">
        <f t="shared" si="41"/>
        <v>1.492936875850241E-4</v>
      </c>
      <c r="V76" s="102">
        <f t="shared" si="42"/>
        <v>7.2548246269563105E-2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101</v>
      </c>
      <c r="C77" s="46" t="s">
        <v>102</v>
      </c>
      <c r="D77" s="47">
        <v>0.29376000000000013</v>
      </c>
      <c r="E77" s="47">
        <v>0.18140000000000034</v>
      </c>
      <c r="F77" s="98">
        <v>9.9999999999999995E-7</v>
      </c>
      <c r="G77" s="140"/>
      <c r="H77" s="140"/>
      <c r="I77" s="54">
        <f t="shared" si="44"/>
        <v>2.0958974367173925E-3</v>
      </c>
      <c r="J77" s="54">
        <f t="shared" si="45"/>
        <v>3.2716025135218711E-3</v>
      </c>
      <c r="K77" s="55">
        <f t="shared" si="46"/>
        <v>0.98870873057675313</v>
      </c>
      <c r="L77" s="55">
        <f t="shared" si="47"/>
        <v>1.3351627287023066E-3</v>
      </c>
      <c r="M77" s="55">
        <f t="shared" si="19"/>
        <v>0.99866483727129773</v>
      </c>
      <c r="N77" s="55">
        <f t="shared" si="48"/>
        <v>1.0060802005474773E-5</v>
      </c>
      <c r="O77" s="56">
        <f t="shared" si="21"/>
        <v>9.9518205191309836E-7</v>
      </c>
      <c r="P77" s="56">
        <f t="shared" si="49"/>
        <v>1.0027072092554316E-6</v>
      </c>
      <c r="Q77" s="56">
        <f t="shared" si="50"/>
        <v>1.5111324612223103E-6</v>
      </c>
      <c r="R77" s="9">
        <f t="shared" si="43"/>
        <v>1.4999999999999999E-4</v>
      </c>
      <c r="S77" s="9">
        <f t="shared" si="39"/>
        <v>2.0027440930534597E-7</v>
      </c>
      <c r="T77" s="9">
        <f t="shared" si="40"/>
        <v>1.4830630958651296E-4</v>
      </c>
      <c r="U77" s="9">
        <f t="shared" si="41"/>
        <v>1.4979972559069464E-4</v>
      </c>
      <c r="V77" s="102">
        <f t="shared" si="42"/>
        <v>0.9900305825107969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190</v>
      </c>
      <c r="C78" s="46" t="s">
        <v>191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8.7763082204907472E-2</v>
      </c>
      <c r="J78" s="54">
        <f t="shared" si="45"/>
        <v>0.20411410518597825</v>
      </c>
      <c r="K78" s="55">
        <f t="shared" si="46"/>
        <v>0.81138153965807902</v>
      </c>
      <c r="L78" s="55">
        <f t="shared" si="47"/>
        <v>1.7399367314732865E-3</v>
      </c>
      <c r="M78" s="55">
        <f t="shared" si="19"/>
        <v>0.99826006326852668</v>
      </c>
      <c r="N78" s="55">
        <f t="shared" si="48"/>
        <v>4.3180966196131217E-4</v>
      </c>
      <c r="O78" s="56">
        <f t="shared" si="21"/>
        <v>8.166938558844376E-7</v>
      </c>
      <c r="P78" s="56">
        <f t="shared" si="49"/>
        <v>1.3066924853364378E-6</v>
      </c>
      <c r="Q78" s="56">
        <f t="shared" si="50"/>
        <v>6.485781122658907E-5</v>
      </c>
      <c r="R78" s="9">
        <f t="shared" si="43"/>
        <v>1.4999999999999999E-4</v>
      </c>
      <c r="S78" s="9">
        <f t="shared" si="39"/>
        <v>2.6099050972099297E-7</v>
      </c>
      <c r="T78" s="9">
        <f t="shared" si="40"/>
        <v>1.2170723094871185E-4</v>
      </c>
      <c r="U78" s="9">
        <f t="shared" si="41"/>
        <v>1.4973900949027898E-4</v>
      </c>
      <c r="V78" s="102">
        <f t="shared" si="42"/>
        <v>0.81279575284363714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192</v>
      </c>
      <c r="C79" s="46" t="s">
        <v>193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0.50667591684415281</v>
      </c>
      <c r="J79" s="54">
        <f t="shared" si="45"/>
        <v>0.88026017671842771</v>
      </c>
      <c r="K79" s="55">
        <f t="shared" si="46"/>
        <v>0.3088176019343879</v>
      </c>
      <c r="L79" s="55">
        <f t="shared" si="47"/>
        <v>3.1416402453365118E-3</v>
      </c>
      <c r="M79" s="55">
        <f t="shared" si="19"/>
        <v>0.99685835975466353</v>
      </c>
      <c r="N79" s="55">
        <f t="shared" si="48"/>
        <v>1.9045671062078648E-3</v>
      </c>
      <c r="O79" s="56">
        <f t="shared" si="21"/>
        <v>3.1083950738522244E-7</v>
      </c>
      <c r="P79" s="56">
        <f t="shared" si="49"/>
        <v>2.3593718242477204E-6</v>
      </c>
      <c r="Q79" s="56">
        <f t="shared" si="50"/>
        <v>2.8606597935242121E-4</v>
      </c>
      <c r="R79" s="9">
        <f t="shared" si="43"/>
        <v>1.4999999999999999E-4</v>
      </c>
      <c r="S79" s="9">
        <f t="shared" si="39"/>
        <v>4.7124603680047674E-7</v>
      </c>
      <c r="T79" s="9">
        <f t="shared" si="40"/>
        <v>4.6322640290158182E-5</v>
      </c>
      <c r="U79" s="9">
        <f t="shared" si="41"/>
        <v>1.4952875396319953E-4</v>
      </c>
      <c r="V79" s="102">
        <f t="shared" si="42"/>
        <v>0.30979085334689965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194</v>
      </c>
      <c r="C80" s="46" t="s">
        <v>195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2.9778200964006376</v>
      </c>
      <c r="J80" s="54">
        <f t="shared" si="45"/>
        <v>3.7781080579293054</v>
      </c>
      <c r="K80" s="55">
        <f t="shared" si="46"/>
        <v>1.0382063333903128E-3</v>
      </c>
      <c r="L80" s="55">
        <f t="shared" si="47"/>
        <v>8.3480676660218842E-3</v>
      </c>
      <c r="M80" s="55">
        <f t="shared" si="19"/>
        <v>0.99165193233397808</v>
      </c>
      <c r="N80" s="55">
        <f t="shared" si="48"/>
        <v>7.5464709926023393E-3</v>
      </c>
      <c r="O80" s="56">
        <f t="shared" si="21"/>
        <v>1.0450037278115635E-9</v>
      </c>
      <c r="P80" s="56">
        <f t="shared" si="49"/>
        <v>6.2693988171824313E-6</v>
      </c>
      <c r="Q80" s="56">
        <f t="shared" si="50"/>
        <v>1.1334799430888708E-3</v>
      </c>
      <c r="R80" s="9">
        <f t="shared" si="43"/>
        <v>1.4999999999999999E-4</v>
      </c>
      <c r="S80" s="9">
        <f t="shared" si="39"/>
        <v>1.2522101499032824E-6</v>
      </c>
      <c r="T80" s="9">
        <f t="shared" si="40"/>
        <v>1.5573095000854692E-7</v>
      </c>
      <c r="U80" s="9">
        <f t="shared" si="41"/>
        <v>1.4874778985009669E-4</v>
      </c>
      <c r="V80" s="102">
        <f t="shared" si="42"/>
        <v>1.0469463120459646E-3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196</v>
      </c>
      <c r="C81" s="46" t="s">
        <v>197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0.64393554165863076</v>
      </c>
      <c r="J81" s="54">
        <f t="shared" si="45"/>
        <v>1.1609089688318674</v>
      </c>
      <c r="K81" s="55">
        <f t="shared" si="46"/>
        <v>0.22485833925929374</v>
      </c>
      <c r="L81" s="55">
        <f t="shared" si="47"/>
        <v>4.3652809119518205E-3</v>
      </c>
      <c r="M81" s="55">
        <f t="shared" si="19"/>
        <v>0.99563471908804813</v>
      </c>
      <c r="N81" s="55">
        <f t="shared" si="48"/>
        <v>3.2292764981010432E-3</v>
      </c>
      <c r="O81" s="56">
        <f t="shared" si="21"/>
        <v>2.263305425889167E-7</v>
      </c>
      <c r="P81" s="56">
        <f t="shared" si="49"/>
        <v>3.2783259648758174E-6</v>
      </c>
      <c r="Q81" s="56">
        <f t="shared" si="50"/>
        <v>4.8503733001477648E-4</v>
      </c>
      <c r="R81" s="9">
        <f t="shared" si="43"/>
        <v>1.4999999999999999E-4</v>
      </c>
      <c r="S81" s="9">
        <f t="shared" si="39"/>
        <v>6.5479213679277299E-7</v>
      </c>
      <c r="T81" s="9">
        <f t="shared" si="40"/>
        <v>3.3728750888894059E-5</v>
      </c>
      <c r="U81" s="9">
        <f t="shared" si="41"/>
        <v>1.493452078632072E-4</v>
      </c>
      <c r="V81" s="102">
        <f t="shared" si="42"/>
        <v>0.2258442126900243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198</v>
      </c>
      <c r="C82" s="46" t="s">
        <v>199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1.3135143326183101</v>
      </c>
      <c r="J82" s="54">
        <f t="shared" si="45"/>
        <v>1.9942887659269517</v>
      </c>
      <c r="K82" s="55">
        <f t="shared" si="46"/>
        <v>4.8024462632799088E-2</v>
      </c>
      <c r="L82" s="55">
        <f t="shared" si="47"/>
        <v>6.3525122145192065E-3</v>
      </c>
      <c r="M82" s="55">
        <f t="shared" si="19"/>
        <v>0.99364748778548084</v>
      </c>
      <c r="N82" s="55">
        <f t="shared" si="48"/>
        <v>5.37619171405987E-3</v>
      </c>
      <c r="O82" s="56">
        <f t="shared" si="21"/>
        <v>4.8338890703486874E-8</v>
      </c>
      <c r="P82" s="56">
        <f t="shared" si="49"/>
        <v>4.7707366731039253E-6</v>
      </c>
      <c r="Q82" s="56">
        <f t="shared" si="50"/>
        <v>8.0750399545179217E-4</v>
      </c>
      <c r="R82" s="9">
        <f t="shared" si="43"/>
        <v>1.4999999999999999E-4</v>
      </c>
      <c r="S82" s="9">
        <f t="shared" si="39"/>
        <v>9.5287683217788088E-7</v>
      </c>
      <c r="T82" s="9">
        <f t="shared" si="40"/>
        <v>7.2036693949198624E-6</v>
      </c>
      <c r="U82" s="9">
        <f t="shared" si="41"/>
        <v>1.490471231678221E-4</v>
      </c>
      <c r="V82" s="102">
        <f t="shared" si="42"/>
        <v>4.8331489007062349E-2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200</v>
      </c>
      <c r="C83" s="46" t="s">
        <v>201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0.78379345695532832</v>
      </c>
      <c r="J83" s="54">
        <f t="shared" si="45"/>
        <v>1.3432804907607612</v>
      </c>
      <c r="K83" s="55">
        <f t="shared" si="46"/>
        <v>0.16287564781656289</v>
      </c>
      <c r="L83" s="55">
        <f t="shared" si="47"/>
        <v>4.8120582478128606E-3</v>
      </c>
      <c r="M83" s="55">
        <f t="shared" si="19"/>
        <v>0.99518794175218717</v>
      </c>
      <c r="N83" s="55">
        <f t="shared" si="48"/>
        <v>3.7095086593074067E-3</v>
      </c>
      <c r="O83" s="56">
        <f t="shared" si="21"/>
        <v>1.6394203508874464E-7</v>
      </c>
      <c r="P83" s="56">
        <f t="shared" si="49"/>
        <v>3.6138557441074586E-6</v>
      </c>
      <c r="Q83" s="56">
        <f t="shared" si="50"/>
        <v>5.5716820062797227E-4</v>
      </c>
      <c r="R83" s="9">
        <f t="shared" si="43"/>
        <v>1.4999999999999999E-4</v>
      </c>
      <c r="S83" s="9">
        <f t="shared" si="39"/>
        <v>7.21808737171929E-7</v>
      </c>
      <c r="T83" s="9">
        <f t="shared" si="40"/>
        <v>2.4431347172484432E-5</v>
      </c>
      <c r="U83" s="9">
        <f t="shared" si="41"/>
        <v>1.4927819126282806E-4</v>
      </c>
      <c r="V83" s="102">
        <f t="shared" si="42"/>
        <v>0.16366320469055756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103</v>
      </c>
      <c r="C84" s="46" t="s">
        <v>104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5.6400487609719711E-2</v>
      </c>
      <c r="J84" s="54">
        <f t="shared" si="45"/>
        <v>0.12835770982382372</v>
      </c>
      <c r="K84" s="55">
        <f t="shared" si="46"/>
        <v>0.87229051274554048</v>
      </c>
      <c r="L84" s="55">
        <f t="shared" si="47"/>
        <v>1.571133495680579E-3</v>
      </c>
      <c r="M84" s="55">
        <f t="shared" si="19"/>
        <v>0.99842886650431939</v>
      </c>
      <c r="N84" s="55">
        <f t="shared" si="48"/>
        <v>2.5449214496232642E-4</v>
      </c>
      <c r="O84" s="56">
        <f t="shared" si="21"/>
        <v>8.7800161512890193E-7</v>
      </c>
      <c r="P84" s="56">
        <f t="shared" si="49"/>
        <v>1.1799212552561144E-6</v>
      </c>
      <c r="Q84" s="56">
        <f t="shared" si="50"/>
        <v>3.8224720173341418E-5</v>
      </c>
      <c r="R84" s="9">
        <f t="shared" si="43"/>
        <v>1.4999999999999999E-4</v>
      </c>
      <c r="S84" s="9">
        <f t="shared" si="39"/>
        <v>2.3567002435208682E-7</v>
      </c>
      <c r="T84" s="9">
        <f t="shared" si="40"/>
        <v>1.3084357691183106E-4</v>
      </c>
      <c r="U84" s="9">
        <f t="shared" si="41"/>
        <v>1.4976432997564789E-4</v>
      </c>
      <c r="V84" s="102">
        <f t="shared" si="42"/>
        <v>0.87366315419103202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202</v>
      </c>
      <c r="C85" s="46" t="s">
        <v>203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0.61860589125383414</v>
      </c>
      <c r="J85" s="54">
        <f t="shared" si="45"/>
        <v>1.1486336221473528</v>
      </c>
      <c r="K85" s="55">
        <f t="shared" si="46"/>
        <v>0.23833114651697959</v>
      </c>
      <c r="L85" s="55">
        <f t="shared" si="47"/>
        <v>4.4978881669087084E-3</v>
      </c>
      <c r="M85" s="55">
        <f t="shared" si="19"/>
        <v>0.99550211183309134</v>
      </c>
      <c r="N85" s="55">
        <f t="shared" si="48"/>
        <v>3.3753206418889723E-3</v>
      </c>
      <c r="O85" s="56">
        <f t="shared" si="21"/>
        <v>2.3989155965803078E-7</v>
      </c>
      <c r="P85" s="56">
        <f t="shared" si="49"/>
        <v>3.3779140133484403E-6</v>
      </c>
      <c r="Q85" s="56">
        <f t="shared" si="50"/>
        <v>5.0697316041172348E-4</v>
      </c>
      <c r="R85" s="9">
        <f t="shared" si="43"/>
        <v>1.4999999999999999E-4</v>
      </c>
      <c r="S85" s="9">
        <f t="shared" si="39"/>
        <v>6.7468322503630616E-7</v>
      </c>
      <c r="T85" s="9">
        <f t="shared" si="40"/>
        <v>3.5749671977546936E-5</v>
      </c>
      <c r="U85" s="9">
        <f t="shared" si="41"/>
        <v>1.4932531677496369E-4</v>
      </c>
      <c r="V85" s="102">
        <f t="shared" si="42"/>
        <v>0.23940797682299528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105</v>
      </c>
      <c r="C86" s="46" t="s">
        <v>106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0.26171036693668792</v>
      </c>
      <c r="J86" s="54">
        <f t="shared" si="45"/>
        <v>0.5746808679209805</v>
      </c>
      <c r="K86" s="55">
        <f t="shared" si="46"/>
        <v>0.5430569393396304</v>
      </c>
      <c r="L86" s="55">
        <f t="shared" si="47"/>
        <v>2.733508724336042E-3</v>
      </c>
      <c r="M86" s="55">
        <f t="shared" si="19"/>
        <v>0.99726649127566391</v>
      </c>
      <c r="N86" s="55">
        <f t="shared" si="48"/>
        <v>1.4854211413602783E-3</v>
      </c>
      <c r="O86" s="56">
        <f t="shared" si="21"/>
        <v>5.4661246784217225E-7</v>
      </c>
      <c r="P86" s="56">
        <f t="shared" si="49"/>
        <v>2.0528650519763679E-6</v>
      </c>
      <c r="Q86" s="56">
        <f t="shared" si="50"/>
        <v>2.2311025543231372E-4</v>
      </c>
      <c r="R86" s="9">
        <f t="shared" si="43"/>
        <v>1.4999999999999999E-4</v>
      </c>
      <c r="S86" s="9">
        <f t="shared" si="39"/>
        <v>4.1002630865040629E-7</v>
      </c>
      <c r="T86" s="9">
        <f t="shared" si="40"/>
        <v>8.145854090094455E-5</v>
      </c>
      <c r="U86" s="9">
        <f t="shared" si="41"/>
        <v>1.4958997369134957E-4</v>
      </c>
      <c r="V86" s="102">
        <f t="shared" si="42"/>
        <v>0.54454545910288576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204</v>
      </c>
      <c r="C87" s="46" t="s">
        <v>205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206</v>
      </c>
      <c r="C88" s="46" t="s">
        <v>207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2.1363569008891736</v>
      </c>
      <c r="J88" s="54">
        <f t="shared" si="45"/>
        <v>2.9801011501568286</v>
      </c>
      <c r="K88" s="55">
        <f t="shared" si="46"/>
        <v>7.2005470089406562E-3</v>
      </c>
      <c r="L88" s="55">
        <f t="shared" si="47"/>
        <v>9.2185129263590727E-3</v>
      </c>
      <c r="M88" s="55">
        <f t="shared" si="19"/>
        <v>0.99078148707364089</v>
      </c>
      <c r="N88" s="55">
        <f t="shared" si="48"/>
        <v>8.4960629813472036E-3</v>
      </c>
      <c r="O88" s="56">
        <f t="shared" si="21"/>
        <v>7.2476907765082216E-9</v>
      </c>
      <c r="P88" s="56">
        <f t="shared" si="49"/>
        <v>6.9231032076956632E-6</v>
      </c>
      <c r="Q88" s="56">
        <f t="shared" si="50"/>
        <v>1.2761086597983496E-3</v>
      </c>
      <c r="R88" s="9">
        <f>F88*$C$14</f>
        <v>1.4999999999999999E-4</v>
      </c>
      <c r="S88" s="9">
        <f t="shared" si="39"/>
        <v>1.3827769389538609E-6</v>
      </c>
      <c r="T88" s="9">
        <f t="shared" si="40"/>
        <v>1.0800820513410983E-6</v>
      </c>
      <c r="U88" s="9">
        <f t="shared" si="41"/>
        <v>1.4861722306104612E-4</v>
      </c>
      <c r="V88" s="102">
        <f t="shared" si="42"/>
        <v>7.2675429475454745E-3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208</v>
      </c>
      <c r="C89" s="46" t="s">
        <v>209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3.5207953657582807</v>
      </c>
      <c r="J89" s="54">
        <f t="shared" si="45"/>
        <v>4.4534363688963623</v>
      </c>
      <c r="K89" s="55">
        <f t="shared" si="46"/>
        <v>2.9649582330140277E-4</v>
      </c>
      <c r="L89" s="55">
        <f t="shared" si="47"/>
        <v>1.1288836358135204E-2</v>
      </c>
      <c r="M89" s="55">
        <f t="shared" si="19"/>
        <v>0.98871116364186484</v>
      </c>
      <c r="N89" s="55">
        <f t="shared" si="48"/>
        <v>1.0752261375037313E-2</v>
      </c>
      <c r="O89" s="56">
        <f t="shared" si="21"/>
        <v>2.9843705501076035E-10</v>
      </c>
      <c r="P89" s="56">
        <f t="shared" si="49"/>
        <v>8.4779161049595415E-6</v>
      </c>
      <c r="Q89" s="56">
        <f t="shared" si="50"/>
        <v>1.6149896585306036E-3</v>
      </c>
      <c r="R89" s="9">
        <f>F89*$C$14</f>
        <v>1.4999999999999999E-4</v>
      </c>
      <c r="S89" s="9">
        <f t="shared" si="39"/>
        <v>1.6933254537202805E-6</v>
      </c>
      <c r="T89" s="9">
        <f t="shared" si="40"/>
        <v>4.4474373495210409E-8</v>
      </c>
      <c r="U89" s="9">
        <f t="shared" si="41"/>
        <v>1.4830667454627971E-4</v>
      </c>
      <c r="V89" s="102">
        <f t="shared" si="42"/>
        <v>2.9988113233118176E-4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210</v>
      </c>
      <c r="C90" s="46" t="s">
        <v>211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3.8666483056990257</v>
      </c>
      <c r="J90" s="54">
        <f t="shared" si="45"/>
        <v>4.835013233934724</v>
      </c>
      <c r="K90" s="55">
        <f t="shared" si="46"/>
        <v>1.335812524140835E-4</v>
      </c>
      <c r="L90" s="55">
        <f t="shared" si="47"/>
        <v>1.2244836024577564E-2</v>
      </c>
      <c r="M90" s="55">
        <f t="shared" si="19"/>
        <v>0.9877551639754224</v>
      </c>
      <c r="N90" s="55">
        <f t="shared" si="48"/>
        <v>1.1794424212775722E-2</v>
      </c>
      <c r="O90" s="56">
        <f t="shared" si="21"/>
        <v>1.3445584201225911E-10</v>
      </c>
      <c r="P90" s="56">
        <f t="shared" si="49"/>
        <v>9.1958718544577604E-6</v>
      </c>
      <c r="Q90" s="56">
        <f t="shared" si="50"/>
        <v>1.7715225167589128E-3</v>
      </c>
      <c r="R90" s="9">
        <f>F90*$C$14</f>
        <v>1.4999999999999999E-4</v>
      </c>
      <c r="S90" s="9">
        <f t="shared" si="39"/>
        <v>1.8367254036866344E-6</v>
      </c>
      <c r="T90" s="9">
        <f t="shared" si="40"/>
        <v>2.0037187862112522E-8</v>
      </c>
      <c r="U90" s="9">
        <f t="shared" si="41"/>
        <v>1.4816327459631334E-4</v>
      </c>
      <c r="V90" s="102">
        <f t="shared" si="42"/>
        <v>1.3523720987340473E-4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107</v>
      </c>
      <c r="C91" s="46" t="s">
        <v>108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4.2676323009395754</v>
      </c>
      <c r="J91" s="54">
        <f t="shared" si="45"/>
        <v>5.2666304943820279</v>
      </c>
      <c r="K91" s="55">
        <f t="shared" si="46"/>
        <v>5.3011860278915553E-5</v>
      </c>
      <c r="L91" s="55">
        <f t="shared" si="47"/>
        <v>1.3127975810997315E-2</v>
      </c>
      <c r="M91" s="55">
        <f t="shared" si="19"/>
        <v>0.98687202418900266</v>
      </c>
      <c r="N91" s="55">
        <f t="shared" si="48"/>
        <v>1.275716808727176E-2</v>
      </c>
      <c r="O91" s="56">
        <f t="shared" si="21"/>
        <v>5.3358942079257985E-11</v>
      </c>
      <c r="P91" s="56">
        <f t="shared" si="49"/>
        <v>9.8591098340589874E-6</v>
      </c>
      <c r="Q91" s="56">
        <f t="shared" si="50"/>
        <v>1.9161266467082178E-3</v>
      </c>
      <c r="R91" s="9">
        <f t="shared" ref="R91:R92" si="51">F91*$C$14</f>
        <v>1.4999999999999999E-4</v>
      </c>
      <c r="S91" s="9">
        <f t="shared" si="39"/>
        <v>1.969196371649597E-6</v>
      </c>
      <c r="T91" s="9">
        <f t="shared" si="40"/>
        <v>7.9517790418373326E-9</v>
      </c>
      <c r="U91" s="9">
        <f t="shared" si="41"/>
        <v>1.4803080362835039E-4</v>
      </c>
      <c r="V91" s="102">
        <f t="shared" si="42"/>
        <v>5.3717056497249418E-5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109</v>
      </c>
      <c r="C92" s="46" t="s">
        <v>110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5.487995486122375</v>
      </c>
      <c r="J92" s="54">
        <f t="shared" si="45"/>
        <v>6.5323897253277963</v>
      </c>
      <c r="K92" s="55">
        <f t="shared" si="46"/>
        <v>3.187000222178911E-6</v>
      </c>
      <c r="L92" s="55">
        <f t="shared" si="47"/>
        <v>1.4553453006783967E-2</v>
      </c>
      <c r="M92" s="55">
        <f t="shared" si="19"/>
        <v>0.98544654699321599</v>
      </c>
      <c r="N92" s="55">
        <f t="shared" si="48"/>
        <v>1.4311143184113901E-2</v>
      </c>
      <c r="O92" s="56">
        <f t="shared" si="21"/>
        <v>3.2078663032593655E-12</v>
      </c>
      <c r="P92" s="56">
        <f t="shared" si="49"/>
        <v>1.0929643208094774E-5</v>
      </c>
      <c r="Q92" s="56">
        <f t="shared" si="50"/>
        <v>2.1495337062539073E-3</v>
      </c>
      <c r="R92" s="9">
        <f t="shared" si="51"/>
        <v>1.4999999999999999E-4</v>
      </c>
      <c r="S92" s="9">
        <f t="shared" si="39"/>
        <v>2.1830179510175947E-6</v>
      </c>
      <c r="T92" s="9">
        <f t="shared" si="40"/>
        <v>4.7805003332683662E-10</v>
      </c>
      <c r="U92" s="9">
        <f t="shared" si="41"/>
        <v>1.4781698204898239E-4</v>
      </c>
      <c r="V92" s="102">
        <f t="shared" si="42"/>
        <v>3.2340670652335756E-6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212</v>
      </c>
      <c r="C93" s="46" t="s">
        <v>213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0.24855356797573289</v>
      </c>
      <c r="J93" s="54">
        <f t="shared" si="45"/>
        <v>0.42148240883964078</v>
      </c>
      <c r="K93" s="55">
        <f t="shared" si="46"/>
        <v>0.56018246157276186</v>
      </c>
      <c r="L93" s="55">
        <f t="shared" si="47"/>
        <v>1.9815550646351127E-3</v>
      </c>
      <c r="M93" s="55">
        <f t="shared" ref="M93:M127" si="52">IF(D93=0,"",1-L93)</f>
        <v>0.99801844493536485</v>
      </c>
      <c r="N93" s="55">
        <f t="shared" si="48"/>
        <v>6.6756527966852516E-4</v>
      </c>
      <c r="O93" s="56">
        <f t="shared" ref="O93:O127" si="53">IF(D93=0,"",F93*K93*$J$7/$J$14)</f>
        <v>5.6385011511783584E-7</v>
      </c>
      <c r="P93" s="56">
        <f t="shared" si="49"/>
        <v>1.4881478535409695E-6</v>
      </c>
      <c r="Q93" s="56">
        <f t="shared" si="50"/>
        <v>1.0026830500621243E-4</v>
      </c>
      <c r="R93" s="9">
        <f>F93*$C$14</f>
        <v>1.4999999999999999E-4</v>
      </c>
      <c r="S93" s="9">
        <f t="shared" si="39"/>
        <v>2.9723325969526686E-7</v>
      </c>
      <c r="T93" s="9">
        <f t="shared" si="40"/>
        <v>8.4027369235914278E-5</v>
      </c>
      <c r="U93" s="9">
        <f t="shared" si="41"/>
        <v>1.4970276674030472E-4</v>
      </c>
      <c r="V93" s="102">
        <f t="shared" si="42"/>
        <v>0.5612946979241864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214</v>
      </c>
      <c r="C94" s="46" t="s">
        <v>215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216</v>
      </c>
      <c r="C95" s="46" t="s">
        <v>217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218</v>
      </c>
      <c r="C96" s="46" t="s">
        <v>219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220</v>
      </c>
      <c r="C97" s="46" t="s">
        <v>221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222</v>
      </c>
      <c r="C98" s="46" t="s">
        <v>223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224</v>
      </c>
      <c r="C99" s="46" t="s">
        <v>225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226</v>
      </c>
      <c r="C100" s="46" t="s">
        <v>227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228</v>
      </c>
      <c r="C101" s="46" t="s">
        <v>229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230</v>
      </c>
      <c r="C102" s="46" t="s">
        <v>231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232</v>
      </c>
      <c r="C103" s="46" t="s">
        <v>233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234</v>
      </c>
      <c r="C104" s="46" t="s">
        <v>235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236</v>
      </c>
      <c r="C105" s="46" t="s">
        <v>237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238</v>
      </c>
      <c r="C106" s="46" t="s">
        <v>239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240</v>
      </c>
      <c r="C107" s="46" t="s">
        <v>241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1.9065682325616583E-2</v>
      </c>
      <c r="J107" s="54">
        <f t="shared" si="45"/>
        <v>4.0258937016961469E-2</v>
      </c>
      <c r="K107" s="55">
        <f t="shared" si="46"/>
        <v>0.95076072442953041</v>
      </c>
      <c r="L107" s="55">
        <f t="shared" si="47"/>
        <v>1.3980554560092278E-3</v>
      </c>
      <c r="M107" s="55">
        <f t="shared" si="52"/>
        <v>0.99860194454399076</v>
      </c>
      <c r="N107" s="55">
        <f t="shared" si="48"/>
        <v>7.4447045324208336E-5</v>
      </c>
      <c r="O107" s="56">
        <f t="shared" si="53"/>
        <v>9.5698559075554993E-7</v>
      </c>
      <c r="P107" s="56">
        <f t="shared" si="49"/>
        <v>1.0499396474629296E-6</v>
      </c>
      <c r="Q107" s="56">
        <f t="shared" si="50"/>
        <v>1.1181946207696087E-5</v>
      </c>
      <c r="R107" s="9">
        <f>F107*$C$14</f>
        <v>1.4999999999999999E-4</v>
      </c>
      <c r="S107" s="9">
        <f t="shared" ref="S107:S108" si="54">$R107*L107</f>
        <v>2.0970831840138417E-7</v>
      </c>
      <c r="T107" s="9">
        <f t="shared" ref="T107:T108" si="55">R107*K107</f>
        <v>1.4261410866442956E-4</v>
      </c>
      <c r="U107" s="9">
        <f t="shared" ref="U107:U108" si="56">$R107*M107</f>
        <v>1.4979029168159859E-4</v>
      </c>
      <c r="V107" s="102">
        <f t="shared" ref="V107:V108" si="57">K107/M107</f>
        <v>0.95209180156733331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242</v>
      </c>
      <c r="C108" s="46" t="s">
        <v>243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0.13401854480859055</v>
      </c>
      <c r="J108" s="54">
        <f t="shared" si="45"/>
        <v>0.2864338169946784</v>
      </c>
      <c r="K108" s="55">
        <f t="shared" si="46"/>
        <v>0.7292966796492617</v>
      </c>
      <c r="L108" s="55">
        <f t="shared" si="47"/>
        <v>1.8903067368083401E-3</v>
      </c>
      <c r="M108" s="55">
        <f t="shared" si="52"/>
        <v>0.99810969326319166</v>
      </c>
      <c r="N108" s="55">
        <f t="shared" si="48"/>
        <v>5.8670186594589097E-4</v>
      </c>
      <c r="O108" s="56">
        <f t="shared" si="53"/>
        <v>7.3407156593366353E-7</v>
      </c>
      <c r="P108" s="56">
        <f t="shared" si="49"/>
        <v>1.4196203593430631E-6</v>
      </c>
      <c r="Q108" s="56">
        <f t="shared" si="50"/>
        <v>8.8122620265072791E-5</v>
      </c>
      <c r="R108" s="9">
        <f>F108*$C$14</f>
        <v>1.4999999999999999E-4</v>
      </c>
      <c r="S108" s="9">
        <f t="shared" si="54"/>
        <v>2.83546010521251E-7</v>
      </c>
      <c r="T108" s="9">
        <f t="shared" si="55"/>
        <v>1.0939450194738924E-4</v>
      </c>
      <c r="U108" s="9">
        <f t="shared" si="56"/>
        <v>1.4971645398947873E-4</v>
      </c>
      <c r="V108" s="102">
        <f t="shared" si="57"/>
        <v>0.73067788497767183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244</v>
      </c>
      <c r="C109" s="46" t="s">
        <v>245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246</v>
      </c>
      <c r="C110" s="46" t="s">
        <v>247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248</v>
      </c>
      <c r="C111" s="46" t="s">
        <v>249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250</v>
      </c>
      <c r="C112" s="46" t="s">
        <v>251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252</v>
      </c>
      <c r="C113" s="46" t="s">
        <v>253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254</v>
      </c>
      <c r="C114" s="46" t="s">
        <v>255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9.3867444440884892E-2</v>
      </c>
      <c r="J114" s="54">
        <f t="shared" si="45"/>
        <v>0.22591684515469179</v>
      </c>
      <c r="K114" s="55">
        <f t="shared" si="46"/>
        <v>0.80000545316837024</v>
      </c>
      <c r="L114" s="55">
        <f t="shared" si="47"/>
        <v>1.8038649550084064E-3</v>
      </c>
      <c r="M114" s="55">
        <f t="shared" si="52"/>
        <v>0.99819613504499161</v>
      </c>
      <c r="N114" s="55">
        <f t="shared" si="48"/>
        <v>5.0024894392988338E-4</v>
      </c>
      <c r="O114" s="56">
        <f t="shared" si="53"/>
        <v>8.0524328733431971E-7</v>
      </c>
      <c r="P114" s="56">
        <f t="shared" si="49"/>
        <v>1.354702581211313E-6</v>
      </c>
      <c r="Q114" s="56">
        <f t="shared" si="50"/>
        <v>7.5137391378268453E-5</v>
      </c>
      <c r="R114" s="9">
        <f>F114*$C$14</f>
        <v>1.4999999999999999E-4</v>
      </c>
      <c r="S114" s="9">
        <f t="shared" ref="S114:S116" si="58">$R114*L114</f>
        <v>2.7057974325126094E-7</v>
      </c>
      <c r="T114" s="9">
        <f t="shared" ref="T114:T116" si="59">R114*K114</f>
        <v>1.2000081797525553E-4</v>
      </c>
      <c r="U114" s="9">
        <f t="shared" ref="U114:U116" si="60">$R114*M114</f>
        <v>1.4972942025674873E-4</v>
      </c>
      <c r="V114" s="102">
        <f t="shared" ref="V114:V116" si="61">K114/M114</f>
        <v>0.80145116283415752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256</v>
      </c>
      <c r="C115" s="46" t="s">
        <v>257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0.17110445915344094</v>
      </c>
      <c r="J115" s="54">
        <f t="shared" si="45"/>
        <v>0.24488252340606687</v>
      </c>
      <c r="K115" s="55">
        <f t="shared" si="46"/>
        <v>0.66981413888343022</v>
      </c>
      <c r="L115" s="55">
        <f t="shared" si="47"/>
        <v>1.5777241122978819E-3</v>
      </c>
      <c r="M115" s="55">
        <f t="shared" si="52"/>
        <v>0.99842227588770216</v>
      </c>
      <c r="N115" s="55">
        <f t="shared" si="48"/>
        <v>2.3939470692480223E-4</v>
      </c>
      <c r="O115" s="56">
        <f t="shared" si="53"/>
        <v>6.7419957821710597E-7</v>
      </c>
      <c r="P115" s="56">
        <f t="shared" si="49"/>
        <v>1.1848708083357089E-6</v>
      </c>
      <c r="Q115" s="56">
        <f t="shared" si="50"/>
        <v>3.5957084980105277E-5</v>
      </c>
      <c r="R115" s="9">
        <f>F115*$C$14</f>
        <v>1.4999999999999999E-4</v>
      </c>
      <c r="S115" s="9">
        <f t="shared" si="58"/>
        <v>2.3665861684468226E-7</v>
      </c>
      <c r="T115" s="9">
        <f t="shared" si="59"/>
        <v>1.0047212083251452E-4</v>
      </c>
      <c r="U115" s="9">
        <f t="shared" si="60"/>
        <v>1.497633413831553E-4</v>
      </c>
      <c r="V115" s="102">
        <f t="shared" si="61"/>
        <v>0.67087259074613015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258</v>
      </c>
      <c r="C116" s="46" t="s">
        <v>259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5.8063156695311677E-3</v>
      </c>
      <c r="J116" s="54">
        <f t="shared" si="45"/>
        <v>6.9342980082594723E-3</v>
      </c>
      <c r="K116" s="55">
        <f t="shared" si="46"/>
        <v>0.98029776977276994</v>
      </c>
      <c r="L116" s="55">
        <f t="shared" si="47"/>
        <v>1.3350162173747168E-3</v>
      </c>
      <c r="M116" s="55">
        <f t="shared" si="52"/>
        <v>0.99866498378262525</v>
      </c>
      <c r="N116" s="55">
        <f t="shared" si="48"/>
        <v>8.9754709937845448E-6</v>
      </c>
      <c r="O116" s="56">
        <f t="shared" si="53"/>
        <v>9.8671602246215421E-7</v>
      </c>
      <c r="P116" s="56">
        <f t="shared" si="49"/>
        <v>1.0025971792484123E-6</v>
      </c>
      <c r="Q116" s="56">
        <f t="shared" si="50"/>
        <v>1.3481157432664381E-6</v>
      </c>
      <c r="R116" s="9">
        <f>F116*$C$14</f>
        <v>1.4999999999999999E-4</v>
      </c>
      <c r="S116" s="9">
        <f t="shared" si="58"/>
        <v>2.002524326062075E-7</v>
      </c>
      <c r="T116" s="9">
        <f t="shared" si="59"/>
        <v>1.4704466546591548E-4</v>
      </c>
      <c r="U116" s="9">
        <f t="shared" si="60"/>
        <v>1.4979974756739378E-4</v>
      </c>
      <c r="V116" s="102">
        <f t="shared" si="61"/>
        <v>0.98160823268250963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260</v>
      </c>
      <c r="C117" s="46" t="s">
        <v>261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262</v>
      </c>
      <c r="C118" s="46" t="s">
        <v>263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264</v>
      </c>
      <c r="C119" s="46" t="s">
        <v>265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1.4450204174697026</v>
      </c>
      <c r="J119" s="54">
        <f t="shared" si="45"/>
        <v>2.094216282910164</v>
      </c>
      <c r="K119" s="55">
        <f t="shared" si="46"/>
        <v>3.5493592262626564E-2</v>
      </c>
      <c r="L119" s="55">
        <f t="shared" si="47"/>
        <v>5.9096324085006081E-3</v>
      </c>
      <c r="M119" s="55">
        <f t="shared" si="52"/>
        <v>0.99409036759149938</v>
      </c>
      <c r="N119" s="55">
        <f t="shared" si="48"/>
        <v>4.8920083440834707E-3</v>
      </c>
      <c r="O119" s="56">
        <f t="shared" si="53"/>
        <v>3.5725977616362822E-8</v>
      </c>
      <c r="P119" s="56">
        <f t="shared" si="49"/>
        <v>4.4381339387839586E-6</v>
      </c>
      <c r="Q119" s="56">
        <f t="shared" si="50"/>
        <v>7.3477965328133698E-4</v>
      </c>
      <c r="R119" s="9">
        <f>F119*$C$14</f>
        <v>1.4999999999999999E-4</v>
      </c>
      <c r="S119" s="9">
        <f t="shared" ref="S119:S121" si="62">$R119*L119</f>
        <v>8.864448612750911E-7</v>
      </c>
      <c r="T119" s="9">
        <f t="shared" ref="T119:T121" si="63">R119*K119</f>
        <v>5.324038839393984E-6</v>
      </c>
      <c r="U119" s="9">
        <f t="shared" ref="U119:U121" si="64">$R119*M119</f>
        <v>1.491135551387249E-4</v>
      </c>
      <c r="V119" s="102">
        <f t="shared" ref="V119:V121" si="65">K119/M119</f>
        <v>3.5704593284231388E-2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266</v>
      </c>
      <c r="C120" s="46" t="s">
        <v>267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0.19210968761462099</v>
      </c>
      <c r="J120" s="54">
        <f t="shared" si="45"/>
        <v>0.37045470607538694</v>
      </c>
      <c r="K120" s="55">
        <f t="shared" si="46"/>
        <v>0.63791466825836429</v>
      </c>
      <c r="L120" s="55">
        <f t="shared" si="47"/>
        <v>2.0063723001367581E-3</v>
      </c>
      <c r="M120" s="55">
        <f t="shared" si="52"/>
        <v>0.99799362769986322</v>
      </c>
      <c r="N120" s="55">
        <f t="shared" si="48"/>
        <v>7.0317402812507279E-4</v>
      </c>
      <c r="O120" s="56">
        <f t="shared" si="53"/>
        <v>6.4209125384428866E-7</v>
      </c>
      <c r="P120" s="56">
        <f t="shared" si="49"/>
        <v>1.5067855974027047E-6</v>
      </c>
      <c r="Q120" s="56">
        <f t="shared" si="50"/>
        <v>1.056167390243859E-4</v>
      </c>
      <c r="R120" s="9">
        <f>F120*$C$14</f>
        <v>1.4999999999999999E-4</v>
      </c>
      <c r="S120" s="9">
        <f t="shared" si="62"/>
        <v>3.0095584502051369E-7</v>
      </c>
      <c r="T120" s="9">
        <f t="shared" si="63"/>
        <v>9.5687200238754635E-5</v>
      </c>
      <c r="U120" s="9">
        <f t="shared" si="64"/>
        <v>1.4969904415497947E-4</v>
      </c>
      <c r="V120" s="102">
        <f t="shared" si="65"/>
        <v>0.63919713568573089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268</v>
      </c>
      <c r="C121" s="46" t="s">
        <v>269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1.9943504269299017</v>
      </c>
      <c r="J121" s="54">
        <f t="shared" si="45"/>
        <v>2.5297227295182512</v>
      </c>
      <c r="K121" s="55">
        <f t="shared" si="46"/>
        <v>1.0032567246178079E-2</v>
      </c>
      <c r="L121" s="55">
        <f t="shared" si="47"/>
        <v>4.5533290671965192E-3</v>
      </c>
      <c r="M121" s="55">
        <f t="shared" si="52"/>
        <v>0.99544667093280348</v>
      </c>
      <c r="N121" s="55">
        <f t="shared" si="48"/>
        <v>3.4106355344844471E-3</v>
      </c>
      <c r="O121" s="56">
        <f t="shared" si="53"/>
        <v>1.0098252952801827E-8</v>
      </c>
      <c r="P121" s="56">
        <f t="shared" si="49"/>
        <v>3.4195501294645866E-6</v>
      </c>
      <c r="Q121" s="56">
        <f t="shared" si="50"/>
        <v>5.1227745727956372E-4</v>
      </c>
      <c r="R121" s="9">
        <f>F121*$C$14</f>
        <v>1.4999999999999999E-4</v>
      </c>
      <c r="S121" s="9">
        <f t="shared" si="62"/>
        <v>6.8299936007947781E-7</v>
      </c>
      <c r="T121" s="9">
        <f t="shared" si="63"/>
        <v>1.5048850869267117E-6</v>
      </c>
      <c r="U121" s="9">
        <f t="shared" si="64"/>
        <v>1.4931700063992051E-4</v>
      </c>
      <c r="V121" s="102">
        <f t="shared" si="65"/>
        <v>1.0078457780944567E-2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270</v>
      </c>
      <c r="C122" s="46" t="s">
        <v>271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272</v>
      </c>
      <c r="C123" s="46" t="s">
        <v>273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274</v>
      </c>
      <c r="C124" s="46" t="s">
        <v>275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0.68104843309954888</v>
      </c>
      <c r="J124" s="54">
        <f t="shared" si="67"/>
        <v>1.2572371673508673</v>
      </c>
      <c r="K124" s="55">
        <f t="shared" si="68"/>
        <v>0.20630951243604614</v>
      </c>
      <c r="L124" s="55">
        <f t="shared" si="69"/>
        <v>4.9997771668914958E-3</v>
      </c>
      <c r="M124" s="55">
        <f t="shared" si="52"/>
        <v>0.99500022283310852</v>
      </c>
      <c r="N124" s="55">
        <f t="shared" si="70"/>
        <v>3.9189298166449043E-3</v>
      </c>
      <c r="O124" s="56">
        <f t="shared" si="53"/>
        <v>2.0766027199489438E-7</v>
      </c>
      <c r="P124" s="56">
        <f t="shared" si="71"/>
        <v>3.754832652335513E-6</v>
      </c>
      <c r="Q124" s="56">
        <f t="shared" si="72"/>
        <v>5.8862325846006436E-4</v>
      </c>
      <c r="R124" s="9">
        <f>F124*$C$14</f>
        <v>1.4999999999999999E-4</v>
      </c>
      <c r="S124" s="9">
        <f t="shared" ref="S124:S127" si="73">$R124*L124</f>
        <v>7.499665750337243E-7</v>
      </c>
      <c r="T124" s="9">
        <f t="shared" ref="T124:T127" si="74">R124*K124</f>
        <v>3.0946426865406918E-5</v>
      </c>
      <c r="U124" s="9">
        <f t="shared" ref="U124:U127" si="75">$R124*M124</f>
        <v>1.4925003342496627E-4</v>
      </c>
      <c r="V124" s="102">
        <f t="shared" ref="V124:V127" si="76">K124/M124</f>
        <v>0.2073461972185412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276</v>
      </c>
      <c r="C125" s="46" t="s">
        <v>277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278</v>
      </c>
      <c r="C126" s="46" t="s">
        <v>279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0.34290559098075568</v>
      </c>
      <c r="J126" s="54">
        <f t="shared" si="67"/>
        <v>0.63134408871011904</v>
      </c>
      <c r="K126" s="55">
        <f t="shared" si="68"/>
        <v>0.45052132020938707</v>
      </c>
      <c r="L126" s="55">
        <f t="shared" si="69"/>
        <v>2.5837688949516403E-3</v>
      </c>
      <c r="M126" s="55">
        <f t="shared" si="52"/>
        <v>0.9974162311050484</v>
      </c>
      <c r="N126" s="55">
        <f t="shared" si="70"/>
        <v>1.3119992332831258E-3</v>
      </c>
      <c r="O126" s="56">
        <f t="shared" si="53"/>
        <v>4.5347099505739681E-7</v>
      </c>
      <c r="P126" s="56">
        <f t="shared" si="71"/>
        <v>1.9404104401086822E-6</v>
      </c>
      <c r="Q126" s="56">
        <f t="shared" si="72"/>
        <v>1.9706228483912542E-4</v>
      </c>
      <c r="R126" s="9">
        <f>F126*$C$14</f>
        <v>1.4999999999999999E-4</v>
      </c>
      <c r="S126" s="9">
        <f t="shared" si="73"/>
        <v>3.8756533424274602E-7</v>
      </c>
      <c r="T126" s="9">
        <f t="shared" si="74"/>
        <v>6.7578198031408054E-5</v>
      </c>
      <c r="U126" s="9">
        <f t="shared" si="75"/>
        <v>1.4961243466575725E-4</v>
      </c>
      <c r="V126" s="102">
        <f t="shared" si="76"/>
        <v>0.45168837859220473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280</v>
      </c>
      <c r="C127" s="46" t="s">
        <v>281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5.456801422185465E-4</v>
      </c>
      <c r="J127" s="54">
        <f t="shared" si="67"/>
        <v>9.5943034079013759E-4</v>
      </c>
      <c r="K127" s="55">
        <f t="shared" si="68"/>
        <v>0.99224656209836226</v>
      </c>
      <c r="L127" s="55">
        <f t="shared" si="69"/>
        <v>1.3328254042827233E-3</v>
      </c>
      <c r="M127" s="55">
        <f t="shared" si="52"/>
        <v>0.9986671745957173</v>
      </c>
      <c r="N127" s="55">
        <f t="shared" si="70"/>
        <v>7.9021057256374783E-6</v>
      </c>
      <c r="O127" s="56">
        <f t="shared" si="53"/>
        <v>9.9874304649533909E-7</v>
      </c>
      <c r="P127" s="56">
        <f t="shared" si="71"/>
        <v>1.0009518786163253E-6</v>
      </c>
      <c r="Q127" s="56">
        <f t="shared" si="72"/>
        <v>1.1868962799907488E-6</v>
      </c>
      <c r="R127" s="9">
        <f>F127*$C$14</f>
        <v>1.4999999999999999E-4</v>
      </c>
      <c r="S127" s="9">
        <f t="shared" si="73"/>
        <v>1.9992381064240848E-7</v>
      </c>
      <c r="T127" s="9">
        <f t="shared" si="74"/>
        <v>1.4883698431475433E-4</v>
      </c>
      <c r="U127" s="9">
        <f t="shared" si="75"/>
        <v>1.4980007618935759E-4</v>
      </c>
      <c r="V127" s="102">
        <f t="shared" si="76"/>
        <v>0.99357081852624796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282</v>
      </c>
      <c r="C128" s="46" t="s">
        <v>283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284</v>
      </c>
      <c r="C129" s="46" t="s">
        <v>285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286</v>
      </c>
      <c r="C130" s="46" t="s">
        <v>287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2.0637855846763784E-2</v>
      </c>
      <c r="J130" s="54">
        <f t="shared" si="78"/>
        <v>3.1510352752518005E-2</v>
      </c>
      <c r="K130" s="55">
        <f t="shared" si="79"/>
        <v>0.94735623659186829</v>
      </c>
      <c r="L130" s="55">
        <f t="shared" si="80"/>
        <v>1.3652679653169482E-3</v>
      </c>
      <c r="M130" s="55">
        <f t="shared" si="81"/>
        <v>0.998634732034683</v>
      </c>
      <c r="N130" s="55">
        <f t="shared" si="82"/>
        <v>3.8329182066118548E-5</v>
      </c>
      <c r="O130" s="56">
        <f t="shared" si="83"/>
        <v>9.53558812891435E-7</v>
      </c>
      <c r="P130" s="56">
        <f t="shared" si="84"/>
        <v>1.0253162419530282E-6</v>
      </c>
      <c r="Q130" s="56">
        <f t="shared" si="85"/>
        <v>5.7570431463310041E-6</v>
      </c>
      <c r="R130" s="9">
        <f>F130*$C$14</f>
        <v>1.4999999999999999E-4</v>
      </c>
      <c r="S130" s="9">
        <f t="shared" ref="S130:S131" si="86">$R130*L130</f>
        <v>2.047901947975422E-7</v>
      </c>
      <c r="T130" s="9">
        <f t="shared" ref="T130:T131" si="87">R130*K130</f>
        <v>1.4210343548878024E-4</v>
      </c>
      <c r="U130" s="9">
        <f t="shared" ref="U130:U131" si="88">$R130*M130</f>
        <v>1.4979520980520244E-4</v>
      </c>
      <c r="V130" s="102">
        <f t="shared" ref="V130:V131" si="89">K130/M130</f>
        <v>0.94865139995848469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288</v>
      </c>
      <c r="C131" s="46" t="s">
        <v>289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-5.8338548275705044E-4</v>
      </c>
      <c r="J131" s="54">
        <f t="shared" si="78"/>
        <v>-1.4833307878910978E-3</v>
      </c>
      <c r="K131" s="55">
        <f t="shared" si="79"/>
        <v>0.99483353549797937</v>
      </c>
      <c r="L131" s="55">
        <f t="shared" si="80"/>
        <v>1.3288051871922508E-3</v>
      </c>
      <c r="M131" s="55">
        <f t="shared" si="81"/>
        <v>0.99867119481280775</v>
      </c>
      <c r="N131" s="55">
        <f t="shared" si="82"/>
        <v>3.8041676659598296E-6</v>
      </c>
      <c r="O131" s="56">
        <f t="shared" si="83"/>
        <v>1.0013469574515757E-6</v>
      </c>
      <c r="P131" s="56">
        <f t="shared" si="84"/>
        <v>9.9793269558138004E-7</v>
      </c>
      <c r="Q131" s="56">
        <f t="shared" si="85"/>
        <v>5.7138598342716626E-7</v>
      </c>
      <c r="R131" s="9">
        <f>F131*$C$14</f>
        <v>1.4999999999999999E-4</v>
      </c>
      <c r="S131" s="9">
        <f t="shared" si="86"/>
        <v>1.993207780788376E-7</v>
      </c>
      <c r="T131" s="9">
        <f t="shared" si="87"/>
        <v>1.4922503032469689E-4</v>
      </c>
      <c r="U131" s="9">
        <f t="shared" si="88"/>
        <v>1.4980067922192115E-4</v>
      </c>
      <c r="V131" s="102">
        <f t="shared" si="89"/>
        <v>0.99615723439830695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290</v>
      </c>
      <c r="C132" s="46" t="s">
        <v>291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292</v>
      </c>
      <c r="C133" s="46" t="s">
        <v>293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97</v>
      </c>
      <c r="C134" s="46" t="s">
        <v>294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2024-10-28T22:41:36Z</dcterms:modified>
</cp:coreProperties>
</file>