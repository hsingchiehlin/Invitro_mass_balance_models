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5467B628-8BF0-4770-AA8E-E4AA557D0873}" xr6:coauthVersionLast="47" xr6:coauthVersionMax="47" xr10:uidLastSave="{00000000-0000-0000-0000-000000000000}"/>
  <bookViews>
    <workbookView xWindow="43080" yWindow="-120" windowWidth="29040" windowHeight="15720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T143" i="4"/>
  <c r="S143" i="4"/>
  <c r="R143" i="4"/>
  <c r="V142" i="4"/>
  <c r="R142" i="4"/>
  <c r="V141" i="4"/>
  <c r="U141" i="4"/>
  <c r="R141" i="4"/>
  <c r="T141" i="4" s="1"/>
  <c r="V140" i="4"/>
  <c r="R140" i="4"/>
  <c r="V139" i="4"/>
  <c r="U139" i="4"/>
  <c r="T139" i="4"/>
  <c r="S139" i="4"/>
  <c r="R139" i="4"/>
  <c r="V138" i="4"/>
  <c r="T138" i="4"/>
  <c r="R138" i="4"/>
  <c r="U138" i="4" s="1"/>
  <c r="V137" i="4"/>
  <c r="U137" i="4"/>
  <c r="T137" i="4"/>
  <c r="S137" i="4"/>
  <c r="R137" i="4"/>
  <c r="V136" i="4"/>
  <c r="R136" i="4"/>
  <c r="U136" i="4" s="1"/>
  <c r="V135" i="4"/>
  <c r="R135" i="4"/>
  <c r="V134" i="4"/>
  <c r="U134" i="4"/>
  <c r="T134" i="4"/>
  <c r="R134" i="4"/>
  <c r="S134" i="4" s="1"/>
  <c r="V133" i="4"/>
  <c r="R133" i="4"/>
  <c r="U133" i="4" s="1"/>
  <c r="V132" i="4"/>
  <c r="R132" i="4"/>
  <c r="S132" i="4" s="1"/>
  <c r="V131" i="4"/>
  <c r="U131" i="4"/>
  <c r="T131" i="4"/>
  <c r="S131" i="4"/>
  <c r="R131" i="4"/>
  <c r="V130" i="4"/>
  <c r="R130" i="4"/>
  <c r="S130" i="4" s="1"/>
  <c r="V129" i="4"/>
  <c r="U129" i="4"/>
  <c r="R129" i="4"/>
  <c r="T129" i="4" s="1"/>
  <c r="V128" i="4"/>
  <c r="R128" i="4"/>
  <c r="V127" i="4"/>
  <c r="U127" i="4"/>
  <c r="T127" i="4"/>
  <c r="S127" i="4"/>
  <c r="R127" i="4"/>
  <c r="V126" i="4"/>
  <c r="T126" i="4"/>
  <c r="R126" i="4"/>
  <c r="U126" i="4" s="1"/>
  <c r="V125" i="4"/>
  <c r="U125" i="4"/>
  <c r="T125" i="4"/>
  <c r="R125" i="4"/>
  <c r="S125" i="4" s="1"/>
  <c r="V124" i="4"/>
  <c r="R124" i="4"/>
  <c r="U124" i="4" s="1"/>
  <c r="V123" i="4"/>
  <c r="R123" i="4"/>
  <c r="V122" i="4"/>
  <c r="U122" i="4"/>
  <c r="T122" i="4"/>
  <c r="R122" i="4"/>
  <c r="S122" i="4" s="1"/>
  <c r="V121" i="4"/>
  <c r="R121" i="4"/>
  <c r="U121" i="4" s="1"/>
  <c r="V120" i="4"/>
  <c r="R120" i="4"/>
  <c r="T120" i="4" s="1"/>
  <c r="V119" i="4"/>
  <c r="U119" i="4"/>
  <c r="T119" i="4"/>
  <c r="S119" i="4"/>
  <c r="R119" i="4"/>
  <c r="V118" i="4"/>
  <c r="R118" i="4"/>
  <c r="U118" i="4" s="1"/>
  <c r="V117" i="4"/>
  <c r="U117" i="4"/>
  <c r="R117" i="4"/>
  <c r="T117" i="4" s="1"/>
  <c r="V116" i="4"/>
  <c r="R116" i="4"/>
  <c r="V115" i="4"/>
  <c r="U115" i="4"/>
  <c r="T115" i="4"/>
  <c r="S115" i="4"/>
  <c r="R115" i="4"/>
  <c r="V114" i="4"/>
  <c r="T114" i="4"/>
  <c r="R114" i="4"/>
  <c r="U114" i="4" s="1"/>
  <c r="V113" i="4"/>
  <c r="S113" i="4"/>
  <c r="R113" i="4"/>
  <c r="U113" i="4" s="1"/>
  <c r="V112" i="4"/>
  <c r="R112" i="4"/>
  <c r="U112" i="4" s="1"/>
  <c r="V111" i="4"/>
  <c r="R111" i="4"/>
  <c r="V110" i="4"/>
  <c r="U110" i="4"/>
  <c r="T110" i="4"/>
  <c r="R110" i="4"/>
  <c r="S110" i="4" s="1"/>
  <c r="V109" i="4"/>
  <c r="R109" i="4"/>
  <c r="U109" i="4" s="1"/>
  <c r="V108" i="4"/>
  <c r="U108" i="4"/>
  <c r="T108" i="4"/>
  <c r="S108" i="4"/>
  <c r="R108" i="4"/>
  <c r="R107" i="4"/>
  <c r="V106" i="4"/>
  <c r="T106" i="4"/>
  <c r="R106" i="4"/>
  <c r="U106" i="4" s="1"/>
  <c r="V105" i="4"/>
  <c r="U105" i="4"/>
  <c r="T105" i="4"/>
  <c r="S105" i="4"/>
  <c r="R105" i="4"/>
  <c r="V104" i="4"/>
  <c r="R104" i="4"/>
  <c r="U104" i="4" s="1"/>
  <c r="V103" i="4"/>
  <c r="R103" i="4"/>
  <c r="V102" i="4"/>
  <c r="U102" i="4"/>
  <c r="T102" i="4"/>
  <c r="R102" i="4"/>
  <c r="S102" i="4" s="1"/>
  <c r="V101" i="4"/>
  <c r="R101" i="4"/>
  <c r="U101" i="4" s="1"/>
  <c r="R100" i="4"/>
  <c r="V99" i="4"/>
  <c r="U99" i="4"/>
  <c r="T99" i="4"/>
  <c r="S99" i="4"/>
  <c r="R99" i="4"/>
  <c r="V98" i="4"/>
  <c r="T98" i="4"/>
  <c r="R98" i="4"/>
  <c r="U98" i="4" s="1"/>
  <c r="R97" i="4"/>
  <c r="V96" i="4"/>
  <c r="U96" i="4"/>
  <c r="R96" i="4"/>
  <c r="T96" i="4" s="1"/>
  <c r="V95" i="4"/>
  <c r="U95" i="4"/>
  <c r="T95" i="4"/>
  <c r="S95" i="4"/>
  <c r="R95" i="4"/>
  <c r="V94" i="4"/>
  <c r="S94" i="4"/>
  <c r="R94" i="4"/>
  <c r="U94" i="4" s="1"/>
  <c r="V93" i="4"/>
  <c r="U93" i="4"/>
  <c r="R93" i="4"/>
  <c r="T93" i="4" s="1"/>
  <c r="V92" i="4"/>
  <c r="R92" i="4"/>
  <c r="V91" i="4"/>
  <c r="U91" i="4"/>
  <c r="T91" i="4"/>
  <c r="S91" i="4"/>
  <c r="R91" i="4"/>
  <c r="V90" i="4"/>
  <c r="T90" i="4"/>
  <c r="R90" i="4"/>
  <c r="U90" i="4" s="1"/>
  <c r="V89" i="4"/>
  <c r="U89" i="4"/>
  <c r="R89" i="4"/>
  <c r="T89" i="4" s="1"/>
  <c r="V88" i="4"/>
  <c r="R88" i="4"/>
  <c r="U88" i="4" s="1"/>
  <c r="V87" i="4"/>
  <c r="R87" i="4"/>
  <c r="S87" i="4" s="1"/>
  <c r="V86" i="4"/>
  <c r="U86" i="4"/>
  <c r="T86" i="4"/>
  <c r="R86" i="4"/>
  <c r="S86" i="4" s="1"/>
  <c r="V85" i="4"/>
  <c r="R85" i="4"/>
  <c r="U85" i="4" s="1"/>
  <c r="V84" i="4"/>
  <c r="R84" i="4"/>
  <c r="U84" i="4" s="1"/>
  <c r="V83" i="4"/>
  <c r="U83" i="4"/>
  <c r="T83" i="4"/>
  <c r="S83" i="4"/>
  <c r="R83" i="4"/>
  <c r="V82" i="4"/>
  <c r="R82" i="4"/>
  <c r="U82" i="4" s="1"/>
  <c r="V81" i="4"/>
  <c r="U81" i="4"/>
  <c r="R81" i="4"/>
  <c r="T81" i="4" s="1"/>
  <c r="V80" i="4"/>
  <c r="R80" i="4"/>
  <c r="V79" i="4"/>
  <c r="U79" i="4"/>
  <c r="T79" i="4"/>
  <c r="S79" i="4"/>
  <c r="R79" i="4"/>
  <c r="V78" i="4"/>
  <c r="T78" i="4"/>
  <c r="R78" i="4"/>
  <c r="U78" i="4" s="1"/>
  <c r="V77" i="4"/>
  <c r="U77" i="4"/>
  <c r="T77" i="4"/>
  <c r="S77" i="4"/>
  <c r="R77" i="4"/>
  <c r="V76" i="4"/>
  <c r="R76" i="4"/>
  <c r="U76" i="4" s="1"/>
  <c r="V75" i="4"/>
  <c r="R75" i="4"/>
  <c r="V74" i="4"/>
  <c r="U74" i="4"/>
  <c r="T74" i="4"/>
  <c r="R74" i="4"/>
  <c r="S74" i="4" s="1"/>
  <c r="V73" i="4"/>
  <c r="R73" i="4"/>
  <c r="U73" i="4" s="1"/>
  <c r="V72" i="4"/>
  <c r="U72" i="4"/>
  <c r="T72" i="4"/>
  <c r="R72" i="4"/>
  <c r="S72" i="4" s="1"/>
  <c r="V71" i="4"/>
  <c r="U71" i="4"/>
  <c r="T71" i="4"/>
  <c r="S71" i="4"/>
  <c r="R71" i="4"/>
  <c r="V70" i="4"/>
  <c r="T70" i="4"/>
  <c r="R70" i="4"/>
  <c r="U70" i="4" s="1"/>
  <c r="V69" i="4"/>
  <c r="U69" i="4"/>
  <c r="R69" i="4"/>
  <c r="T69" i="4" s="1"/>
  <c r="V68" i="4"/>
  <c r="R68" i="4"/>
  <c r="V67" i="4"/>
  <c r="U67" i="4"/>
  <c r="T67" i="4"/>
  <c r="S67" i="4"/>
  <c r="R67" i="4"/>
  <c r="V66" i="4"/>
  <c r="T66" i="4"/>
  <c r="R66" i="4"/>
  <c r="U66" i="4" s="1"/>
  <c r="V65" i="4"/>
  <c r="R65" i="4"/>
  <c r="U65" i="4" s="1"/>
  <c r="V64" i="4"/>
  <c r="R64" i="4"/>
  <c r="U64" i="4" s="1"/>
  <c r="V63" i="4"/>
  <c r="S63" i="4"/>
  <c r="R63" i="4"/>
  <c r="V62" i="4"/>
  <c r="U62" i="4"/>
  <c r="T62" i="4"/>
  <c r="R62" i="4"/>
  <c r="S62" i="4" s="1"/>
  <c r="V61" i="4"/>
  <c r="R61" i="4"/>
  <c r="U61" i="4" s="1"/>
  <c r="V60" i="4"/>
  <c r="S60" i="4"/>
  <c r="R60" i="4"/>
  <c r="U60" i="4" s="1"/>
  <c r="V59" i="4"/>
  <c r="U59" i="4"/>
  <c r="T59" i="4"/>
  <c r="S59" i="4"/>
  <c r="R59" i="4"/>
  <c r="V58" i="4"/>
  <c r="R58" i="4"/>
  <c r="U58" i="4" s="1"/>
  <c r="V57" i="4"/>
  <c r="U57" i="4"/>
  <c r="R57" i="4"/>
  <c r="T57" i="4" s="1"/>
  <c r="V56" i="4"/>
  <c r="R56" i="4"/>
  <c r="V55" i="4"/>
  <c r="U55" i="4"/>
  <c r="T55" i="4"/>
  <c r="S55" i="4"/>
  <c r="R55" i="4"/>
  <c r="V54" i="4"/>
  <c r="T54" i="4"/>
  <c r="R54" i="4"/>
  <c r="U54" i="4" s="1"/>
  <c r="V53" i="4"/>
  <c r="U53" i="4"/>
  <c r="R53" i="4"/>
  <c r="T53" i="4" s="1"/>
  <c r="V52" i="4"/>
  <c r="R52" i="4"/>
  <c r="U52" i="4" s="1"/>
  <c r="V51" i="4"/>
  <c r="R51" i="4"/>
  <c r="S51" i="4" s="1"/>
  <c r="V50" i="4"/>
  <c r="U50" i="4"/>
  <c r="T50" i="4"/>
  <c r="R50" i="4"/>
  <c r="S50" i="4" s="1"/>
  <c r="V49" i="4"/>
  <c r="R49" i="4"/>
  <c r="U49" i="4" s="1"/>
  <c r="V48" i="4"/>
  <c r="R48" i="4"/>
  <c r="U48" i="4" s="1"/>
  <c r="V47" i="4"/>
  <c r="U47" i="4"/>
  <c r="T47" i="4"/>
  <c r="S47" i="4"/>
  <c r="R47" i="4"/>
  <c r="V46" i="4"/>
  <c r="T46" i="4"/>
  <c r="S46" i="4"/>
  <c r="R46" i="4"/>
  <c r="U46" i="4" s="1"/>
  <c r="V45" i="4"/>
  <c r="U45" i="4"/>
  <c r="R45" i="4"/>
  <c r="T45" i="4" s="1"/>
  <c r="V44" i="4"/>
  <c r="R44" i="4"/>
  <c r="V43" i="4"/>
  <c r="U43" i="4"/>
  <c r="T43" i="4"/>
  <c r="S43" i="4"/>
  <c r="R43" i="4"/>
  <c r="V42" i="4"/>
  <c r="T42" i="4"/>
  <c r="R42" i="4"/>
  <c r="U42" i="4" s="1"/>
  <c r="V41" i="4"/>
  <c r="R41" i="4"/>
  <c r="U41" i="4" s="1"/>
  <c r="V40" i="4"/>
  <c r="R40" i="4"/>
  <c r="U40" i="4" s="1"/>
  <c r="V39" i="4"/>
  <c r="R39" i="4"/>
  <c r="V38" i="4"/>
  <c r="U38" i="4"/>
  <c r="T38" i="4"/>
  <c r="R38" i="4"/>
  <c r="S38" i="4" s="1"/>
  <c r="V37" i="4"/>
  <c r="R37" i="4"/>
  <c r="U37" i="4" s="1"/>
  <c r="V36" i="4"/>
  <c r="U36" i="4"/>
  <c r="T36" i="4"/>
  <c r="R36" i="4"/>
  <c r="S36" i="4" s="1"/>
  <c r="V35" i="4"/>
  <c r="U35" i="4"/>
  <c r="T35" i="4"/>
  <c r="S35" i="4"/>
  <c r="R35" i="4"/>
  <c r="V34" i="4"/>
  <c r="R34" i="4"/>
  <c r="U34" i="4" s="1"/>
  <c r="V33" i="4"/>
  <c r="U33" i="4"/>
  <c r="R33" i="4"/>
  <c r="T33" i="4" s="1"/>
  <c r="V32" i="4"/>
  <c r="R32" i="4"/>
  <c r="V31" i="4"/>
  <c r="U31" i="4"/>
  <c r="T31" i="4"/>
  <c r="S31" i="4"/>
  <c r="R31" i="4"/>
  <c r="V30" i="4"/>
  <c r="T30" i="4"/>
  <c r="R30" i="4"/>
  <c r="U30" i="4" s="1"/>
  <c r="V29" i="4"/>
  <c r="U29" i="4"/>
  <c r="R29" i="4"/>
  <c r="T29" i="4" s="1"/>
  <c r="V28" i="4"/>
  <c r="R28" i="4"/>
  <c r="U28" i="4" s="1"/>
  <c r="I135" i="4"/>
  <c r="J135" i="4"/>
  <c r="K135" i="4" s="1"/>
  <c r="O135" i="4" s="1"/>
  <c r="P135" i="4" s="1"/>
  <c r="I136" i="4"/>
  <c r="L136" i="4" s="1"/>
  <c r="M136" i="4" s="1"/>
  <c r="J136" i="4"/>
  <c r="K136" i="4" s="1"/>
  <c r="O136" i="4" s="1"/>
  <c r="P136" i="4" s="1"/>
  <c r="I137" i="4"/>
  <c r="L137" i="4" s="1"/>
  <c r="M137" i="4" s="1"/>
  <c r="J137" i="4"/>
  <c r="K137" i="4" s="1"/>
  <c r="O137" i="4" s="1"/>
  <c r="P137" i="4" s="1"/>
  <c r="I138" i="4"/>
  <c r="L138" i="4" s="1"/>
  <c r="M138" i="4" s="1"/>
  <c r="J138" i="4"/>
  <c r="K138" i="4"/>
  <c r="O138" i="4" s="1"/>
  <c r="P138" i="4" s="1"/>
  <c r="I139" i="4"/>
  <c r="J139" i="4"/>
  <c r="K139" i="4" s="1"/>
  <c r="O139" i="4" s="1"/>
  <c r="P139" i="4" s="1"/>
  <c r="I140" i="4"/>
  <c r="N140" i="4" s="1"/>
  <c r="Q140" i="4" s="1"/>
  <c r="J140" i="4"/>
  <c r="L140" i="4" s="1"/>
  <c r="M140" i="4" s="1"/>
  <c r="K140" i="4"/>
  <c r="O140" i="4" s="1"/>
  <c r="P140" i="4" s="1"/>
  <c r="I141" i="4"/>
  <c r="L141" i="4" s="1"/>
  <c r="M141" i="4" s="1"/>
  <c r="J141" i="4"/>
  <c r="K141" i="4" s="1"/>
  <c r="O141" i="4" s="1"/>
  <c r="P141" i="4" s="1"/>
  <c r="I142" i="4"/>
  <c r="J142" i="4"/>
  <c r="K142" i="4"/>
  <c r="O142" i="4" s="1"/>
  <c r="P142" i="4" s="1"/>
  <c r="L142" i="4"/>
  <c r="M142" i="4"/>
  <c r="N142" i="4"/>
  <c r="Q142" i="4" s="1"/>
  <c r="I143" i="4"/>
  <c r="L143" i="4" s="1"/>
  <c r="M143" i="4" s="1"/>
  <c r="J143" i="4"/>
  <c r="K143" i="4" s="1"/>
  <c r="O143" i="4" s="1"/>
  <c r="P143" i="4" s="1"/>
  <c r="S34" i="4" l="1"/>
  <c r="T60" i="4"/>
  <c r="T94" i="4"/>
  <c r="T113" i="4"/>
  <c r="U123" i="4"/>
  <c r="T123" i="4"/>
  <c r="U44" i="4"/>
  <c r="T44" i="4"/>
  <c r="S44" i="4"/>
  <c r="S84" i="4"/>
  <c r="S123" i="4"/>
  <c r="T41" i="4"/>
  <c r="S120" i="4"/>
  <c r="T58" i="4"/>
  <c r="S65" i="4"/>
  <c r="U142" i="4"/>
  <c r="T142" i="4"/>
  <c r="S48" i="4"/>
  <c r="T65" i="4"/>
  <c r="U75" i="4"/>
  <c r="T75" i="4"/>
  <c r="S82" i="4"/>
  <c r="U103" i="4"/>
  <c r="T103" i="4"/>
  <c r="U120" i="4"/>
  <c r="S142" i="4"/>
  <c r="S29" i="4"/>
  <c r="U32" i="4"/>
  <c r="T32" i="4"/>
  <c r="T48" i="4"/>
  <c r="S75" i="4"/>
  <c r="T82" i="4"/>
  <c r="S89" i="4"/>
  <c r="U92" i="4"/>
  <c r="T92" i="4"/>
  <c r="S92" i="4"/>
  <c r="S103" i="4"/>
  <c r="U111" i="4"/>
  <c r="T111" i="4"/>
  <c r="S118" i="4"/>
  <c r="U135" i="4"/>
  <c r="T135" i="4"/>
  <c r="S135" i="4"/>
  <c r="S32" i="4"/>
  <c r="S111" i="4"/>
  <c r="T118" i="4"/>
  <c r="U128" i="4"/>
  <c r="T128" i="4"/>
  <c r="S128" i="4"/>
  <c r="U87" i="4"/>
  <c r="T87" i="4"/>
  <c r="U116" i="4"/>
  <c r="T116" i="4"/>
  <c r="S116" i="4"/>
  <c r="U130" i="4"/>
  <c r="T130" i="4"/>
  <c r="T34" i="4"/>
  <c r="S41" i="4"/>
  <c r="U51" i="4"/>
  <c r="T51" i="4"/>
  <c r="S58" i="4"/>
  <c r="T84" i="4"/>
  <c r="U68" i="4"/>
  <c r="T68" i="4"/>
  <c r="S68" i="4"/>
  <c r="U39" i="4"/>
  <c r="T39" i="4"/>
  <c r="S39" i="4"/>
  <c r="S53" i="4"/>
  <c r="U56" i="4"/>
  <c r="T56" i="4"/>
  <c r="S56" i="4"/>
  <c r="S96" i="4"/>
  <c r="T132" i="4"/>
  <c r="U63" i="4"/>
  <c r="T63" i="4"/>
  <c r="S70" i="4"/>
  <c r="U132" i="4"/>
  <c r="U80" i="4"/>
  <c r="T80" i="4"/>
  <c r="S80" i="4"/>
  <c r="U140" i="4"/>
  <c r="T140" i="4"/>
  <c r="S140" i="4"/>
  <c r="S37" i="4"/>
  <c r="S49" i="4"/>
  <c r="S61" i="4"/>
  <c r="S73" i="4"/>
  <c r="S85" i="4"/>
  <c r="S101" i="4"/>
  <c r="S109" i="4"/>
  <c r="S121" i="4"/>
  <c r="S133" i="4"/>
  <c r="S30" i="4"/>
  <c r="T37" i="4"/>
  <c r="S42" i="4"/>
  <c r="T49" i="4"/>
  <c r="S54" i="4"/>
  <c r="T61" i="4"/>
  <c r="S66" i="4"/>
  <c r="T73" i="4"/>
  <c r="S78" i="4"/>
  <c r="T85" i="4"/>
  <c r="S90" i="4"/>
  <c r="S98" i="4"/>
  <c r="T101" i="4"/>
  <c r="S106" i="4"/>
  <c r="T109" i="4"/>
  <c r="S114" i="4"/>
  <c r="T121" i="4"/>
  <c r="S126" i="4"/>
  <c r="T133" i="4"/>
  <c r="S138" i="4"/>
  <c r="S28" i="4"/>
  <c r="S40" i="4"/>
  <c r="S52" i="4"/>
  <c r="S64" i="4"/>
  <c r="S76" i="4"/>
  <c r="S88" i="4"/>
  <c r="S104" i="4"/>
  <c r="S112" i="4"/>
  <c r="S124" i="4"/>
  <c r="S136" i="4"/>
  <c r="T28" i="4"/>
  <c r="S33" i="4"/>
  <c r="T40" i="4"/>
  <c r="S45" i="4"/>
  <c r="T52" i="4"/>
  <c r="S57" i="4"/>
  <c r="T64" i="4"/>
  <c r="S69" i="4"/>
  <c r="T76" i="4"/>
  <c r="S81" i="4"/>
  <c r="T88" i="4"/>
  <c r="S93" i="4"/>
  <c r="T104" i="4"/>
  <c r="T112" i="4"/>
  <c r="S117" i="4"/>
  <c r="T124" i="4"/>
  <c r="S129" i="4"/>
  <c r="T136" i="4"/>
  <c r="S141" i="4"/>
  <c r="L139" i="4"/>
  <c r="M139" i="4" s="1"/>
  <c r="L135" i="4"/>
  <c r="M135" i="4" s="1"/>
  <c r="N137" i="4"/>
  <c r="Q137" i="4" s="1"/>
  <c r="N141" i="4"/>
  <c r="Q141" i="4" s="1"/>
  <c r="N138" i="4"/>
  <c r="Q138" i="4" s="1"/>
  <c r="N143" i="4"/>
  <c r="Q143" i="4" s="1"/>
  <c r="N135" i="4"/>
  <c r="Q135" i="4" s="1"/>
  <c r="N139" i="4"/>
  <c r="Q139" i="4" s="1"/>
  <c r="N136" i="4"/>
  <c r="Q136" i="4" s="1"/>
  <c r="I128" i="4" l="1"/>
  <c r="N128" i="4" s="1"/>
  <c r="Q128" i="4" s="1"/>
  <c r="J128" i="4"/>
  <c r="K128" i="4" s="1"/>
  <c r="O128" i="4" s="1"/>
  <c r="P128" i="4" s="1"/>
  <c r="I129" i="4"/>
  <c r="J129" i="4"/>
  <c r="K129" i="4" s="1"/>
  <c r="O129" i="4" s="1"/>
  <c r="P129" i="4" s="1"/>
  <c r="I130" i="4"/>
  <c r="N130" i="4" s="1"/>
  <c r="Q130" i="4" s="1"/>
  <c r="J130" i="4"/>
  <c r="K130" i="4"/>
  <c r="O130" i="4" s="1"/>
  <c r="P130" i="4" s="1"/>
  <c r="I131" i="4"/>
  <c r="J131" i="4"/>
  <c r="K131" i="4" s="1"/>
  <c r="O131" i="4" s="1"/>
  <c r="P131" i="4" s="1"/>
  <c r="N131" i="4"/>
  <c r="Q131" i="4" s="1"/>
  <c r="I132" i="4"/>
  <c r="J132" i="4"/>
  <c r="K132" i="4"/>
  <c r="O132" i="4" s="1"/>
  <c r="P132" i="4" s="1"/>
  <c r="L132" i="4"/>
  <c r="M132" i="4"/>
  <c r="N132" i="4"/>
  <c r="Q132" i="4" s="1"/>
  <c r="I133" i="4"/>
  <c r="L133" i="4" s="1"/>
  <c r="M133" i="4" s="1"/>
  <c r="J133" i="4"/>
  <c r="K133" i="4" s="1"/>
  <c r="O133" i="4" s="1"/>
  <c r="P133" i="4" s="1"/>
  <c r="I134" i="4"/>
  <c r="L134" i="4" s="1"/>
  <c r="M134" i="4" s="1"/>
  <c r="J134" i="4"/>
  <c r="K134" i="4"/>
  <c r="N134" i="4"/>
  <c r="Q134" i="4" s="1"/>
  <c r="O134" i="4"/>
  <c r="P134" i="4" s="1"/>
  <c r="L129" i="4" l="1"/>
  <c r="M129" i="4" s="1"/>
  <c r="L128" i="4"/>
  <c r="M128" i="4" s="1"/>
  <c r="N133" i="4"/>
  <c r="Q133" i="4" s="1"/>
  <c r="L130" i="4"/>
  <c r="M130" i="4" s="1"/>
  <c r="N129" i="4"/>
  <c r="Q129" i="4" s="1"/>
  <c r="L131" i="4"/>
  <c r="M131" i="4" s="1"/>
  <c r="O15" i="1" l="1"/>
  <c r="L15" i="1"/>
  <c r="N15" i="1"/>
  <c r="M117" i="4"/>
  <c r="J16" i="4"/>
  <c r="J15" i="4"/>
  <c r="J87" i="4"/>
  <c r="K87" i="4"/>
  <c r="O87" i="4" s="1"/>
  <c r="P87" i="4" s="1"/>
  <c r="J122" i="4"/>
  <c r="L122" i="4" s="1"/>
  <c r="M122" i="4" s="1"/>
  <c r="J117" i="4"/>
  <c r="K117" i="4" s="1"/>
  <c r="O117" i="4" s="1"/>
  <c r="P117" i="4" s="1"/>
  <c r="J120" i="4"/>
  <c r="K120" i="4" s="1"/>
  <c r="J101" i="4"/>
  <c r="L101" i="4" s="1"/>
  <c r="M101" i="4" s="1"/>
  <c r="K101" i="4"/>
  <c r="J86" i="4"/>
  <c r="K86" i="4" s="1"/>
  <c r="J85" i="4"/>
  <c r="K85" i="4" s="1"/>
  <c r="J88" i="4"/>
  <c r="K88" i="4" s="1"/>
  <c r="J119" i="4"/>
  <c r="K119" i="4"/>
  <c r="J72" i="4"/>
  <c r="L72" i="4" s="1"/>
  <c r="J103" i="4"/>
  <c r="K103" i="4" s="1"/>
  <c r="O103" i="4" s="1"/>
  <c r="P103" i="4" s="1"/>
  <c r="J118" i="4"/>
  <c r="K118" i="4" s="1"/>
  <c r="O118" i="4" s="1"/>
  <c r="P118" i="4" s="1"/>
  <c r="J104" i="4"/>
  <c r="K104" i="4" s="1"/>
  <c r="O104" i="4" s="1"/>
  <c r="P104" i="4" s="1"/>
  <c r="J90" i="4"/>
  <c r="K90" i="4" s="1"/>
  <c r="J71" i="4"/>
  <c r="K71" i="4" s="1"/>
  <c r="J110" i="4"/>
  <c r="K110" i="4" s="1"/>
  <c r="O110" i="4" s="1"/>
  <c r="P110" i="4" s="1"/>
  <c r="J82" i="4"/>
  <c r="K82" i="4"/>
  <c r="J113" i="4"/>
  <c r="K113" i="4" s="1"/>
  <c r="O113" i="4" s="1"/>
  <c r="P113" i="4" s="1"/>
  <c r="J97" i="4"/>
  <c r="K97" i="4" s="1"/>
  <c r="O97" i="4" s="1"/>
  <c r="P97" i="4" s="1"/>
  <c r="J81" i="4"/>
  <c r="K81" i="4" s="1"/>
  <c r="J116" i="4"/>
  <c r="K116" i="4"/>
  <c r="J100" i="4"/>
  <c r="K100" i="4"/>
  <c r="O100" i="4"/>
  <c r="P100" i="4" s="1"/>
  <c r="J84" i="4"/>
  <c r="K84" i="4" s="1"/>
  <c r="J114" i="4"/>
  <c r="K114" i="4" s="1"/>
  <c r="J78" i="4"/>
  <c r="K78" i="4" s="1"/>
  <c r="J115" i="4"/>
  <c r="K115" i="4" s="1"/>
  <c r="J99" i="4"/>
  <c r="K99" i="4" s="1"/>
  <c r="O99" i="4" s="1"/>
  <c r="P99" i="4" s="1"/>
  <c r="J83" i="4"/>
  <c r="K83" i="4" s="1"/>
  <c r="J102" i="4"/>
  <c r="K102" i="4"/>
  <c r="O102" i="4" s="1"/>
  <c r="P102" i="4" s="1"/>
  <c r="J74" i="4"/>
  <c r="K74" i="4" s="1"/>
  <c r="J125" i="4"/>
  <c r="K125" i="4"/>
  <c r="O125" i="4" s="1"/>
  <c r="P125" i="4" s="1"/>
  <c r="J109" i="4"/>
  <c r="K109" i="4" s="1"/>
  <c r="O109" i="4" s="1"/>
  <c r="P109" i="4" s="1"/>
  <c r="J93" i="4"/>
  <c r="K93" i="4" s="1"/>
  <c r="J77" i="4"/>
  <c r="K77" i="4" s="1"/>
  <c r="J112" i="4"/>
  <c r="K112" i="4"/>
  <c r="J96" i="4"/>
  <c r="K96" i="4"/>
  <c r="J80" i="4"/>
  <c r="K80" i="4" s="1"/>
  <c r="J106" i="4"/>
  <c r="L106" i="4" s="1"/>
  <c r="M106" i="4" s="1"/>
  <c r="K106" i="4"/>
  <c r="O106" i="4" s="1"/>
  <c r="P106" i="4" s="1"/>
  <c r="J127" i="4"/>
  <c r="K127" i="4" s="1"/>
  <c r="J111" i="4"/>
  <c r="K111" i="4" s="1"/>
  <c r="O111" i="4" s="1"/>
  <c r="P111" i="4" s="1"/>
  <c r="J95" i="4"/>
  <c r="K95" i="4" s="1"/>
  <c r="J79" i="4"/>
  <c r="K79" i="4"/>
  <c r="J126" i="4"/>
  <c r="K126" i="4" s="1"/>
  <c r="J94" i="4"/>
  <c r="K94" i="4" s="1"/>
  <c r="O94" i="4" s="1"/>
  <c r="P94" i="4" s="1"/>
  <c r="J121" i="4"/>
  <c r="K121" i="4"/>
  <c r="J105" i="4"/>
  <c r="K105" i="4"/>
  <c r="O105" i="4" s="1"/>
  <c r="P105" i="4" s="1"/>
  <c r="J89" i="4"/>
  <c r="K89" i="4" s="1"/>
  <c r="J73" i="4"/>
  <c r="K73" i="4" s="1"/>
  <c r="J124" i="4"/>
  <c r="K124" i="4"/>
  <c r="J108" i="4"/>
  <c r="K108" i="4" s="1"/>
  <c r="J92" i="4"/>
  <c r="K92" i="4" s="1"/>
  <c r="J76" i="4"/>
  <c r="K76" i="4" s="1"/>
  <c r="J98" i="4"/>
  <c r="L98" i="4" s="1"/>
  <c r="M98" i="4" s="1"/>
  <c r="K98" i="4"/>
  <c r="O98" i="4" s="1"/>
  <c r="P98" i="4" s="1"/>
  <c r="J123" i="4"/>
  <c r="K123" i="4" s="1"/>
  <c r="O123" i="4" s="1"/>
  <c r="P123" i="4" s="1"/>
  <c r="J107" i="4"/>
  <c r="K107" i="4" s="1"/>
  <c r="J91" i="4"/>
  <c r="K91" i="4" s="1"/>
  <c r="J75" i="4"/>
  <c r="K75" i="4" s="1"/>
  <c r="O112" i="4"/>
  <c r="P112" i="4"/>
  <c r="O101" i="4"/>
  <c r="P101" i="4" s="1"/>
  <c r="I76" i="4"/>
  <c r="I77" i="4"/>
  <c r="I81" i="4"/>
  <c r="L81" i="4" s="1"/>
  <c r="I89" i="4"/>
  <c r="I90" i="4"/>
  <c r="I96" i="4"/>
  <c r="L96" i="4" s="1"/>
  <c r="I99" i="4"/>
  <c r="I102" i="4"/>
  <c r="L102" i="4" s="1"/>
  <c r="M102" i="4" s="1"/>
  <c r="I104" i="4"/>
  <c r="N104" i="4" s="1"/>
  <c r="Q104" i="4" s="1"/>
  <c r="I108" i="4"/>
  <c r="L108" i="4" s="1"/>
  <c r="I111" i="4"/>
  <c r="I113" i="4"/>
  <c r="N113" i="4" s="1"/>
  <c r="Q113" i="4" s="1"/>
  <c r="I115" i="4"/>
  <c r="I119" i="4"/>
  <c r="N119" i="4" s="1"/>
  <c r="Q119" i="4" s="1"/>
  <c r="I120" i="4"/>
  <c r="I123" i="4"/>
  <c r="I125" i="4"/>
  <c r="I79" i="4"/>
  <c r="N79" i="4" s="1"/>
  <c r="Q79" i="4" s="1"/>
  <c r="I92" i="4"/>
  <c r="I100" i="4"/>
  <c r="N100" i="4" s="1"/>
  <c r="Q100" i="4" s="1"/>
  <c r="I103" i="4"/>
  <c r="L103" i="4" s="1"/>
  <c r="M103" i="4" s="1"/>
  <c r="I107" i="4"/>
  <c r="N107" i="4" s="1"/>
  <c r="Q107" i="4" s="1"/>
  <c r="I109" i="4"/>
  <c r="N109" i="4" s="1"/>
  <c r="Q109" i="4" s="1"/>
  <c r="I110" i="4"/>
  <c r="N110" i="4" s="1"/>
  <c r="Q110" i="4" s="1"/>
  <c r="I117" i="4"/>
  <c r="I124" i="4"/>
  <c r="I72" i="4"/>
  <c r="N72" i="4" s="1"/>
  <c r="Q72" i="4" s="1"/>
  <c r="I106" i="4"/>
  <c r="N106" i="4" s="1"/>
  <c r="Q106" i="4" s="1"/>
  <c r="I71" i="4"/>
  <c r="I75" i="4"/>
  <c r="N75" i="4" s="1"/>
  <c r="Q75" i="4" s="1"/>
  <c r="I80" i="4"/>
  <c r="N80" i="4" s="1"/>
  <c r="Q80" i="4" s="1"/>
  <c r="I83" i="4"/>
  <c r="N83" i="4" s="1"/>
  <c r="Q83" i="4" s="1"/>
  <c r="I86" i="4"/>
  <c r="I88" i="4"/>
  <c r="N88" i="4" s="1"/>
  <c r="Q88" i="4" s="1"/>
  <c r="I94" i="4"/>
  <c r="L94" i="4" s="1"/>
  <c r="I95" i="4"/>
  <c r="N95" i="4" s="1"/>
  <c r="Q95" i="4" s="1"/>
  <c r="I98" i="4"/>
  <c r="I101" i="4"/>
  <c r="I118" i="4"/>
  <c r="I127" i="4"/>
  <c r="N127" i="4" s="1"/>
  <c r="Q127" i="4" s="1"/>
  <c r="I73" i="4"/>
  <c r="N73" i="4" s="1"/>
  <c r="Q73" i="4" s="1"/>
  <c r="I74" i="4"/>
  <c r="N74" i="4" s="1"/>
  <c r="Q74" i="4" s="1"/>
  <c r="I78" i="4"/>
  <c r="I82" i="4"/>
  <c r="N82" i="4" s="1"/>
  <c r="Q82" i="4" s="1"/>
  <c r="I85" i="4"/>
  <c r="N85" i="4" s="1"/>
  <c r="Q85" i="4" s="1"/>
  <c r="I93" i="4"/>
  <c r="L93" i="4" s="1"/>
  <c r="I112" i="4"/>
  <c r="L112" i="4" s="1"/>
  <c r="M112" i="4" s="1"/>
  <c r="I114" i="4"/>
  <c r="I121" i="4"/>
  <c r="N121" i="4" s="1"/>
  <c r="Q121" i="4" s="1"/>
  <c r="I122" i="4"/>
  <c r="N122" i="4" s="1"/>
  <c r="Q122" i="4" s="1"/>
  <c r="I84" i="4"/>
  <c r="N84" i="4" s="1"/>
  <c r="Q84" i="4" s="1"/>
  <c r="I87" i="4"/>
  <c r="N87" i="4" s="1"/>
  <c r="Q87" i="4" s="1"/>
  <c r="I91" i="4"/>
  <c r="I97" i="4"/>
  <c r="I105" i="4"/>
  <c r="N105" i="4" s="1"/>
  <c r="Q105" i="4" s="1"/>
  <c r="I116" i="4"/>
  <c r="L116" i="4" s="1"/>
  <c r="I126" i="4"/>
  <c r="L126" i="4" s="1"/>
  <c r="L105" i="4"/>
  <c r="M105" i="4" s="1"/>
  <c r="N101" i="4"/>
  <c r="Q101" i="4"/>
  <c r="N124" i="4"/>
  <c r="Q124" i="4" s="1"/>
  <c r="N77" i="4"/>
  <c r="Q77" i="4" s="1"/>
  <c r="L97" i="4"/>
  <c r="M97" i="4" s="1"/>
  <c r="N97" i="4"/>
  <c r="Q97" i="4"/>
  <c r="N98" i="4"/>
  <c r="Q98" i="4"/>
  <c r="N117" i="4"/>
  <c r="Q117" i="4"/>
  <c r="L117" i="4"/>
  <c r="N115" i="4"/>
  <c r="Q115" i="4" s="1"/>
  <c r="N90" i="4"/>
  <c r="Q90" i="4" s="1"/>
  <c r="N76" i="4"/>
  <c r="Q76" i="4" s="1"/>
  <c r="N91" i="4"/>
  <c r="Q91" i="4" s="1"/>
  <c r="N112" i="4"/>
  <c r="Q112" i="4" s="1"/>
  <c r="N78" i="4"/>
  <c r="Q78" i="4" s="1"/>
  <c r="N123" i="4"/>
  <c r="Q123" i="4" s="1"/>
  <c r="N89" i="4"/>
  <c r="Q89" i="4" s="1"/>
  <c r="N116" i="4"/>
  <c r="Q116" i="4" s="1"/>
  <c r="N118" i="4"/>
  <c r="Q118" i="4"/>
  <c r="N120" i="4"/>
  <c r="Q120" i="4"/>
  <c r="N111" i="4"/>
  <c r="Q111" i="4"/>
  <c r="N99" i="4"/>
  <c r="Q99" i="4"/>
  <c r="L99" i="4"/>
  <c r="M99" i="4" s="1"/>
  <c r="L80" i="4" l="1"/>
  <c r="L110" i="4"/>
  <c r="M110" i="4" s="1"/>
  <c r="L77" i="4"/>
  <c r="L92" i="4"/>
  <c r="N94" i="4"/>
  <c r="Q94" i="4" s="1"/>
  <c r="L89" i="4"/>
  <c r="N103" i="4"/>
  <c r="Q103" i="4" s="1"/>
  <c r="L71" i="4"/>
  <c r="L125" i="4"/>
  <c r="M125" i="4" s="1"/>
  <c r="L90" i="4"/>
  <c r="K72" i="4"/>
  <c r="O72" i="4" s="1"/>
  <c r="P72" i="4" s="1"/>
  <c r="K122" i="4"/>
  <c r="O122" i="4" s="1"/>
  <c r="P122" i="4" s="1"/>
  <c r="L86" i="4"/>
  <c r="L113" i="4"/>
  <c r="M113" i="4" s="1"/>
  <c r="L95" i="4"/>
  <c r="L127" i="4"/>
  <c r="M127" i="4" s="1"/>
  <c r="L109" i="4"/>
  <c r="M109" i="4" s="1"/>
  <c r="O107" i="4"/>
  <c r="P107" i="4" s="1"/>
  <c r="M126" i="4"/>
  <c r="M71" i="4"/>
  <c r="M90" i="4"/>
  <c r="O126" i="4"/>
  <c r="P126" i="4" s="1"/>
  <c r="O71" i="4"/>
  <c r="P71" i="4" s="1"/>
  <c r="O115" i="4"/>
  <c r="P115" i="4" s="1"/>
  <c r="O82" i="4"/>
  <c r="P82" i="4" s="1"/>
  <c r="L118" i="4"/>
  <c r="M118" i="4" s="1"/>
  <c r="L104" i="4"/>
  <c r="M104" i="4" s="1"/>
  <c r="L78" i="4"/>
  <c r="O76" i="4"/>
  <c r="P76" i="4" s="1"/>
  <c r="N102" i="4"/>
  <c r="Q102" i="4" s="1"/>
  <c r="N96" i="4"/>
  <c r="Q96" i="4" s="1"/>
  <c r="O121" i="4"/>
  <c r="P121" i="4" s="1"/>
  <c r="O108" i="4"/>
  <c r="P108" i="4" s="1"/>
  <c r="M116" i="4"/>
  <c r="O120" i="4"/>
  <c r="P120" i="4" s="1"/>
  <c r="O114" i="4"/>
  <c r="P114" i="4" s="1"/>
  <c r="L111" i="4"/>
  <c r="M111" i="4" s="1"/>
  <c r="L82" i="4"/>
  <c r="L115" i="4"/>
  <c r="L75" i="4"/>
  <c r="O124" i="4"/>
  <c r="P124" i="4" s="1"/>
  <c r="O83" i="4"/>
  <c r="P83" i="4" s="1"/>
  <c r="N126" i="4"/>
  <c r="Q126" i="4" s="1"/>
  <c r="N125" i="4"/>
  <c r="Q125" i="4" s="1"/>
  <c r="N71" i="4"/>
  <c r="Q71" i="4" s="1"/>
  <c r="N108" i="4"/>
  <c r="Q108" i="4" s="1"/>
  <c r="L91" i="4"/>
  <c r="L124" i="4"/>
  <c r="O79" i="4"/>
  <c r="P79" i="4" s="1"/>
  <c r="O85" i="4"/>
  <c r="P85" i="4" s="1"/>
  <c r="L119" i="4"/>
  <c r="L79" i="4"/>
  <c r="M108" i="4"/>
  <c r="L123" i="4"/>
  <c r="M123" i="4" s="1"/>
  <c r="O127" i="4"/>
  <c r="P127" i="4" s="1"/>
  <c r="L100" i="4"/>
  <c r="M100" i="4" s="1"/>
  <c r="O91" i="4"/>
  <c r="P91" i="4" s="1"/>
  <c r="N81" i="4"/>
  <c r="Q81" i="4" s="1"/>
  <c r="L114" i="4"/>
  <c r="L73" i="4"/>
  <c r="O74" i="4"/>
  <c r="P74" i="4" s="1"/>
  <c r="O116" i="4"/>
  <c r="P116" i="4" s="1"/>
  <c r="L87" i="4"/>
  <c r="M87" i="4" s="1"/>
  <c r="O119" i="4"/>
  <c r="P119" i="4" s="1"/>
  <c r="L120" i="4"/>
  <c r="L107" i="4"/>
  <c r="N92" i="4"/>
  <c r="Q92" i="4" s="1"/>
  <c r="L74" i="4"/>
  <c r="N114" i="4"/>
  <c r="Q114" i="4" s="1"/>
  <c r="L83" i="4"/>
  <c r="N86" i="4"/>
  <c r="Q86" i="4" s="1"/>
  <c r="L121" i="4"/>
  <c r="L84" i="4"/>
  <c r="L76" i="4"/>
  <c r="M86" i="4"/>
  <c r="O84" i="4"/>
  <c r="P84" i="4" s="1"/>
  <c r="O95" i="4"/>
  <c r="P95" i="4" s="1"/>
  <c r="O89" i="4"/>
  <c r="P89" i="4" s="1"/>
  <c r="O88" i="4"/>
  <c r="P88" i="4" s="1"/>
  <c r="M93" i="4"/>
  <c r="O93" i="4"/>
  <c r="P93" i="4" s="1"/>
  <c r="O90" i="4"/>
  <c r="P90" i="4" s="1"/>
  <c r="O81" i="4"/>
  <c r="P81" i="4" s="1"/>
  <c r="O86" i="4"/>
  <c r="P86" i="4" s="1"/>
  <c r="O92" i="4"/>
  <c r="P92" i="4" s="1"/>
  <c r="O78" i="4"/>
  <c r="P78" i="4" s="1"/>
  <c r="O75" i="4"/>
  <c r="P75" i="4" s="1"/>
  <c r="O80" i="4"/>
  <c r="P80" i="4" s="1"/>
  <c r="M89" i="4"/>
  <c r="L85" i="4"/>
  <c r="L88" i="4"/>
  <c r="M75" i="4"/>
  <c r="N93" i="4"/>
  <c r="Q93" i="4" s="1"/>
  <c r="M96" i="4"/>
  <c r="M72" i="4"/>
  <c r="M95" i="4"/>
  <c r="O73" i="4"/>
  <c r="P73" i="4" s="1"/>
  <c r="M94" i="4"/>
  <c r="M81" i="4"/>
  <c r="O96" i="4"/>
  <c r="P96" i="4" s="1"/>
  <c r="O77" i="4"/>
  <c r="P77" i="4" s="1"/>
  <c r="J14" i="4"/>
  <c r="J13" i="4" s="1"/>
  <c r="K16" i="4" s="1"/>
  <c r="M92" i="4" l="1"/>
  <c r="M77" i="4"/>
  <c r="M82" i="4"/>
  <c r="M80" i="4"/>
  <c r="M115" i="4"/>
  <c r="M114" i="4"/>
  <c r="M107" i="4"/>
  <c r="M120" i="4"/>
  <c r="M124" i="4"/>
  <c r="M76" i="4"/>
  <c r="M79" i="4"/>
  <c r="M91" i="4"/>
  <c r="M121" i="4"/>
  <c r="M83" i="4"/>
  <c r="M73" i="4"/>
  <c r="M74" i="4"/>
  <c r="M84" i="4"/>
  <c r="M78" i="4"/>
  <c r="M119" i="4"/>
  <c r="M85" i="4"/>
  <c r="M88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1" i="4" l="1"/>
  <c r="P61" i="4" s="1"/>
  <c r="O60" i="4"/>
  <c r="P60" i="4" s="1"/>
  <c r="O62" i="4"/>
  <c r="P62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70" i="4" l="1"/>
  <c r="M61" i="4"/>
  <c r="M60" i="4"/>
  <c r="M62" i="4"/>
  <c r="M63" i="4"/>
  <c r="O69" i="4"/>
  <c r="P69" i="4" s="1"/>
  <c r="O66" i="4"/>
  <c r="P66" i="4" s="1"/>
  <c r="M58" i="4"/>
  <c r="M66" i="4"/>
  <c r="O64" i="4"/>
  <c r="P64" i="4" s="1"/>
  <c r="M65" i="4"/>
  <c r="M67" i="4"/>
  <c r="O68" i="4"/>
  <c r="P68" i="4" s="1"/>
  <c r="M64" i="4"/>
  <c r="M57" i="4"/>
  <c r="O67" i="4"/>
  <c r="P67" i="4" s="1"/>
  <c r="M68" i="4"/>
  <c r="M69" i="4"/>
  <c r="O65" i="4"/>
  <c r="P65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J45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0" i="4" l="1"/>
  <c r="J43" i="4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K45" i="4"/>
  <c r="L47" i="4"/>
  <c r="K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30" i="4"/>
  <c r="L30" i="4"/>
  <c r="L31" i="4" l="1"/>
  <c r="K35" i="4"/>
  <c r="O35" i="4" s="1"/>
  <c r="P35" i="4" s="1"/>
  <c r="M48" i="4"/>
  <c r="M49" i="4"/>
  <c r="O48" i="4"/>
  <c r="P48" i="4" s="1"/>
  <c r="O49" i="4"/>
  <c r="P49" i="4" s="1"/>
  <c r="O30" i="4"/>
  <c r="P30" i="4" s="1"/>
  <c r="M45" i="4"/>
  <c r="M47" i="4"/>
  <c r="O46" i="4"/>
  <c r="P46" i="4" s="1"/>
  <c r="M43" i="4"/>
  <c r="M39" i="4"/>
  <c r="O47" i="4"/>
  <c r="P47" i="4" s="1"/>
  <c r="O45" i="4"/>
  <c r="P45" i="4" s="1"/>
  <c r="M35" i="4"/>
  <c r="O31" i="4"/>
  <c r="P31" i="4" s="1"/>
  <c r="O33" i="4"/>
  <c r="P33" i="4" s="1"/>
  <c r="O43" i="4"/>
  <c r="P43" i="4" s="1"/>
  <c r="O28" i="4"/>
  <c r="P28" i="4" s="1"/>
  <c r="O39" i="4"/>
  <c r="P39" i="4" s="1"/>
  <c r="M44" i="4"/>
  <c r="K36" i="4"/>
  <c r="O41" i="4"/>
  <c r="P41" i="4" s="1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31" i="4" l="1"/>
  <c r="O32" i="4"/>
  <c r="P32" i="4" s="1"/>
  <c r="O42" i="4"/>
  <c r="P42" i="4" s="1"/>
  <c r="O36" i="4"/>
  <c r="P36" i="4" s="1"/>
  <c r="O29" i="4"/>
  <c r="P29" i="4" s="1"/>
  <c r="O38" i="4"/>
  <c r="P38" i="4" s="1"/>
  <c r="O40" i="4"/>
  <c r="P40" i="4" s="1"/>
  <c r="M33" i="4"/>
  <c r="O34" i="4"/>
  <c r="P34" i="4" s="1"/>
  <c r="M41" i="4"/>
  <c r="O37" i="4"/>
  <c r="P37" i="4" s="1"/>
  <c r="M46" i="4"/>
  <c r="O44" i="4"/>
  <c r="P4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<sst xmlns="http://schemas.openxmlformats.org/spreadsheetml/2006/main" count="340" uniqueCount="315">
  <si>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</si>
  <si>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</si>
  <si>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</si>
  <si>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</si>
  <si>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</si>
  <si>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</si>
  <si>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</si>
  <si>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</si>
  <si>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</si>
  <si>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</si>
  <si>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</si>
  <si>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</si>
  <si>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</si>
  <si>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</si>
  <si>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</si>
  <si>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</si>
  <si>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</si>
  <si>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</si>
  <si>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</si>
  <si>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</si>
  <si>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</si>
  <si>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</si>
  <si>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</si>
  <si>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</si>
  <si>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</si>
  <si>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</si>
  <si>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</si>
  <si>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</si>
  <si>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</si>
  <si>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</si>
  <si>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</si>
  <si>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</si>
  <si>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</si>
  <si>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</si>
  <si>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</si>
  <si>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</si>
  <si>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</si>
  <si>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</si>
  <si>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</si>
  <si>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</si>
  <si>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</si>
  <si>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</si>
  <si>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</si>
  <si>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</si>
  <si>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</si>
  <si>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</si>
  <si>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</si>
  <si>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</si>
  <si>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</si>
  <si>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</si>
  <si>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</si>
  <si>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</si>
  <si>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</si>
  <si>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</si>
  <si>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</si>
  <si>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</si>
  <si>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</si>
  <si>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</si>
  <si>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</si>
  <si>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</si>
  <si>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</si>
  <si>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</si>
  <si>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</si>
  <si>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</si>
  <si>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</si>
  <si>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</si>
  <si>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</si>
  <si>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</si>
  <si>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</si>
  <si>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</si>
  <si>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</si>
  <si>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</si>
  <si>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</si>
  <si>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</si>
  <si>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</si>
  <si>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</si>
  <si>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</si>
  <si>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</si>
  <si>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</si>
  <si>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</si>
  <si>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</si>
  <si>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</si>
  <si>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</si>
  <si>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</si>
  <si>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</si>
  <si>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</si>
  <si>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</si>
  <si>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</si>
  <si>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</si>
  <si>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</si>
  <si>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</si>
  <si>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</si>
  <si>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</si>
  <si>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</si>
  <si>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</si>
  <si>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</si>
  <si>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</si>
  <si>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</si>
  <si>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</si>
  <si>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</si>
  <si>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</si>
  <si>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</si>
  <si>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</si>
  <si>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</si>
  <si>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</si>
  <si>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</si>
  <si>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</si>
  <si>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</si>
  <si>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</si>
  <si>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</si>
  <si>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</si>
  <si>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</si>
  <si>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MCF7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</si>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</sst>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P28" sqref="P28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112</v>
      </c>
      <c r="K17" s="31" t="s">
        <v>80</v>
      </c>
      <c r="L17" s="80">
        <v>9.8986000000000005E-3</v>
      </c>
      <c r="M17" s="80">
        <v>5.1399999999999996E-5</v>
      </c>
      <c r="N17" s="80">
        <v>5.0000000000000002E-5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82" zoomScale="55" zoomScaleNormal="55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150.19999999999999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149.42097200000001</v>
      </c>
      <c r="K8" s="39">
        <f>J8/J7</f>
        <v>0.9948133954727032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0.72102800000000011</v>
      </c>
      <c r="K9" s="39">
        <f>J9/J7</f>
        <v>4.8004527296937431E-3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5.7999999999999996E-2</v>
      </c>
      <c r="K10" s="39">
        <f>J10/J7</f>
        <v>3.8615179760319573E-4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0.2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0.19797200000000001</v>
      </c>
      <c r="K20" s="39">
        <f>J20/J19</f>
        <v>0.98985999999999996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1.0279999999999998E-3</v>
      </c>
      <c r="K21" s="39">
        <f>J21/J19</f>
        <v>5.1399999999999987E-3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1.0000000000000002E-3</v>
      </c>
      <c r="K22" s="39">
        <f>J22/J19</f>
        <v>5.000000000000001E-3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8.1368247852758456E-4</v>
      </c>
      <c r="K28" s="93">
        <f t="shared" ref="K28:K47" si="3">IF(D28=0,"",1/(1+10^D28*$J$15/$J$14+10^E28*$J$16/$J$14+10^J28*$J$19/$J$14))</f>
        <v>0.9926429660778664</v>
      </c>
      <c r="L28" s="93">
        <f t="shared" ref="L28:L47" si="4">IF(D28=0,"",1/(1+10^I28/10^J28*$J$13/$J$19))</f>
        <v>1.3329104743857105E-3</v>
      </c>
      <c r="M28" s="93">
        <f t="shared" ref="M28:M47" si="5">IF(D28=0,"",1-L28)</f>
        <v>0.99866708952561434</v>
      </c>
      <c r="N28" s="93">
        <f t="shared" ref="N28:N47" si="6">IF(D28=0,"",1/(1/10^E28*$J$20/$J$22+10^D28/10^E28*$J$21/$J$22+10^I28/10^E28*$J$13/$J$22+1))</f>
        <v>8.0384682850734837E-6</v>
      </c>
      <c r="O28" s="40">
        <f t="shared" ref="O28:O47" si="7">IF(D28=0,"",F28*K28*$J$7/$J$14)</f>
        <v>9.9914204583003622E-7</v>
      </c>
      <c r="P28" s="40">
        <f t="shared" ref="P28:P47" si="8">IF(D28=0,"",O28*10^J28)</f>
        <v>1.0010157662636683E-6</v>
      </c>
      <c r="Q28" s="40">
        <f t="shared" ref="Q28:Q47" si="9">IF(D28=0,"",F28*N28*$J$7/$J$22)</f>
        <v>1.2073779364180369E-6</v>
      </c>
      <c r="R28" s="9">
        <f>F28*$C$14</f>
        <v>1.4999999999999999E-4</v>
      </c>
      <c r="S28" s="9">
        <f>$R28*L28</f>
        <v>1.9993657115785656E-7</v>
      </c>
      <c r="T28" s="9">
        <f t="shared" ref="T28:T91" si="10">R28*K28</f>
        <v>1.4889644491167996E-4</v>
      </c>
      <c r="U28" s="9">
        <f t="shared" ref="U28:U91" si="11">$R28*M28</f>
        <v>1.4980006342884213E-4</v>
      </c>
      <c r="V28" s="100">
        <f>K28/M28</f>
        <v>0.99396783621796381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163</v>
      </c>
      <c r="C29" s="46" t="s">
        <v>164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0.32619780382173885</v>
      </c>
      <c r="J29" s="92">
        <f t="shared" si="2"/>
        <v>0.59552491133732632</v>
      </c>
      <c r="K29" s="93">
        <f t="shared" si="3"/>
        <v>0.46824316499393454</v>
      </c>
      <c r="L29" s="93">
        <f t="shared" si="4"/>
        <v>2.4728090801345668E-3</v>
      </c>
      <c r="M29" s="93">
        <f t="shared" si="5"/>
        <v>0.99752719091986541</v>
      </c>
      <c r="N29" s="93">
        <f t="shared" si="6"/>
        <v>1.1929869137483711E-3</v>
      </c>
      <c r="O29" s="40">
        <f t="shared" si="7"/>
        <v>4.7130886915615521E-7</v>
      </c>
      <c r="P29" s="40">
        <f t="shared" si="8"/>
        <v>1.8570796191810588E-6</v>
      </c>
      <c r="Q29" s="40">
        <f t="shared" si="9"/>
        <v>1.7918663444500526E-4</v>
      </c>
      <c r="R29" s="9">
        <f t="shared" ref="R29:R92" si="12">F29*$C$14</f>
        <v>1.4999999999999999E-4</v>
      </c>
      <c r="S29" s="9">
        <f t="shared" ref="S29:S92" si="13">$R29*L29</f>
        <v>3.7092136202018501E-7</v>
      </c>
      <c r="T29" s="9">
        <f t="shared" si="10"/>
        <v>7.0236474749090175E-5</v>
      </c>
      <c r="U29" s="9">
        <f t="shared" si="11"/>
        <v>1.4962907863797981E-4</v>
      </c>
      <c r="V29" s="100">
        <f t="shared" ref="V29:V92" si="14">K29/M29</f>
        <v>0.46940391124791908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165</v>
      </c>
      <c r="C30" s="46" t="s">
        <v>166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2.0854020627961285</v>
      </c>
      <c r="J30" s="92">
        <f t="shared" si="2"/>
        <v>2.1215053545079172</v>
      </c>
      <c r="K30" s="93">
        <f t="shared" si="3"/>
        <v>8.1604413145103527E-3</v>
      </c>
      <c r="L30" s="93">
        <f t="shared" si="4"/>
        <v>1.4468157546618718E-3</v>
      </c>
      <c r="M30" s="93">
        <f t="shared" si="5"/>
        <v>0.99855318424533812</v>
      </c>
      <c r="N30" s="93">
        <f t="shared" si="6"/>
        <v>2.3871399394533832E-5</v>
      </c>
      <c r="O30" s="40">
        <f t="shared" si="7"/>
        <v>8.2138697482255063E-9</v>
      </c>
      <c r="P30" s="40">
        <f t="shared" si="8"/>
        <v>1.0865586317510659E-6</v>
      </c>
      <c r="Q30" s="40">
        <f t="shared" si="9"/>
        <v>3.5854841890589801E-6</v>
      </c>
      <c r="R30" s="9">
        <f t="shared" si="12"/>
        <v>1.4999999999999999E-4</v>
      </c>
      <c r="S30" s="9">
        <f t="shared" si="13"/>
        <v>2.1702236319928074E-7</v>
      </c>
      <c r="T30" s="9">
        <f t="shared" si="10"/>
        <v>1.2240661971765527E-6</v>
      </c>
      <c r="U30" s="9">
        <f t="shared" si="11"/>
        <v>1.4978297763680069E-4</v>
      </c>
      <c r="V30" s="100">
        <f t="shared" si="14"/>
        <v>8.1722650763741238E-3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-2.0020416091501053E-3</v>
      </c>
      <c r="J31" s="92">
        <f t="shared" si="2"/>
        <v>-4.120725013364435E-3</v>
      </c>
      <c r="K31" s="93">
        <f t="shared" si="3"/>
        <v>0.99809226540184814</v>
      </c>
      <c r="L31" s="93">
        <f t="shared" si="4"/>
        <v>1.3250863916176531E-3</v>
      </c>
      <c r="M31" s="93">
        <f t="shared" si="5"/>
        <v>0.99867491360838234</v>
      </c>
      <c r="N31" s="93">
        <f t="shared" si="6"/>
        <v>1.0874922517681296E-7</v>
      </c>
      <c r="O31" s="40">
        <f t="shared" si="7"/>
        <v>1.0046270230685455E-6</v>
      </c>
      <c r="P31" s="40">
        <f t="shared" si="8"/>
        <v>9.9513988010485743E-7</v>
      </c>
      <c r="Q31" s="40">
        <f t="shared" si="9"/>
        <v>1.6334133621557302E-8</v>
      </c>
      <c r="R31" s="9">
        <f t="shared" si="12"/>
        <v>1.4999999999999999E-4</v>
      </c>
      <c r="S31" s="9">
        <f t="shared" si="13"/>
        <v>1.9876295874264794E-7</v>
      </c>
      <c r="T31" s="9">
        <f t="shared" si="10"/>
        <v>1.497138398102772E-4</v>
      </c>
      <c r="U31" s="9">
        <f t="shared" si="11"/>
        <v>1.4980123704125733E-4</v>
      </c>
      <c r="V31" s="100">
        <f t="shared" si="14"/>
        <v>0.99941657870985368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5.4008424806920542E-3</v>
      </c>
      <c r="J32" s="92">
        <f t="shared" si="2"/>
        <v>7.7477876607213378E-3</v>
      </c>
      <c r="K32" s="93">
        <f t="shared" si="3"/>
        <v>0.98120975712212088</v>
      </c>
      <c r="L32" s="93">
        <f t="shared" si="4"/>
        <v>1.338763535069189E-3</v>
      </c>
      <c r="M32" s="93">
        <f t="shared" si="5"/>
        <v>0.99866123646493077</v>
      </c>
      <c r="N32" s="93">
        <f t="shared" si="6"/>
        <v>1.316096314790446E-5</v>
      </c>
      <c r="O32" s="40">
        <f t="shared" si="7"/>
        <v>9.8763398081892574E-7</v>
      </c>
      <c r="P32" s="40">
        <f t="shared" si="8"/>
        <v>1.0054114148369611E-6</v>
      </c>
      <c r="Q32" s="40">
        <f t="shared" si="9"/>
        <v>1.9767766648152488E-6</v>
      </c>
      <c r="R32" s="9">
        <f t="shared" si="12"/>
        <v>1.4999999999999999E-4</v>
      </c>
      <c r="S32" s="9">
        <f t="shared" si="13"/>
        <v>2.0081453026037833E-7</v>
      </c>
      <c r="T32" s="9">
        <f t="shared" si="10"/>
        <v>1.4718146356831812E-4</v>
      </c>
      <c r="U32" s="9">
        <f t="shared" si="11"/>
        <v>1.497991854697396E-4</v>
      </c>
      <c r="V32" s="100">
        <f t="shared" si="14"/>
        <v>0.98252512593300934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167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9.1527063522880606E-2</v>
      </c>
      <c r="J33" s="92">
        <f t="shared" si="2"/>
        <v>0.19910294819785623</v>
      </c>
      <c r="K33" s="93">
        <f t="shared" si="3"/>
        <v>0.80440776911466805</v>
      </c>
      <c r="L33" s="93">
        <f t="shared" si="4"/>
        <v>1.7051925770901197E-3</v>
      </c>
      <c r="M33" s="93">
        <f t="shared" si="5"/>
        <v>0.99829480742290988</v>
      </c>
      <c r="N33" s="93">
        <f t="shared" si="6"/>
        <v>3.9316595289141541E-4</v>
      </c>
      <c r="O33" s="40">
        <f t="shared" si="7"/>
        <v>8.0967442633523726E-7</v>
      </c>
      <c r="P33" s="40">
        <f t="shared" si="8"/>
        <v>1.2805996253946795E-6</v>
      </c>
      <c r="Q33" s="40">
        <f t="shared" si="9"/>
        <v>5.9053526124290576E-5</v>
      </c>
      <c r="R33" s="9">
        <f t="shared" si="12"/>
        <v>1.4999999999999999E-4</v>
      </c>
      <c r="S33" s="9">
        <f t="shared" si="13"/>
        <v>2.5577888656351796E-7</v>
      </c>
      <c r="T33" s="9">
        <f t="shared" si="10"/>
        <v>1.206611653672002E-4</v>
      </c>
      <c r="U33" s="9">
        <f t="shared" si="11"/>
        <v>1.4974422111343647E-4</v>
      </c>
      <c r="V33" s="100">
        <f t="shared" si="14"/>
        <v>0.80578178222847852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3.1608226539332684E-3</v>
      </c>
      <c r="J34" s="92">
        <f t="shared" si="2"/>
        <v>3.8367123062800941E-3</v>
      </c>
      <c r="K34" s="93">
        <f t="shared" si="3"/>
        <v>0.98628882138493168</v>
      </c>
      <c r="L34" s="93">
        <f t="shared" si="4"/>
        <v>1.3336290651891581E-3</v>
      </c>
      <c r="M34" s="93">
        <f t="shared" si="5"/>
        <v>0.99866637093481081</v>
      </c>
      <c r="N34" s="93">
        <f t="shared" si="6"/>
        <v>8.1225754476173383E-6</v>
      </c>
      <c r="O34" s="40">
        <f t="shared" si="7"/>
        <v>9.9274629897547095E-7</v>
      </c>
      <c r="P34" s="40">
        <f t="shared" si="8"/>
        <v>1.0015554279570575E-6</v>
      </c>
      <c r="Q34" s="40">
        <f t="shared" si="9"/>
        <v>1.2200108322321235E-6</v>
      </c>
      <c r="R34" s="9">
        <f t="shared" si="12"/>
        <v>1.4999999999999999E-4</v>
      </c>
      <c r="S34" s="9">
        <f t="shared" si="13"/>
        <v>2.0004435977837369E-7</v>
      </c>
      <c r="T34" s="9">
        <f t="shared" si="10"/>
        <v>1.4794332320773975E-4</v>
      </c>
      <c r="U34" s="9">
        <f t="shared" si="11"/>
        <v>1.497999556402216E-4</v>
      </c>
      <c r="V34" s="100">
        <f t="shared" si="14"/>
        <v>0.98760592134659242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1.8333114105419375E-3</v>
      </c>
      <c r="J35" s="92">
        <f t="shared" si="2"/>
        <v>1.6189891917167312E-3</v>
      </c>
      <c r="K35" s="93">
        <f t="shared" si="3"/>
        <v>0.98931093196248665</v>
      </c>
      <c r="L35" s="93">
        <f t="shared" si="4"/>
        <v>1.3309018418563255E-3</v>
      </c>
      <c r="M35" s="93">
        <f t="shared" si="5"/>
        <v>0.99866909815814364</v>
      </c>
      <c r="N35" s="93">
        <f t="shared" si="6"/>
        <v>5.4820775741971746E-6</v>
      </c>
      <c r="O35" s="40">
        <f t="shared" si="7"/>
        <v>9.9578819606069755E-7</v>
      </c>
      <c r="P35" s="40">
        <f t="shared" si="8"/>
        <v>9.9950728323410019E-7</v>
      </c>
      <c r="Q35" s="40">
        <f t="shared" si="9"/>
        <v>8.2340805164441526E-7</v>
      </c>
      <c r="R35" s="9">
        <f t="shared" si="12"/>
        <v>1.4999999999999999E-4</v>
      </c>
      <c r="S35" s="9">
        <f t="shared" si="13"/>
        <v>1.9963527627844882E-7</v>
      </c>
      <c r="T35" s="9">
        <f t="shared" si="10"/>
        <v>1.4839663979437299E-4</v>
      </c>
      <c r="U35" s="9">
        <f t="shared" si="11"/>
        <v>1.4980036472372153E-4</v>
      </c>
      <c r="V35" s="100">
        <f t="shared" si="14"/>
        <v>0.99062936240550914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168</v>
      </c>
      <c r="C36" s="46" t="s">
        <v>169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1.2834731216469764</v>
      </c>
      <c r="J36" s="92">
        <f t="shared" si="2"/>
        <v>1.9057707829015962</v>
      </c>
      <c r="K36" s="93">
        <f t="shared" si="3"/>
        <v>5.1505239994258843E-2</v>
      </c>
      <c r="L36" s="93">
        <f t="shared" si="4"/>
        <v>5.5566933021360607E-3</v>
      </c>
      <c r="M36" s="93">
        <f t="shared" si="5"/>
        <v>0.99444330669786396</v>
      </c>
      <c r="N36" s="93">
        <f t="shared" si="6"/>
        <v>4.5090146701850025E-3</v>
      </c>
      <c r="O36" s="40">
        <f t="shared" si="7"/>
        <v>5.1842457577837703E-8</v>
      </c>
      <c r="P36" s="40">
        <f t="shared" si="8"/>
        <v>4.173076669904183E-6</v>
      </c>
      <c r="Q36" s="40">
        <f t="shared" si="9"/>
        <v>6.7725400346178714E-4</v>
      </c>
      <c r="R36" s="9">
        <f t="shared" si="12"/>
        <v>1.4999999999999999E-4</v>
      </c>
      <c r="S36" s="9">
        <f t="shared" si="13"/>
        <v>8.3350399532040898E-7</v>
      </c>
      <c r="T36" s="9">
        <f t="shared" si="10"/>
        <v>7.7257859991388265E-6</v>
      </c>
      <c r="U36" s="9">
        <f t="shared" si="11"/>
        <v>1.4916649600467958E-4</v>
      </c>
      <c r="V36" s="100">
        <f t="shared" si="14"/>
        <v>5.1793038021731477E-2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170</v>
      </c>
      <c r="C37" s="94" t="s">
        <v>171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3.1977472098667894</v>
      </c>
      <c r="J37" s="92">
        <f t="shared" si="2"/>
        <v>4.2067820330591292</v>
      </c>
      <c r="K37" s="93">
        <f t="shared" si="3"/>
        <v>6.2247922447473329E-4</v>
      </c>
      <c r="L37" s="93">
        <f t="shared" si="4"/>
        <v>1.343077653034298E-2</v>
      </c>
      <c r="M37" s="93">
        <f t="shared" si="5"/>
        <v>0.98656922346965703</v>
      </c>
      <c r="N37" s="93">
        <f t="shared" si="6"/>
        <v>1.3087328241344051E-2</v>
      </c>
      <c r="O37" s="40">
        <f t="shared" si="7"/>
        <v>6.2655475038100636E-10</v>
      </c>
      <c r="P37" s="40">
        <f t="shared" si="8"/>
        <v>1.0086513174287588E-5</v>
      </c>
      <c r="Q37" s="40">
        <f t="shared" si="9"/>
        <v>1.9657167018498761E-3</v>
      </c>
      <c r="R37" s="9">
        <f t="shared" si="12"/>
        <v>1.4999999999999999E-4</v>
      </c>
      <c r="S37" s="9">
        <f t="shared" si="13"/>
        <v>2.0146164795514467E-6</v>
      </c>
      <c r="T37" s="9">
        <f t="shared" si="10"/>
        <v>9.3371883671209987E-8</v>
      </c>
      <c r="U37" s="9">
        <f t="shared" si="11"/>
        <v>1.4798538352044855E-4</v>
      </c>
      <c r="V37" s="100">
        <f t="shared" si="14"/>
        <v>6.309534188442868E-4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172</v>
      </c>
      <c r="C38" s="46" t="s">
        <v>173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-1.5996885357091404E-3</v>
      </c>
      <c r="J38" s="92">
        <f t="shared" si="2"/>
        <v>-3.5948759330246263E-3</v>
      </c>
      <c r="K38" s="93">
        <f t="shared" si="3"/>
        <v>0.9971676330557433</v>
      </c>
      <c r="L38" s="93">
        <f t="shared" si="4"/>
        <v>1.3254627473406611E-3</v>
      </c>
      <c r="M38" s="93">
        <f t="shared" si="5"/>
        <v>0.99867453725265931</v>
      </c>
      <c r="N38" s="93">
        <f t="shared" si="6"/>
        <v>4.1727829431679005E-7</v>
      </c>
      <c r="O38" s="40">
        <f t="shared" si="7"/>
        <v>1.0036963369250894E-6</v>
      </c>
      <c r="P38" s="40">
        <f t="shared" si="8"/>
        <v>9.9542252325283647E-7</v>
      </c>
      <c r="Q38" s="40">
        <f t="shared" si="9"/>
        <v>6.2675199806381842E-8</v>
      </c>
      <c r="R38" s="9">
        <f t="shared" si="12"/>
        <v>1.4999999999999999E-4</v>
      </c>
      <c r="S38" s="9">
        <f t="shared" si="13"/>
        <v>1.9881941210109914E-7</v>
      </c>
      <c r="T38" s="9">
        <f t="shared" si="10"/>
        <v>1.4957514495836149E-4</v>
      </c>
      <c r="U38" s="9">
        <f t="shared" si="11"/>
        <v>1.4980118058789888E-4</v>
      </c>
      <c r="V38" s="100">
        <f t="shared" si="14"/>
        <v>0.99849109580678652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0.33491051106253611</v>
      </c>
      <c r="J39" s="92">
        <f t="shared" si="2"/>
        <v>0.55831225094540526</v>
      </c>
      <c r="K39" s="93">
        <f t="shared" si="3"/>
        <v>0.45905689944200406</v>
      </c>
      <c r="L39" s="93">
        <f t="shared" si="4"/>
        <v>2.2252202261105756E-3</v>
      </c>
      <c r="M39" s="93">
        <f t="shared" si="5"/>
        <v>0.9977747797738894</v>
      </c>
      <c r="N39" s="93">
        <f t="shared" si="6"/>
        <v>9.2206757945550598E-4</v>
      </c>
      <c r="O39" s="40">
        <f t="shared" si="7"/>
        <v>4.6206245884474238E-7</v>
      </c>
      <c r="P39" s="40">
        <f t="shared" si="8"/>
        <v>1.6711403898090417E-6</v>
      </c>
      <c r="Q39" s="40">
        <f t="shared" si="9"/>
        <v>1.3849455043421697E-4</v>
      </c>
      <c r="R39" s="9">
        <f t="shared" si="12"/>
        <v>1.4999999999999999E-4</v>
      </c>
      <c r="S39" s="9">
        <f t="shared" si="13"/>
        <v>3.3378303391658632E-7</v>
      </c>
      <c r="T39" s="9">
        <f t="shared" si="10"/>
        <v>6.8858534916300609E-5</v>
      </c>
      <c r="U39" s="9">
        <f t="shared" si="11"/>
        <v>1.4966621696608341E-4</v>
      </c>
      <c r="V39" s="100">
        <f t="shared" si="14"/>
        <v>0.46008068027740007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174</v>
      </c>
      <c r="C40" s="46" t="s">
        <v>175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0.37071855582347524</v>
      </c>
      <c r="J40" s="92">
        <f t="shared" si="2"/>
        <v>0.76406237426847545</v>
      </c>
      <c r="K40" s="93">
        <f t="shared" si="3"/>
        <v>0.42227551532619234</v>
      </c>
      <c r="L40" s="93">
        <f t="shared" si="4"/>
        <v>3.2873996430589311E-3</v>
      </c>
      <c r="M40" s="93">
        <f t="shared" si="5"/>
        <v>0.99671260035694109</v>
      </c>
      <c r="N40" s="93">
        <f t="shared" si="6"/>
        <v>2.0759522193201478E-3</v>
      </c>
      <c r="O40" s="40">
        <f t="shared" si="7"/>
        <v>4.2504025788245828E-7</v>
      </c>
      <c r="P40" s="40">
        <f t="shared" si="8"/>
        <v>2.4688371319372577E-6</v>
      </c>
      <c r="Q40" s="40">
        <f t="shared" si="9"/>
        <v>3.118080233418861E-4</v>
      </c>
      <c r="R40" s="9">
        <f t="shared" si="12"/>
        <v>1.4999999999999999E-4</v>
      </c>
      <c r="S40" s="9">
        <f t="shared" si="13"/>
        <v>4.9310994645883962E-7</v>
      </c>
      <c r="T40" s="9">
        <f t="shared" si="10"/>
        <v>6.3341327298928847E-5</v>
      </c>
      <c r="U40" s="9">
        <f t="shared" si="11"/>
        <v>1.4950689005354114E-4</v>
      </c>
      <c r="V40" s="100">
        <f t="shared" si="14"/>
        <v>0.42366828228615522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176</v>
      </c>
      <c r="C41" s="94" t="s">
        <v>177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6.2122287627494992E-2</v>
      </c>
      <c r="J41" s="92">
        <f t="shared" si="2"/>
        <v>0.11635831463150176</v>
      </c>
      <c r="K41" s="93">
        <f t="shared" si="3"/>
        <v>0.86092760190313611</v>
      </c>
      <c r="L41" s="93">
        <f t="shared" si="4"/>
        <v>1.5084092093057197E-3</v>
      </c>
      <c r="M41" s="93">
        <f t="shared" si="5"/>
        <v>0.99849159079069427</v>
      </c>
      <c r="N41" s="93">
        <f t="shared" si="6"/>
        <v>1.8486294396508128E-4</v>
      </c>
      <c r="O41" s="40">
        <f t="shared" si="7"/>
        <v>8.6656430849031996E-7</v>
      </c>
      <c r="P41" s="40">
        <f t="shared" si="8"/>
        <v>1.1328153161885953E-6</v>
      </c>
      <c r="Q41" s="40">
        <f t="shared" si="9"/>
        <v>2.7766414183555201E-5</v>
      </c>
      <c r="R41" s="9">
        <f t="shared" si="12"/>
        <v>1.4999999999999999E-4</v>
      </c>
      <c r="S41" s="9">
        <f t="shared" si="13"/>
        <v>2.2626138139585793E-7</v>
      </c>
      <c r="T41" s="9">
        <f t="shared" si="10"/>
        <v>1.291391402854704E-4</v>
      </c>
      <c r="U41" s="9">
        <f t="shared" si="11"/>
        <v>1.4977373861860412E-4</v>
      </c>
      <c r="V41" s="100">
        <f t="shared" si="14"/>
        <v>0.86222819485277513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178</v>
      </c>
      <c r="C42" s="46" t="s">
        <v>179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0.22542744412672311</v>
      </c>
      <c r="J42" s="92">
        <f t="shared" si="2"/>
        <v>0.49176308419639264</v>
      </c>
      <c r="K42" s="93">
        <f t="shared" si="3"/>
        <v>0.59053980771805126</v>
      </c>
      <c r="L42" s="93">
        <f t="shared" si="4"/>
        <v>2.4558763184511691E-3</v>
      </c>
      <c r="M42" s="93">
        <f t="shared" si="5"/>
        <v>0.99754412368154888</v>
      </c>
      <c r="N42" s="93">
        <f t="shared" si="6"/>
        <v>1.1879862428607493E-3</v>
      </c>
      <c r="O42" s="40">
        <f t="shared" si="7"/>
        <v>5.9440621833933959E-7</v>
      </c>
      <c r="P42" s="40">
        <f t="shared" si="8"/>
        <v>1.8443631151568273E-6</v>
      </c>
      <c r="Q42" s="40">
        <f t="shared" si="9"/>
        <v>1.7843553367768449E-4</v>
      </c>
      <c r="R42" s="9">
        <f t="shared" si="12"/>
        <v>1.4999999999999999E-4</v>
      </c>
      <c r="S42" s="9">
        <f t="shared" si="13"/>
        <v>3.6838144776767536E-7</v>
      </c>
      <c r="T42" s="9">
        <f t="shared" si="10"/>
        <v>8.8580971157707687E-5</v>
      </c>
      <c r="U42" s="9">
        <f t="shared" si="11"/>
        <v>1.4963161855223231E-4</v>
      </c>
      <c r="V42" s="100">
        <f t="shared" si="14"/>
        <v>0.59199367095522315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180</v>
      </c>
      <c r="C43" s="46" t="s">
        <v>181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0.32073739190116707</v>
      </c>
      <c r="J43" s="92">
        <f t="shared" si="2"/>
        <v>0.56249502482927194</v>
      </c>
      <c r="K43" s="93">
        <f t="shared" si="3"/>
        <v>0.47423971265666698</v>
      </c>
      <c r="L43" s="93">
        <f t="shared" si="4"/>
        <v>2.3210643035194156E-3</v>
      </c>
      <c r="M43" s="93">
        <f t="shared" si="5"/>
        <v>0.99767893569648058</v>
      </c>
      <c r="N43" s="93">
        <f t="shared" si="6"/>
        <v>1.0282226158074199E-3</v>
      </c>
      <c r="O43" s="40">
        <f t="shared" si="7"/>
        <v>4.7734467770404938E-7</v>
      </c>
      <c r="P43" s="40">
        <f t="shared" si="8"/>
        <v>1.7431192919430813E-6</v>
      </c>
      <c r="Q43" s="40">
        <f t="shared" si="9"/>
        <v>1.5443903689427442E-4</v>
      </c>
      <c r="R43" s="9">
        <f t="shared" si="12"/>
        <v>1.4999999999999999E-4</v>
      </c>
      <c r="S43" s="9">
        <f t="shared" si="13"/>
        <v>3.4815964552791233E-7</v>
      </c>
      <c r="T43" s="9">
        <f t="shared" si="10"/>
        <v>7.1135956898500042E-5</v>
      </c>
      <c r="U43" s="9">
        <f t="shared" si="11"/>
        <v>1.4965184035447207E-4</v>
      </c>
      <c r="V43" s="100">
        <f t="shared" si="14"/>
        <v>0.47534301435922349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182</v>
      </c>
      <c r="C44" s="46" t="s">
        <v>183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3.8293839195374848</v>
      </c>
      <c r="J44" s="92">
        <f t="shared" si="2"/>
        <v>4.7874172575965854</v>
      </c>
      <c r="K44" s="93">
        <f t="shared" si="3"/>
        <v>1.4559113469685605E-4</v>
      </c>
      <c r="L44" s="93">
        <f t="shared" si="4"/>
        <v>1.1960419633511576E-2</v>
      </c>
      <c r="M44" s="93">
        <f t="shared" si="5"/>
        <v>0.98803958036648842</v>
      </c>
      <c r="N44" s="93">
        <f t="shared" si="6"/>
        <v>1.1484369681110483E-2</v>
      </c>
      <c r="O44" s="40">
        <f t="shared" si="7"/>
        <v>1.4654435597372908E-10</v>
      </c>
      <c r="P44" s="40">
        <f t="shared" si="8"/>
        <v>8.9822751447671942E-6</v>
      </c>
      <c r="Q44" s="40">
        <f t="shared" si="9"/>
        <v>1.7249523261027939E-3</v>
      </c>
      <c r="R44" s="9">
        <f t="shared" si="12"/>
        <v>1.4999999999999999E-4</v>
      </c>
      <c r="S44" s="9">
        <f t="shared" si="13"/>
        <v>1.7940629450267362E-6</v>
      </c>
      <c r="T44" s="9">
        <f t="shared" si="10"/>
        <v>2.1838670204528406E-8</v>
      </c>
      <c r="U44" s="9">
        <f t="shared" si="11"/>
        <v>1.4820593705497324E-4</v>
      </c>
      <c r="V44" s="100">
        <f t="shared" si="14"/>
        <v>1.4735354492868868E-4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184</v>
      </c>
      <c r="C45" s="46" t="s">
        <v>185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3.8037572032670899E-2</v>
      </c>
      <c r="J45" s="92">
        <f t="shared" si="2"/>
        <v>8.1651701078615704E-2</v>
      </c>
      <c r="K45" s="93">
        <f t="shared" si="3"/>
        <v>0.91005402647698808</v>
      </c>
      <c r="L45" s="93">
        <f t="shared" si="4"/>
        <v>1.4720179483512297E-3</v>
      </c>
      <c r="M45" s="93">
        <f t="shared" si="5"/>
        <v>0.99852798205164872</v>
      </c>
      <c r="N45" s="93">
        <f t="shared" si="6"/>
        <v>1.5059737733362982E-4</v>
      </c>
      <c r="O45" s="40">
        <f t="shared" si="7"/>
        <v>9.1601237595306071E-7</v>
      </c>
      <c r="P45" s="40">
        <f t="shared" si="8"/>
        <v>1.1054854792117731E-6</v>
      </c>
      <c r="Q45" s="40">
        <f t="shared" si="9"/>
        <v>2.2619726075511189E-5</v>
      </c>
      <c r="R45" s="9">
        <f t="shared" si="12"/>
        <v>1.4999999999999999E-4</v>
      </c>
      <c r="S45" s="9">
        <f t="shared" si="13"/>
        <v>2.2080269225268445E-7</v>
      </c>
      <c r="T45" s="9">
        <f t="shared" si="10"/>
        <v>1.365081039715482E-4</v>
      </c>
      <c r="U45" s="9">
        <f t="shared" si="11"/>
        <v>1.4977919730774729E-4</v>
      </c>
      <c r="V45" s="100">
        <f t="shared" si="14"/>
        <v>0.9113956171835309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186</v>
      </c>
      <c r="C46" s="46" t="s">
        <v>187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4.0258976380178252E-2</v>
      </c>
      <c r="J46" s="92">
        <f t="shared" si="2"/>
        <v>8.191699132953921E-2</v>
      </c>
      <c r="K46" s="93">
        <f t="shared" si="3"/>
        <v>0.9054169992461325</v>
      </c>
      <c r="L46" s="93">
        <f t="shared" si="4"/>
        <v>1.4654124072427149E-3</v>
      </c>
      <c r="M46" s="93">
        <f t="shared" si="5"/>
        <v>0.99853458759275726</v>
      </c>
      <c r="N46" s="93">
        <f t="shared" si="6"/>
        <v>1.4288606536217084E-4</v>
      </c>
      <c r="O46" s="40">
        <f t="shared" si="7"/>
        <v>9.113449889545787E-7</v>
      </c>
      <c r="P46" s="40">
        <f t="shared" si="8"/>
        <v>1.1005247178392789E-6</v>
      </c>
      <c r="Q46" s="40">
        <f t="shared" si="9"/>
        <v>2.1461487017398052E-5</v>
      </c>
      <c r="R46" s="9">
        <f t="shared" si="12"/>
        <v>1.4999999999999999E-4</v>
      </c>
      <c r="S46" s="9">
        <f t="shared" si="13"/>
        <v>2.1981186108640722E-7</v>
      </c>
      <c r="T46" s="9">
        <f t="shared" si="10"/>
        <v>1.3581254988691987E-4</v>
      </c>
      <c r="U46" s="9">
        <f t="shared" si="11"/>
        <v>1.4978018813891357E-4</v>
      </c>
      <c r="V46" s="100">
        <f t="shared" si="14"/>
        <v>0.90674575572678928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188</v>
      </c>
      <c r="C47" s="46" t="s">
        <v>189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0.50587648659747519</v>
      </c>
      <c r="J47" s="92">
        <f t="shared" si="2"/>
        <v>0.9883505302708685</v>
      </c>
      <c r="K47" s="93">
        <f t="shared" si="3"/>
        <v>0.30910985478994918</v>
      </c>
      <c r="L47" s="93">
        <f t="shared" si="4"/>
        <v>4.0332729174248983E-3</v>
      </c>
      <c r="M47" s="93">
        <f t="shared" si="5"/>
        <v>0.99596672708257505</v>
      </c>
      <c r="N47" s="93">
        <f t="shared" si="6"/>
        <v>2.8766105083068813E-3</v>
      </c>
      <c r="O47" s="40">
        <f t="shared" si="7"/>
        <v>3.1113367369273075E-7</v>
      </c>
      <c r="P47" s="40">
        <f t="shared" si="8"/>
        <v>3.0289879609860985E-6</v>
      </c>
      <c r="Q47" s="40">
        <f t="shared" si="9"/>
        <v>4.3206689834769343E-4</v>
      </c>
      <c r="R47" s="9">
        <f t="shared" si="12"/>
        <v>1.4999999999999999E-4</v>
      </c>
      <c r="S47" s="9">
        <f t="shared" si="13"/>
        <v>6.0499093761373464E-7</v>
      </c>
      <c r="T47" s="9">
        <f t="shared" si="10"/>
        <v>4.6366478218492369E-5</v>
      </c>
      <c r="U47" s="9">
        <f t="shared" si="11"/>
        <v>1.4939500906238623E-4</v>
      </c>
      <c r="V47" s="100">
        <f t="shared" si="14"/>
        <v>0.31036162793852151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3.2716025135218711E-3</v>
      </c>
      <c r="K48" s="93">
        <f t="shared" ref="K48:K50" si="17">IF(D48=0,"",1/(1+10^D48*$J$15/$J$14+10^E48*$J$16/$J$14+10^J48*$J$19/$J$14))</f>
        <v>0.98870873057675313</v>
      </c>
      <c r="L48" s="93">
        <f t="shared" ref="L48:L50" si="18">IF(D48=0,"",1/(1+10^I48/10^J48*$J$13/$J$19))</f>
        <v>1.3351627287023066E-3</v>
      </c>
      <c r="M48" s="93">
        <f t="shared" ref="M48:M92" si="19">IF(D48=0,"",1-L48)</f>
        <v>0.99866483727129773</v>
      </c>
      <c r="N48" s="93">
        <f t="shared" ref="N48:N50" si="20">IF(D48=0,"",1/(1/10^E48*$J$20/$J$22+10^D48/10^E48*$J$21/$J$22+10^I48/10^E48*$J$13/$J$22+1))</f>
        <v>1.0060802005474773E-5</v>
      </c>
      <c r="O48" s="40">
        <f t="shared" ref="O48:O92" si="21">IF(D48=0,"",F48*K48*$J$7/$J$14)</f>
        <v>9.9518205191309836E-7</v>
      </c>
      <c r="P48" s="40">
        <f t="shared" ref="P48:P50" si="22">IF(D48=0,"",O48*10^J48)</f>
        <v>1.0027072092554316E-6</v>
      </c>
      <c r="Q48" s="40">
        <f t="shared" ref="Q48:Q50" si="23">IF(D48=0,"",F48*N48*$J$7/$J$22)</f>
        <v>1.5111324612223103E-6</v>
      </c>
      <c r="R48" s="9">
        <f t="shared" si="12"/>
        <v>1.4999999999999999E-4</v>
      </c>
      <c r="S48" s="9">
        <f t="shared" si="13"/>
        <v>2.0027440930534597E-7</v>
      </c>
      <c r="T48" s="9">
        <f t="shared" si="10"/>
        <v>1.4830630958651296E-4</v>
      </c>
      <c r="U48" s="9">
        <f t="shared" si="11"/>
        <v>1.4979972559069464E-4</v>
      </c>
      <c r="V48" s="100">
        <f t="shared" si="14"/>
        <v>0.9900305825107969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190</v>
      </c>
      <c r="C49" s="46" t="s">
        <v>191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8.7763082204907472E-2</v>
      </c>
      <c r="J49" s="92">
        <f t="shared" si="16"/>
        <v>0.20411410518597825</v>
      </c>
      <c r="K49" s="93">
        <f t="shared" si="17"/>
        <v>0.81138153965807902</v>
      </c>
      <c r="L49" s="93">
        <f t="shared" si="18"/>
        <v>1.7399367314732865E-3</v>
      </c>
      <c r="M49" s="93">
        <f t="shared" si="19"/>
        <v>0.99826006326852668</v>
      </c>
      <c r="N49" s="93">
        <f t="shared" si="20"/>
        <v>4.3180966196131217E-4</v>
      </c>
      <c r="O49" s="40">
        <f t="shared" si="21"/>
        <v>8.166938558844376E-7</v>
      </c>
      <c r="P49" s="40">
        <f t="shared" si="22"/>
        <v>1.3066924853364378E-6</v>
      </c>
      <c r="Q49" s="40">
        <f t="shared" si="23"/>
        <v>6.485781122658907E-5</v>
      </c>
      <c r="R49" s="9">
        <f t="shared" si="12"/>
        <v>1.4999999999999999E-4</v>
      </c>
      <c r="S49" s="9">
        <f t="shared" si="13"/>
        <v>2.6099050972099297E-7</v>
      </c>
      <c r="T49" s="9">
        <f t="shared" si="10"/>
        <v>1.2170723094871185E-4</v>
      </c>
      <c r="U49" s="9">
        <f t="shared" si="11"/>
        <v>1.4973900949027898E-4</v>
      </c>
      <c r="V49" s="100">
        <f t="shared" si="14"/>
        <v>0.81279575284363714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192</v>
      </c>
      <c r="C50" s="46" t="s">
        <v>193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0.50667591684415281</v>
      </c>
      <c r="J50" s="92">
        <f t="shared" si="16"/>
        <v>0.88026017671842771</v>
      </c>
      <c r="K50" s="93">
        <f t="shared" si="17"/>
        <v>0.3088176019343879</v>
      </c>
      <c r="L50" s="93">
        <f t="shared" si="18"/>
        <v>3.1416402453365118E-3</v>
      </c>
      <c r="M50" s="93">
        <f t="shared" si="19"/>
        <v>0.99685835975466353</v>
      </c>
      <c r="N50" s="93">
        <f t="shared" si="20"/>
        <v>1.9045671062078648E-3</v>
      </c>
      <c r="O50" s="40">
        <f t="shared" si="21"/>
        <v>3.1083950738522244E-7</v>
      </c>
      <c r="P50" s="40">
        <f t="shared" si="22"/>
        <v>2.3593718242477204E-6</v>
      </c>
      <c r="Q50" s="40">
        <f t="shared" si="23"/>
        <v>2.8606597935242121E-4</v>
      </c>
      <c r="R50" s="9">
        <f t="shared" si="12"/>
        <v>1.4999999999999999E-4</v>
      </c>
      <c r="S50" s="9">
        <f t="shared" si="13"/>
        <v>4.7124603680047674E-7</v>
      </c>
      <c r="T50" s="9">
        <f t="shared" si="10"/>
        <v>4.6322640290158182E-5</v>
      </c>
      <c r="U50" s="9">
        <f t="shared" si="11"/>
        <v>1.4952875396319953E-4</v>
      </c>
      <c r="V50" s="100">
        <f t="shared" si="14"/>
        <v>0.30979085334689965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194</v>
      </c>
      <c r="C51" s="46" t="s">
        <v>195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3.7781080579293054</v>
      </c>
      <c r="K51" s="93">
        <f t="shared" ref="K51:K70" si="26">IF(D51=0,"",1/(1+10^D51*$J$15/$J$14+10^E51*$J$16/$J$14+10^J51*$J$19/$J$14))</f>
        <v>1.0382063333903128E-3</v>
      </c>
      <c r="L51" s="93">
        <f t="shared" ref="L51:L70" si="27">IF(D51=0,"",1/(1+10^I51/10^J51*$J$13/$J$19))</f>
        <v>8.3480676660218842E-3</v>
      </c>
      <c r="M51" s="93">
        <f t="shared" ref="M51:M70" si="28">IF(D51=0,"",1-L51)</f>
        <v>0.99165193233397808</v>
      </c>
      <c r="N51" s="93">
        <f t="shared" ref="N51:N70" si="29">IF(D51=0,"",1/(1/10^E51*$J$20/$J$22+10^D51/10^E51*$J$21/$J$22+10^I51/10^E51*$J$13/$J$22+1))</f>
        <v>7.5464709926023393E-3</v>
      </c>
      <c r="O51" s="40">
        <f t="shared" ref="O51:O70" si="30">IF(D51=0,"",F51*K51*$J$7/$J$14)</f>
        <v>1.0450037278115635E-9</v>
      </c>
      <c r="P51" s="40">
        <f t="shared" ref="P51:P70" si="31">IF(D51=0,"",O51*10^J51)</f>
        <v>6.2693988171824313E-6</v>
      </c>
      <c r="Q51" s="40">
        <f t="shared" ref="Q51:Q70" si="32">IF(D51=0,"",F51*N51*$J$7/$J$22)</f>
        <v>1.1334799430888708E-3</v>
      </c>
      <c r="R51" s="9">
        <f t="shared" si="12"/>
        <v>1.4999999999999999E-4</v>
      </c>
      <c r="S51" s="9">
        <f t="shared" si="13"/>
        <v>1.2522101499032824E-6</v>
      </c>
      <c r="T51" s="9">
        <f t="shared" si="10"/>
        <v>1.5573095000854692E-7</v>
      </c>
      <c r="U51" s="9">
        <f t="shared" si="11"/>
        <v>1.4874778985009669E-4</v>
      </c>
      <c r="V51" s="100">
        <f t="shared" si="14"/>
        <v>1.0469463120459646E-3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196</v>
      </c>
      <c r="C52" s="46" t="s">
        <v>197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0.64393554165863076</v>
      </c>
      <c r="J52" s="92">
        <f t="shared" si="25"/>
        <v>1.1609089688318674</v>
      </c>
      <c r="K52" s="93">
        <f t="shared" si="26"/>
        <v>0.22485833925929374</v>
      </c>
      <c r="L52" s="93">
        <f t="shared" si="27"/>
        <v>4.3652809119518205E-3</v>
      </c>
      <c r="M52" s="93">
        <f t="shared" si="28"/>
        <v>0.99563471908804813</v>
      </c>
      <c r="N52" s="93">
        <f t="shared" si="29"/>
        <v>3.2292764981010432E-3</v>
      </c>
      <c r="O52" s="40">
        <f t="shared" si="30"/>
        <v>2.263305425889167E-7</v>
      </c>
      <c r="P52" s="40">
        <f t="shared" si="31"/>
        <v>3.2783259648758174E-6</v>
      </c>
      <c r="Q52" s="40">
        <f t="shared" si="32"/>
        <v>4.8503733001477648E-4</v>
      </c>
      <c r="R52" s="9">
        <f t="shared" si="12"/>
        <v>1.4999999999999999E-4</v>
      </c>
      <c r="S52" s="9">
        <f t="shared" si="13"/>
        <v>6.5479213679277299E-7</v>
      </c>
      <c r="T52" s="9">
        <f t="shared" si="10"/>
        <v>3.3728750888894059E-5</v>
      </c>
      <c r="U52" s="9">
        <f t="shared" si="11"/>
        <v>1.493452078632072E-4</v>
      </c>
      <c r="V52" s="100">
        <f t="shared" si="14"/>
        <v>0.2258442126900243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198</v>
      </c>
      <c r="C53" s="46" t="s">
        <v>199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1.3135143326183101</v>
      </c>
      <c r="J53" s="92">
        <f t="shared" si="25"/>
        <v>1.9942887659269517</v>
      </c>
      <c r="K53" s="93">
        <f t="shared" si="26"/>
        <v>4.8024462632799088E-2</v>
      </c>
      <c r="L53" s="93">
        <f t="shared" si="27"/>
        <v>6.3525122145192065E-3</v>
      </c>
      <c r="M53" s="93">
        <f t="shared" si="28"/>
        <v>0.99364748778548084</v>
      </c>
      <c r="N53" s="93">
        <f t="shared" si="29"/>
        <v>5.37619171405987E-3</v>
      </c>
      <c r="O53" s="40">
        <f t="shared" si="30"/>
        <v>4.8338890703486874E-8</v>
      </c>
      <c r="P53" s="40">
        <f t="shared" si="31"/>
        <v>4.7707366731039253E-6</v>
      </c>
      <c r="Q53" s="40">
        <f t="shared" si="32"/>
        <v>8.0750399545179217E-4</v>
      </c>
      <c r="R53" s="9">
        <f t="shared" si="12"/>
        <v>1.4999999999999999E-4</v>
      </c>
      <c r="S53" s="9">
        <f t="shared" si="13"/>
        <v>9.5287683217788088E-7</v>
      </c>
      <c r="T53" s="9">
        <f t="shared" si="10"/>
        <v>7.2036693949198624E-6</v>
      </c>
      <c r="U53" s="9">
        <f t="shared" si="11"/>
        <v>1.490471231678221E-4</v>
      </c>
      <c r="V53" s="100">
        <f t="shared" si="14"/>
        <v>4.8331489007062349E-2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200</v>
      </c>
      <c r="C54" s="46" t="s">
        <v>201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0.78379345695532832</v>
      </c>
      <c r="J54" s="92">
        <f t="shared" si="25"/>
        <v>1.3432804907607612</v>
      </c>
      <c r="K54" s="93">
        <f t="shared" si="26"/>
        <v>0.16287564781656289</v>
      </c>
      <c r="L54" s="93">
        <f t="shared" si="27"/>
        <v>4.8120582478128606E-3</v>
      </c>
      <c r="M54" s="93">
        <f t="shared" si="28"/>
        <v>0.99518794175218717</v>
      </c>
      <c r="N54" s="93">
        <f t="shared" si="29"/>
        <v>3.7095086593074067E-3</v>
      </c>
      <c r="O54" s="40">
        <f t="shared" si="30"/>
        <v>1.6394203508874464E-7</v>
      </c>
      <c r="P54" s="40">
        <f t="shared" si="31"/>
        <v>3.6138557441074586E-6</v>
      </c>
      <c r="Q54" s="40">
        <f t="shared" si="32"/>
        <v>5.5716820062797227E-4</v>
      </c>
      <c r="R54" s="9">
        <f t="shared" si="12"/>
        <v>1.4999999999999999E-4</v>
      </c>
      <c r="S54" s="9">
        <f t="shared" si="13"/>
        <v>7.21808737171929E-7</v>
      </c>
      <c r="T54" s="9">
        <f t="shared" si="10"/>
        <v>2.4431347172484432E-5</v>
      </c>
      <c r="U54" s="9">
        <f t="shared" si="11"/>
        <v>1.4927819126282806E-4</v>
      </c>
      <c r="V54" s="100">
        <f t="shared" si="14"/>
        <v>0.16366320469055756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5.6400487609719711E-2</v>
      </c>
      <c r="J55" s="54">
        <f t="shared" si="25"/>
        <v>0.12835770982382372</v>
      </c>
      <c r="K55" s="55">
        <f t="shared" si="26"/>
        <v>0.87229051274554048</v>
      </c>
      <c r="L55" s="55">
        <f t="shared" si="27"/>
        <v>1.571133495680579E-3</v>
      </c>
      <c r="M55" s="55">
        <f t="shared" si="28"/>
        <v>0.99842886650431939</v>
      </c>
      <c r="N55" s="55">
        <f t="shared" si="29"/>
        <v>2.5449214496232642E-4</v>
      </c>
      <c r="O55" s="56">
        <f t="shared" si="30"/>
        <v>8.7800161512890193E-7</v>
      </c>
      <c r="P55" s="56">
        <f t="shared" si="31"/>
        <v>1.1799212552561144E-6</v>
      </c>
      <c r="Q55" s="56">
        <f t="shared" si="32"/>
        <v>3.8224720173341418E-5</v>
      </c>
      <c r="R55" s="9">
        <f t="shared" si="12"/>
        <v>1.4999999999999999E-4</v>
      </c>
      <c r="S55" s="9">
        <f t="shared" si="13"/>
        <v>2.3567002435208682E-7</v>
      </c>
      <c r="T55" s="9">
        <f t="shared" si="10"/>
        <v>1.3084357691183106E-4</v>
      </c>
      <c r="U55" s="9">
        <f t="shared" si="11"/>
        <v>1.4976432997564789E-4</v>
      </c>
      <c r="V55" s="100">
        <f t="shared" si="14"/>
        <v>0.87366315419103202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202</v>
      </c>
      <c r="C56" s="46" t="s">
        <v>203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0.61860589125383414</v>
      </c>
      <c r="J56" s="54">
        <f t="shared" si="25"/>
        <v>1.1486336221473528</v>
      </c>
      <c r="K56" s="55">
        <f t="shared" si="26"/>
        <v>0.23833114651697959</v>
      </c>
      <c r="L56" s="55">
        <f t="shared" si="27"/>
        <v>4.4978881669087084E-3</v>
      </c>
      <c r="M56" s="55">
        <f t="shared" si="28"/>
        <v>0.99550211183309134</v>
      </c>
      <c r="N56" s="55">
        <f t="shared" si="29"/>
        <v>3.3753206418889723E-3</v>
      </c>
      <c r="O56" s="56">
        <f t="shared" si="30"/>
        <v>2.3989155965803078E-7</v>
      </c>
      <c r="P56" s="56">
        <f t="shared" si="31"/>
        <v>3.3779140133484403E-6</v>
      </c>
      <c r="Q56" s="56">
        <f t="shared" si="32"/>
        <v>5.0697316041172348E-4</v>
      </c>
      <c r="R56" s="9">
        <f t="shared" si="12"/>
        <v>1.4999999999999999E-4</v>
      </c>
      <c r="S56" s="9">
        <f t="shared" si="13"/>
        <v>6.7468322503630616E-7</v>
      </c>
      <c r="T56" s="9">
        <f t="shared" si="10"/>
        <v>3.5749671977546936E-5</v>
      </c>
      <c r="U56" s="9">
        <f t="shared" si="11"/>
        <v>1.4932531677496369E-4</v>
      </c>
      <c r="V56" s="100">
        <f t="shared" si="14"/>
        <v>0.23940797682299528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0.26171036693668792</v>
      </c>
      <c r="J57" s="54">
        <f t="shared" si="25"/>
        <v>0.5746808679209805</v>
      </c>
      <c r="K57" s="55">
        <f t="shared" si="26"/>
        <v>0.5430569393396304</v>
      </c>
      <c r="L57" s="55">
        <f t="shared" si="27"/>
        <v>2.733508724336042E-3</v>
      </c>
      <c r="M57" s="55">
        <f t="shared" si="28"/>
        <v>0.99726649127566391</v>
      </c>
      <c r="N57" s="55">
        <f t="shared" si="29"/>
        <v>1.4854211413602783E-3</v>
      </c>
      <c r="O57" s="56">
        <f t="shared" si="30"/>
        <v>5.4661246784217225E-7</v>
      </c>
      <c r="P57" s="56">
        <f t="shared" si="31"/>
        <v>2.0528650519763679E-6</v>
      </c>
      <c r="Q57" s="56">
        <f t="shared" si="32"/>
        <v>2.2311025543231372E-4</v>
      </c>
      <c r="R57" s="9">
        <f t="shared" si="12"/>
        <v>1.4999999999999999E-4</v>
      </c>
      <c r="S57" s="9">
        <f t="shared" si="13"/>
        <v>4.1002630865040629E-7</v>
      </c>
      <c r="T57" s="9">
        <f t="shared" si="10"/>
        <v>8.145854090094455E-5</v>
      </c>
      <c r="U57" s="9">
        <f t="shared" si="11"/>
        <v>1.4958997369134957E-4</v>
      </c>
      <c r="V57" s="100">
        <f t="shared" si="14"/>
        <v>0.54454545910288576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145</v>
      </c>
      <c r="C58" s="46" t="s">
        <v>146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0.19893820408979257</v>
      </c>
      <c r="J58" s="54">
        <f t="shared" si="25"/>
        <v>0.42305595357710185</v>
      </c>
      <c r="K58" s="55">
        <f t="shared" si="26"/>
        <v>0.62782301388194084</v>
      </c>
      <c r="L58" s="55">
        <f t="shared" si="27"/>
        <v>2.2288837288203835E-3</v>
      </c>
      <c r="M58" s="55">
        <f t="shared" si="28"/>
        <v>0.99777111627117965</v>
      </c>
      <c r="N58" s="55">
        <f t="shared" si="29"/>
        <v>9.4463376419289631E-4</v>
      </c>
      <c r="O58" s="56">
        <f t="shared" si="30"/>
        <v>6.3193352690314168E-7</v>
      </c>
      <c r="P58" s="56">
        <f t="shared" si="31"/>
        <v>1.6738916803441078E-6</v>
      </c>
      <c r="Q58" s="56">
        <f t="shared" si="32"/>
        <v>1.4188399138177299E-4</v>
      </c>
      <c r="R58" s="9">
        <f t="shared" si="12"/>
        <v>1.4999999999999999E-4</v>
      </c>
      <c r="S58" s="9">
        <f t="shared" si="13"/>
        <v>3.3433255932305749E-7</v>
      </c>
      <c r="T58" s="9">
        <f t="shared" si="10"/>
        <v>9.4173452082291112E-5</v>
      </c>
      <c r="U58" s="9">
        <f t="shared" si="11"/>
        <v>1.4966566744067694E-4</v>
      </c>
      <c r="V58" s="100">
        <f t="shared" si="14"/>
        <v>0.62922548432571357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147</v>
      </c>
      <c r="C59" s="46" t="s">
        <v>148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6.5352597387686409E-2</v>
      </c>
      <c r="J59" s="54">
        <f t="shared" si="25"/>
        <v>0.17496858668585646</v>
      </c>
      <c r="K59" s="55">
        <f t="shared" si="26"/>
        <v>0.85437244987248917</v>
      </c>
      <c r="L59" s="55">
        <f t="shared" si="27"/>
        <v>1.7132078320035821E-3</v>
      </c>
      <c r="M59" s="55">
        <f t="shared" si="28"/>
        <v>0.99828679216799643</v>
      </c>
      <c r="N59" s="55">
        <f t="shared" si="29"/>
        <v>4.0740229276145761E-4</v>
      </c>
      <c r="O59" s="56">
        <f t="shared" si="30"/>
        <v>8.5996623825313691E-7</v>
      </c>
      <c r="P59" s="56">
        <f t="shared" si="31"/>
        <v>1.2866190818346899E-6</v>
      </c>
      <c r="Q59" s="56">
        <f t="shared" si="32"/>
        <v>6.1191824372770924E-5</v>
      </c>
      <c r="R59" s="9">
        <f t="shared" si="12"/>
        <v>1.4999999999999999E-4</v>
      </c>
      <c r="S59" s="9">
        <f t="shared" si="13"/>
        <v>2.5698117480053728E-7</v>
      </c>
      <c r="T59" s="9">
        <f t="shared" si="10"/>
        <v>1.2815586748087337E-4</v>
      </c>
      <c r="U59" s="9">
        <f t="shared" si="11"/>
        <v>1.4974301882519946E-4</v>
      </c>
      <c r="V59" s="100">
        <f t="shared" si="14"/>
        <v>0.85583867940097047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149</v>
      </c>
      <c r="C60" s="46" t="s">
        <v>150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0.6487673116742505</v>
      </c>
      <c r="J60" s="54">
        <f t="shared" si="25"/>
        <v>1.2049718259520315</v>
      </c>
      <c r="K60" s="55">
        <f t="shared" si="26"/>
        <v>0.22227879705423978</v>
      </c>
      <c r="L60" s="55">
        <f t="shared" si="27"/>
        <v>4.7759975191260535E-3</v>
      </c>
      <c r="M60" s="55">
        <f t="shared" si="28"/>
        <v>0.99522400248087395</v>
      </c>
      <c r="N60" s="55">
        <f t="shared" si="29"/>
        <v>3.6767343578412172E-3</v>
      </c>
      <c r="O60" s="56">
        <f t="shared" si="30"/>
        <v>2.2373411148111759E-7</v>
      </c>
      <c r="P60" s="56">
        <f t="shared" si="31"/>
        <v>3.5867741368636669E-6</v>
      </c>
      <c r="Q60" s="56">
        <f t="shared" si="32"/>
        <v>5.5224550054775064E-4</v>
      </c>
      <c r="R60" s="9">
        <f t="shared" si="12"/>
        <v>1.4999999999999999E-4</v>
      </c>
      <c r="S60" s="9">
        <f t="shared" si="13"/>
        <v>7.1639962786890795E-7</v>
      </c>
      <c r="T60" s="9">
        <f t="shared" si="10"/>
        <v>3.3341819558135967E-5</v>
      </c>
      <c r="U60" s="9">
        <f t="shared" si="11"/>
        <v>1.4928360037213108E-4</v>
      </c>
      <c r="V60" s="100">
        <f t="shared" si="14"/>
        <v>0.22334549458227271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151</v>
      </c>
      <c r="C61" s="46" t="s">
        <v>152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1.4117733403846819</v>
      </c>
      <c r="J61" s="54">
        <f t="shared" si="25"/>
        <v>2.1983266201231308</v>
      </c>
      <c r="K61" s="55">
        <f t="shared" si="26"/>
        <v>3.823343416560928E-2</v>
      </c>
      <c r="L61" s="55">
        <f t="shared" si="27"/>
        <v>8.0902912686145762E-3</v>
      </c>
      <c r="M61" s="55">
        <f t="shared" si="28"/>
        <v>0.9919097087313854</v>
      </c>
      <c r="N61" s="55">
        <f t="shared" si="29"/>
        <v>7.2695499371206807E-3</v>
      </c>
      <c r="O61" s="56">
        <f t="shared" si="30"/>
        <v>3.8483757943979899E-8</v>
      </c>
      <c r="P61" s="56">
        <f t="shared" si="31"/>
        <v>6.0758087427295504E-6</v>
      </c>
      <c r="Q61" s="56">
        <f t="shared" si="32"/>
        <v>1.0918864005555258E-3</v>
      </c>
      <c r="R61" s="9">
        <f t="shared" si="12"/>
        <v>1.4999999999999999E-4</v>
      </c>
      <c r="S61" s="9">
        <f t="shared" si="13"/>
        <v>1.2135436902921863E-6</v>
      </c>
      <c r="T61" s="9">
        <f t="shared" si="10"/>
        <v>5.7350151248413912E-6</v>
      </c>
      <c r="U61" s="9">
        <f t="shared" si="11"/>
        <v>1.487864563097078E-4</v>
      </c>
      <c r="V61" s="100">
        <f t="shared" si="14"/>
        <v>3.8545276680987811E-2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153</v>
      </c>
      <c r="C62" s="46" t="s">
        <v>154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2.2542758302531842</v>
      </c>
      <c r="J62" s="54">
        <f t="shared" si="25"/>
        <v>3.1746738444272542</v>
      </c>
      <c r="K62" s="55">
        <f t="shared" si="26"/>
        <v>5.4786608397204631E-3</v>
      </c>
      <c r="L62" s="55">
        <f t="shared" si="27"/>
        <v>1.0978486930459214E-2</v>
      </c>
      <c r="M62" s="55">
        <f t="shared" si="28"/>
        <v>0.98902151306954078</v>
      </c>
      <c r="N62" s="55">
        <f t="shared" si="29"/>
        <v>1.0414504971936935E-2</v>
      </c>
      <c r="O62" s="56">
        <f t="shared" si="30"/>
        <v>5.5145309913754141E-9</v>
      </c>
      <c r="P62" s="56">
        <f t="shared" si="31"/>
        <v>8.2448436847748741E-6</v>
      </c>
      <c r="Q62" s="56">
        <f t="shared" si="32"/>
        <v>1.5642586467849273E-3</v>
      </c>
      <c r="R62" s="9">
        <f t="shared" si="12"/>
        <v>1.4999999999999999E-4</v>
      </c>
      <c r="S62" s="9">
        <f t="shared" si="13"/>
        <v>1.6467730395688819E-6</v>
      </c>
      <c r="T62" s="9">
        <f t="shared" si="10"/>
        <v>8.2179912595806935E-7</v>
      </c>
      <c r="U62" s="9">
        <f t="shared" si="11"/>
        <v>1.483532269604311E-4</v>
      </c>
      <c r="V62" s="100">
        <f t="shared" si="14"/>
        <v>5.539475903528949E-3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155</v>
      </c>
      <c r="C63" s="46" t="s">
        <v>156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3.3259932392561606</v>
      </c>
      <c r="J63" s="54">
        <f t="shared" si="25"/>
        <v>4.3437142739376391</v>
      </c>
      <c r="K63" s="55">
        <f t="shared" si="26"/>
        <v>4.6319195828924939E-4</v>
      </c>
      <c r="L63" s="55">
        <f t="shared" si="27"/>
        <v>1.3698389586511683E-2</v>
      </c>
      <c r="M63" s="55">
        <f t="shared" si="28"/>
        <v>0.98630161041348829</v>
      </c>
      <c r="N63" s="55">
        <f t="shared" si="29"/>
        <v>1.3379048449745542E-2</v>
      </c>
      <c r="O63" s="56">
        <f t="shared" si="30"/>
        <v>4.6622459094807941E-10</v>
      </c>
      <c r="P63" s="56">
        <f t="shared" si="31"/>
        <v>1.0287490579470283E-5</v>
      </c>
      <c r="Q63" s="56">
        <f t="shared" si="32"/>
        <v>2.0095330771517797E-3</v>
      </c>
      <c r="R63" s="9">
        <f t="shared" si="12"/>
        <v>1.4999999999999999E-4</v>
      </c>
      <c r="S63" s="9">
        <f t="shared" si="13"/>
        <v>2.0547584379767523E-6</v>
      </c>
      <c r="T63" s="9">
        <f t="shared" si="10"/>
        <v>6.9478793743387402E-8</v>
      </c>
      <c r="U63" s="9">
        <f t="shared" si="11"/>
        <v>1.4794524156202323E-4</v>
      </c>
      <c r="V63" s="100">
        <f t="shared" si="14"/>
        <v>4.6962506539461587E-4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157</v>
      </c>
      <c r="C64" s="46" t="s">
        <v>158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2.6313958666363746</v>
      </c>
      <c r="J64" s="54">
        <f t="shared" si="25"/>
        <v>3.5931104785941299</v>
      </c>
      <c r="K64" s="55">
        <f t="shared" si="26"/>
        <v>2.2965651450460017E-3</v>
      </c>
      <c r="L64" s="55">
        <f t="shared" si="27"/>
        <v>1.2061004420998715E-2</v>
      </c>
      <c r="M64" s="55">
        <f t="shared" si="28"/>
        <v>0.98793899557900133</v>
      </c>
      <c r="N64" s="55">
        <f t="shared" si="29"/>
        <v>1.1594258659394625E-2</v>
      </c>
      <c r="O64" s="56">
        <f t="shared" si="30"/>
        <v>2.3116013267787764E-9</v>
      </c>
      <c r="P64" s="56">
        <f t="shared" si="31"/>
        <v>9.0578143201700446E-6</v>
      </c>
      <c r="Q64" s="56">
        <f t="shared" si="32"/>
        <v>1.7414576506410721E-3</v>
      </c>
      <c r="R64" s="9">
        <f t="shared" si="12"/>
        <v>1.4999999999999999E-4</v>
      </c>
      <c r="S64" s="9">
        <f t="shared" si="13"/>
        <v>1.8091506631498071E-6</v>
      </c>
      <c r="T64" s="9">
        <f t="shared" si="10"/>
        <v>3.4448477175690024E-7</v>
      </c>
      <c r="U64" s="9">
        <f t="shared" si="11"/>
        <v>1.4819084933685017E-4</v>
      </c>
      <c r="V64" s="100">
        <f t="shared" si="14"/>
        <v>2.3246021822430989E-3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159</v>
      </c>
      <c r="C65" s="46" t="s">
        <v>160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2.3610319672695166</v>
      </c>
      <c r="J65" s="54">
        <f t="shared" si="25"/>
        <v>3.2940480664417366</v>
      </c>
      <c r="K65" s="55">
        <f t="shared" si="26"/>
        <v>4.2832925927956053E-3</v>
      </c>
      <c r="L65" s="55">
        <f t="shared" si="27"/>
        <v>1.1298480422536753E-2</v>
      </c>
      <c r="M65" s="55">
        <f t="shared" si="28"/>
        <v>0.98870151957746322</v>
      </c>
      <c r="N65" s="55">
        <f t="shared" si="29"/>
        <v>1.0763213569196796E-2</v>
      </c>
      <c r="O65" s="56">
        <f t="shared" si="30"/>
        <v>4.311336371992922E-9</v>
      </c>
      <c r="P65" s="56">
        <f t="shared" si="31"/>
        <v>8.4851587973251099E-6</v>
      </c>
      <c r="Q65" s="56">
        <f t="shared" si="32"/>
        <v>1.6166346780933582E-3</v>
      </c>
      <c r="R65" s="9">
        <f t="shared" si="12"/>
        <v>1.4999999999999999E-4</v>
      </c>
      <c r="S65" s="9">
        <f t="shared" si="13"/>
        <v>1.6947720633805129E-6</v>
      </c>
      <c r="T65" s="9">
        <f t="shared" si="10"/>
        <v>6.4249388891934071E-7</v>
      </c>
      <c r="U65" s="9">
        <f t="shared" si="11"/>
        <v>1.4830522793661947E-4</v>
      </c>
      <c r="V65" s="100">
        <f t="shared" si="14"/>
        <v>4.3322403252966943E-3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161</v>
      </c>
      <c r="C66" s="46" t="s">
        <v>162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2.6313958666363746</v>
      </c>
      <c r="J66" s="54">
        <f t="shared" si="25"/>
        <v>3.5931104785941299</v>
      </c>
      <c r="K66" s="55">
        <f t="shared" si="26"/>
        <v>2.2965651450460017E-3</v>
      </c>
      <c r="L66" s="55">
        <f t="shared" si="27"/>
        <v>1.2061004420998715E-2</v>
      </c>
      <c r="M66" s="55">
        <f t="shared" si="28"/>
        <v>0.98793899557900133</v>
      </c>
      <c r="N66" s="55">
        <f t="shared" si="29"/>
        <v>1.1594258659394625E-2</v>
      </c>
      <c r="O66" s="56">
        <f t="shared" si="30"/>
        <v>2.3116013267787764E-9</v>
      </c>
      <c r="P66" s="56">
        <f t="shared" si="31"/>
        <v>9.0578143201700446E-6</v>
      </c>
      <c r="Q66" s="56">
        <f t="shared" si="32"/>
        <v>1.7414576506410721E-3</v>
      </c>
      <c r="R66" s="9">
        <f t="shared" si="12"/>
        <v>1.4999999999999999E-4</v>
      </c>
      <c r="S66" s="9">
        <f t="shared" si="13"/>
        <v>1.8091506631498071E-6</v>
      </c>
      <c r="T66" s="9">
        <f t="shared" si="10"/>
        <v>3.4448477175690024E-7</v>
      </c>
      <c r="U66" s="9">
        <f t="shared" si="11"/>
        <v>1.4819084933685017E-4</v>
      </c>
      <c r="V66" s="100">
        <f t="shared" si="14"/>
        <v>2.3246021822430989E-3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115</v>
      </c>
      <c r="C67" s="46" t="s">
        <v>116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-1.8671766444063711E-3</v>
      </c>
      <c r="J67" s="54">
        <f t="shared" si="25"/>
        <v>-3.9484454940644457E-3</v>
      </c>
      <c r="K67" s="55">
        <f t="shared" si="26"/>
        <v>0.99778225398044607</v>
      </c>
      <c r="L67" s="55">
        <f t="shared" si="27"/>
        <v>1.3252004017002038E-3</v>
      </c>
      <c r="M67" s="55">
        <f t="shared" si="28"/>
        <v>0.99867479959829975</v>
      </c>
      <c r="N67" s="55">
        <f t="shared" si="29"/>
        <v>1.9892081241833389E-7</v>
      </c>
      <c r="O67" s="56">
        <f t="shared" si="30"/>
        <v>1.0043149819254605E-6</v>
      </c>
      <c r="P67" s="56">
        <f t="shared" si="31"/>
        <v>9.9522550167685289E-7</v>
      </c>
      <c r="Q67" s="56">
        <f t="shared" si="32"/>
        <v>2.9877906025233735E-8</v>
      </c>
      <c r="R67" s="9">
        <f t="shared" si="12"/>
        <v>1.4999999999999999E-4</v>
      </c>
      <c r="S67" s="9">
        <f t="shared" si="13"/>
        <v>1.9878006025503055E-7</v>
      </c>
      <c r="T67" s="9">
        <f t="shared" si="10"/>
        <v>1.4966733809706689E-4</v>
      </c>
      <c r="U67" s="9">
        <f t="shared" si="11"/>
        <v>1.4980121993974494E-4</v>
      </c>
      <c r="V67" s="100">
        <f t="shared" si="14"/>
        <v>0.99910627001080565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117</v>
      </c>
      <c r="C68" s="46" t="s">
        <v>118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2.7194923137791687</v>
      </c>
      <c r="J68" s="54">
        <f t="shared" si="25"/>
        <v>3.5689903624588988</v>
      </c>
      <c r="K68" s="55">
        <f t="shared" si="26"/>
        <v>1.8800815435012328E-3</v>
      </c>
      <c r="L68" s="55">
        <f t="shared" si="27"/>
        <v>9.3403097165605138E-3</v>
      </c>
      <c r="M68" s="55">
        <f t="shared" si="28"/>
        <v>0.99065969028343948</v>
      </c>
      <c r="N68" s="55">
        <f t="shared" si="29"/>
        <v>8.6282539547194569E-3</v>
      </c>
      <c r="O68" s="56">
        <f t="shared" si="30"/>
        <v>1.8923909037741176E-9</v>
      </c>
      <c r="P68" s="56">
        <f t="shared" si="31"/>
        <v>7.014572597136951E-6</v>
      </c>
      <c r="Q68" s="56">
        <f t="shared" si="32"/>
        <v>1.2959637439988619E-3</v>
      </c>
      <c r="R68" s="9">
        <f t="shared" si="12"/>
        <v>1.4999999999999999E-4</v>
      </c>
      <c r="S68" s="9">
        <f t="shared" si="13"/>
        <v>1.4010464574840769E-6</v>
      </c>
      <c r="T68" s="9">
        <f t="shared" si="10"/>
        <v>2.820122315251849E-7</v>
      </c>
      <c r="U68" s="9">
        <f t="shared" si="11"/>
        <v>1.4859895354251592E-4</v>
      </c>
      <c r="V68" s="100">
        <f t="shared" si="14"/>
        <v>1.8978076547793311E-3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119</v>
      </c>
      <c r="C69" s="46" t="s">
        <v>120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0.38500856866688477</v>
      </c>
      <c r="J69" s="54">
        <f t="shared" si="25"/>
        <v>0.78891704772139615</v>
      </c>
      <c r="K69" s="55">
        <f t="shared" si="26"/>
        <v>0.40857400621657347</v>
      </c>
      <c r="L69" s="55">
        <f t="shared" si="27"/>
        <v>3.3680769837726113E-3</v>
      </c>
      <c r="M69" s="55">
        <f t="shared" si="28"/>
        <v>0.99663192301622738</v>
      </c>
      <c r="N69" s="55">
        <f t="shared" si="29"/>
        <v>2.1623946027745176E-3</v>
      </c>
      <c r="O69" s="56">
        <f t="shared" si="30"/>
        <v>4.1124904159365061E-7</v>
      </c>
      <c r="P69" s="56">
        <f t="shared" si="31"/>
        <v>2.5294258148132305E-6</v>
      </c>
      <c r="Q69" s="56">
        <f t="shared" si="32"/>
        <v>3.2479166933673242E-4</v>
      </c>
      <c r="R69" s="9">
        <f t="shared" si="12"/>
        <v>1.4999999999999999E-4</v>
      </c>
      <c r="S69" s="9">
        <f t="shared" si="13"/>
        <v>5.0521154756589171E-7</v>
      </c>
      <c r="T69" s="9">
        <f t="shared" si="10"/>
        <v>6.1286100932486011E-5</v>
      </c>
      <c r="U69" s="9">
        <f t="shared" si="11"/>
        <v>1.4949478845243408E-4</v>
      </c>
      <c r="V69" s="100">
        <f t="shared" si="14"/>
        <v>0.40995476542639403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113</v>
      </c>
      <c r="C70" s="46" t="s">
        <v>114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1.2852308448323728</v>
      </c>
      <c r="J70" s="54">
        <f t="shared" si="25"/>
        <v>2.0469857256800985</v>
      </c>
      <c r="K70" s="55">
        <f t="shared" si="26"/>
        <v>5.1189496012799762E-2</v>
      </c>
      <c r="L70" s="55">
        <f t="shared" si="27"/>
        <v>7.6447063559959587E-3</v>
      </c>
      <c r="M70" s="55">
        <f t="shared" si="28"/>
        <v>0.99235529364400399</v>
      </c>
      <c r="N70" s="55">
        <f t="shared" si="29"/>
        <v>6.7852223954675992E-3</v>
      </c>
      <c r="O70" s="56">
        <f t="shared" si="30"/>
        <v>5.1524646342202766E-8</v>
      </c>
      <c r="P70" s="56">
        <f t="shared" si="31"/>
        <v>5.7411744733529665E-6</v>
      </c>
      <c r="Q70" s="56">
        <f t="shared" si="32"/>
        <v>1.0191404037992332E-3</v>
      </c>
      <c r="R70" s="9">
        <f t="shared" si="12"/>
        <v>1.4999999999999999E-4</v>
      </c>
      <c r="S70" s="9">
        <f t="shared" si="13"/>
        <v>1.1467059533993937E-6</v>
      </c>
      <c r="T70" s="9">
        <f t="shared" si="10"/>
        <v>7.6784244019199641E-6</v>
      </c>
      <c r="U70" s="9">
        <f t="shared" si="11"/>
        <v>1.4885329404660058E-4</v>
      </c>
      <c r="V70" s="100">
        <f t="shared" si="14"/>
        <v>5.158383931709383E-2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121</v>
      </c>
      <c r="C71" s="46" t="s">
        <v>122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4.7715972923878738</v>
      </c>
      <c r="K71" s="55">
        <f t="shared" ref="K71:K122" si="35">IF(D71=0,"",1/(1+10^D71*$J$15/$J$14+10^E71*$J$16/$J$14+10^J71*$J$19/$J$14))</f>
        <v>1.2095357118844343E-4</v>
      </c>
      <c r="L71" s="55">
        <f t="shared" ref="L71:L122" si="36">IF(D71=0,"",1/(1+10^I71/10^J71*$J$13/$J$19))</f>
        <v>9.5809862467556278E-3</v>
      </c>
      <c r="M71" s="55">
        <f t="shared" si="19"/>
        <v>0.99041901375324437</v>
      </c>
      <c r="N71" s="55">
        <f t="shared" ref="N71:N122" si="37">IF(D71=0,"",1/(1/10^E71*$J$20/$J$22+10^D71/10^E71*$J$21/$J$22+10^I71/10^E71*$J$13/$J$22+1))</f>
        <v>8.8904333135268795E-3</v>
      </c>
      <c r="O71" s="56">
        <f t="shared" si="21"/>
        <v>1.2174548422498007E-10</v>
      </c>
      <c r="P71" s="56">
        <f t="shared" ref="P71:P122" si="38">IF(D71=0,"",O71*10^J71)</f>
        <v>7.1953206713134755E-6</v>
      </c>
      <c r="Q71" s="56">
        <f t="shared" ref="Q71:Q122" si="39">IF(D71=0,"",F71*N71*$J$7/$J$22)</f>
        <v>1.3353430836917368E-3</v>
      </c>
      <c r="R71" s="9">
        <f t="shared" si="12"/>
        <v>1.4999999999999999E-4</v>
      </c>
      <c r="S71" s="9">
        <f t="shared" si="13"/>
        <v>1.4371479370133441E-6</v>
      </c>
      <c r="T71" s="9">
        <f t="shared" si="10"/>
        <v>1.8143035678266513E-8</v>
      </c>
      <c r="U71" s="9">
        <f t="shared" si="11"/>
        <v>1.4856285206298663E-4</v>
      </c>
      <c r="V71" s="100">
        <f t="shared" si="14"/>
        <v>1.2212363606599552E-4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123</v>
      </c>
      <c r="C72" s="46" t="s">
        <v>124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3.4646398062685488</v>
      </c>
      <c r="J72" s="54">
        <f t="shared" si="34"/>
        <v>4.2719801127259975</v>
      </c>
      <c r="K72" s="55">
        <f t="shared" si="35"/>
        <v>3.3837994384297972E-4</v>
      </c>
      <c r="L72" s="55">
        <f t="shared" si="36"/>
        <v>8.4835760141980607E-3</v>
      </c>
      <c r="M72" s="55">
        <f t="shared" si="19"/>
        <v>0.99151642398580198</v>
      </c>
      <c r="N72" s="55">
        <f t="shared" si="37"/>
        <v>7.6941180818696914E-3</v>
      </c>
      <c r="O72" s="56">
        <f t="shared" si="21"/>
        <v>3.4059540128006771E-10</v>
      </c>
      <c r="P72" s="56">
        <f t="shared" si="38"/>
        <v>6.3711655866627461E-6</v>
      </c>
      <c r="Q72" s="56">
        <f t="shared" si="39"/>
        <v>1.1556565358968273E-3</v>
      </c>
      <c r="R72" s="9">
        <f t="shared" si="12"/>
        <v>1.4999999999999999E-4</v>
      </c>
      <c r="S72" s="9">
        <f t="shared" si="13"/>
        <v>1.2725364021297089E-6</v>
      </c>
      <c r="T72" s="9">
        <f t="shared" si="10"/>
        <v>5.0756991576446952E-8</v>
      </c>
      <c r="U72" s="9">
        <f t="shared" si="11"/>
        <v>1.4872746359787027E-4</v>
      </c>
      <c r="V72" s="100">
        <f t="shared" si="14"/>
        <v>3.4127517775522513E-4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125</v>
      </c>
      <c r="C73" s="46" t="s">
        <v>126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3.4579829545014036</v>
      </c>
      <c r="J73" s="54">
        <f t="shared" si="34"/>
        <v>4.3022457905640747</v>
      </c>
      <c r="K73" s="55">
        <f t="shared" si="35"/>
        <v>3.4334810358200115E-4</v>
      </c>
      <c r="L73" s="55">
        <f t="shared" si="36"/>
        <v>9.2294255814898401E-3</v>
      </c>
      <c r="M73" s="55">
        <f t="shared" si="19"/>
        <v>0.99077057441851013</v>
      </c>
      <c r="N73" s="55">
        <f t="shared" si="37"/>
        <v>8.5072047632621418E-3</v>
      </c>
      <c r="O73" s="56">
        <f t="shared" si="21"/>
        <v>3.4559608879339353E-10</v>
      </c>
      <c r="P73" s="56">
        <f t="shared" si="38"/>
        <v>6.9312986116988744E-6</v>
      </c>
      <c r="Q73" s="56">
        <f t="shared" si="39"/>
        <v>1.2777821554419732E-3</v>
      </c>
      <c r="R73" s="9">
        <f t="shared" si="12"/>
        <v>1.4999999999999999E-4</v>
      </c>
      <c r="S73" s="9">
        <f t="shared" si="13"/>
        <v>1.3844138372234758E-6</v>
      </c>
      <c r="T73" s="9">
        <f t="shared" si="10"/>
        <v>5.1502215537300169E-8</v>
      </c>
      <c r="U73" s="9">
        <f t="shared" si="11"/>
        <v>1.4861558616277652E-4</v>
      </c>
      <c r="V73" s="100">
        <f t="shared" si="14"/>
        <v>3.4654652898176197E-4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127</v>
      </c>
      <c r="C74" s="46" t="s">
        <v>128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0.62193942428688143</v>
      </c>
      <c r="J74" s="54">
        <f t="shared" si="34"/>
        <v>1.0996040565396163</v>
      </c>
      <c r="K74" s="55">
        <f t="shared" si="35"/>
        <v>0.23662967350897463</v>
      </c>
      <c r="L74" s="55">
        <f t="shared" si="36"/>
        <v>3.9890317209506278E-3</v>
      </c>
      <c r="M74" s="55">
        <f t="shared" si="19"/>
        <v>0.99601096827904934</v>
      </c>
      <c r="N74" s="55">
        <f t="shared" si="37"/>
        <v>2.8204047514495661E-3</v>
      </c>
      <c r="O74" s="56">
        <f t="shared" si="21"/>
        <v>2.3817894668414377E-7</v>
      </c>
      <c r="P74" s="56">
        <f t="shared" si="38"/>
        <v>2.9957628224339216E-6</v>
      </c>
      <c r="Q74" s="56">
        <f t="shared" si="39"/>
        <v>4.2362479366772464E-4</v>
      </c>
      <c r="R74" s="9">
        <f t="shared" si="12"/>
        <v>1.4999999999999999E-4</v>
      </c>
      <c r="S74" s="9">
        <f t="shared" si="13"/>
        <v>5.9835475814259414E-7</v>
      </c>
      <c r="T74" s="9">
        <f t="shared" si="10"/>
        <v>3.549445102634619E-5</v>
      </c>
      <c r="U74" s="9">
        <f t="shared" si="11"/>
        <v>1.4940164524185738E-4</v>
      </c>
      <c r="V74" s="100">
        <f t="shared" si="14"/>
        <v>0.23757737720281694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2.0259693417507676</v>
      </c>
      <c r="J75" s="54">
        <f t="shared" si="34"/>
        <v>2.9166215689730115</v>
      </c>
      <c r="K75" s="55">
        <f t="shared" si="35"/>
        <v>9.2746312268338904E-3</v>
      </c>
      <c r="L75" s="55">
        <f t="shared" si="36"/>
        <v>1.0259175240508166E-2</v>
      </c>
      <c r="M75" s="55">
        <f t="shared" si="19"/>
        <v>0.98974082475949188</v>
      </c>
      <c r="N75" s="55">
        <f t="shared" si="37"/>
        <v>9.6307667813792068E-3</v>
      </c>
      <c r="O75" s="56">
        <f t="shared" si="21"/>
        <v>9.3353545383114535E-9</v>
      </c>
      <c r="P75" s="56">
        <f t="shared" si="38"/>
        <v>7.7046406056216372E-6</v>
      </c>
      <c r="Q75" s="56">
        <f t="shared" si="39"/>
        <v>1.4465411705631565E-3</v>
      </c>
      <c r="R75" s="9">
        <f t="shared" si="12"/>
        <v>1.4999999999999999E-4</v>
      </c>
      <c r="S75" s="9">
        <f t="shared" si="13"/>
        <v>1.5388762860762249E-6</v>
      </c>
      <c r="T75" s="9">
        <f t="shared" si="10"/>
        <v>1.3911946840250835E-6</v>
      </c>
      <c r="U75" s="9">
        <f t="shared" si="11"/>
        <v>1.4846112371392378E-4</v>
      </c>
      <c r="V75" s="100">
        <f t="shared" si="14"/>
        <v>9.3707675735085864E-3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129</v>
      </c>
      <c r="C76" s="46" t="s">
        <v>130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2.0466328175843658</v>
      </c>
      <c r="J76" s="54">
        <f t="shared" si="34"/>
        <v>2.8524813659648856</v>
      </c>
      <c r="K76" s="55">
        <f t="shared" si="35"/>
        <v>8.8598064939241685E-3</v>
      </c>
      <c r="L76" s="55">
        <f t="shared" si="36"/>
        <v>8.4547317195653761E-3</v>
      </c>
      <c r="M76" s="55">
        <f t="shared" si="19"/>
        <v>0.99154526828043466</v>
      </c>
      <c r="N76" s="55">
        <f t="shared" si="37"/>
        <v>7.6636113111755401E-3</v>
      </c>
      <c r="O76" s="56">
        <f t="shared" si="21"/>
        <v>8.917813844966325E-9</v>
      </c>
      <c r="P76" s="56">
        <f t="shared" si="38"/>
        <v>6.3495035213936038E-6</v>
      </c>
      <c r="Q76" s="56">
        <f t="shared" si="39"/>
        <v>1.1510744189385657E-3</v>
      </c>
      <c r="R76" s="9">
        <f t="shared" si="12"/>
        <v>1.4999999999999999E-4</v>
      </c>
      <c r="S76" s="9">
        <f t="shared" si="13"/>
        <v>1.2682097579348062E-6</v>
      </c>
      <c r="T76" s="9">
        <f t="shared" si="10"/>
        <v>1.3289709740886251E-6</v>
      </c>
      <c r="U76" s="9">
        <f t="shared" si="11"/>
        <v>1.4873179024206518E-4</v>
      </c>
      <c r="V76" s="100">
        <f t="shared" si="14"/>
        <v>8.9353525021495898E-3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131</v>
      </c>
      <c r="C77" s="46" t="s">
        <v>132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0.75425121724867172</v>
      </c>
      <c r="J77" s="54">
        <f t="shared" si="34"/>
        <v>1.3698795093743001</v>
      </c>
      <c r="K77" s="55">
        <f t="shared" si="35"/>
        <v>0.17422484934114518</v>
      </c>
      <c r="L77" s="55">
        <f t="shared" si="36"/>
        <v>5.4724756246434039E-3</v>
      </c>
      <c r="M77" s="55">
        <f t="shared" si="19"/>
        <v>0.99452752437535663</v>
      </c>
      <c r="N77" s="55">
        <f t="shared" si="37"/>
        <v>4.4307100548684579E-3</v>
      </c>
      <c r="O77" s="56">
        <f t="shared" si="21"/>
        <v>1.753655426511999E-7</v>
      </c>
      <c r="P77" s="56">
        <f t="shared" si="38"/>
        <v>4.1098291941071961E-6</v>
      </c>
      <c r="Q77" s="56">
        <f t="shared" si="39"/>
        <v>6.654926502412422E-4</v>
      </c>
      <c r="R77" s="9">
        <f t="shared" si="12"/>
        <v>1.4999999999999999E-4</v>
      </c>
      <c r="S77" s="9">
        <f t="shared" si="13"/>
        <v>8.208713436965105E-7</v>
      </c>
      <c r="T77" s="9">
        <f t="shared" si="10"/>
        <v>2.6133727401171776E-5</v>
      </c>
      <c r="U77" s="9">
        <f t="shared" si="11"/>
        <v>1.4917912865630348E-4</v>
      </c>
      <c r="V77" s="100">
        <f t="shared" si="14"/>
        <v>0.17518353697709113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1.7168211447433381</v>
      </c>
      <c r="K78" s="55">
        <f t="shared" si="35"/>
        <v>0.10284271618901124</v>
      </c>
      <c r="L78" s="55">
        <f t="shared" si="36"/>
        <v>7.1810658940188602E-3</v>
      </c>
      <c r="M78" s="55">
        <f t="shared" si="19"/>
        <v>0.9928189341059811</v>
      </c>
      <c r="N78" s="55">
        <f t="shared" si="37"/>
        <v>6.2854701964966415E-3</v>
      </c>
      <c r="O78" s="56">
        <f t="shared" si="21"/>
        <v>1.0351605296495502E-7</v>
      </c>
      <c r="P78" s="56">
        <f t="shared" si="38"/>
        <v>5.3929804864081644E-6</v>
      </c>
      <c r="Q78" s="56">
        <f t="shared" si="39"/>
        <v>9.4407762351379515E-4</v>
      </c>
      <c r="R78" s="9">
        <f t="shared" si="12"/>
        <v>1.4999999999999999E-4</v>
      </c>
      <c r="S78" s="9">
        <f t="shared" si="13"/>
        <v>1.0771598841028289E-6</v>
      </c>
      <c r="T78" s="9">
        <f t="shared" si="10"/>
        <v>1.5426407428351684E-5</v>
      </c>
      <c r="U78" s="9">
        <f t="shared" si="11"/>
        <v>1.4892284011589716E-4</v>
      </c>
      <c r="V78" s="100">
        <f t="shared" si="14"/>
        <v>0.10358657823303863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133</v>
      </c>
      <c r="C79" s="46" t="s">
        <v>134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1.5824466515947846</v>
      </c>
      <c r="K79" s="55">
        <f t="shared" si="35"/>
        <v>8.684291647338338E-2</v>
      </c>
      <c r="L79" s="55">
        <f t="shared" si="36"/>
        <v>4.4501564617092041E-3</v>
      </c>
      <c r="M79" s="55">
        <f t="shared" si="19"/>
        <v>0.99554984353829079</v>
      </c>
      <c r="N79" s="55">
        <f t="shared" si="37"/>
        <v>3.3066150128604962E-3</v>
      </c>
      <c r="O79" s="56">
        <f t="shared" si="21"/>
        <v>8.7411498591384568E-8</v>
      </c>
      <c r="P79" s="56">
        <f t="shared" si="38"/>
        <v>3.3420675027436126E-6</v>
      </c>
      <c r="Q79" s="56">
        <f t="shared" si="39"/>
        <v>4.9665357493164646E-4</v>
      </c>
      <c r="R79" s="9">
        <f t="shared" si="12"/>
        <v>1.4999999999999999E-4</v>
      </c>
      <c r="S79" s="9">
        <f t="shared" si="13"/>
        <v>6.6752346925638054E-7</v>
      </c>
      <c r="T79" s="9">
        <f t="shared" si="10"/>
        <v>1.3026437471007506E-5</v>
      </c>
      <c r="U79" s="9">
        <f t="shared" si="11"/>
        <v>1.4933247653074362E-4</v>
      </c>
      <c r="V79" s="100">
        <f t="shared" si="14"/>
        <v>8.7231108554780501E-2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135</v>
      </c>
      <c r="C80" s="46" t="s">
        <v>136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1.6545409469670946</v>
      </c>
      <c r="K80" s="55">
        <f t="shared" si="35"/>
        <v>7.1857116324867826E-2</v>
      </c>
      <c r="L80" s="55">
        <f t="shared" si="36"/>
        <v>4.347153348419854E-3</v>
      </c>
      <c r="M80" s="55">
        <f t="shared" si="19"/>
        <v>0.99565284665158016</v>
      </c>
      <c r="N80" s="55">
        <f t="shared" si="37"/>
        <v>3.192677251498919E-3</v>
      </c>
      <c r="O80" s="56">
        <f t="shared" si="21"/>
        <v>7.2327582691643684E-8</v>
      </c>
      <c r="P80" s="56">
        <f t="shared" si="38"/>
        <v>3.2647121646633114E-6</v>
      </c>
      <c r="Q80" s="56">
        <f t="shared" si="39"/>
        <v>4.795401231751375E-4</v>
      </c>
      <c r="R80" s="9">
        <f t="shared" si="12"/>
        <v>1.4999999999999999E-4</v>
      </c>
      <c r="S80" s="9">
        <f t="shared" si="13"/>
        <v>6.5207300226297808E-7</v>
      </c>
      <c r="T80" s="9">
        <f t="shared" si="10"/>
        <v>1.0778567448730173E-5</v>
      </c>
      <c r="U80" s="9">
        <f t="shared" si="11"/>
        <v>1.4934792699773701E-4</v>
      </c>
      <c r="V80" s="100">
        <f t="shared" si="14"/>
        <v>7.2170854094904813E-2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137</v>
      </c>
      <c r="C81" s="46" t="s">
        <v>138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3.3641784665212624</v>
      </c>
      <c r="K81" s="55">
        <f t="shared" si="35"/>
        <v>3.3626816741580941E-3</v>
      </c>
      <c r="L81" s="55">
        <f t="shared" si="36"/>
        <v>1.0424577260616005E-2</v>
      </c>
      <c r="M81" s="55">
        <f t="shared" si="19"/>
        <v>0.98957542273938404</v>
      </c>
      <c r="N81" s="55">
        <f t="shared" si="37"/>
        <v>9.8104288007617828E-3</v>
      </c>
      <c r="O81" s="56">
        <f t="shared" si="21"/>
        <v>3.3846979852874264E-9</v>
      </c>
      <c r="P81" s="56">
        <f t="shared" si="38"/>
        <v>7.8288575227226203E-6</v>
      </c>
      <c r="Q81" s="56">
        <f t="shared" si="39"/>
        <v>1.4735264058744193E-3</v>
      </c>
      <c r="R81" s="9">
        <f t="shared" si="12"/>
        <v>1.4999999999999999E-4</v>
      </c>
      <c r="S81" s="9">
        <f t="shared" si="13"/>
        <v>1.5636865890924006E-6</v>
      </c>
      <c r="T81" s="9">
        <f t="shared" si="10"/>
        <v>5.0440225112371404E-7</v>
      </c>
      <c r="U81" s="9">
        <f t="shared" si="11"/>
        <v>1.484363134109076E-4</v>
      </c>
      <c r="V81" s="100">
        <f t="shared" si="14"/>
        <v>3.3981054873507047E-3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139</v>
      </c>
      <c r="C82" s="46" t="s">
        <v>140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3.0473260422149981</v>
      </c>
      <c r="K82" s="55">
        <f t="shared" si="35"/>
        <v>5.842658347538038E-3</v>
      </c>
      <c r="L82" s="55">
        <f t="shared" si="36"/>
        <v>8.7323425242726051E-3</v>
      </c>
      <c r="M82" s="55">
        <f t="shared" si="19"/>
        <v>0.99126765747572743</v>
      </c>
      <c r="N82" s="55">
        <f t="shared" si="37"/>
        <v>7.9659160386403808E-3</v>
      </c>
      <c r="O82" s="56">
        <f t="shared" si="21"/>
        <v>5.8809116811765819E-9</v>
      </c>
      <c r="P82" s="56">
        <f t="shared" si="38"/>
        <v>6.5579892357287335E-6</v>
      </c>
      <c r="Q82" s="56">
        <f t="shared" si="39"/>
        <v>1.1964805890037847E-3</v>
      </c>
      <c r="R82" s="9">
        <f t="shared" si="12"/>
        <v>1.4999999999999999E-4</v>
      </c>
      <c r="S82" s="9">
        <f t="shared" si="13"/>
        <v>1.3098513786408907E-6</v>
      </c>
      <c r="T82" s="9">
        <f t="shared" si="10"/>
        <v>8.7639875213070567E-7</v>
      </c>
      <c r="U82" s="9">
        <f t="shared" si="11"/>
        <v>1.486901486213591E-4</v>
      </c>
      <c r="V82" s="100">
        <f t="shared" si="14"/>
        <v>5.894127891165564E-3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0.70532975413914467</v>
      </c>
      <c r="J83" s="54">
        <f t="shared" si="34"/>
        <v>1.3173040593206689</v>
      </c>
      <c r="K83" s="55">
        <f t="shared" si="35"/>
        <v>0.19500757139487623</v>
      </c>
      <c r="L83" s="55">
        <f t="shared" si="36"/>
        <v>5.4268742931851055E-3</v>
      </c>
      <c r="M83" s="55">
        <f t="shared" si="19"/>
        <v>0.99457312570681489</v>
      </c>
      <c r="N83" s="55">
        <f t="shared" si="37"/>
        <v>4.3832849751396863E-3</v>
      </c>
      <c r="O83" s="56">
        <f t="shared" si="21"/>
        <v>1.9628433434196071E-7</v>
      </c>
      <c r="P83" s="56">
        <f t="shared" si="38"/>
        <v>4.0755825941820127E-6</v>
      </c>
      <c r="Q83" s="56">
        <f t="shared" si="39"/>
        <v>6.5836940326598062E-4</v>
      </c>
      <c r="R83" s="9">
        <f t="shared" si="12"/>
        <v>1.4999999999999999E-4</v>
      </c>
      <c r="S83" s="9">
        <f t="shared" si="13"/>
        <v>8.1403114397776577E-7</v>
      </c>
      <c r="T83" s="9">
        <f t="shared" si="10"/>
        <v>2.9251135709231431E-5</v>
      </c>
      <c r="U83" s="9">
        <f t="shared" si="11"/>
        <v>1.4918596885602221E-4</v>
      </c>
      <c r="V83" s="100">
        <f t="shared" si="14"/>
        <v>0.19607162746961404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141</v>
      </c>
      <c r="C84" s="46" t="s">
        <v>142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3.0318323583249076</v>
      </c>
      <c r="K84" s="55">
        <f t="shared" si="35"/>
        <v>4.6511832685249997E-3</v>
      </c>
      <c r="L84" s="55">
        <f t="shared" si="36"/>
        <v>6.7079534368050487E-3</v>
      </c>
      <c r="M84" s="55">
        <f t="shared" si="19"/>
        <v>0.99329204656319492</v>
      </c>
      <c r="N84" s="55">
        <f t="shared" si="37"/>
        <v>5.7589019623231485E-3</v>
      </c>
      <c r="O84" s="56">
        <f t="shared" si="21"/>
        <v>4.681635719242039E-9</v>
      </c>
      <c r="P84" s="56">
        <f t="shared" si="38"/>
        <v>5.03767303104059E-6</v>
      </c>
      <c r="Q84" s="56">
        <f t="shared" si="39"/>
        <v>8.6498707474093653E-4</v>
      </c>
      <c r="R84" s="9">
        <f t="shared" si="12"/>
        <v>1.4999999999999999E-4</v>
      </c>
      <c r="S84" s="9">
        <f t="shared" si="13"/>
        <v>1.0061930155207573E-6</v>
      </c>
      <c r="T84" s="9">
        <f t="shared" si="10"/>
        <v>6.9767749027874985E-7</v>
      </c>
      <c r="U84" s="9">
        <f t="shared" si="11"/>
        <v>1.4899380698447923E-4</v>
      </c>
      <c r="V84" s="100">
        <f t="shared" si="14"/>
        <v>4.6825938903046309E-3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1.2317717173887035</v>
      </c>
      <c r="K85" s="55">
        <f t="shared" si="35"/>
        <v>0.22434840475355092</v>
      </c>
      <c r="L85" s="55">
        <f t="shared" si="36"/>
        <v>5.1273023977436681E-3</v>
      </c>
      <c r="M85" s="55">
        <f t="shared" si="19"/>
        <v>0.99487269760225638</v>
      </c>
      <c r="N85" s="55">
        <f t="shared" si="37"/>
        <v>4.0599362938747614E-3</v>
      </c>
      <c r="O85" s="56">
        <f t="shared" si="21"/>
        <v>2.2581726941546102E-7</v>
      </c>
      <c r="P85" s="56">
        <f t="shared" si="38"/>
        <v>3.8506041007054938E-6</v>
      </c>
      <c r="Q85" s="56">
        <f t="shared" si="39"/>
        <v>6.0980243133998901E-4</v>
      </c>
      <c r="R85" s="9">
        <f t="shared" si="12"/>
        <v>1.4999999999999999E-4</v>
      </c>
      <c r="S85" s="9">
        <f t="shared" si="13"/>
        <v>7.6909535966155017E-7</v>
      </c>
      <c r="T85" s="9">
        <f t="shared" si="10"/>
        <v>3.3652260713032633E-5</v>
      </c>
      <c r="U85" s="9">
        <f t="shared" si="11"/>
        <v>1.4923090464033845E-4</v>
      </c>
      <c r="V85" s="100">
        <f t="shared" si="14"/>
        <v>0.22550463521036734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143</v>
      </c>
      <c r="C86" s="46" t="s">
        <v>144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2.1121156644685484</v>
      </c>
      <c r="K86" s="55">
        <f t="shared" si="35"/>
        <v>2.3228991087771638E-2</v>
      </c>
      <c r="L86" s="55">
        <f t="shared" si="36"/>
        <v>4.0303265976279513E-3</v>
      </c>
      <c r="M86" s="55">
        <f t="shared" si="19"/>
        <v>0.99596967340237208</v>
      </c>
      <c r="N86" s="55">
        <f t="shared" si="37"/>
        <v>2.8419378783932944E-3</v>
      </c>
      <c r="O86" s="56">
        <f t="shared" si="21"/>
        <v>2.338107705503374E-8</v>
      </c>
      <c r="P86" s="56">
        <f t="shared" si="38"/>
        <v>3.0267752748185937E-6</v>
      </c>
      <c r="Q86" s="56">
        <f t="shared" si="39"/>
        <v>4.2685906933467263E-4</v>
      </c>
      <c r="R86" s="9">
        <f t="shared" si="12"/>
        <v>1.4999999999999999E-4</v>
      </c>
      <c r="S86" s="9">
        <f t="shared" si="13"/>
        <v>6.0454898964419263E-7</v>
      </c>
      <c r="T86" s="9">
        <f t="shared" si="10"/>
        <v>3.4843486631657456E-6</v>
      </c>
      <c r="U86" s="9">
        <f t="shared" si="11"/>
        <v>1.493954510103558E-4</v>
      </c>
      <c r="V86" s="100">
        <f t="shared" si="14"/>
        <v>2.3322990356140209E-2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281</v>
      </c>
      <c r="C87" s="46" t="s">
        <v>282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0.94754119329128117</v>
      </c>
      <c r="K87" s="55">
        <f t="shared" si="35"/>
        <v>0.32792990244869819</v>
      </c>
      <c r="L87" s="55">
        <f t="shared" si="36"/>
        <v>3.8950805378504603E-3</v>
      </c>
      <c r="M87" s="55">
        <f t="shared" si="19"/>
        <v>0.99610491946214952</v>
      </c>
      <c r="N87" s="55">
        <f t="shared" si="37"/>
        <v>2.7280315283417268E-3</v>
      </c>
      <c r="O87" s="56">
        <f t="shared" si="21"/>
        <v>3.300769408723485E-7</v>
      </c>
      <c r="P87" s="56">
        <f t="shared" si="38"/>
        <v>2.9252054839256957E-6</v>
      </c>
      <c r="Q87" s="56">
        <f t="shared" si="39"/>
        <v>4.097503355569272E-4</v>
      </c>
      <c r="R87" s="9">
        <f t="shared" si="12"/>
        <v>1.4999999999999999E-4</v>
      </c>
      <c r="S87" s="9">
        <f t="shared" si="13"/>
        <v>5.8426208067756902E-7</v>
      </c>
      <c r="T87" s="9">
        <f t="shared" si="10"/>
        <v>4.9189485367304724E-5</v>
      </c>
      <c r="U87" s="9">
        <f t="shared" si="11"/>
        <v>1.4941573791932243E-4</v>
      </c>
      <c r="V87" s="100">
        <f t="shared" si="14"/>
        <v>0.32921221052272798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283</v>
      </c>
      <c r="C88" s="46" t="s">
        <v>284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0.18077336940563399</v>
      </c>
      <c r="K88" s="55">
        <f t="shared" si="35"/>
        <v>0.70447419999761085</v>
      </c>
      <c r="L88" s="55">
        <f t="shared" si="36"/>
        <v>1.4316362640643659E-3</v>
      </c>
      <c r="M88" s="55">
        <f t="shared" si="19"/>
        <v>0.9985683637359356</v>
      </c>
      <c r="N88" s="55">
        <f t="shared" si="37"/>
        <v>8.395166728717385E-5</v>
      </c>
      <c r="O88" s="56">
        <f t="shared" si="21"/>
        <v>7.0908656734981285E-7</v>
      </c>
      <c r="P88" s="56">
        <f t="shared" si="38"/>
        <v>1.0751588343123386E-6</v>
      </c>
      <c r="Q88" s="56">
        <f t="shared" si="39"/>
        <v>1.2609540426533508E-5</v>
      </c>
      <c r="R88" s="9">
        <f t="shared" si="12"/>
        <v>1.4999999999999999E-4</v>
      </c>
      <c r="S88" s="9">
        <f t="shared" si="13"/>
        <v>2.1474543960965486E-7</v>
      </c>
      <c r="T88" s="9">
        <f t="shared" si="10"/>
        <v>1.0567112999964162E-4</v>
      </c>
      <c r="U88" s="9">
        <f t="shared" si="11"/>
        <v>1.4978525456039033E-4</v>
      </c>
      <c r="V88" s="100">
        <f t="shared" si="14"/>
        <v>0.70548419675741314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285</v>
      </c>
      <c r="C89" s="46" t="s">
        <v>286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7.4106535684859906E-2</v>
      </c>
      <c r="K89" s="55">
        <f t="shared" si="35"/>
        <v>0.91154626549571027</v>
      </c>
      <c r="L89" s="55">
        <f t="shared" si="36"/>
        <v>1.4490370189050544E-3</v>
      </c>
      <c r="M89" s="55">
        <f t="shared" si="19"/>
        <v>0.99855096298109491</v>
      </c>
      <c r="N89" s="55">
        <f t="shared" si="37"/>
        <v>1.2570899005402957E-4</v>
      </c>
      <c r="O89" s="56">
        <f t="shared" si="21"/>
        <v>9.1751438503083082E-7</v>
      </c>
      <c r="P89" s="56">
        <f t="shared" si="38"/>
        <v>1.0882268011976955E-6</v>
      </c>
      <c r="Q89" s="56">
        <f t="shared" si="39"/>
        <v>1.8881490306115239E-5</v>
      </c>
      <c r="R89" s="9">
        <f t="shared" si="12"/>
        <v>1.4999999999999999E-4</v>
      </c>
      <c r="S89" s="9">
        <f t="shared" si="13"/>
        <v>2.1735555283575814E-7</v>
      </c>
      <c r="T89" s="9">
        <f t="shared" si="10"/>
        <v>1.3673193982435654E-4</v>
      </c>
      <c r="U89" s="9">
        <f t="shared" si="11"/>
        <v>1.4978264444716422E-4</v>
      </c>
      <c r="V89" s="100">
        <f t="shared" si="14"/>
        <v>0.91286904653755574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287</v>
      </c>
      <c r="C90" s="46" t="s">
        <v>288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7.3722564111608664E-4</v>
      </c>
      <c r="K90" s="55">
        <f t="shared" si="35"/>
        <v>0.99055036141782782</v>
      </c>
      <c r="L90" s="55">
        <f t="shared" si="36"/>
        <v>1.329866405556439E-3</v>
      </c>
      <c r="M90" s="55">
        <f t="shared" si="19"/>
        <v>0.99867013359444357</v>
      </c>
      <c r="N90" s="55">
        <f t="shared" si="37"/>
        <v>4.4896962696395009E-6</v>
      </c>
      <c r="O90" s="56">
        <f t="shared" si="21"/>
        <v>9.9703574036815842E-7</v>
      </c>
      <c r="P90" s="56">
        <f t="shared" si="38"/>
        <v>9.9872967057288535E-7</v>
      </c>
      <c r="Q90" s="56">
        <f t="shared" si="39"/>
        <v>6.7435237969985282E-7</v>
      </c>
      <c r="R90" s="9">
        <f t="shared" si="12"/>
        <v>1.4999999999999999E-4</v>
      </c>
      <c r="S90" s="9">
        <f t="shared" si="13"/>
        <v>1.9947996083346583E-7</v>
      </c>
      <c r="T90" s="9">
        <f t="shared" si="10"/>
        <v>1.4858255421267415E-4</v>
      </c>
      <c r="U90" s="9">
        <f t="shared" si="11"/>
        <v>1.4980052003916652E-4</v>
      </c>
      <c r="V90" s="100">
        <f t="shared" si="14"/>
        <v>0.99186941523184358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289</v>
      </c>
      <c r="C91" s="46" t="s">
        <v>290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-1.6308597924744735E-3</v>
      </c>
      <c r="K91" s="55">
        <f t="shared" si="35"/>
        <v>0.99402502089127887</v>
      </c>
      <c r="L91" s="55">
        <f t="shared" si="36"/>
        <v>1.3272743001990117E-3</v>
      </c>
      <c r="M91" s="55">
        <f t="shared" si="19"/>
        <v>0.99867272569980103</v>
      </c>
      <c r="N91" s="55">
        <f t="shared" si="37"/>
        <v>2.0462991781825758E-6</v>
      </c>
      <c r="O91" s="56">
        <f t="shared" si="21"/>
        <v>1.00053314929917E-6</v>
      </c>
      <c r="P91" s="56">
        <f t="shared" si="38"/>
        <v>9.9678299944945769E-7</v>
      </c>
      <c r="Q91" s="56">
        <f t="shared" si="39"/>
        <v>3.0735413656302278E-7</v>
      </c>
      <c r="R91" s="9">
        <f t="shared" si="12"/>
        <v>1.4999999999999999E-4</v>
      </c>
      <c r="S91" s="9">
        <f t="shared" si="13"/>
        <v>1.9909114502985173E-7</v>
      </c>
      <c r="T91" s="9">
        <f t="shared" si="10"/>
        <v>1.4910375313369182E-4</v>
      </c>
      <c r="U91" s="9">
        <f t="shared" si="11"/>
        <v>1.4980090885497013E-4</v>
      </c>
      <c r="V91" s="100">
        <f t="shared" si="14"/>
        <v>0.99534611821378682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291</v>
      </c>
      <c r="C92" s="46" t="s">
        <v>292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9.6782625218511734E-2</v>
      </c>
      <c r="K92" s="55">
        <f t="shared" si="35"/>
        <v>0.89073751019411573</v>
      </c>
      <c r="L92" s="55">
        <f t="shared" si="36"/>
        <v>1.4918549357184549E-3</v>
      </c>
      <c r="M92" s="55">
        <f t="shared" si="19"/>
        <v>0.99850814506428154</v>
      </c>
      <c r="N92" s="55">
        <f t="shared" si="37"/>
        <v>1.7009687200231281E-4</v>
      </c>
      <c r="O92" s="56">
        <f t="shared" si="21"/>
        <v>8.9656938964607443E-7</v>
      </c>
      <c r="P92" s="56">
        <f t="shared" si="38"/>
        <v>1.1203830567245597E-6</v>
      </c>
      <c r="Q92" s="56">
        <f t="shared" si="39"/>
        <v>2.5548550174747377E-5</v>
      </c>
      <c r="R92" s="9">
        <f t="shared" si="12"/>
        <v>1.4999999999999999E-4</v>
      </c>
      <c r="S92" s="9">
        <f t="shared" si="13"/>
        <v>2.2377824035776822E-7</v>
      </c>
      <c r="T92" s="9">
        <f t="shared" ref="T92:T143" si="40">R92*K92</f>
        <v>1.3361062652911734E-4</v>
      </c>
      <c r="U92" s="9">
        <f t="shared" ref="U92:U143" si="41">$R92*M92</f>
        <v>1.4977622175964221E-4</v>
      </c>
      <c r="V92" s="100">
        <f t="shared" si="14"/>
        <v>0.89206834676022817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293</v>
      </c>
      <c r="C93" s="46" t="s">
        <v>294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-1.5403293623035036E-3</v>
      </c>
      <c r="K93" s="55">
        <f t="shared" si="35"/>
        <v>0.99388727243548269</v>
      </c>
      <c r="L93" s="55">
        <f t="shared" si="36"/>
        <v>1.3273670373985774E-3</v>
      </c>
      <c r="M93" s="55">
        <f t="shared" ref="M93:M127" si="42">IF(D93=0,"",1-L93)</f>
        <v>0.99867263296260145</v>
      </c>
      <c r="N93" s="55">
        <f t="shared" si="37"/>
        <v>2.1322374310789346E-6</v>
      </c>
      <c r="O93" s="56">
        <f t="shared" ref="O93:O127" si="43">IF(D93=0,"",F93*K93*$J$7/$J$14)</f>
        <v>1.0003944989700612E-6</v>
      </c>
      <c r="P93" s="56">
        <f t="shared" si="38"/>
        <v>9.968526450863315E-7</v>
      </c>
      <c r="Q93" s="56">
        <f t="shared" si="39"/>
        <v>3.2026206214805585E-7</v>
      </c>
      <c r="R93" s="9">
        <f t="shared" ref="R93:R143" si="44">F93*$C$14</f>
        <v>1.4999999999999999E-4</v>
      </c>
      <c r="S93" s="9">
        <f t="shared" ref="S93:S143" si="45">$R93*L93</f>
        <v>1.9910505560978659E-7</v>
      </c>
      <c r="T93" s="9">
        <f t="shared" si="40"/>
        <v>1.490830908653224E-4</v>
      </c>
      <c r="U93" s="9">
        <f t="shared" si="41"/>
        <v>1.498008949443902E-4</v>
      </c>
      <c r="V93" s="100">
        <f t="shared" ref="V93:V143" si="46">K93/M93</f>
        <v>0.9952082791005068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295</v>
      </c>
      <c r="C94" s="46" t="s">
        <v>296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-3.6857986344730684E-3</v>
      </c>
      <c r="K94" s="55">
        <f t="shared" si="35"/>
        <v>0.99732342131817042</v>
      </c>
      <c r="L94" s="55">
        <f t="shared" si="36"/>
        <v>1.3253923158520705E-3</v>
      </c>
      <c r="M94" s="55">
        <f t="shared" si="42"/>
        <v>0.99867460768414795</v>
      </c>
      <c r="N94" s="55">
        <f t="shared" si="37"/>
        <v>3.5764180953472694E-7</v>
      </c>
      <c r="O94" s="56">
        <f t="shared" si="43"/>
        <v>1.0038531451719183E-6</v>
      </c>
      <c r="P94" s="56">
        <f t="shared" si="38"/>
        <v>9.9536962920490455E-7</v>
      </c>
      <c r="Q94" s="56">
        <f t="shared" si="39"/>
        <v>5.3717799792115967E-8</v>
      </c>
      <c r="R94" s="9">
        <f t="shared" si="44"/>
        <v>1.4999999999999999E-4</v>
      </c>
      <c r="S94" s="9">
        <f t="shared" si="45"/>
        <v>1.9880884737781057E-7</v>
      </c>
      <c r="T94" s="9">
        <f t="shared" si="40"/>
        <v>1.4959851319772555E-4</v>
      </c>
      <c r="U94" s="9">
        <f t="shared" si="41"/>
        <v>1.4980119115262218E-4</v>
      </c>
      <c r="V94" s="100">
        <f t="shared" si="46"/>
        <v>0.9986470204052641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297</v>
      </c>
      <c r="C95" s="46" t="s">
        <v>298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2.775095201359258</v>
      </c>
      <c r="K95" s="55">
        <f t="shared" si="35"/>
        <v>1.2335193870816876E-2</v>
      </c>
      <c r="L95" s="55">
        <f t="shared" si="36"/>
        <v>9.8499813862305829E-3</v>
      </c>
      <c r="M95" s="55">
        <f t="shared" si="42"/>
        <v>0.99015001861376939</v>
      </c>
      <c r="N95" s="55">
        <f t="shared" si="37"/>
        <v>9.1850218825804894E-3</v>
      </c>
      <c r="O95" s="56">
        <f t="shared" si="43"/>
        <v>1.2415955445184017E-8</v>
      </c>
      <c r="P95" s="56">
        <f t="shared" si="38"/>
        <v>7.3973360210591682E-6</v>
      </c>
      <c r="Q95" s="56">
        <f t="shared" si="39"/>
        <v>1.379590286763589E-3</v>
      </c>
      <c r="R95" s="9">
        <f t="shared" si="44"/>
        <v>1.4999999999999999E-4</v>
      </c>
      <c r="S95" s="9">
        <f t="shared" si="45"/>
        <v>1.4774972079345873E-6</v>
      </c>
      <c r="T95" s="9">
        <f t="shared" si="40"/>
        <v>1.8502790806225313E-6</v>
      </c>
      <c r="U95" s="9">
        <f t="shared" si="41"/>
        <v>1.4852250279206539E-4</v>
      </c>
      <c r="V95" s="100">
        <f t="shared" si="46"/>
        <v>1.2457903993261955E-2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299</v>
      </c>
      <c r="C96" s="46" t="s">
        <v>212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-4.4262217719037919E-3</v>
      </c>
      <c r="K96" s="55">
        <f t="shared" si="35"/>
        <v>0.99867506503651648</v>
      </c>
      <c r="L96" s="55">
        <f t="shared" si="36"/>
        <v>1.324927802702204E-3</v>
      </c>
      <c r="M96" s="55">
        <f t="shared" si="42"/>
        <v>0.99867507219729779</v>
      </c>
      <c r="N96" s="55">
        <f t="shared" si="37"/>
        <v>1.1417957960294902E-14</v>
      </c>
      <c r="O96" s="56">
        <f t="shared" si="43"/>
        <v>1.0052136384370019E-6</v>
      </c>
      <c r="P96" s="56">
        <f t="shared" si="38"/>
        <v>9.9502077982935504E-7</v>
      </c>
      <c r="Q96" s="56">
        <f t="shared" si="39"/>
        <v>1.7149772856362938E-15</v>
      </c>
      <c r="R96" s="9">
        <f t="shared" si="44"/>
        <v>1.4999999999999999E-4</v>
      </c>
      <c r="S96" s="9">
        <f t="shared" si="45"/>
        <v>1.987391704053306E-7</v>
      </c>
      <c r="T96" s="9">
        <f t="shared" si="40"/>
        <v>1.4980125975547746E-4</v>
      </c>
      <c r="U96" s="9">
        <f t="shared" si="41"/>
        <v>1.4980126082959466E-4</v>
      </c>
      <c r="V96" s="100">
        <f t="shared" si="46"/>
        <v>0.99999999282971863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300</v>
      </c>
      <c r="C97" s="46" t="s">
        <v>213</v>
      </c>
      <c r="D97" s="47" t="s">
        <v>301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302</v>
      </c>
      <c r="C98" s="46" t="s">
        <v>214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2.4283398551706128</v>
      </c>
      <c r="K98" s="55">
        <f t="shared" si="35"/>
        <v>5.6995543184567695E-3</v>
      </c>
      <c r="L98" s="55">
        <f t="shared" si="36"/>
        <v>2.0482123523219531E-3</v>
      </c>
      <c r="M98" s="55">
        <f t="shared" si="42"/>
        <v>0.997951787647678</v>
      </c>
      <c r="N98" s="55">
        <f t="shared" si="37"/>
        <v>6.7921165577089959E-4</v>
      </c>
      <c r="O98" s="56">
        <f t="shared" si="43"/>
        <v>5.7368707145159035E-9</v>
      </c>
      <c r="P98" s="56">
        <f t="shared" si="38"/>
        <v>1.5382074765937878E-6</v>
      </c>
      <c r="Q98" s="56">
        <f t="shared" si="39"/>
        <v>1.0201759069678909E-4</v>
      </c>
      <c r="R98" s="9">
        <f t="shared" si="44"/>
        <v>1.4999999999999999E-4</v>
      </c>
      <c r="S98" s="9">
        <f t="shared" si="45"/>
        <v>3.0723185284829294E-7</v>
      </c>
      <c r="T98" s="9">
        <f t="shared" si="40"/>
        <v>8.5493314776851535E-7</v>
      </c>
      <c r="U98" s="9">
        <f t="shared" si="41"/>
        <v>1.496927681471517E-4</v>
      </c>
      <c r="V98" s="100">
        <f t="shared" si="46"/>
        <v>5.7112521757102849E-3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303</v>
      </c>
      <c r="C99" s="46" t="s">
        <v>215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0.74111806458001228</v>
      </c>
      <c r="K99" s="55">
        <f t="shared" si="35"/>
        <v>0.22992274679808553</v>
      </c>
      <c r="L99" s="55">
        <f t="shared" si="36"/>
        <v>1.6978301150368928E-3</v>
      </c>
      <c r="M99" s="55">
        <f t="shared" si="42"/>
        <v>0.99830216988496312</v>
      </c>
      <c r="N99" s="55">
        <f t="shared" si="37"/>
        <v>3.2191867559328865E-4</v>
      </c>
      <c r="O99" s="56">
        <f t="shared" si="43"/>
        <v>2.3142810806023497E-7</v>
      </c>
      <c r="P99" s="56">
        <f t="shared" si="38"/>
        <v>1.2750704163927064E-6</v>
      </c>
      <c r="Q99" s="56">
        <f t="shared" si="39"/>
        <v>4.8352185074111934E-5</v>
      </c>
      <c r="R99" s="9">
        <f t="shared" si="44"/>
        <v>1.4999999999999999E-4</v>
      </c>
      <c r="S99" s="9">
        <f t="shared" si="45"/>
        <v>2.5467451725553387E-7</v>
      </c>
      <c r="T99" s="9">
        <f t="shared" si="40"/>
        <v>3.4488412019712828E-5</v>
      </c>
      <c r="U99" s="9">
        <f t="shared" si="41"/>
        <v>1.4974532548274445E-4</v>
      </c>
      <c r="V99" s="100">
        <f t="shared" si="46"/>
        <v>0.23031378047047629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304</v>
      </c>
      <c r="C100" s="46" t="s">
        <v>216</v>
      </c>
      <c r="D100" s="47" t="s">
        <v>301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305</v>
      </c>
      <c r="C101" s="46" t="s">
        <v>217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1.9956787366510347</v>
      </c>
      <c r="K101" s="55">
        <f t="shared" si="35"/>
        <v>1.2679326280496421E-2</v>
      </c>
      <c r="L101" s="55">
        <f t="shared" si="36"/>
        <v>1.6825545108657145E-3</v>
      </c>
      <c r="M101" s="55">
        <f t="shared" si="42"/>
        <v>0.99831744548913426</v>
      </c>
      <c r="N101" s="55">
        <f t="shared" si="37"/>
        <v>2.8135874033523452E-4</v>
      </c>
      <c r="O101" s="56">
        <f t="shared" si="43"/>
        <v>1.2762340975121542E-8</v>
      </c>
      <c r="P101" s="56">
        <f t="shared" si="38"/>
        <v>1.2635984376601517E-6</v>
      </c>
      <c r="Q101" s="56">
        <f t="shared" si="39"/>
        <v>4.2260082798352212E-5</v>
      </c>
      <c r="R101" s="9">
        <f t="shared" si="44"/>
        <v>1.4999999999999999E-4</v>
      </c>
      <c r="S101" s="9">
        <f t="shared" si="45"/>
        <v>2.5238317662985716E-7</v>
      </c>
      <c r="T101" s="9">
        <f t="shared" si="40"/>
        <v>1.901898942074463E-6</v>
      </c>
      <c r="U101" s="9">
        <f t="shared" si="41"/>
        <v>1.4974761682337012E-4</v>
      </c>
      <c r="V101" s="100">
        <f t="shared" si="46"/>
        <v>1.2700695893663438E-2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306</v>
      </c>
      <c r="C102" s="46" t="s">
        <v>218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1.1803151929421574</v>
      </c>
      <c r="K102" s="55">
        <f t="shared" si="35"/>
        <v>6.9883953549330635E-2</v>
      </c>
      <c r="L102" s="55">
        <f t="shared" si="36"/>
        <v>1.4186879766786965E-3</v>
      </c>
      <c r="M102" s="55">
        <f t="shared" si="42"/>
        <v>0.99858131202332134</v>
      </c>
      <c r="N102" s="55">
        <f t="shared" si="37"/>
        <v>5.373302131447325E-10</v>
      </c>
      <c r="O102" s="56">
        <f t="shared" si="43"/>
        <v>7.0341501129916019E-8</v>
      </c>
      <c r="P102" s="56">
        <f t="shared" si="38"/>
        <v>1.065434670485701E-6</v>
      </c>
      <c r="Q102" s="56">
        <f t="shared" si="39"/>
        <v>8.0706998014338786E-11</v>
      </c>
      <c r="R102" s="9">
        <f t="shared" si="44"/>
        <v>1.4999999999999999E-4</v>
      </c>
      <c r="S102" s="9">
        <f t="shared" si="45"/>
        <v>2.1280319650180447E-7</v>
      </c>
      <c r="T102" s="9">
        <f t="shared" si="40"/>
        <v>1.0482593032399594E-5</v>
      </c>
      <c r="U102" s="9">
        <f t="shared" si="41"/>
        <v>1.4978719680349819E-4</v>
      </c>
      <c r="V102" s="100">
        <f t="shared" si="46"/>
        <v>6.9983237927547487E-2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307</v>
      </c>
      <c r="C103" s="46" t="s">
        <v>219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2.2036613995296537</v>
      </c>
      <c r="K103" s="55">
        <f t="shared" si="35"/>
        <v>6.6524402967581804E-3</v>
      </c>
      <c r="L103" s="55">
        <f t="shared" si="36"/>
        <v>1.4250713662087907E-3</v>
      </c>
      <c r="M103" s="55">
        <f t="shared" si="42"/>
        <v>0.99857492863379116</v>
      </c>
      <c r="N103" s="55">
        <f t="shared" si="37"/>
        <v>8.5299165051694733E-10</v>
      </c>
      <c r="O103" s="56">
        <f t="shared" si="43"/>
        <v>6.6959954737076625E-9</v>
      </c>
      <c r="P103" s="56">
        <f t="shared" si="38"/>
        <v>1.0702285960228018E-6</v>
      </c>
      <c r="Q103" s="56">
        <f t="shared" si="39"/>
        <v>1.2811934590764546E-10</v>
      </c>
      <c r="R103" s="9">
        <f t="shared" si="44"/>
        <v>1.4999999999999999E-4</v>
      </c>
      <c r="S103" s="9">
        <f t="shared" si="45"/>
        <v>2.1376070493131859E-7</v>
      </c>
      <c r="T103" s="9">
        <f t="shared" si="40"/>
        <v>9.9786604451372704E-7</v>
      </c>
      <c r="U103" s="9">
        <f t="shared" si="41"/>
        <v>1.4978623929506866E-4</v>
      </c>
      <c r="V103" s="100">
        <f t="shared" si="46"/>
        <v>6.66193402818532E-3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308</v>
      </c>
      <c r="C104" s="46" t="s">
        <v>220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2.970635068773662</v>
      </c>
      <c r="K104" s="55">
        <f t="shared" si="35"/>
        <v>1.3714296617435475E-3</v>
      </c>
      <c r="L104" s="55">
        <f t="shared" si="36"/>
        <v>1.7179196048791028E-3</v>
      </c>
      <c r="M104" s="55">
        <f t="shared" si="42"/>
        <v>0.9982820803951209</v>
      </c>
      <c r="N104" s="55">
        <f t="shared" si="37"/>
        <v>3.1866749866316752E-4</v>
      </c>
      <c r="O104" s="56">
        <f t="shared" si="43"/>
        <v>1.3804087519610302E-9</v>
      </c>
      <c r="P104" s="56">
        <f t="shared" si="38"/>
        <v>1.2901576232642076E-6</v>
      </c>
      <c r="Q104" s="56">
        <f t="shared" si="39"/>
        <v>4.786385829920774E-5</v>
      </c>
      <c r="R104" s="9">
        <f t="shared" si="44"/>
        <v>1.4999999999999999E-4</v>
      </c>
      <c r="S104" s="9">
        <f t="shared" si="45"/>
        <v>2.5768794073186539E-7</v>
      </c>
      <c r="T104" s="9">
        <f t="shared" si="40"/>
        <v>2.0571444926153212E-7</v>
      </c>
      <c r="U104" s="9">
        <f t="shared" si="41"/>
        <v>1.4974231205926812E-4</v>
      </c>
      <c r="V104" s="100">
        <f t="shared" si="46"/>
        <v>1.3737897220400216E-3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309</v>
      </c>
      <c r="C105" s="46" t="s">
        <v>221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2.835620537354179</v>
      </c>
      <c r="K105" s="55">
        <f t="shared" si="35"/>
        <v>3.2339610691098459E-3</v>
      </c>
      <c r="L105" s="55">
        <f t="shared" si="36"/>
        <v>2.9685854442625696E-3</v>
      </c>
      <c r="M105" s="55">
        <f t="shared" si="42"/>
        <v>0.99703141455573741</v>
      </c>
      <c r="N105" s="55">
        <f t="shared" si="37"/>
        <v>1.6822828620158799E-3</v>
      </c>
      <c r="O105" s="56">
        <f t="shared" si="43"/>
        <v>3.2551346145051277E-9</v>
      </c>
      <c r="P105" s="56">
        <f t="shared" si="38"/>
        <v>2.22940766864119E-6</v>
      </c>
      <c r="Q105" s="56">
        <f t="shared" si="39"/>
        <v>2.5267888587478509E-4</v>
      </c>
      <c r="R105" s="9">
        <f t="shared" si="44"/>
        <v>1.4999999999999999E-4</v>
      </c>
      <c r="S105" s="9">
        <f t="shared" si="45"/>
        <v>4.4528781663938542E-7</v>
      </c>
      <c r="T105" s="9">
        <f t="shared" si="40"/>
        <v>4.8509416036647687E-7</v>
      </c>
      <c r="U105" s="9">
        <f t="shared" si="41"/>
        <v>1.4955471218336061E-4</v>
      </c>
      <c r="V105" s="100">
        <f t="shared" si="46"/>
        <v>3.2435899430017976E-3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310</v>
      </c>
      <c r="C106" s="46" t="s">
        <v>222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1.6884421390433322</v>
      </c>
      <c r="K106" s="55">
        <f t="shared" si="35"/>
        <v>2.3560873867968544E-2</v>
      </c>
      <c r="L106" s="55">
        <f t="shared" si="36"/>
        <v>1.5410891476607526E-3</v>
      </c>
      <c r="M106" s="55">
        <f t="shared" si="42"/>
        <v>0.99845891085233929</v>
      </c>
      <c r="N106" s="55">
        <f t="shared" si="37"/>
        <v>1.2833810650756335E-4</v>
      </c>
      <c r="O106" s="56">
        <f t="shared" si="43"/>
        <v>2.3715132754125533E-8</v>
      </c>
      <c r="P106" s="56">
        <f t="shared" si="38"/>
        <v>1.1573579498932246E-6</v>
      </c>
      <c r="Q106" s="56">
        <f t="shared" si="39"/>
        <v>1.9276383597436011E-5</v>
      </c>
      <c r="R106" s="9">
        <f t="shared" si="44"/>
        <v>1.4999999999999999E-4</v>
      </c>
      <c r="S106" s="9">
        <f t="shared" si="45"/>
        <v>2.3116337214911286E-7</v>
      </c>
      <c r="T106" s="9">
        <f t="shared" si="40"/>
        <v>3.5341310801952812E-6</v>
      </c>
      <c r="U106" s="9">
        <f t="shared" si="41"/>
        <v>1.4976883662785087E-4</v>
      </c>
      <c r="V106" s="100">
        <f t="shared" si="46"/>
        <v>2.3597239317395335E-2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311</v>
      </c>
      <c r="C107" s="46" t="s">
        <v>223</v>
      </c>
      <c r="D107" s="47" t="s">
        <v>301</v>
      </c>
      <c r="E107" s="47" t="s">
        <v>312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313</v>
      </c>
      <c r="C108" s="46" t="s">
        <v>224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2.4437814319566185</v>
      </c>
      <c r="K108" s="55">
        <f t="shared" si="35"/>
        <v>4.9240262413686427E-3</v>
      </c>
      <c r="L108" s="55">
        <f t="shared" si="36"/>
        <v>1.8335637720678999E-3</v>
      </c>
      <c r="M108" s="55">
        <f t="shared" si="42"/>
        <v>0.99816643622793211</v>
      </c>
      <c r="N108" s="55">
        <f t="shared" si="37"/>
        <v>4.4512767016569835E-4</v>
      </c>
      <c r="O108" s="56">
        <f t="shared" si="43"/>
        <v>4.9562650627153318E-9</v>
      </c>
      <c r="P108" s="56">
        <f t="shared" si="38"/>
        <v>1.3770063928229925E-6</v>
      </c>
      <c r="Q108" s="56">
        <f t="shared" si="39"/>
        <v>6.6858176058887862E-5</v>
      </c>
      <c r="R108" s="9">
        <f t="shared" si="44"/>
        <v>1.4999999999999999E-4</v>
      </c>
      <c r="S108" s="9">
        <f t="shared" si="45"/>
        <v>2.7503456581018499E-7</v>
      </c>
      <c r="T108" s="9">
        <f t="shared" si="40"/>
        <v>7.3860393620529632E-7</v>
      </c>
      <c r="U108" s="9">
        <f t="shared" si="41"/>
        <v>1.4972496543418979E-4</v>
      </c>
      <c r="V108" s="100">
        <f t="shared" si="46"/>
        <v>4.9330713422668492E-3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314</v>
      </c>
      <c r="C109" s="46" t="s">
        <v>225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2.8216463889123298</v>
      </c>
      <c r="K109" s="55">
        <f t="shared" si="35"/>
        <v>2.9528689841930851E-3</v>
      </c>
      <c r="L109" s="55">
        <f t="shared" si="36"/>
        <v>2.6247309715152311E-3</v>
      </c>
      <c r="M109" s="55">
        <f t="shared" si="42"/>
        <v>0.99737526902848472</v>
      </c>
      <c r="N109" s="55">
        <f t="shared" si="37"/>
        <v>1.3073997913734617E-3</v>
      </c>
      <c r="O109" s="56">
        <f t="shared" si="43"/>
        <v>2.9722021499755485E-9</v>
      </c>
      <c r="P109" s="56">
        <f t="shared" si="38"/>
        <v>1.9711729596079381E-6</v>
      </c>
      <c r="Q109" s="56">
        <f t="shared" si="39"/>
        <v>1.9637144866429388E-4</v>
      </c>
      <c r="R109" s="9">
        <f t="shared" si="44"/>
        <v>1.4999999999999999E-4</v>
      </c>
      <c r="S109" s="9">
        <f t="shared" si="45"/>
        <v>3.9370964572728465E-7</v>
      </c>
      <c r="T109" s="9">
        <f t="shared" si="40"/>
        <v>4.4293034762896272E-7</v>
      </c>
      <c r="U109" s="9">
        <f t="shared" si="41"/>
        <v>1.4960629035427271E-4</v>
      </c>
      <c r="V109" s="100">
        <f t="shared" si="46"/>
        <v>2.9606398673484172E-3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204</v>
      </c>
      <c r="C110" s="46" t="s">
        <v>205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0.95791227506374221</v>
      </c>
      <c r="K110" s="55">
        <f t="shared" si="35"/>
        <v>0.11771921683579688</v>
      </c>
      <c r="L110" s="55">
        <f t="shared" si="36"/>
        <v>1.4320357763498686E-3</v>
      </c>
      <c r="M110" s="55">
        <f t="shared" si="42"/>
        <v>0.99856796422365013</v>
      </c>
      <c r="N110" s="55">
        <f t="shared" si="37"/>
        <v>1.9815799407448741E-5</v>
      </c>
      <c r="O110" s="56">
        <f t="shared" si="43"/>
        <v>1.1848995375201335E-7</v>
      </c>
      <c r="P110" s="56">
        <f t="shared" si="38"/>
        <v>1.0754588680387509E-6</v>
      </c>
      <c r="Q110" s="56">
        <f t="shared" si="39"/>
        <v>2.9763330709987997E-6</v>
      </c>
      <c r="R110" s="9">
        <f t="shared" si="44"/>
        <v>1.4999999999999999E-4</v>
      </c>
      <c r="S110" s="9">
        <f t="shared" si="45"/>
        <v>2.1480536645248026E-7</v>
      </c>
      <c r="T110" s="9">
        <f t="shared" si="40"/>
        <v>1.7657882525369529E-5</v>
      </c>
      <c r="U110" s="9">
        <f t="shared" si="41"/>
        <v>1.497851946335475E-4</v>
      </c>
      <c r="V110" s="100">
        <f t="shared" si="46"/>
        <v>0.1178880367219864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206</v>
      </c>
      <c r="C111" s="46" t="s">
        <v>207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1.3555020598075196</v>
      </c>
      <c r="K111" s="55">
        <f t="shared" si="35"/>
        <v>0.17423394031194731</v>
      </c>
      <c r="L111" s="55">
        <f t="shared" si="36"/>
        <v>5.2945499140495192E-3</v>
      </c>
      <c r="M111" s="55">
        <f t="shared" si="42"/>
        <v>0.99470545008595046</v>
      </c>
      <c r="N111" s="55">
        <f t="shared" si="37"/>
        <v>4.2367457644210023E-3</v>
      </c>
      <c r="O111" s="56">
        <f t="shared" si="43"/>
        <v>1.7537469314284313E-7</v>
      </c>
      <c r="P111" s="56">
        <f t="shared" si="38"/>
        <v>3.9762069854511886E-6</v>
      </c>
      <c r="Q111" s="56">
        <f t="shared" si="39"/>
        <v>6.363592138160344E-4</v>
      </c>
      <c r="R111" s="9">
        <f t="shared" si="44"/>
        <v>1.4999999999999999E-4</v>
      </c>
      <c r="S111" s="9">
        <f t="shared" si="45"/>
        <v>7.9418248710742776E-7</v>
      </c>
      <c r="T111" s="9">
        <f t="shared" si="40"/>
        <v>2.6135091046792094E-5</v>
      </c>
      <c r="U111" s="9">
        <f t="shared" si="41"/>
        <v>1.4920581751289255E-4</v>
      </c>
      <c r="V111" s="100">
        <f t="shared" si="46"/>
        <v>0.17516134077368542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208</v>
      </c>
      <c r="C112" s="46" t="s">
        <v>209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4.4534363688963623</v>
      </c>
      <c r="K112" s="55">
        <f t="shared" si="35"/>
        <v>2.9649582330140277E-4</v>
      </c>
      <c r="L112" s="55">
        <f t="shared" si="36"/>
        <v>1.1288836358135204E-2</v>
      </c>
      <c r="M112" s="55">
        <f t="shared" si="42"/>
        <v>0.98871116364186484</v>
      </c>
      <c r="N112" s="55">
        <f t="shared" si="37"/>
        <v>1.0752261375037313E-2</v>
      </c>
      <c r="O112" s="56">
        <f t="shared" si="43"/>
        <v>2.9843705501076035E-10</v>
      </c>
      <c r="P112" s="56">
        <f t="shared" si="38"/>
        <v>8.4779161049595415E-6</v>
      </c>
      <c r="Q112" s="56">
        <f t="shared" si="39"/>
        <v>1.6149896585306036E-3</v>
      </c>
      <c r="R112" s="9">
        <f t="shared" si="44"/>
        <v>1.4999999999999999E-4</v>
      </c>
      <c r="S112" s="9">
        <f t="shared" si="45"/>
        <v>1.6933254537202805E-6</v>
      </c>
      <c r="T112" s="9">
        <f t="shared" si="40"/>
        <v>4.4474373495210409E-8</v>
      </c>
      <c r="U112" s="9">
        <f t="shared" si="41"/>
        <v>1.4830667454627971E-4</v>
      </c>
      <c r="V112" s="100">
        <f t="shared" si="46"/>
        <v>2.9988113233118176E-4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210</v>
      </c>
      <c r="C113" s="46" t="s">
        <v>211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4.835013233934724</v>
      </c>
      <c r="K113" s="55">
        <f t="shared" si="35"/>
        <v>1.335812524140835E-4</v>
      </c>
      <c r="L113" s="55">
        <f t="shared" si="36"/>
        <v>1.2244836024577564E-2</v>
      </c>
      <c r="M113" s="55">
        <f t="shared" si="42"/>
        <v>0.9877551639754224</v>
      </c>
      <c r="N113" s="55">
        <f t="shared" si="37"/>
        <v>1.1794424212775722E-2</v>
      </c>
      <c r="O113" s="56">
        <f t="shared" si="43"/>
        <v>1.3445584201225911E-10</v>
      </c>
      <c r="P113" s="56">
        <f t="shared" si="38"/>
        <v>9.1958718544577604E-6</v>
      </c>
      <c r="Q113" s="56">
        <f t="shared" si="39"/>
        <v>1.7715225167589128E-3</v>
      </c>
      <c r="R113" s="9">
        <f t="shared" si="44"/>
        <v>1.4999999999999999E-4</v>
      </c>
      <c r="S113" s="9">
        <f t="shared" si="45"/>
        <v>1.8367254036866344E-6</v>
      </c>
      <c r="T113" s="9">
        <f t="shared" si="40"/>
        <v>2.0037187862112522E-8</v>
      </c>
      <c r="U113" s="9">
        <f t="shared" si="41"/>
        <v>1.4816327459631334E-4</v>
      </c>
      <c r="V113" s="100">
        <f t="shared" si="46"/>
        <v>1.3523720987340473E-4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5.2666304943820279</v>
      </c>
      <c r="K114" s="55">
        <f t="shared" si="35"/>
        <v>5.3011860278915553E-5</v>
      </c>
      <c r="L114" s="55">
        <f t="shared" si="36"/>
        <v>1.3127975810997315E-2</v>
      </c>
      <c r="M114" s="55">
        <f t="shared" si="42"/>
        <v>0.98687202418900266</v>
      </c>
      <c r="N114" s="55">
        <f t="shared" si="37"/>
        <v>1.275716808727176E-2</v>
      </c>
      <c r="O114" s="56">
        <f t="shared" si="43"/>
        <v>5.3358942079257985E-11</v>
      </c>
      <c r="P114" s="56">
        <f t="shared" si="38"/>
        <v>9.8591098340589874E-6</v>
      </c>
      <c r="Q114" s="56">
        <f t="shared" si="39"/>
        <v>1.9161266467082178E-3</v>
      </c>
      <c r="R114" s="9">
        <f t="shared" si="44"/>
        <v>1.4999999999999999E-4</v>
      </c>
      <c r="S114" s="9">
        <f t="shared" si="45"/>
        <v>1.969196371649597E-6</v>
      </c>
      <c r="T114" s="9">
        <f t="shared" si="40"/>
        <v>7.9517790418373326E-9</v>
      </c>
      <c r="U114" s="9">
        <f t="shared" si="41"/>
        <v>1.4803080362835039E-4</v>
      </c>
      <c r="V114" s="100">
        <f t="shared" si="46"/>
        <v>5.3717056497249418E-5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3.8521324112849911</v>
      </c>
      <c r="K115" s="55">
        <f t="shared" si="35"/>
        <v>1.3290347597622813E-3</v>
      </c>
      <c r="L115" s="55">
        <f t="shared" si="36"/>
        <v>1.2672519838746218E-2</v>
      </c>
      <c r="M115" s="55">
        <f t="shared" si="42"/>
        <v>0.98732748016125382</v>
      </c>
      <c r="N115" s="55">
        <f t="shared" si="37"/>
        <v>1.2260794264834377E-2</v>
      </c>
      <c r="O115" s="56">
        <f t="shared" si="43"/>
        <v>1.3377362800392339E-9</v>
      </c>
      <c r="P115" s="56">
        <f t="shared" si="38"/>
        <v>9.5170623988984098E-6</v>
      </c>
      <c r="Q115" s="56">
        <f t="shared" si="39"/>
        <v>1.8415712985781227E-3</v>
      </c>
      <c r="R115" s="9">
        <f t="shared" si="44"/>
        <v>1.4999999999999999E-4</v>
      </c>
      <c r="S115" s="9">
        <f t="shared" si="45"/>
        <v>1.9008779758119327E-6</v>
      </c>
      <c r="T115" s="9">
        <f t="shared" si="40"/>
        <v>1.9935521396434217E-7</v>
      </c>
      <c r="U115" s="9">
        <f t="shared" si="41"/>
        <v>1.4809912202418807E-4</v>
      </c>
      <c r="V115" s="100">
        <f t="shared" si="46"/>
        <v>1.3460931519349776E-3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226</v>
      </c>
      <c r="C116" s="46" t="s">
        <v>227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-2.2409333494947648E-3</v>
      </c>
      <c r="K116" s="55">
        <f t="shared" si="35"/>
        <v>0.99496660353888899</v>
      </c>
      <c r="L116" s="55">
        <f t="shared" si="36"/>
        <v>1.326666611133194E-3</v>
      </c>
      <c r="M116" s="55">
        <f t="shared" si="42"/>
        <v>0.99867333338886677</v>
      </c>
      <c r="N116" s="55">
        <f t="shared" si="37"/>
        <v>1.4874479667756968E-6</v>
      </c>
      <c r="O116" s="56">
        <f t="shared" si="43"/>
        <v>1.0014808967219605E-6</v>
      </c>
      <c r="P116" s="56">
        <f t="shared" si="38"/>
        <v>9.9632662496102866E-7</v>
      </c>
      <c r="Q116" s="56">
        <f t="shared" si="39"/>
        <v>2.2341468460970957E-7</v>
      </c>
      <c r="R116" s="9">
        <f t="shared" si="44"/>
        <v>1.4999999999999999E-4</v>
      </c>
      <c r="S116" s="9">
        <f t="shared" si="45"/>
        <v>1.9899999166997907E-7</v>
      </c>
      <c r="T116" s="9">
        <f t="shared" si="40"/>
        <v>1.4924499053083334E-4</v>
      </c>
      <c r="U116" s="9">
        <f t="shared" si="41"/>
        <v>1.4980100000833E-4</v>
      </c>
      <c r="V116" s="100">
        <f t="shared" si="46"/>
        <v>0.9962883460226184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228</v>
      </c>
      <c r="C117" s="46" t="s">
        <v>229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0.2864338169946784</v>
      </c>
      <c r="K117" s="55">
        <f t="shared" si="35"/>
        <v>0.7292966796492617</v>
      </c>
      <c r="L117" s="55">
        <f t="shared" si="36"/>
        <v>1.8903067368083401E-3</v>
      </c>
      <c r="M117" s="55">
        <f t="shared" si="42"/>
        <v>0.99810969326319166</v>
      </c>
      <c r="N117" s="55">
        <f t="shared" si="37"/>
        <v>5.8670186594589097E-4</v>
      </c>
      <c r="O117" s="56">
        <f t="shared" si="43"/>
        <v>7.3407156593366353E-7</v>
      </c>
      <c r="P117" s="56">
        <f t="shared" si="38"/>
        <v>1.4196203593430631E-6</v>
      </c>
      <c r="Q117" s="56">
        <f t="shared" si="39"/>
        <v>8.8122620265072791E-5</v>
      </c>
      <c r="R117" s="9">
        <f t="shared" si="44"/>
        <v>1.4999999999999999E-4</v>
      </c>
      <c r="S117" s="9">
        <f t="shared" si="45"/>
        <v>2.83546010521251E-7</v>
      </c>
      <c r="T117" s="9">
        <f t="shared" si="40"/>
        <v>1.0939450194738924E-4</v>
      </c>
      <c r="U117" s="9">
        <f t="shared" si="41"/>
        <v>1.4971645398947873E-4</v>
      </c>
      <c r="V117" s="100">
        <f t="shared" si="46"/>
        <v>0.73067788497767183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230</v>
      </c>
      <c r="C118" s="46" t="s">
        <v>231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1.3686761084292649</v>
      </c>
      <c r="K118" s="55">
        <f t="shared" si="35"/>
        <v>0.17047375608350923</v>
      </c>
      <c r="L118" s="55">
        <f t="shared" si="36"/>
        <v>5.3398353662128467E-3</v>
      </c>
      <c r="M118" s="55">
        <f t="shared" si="42"/>
        <v>0.99466016463378715</v>
      </c>
      <c r="N118" s="55">
        <f t="shared" si="37"/>
        <v>4.2856997906341272E-3</v>
      </c>
      <c r="O118" s="56">
        <f t="shared" si="43"/>
        <v>1.7158989005544107E-7</v>
      </c>
      <c r="P118" s="56">
        <f t="shared" si="38"/>
        <v>4.0102163600258474E-6</v>
      </c>
      <c r="Q118" s="56">
        <f t="shared" si="39"/>
        <v>6.4371210855324577E-4</v>
      </c>
      <c r="R118" s="9">
        <f t="shared" si="44"/>
        <v>1.4999999999999999E-4</v>
      </c>
      <c r="S118" s="9">
        <f t="shared" si="45"/>
        <v>8.0097530493192696E-7</v>
      </c>
      <c r="T118" s="9">
        <f t="shared" si="40"/>
        <v>2.5571063412526382E-5</v>
      </c>
      <c r="U118" s="9">
        <f t="shared" si="41"/>
        <v>1.4919902469506807E-4</v>
      </c>
      <c r="V118" s="100">
        <f t="shared" si="46"/>
        <v>0.17138894483250375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232</v>
      </c>
      <c r="C119" s="46" t="s">
        <v>233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-4.1669766004283522E-3</v>
      </c>
      <c r="K119" s="55">
        <f t="shared" si="35"/>
        <v>0.99817710332255616</v>
      </c>
      <c r="L119" s="55">
        <f t="shared" si="36"/>
        <v>1.3250579002490924E-3</v>
      </c>
      <c r="M119" s="55">
        <f t="shared" si="42"/>
        <v>0.99867494209975094</v>
      </c>
      <c r="N119" s="55">
        <f t="shared" si="37"/>
        <v>8.7025697334937038E-8</v>
      </c>
      <c r="O119" s="56">
        <f t="shared" si="43"/>
        <v>1.004712416444167E-6</v>
      </c>
      <c r="P119" s="56">
        <f t="shared" si="38"/>
        <v>9.9511848308706825E-7</v>
      </c>
      <c r="Q119" s="56">
        <f t="shared" si="39"/>
        <v>1.3071259739707538E-8</v>
      </c>
      <c r="R119" s="9">
        <f t="shared" si="44"/>
        <v>1.4999999999999999E-4</v>
      </c>
      <c r="S119" s="9">
        <f t="shared" si="45"/>
        <v>1.9875868503736385E-7</v>
      </c>
      <c r="T119" s="9">
        <f t="shared" si="40"/>
        <v>1.497265654983834E-4</v>
      </c>
      <c r="U119" s="9">
        <f t="shared" si="41"/>
        <v>1.4980124131496264E-4</v>
      </c>
      <c r="V119" s="100">
        <f t="shared" si="46"/>
        <v>0.99950150068234611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234</v>
      </c>
      <c r="C120" s="46" t="s">
        <v>235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-4.4262249960394223E-3</v>
      </c>
      <c r="K120" s="55">
        <f t="shared" si="35"/>
        <v>0.99867507191901783</v>
      </c>
      <c r="L120" s="55">
        <f t="shared" si="36"/>
        <v>1.3249278019970584E-3</v>
      </c>
      <c r="M120" s="55">
        <f t="shared" si="42"/>
        <v>0.99867507219800289</v>
      </c>
      <c r="N120" s="55">
        <f t="shared" si="37"/>
        <v>1.1291156907990038E-16</v>
      </c>
      <c r="O120" s="56">
        <f t="shared" si="43"/>
        <v>1.0052136453645646E-6</v>
      </c>
      <c r="P120" s="56">
        <f t="shared" si="38"/>
        <v>9.9502077929979047E-7</v>
      </c>
      <c r="Q120" s="56">
        <f t="shared" si="39"/>
        <v>1.6959317675801032E-17</v>
      </c>
      <c r="R120" s="9">
        <f t="shared" si="44"/>
        <v>1.4999999999999999E-4</v>
      </c>
      <c r="S120" s="9">
        <f t="shared" si="45"/>
        <v>1.9873917029955876E-7</v>
      </c>
      <c r="T120" s="9">
        <f t="shared" si="40"/>
        <v>1.4980126078785265E-4</v>
      </c>
      <c r="U120" s="9">
        <f t="shared" si="41"/>
        <v>1.4980126082970042E-4</v>
      </c>
      <c r="V120" s="100">
        <f t="shared" si="46"/>
        <v>0.99999999972064479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236</v>
      </c>
      <c r="C121" s="46" t="s">
        <v>237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2.6173480936565248E-2</v>
      </c>
      <c r="K121" s="55">
        <f t="shared" si="35"/>
        <v>0.95967521448881388</v>
      </c>
      <c r="L121" s="55">
        <f t="shared" si="36"/>
        <v>1.3661298732240163E-3</v>
      </c>
      <c r="M121" s="55">
        <f t="shared" si="42"/>
        <v>0.99863387012677596</v>
      </c>
      <c r="N121" s="55">
        <f t="shared" si="37"/>
        <v>4.0624471643092829E-5</v>
      </c>
      <c r="O121" s="56">
        <f t="shared" si="43"/>
        <v>9.6595844619274381E-7</v>
      </c>
      <c r="P121" s="56">
        <f t="shared" si="38"/>
        <v>1.025963534791236E-6</v>
      </c>
      <c r="Q121" s="56">
        <f t="shared" si="39"/>
        <v>6.1017956407925408E-6</v>
      </c>
      <c r="R121" s="9">
        <f t="shared" si="44"/>
        <v>1.4999999999999999E-4</v>
      </c>
      <c r="S121" s="9">
        <f t="shared" si="45"/>
        <v>2.0491948098360243E-7</v>
      </c>
      <c r="T121" s="9">
        <f t="shared" si="40"/>
        <v>1.4395128217332208E-4</v>
      </c>
      <c r="U121" s="9">
        <f t="shared" si="41"/>
        <v>1.4979508051901638E-4</v>
      </c>
      <c r="V121" s="100">
        <f t="shared" si="46"/>
        <v>0.96098804897032353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238</v>
      </c>
      <c r="C122" s="46" t="s">
        <v>239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4.5142868350926486</v>
      </c>
      <c r="K122" s="55">
        <f t="shared" si="35"/>
        <v>3.1990503486985559E-4</v>
      </c>
      <c r="L122" s="55">
        <f t="shared" si="36"/>
        <v>1.4012064869622524E-2</v>
      </c>
      <c r="M122" s="55">
        <f t="shared" si="42"/>
        <v>0.98598793513037752</v>
      </c>
      <c r="N122" s="55">
        <f t="shared" si="37"/>
        <v>1.3720985046277223E-2</v>
      </c>
      <c r="O122" s="56">
        <f t="shared" si="43"/>
        <v>3.2199953249467105E-10</v>
      </c>
      <c r="P122" s="56">
        <f t="shared" si="38"/>
        <v>1.0523060717086528E-5</v>
      </c>
      <c r="Q122" s="56">
        <f t="shared" si="39"/>
        <v>2.0608919539508381E-3</v>
      </c>
      <c r="R122" s="9">
        <f t="shared" si="44"/>
        <v>1.4999999999999999E-4</v>
      </c>
      <c r="S122" s="9">
        <f t="shared" si="45"/>
        <v>2.1018097304433784E-6</v>
      </c>
      <c r="T122" s="9">
        <f t="shared" si="40"/>
        <v>4.7985755230478335E-8</v>
      </c>
      <c r="U122" s="9">
        <f t="shared" si="41"/>
        <v>1.4789819026955661E-4</v>
      </c>
      <c r="V122" s="100">
        <f t="shared" si="46"/>
        <v>3.2445126707108689E-4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240</v>
      </c>
      <c r="C123" s="46" t="s">
        <v>241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0.22591684515469179</v>
      </c>
      <c r="K123" s="55">
        <f t="shared" ref="K123:K127" si="49">IF(D123=0,"",1/(1+10^D123*$J$15/$J$14+10^E123*$J$16/$J$14+10^J123*$J$19/$J$14))</f>
        <v>0.80000545316837024</v>
      </c>
      <c r="L123" s="55">
        <f t="shared" ref="L123:L127" si="50">IF(D123=0,"",1/(1+10^I123/10^J123*$J$13/$J$19))</f>
        <v>1.8038649550084064E-3</v>
      </c>
      <c r="M123" s="55">
        <f t="shared" si="42"/>
        <v>0.99819613504499161</v>
      </c>
      <c r="N123" s="55">
        <f t="shared" ref="N123:N127" si="51">IF(D123=0,"",1/(1/10^E123*$J$20/$J$22+10^D123/10^E123*$J$21/$J$22+10^I123/10^E123*$J$13/$J$22+1))</f>
        <v>5.0024894392988338E-4</v>
      </c>
      <c r="O123" s="56">
        <f t="shared" si="43"/>
        <v>8.0524328733431971E-7</v>
      </c>
      <c r="P123" s="56">
        <f t="shared" ref="P123:P127" si="52">IF(D123=0,"",O123*10^J123)</f>
        <v>1.354702581211313E-6</v>
      </c>
      <c r="Q123" s="56">
        <f t="shared" ref="Q123:Q127" si="53">IF(D123=0,"",F123*N123*$J$7/$J$22)</f>
        <v>7.5137391378268453E-5</v>
      </c>
      <c r="R123" s="9">
        <f t="shared" si="44"/>
        <v>1.4999999999999999E-4</v>
      </c>
      <c r="S123" s="9">
        <f t="shared" si="45"/>
        <v>2.7057974325126094E-7</v>
      </c>
      <c r="T123" s="9">
        <f t="shared" si="40"/>
        <v>1.2000081797525553E-4</v>
      </c>
      <c r="U123" s="9">
        <f t="shared" si="41"/>
        <v>1.4972942025674873E-4</v>
      </c>
      <c r="V123" s="100">
        <f t="shared" si="46"/>
        <v>0.80145116283415752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242</v>
      </c>
      <c r="C124" s="46" t="s">
        <v>243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0.17110445915344094</v>
      </c>
      <c r="J124" s="54">
        <f t="shared" si="48"/>
        <v>0.24488252340606687</v>
      </c>
      <c r="K124" s="55">
        <f t="shared" si="49"/>
        <v>0.66981413888343022</v>
      </c>
      <c r="L124" s="55">
        <f t="shared" si="50"/>
        <v>1.5777241122978819E-3</v>
      </c>
      <c r="M124" s="55">
        <f t="shared" si="42"/>
        <v>0.99842227588770216</v>
      </c>
      <c r="N124" s="55">
        <f t="shared" si="51"/>
        <v>2.3939470692480223E-4</v>
      </c>
      <c r="O124" s="56">
        <f t="shared" si="43"/>
        <v>6.7419957821710597E-7</v>
      </c>
      <c r="P124" s="56">
        <f t="shared" si="52"/>
        <v>1.1848708083357089E-6</v>
      </c>
      <c r="Q124" s="56">
        <f t="shared" si="53"/>
        <v>3.5957084980105277E-5</v>
      </c>
      <c r="R124" s="9">
        <f t="shared" si="44"/>
        <v>1.4999999999999999E-4</v>
      </c>
      <c r="S124" s="9">
        <f t="shared" si="45"/>
        <v>2.3665861684468226E-7</v>
      </c>
      <c r="T124" s="9">
        <f t="shared" si="40"/>
        <v>1.0047212083251452E-4</v>
      </c>
      <c r="U124" s="9">
        <f t="shared" si="41"/>
        <v>1.497633413831553E-4</v>
      </c>
      <c r="V124" s="100">
        <f t="shared" si="46"/>
        <v>0.67087259074613015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244</v>
      </c>
      <c r="C125" s="46" t="s">
        <v>245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6.9342980082594723E-3</v>
      </c>
      <c r="K125" s="55">
        <f t="shared" si="49"/>
        <v>0.98029776977276994</v>
      </c>
      <c r="L125" s="55">
        <f t="shared" si="50"/>
        <v>1.3350162173747168E-3</v>
      </c>
      <c r="M125" s="55">
        <f t="shared" si="42"/>
        <v>0.99866498378262525</v>
      </c>
      <c r="N125" s="55">
        <f t="shared" si="51"/>
        <v>8.9754709937845448E-6</v>
      </c>
      <c r="O125" s="56">
        <f t="shared" si="43"/>
        <v>9.8671602246215421E-7</v>
      </c>
      <c r="P125" s="56">
        <f t="shared" si="52"/>
        <v>1.0025971792484123E-6</v>
      </c>
      <c r="Q125" s="56">
        <f t="shared" si="53"/>
        <v>1.3481157432664381E-6</v>
      </c>
      <c r="R125" s="9">
        <f t="shared" si="44"/>
        <v>1.4999999999999999E-4</v>
      </c>
      <c r="S125" s="9">
        <f t="shared" si="45"/>
        <v>2.002524326062075E-7</v>
      </c>
      <c r="T125" s="9">
        <f t="shared" si="40"/>
        <v>1.4704466546591548E-4</v>
      </c>
      <c r="U125" s="9">
        <f t="shared" si="41"/>
        <v>1.4979974756739378E-4</v>
      </c>
      <c r="V125" s="100">
        <f t="shared" si="46"/>
        <v>0.98160823268250963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246</v>
      </c>
      <c r="C126" s="46" t="s">
        <v>247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3.4036065550970451</v>
      </c>
      <c r="K126" s="55">
        <f t="shared" si="49"/>
        <v>3.4125345441272095E-3</v>
      </c>
      <c r="L126" s="55">
        <f t="shared" si="50"/>
        <v>1.1584514572730745E-2</v>
      </c>
      <c r="M126" s="55">
        <f t="shared" si="42"/>
        <v>0.9884154854272692</v>
      </c>
      <c r="N126" s="55">
        <f t="shared" si="51"/>
        <v>1.1074937193347975E-2</v>
      </c>
      <c r="O126" s="56">
        <f t="shared" si="43"/>
        <v>3.4348772543636486E-9</v>
      </c>
      <c r="P126" s="56">
        <f t="shared" si="52"/>
        <v>8.6999704441207933E-6</v>
      </c>
      <c r="Q126" s="56">
        <f t="shared" si="53"/>
        <v>1.6634555664408652E-3</v>
      </c>
      <c r="R126" s="9">
        <f t="shared" si="44"/>
        <v>1.4999999999999999E-4</v>
      </c>
      <c r="S126" s="9">
        <f t="shared" si="45"/>
        <v>1.7376771859096116E-6</v>
      </c>
      <c r="T126" s="9">
        <f t="shared" si="40"/>
        <v>5.1188018161908137E-7</v>
      </c>
      <c r="U126" s="9">
        <f t="shared" si="41"/>
        <v>1.4826232281409037E-4</v>
      </c>
      <c r="V126" s="100">
        <f t="shared" si="46"/>
        <v>3.4525304332439204E-3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248</v>
      </c>
      <c r="C127" s="46" t="s">
        <v>249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1.1960082768923535</v>
      </c>
      <c r="K127" s="55">
        <f t="shared" si="49"/>
        <v>0.2254464358057448</v>
      </c>
      <c r="L127" s="55">
        <f t="shared" si="50"/>
        <v>4.745105573088439E-3</v>
      </c>
      <c r="M127" s="55">
        <f t="shared" si="42"/>
        <v>0.99525489442691151</v>
      </c>
      <c r="N127" s="55">
        <f t="shared" si="51"/>
        <v>3.64340616952225E-3</v>
      </c>
      <c r="O127" s="56">
        <f t="shared" si="43"/>
        <v>2.2692248954935137E-7</v>
      </c>
      <c r="P127" s="56">
        <f t="shared" si="52"/>
        <v>3.5635742853894173E-6</v>
      </c>
      <c r="Q127" s="56">
        <f t="shared" si="53"/>
        <v>5.4723960666224186E-4</v>
      </c>
      <c r="R127" s="9">
        <f t="shared" si="44"/>
        <v>1.4999999999999999E-4</v>
      </c>
      <c r="S127" s="9">
        <f t="shared" si="45"/>
        <v>7.1176583596326583E-7</v>
      </c>
      <c r="T127" s="9">
        <f t="shared" si="40"/>
        <v>3.3816965370861717E-5</v>
      </c>
      <c r="U127" s="9">
        <f t="shared" si="41"/>
        <v>1.4928823416403671E-4</v>
      </c>
      <c r="V127" s="100">
        <f t="shared" si="46"/>
        <v>0.22652130330447814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250</v>
      </c>
      <c r="C128" s="46" t="s">
        <v>251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2.094216282910164</v>
      </c>
      <c r="K128" s="55">
        <f t="shared" ref="K128:K134" si="56">IF(D128=0,"",1/(1+10^D128*$J$15/$J$14+10^E128*$J$16/$J$14+10^J128*$J$19/$J$14))</f>
        <v>3.5493592262626564E-2</v>
      </c>
      <c r="L128" s="55">
        <f t="shared" ref="L128:L134" si="57">IF(D128=0,"",1/(1+10^I128/10^J128*$J$13/$J$19))</f>
        <v>5.9096324085006081E-3</v>
      </c>
      <c r="M128" s="55">
        <f t="shared" ref="M128:M134" si="58">IF(D128=0,"",1-L128)</f>
        <v>0.99409036759149938</v>
      </c>
      <c r="N128" s="55">
        <f t="shared" ref="N128:N134" si="59">IF(D128=0,"",1/(1/10^E128*$J$20/$J$22+10^D128/10^E128*$J$21/$J$22+10^I128/10^E128*$J$13/$J$22+1))</f>
        <v>4.8920083440834707E-3</v>
      </c>
      <c r="O128" s="56">
        <f t="shared" ref="O128:O134" si="60">IF(D128=0,"",F128*K128*$J$7/$J$14)</f>
        <v>3.5725977616362822E-8</v>
      </c>
      <c r="P128" s="56">
        <f t="shared" ref="P128:P134" si="61">IF(D128=0,"",O128*10^J128)</f>
        <v>4.4381339387839586E-6</v>
      </c>
      <c r="Q128" s="56">
        <f t="shared" ref="Q128:Q134" si="62">IF(D128=0,"",F128*N128*$J$7/$J$22)</f>
        <v>7.3477965328133698E-4</v>
      </c>
      <c r="R128" s="9">
        <f t="shared" si="44"/>
        <v>1.4999999999999999E-4</v>
      </c>
      <c r="S128" s="9">
        <f t="shared" si="45"/>
        <v>8.864448612750911E-7</v>
      </c>
      <c r="T128" s="9">
        <f t="shared" si="40"/>
        <v>5.324038839393984E-6</v>
      </c>
      <c r="U128" s="9">
        <f t="shared" si="41"/>
        <v>1.491135551387249E-4</v>
      </c>
      <c r="V128" s="100">
        <f t="shared" si="46"/>
        <v>3.5704593284231388E-2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252</v>
      </c>
      <c r="C129" s="46" t="s">
        <v>253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-4.2914078638979607E-3</v>
      </c>
      <c r="K129" s="55">
        <f t="shared" si="56"/>
        <v>0.99840989879028008</v>
      </c>
      <c r="L129" s="55">
        <f t="shared" si="57"/>
        <v>1.324987249834364E-3</v>
      </c>
      <c r="M129" s="55">
        <f t="shared" si="58"/>
        <v>0.99867501275016568</v>
      </c>
      <c r="N129" s="55">
        <f t="shared" si="59"/>
        <v>3.5625063671326934E-8</v>
      </c>
      <c r="O129" s="56">
        <f t="shared" si="60"/>
        <v>1.0049467360815695E-6</v>
      </c>
      <c r="P129" s="56">
        <f t="shared" si="61"/>
        <v>9.9506542462560726E-7</v>
      </c>
      <c r="Q129" s="56">
        <f t="shared" si="62"/>
        <v>5.350884563433303E-9</v>
      </c>
      <c r="R129" s="9">
        <f t="shared" si="44"/>
        <v>1.4999999999999999E-4</v>
      </c>
      <c r="S129" s="9">
        <f t="shared" si="45"/>
        <v>1.9874808747515459E-7</v>
      </c>
      <c r="T129" s="9">
        <f t="shared" si="40"/>
        <v>1.4976148481854199E-4</v>
      </c>
      <c r="U129" s="9">
        <f t="shared" si="41"/>
        <v>1.4980125191252483E-4</v>
      </c>
      <c r="V129" s="100">
        <f t="shared" si="46"/>
        <v>0.99973453430144854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254</v>
      </c>
      <c r="C130" s="46" t="s">
        <v>255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0.56673031230734872</v>
      </c>
      <c r="K130" s="55">
        <f t="shared" si="56"/>
        <v>0.54078767811755757</v>
      </c>
      <c r="L130" s="55">
        <f t="shared" si="57"/>
        <v>2.6727068623222379E-3</v>
      </c>
      <c r="M130" s="55">
        <f t="shared" si="58"/>
        <v>0.99732729313767776</v>
      </c>
      <c r="N130" s="55">
        <f t="shared" si="59"/>
        <v>1.418888407502614E-3</v>
      </c>
      <c r="O130" s="56">
        <f t="shared" si="60"/>
        <v>5.4432834920392387E-7</v>
      </c>
      <c r="P130" s="56">
        <f t="shared" si="61"/>
        <v>2.0072028536040007E-6</v>
      </c>
      <c r="Q130" s="56">
        <f t="shared" si="62"/>
        <v>2.1311703880689257E-4</v>
      </c>
      <c r="R130" s="9">
        <f t="shared" si="44"/>
        <v>1.4999999999999999E-4</v>
      </c>
      <c r="S130" s="9">
        <f t="shared" si="45"/>
        <v>4.0090602934833563E-7</v>
      </c>
      <c r="T130" s="9">
        <f t="shared" si="40"/>
        <v>8.1118151717633633E-5</v>
      </c>
      <c r="U130" s="9">
        <f t="shared" si="41"/>
        <v>1.4959909397065164E-4</v>
      </c>
      <c r="V130" s="100">
        <f t="shared" si="46"/>
        <v>0.5422369184505047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256</v>
      </c>
      <c r="C131" s="46" t="s">
        <v>257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6.6795363533780584E-3</v>
      </c>
      <c r="K131" s="55">
        <f t="shared" si="56"/>
        <v>0.98257054527674392</v>
      </c>
      <c r="L131" s="55">
        <f t="shared" si="57"/>
        <v>1.3373266715028282E-3</v>
      </c>
      <c r="M131" s="55">
        <f t="shared" si="58"/>
        <v>0.99866267332849712</v>
      </c>
      <c r="N131" s="55">
        <f t="shared" si="59"/>
        <v>1.1744322182006959E-5</v>
      </c>
      <c r="O131" s="56">
        <f t="shared" si="60"/>
        <v>9.8900367839117906E-7</v>
      </c>
      <c r="P131" s="56">
        <f t="shared" si="61"/>
        <v>1.0043323302986236E-6</v>
      </c>
      <c r="Q131" s="56">
        <f t="shared" si="62"/>
        <v>1.7639971917374447E-6</v>
      </c>
      <c r="R131" s="9">
        <f t="shared" si="44"/>
        <v>1.4999999999999999E-4</v>
      </c>
      <c r="S131" s="9">
        <f t="shared" si="45"/>
        <v>2.005990007254242E-7</v>
      </c>
      <c r="T131" s="9">
        <f t="shared" si="40"/>
        <v>1.4738558179151157E-4</v>
      </c>
      <c r="U131" s="9">
        <f t="shared" si="41"/>
        <v>1.4979940099927455E-4</v>
      </c>
      <c r="V131" s="100">
        <f t="shared" si="46"/>
        <v>0.98388632269781462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258</v>
      </c>
      <c r="C132" s="46" t="s">
        <v>259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2.8199434247480615E-2</v>
      </c>
      <c r="K132" s="55">
        <f t="shared" si="56"/>
        <v>0.95746249635821967</v>
      </c>
      <c r="L132" s="55">
        <f t="shared" si="57"/>
        <v>1.3693530542105007E-3</v>
      </c>
      <c r="M132" s="55">
        <f t="shared" si="58"/>
        <v>0.99863064694578951</v>
      </c>
      <c r="N132" s="55">
        <f t="shared" si="59"/>
        <v>4.38947088471681E-5</v>
      </c>
      <c r="O132" s="56">
        <f t="shared" si="60"/>
        <v>9.6373124084762101E-7</v>
      </c>
      <c r="P132" s="56">
        <f t="shared" si="61"/>
        <v>1.0283841437120855E-6</v>
      </c>
      <c r="Q132" s="56">
        <f t="shared" si="62"/>
        <v>6.5929852688446466E-6</v>
      </c>
      <c r="R132" s="9">
        <f t="shared" si="44"/>
        <v>1.4999999999999999E-4</v>
      </c>
      <c r="S132" s="9">
        <f t="shared" si="45"/>
        <v>2.0540295813157509E-7</v>
      </c>
      <c r="T132" s="9">
        <f t="shared" si="40"/>
        <v>1.4361937445373294E-4</v>
      </c>
      <c r="U132" s="9">
        <f t="shared" si="41"/>
        <v>1.4979459704186841E-4</v>
      </c>
      <c r="V132" s="100">
        <f t="shared" si="46"/>
        <v>0.95877539837829084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260</v>
      </c>
      <c r="C133" s="46" t="s">
        <v>261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1.4297811371420288</v>
      </c>
      <c r="K133" s="55">
        <f t="shared" si="56"/>
        <v>0.15391418621076156</v>
      </c>
      <c r="L133" s="55">
        <f t="shared" si="57"/>
        <v>5.5495020527755092E-3</v>
      </c>
      <c r="M133" s="55">
        <f t="shared" si="58"/>
        <v>0.99445049794722451</v>
      </c>
      <c r="N133" s="55">
        <f t="shared" si="59"/>
        <v>4.512445078400225E-3</v>
      </c>
      <c r="O133" s="56">
        <f t="shared" si="60"/>
        <v>1.5492190057066526E-7</v>
      </c>
      <c r="P133" s="56">
        <f t="shared" si="61"/>
        <v>4.1676760416344079E-6</v>
      </c>
      <c r="Q133" s="56">
        <f t="shared" si="62"/>
        <v>6.777692507757135E-4</v>
      </c>
      <c r="R133" s="9">
        <f t="shared" si="44"/>
        <v>1.4999999999999999E-4</v>
      </c>
      <c r="S133" s="9">
        <f t="shared" si="45"/>
        <v>8.3242530791632635E-7</v>
      </c>
      <c r="T133" s="9">
        <f t="shared" si="40"/>
        <v>2.308712793161423E-5</v>
      </c>
      <c r="U133" s="9">
        <f t="shared" si="41"/>
        <v>1.4916757469208365E-4</v>
      </c>
      <c r="V133" s="100">
        <f t="shared" si="46"/>
        <v>0.15477309984607177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262</v>
      </c>
      <c r="C134" s="46" t="s">
        <v>263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-4.3849060173013843E-3</v>
      </c>
      <c r="K134" s="55">
        <f t="shared" si="56"/>
        <v>0.99859124593917781</v>
      </c>
      <c r="L134" s="55">
        <f t="shared" si="57"/>
        <v>1.3249426409416248E-3</v>
      </c>
      <c r="M134" s="55">
        <f t="shared" si="58"/>
        <v>0.99867505735905837</v>
      </c>
      <c r="N134" s="55">
        <f t="shared" si="59"/>
        <v>6.951732740401172E-9</v>
      </c>
      <c r="O134" s="56">
        <f t="shared" si="60"/>
        <v>1.0051292705552394E-6</v>
      </c>
      <c r="P134" s="56">
        <f t="shared" si="61"/>
        <v>9.9503192334716013E-7</v>
      </c>
      <c r="Q134" s="56">
        <f t="shared" si="62"/>
        <v>1.0441502576082557E-9</v>
      </c>
      <c r="R134" s="9">
        <f t="shared" si="44"/>
        <v>1.4999999999999999E-4</v>
      </c>
      <c r="S134" s="9">
        <f t="shared" si="45"/>
        <v>1.987413961412437E-7</v>
      </c>
      <c r="T134" s="9">
        <f t="shared" si="40"/>
        <v>1.4978868689087665E-4</v>
      </c>
      <c r="U134" s="9">
        <f t="shared" si="41"/>
        <v>1.4980125860385873E-4</v>
      </c>
      <c r="V134" s="100">
        <f t="shared" si="46"/>
        <v>0.99991607738747157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264</v>
      </c>
      <c r="C135" s="46" t="s">
        <v>265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5.2755991161798507E-2</v>
      </c>
      <c r="K135" s="55">
        <f t="shared" ref="K135:K143" si="65">IF(D135=0,"",1/(1+10^D135*$J$15/$J$14+10^E135*$J$16/$J$14+10^J135*$J$19/$J$14))</f>
        <v>0.93209293981889907</v>
      </c>
      <c r="L135" s="55">
        <f t="shared" ref="L135:L143" si="66">IF(D135=0,"",1/(1+10^I135/10^J135*$J$13/$J$19))</f>
        <v>1.4106180554483568E-3</v>
      </c>
      <c r="M135" s="55">
        <f t="shared" ref="M135:M143" si="67">IF(D135=0,"",1-L135)</f>
        <v>0.9985893819445516</v>
      </c>
      <c r="N135" s="55">
        <f t="shared" ref="N135:N143" si="68">IF(D135=0,"",1/(1/10^E135*$J$20/$J$22+10^D135/10^E135*$J$21/$J$22+10^I135/10^E135*$J$13/$J$22+1))</f>
        <v>8.6087775092413027E-5</v>
      </c>
      <c r="O135" s="56">
        <f t="shared" ref="O135:O143" si="69">IF(D135=0,"",F135*K135*$J$7/$J$14)</f>
        <v>9.3819558352799919E-7</v>
      </c>
      <c r="P135" s="56">
        <f t="shared" ref="P135:P143" si="70">IF(D135=0,"",O135*10^J135)</f>
        <v>1.0593741596417161E-6</v>
      </c>
      <c r="Q135" s="56">
        <f t="shared" ref="Q135:Q143" si="71">IF(D135=0,"",F135*N135*$J$7/$J$22)</f>
        <v>1.2930383818880431E-5</v>
      </c>
      <c r="R135" s="9">
        <f t="shared" si="44"/>
        <v>1.4999999999999999E-4</v>
      </c>
      <c r="S135" s="9">
        <f t="shared" si="45"/>
        <v>2.115927083172535E-7</v>
      </c>
      <c r="T135" s="9">
        <f t="shared" si="40"/>
        <v>1.3981394097283486E-4</v>
      </c>
      <c r="U135" s="9">
        <f t="shared" si="41"/>
        <v>1.4978840729168273E-4</v>
      </c>
      <c r="V135" s="100">
        <f t="shared" si="46"/>
        <v>0.93340962428804908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266</v>
      </c>
      <c r="C136" s="46" t="s">
        <v>267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-2.4626113408787245E-3</v>
      </c>
      <c r="K136" s="55">
        <f t="shared" si="65"/>
        <v>0.99531514533737564</v>
      </c>
      <c r="L136" s="55">
        <f t="shared" si="66"/>
        <v>1.3264541110765433E-3</v>
      </c>
      <c r="M136" s="55">
        <f t="shared" si="67"/>
        <v>0.99867354588892343</v>
      </c>
      <c r="N136" s="55">
        <f t="shared" si="68"/>
        <v>1.2941479710931879E-6</v>
      </c>
      <c r="O136" s="56">
        <f t="shared" si="69"/>
        <v>1.0018317205100673E-6</v>
      </c>
      <c r="P136" s="56">
        <f t="shared" si="70"/>
        <v>9.9616703741848388E-7</v>
      </c>
      <c r="Q136" s="56">
        <f t="shared" si="71"/>
        <v>1.9438102525819678E-7</v>
      </c>
      <c r="R136" s="9">
        <f t="shared" si="44"/>
        <v>1.4999999999999999E-4</v>
      </c>
      <c r="S136" s="9">
        <f t="shared" si="45"/>
        <v>1.9896811666148147E-7</v>
      </c>
      <c r="T136" s="9">
        <f t="shared" si="40"/>
        <v>1.4929727180060633E-4</v>
      </c>
      <c r="U136" s="9">
        <f t="shared" si="41"/>
        <v>1.498010318833385E-4</v>
      </c>
      <c r="V136" s="100">
        <f t="shared" si="46"/>
        <v>0.99663713876734517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268</v>
      </c>
      <c r="C137" s="46" t="s">
        <v>269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-4.421887076917202E-3</v>
      </c>
      <c r="K137" s="55">
        <f t="shared" si="65"/>
        <v>0.99866599205585382</v>
      </c>
      <c r="L137" s="55">
        <f t="shared" si="66"/>
        <v>1.324928989765268E-3</v>
      </c>
      <c r="M137" s="55">
        <f t="shared" si="67"/>
        <v>0.99867507101023478</v>
      </c>
      <c r="N137" s="55">
        <f t="shared" si="68"/>
        <v>2.9561919469165585E-10</v>
      </c>
      <c r="O137" s="56">
        <f t="shared" si="69"/>
        <v>1.0052045060532841E-6</v>
      </c>
      <c r="P137" s="56">
        <f t="shared" si="70"/>
        <v>9.9502167131371617E-7</v>
      </c>
      <c r="Q137" s="56">
        <f t="shared" si="71"/>
        <v>4.440200304268669E-11</v>
      </c>
      <c r="R137" s="9">
        <f t="shared" si="44"/>
        <v>1.4999999999999999E-4</v>
      </c>
      <c r="S137" s="9">
        <f t="shared" si="45"/>
        <v>1.9873934846479017E-7</v>
      </c>
      <c r="T137" s="9">
        <f t="shared" si="40"/>
        <v>1.4979989880837806E-4</v>
      </c>
      <c r="U137" s="9">
        <f t="shared" si="41"/>
        <v>1.4980126065153521E-4</v>
      </c>
      <c r="V137" s="100">
        <f t="shared" si="46"/>
        <v>0.99999090900069054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270</v>
      </c>
      <c r="C138" s="46" t="s">
        <v>271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-2.6957393584216881E-3</v>
      </c>
      <c r="K138" s="55">
        <f t="shared" si="65"/>
        <v>0.99568592507927778</v>
      </c>
      <c r="L138" s="55">
        <f t="shared" si="66"/>
        <v>1.3262361375285686E-3</v>
      </c>
      <c r="M138" s="55">
        <f t="shared" si="67"/>
        <v>0.99867376386247142</v>
      </c>
      <c r="N138" s="55">
        <f t="shared" si="68"/>
        <v>1.0973283099687399E-6</v>
      </c>
      <c r="O138" s="56">
        <f t="shared" si="69"/>
        <v>1.0022049278389223E-6</v>
      </c>
      <c r="P138" s="56">
        <f t="shared" si="70"/>
        <v>9.9600333928395468E-7</v>
      </c>
      <c r="Q138" s="56">
        <f t="shared" si="71"/>
        <v>1.6481871215730469E-7</v>
      </c>
      <c r="R138" s="9">
        <f t="shared" si="44"/>
        <v>1.4999999999999999E-4</v>
      </c>
      <c r="S138" s="9">
        <f t="shared" si="45"/>
        <v>1.9893542062928528E-7</v>
      </c>
      <c r="T138" s="9">
        <f t="shared" si="40"/>
        <v>1.4935288876189167E-4</v>
      </c>
      <c r="U138" s="9">
        <f t="shared" si="41"/>
        <v>1.4980106457937071E-4</v>
      </c>
      <c r="V138" s="100">
        <f t="shared" si="46"/>
        <v>0.99700819337474345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272</v>
      </c>
      <c r="C139" s="46" t="s">
        <v>273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3.1510352752518005E-2</v>
      </c>
      <c r="K139" s="55">
        <f t="shared" si="65"/>
        <v>0.94735623659186829</v>
      </c>
      <c r="L139" s="55">
        <f t="shared" si="66"/>
        <v>1.3652679653169482E-3</v>
      </c>
      <c r="M139" s="55">
        <f t="shared" si="67"/>
        <v>0.998634732034683</v>
      </c>
      <c r="N139" s="55">
        <f t="shared" si="68"/>
        <v>3.8329182066118548E-5</v>
      </c>
      <c r="O139" s="56">
        <f t="shared" si="69"/>
        <v>9.53558812891435E-7</v>
      </c>
      <c r="P139" s="56">
        <f t="shared" si="70"/>
        <v>1.0253162419530282E-6</v>
      </c>
      <c r="Q139" s="56">
        <f t="shared" si="71"/>
        <v>5.7570431463310041E-6</v>
      </c>
      <c r="R139" s="9">
        <f t="shared" si="44"/>
        <v>1.4999999999999999E-4</v>
      </c>
      <c r="S139" s="9">
        <f t="shared" si="45"/>
        <v>2.047901947975422E-7</v>
      </c>
      <c r="T139" s="9">
        <f t="shared" si="40"/>
        <v>1.4210343548878024E-4</v>
      </c>
      <c r="U139" s="9">
        <f t="shared" si="41"/>
        <v>1.4979520980520244E-4</v>
      </c>
      <c r="V139" s="100">
        <f t="shared" si="46"/>
        <v>0.94865139995848469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274</v>
      </c>
      <c r="C140" s="46" t="s">
        <v>275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-4.3926456876418607E-3</v>
      </c>
      <c r="K140" s="55">
        <f t="shared" si="65"/>
        <v>0.99860666431816725</v>
      </c>
      <c r="L140" s="55">
        <f t="shared" si="66"/>
        <v>1.3249394859410704E-3</v>
      </c>
      <c r="M140" s="55">
        <f t="shared" si="67"/>
        <v>0.99867506051405897</v>
      </c>
      <c r="N140" s="55">
        <f t="shared" si="68"/>
        <v>5.2090829541969238E-9</v>
      </c>
      <c r="O140" s="56">
        <f t="shared" si="69"/>
        <v>1.0051447898821809E-6</v>
      </c>
      <c r="P140" s="56">
        <f t="shared" si="70"/>
        <v>9.9502955394174325E-7</v>
      </c>
      <c r="Q140" s="56">
        <f t="shared" si="71"/>
        <v>7.8240425972037776E-10</v>
      </c>
      <c r="R140" s="9">
        <f t="shared" si="44"/>
        <v>1.4999999999999999E-4</v>
      </c>
      <c r="S140" s="9">
        <f t="shared" si="45"/>
        <v>1.9874092289116053E-7</v>
      </c>
      <c r="T140" s="9">
        <f t="shared" si="40"/>
        <v>1.4979099964772507E-4</v>
      </c>
      <c r="U140" s="9">
        <f t="shared" si="41"/>
        <v>1.4980125907710883E-4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276</v>
      </c>
      <c r="C141" s="46" t="s">
        <v>277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-4.3407954588776127E-3</v>
      </c>
      <c r="K141" s="55">
        <f t="shared" si="65"/>
        <v>0.99850474517286703</v>
      </c>
      <c r="L141" s="55">
        <f t="shared" si="66"/>
        <v>1.3249624380721285E-3</v>
      </c>
      <c r="M141" s="55">
        <f t="shared" si="67"/>
        <v>0.99867503756192788</v>
      </c>
      <c r="N141" s="55">
        <f t="shared" si="68"/>
        <v>1.9014264259182446E-8</v>
      </c>
      <c r="O141" s="56">
        <f t="shared" si="69"/>
        <v>1.0050422034469526E-6</v>
      </c>
      <c r="P141" s="56">
        <f t="shared" si="70"/>
        <v>9.9504679099216835E-7</v>
      </c>
      <c r="Q141" s="56">
        <f t="shared" si="71"/>
        <v>2.8559424917292026E-9</v>
      </c>
      <c r="R141" s="9">
        <f t="shared" si="44"/>
        <v>1.4999999999999999E-4</v>
      </c>
      <c r="S141" s="9">
        <f t="shared" si="45"/>
        <v>1.9874436571081927E-7</v>
      </c>
      <c r="T141" s="9">
        <f t="shared" si="40"/>
        <v>1.4977571177593005E-4</v>
      </c>
      <c r="U141" s="9">
        <f t="shared" si="41"/>
        <v>1.4980125563428918E-4</v>
      </c>
      <c r="V141" s="100">
        <f t="shared" si="46"/>
        <v>0.99982948168057095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278</v>
      </c>
      <c r="C142" s="46" t="s">
        <v>279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0.72928068716026384</v>
      </c>
      <c r="K142" s="55">
        <f t="shared" si="65"/>
        <v>0.44192257840341442</v>
      </c>
      <c r="L142" s="55">
        <f t="shared" si="66"/>
        <v>3.1755657320556218E-3</v>
      </c>
      <c r="M142" s="55">
        <f t="shared" si="67"/>
        <v>0.99682443426794443</v>
      </c>
      <c r="N142" s="55">
        <f t="shared" si="68"/>
        <v>1.9561988729263026E-3</v>
      </c>
      <c r="O142" s="56">
        <f t="shared" si="69"/>
        <v>4.4481595515565848E-7</v>
      </c>
      <c r="P142" s="56">
        <f t="shared" si="70"/>
        <v>2.384849864773771E-6</v>
      </c>
      <c r="Q142" s="56">
        <f t="shared" si="71"/>
        <v>2.9382107071353051E-4</v>
      </c>
      <c r="R142" s="9">
        <f t="shared" si="44"/>
        <v>1.4999999999999999E-4</v>
      </c>
      <c r="S142" s="9">
        <f t="shared" si="45"/>
        <v>4.7633485980834321E-7</v>
      </c>
      <c r="T142" s="9">
        <f t="shared" si="40"/>
        <v>6.6288386760512152E-5</v>
      </c>
      <c r="U142" s="9">
        <f t="shared" si="41"/>
        <v>1.4952366514019166E-4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280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1.253369354583612</v>
      </c>
      <c r="K143" s="55">
        <f t="shared" si="65"/>
        <v>6.6223159003017951E-2</v>
      </c>
      <c r="L143" s="55">
        <f t="shared" si="66"/>
        <v>1.5906457783934908E-3</v>
      </c>
      <c r="M143" s="55">
        <f t="shared" si="67"/>
        <v>0.99840935422160648</v>
      </c>
      <c r="N143" s="55">
        <f t="shared" si="68"/>
        <v>1.8705706227166623E-4</v>
      </c>
      <c r="O143" s="56">
        <f t="shared" si="69"/>
        <v>6.6656738453544654E-8</v>
      </c>
      <c r="P143" s="56">
        <f t="shared" si="70"/>
        <v>1.1945749795735118E-6</v>
      </c>
      <c r="Q143" s="56">
        <f t="shared" si="71"/>
        <v>2.809597075320426E-5</v>
      </c>
      <c r="R143" s="9">
        <f t="shared" si="44"/>
        <v>1.4999999999999999E-4</v>
      </c>
      <c r="S143" s="9">
        <f t="shared" si="45"/>
        <v>2.3859686675902362E-7</v>
      </c>
      <c r="T143" s="9">
        <f t="shared" si="40"/>
        <v>9.9334738504526922E-6</v>
      </c>
      <c r="U143" s="9">
        <f t="shared" si="41"/>
        <v>1.4976140313324095E-4</v>
      </c>
      <c r="V143" s="100">
        <f t="shared" si="46"/>
        <v>6.6328664413053059E-2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2025-02-02T14:48:38Z</dcterms:modified>
</cp:coreProperties>
</file>