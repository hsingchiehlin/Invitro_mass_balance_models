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Fischer\96well_1um\"/>
    </mc:Choice>
  </mc:AlternateContent>
  <xr:revisionPtr revIDLastSave="0" documentId="13_ncr:1_{349771CA-D95B-44E1-B4D6-1A9368A0E2AC}" xr6:coauthVersionLast="47" xr6:coauthVersionMax="47" xr10:uidLastSave="{00000000-0000-0000-0000-000000000000}"/>
  <bookViews>
    <workbookView xWindow="43080" yWindow="-120" windowWidth="29040" windowHeight="15720" firstSheet="1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43" i="4" l="1"/>
  <c r="R143" i="4"/>
  <c r="U143" i="4" s="1"/>
  <c r="V142" i="4"/>
  <c r="S142" i="4"/>
  <c r="R142" i="4"/>
  <c r="V141" i="4"/>
  <c r="U141" i="4"/>
  <c r="T141" i="4"/>
  <c r="R141" i="4"/>
  <c r="S141" i="4" s="1"/>
  <c r="V140" i="4"/>
  <c r="R140" i="4"/>
  <c r="U140" i="4" s="1"/>
  <c r="V139" i="4"/>
  <c r="U139" i="4"/>
  <c r="T139" i="4"/>
  <c r="S139" i="4"/>
  <c r="R139" i="4"/>
  <c r="V138" i="4"/>
  <c r="R138" i="4"/>
  <c r="U138" i="4" s="1"/>
  <c r="V137" i="4"/>
  <c r="R137" i="4"/>
  <c r="U137" i="4" s="1"/>
  <c r="V136" i="4"/>
  <c r="U136" i="4"/>
  <c r="S136" i="4"/>
  <c r="R136" i="4"/>
  <c r="T136" i="4" s="1"/>
  <c r="V135" i="4"/>
  <c r="R135" i="4"/>
  <c r="V134" i="4"/>
  <c r="U134" i="4"/>
  <c r="T134" i="4"/>
  <c r="S134" i="4"/>
  <c r="R134" i="4"/>
  <c r="V133" i="4"/>
  <c r="R133" i="4"/>
  <c r="T133" i="4" s="1"/>
  <c r="V132" i="4"/>
  <c r="U132" i="4"/>
  <c r="R132" i="4"/>
  <c r="T132" i="4" s="1"/>
  <c r="V131" i="4"/>
  <c r="R131" i="4"/>
  <c r="U131" i="4" s="1"/>
  <c r="V130" i="4"/>
  <c r="R130" i="4"/>
  <c r="V129" i="4"/>
  <c r="U129" i="4"/>
  <c r="T129" i="4"/>
  <c r="R129" i="4"/>
  <c r="S129" i="4" s="1"/>
  <c r="V128" i="4"/>
  <c r="R128" i="4"/>
  <c r="U128" i="4" s="1"/>
  <c r="V127" i="4"/>
  <c r="U127" i="4"/>
  <c r="T127" i="4"/>
  <c r="S127" i="4"/>
  <c r="R127" i="4"/>
  <c r="V126" i="4"/>
  <c r="R126" i="4"/>
  <c r="S126" i="4" s="1"/>
  <c r="V125" i="4"/>
  <c r="T125" i="4"/>
  <c r="S125" i="4"/>
  <c r="R125" i="4"/>
  <c r="U125" i="4" s="1"/>
  <c r="V124" i="4"/>
  <c r="U124" i="4"/>
  <c r="S124" i="4"/>
  <c r="R124" i="4"/>
  <c r="T124" i="4" s="1"/>
  <c r="V123" i="4"/>
  <c r="R123" i="4"/>
  <c r="V122" i="4"/>
  <c r="U122" i="4"/>
  <c r="T122" i="4"/>
  <c r="S122" i="4"/>
  <c r="R122" i="4"/>
  <c r="V121" i="4"/>
  <c r="R121" i="4"/>
  <c r="T121" i="4" s="1"/>
  <c r="V120" i="4"/>
  <c r="R120" i="4"/>
  <c r="S120" i="4" s="1"/>
  <c r="V119" i="4"/>
  <c r="R119" i="4"/>
  <c r="U119" i="4" s="1"/>
  <c r="V118" i="4"/>
  <c r="R118" i="4"/>
  <c r="V117" i="4"/>
  <c r="U117" i="4"/>
  <c r="T117" i="4"/>
  <c r="R117" i="4"/>
  <c r="S117" i="4" s="1"/>
  <c r="V116" i="4"/>
  <c r="R116" i="4"/>
  <c r="U116" i="4" s="1"/>
  <c r="V115" i="4"/>
  <c r="U115" i="4"/>
  <c r="T115" i="4"/>
  <c r="S115" i="4"/>
  <c r="R115" i="4"/>
  <c r="V114" i="4"/>
  <c r="R114" i="4"/>
  <c r="S114" i="4" s="1"/>
  <c r="V113" i="4"/>
  <c r="R113" i="4"/>
  <c r="U113" i="4" s="1"/>
  <c r="V112" i="4"/>
  <c r="U112" i="4"/>
  <c r="S112" i="4"/>
  <c r="R112" i="4"/>
  <c r="T112" i="4" s="1"/>
  <c r="V111" i="4"/>
  <c r="R111" i="4"/>
  <c r="V110" i="4"/>
  <c r="U110" i="4"/>
  <c r="T110" i="4"/>
  <c r="S110" i="4"/>
  <c r="R110" i="4"/>
  <c r="V109" i="4"/>
  <c r="R109" i="4"/>
  <c r="T109" i="4" s="1"/>
  <c r="V108" i="4"/>
  <c r="R108" i="4"/>
  <c r="U108" i="4" s="1"/>
  <c r="R107" i="4"/>
  <c r="V106" i="4"/>
  <c r="R106" i="4"/>
  <c r="U106" i="4" s="1"/>
  <c r="V105" i="4"/>
  <c r="R105" i="4"/>
  <c r="U105" i="4" s="1"/>
  <c r="V104" i="4"/>
  <c r="U104" i="4"/>
  <c r="S104" i="4"/>
  <c r="R104" i="4"/>
  <c r="T104" i="4" s="1"/>
  <c r="V103" i="4"/>
  <c r="R103" i="4"/>
  <c r="V102" i="4"/>
  <c r="U102" i="4"/>
  <c r="T102" i="4"/>
  <c r="S102" i="4"/>
  <c r="R102" i="4"/>
  <c r="V101" i="4"/>
  <c r="R101" i="4"/>
  <c r="T101" i="4" s="1"/>
  <c r="R100" i="4"/>
  <c r="V99" i="4"/>
  <c r="U99" i="4"/>
  <c r="T99" i="4"/>
  <c r="S99" i="4"/>
  <c r="R99" i="4"/>
  <c r="V98" i="4"/>
  <c r="R98" i="4"/>
  <c r="U98" i="4" s="1"/>
  <c r="R97" i="4"/>
  <c r="V96" i="4"/>
  <c r="R96" i="4"/>
  <c r="T96" i="4" s="1"/>
  <c r="V95" i="4"/>
  <c r="R95" i="4"/>
  <c r="U95" i="4" s="1"/>
  <c r="V94" i="4"/>
  <c r="R94" i="4"/>
  <c r="V93" i="4"/>
  <c r="U93" i="4"/>
  <c r="T93" i="4"/>
  <c r="R93" i="4"/>
  <c r="S93" i="4" s="1"/>
  <c r="V92" i="4"/>
  <c r="R92" i="4"/>
  <c r="U92" i="4" s="1"/>
  <c r="V91" i="4"/>
  <c r="U91" i="4"/>
  <c r="T91" i="4"/>
  <c r="S91" i="4"/>
  <c r="R91" i="4"/>
  <c r="V90" i="4"/>
  <c r="R90" i="4"/>
  <c r="U90" i="4" s="1"/>
  <c r="V89" i="4"/>
  <c r="R89" i="4"/>
  <c r="U89" i="4" s="1"/>
  <c r="V88" i="4"/>
  <c r="U88" i="4"/>
  <c r="S88" i="4"/>
  <c r="R88" i="4"/>
  <c r="T88" i="4" s="1"/>
  <c r="V87" i="4"/>
  <c r="R87" i="4"/>
  <c r="V86" i="4"/>
  <c r="U86" i="4"/>
  <c r="T86" i="4"/>
  <c r="S86" i="4"/>
  <c r="R86" i="4"/>
  <c r="V85" i="4"/>
  <c r="R85" i="4"/>
  <c r="S85" i="4" s="1"/>
  <c r="V84" i="4"/>
  <c r="U84" i="4"/>
  <c r="T84" i="4"/>
  <c r="S84" i="4"/>
  <c r="R84" i="4"/>
  <c r="V83" i="4"/>
  <c r="R83" i="4"/>
  <c r="U83" i="4" s="1"/>
  <c r="V82" i="4"/>
  <c r="R82" i="4"/>
  <c r="V81" i="4"/>
  <c r="U81" i="4"/>
  <c r="T81" i="4"/>
  <c r="R81" i="4"/>
  <c r="S81" i="4" s="1"/>
  <c r="V80" i="4"/>
  <c r="R80" i="4"/>
  <c r="U80" i="4" s="1"/>
  <c r="V79" i="4"/>
  <c r="U79" i="4"/>
  <c r="T79" i="4"/>
  <c r="S79" i="4"/>
  <c r="R79" i="4"/>
  <c r="V78" i="4"/>
  <c r="R78" i="4"/>
  <c r="U78" i="4" s="1"/>
  <c r="V77" i="4"/>
  <c r="R77" i="4"/>
  <c r="U77" i="4" s="1"/>
  <c r="V76" i="4"/>
  <c r="U76" i="4"/>
  <c r="S76" i="4"/>
  <c r="R76" i="4"/>
  <c r="T76" i="4" s="1"/>
  <c r="V75" i="4"/>
  <c r="R75" i="4"/>
  <c r="V74" i="4"/>
  <c r="U74" i="4"/>
  <c r="T74" i="4"/>
  <c r="S74" i="4"/>
  <c r="R74" i="4"/>
  <c r="V73" i="4"/>
  <c r="R73" i="4"/>
  <c r="T73" i="4" s="1"/>
  <c r="V72" i="4"/>
  <c r="R72" i="4"/>
  <c r="U72" i="4" s="1"/>
  <c r="V71" i="4"/>
  <c r="R71" i="4"/>
  <c r="U71" i="4" s="1"/>
  <c r="V70" i="4"/>
  <c r="R70" i="4"/>
  <c r="U70" i="4" s="1"/>
  <c r="V69" i="4"/>
  <c r="U69" i="4"/>
  <c r="T69" i="4"/>
  <c r="R69" i="4"/>
  <c r="S69" i="4" s="1"/>
  <c r="V68" i="4"/>
  <c r="R68" i="4"/>
  <c r="V67" i="4"/>
  <c r="U67" i="4"/>
  <c r="T67" i="4"/>
  <c r="S67" i="4"/>
  <c r="R67" i="4"/>
  <c r="V66" i="4"/>
  <c r="R66" i="4"/>
  <c r="U66" i="4" s="1"/>
  <c r="V65" i="4"/>
  <c r="R65" i="4"/>
  <c r="U65" i="4" s="1"/>
  <c r="V64" i="4"/>
  <c r="U64" i="4"/>
  <c r="S64" i="4"/>
  <c r="R64" i="4"/>
  <c r="T64" i="4" s="1"/>
  <c r="V63" i="4"/>
  <c r="S63" i="4"/>
  <c r="R63" i="4"/>
  <c r="V62" i="4"/>
  <c r="U62" i="4"/>
  <c r="T62" i="4"/>
  <c r="S62" i="4"/>
  <c r="R62" i="4"/>
  <c r="V61" i="4"/>
  <c r="R61" i="4"/>
  <c r="U61" i="4" s="1"/>
  <c r="V60" i="4"/>
  <c r="U60" i="4"/>
  <c r="T60" i="4"/>
  <c r="S60" i="4"/>
  <c r="R60" i="4"/>
  <c r="V59" i="4"/>
  <c r="R59" i="4"/>
  <c r="U59" i="4" s="1"/>
  <c r="V58" i="4"/>
  <c r="R58" i="4"/>
  <c r="U58" i="4" s="1"/>
  <c r="V57" i="4"/>
  <c r="U57" i="4"/>
  <c r="T57" i="4"/>
  <c r="R57" i="4"/>
  <c r="S57" i="4" s="1"/>
  <c r="V56" i="4"/>
  <c r="R56" i="4"/>
  <c r="V55" i="4"/>
  <c r="U55" i="4"/>
  <c r="T55" i="4"/>
  <c r="S55" i="4"/>
  <c r="R55" i="4"/>
  <c r="V54" i="4"/>
  <c r="R54" i="4"/>
  <c r="U54" i="4" s="1"/>
  <c r="V53" i="4"/>
  <c r="U53" i="4"/>
  <c r="T53" i="4"/>
  <c r="S53" i="4"/>
  <c r="R53" i="4"/>
  <c r="V52" i="4"/>
  <c r="U52" i="4"/>
  <c r="S52" i="4"/>
  <c r="R52" i="4"/>
  <c r="T52" i="4" s="1"/>
  <c r="V51" i="4"/>
  <c r="R51" i="4"/>
  <c r="S51" i="4" s="1"/>
  <c r="V50" i="4"/>
  <c r="U50" i="4"/>
  <c r="T50" i="4"/>
  <c r="S50" i="4"/>
  <c r="R50" i="4"/>
  <c r="V49" i="4"/>
  <c r="R49" i="4"/>
  <c r="S49" i="4" s="1"/>
  <c r="V48" i="4"/>
  <c r="R48" i="4"/>
  <c r="T48" i="4" s="1"/>
  <c r="V47" i="4"/>
  <c r="R47" i="4"/>
  <c r="U47" i="4" s="1"/>
  <c r="V46" i="4"/>
  <c r="T46" i="4"/>
  <c r="R46" i="4"/>
  <c r="U46" i="4" s="1"/>
  <c r="V45" i="4"/>
  <c r="U45" i="4"/>
  <c r="T45" i="4"/>
  <c r="R45" i="4"/>
  <c r="S45" i="4" s="1"/>
  <c r="V44" i="4"/>
  <c r="R44" i="4"/>
  <c r="V43" i="4"/>
  <c r="U43" i="4"/>
  <c r="T43" i="4"/>
  <c r="S43" i="4"/>
  <c r="R43" i="4"/>
  <c r="V42" i="4"/>
  <c r="R42" i="4"/>
  <c r="S42" i="4" s="1"/>
  <c r="V41" i="4"/>
  <c r="R41" i="4"/>
  <c r="S41" i="4" s="1"/>
  <c r="V40" i="4"/>
  <c r="U40" i="4"/>
  <c r="S40" i="4"/>
  <c r="R40" i="4"/>
  <c r="T40" i="4" s="1"/>
  <c r="V39" i="4"/>
  <c r="R39" i="4"/>
  <c r="S39" i="4" s="1"/>
  <c r="V38" i="4"/>
  <c r="U38" i="4"/>
  <c r="T38" i="4"/>
  <c r="S38" i="4"/>
  <c r="R38" i="4"/>
  <c r="V37" i="4"/>
  <c r="R37" i="4"/>
  <c r="S37" i="4" s="1"/>
  <c r="V36" i="4"/>
  <c r="U36" i="4"/>
  <c r="R36" i="4"/>
  <c r="T36" i="4" s="1"/>
  <c r="V35" i="4"/>
  <c r="R35" i="4"/>
  <c r="U35" i="4" s="1"/>
  <c r="V34" i="4"/>
  <c r="R34" i="4"/>
  <c r="U34" i="4" s="1"/>
  <c r="V33" i="4"/>
  <c r="U33" i="4"/>
  <c r="T33" i="4"/>
  <c r="R33" i="4"/>
  <c r="S33" i="4" s="1"/>
  <c r="V32" i="4"/>
  <c r="R32" i="4"/>
  <c r="V31" i="4"/>
  <c r="U31" i="4"/>
  <c r="T31" i="4"/>
  <c r="S31" i="4"/>
  <c r="R31" i="4"/>
  <c r="V30" i="4"/>
  <c r="R30" i="4"/>
  <c r="S30" i="4" s="1"/>
  <c r="V29" i="4"/>
  <c r="U29" i="4"/>
  <c r="R29" i="4"/>
  <c r="T29" i="4" s="1"/>
  <c r="V28" i="4"/>
  <c r="U28" i="4"/>
  <c r="S28" i="4"/>
  <c r="R28" i="4"/>
  <c r="T28" i="4" s="1"/>
  <c r="I135" i="4"/>
  <c r="N135" i="4" s="1"/>
  <c r="Q135" i="4" s="1"/>
  <c r="J135" i="4"/>
  <c r="K135" i="4" s="1"/>
  <c r="O135" i="4" s="1"/>
  <c r="P135" i="4" s="1"/>
  <c r="I136" i="4"/>
  <c r="L136" i="4" s="1"/>
  <c r="M136" i="4" s="1"/>
  <c r="J136" i="4"/>
  <c r="K136" i="4" s="1"/>
  <c r="O136" i="4" s="1"/>
  <c r="P136" i="4" s="1"/>
  <c r="I137" i="4"/>
  <c r="L137" i="4" s="1"/>
  <c r="M137" i="4" s="1"/>
  <c r="J137" i="4"/>
  <c r="K137" i="4" s="1"/>
  <c r="O137" i="4" s="1"/>
  <c r="P137" i="4" s="1"/>
  <c r="N137" i="4"/>
  <c r="Q137" i="4" s="1"/>
  <c r="I138" i="4"/>
  <c r="N138" i="4" s="1"/>
  <c r="Q138" i="4" s="1"/>
  <c r="J138" i="4"/>
  <c r="K138" i="4" s="1"/>
  <c r="O138" i="4" s="1"/>
  <c r="P138" i="4" s="1"/>
  <c r="I139" i="4"/>
  <c r="N139" i="4" s="1"/>
  <c r="Q139" i="4" s="1"/>
  <c r="J139" i="4"/>
  <c r="K139" i="4" s="1"/>
  <c r="O139" i="4" s="1"/>
  <c r="P139" i="4" s="1"/>
  <c r="I140" i="4"/>
  <c r="L140" i="4" s="1"/>
  <c r="M140" i="4" s="1"/>
  <c r="J140" i="4"/>
  <c r="K140" i="4"/>
  <c r="O140" i="4" s="1"/>
  <c r="P140" i="4" s="1"/>
  <c r="I141" i="4"/>
  <c r="L141" i="4" s="1"/>
  <c r="M141" i="4" s="1"/>
  <c r="J141" i="4"/>
  <c r="K141" i="4"/>
  <c r="O141" i="4" s="1"/>
  <c r="P141" i="4" s="1"/>
  <c r="N141" i="4"/>
  <c r="Q141" i="4" s="1"/>
  <c r="I142" i="4"/>
  <c r="N142" i="4" s="1"/>
  <c r="Q142" i="4" s="1"/>
  <c r="J142" i="4"/>
  <c r="K142" i="4" s="1"/>
  <c r="O142" i="4" s="1"/>
  <c r="P142" i="4" s="1"/>
  <c r="I143" i="4"/>
  <c r="J143" i="4"/>
  <c r="K143" i="4" s="1"/>
  <c r="O143" i="4" s="1"/>
  <c r="P143" i="4" s="1"/>
  <c r="N143" i="4"/>
  <c r="Q143" i="4"/>
  <c r="T137" i="4" l="1"/>
  <c r="T41" i="4"/>
  <c r="U68" i="4"/>
  <c r="T68" i="4"/>
  <c r="S68" i="4"/>
  <c r="T82" i="4"/>
  <c r="U82" i="4"/>
  <c r="U41" i="4"/>
  <c r="U48" i="4"/>
  <c r="T58" i="4"/>
  <c r="S65" i="4"/>
  <c r="S72" i="4"/>
  <c r="S82" i="4"/>
  <c r="T89" i="4"/>
  <c r="S105" i="4"/>
  <c r="T120" i="4"/>
  <c r="T65" i="4"/>
  <c r="T72" i="4"/>
  <c r="T105" i="4"/>
  <c r="S113" i="4"/>
  <c r="U120" i="4"/>
  <c r="U142" i="4"/>
  <c r="T142" i="4"/>
  <c r="T51" i="4"/>
  <c r="U51" i="4"/>
  <c r="S137" i="4"/>
  <c r="S58" i="4"/>
  <c r="S89" i="4"/>
  <c r="U96" i="4"/>
  <c r="S29" i="4"/>
  <c r="S36" i="4"/>
  <c r="U94" i="4"/>
  <c r="T94" i="4"/>
  <c r="S132" i="4"/>
  <c r="T103" i="4"/>
  <c r="S103" i="4"/>
  <c r="U103" i="4"/>
  <c r="U118" i="4"/>
  <c r="T118" i="4"/>
  <c r="S70" i="4"/>
  <c r="S77" i="4"/>
  <c r="U111" i="4"/>
  <c r="T111" i="4"/>
  <c r="S111" i="4"/>
  <c r="S118" i="4"/>
  <c r="T70" i="4"/>
  <c r="T77" i="4"/>
  <c r="S108" i="4"/>
  <c r="T108" i="4"/>
  <c r="S34" i="4"/>
  <c r="S44" i="4"/>
  <c r="U44" i="4"/>
  <c r="T44" i="4"/>
  <c r="S96" i="4"/>
  <c r="U130" i="4"/>
  <c r="T130" i="4"/>
  <c r="T34" i="4"/>
  <c r="S48" i="4"/>
  <c r="T123" i="4"/>
  <c r="S123" i="4"/>
  <c r="U123" i="4"/>
  <c r="S130" i="4"/>
  <c r="U75" i="4"/>
  <c r="S75" i="4"/>
  <c r="T75" i="4"/>
  <c r="U32" i="4"/>
  <c r="T32" i="4"/>
  <c r="S32" i="4"/>
  <c r="U39" i="4"/>
  <c r="T39" i="4"/>
  <c r="T113" i="4"/>
  <c r="U135" i="4"/>
  <c r="T135" i="4"/>
  <c r="S135" i="4"/>
  <c r="S46" i="4"/>
  <c r="U56" i="4"/>
  <c r="T56" i="4"/>
  <c r="S56" i="4"/>
  <c r="U63" i="4"/>
  <c r="T63" i="4"/>
  <c r="U87" i="4"/>
  <c r="T87" i="4"/>
  <c r="S87" i="4"/>
  <c r="S94" i="4"/>
  <c r="S140" i="4"/>
  <c r="S61" i="4"/>
  <c r="S109" i="4"/>
  <c r="T140" i="4"/>
  <c r="S54" i="4"/>
  <c r="T61" i="4"/>
  <c r="S78" i="4"/>
  <c r="T85" i="4"/>
  <c r="S106" i="4"/>
  <c r="T30" i="4"/>
  <c r="S35" i="4"/>
  <c r="U37" i="4"/>
  <c r="T42" i="4"/>
  <c r="S47" i="4"/>
  <c r="U49" i="4"/>
  <c r="T54" i="4"/>
  <c r="S59" i="4"/>
  <c r="T66" i="4"/>
  <c r="S71" i="4"/>
  <c r="U73" i="4"/>
  <c r="T78" i="4"/>
  <c r="S83" i="4"/>
  <c r="U85" i="4"/>
  <c r="T90" i="4"/>
  <c r="S95" i="4"/>
  <c r="T98" i="4"/>
  <c r="U101" i="4"/>
  <c r="T106" i="4"/>
  <c r="U109" i="4"/>
  <c r="T114" i="4"/>
  <c r="S119" i="4"/>
  <c r="U121" i="4"/>
  <c r="T126" i="4"/>
  <c r="S131" i="4"/>
  <c r="U133" i="4"/>
  <c r="T138" i="4"/>
  <c r="S143" i="4"/>
  <c r="S80" i="4"/>
  <c r="S92" i="4"/>
  <c r="S73" i="4"/>
  <c r="T80" i="4"/>
  <c r="T37" i="4"/>
  <c r="T49" i="4"/>
  <c r="S66" i="4"/>
  <c r="S90" i="4"/>
  <c r="S98" i="4"/>
  <c r="S138" i="4"/>
  <c r="U30" i="4"/>
  <c r="T35" i="4"/>
  <c r="U42" i="4"/>
  <c r="T47" i="4"/>
  <c r="T59" i="4"/>
  <c r="T71" i="4"/>
  <c r="T83" i="4"/>
  <c r="T95" i="4"/>
  <c r="U114" i="4"/>
  <c r="T119" i="4"/>
  <c r="U126" i="4"/>
  <c r="T131" i="4"/>
  <c r="T143" i="4"/>
  <c r="S116" i="4"/>
  <c r="S128" i="4"/>
  <c r="T92" i="4"/>
  <c r="S101" i="4"/>
  <c r="T116" i="4"/>
  <c r="S121" i="4"/>
  <c r="T128" i="4"/>
  <c r="S133" i="4"/>
  <c r="L142" i="4"/>
  <c r="M142" i="4" s="1"/>
  <c r="L138" i="4"/>
  <c r="M138" i="4" s="1"/>
  <c r="L143" i="4"/>
  <c r="M143" i="4" s="1"/>
  <c r="L139" i="4"/>
  <c r="M139" i="4" s="1"/>
  <c r="L135" i="4"/>
  <c r="M135" i="4" s="1"/>
  <c r="N140" i="4"/>
  <c r="Q140" i="4" s="1"/>
  <c r="N136" i="4"/>
  <c r="Q136" i="4" s="1"/>
  <c r="I128" i="4" l="1"/>
  <c r="J128" i="4"/>
  <c r="K128" i="4" s="1"/>
  <c r="O128" i="4" s="1"/>
  <c r="P128" i="4" s="1"/>
  <c r="I129" i="4"/>
  <c r="N129" i="4" s="1"/>
  <c r="Q129" i="4" s="1"/>
  <c r="J129" i="4"/>
  <c r="K129" i="4"/>
  <c r="O129" i="4" s="1"/>
  <c r="P129" i="4" s="1"/>
  <c r="L129" i="4"/>
  <c r="M129" i="4" s="1"/>
  <c r="I130" i="4"/>
  <c r="L130" i="4" s="1"/>
  <c r="M130" i="4" s="1"/>
  <c r="J130" i="4"/>
  <c r="K130" i="4" s="1"/>
  <c r="O130" i="4" s="1"/>
  <c r="P130" i="4" s="1"/>
  <c r="I131" i="4"/>
  <c r="J131" i="4"/>
  <c r="K131" i="4"/>
  <c r="O131" i="4" s="1"/>
  <c r="P131" i="4" s="1"/>
  <c r="I132" i="4"/>
  <c r="N132" i="4" s="1"/>
  <c r="Q132" i="4" s="1"/>
  <c r="J132" i="4"/>
  <c r="K132" i="4" s="1"/>
  <c r="O132" i="4" s="1"/>
  <c r="P132" i="4" s="1"/>
  <c r="I133" i="4"/>
  <c r="L133" i="4" s="1"/>
  <c r="M133" i="4" s="1"/>
  <c r="J133" i="4"/>
  <c r="K133" i="4" s="1"/>
  <c r="O133" i="4" s="1"/>
  <c r="P133" i="4" s="1"/>
  <c r="N133" i="4"/>
  <c r="Q133" i="4" s="1"/>
  <c r="I134" i="4"/>
  <c r="L134" i="4" s="1"/>
  <c r="M134" i="4" s="1"/>
  <c r="J134" i="4"/>
  <c r="K134" i="4"/>
  <c r="O134" i="4" s="1"/>
  <c r="P134" i="4" s="1"/>
  <c r="L131" i="4" l="1"/>
  <c r="M131" i="4" s="1"/>
  <c r="N130" i="4"/>
  <c r="Q130" i="4" s="1"/>
  <c r="N134" i="4"/>
  <c r="Q134" i="4" s="1"/>
  <c r="L128" i="4"/>
  <c r="M128" i="4" s="1"/>
  <c r="L132" i="4"/>
  <c r="M132" i="4" s="1"/>
  <c r="N131" i="4"/>
  <c r="Q131" i="4" s="1"/>
  <c r="N128" i="4"/>
  <c r="Q128" i="4" s="1"/>
  <c r="O15" i="1" l="1"/>
  <c r="L15" i="1"/>
  <c r="N15" i="1"/>
  <c r="J16" i="4"/>
  <c r="J15" i="4"/>
  <c r="J87" i="4"/>
  <c r="K87" i="4" s="1"/>
  <c r="O87" i="4" s="1"/>
  <c r="P87" i="4" s="1"/>
  <c r="J122" i="4"/>
  <c r="K122" i="4" s="1"/>
  <c r="O122" i="4" s="1"/>
  <c r="P122" i="4" s="1"/>
  <c r="J117" i="4"/>
  <c r="K117" i="4" s="1"/>
  <c r="O117" i="4" s="1"/>
  <c r="P117" i="4" s="1"/>
  <c r="J120" i="4"/>
  <c r="L120" i="4" s="1"/>
  <c r="K120" i="4"/>
  <c r="O120" i="4" s="1"/>
  <c r="P120" i="4" s="1"/>
  <c r="J101" i="4"/>
  <c r="K101" i="4"/>
  <c r="O101" i="4" s="1"/>
  <c r="P101" i="4" s="1"/>
  <c r="J86" i="4"/>
  <c r="K86" i="4" s="1"/>
  <c r="J85" i="4"/>
  <c r="K85" i="4" s="1"/>
  <c r="J88" i="4"/>
  <c r="K88" i="4" s="1"/>
  <c r="J119" i="4"/>
  <c r="K119" i="4" s="1"/>
  <c r="J72" i="4"/>
  <c r="J103" i="4"/>
  <c r="K103" i="4"/>
  <c r="J118" i="4"/>
  <c r="K118" i="4"/>
  <c r="O118" i="4" s="1"/>
  <c r="P118" i="4" s="1"/>
  <c r="J104" i="4"/>
  <c r="K104" i="4"/>
  <c r="O104" i="4" s="1"/>
  <c r="P104" i="4" s="1"/>
  <c r="J90" i="4"/>
  <c r="K90" i="4" s="1"/>
  <c r="J71" i="4"/>
  <c r="K71" i="4"/>
  <c r="J110" i="4"/>
  <c r="K110" i="4"/>
  <c r="J82" i="4"/>
  <c r="K82" i="4"/>
  <c r="J113" i="4"/>
  <c r="K113" i="4"/>
  <c r="O113" i="4" s="1"/>
  <c r="P113" i="4" s="1"/>
  <c r="J97" i="4"/>
  <c r="K97" i="4"/>
  <c r="O97" i="4" s="1"/>
  <c r="P97" i="4" s="1"/>
  <c r="J81" i="4"/>
  <c r="K81" i="4" s="1"/>
  <c r="J116" i="4"/>
  <c r="K116" i="4" s="1"/>
  <c r="J100" i="4"/>
  <c r="K100" i="4" s="1"/>
  <c r="O100" i="4" s="1"/>
  <c r="P100" i="4" s="1"/>
  <c r="J84" i="4"/>
  <c r="K84" i="4" s="1"/>
  <c r="J114" i="4"/>
  <c r="K114" i="4"/>
  <c r="J78" i="4"/>
  <c r="K78" i="4" s="1"/>
  <c r="J115" i="4"/>
  <c r="K115" i="4"/>
  <c r="O115" i="4"/>
  <c r="P115" i="4" s="1"/>
  <c r="J99" i="4"/>
  <c r="K99" i="4" s="1"/>
  <c r="O99" i="4" s="1"/>
  <c r="P99" i="4" s="1"/>
  <c r="J83" i="4"/>
  <c r="K83" i="4"/>
  <c r="J102" i="4"/>
  <c r="K102" i="4" s="1"/>
  <c r="O102" i="4" s="1"/>
  <c r="P102" i="4" s="1"/>
  <c r="J74" i="4"/>
  <c r="K74" i="4"/>
  <c r="J125" i="4"/>
  <c r="K125" i="4" s="1"/>
  <c r="O125" i="4" s="1"/>
  <c r="P125" i="4" s="1"/>
  <c r="J109" i="4"/>
  <c r="K109" i="4"/>
  <c r="O109" i="4" s="1"/>
  <c r="P109" i="4" s="1"/>
  <c r="J93" i="4"/>
  <c r="K93" i="4" s="1"/>
  <c r="J77" i="4"/>
  <c r="K77" i="4"/>
  <c r="J112" i="4"/>
  <c r="K112" i="4" s="1"/>
  <c r="O112" i="4" s="1"/>
  <c r="P112" i="4" s="1"/>
  <c r="J96" i="4"/>
  <c r="L96" i="4" s="1"/>
  <c r="J80" i="4"/>
  <c r="K80" i="4" s="1"/>
  <c r="J106" i="4"/>
  <c r="K106" i="4"/>
  <c r="J127" i="4"/>
  <c r="K127" i="4" s="1"/>
  <c r="O127" i="4" s="1"/>
  <c r="P127" i="4" s="1"/>
  <c r="J111" i="4"/>
  <c r="K111" i="4" s="1"/>
  <c r="O111" i="4" s="1"/>
  <c r="P111" i="4" s="1"/>
  <c r="J95" i="4"/>
  <c r="K95" i="4" s="1"/>
  <c r="J79" i="4"/>
  <c r="K79" i="4" s="1"/>
  <c r="J126" i="4"/>
  <c r="K126" i="4" s="1"/>
  <c r="J94" i="4"/>
  <c r="K94" i="4" s="1"/>
  <c r="J121" i="4"/>
  <c r="K121" i="4"/>
  <c r="O121" i="4" s="1"/>
  <c r="P121" i="4" s="1"/>
  <c r="J105" i="4"/>
  <c r="K105" i="4" s="1"/>
  <c r="O105" i="4" s="1"/>
  <c r="P105" i="4" s="1"/>
  <c r="J89" i="4"/>
  <c r="K89" i="4" s="1"/>
  <c r="J73" i="4"/>
  <c r="K73" i="4" s="1"/>
  <c r="J124" i="4"/>
  <c r="K124" i="4" s="1"/>
  <c r="J108" i="4"/>
  <c r="K108" i="4" s="1"/>
  <c r="J92" i="4"/>
  <c r="K92" i="4" s="1"/>
  <c r="J76" i="4"/>
  <c r="K76" i="4"/>
  <c r="J98" i="4"/>
  <c r="K98" i="4"/>
  <c r="O98" i="4" s="1"/>
  <c r="P98" i="4" s="1"/>
  <c r="J123" i="4"/>
  <c r="K123" i="4" s="1"/>
  <c r="O123" i="4" s="1"/>
  <c r="P123" i="4" s="1"/>
  <c r="J107" i="4"/>
  <c r="K107" i="4" s="1"/>
  <c r="J91" i="4"/>
  <c r="K91" i="4"/>
  <c r="J75" i="4"/>
  <c r="K75" i="4" s="1"/>
  <c r="O110" i="4"/>
  <c r="P110" i="4" s="1"/>
  <c r="O106" i="4"/>
  <c r="P106" i="4" s="1"/>
  <c r="O71" i="4"/>
  <c r="P71" i="4" s="1"/>
  <c r="O103" i="4"/>
  <c r="P103" i="4" s="1"/>
  <c r="I76" i="4"/>
  <c r="I77" i="4"/>
  <c r="N77" i="4" s="1"/>
  <c r="Q77" i="4" s="1"/>
  <c r="I81" i="4"/>
  <c r="N81" i="4" s="1"/>
  <c r="Q81" i="4" s="1"/>
  <c r="I89" i="4"/>
  <c r="I90" i="4"/>
  <c r="N90" i="4" s="1"/>
  <c r="Q90" i="4" s="1"/>
  <c r="I96" i="4"/>
  <c r="N96" i="4" s="1"/>
  <c r="Q96" i="4" s="1"/>
  <c r="I99" i="4"/>
  <c r="N99" i="4" s="1"/>
  <c r="Q99" i="4" s="1"/>
  <c r="I102" i="4"/>
  <c r="I104" i="4"/>
  <c r="N104" i="4" s="1"/>
  <c r="Q104" i="4" s="1"/>
  <c r="I108" i="4"/>
  <c r="N108" i="4" s="1"/>
  <c r="Q108" i="4" s="1"/>
  <c r="I111" i="4"/>
  <c r="N111" i="4" s="1"/>
  <c r="Q111" i="4" s="1"/>
  <c r="I113" i="4"/>
  <c r="N113" i="4" s="1"/>
  <c r="Q113" i="4" s="1"/>
  <c r="I115" i="4"/>
  <c r="L115" i="4" s="1"/>
  <c r="I119" i="4"/>
  <c r="N119" i="4" s="1"/>
  <c r="Q119" i="4" s="1"/>
  <c r="I120" i="4"/>
  <c r="I123" i="4"/>
  <c r="N123" i="4" s="1"/>
  <c r="Q123" i="4" s="1"/>
  <c r="I125" i="4"/>
  <c r="L125" i="4" s="1"/>
  <c r="M125" i="4" s="1"/>
  <c r="I79" i="4"/>
  <c r="N79" i="4" s="1"/>
  <c r="Q79" i="4" s="1"/>
  <c r="I92" i="4"/>
  <c r="N92" i="4" s="1"/>
  <c r="Q92" i="4" s="1"/>
  <c r="I100" i="4"/>
  <c r="L100" i="4" s="1"/>
  <c r="M100" i="4" s="1"/>
  <c r="I103" i="4"/>
  <c r="I107" i="4"/>
  <c r="I109" i="4"/>
  <c r="I110" i="4"/>
  <c r="L110" i="4" s="1"/>
  <c r="M110" i="4" s="1"/>
  <c r="I117" i="4"/>
  <c r="N117" i="4" s="1"/>
  <c r="Q117" i="4" s="1"/>
  <c r="I124" i="4"/>
  <c r="L124" i="4" s="1"/>
  <c r="I72" i="4"/>
  <c r="N72" i="4" s="1"/>
  <c r="Q72" i="4" s="1"/>
  <c r="I106" i="4"/>
  <c r="I71" i="4"/>
  <c r="N71" i="4" s="1"/>
  <c r="Q71" i="4" s="1"/>
  <c r="I75" i="4"/>
  <c r="N75" i="4" s="1"/>
  <c r="Q75" i="4" s="1"/>
  <c r="I80" i="4"/>
  <c r="L80" i="4" s="1"/>
  <c r="I83" i="4"/>
  <c r="I86" i="4"/>
  <c r="I88" i="4"/>
  <c r="N88" i="4" s="1"/>
  <c r="Q88" i="4" s="1"/>
  <c r="I94" i="4"/>
  <c r="I95" i="4"/>
  <c r="I98" i="4"/>
  <c r="N98" i="4" s="1"/>
  <c r="Q98" i="4" s="1"/>
  <c r="I101" i="4"/>
  <c r="N101" i="4" s="1"/>
  <c r="Q101" i="4" s="1"/>
  <c r="I118" i="4"/>
  <c r="N118" i="4" s="1"/>
  <c r="Q118" i="4" s="1"/>
  <c r="I127" i="4"/>
  <c r="I73" i="4"/>
  <c r="L73" i="4" s="1"/>
  <c r="I74" i="4"/>
  <c r="N74" i="4" s="1"/>
  <c r="Q74" i="4" s="1"/>
  <c r="I78" i="4"/>
  <c r="I82" i="4"/>
  <c r="I85" i="4"/>
  <c r="N85" i="4" s="1"/>
  <c r="Q85" i="4" s="1"/>
  <c r="I93" i="4"/>
  <c r="N93" i="4" s="1"/>
  <c r="Q93" i="4" s="1"/>
  <c r="I112" i="4"/>
  <c r="I114" i="4"/>
  <c r="N114" i="4" s="1"/>
  <c r="Q114" i="4" s="1"/>
  <c r="I121" i="4"/>
  <c r="I122" i="4"/>
  <c r="N122" i="4" s="1"/>
  <c r="Q122" i="4" s="1"/>
  <c r="I84" i="4"/>
  <c r="I87" i="4"/>
  <c r="N87" i="4" s="1"/>
  <c r="Q87" i="4" s="1"/>
  <c r="I91" i="4"/>
  <c r="N91" i="4" s="1"/>
  <c r="Q91" i="4" s="1"/>
  <c r="I97" i="4"/>
  <c r="N97" i="4" s="1"/>
  <c r="Q97" i="4" s="1"/>
  <c r="I105" i="4"/>
  <c r="N105" i="4" s="1"/>
  <c r="Q105" i="4" s="1"/>
  <c r="I116" i="4"/>
  <c r="N116" i="4" s="1"/>
  <c r="Q116" i="4" s="1"/>
  <c r="I126" i="4"/>
  <c r="N126" i="4" s="1"/>
  <c r="Q126" i="4" s="1"/>
  <c r="N106" i="4"/>
  <c r="Q106" i="4"/>
  <c r="N107" i="4"/>
  <c r="Q107" i="4" s="1"/>
  <c r="L107" i="4"/>
  <c r="N86" i="4"/>
  <c r="Q86" i="4" s="1"/>
  <c r="L86" i="4"/>
  <c r="L71" i="4"/>
  <c r="N103" i="4"/>
  <c r="Q103" i="4"/>
  <c r="L103" i="4"/>
  <c r="M103" i="4" s="1"/>
  <c r="N112" i="4"/>
  <c r="Q112" i="4" s="1"/>
  <c r="N78" i="4"/>
  <c r="Q78" i="4" s="1"/>
  <c r="N127" i="4"/>
  <c r="Q127" i="4" s="1"/>
  <c r="N83" i="4"/>
  <c r="Q83" i="4" s="1"/>
  <c r="N110" i="4"/>
  <c r="Q110" i="4"/>
  <c r="L113" i="4"/>
  <c r="M113" i="4" s="1"/>
  <c r="N102" i="4"/>
  <c r="Q102" i="4" s="1"/>
  <c r="N89" i="4"/>
  <c r="Q89" i="4" s="1"/>
  <c r="N109" i="4"/>
  <c r="Q109" i="4"/>
  <c r="L109" i="4"/>
  <c r="M109" i="4" s="1"/>
  <c r="L92" i="4"/>
  <c r="N120" i="4"/>
  <c r="Q120" i="4" s="1"/>
  <c r="L75" i="4" l="1"/>
  <c r="N80" i="4"/>
  <c r="Q80" i="4" s="1"/>
  <c r="L97" i="4"/>
  <c r="L118" i="4"/>
  <c r="M118" i="4" s="1"/>
  <c r="N100" i="4"/>
  <c r="Q100" i="4" s="1"/>
  <c r="N73" i="4"/>
  <c r="Q73" i="4" s="1"/>
  <c r="L121" i="4"/>
  <c r="L76" i="4"/>
  <c r="L79" i="4"/>
  <c r="L95" i="4"/>
  <c r="M95" i="4" s="1"/>
  <c r="L72" i="4"/>
  <c r="L127" i="4"/>
  <c r="M127" i="4" s="1"/>
  <c r="L87" i="4"/>
  <c r="N125" i="4"/>
  <c r="Q125" i="4" s="1"/>
  <c r="L112" i="4"/>
  <c r="M112" i="4" s="1"/>
  <c r="L94" i="4"/>
  <c r="L126" i="4"/>
  <c r="M126" i="4" s="1"/>
  <c r="L104" i="4"/>
  <c r="M104" i="4" s="1"/>
  <c r="L106" i="4"/>
  <c r="M106" i="4" s="1"/>
  <c r="L74" i="4"/>
  <c r="L102" i="4"/>
  <c r="M102" i="4" s="1"/>
  <c r="L116" i="4"/>
  <c r="M116" i="4" s="1"/>
  <c r="L83" i="4"/>
  <c r="L105" i="4"/>
  <c r="M105" i="4" s="1"/>
  <c r="M120" i="4"/>
  <c r="O108" i="4"/>
  <c r="P108" i="4" s="1"/>
  <c r="O119" i="4"/>
  <c r="P119" i="4" s="1"/>
  <c r="O126" i="4"/>
  <c r="P126" i="4" s="1"/>
  <c r="O124" i="4"/>
  <c r="P124" i="4" s="1"/>
  <c r="O107" i="4"/>
  <c r="P107" i="4" s="1"/>
  <c r="O85" i="4"/>
  <c r="P85" i="4" s="1"/>
  <c r="M115" i="4"/>
  <c r="L111" i="4"/>
  <c r="M111" i="4" s="1"/>
  <c r="N94" i="4"/>
  <c r="Q94" i="4" s="1"/>
  <c r="L90" i="4"/>
  <c r="L117" i="4"/>
  <c r="M117" i="4" s="1"/>
  <c r="K96" i="4"/>
  <c r="O96" i="4" s="1"/>
  <c r="P96" i="4" s="1"/>
  <c r="K72" i="4"/>
  <c r="O72" i="4" s="1"/>
  <c r="P72" i="4" s="1"/>
  <c r="L122" i="4"/>
  <c r="M122" i="4" s="1"/>
  <c r="O74" i="4"/>
  <c r="P74" i="4" s="1"/>
  <c r="L123" i="4"/>
  <c r="M123" i="4" s="1"/>
  <c r="O91" i="4"/>
  <c r="P91" i="4" s="1"/>
  <c r="L91" i="4"/>
  <c r="L81" i="4"/>
  <c r="L99" i="4"/>
  <c r="M99" i="4" s="1"/>
  <c r="L98" i="4"/>
  <c r="M98" i="4" s="1"/>
  <c r="N95" i="4"/>
  <c r="Q95" i="4" s="1"/>
  <c r="M71" i="4"/>
  <c r="L101" i="4"/>
  <c r="M101" i="4" s="1"/>
  <c r="O114" i="4"/>
  <c r="P114" i="4" s="1"/>
  <c r="M124" i="4"/>
  <c r="M121" i="4"/>
  <c r="L89" i="4"/>
  <c r="L78" i="4"/>
  <c r="M107" i="4"/>
  <c r="N115" i="4"/>
  <c r="Q115" i="4" s="1"/>
  <c r="O116" i="4"/>
  <c r="P116" i="4" s="1"/>
  <c r="M76" i="4"/>
  <c r="M74" i="4"/>
  <c r="O75" i="4"/>
  <c r="P75" i="4" s="1"/>
  <c r="O93" i="4"/>
  <c r="P93" i="4" s="1"/>
  <c r="O92" i="4"/>
  <c r="P92" i="4" s="1"/>
  <c r="M75" i="4"/>
  <c r="L77" i="4"/>
  <c r="O73" i="4"/>
  <c r="P73" i="4" s="1"/>
  <c r="O95" i="4"/>
  <c r="P95" i="4" s="1"/>
  <c r="O77" i="4"/>
  <c r="P77" i="4" s="1"/>
  <c r="O83" i="4"/>
  <c r="P83" i="4" s="1"/>
  <c r="M90" i="4"/>
  <c r="M96" i="4"/>
  <c r="L108" i="4"/>
  <c r="L82" i="4"/>
  <c r="O89" i="4"/>
  <c r="P89" i="4" s="1"/>
  <c r="O88" i="4"/>
  <c r="P88" i="4" s="1"/>
  <c r="M79" i="4"/>
  <c r="O84" i="4"/>
  <c r="P84" i="4" s="1"/>
  <c r="M86" i="4"/>
  <c r="N124" i="4"/>
  <c r="Q124" i="4" s="1"/>
  <c r="M73" i="4"/>
  <c r="O90" i="4"/>
  <c r="P90" i="4" s="1"/>
  <c r="M97" i="4"/>
  <c r="N76" i="4"/>
  <c r="Q76" i="4" s="1"/>
  <c r="L114" i="4"/>
  <c r="L85" i="4"/>
  <c r="O76" i="4"/>
  <c r="P76" i="4" s="1"/>
  <c r="O81" i="4"/>
  <c r="P81" i="4" s="1"/>
  <c r="O82" i="4"/>
  <c r="P82" i="4" s="1"/>
  <c r="O79" i="4"/>
  <c r="P79" i="4" s="1"/>
  <c r="M80" i="4"/>
  <c r="M87" i="4"/>
  <c r="L119" i="4"/>
  <c r="O86" i="4"/>
  <c r="P86" i="4" s="1"/>
  <c r="M92" i="4"/>
  <c r="N121" i="4"/>
  <c r="Q121" i="4" s="1"/>
  <c r="M94" i="4"/>
  <c r="L84" i="4"/>
  <c r="O94" i="4"/>
  <c r="P94" i="4" s="1"/>
  <c r="O80" i="4"/>
  <c r="P80" i="4" s="1"/>
  <c r="O78" i="4"/>
  <c r="P78" i="4" s="1"/>
  <c r="L93" i="4"/>
  <c r="L88" i="4"/>
  <c r="N82" i="4"/>
  <c r="Q82" i="4" s="1"/>
  <c r="N84" i="4"/>
  <c r="Q84" i="4" s="1"/>
  <c r="J14" i="4"/>
  <c r="J13" i="4" s="1"/>
  <c r="K16" i="4" s="1"/>
  <c r="M83" i="4" l="1"/>
  <c r="M72" i="4"/>
  <c r="M91" i="4"/>
  <c r="M108" i="4"/>
  <c r="M114" i="4"/>
  <c r="M119" i="4"/>
  <c r="M89" i="4"/>
  <c r="M78" i="4"/>
  <c r="M81" i="4"/>
  <c r="M88" i="4"/>
  <c r="M77" i="4"/>
  <c r="M93" i="4"/>
  <c r="M82" i="4"/>
  <c r="M84" i="4"/>
  <c r="M85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J60" i="4"/>
  <c r="K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62" i="4" l="1"/>
  <c r="P62" i="4" s="1"/>
  <c r="O61" i="4"/>
  <c r="P61" i="4" s="1"/>
  <c r="O60" i="4"/>
  <c r="P60" i="4" s="1"/>
  <c r="O58" i="4"/>
  <c r="P58" i="4" s="1"/>
  <c r="O57" i="4"/>
  <c r="P57" i="4" s="1"/>
  <c r="L66" i="4"/>
  <c r="K66" i="4"/>
  <c r="K70" i="4"/>
  <c r="L70" i="4"/>
  <c r="K64" i="4"/>
  <c r="L64" i="4"/>
  <c r="O63" i="4"/>
  <c r="P63" i="4" s="1"/>
  <c r="L63" i="4"/>
  <c r="K68" i="4"/>
  <c r="L68" i="4"/>
  <c r="L67" i="4"/>
  <c r="K67" i="4"/>
  <c r="L65" i="4"/>
  <c r="K65" i="4"/>
  <c r="K69" i="4"/>
  <c r="L69" i="4"/>
  <c r="N62" i="4"/>
  <c r="Q62" i="4" s="1"/>
  <c r="L62" i="4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L60" i="4"/>
  <c r="N60" i="4"/>
  <c r="Q60" i="4" s="1"/>
  <c r="M61" i="4" l="1"/>
  <c r="M60" i="4"/>
  <c r="M70" i="4"/>
  <c r="M62" i="4"/>
  <c r="M63" i="4"/>
  <c r="O64" i="4"/>
  <c r="P64" i="4" s="1"/>
  <c r="M66" i="4"/>
  <c r="O69" i="4"/>
  <c r="P69" i="4" s="1"/>
  <c r="M57" i="4"/>
  <c r="M65" i="4"/>
  <c r="O67" i="4"/>
  <c r="P67" i="4" s="1"/>
  <c r="M67" i="4"/>
  <c r="M68" i="4"/>
  <c r="M69" i="4"/>
  <c r="O65" i="4"/>
  <c r="P65" i="4" s="1"/>
  <c r="O68" i="4"/>
  <c r="P68" i="4" s="1"/>
  <c r="M64" i="4"/>
  <c r="M58" i="4"/>
  <c r="O66" i="4"/>
  <c r="P66" i="4" s="1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39" i="4" l="1"/>
  <c r="L39" i="4" s="1"/>
  <c r="J45" i="4"/>
  <c r="L45" i="4" s="1"/>
  <c r="J30" i="4"/>
  <c r="K30" i="4" s="1"/>
  <c r="J43" i="4"/>
  <c r="L43" i="4" s="1"/>
  <c r="J31" i="4"/>
  <c r="K31" i="4" s="1"/>
  <c r="J44" i="4"/>
  <c r="L44" i="4" s="1"/>
  <c r="J36" i="4"/>
  <c r="K36" i="4" s="1"/>
  <c r="J46" i="4"/>
  <c r="K46" i="4" s="1"/>
  <c r="J35" i="4"/>
  <c r="K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44" i="4"/>
  <c r="L36" i="4"/>
  <c r="K52" i="4"/>
  <c r="O52" i="4" s="1"/>
  <c r="P52" i="4" s="1"/>
  <c r="L52" i="4"/>
  <c r="M52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K39" i="4"/>
  <c r="L50" i="4"/>
  <c r="M50" i="4" s="1"/>
  <c r="K50" i="4"/>
  <c r="O50" i="4" s="1"/>
  <c r="P50" i="4" s="1"/>
  <c r="L49" i="4"/>
  <c r="K49" i="4"/>
  <c r="M48" i="4" l="1"/>
  <c r="O48" i="4"/>
  <c r="P48" i="4" s="1"/>
  <c r="M49" i="4"/>
  <c r="O49" i="4"/>
  <c r="P49" i="4" s="1"/>
  <c r="O44" i="4"/>
  <c r="P44" i="4" s="1"/>
  <c r="O35" i="4"/>
  <c r="P35" i="4" s="1"/>
  <c r="M44" i="4"/>
  <c r="O31" i="4"/>
  <c r="P31" i="4" s="1"/>
  <c r="M43" i="4"/>
  <c r="O39" i="4"/>
  <c r="P39" i="4" s="1"/>
  <c r="O33" i="4"/>
  <c r="P33" i="4" s="1"/>
  <c r="O46" i="4"/>
  <c r="P46" i="4" s="1"/>
  <c r="O41" i="4"/>
  <c r="P41" i="4" s="1"/>
  <c r="O30" i="4"/>
  <c r="P30" i="4" s="1"/>
  <c r="M45" i="4"/>
  <c r="O47" i="4"/>
  <c r="P47" i="4" s="1"/>
  <c r="L47" i="4"/>
  <c r="O28" i="4"/>
  <c r="P28" i="4" s="1"/>
  <c r="O36" i="4"/>
  <c r="P36" i="4" s="1"/>
  <c r="L35" i="4"/>
  <c r="M39" i="4"/>
  <c r="K45" i="4"/>
  <c r="L30" i="4"/>
  <c r="L31" i="4"/>
  <c r="K43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6" i="4"/>
  <c r="K40" i="4"/>
  <c r="K32" i="4"/>
  <c r="L28" i="4"/>
  <c r="M47" i="4" l="1"/>
  <c r="O45" i="4"/>
  <c r="P45" i="4" s="1"/>
  <c r="O29" i="4"/>
  <c r="P29" i="4" s="1"/>
  <c r="O38" i="4"/>
  <c r="P38" i="4" s="1"/>
  <c r="M33" i="4"/>
  <c r="M35" i="4"/>
  <c r="O34" i="4"/>
  <c r="P34" i="4" s="1"/>
  <c r="O43" i="4"/>
  <c r="P43" i="4" s="1"/>
  <c r="M31" i="4"/>
  <c r="O32" i="4"/>
  <c r="P32" i="4" s="1"/>
  <c r="O40" i="4"/>
  <c r="P40" i="4" s="1"/>
  <c r="M30" i="4"/>
  <c r="O42" i="4"/>
  <c r="P42" i="4" s="1"/>
  <c r="M46" i="4"/>
  <c r="M41" i="4"/>
  <c r="O37" i="4"/>
  <c r="P37" i="4" s="1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<sst xmlns="http://schemas.openxmlformats.org/spreadsheetml/2006/main" count="340" uniqueCount="314">
  <si>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</si>
  <si>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</si>
  <si>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</si>
  <si>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</si>
  <si>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</si>
  <si>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</si>
  <si>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</si>
  <si>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</si>
  <si>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</si>
  <si>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</si>
  <si>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</si>
  <si>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</si>
  <si>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</si>
  <si>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</si>
  <si>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</si>
  <si>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</si>
  <si>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</si>
  <si>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</si>
  <si>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</si>
  <si>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</si>
  <si>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</si>
  <si>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</si>
  <si>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</si>
  <si>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</si>
  <si>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</si>
  <si>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</si>
  <si>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</si>
  <si>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</si>
  <si>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</si>
  <si>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</si>
  <si>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</si>
  <si>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</si>
  <si>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</si>
  <si>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</si>
  <si>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</si>
  <si>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</si>
  <si>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</si>
  <si>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</si>
  <si>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</si>
  <si>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</si>
  <si>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</si>
  <si>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</si>
  <si>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</si>
  <si>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</si>
  <si>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</si>
  <si>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</si>
  <si>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</si>
  <si>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</si>
  <si>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</si>
  <si>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</si>
  <si>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</si>
  <si>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</si>
  <si>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</si>
  <si>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</si>
  <si>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</si>
  <si>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</si>
  <si>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</si>
  <si>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</si>
  <si>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</si>
  <si>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</si>
  <si>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</si>
  <si>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</si>
  <si>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</si>
  <si>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</si>
  <si>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</si>
  <si>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</si>
  <si>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</si>
  <si>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</si>
  <si>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</si>
  <si>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</si>
  <si>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</si>
  <si>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</si>
  <si>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</si>
  <si>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</si>
  <si>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</si>
  <si>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</si>
  <si>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</si>
  <si>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FBS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</si>
  <si>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</si>
  <si>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</si>
  <si>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</si>
  <si>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</si>
  <si>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</si>
  <si>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</si>
  <si>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</si>
  <si>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</si>
  <si>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</si>
  <si>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</si>
  <si>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</si>
  <si>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</si>
  <si>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</si>
  <si>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</si>
  <si>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</si>
  <si>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</si>
  <si>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</si>
  <si>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</si>
  <si>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</si>
  <si>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</si>
  <si>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</si>
  <si>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</si>
  <si>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</si>
  <si>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</si>
  <si>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</si>
  <si>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</si>
  <si>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</si>
  <si>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</si>
  <si>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</si>
  <si>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</si>
  <si>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</si>
  <si>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</si>
  <si>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</si>
  <si>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</si>
  <si>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</si>
  <si>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</si>
  <si>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</si>
  <si>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</si>
  <si>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</si>
  <si>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</si>
  <si>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</si>
  <si>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</si>
  <si>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</si>
  <si>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</si>
  <si>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</si>
  <si>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</si>
  <si>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</si>
  <si>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</si>
  <si>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</si>
  <si>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</si>
  <si>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</si>
  <si>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</si>
  <si>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</si>
  <si>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</si>
  <si>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</si>
  <si>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</si>
  <si>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</si>
  <si>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</si>
  <si>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</si>
  <si>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</si>
  <si>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</si>
  <si>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</si>
  <si>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</si>
  <si>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</si>
  <si>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</si>
  <si>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</si>
  <si>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</si>
  <si>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</si>
  <si>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</si>
  <si>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</si>
  <si>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</si>
  <si>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</si>
  <si>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</si>
  <si>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</si>
  <si>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</si>
  <si>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</si>
  <si>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</si>
  <si>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</si>
  <si>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</si>
  <si>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</si>
  <si>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</si>
  <si>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</si>
  <si>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</si>
  <si>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</si>
  <si>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</si>
  <si>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</si>
  <si>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</si>
  <si>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</si>
  <si>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</si>
  <si>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</si>
  <si>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</si>
  <si>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</si>
  <si>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</si>
  <si>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</si>
  <si>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</si>
  <si>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</si>
  <si>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</si>
  <si>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</si>
  <si>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</si>
  <si>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</si>
  <si>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</si>
  <si>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</si>
  <si>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</si>
  <si>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</si>
  <si>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</si>
  <si>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</si>
  <si>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</si>
  <si>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</si>
  <si>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</si>
  <si>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</si>
  <si>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</si>
  <si>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</si>
  <si>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</si>
  <si>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</si>
  <si>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</si>
  <si>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</si>
  <si>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</si>
  <si>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</si>
  <si>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</si>
  <si>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</si>
  <si>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</si>
  <si>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</si>
  <si>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</si>
  <si>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</si>
  <si>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</si>
  <si>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</si>
  <si>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</si>
  <si>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</si>
  <si>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</si>
  <si>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</si>
  <si>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</si>
  <si>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</si>
  <si>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</si>
  <si>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375-73-5</t>
  </si>
  <si>
    <t>757124-72-4</t>
  </si>
  <si>
    <t>375-95-1</t>
  </si>
  <si>
    <t>307-24-4</t>
  </si>
  <si>
    <t>375-22-4</t>
  </si>
  <si>
    <t>335-67-1</t>
  </si>
  <si>
    <t>27619-97-2</t>
  </si>
  <si>
    <t>39108-34-4</t>
  </si>
  <si>
    <t>2058-94-8</t>
  </si>
  <si>
    <t>1763-23-1</t>
  </si>
  <si>
    <t>375-85-9</t>
  </si>
  <si>
    <t>2706-90-3</t>
  </si>
  <si>
    <t>355-46-4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</si>
  <si>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</si>
  <si>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</si>
  <si>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</si>
  <si>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</si>
  <si>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</si>
  <si>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</si>
  <si>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</si>
  <si>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</si>
  <si>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</si>
  <si>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</si>
  <si>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</si>
  <si>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</si>
  <si>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</si>
  <si>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</si>
  <si>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</si>
  <si>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</si>
  <si>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</si>
  <si>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</si>
  <si>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</si>
  <si>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</si>
  <si>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</si>
  <si>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</si>
  <si>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</si>
  <si>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</si>
  <si>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</si>
  <si>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</si>
  <si>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</si>
  <si>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</si>
  <si>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</si>
  <si>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</si>
  <si>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</si>
  <si>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</si>
  <si>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</si>
  <si>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</si>
  <si>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</si>
  <si>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</si>
  <si>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</si>
  <si>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</si>
  <si>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</si>
  <si>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</si>
  <si>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</si>
  <si>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</si>
  <si>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</si>
  <si>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</si>
  <si>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</si>
  <si>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</si>
  <si>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</si>
  <si>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</si>
  <si>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</si>
  <si>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</si>
  <si>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</si>
  <si>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</si>
  <si>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</si>
  <si>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</si>
  <si>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</si>
  <si>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</si>
  <si>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</si>
  <si>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</si>
  <si>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</si>
  <si>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</si>
  <si>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</si>
  <si>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</si>
  <si>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</si>
  <si>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</si>
  <si>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</si>
  <si>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</si>
  <si>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</si>
  <si>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</si>
  <si>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</si>
  <si>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</si>
  <si>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</si>
  <si>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</si>
  <si>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</si>
  <si>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</si>
  <si>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</si>
  <si>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4_2_Fluorotelomer_sulfonic_acid</t>
  </si>
  <si>
    <t>˂1</t>
  </si>
  <si>
    <t>Perfluorononanoic_acid</t>
  </si>
  <si>
    <t>Perfluorohexanoic_acid</t>
  </si>
  <si>
    <t>Perfluorobutanoic_acid</t>
  </si>
  <si>
    <t>Perfluorooctanoic_acid</t>
  </si>
  <si>
    <t>6_2_Fluorotelomer_sulfonic_acid</t>
  </si>
  <si>
    <t>8_2_Fluorotelomer_sulfonic_acid</t>
  </si>
  <si>
    <t>Perfluoroundecanoic_acid</t>
  </si>
  <si>
    <t>Perfluorooctanesulfonic_acid</t>
  </si>
  <si>
    <t>Perfluoroheptanoic_acid</t>
  </si>
  <si>
    <t>Perfluoropentanoic_acid</t>
  </si>
  <si>
    <t>N/A</t>
  </si>
  <si>
    <t>Perfluorohexanesulfonic_acid</t>
  </si>
  <si>
    <t>Perfluorodecanoic_acid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</si>
</sst>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5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0" t="s">
        <v>57</v>
      </c>
      <c r="C2" s="111"/>
      <c r="D2" s="111"/>
      <c r="E2" s="111"/>
      <c r="F2" s="111"/>
      <c r="G2" s="111"/>
      <c r="H2" s="112"/>
      <c r="I2" s="7"/>
      <c r="J2" s="101" t="s">
        <v>56</v>
      </c>
      <c r="K2" s="102"/>
      <c r="L2" s="102"/>
      <c r="M2" s="102"/>
      <c r="N2" s="102"/>
      <c r="O2" s="103"/>
      <c r="P2" s="7"/>
      <c r="Q2" s="101" t="s">
        <v>58</v>
      </c>
      <c r="R2" s="102"/>
      <c r="S2" s="102"/>
      <c r="T2" s="102"/>
      <c r="U2" s="102"/>
      <c r="V2" s="10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4"/>
      <c r="K3" s="105"/>
      <c r="L3" s="105"/>
      <c r="M3" s="105"/>
      <c r="N3" s="105"/>
      <c r="O3" s="106"/>
      <c r="P3" s="7"/>
      <c r="Q3" s="104"/>
      <c r="R3" s="105"/>
      <c r="S3" s="105"/>
      <c r="T3" s="105"/>
      <c r="U3" s="105"/>
      <c r="V3" s="10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7"/>
      <c r="K4" s="108"/>
      <c r="L4" s="108"/>
      <c r="M4" s="108"/>
      <c r="N4" s="108"/>
      <c r="O4" s="109"/>
      <c r="P4" s="7"/>
      <c r="Q4" s="107"/>
      <c r="R4" s="108"/>
      <c r="S4" s="108"/>
      <c r="T4" s="108"/>
      <c r="U4" s="108"/>
      <c r="V4" s="109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8"/>
      <c r="R5" s="59"/>
      <c r="S5" s="59"/>
      <c r="T5" s="59"/>
      <c r="U5" s="59"/>
      <c r="V5" s="60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8"/>
      <c r="S6" s="79"/>
      <c r="T6" s="79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1" t="s">
        <v>74</v>
      </c>
      <c r="L7" s="82">
        <v>0</v>
      </c>
      <c r="M7" s="83">
        <v>0</v>
      </c>
      <c r="N7" s="13"/>
      <c r="O7" s="14"/>
      <c r="P7" s="7"/>
      <c r="Q7" s="11"/>
      <c r="R7" s="13"/>
      <c r="S7" s="61"/>
      <c r="T7" s="62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7"/>
      <c r="T8" s="78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4"/>
      <c r="R9" s="1"/>
      <c r="S9" s="75"/>
      <c r="T9" s="76"/>
      <c r="U9" s="1"/>
      <c r="V9" s="66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1" t="s">
        <v>16</v>
      </c>
      <c r="L10" s="82">
        <v>24</v>
      </c>
      <c r="M10" s="82">
        <v>1.9</v>
      </c>
      <c r="N10" s="13"/>
      <c r="O10" s="14"/>
      <c r="P10" s="7"/>
      <c r="Q10" s="12"/>
      <c r="R10" s="3"/>
      <c r="S10" s="77"/>
      <c r="T10" s="68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4"/>
      <c r="R11" s="1"/>
      <c r="S11" s="75"/>
      <c r="T11" s="75"/>
      <c r="U11" s="1"/>
      <c r="V11" s="66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1"/>
      <c r="T12" s="61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1"/>
      <c r="R14" s="72"/>
      <c r="S14" s="73"/>
      <c r="T14" s="73"/>
      <c r="U14" s="73"/>
      <c r="V14" s="74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7">
        <f>M15/0.029*(0.018)</f>
        <v>4.619905956112852E-5</v>
      </c>
      <c r="M15" s="57">
        <v>7.4431818181818174E-5</v>
      </c>
      <c r="N15" s="57">
        <f>M15/0.029*(0.953)</f>
        <v>2.4459835423197487E-3</v>
      </c>
      <c r="O15" s="98">
        <f>SUM(L15:N15)</f>
        <v>2.5666144200626952E-3</v>
      </c>
      <c r="P15" s="9"/>
      <c r="Q15" s="64"/>
      <c r="R15" s="1"/>
      <c r="S15" s="69"/>
      <c r="T15" s="69"/>
      <c r="U15" s="69"/>
      <c r="V15" s="66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7">
        <v>2.5484800000000001E-3</v>
      </c>
      <c r="M16" s="57">
        <v>2.2915000000000001E-4</v>
      </c>
      <c r="N16" s="57">
        <v>9.6669999999999994E-5</v>
      </c>
      <c r="O16" s="98"/>
      <c r="P16" s="9"/>
      <c r="Q16" s="12"/>
      <c r="R16" s="3"/>
      <c r="S16" s="70"/>
      <c r="T16" s="70"/>
      <c r="U16" s="70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99" t="s">
        <v>32</v>
      </c>
      <c r="K17" s="31" t="s">
        <v>80</v>
      </c>
      <c r="L17" s="80">
        <v>3.2908E-3</v>
      </c>
      <c r="M17" s="80">
        <v>4.0128000000000001E-4</v>
      </c>
      <c r="N17" s="80">
        <v>1.0792000000000001E-4</v>
      </c>
      <c r="O17" s="98"/>
      <c r="P17" s="9"/>
      <c r="Q17" s="64"/>
      <c r="R17" s="1"/>
      <c r="S17" s="69"/>
      <c r="T17" s="69"/>
      <c r="U17" s="69"/>
      <c r="V17" s="66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7">
        <v>2.2457100000000002E-3</v>
      </c>
      <c r="M18" s="57">
        <v>3.0027E-4</v>
      </c>
      <c r="N18" s="57">
        <v>6.6229999999999994E-5</v>
      </c>
      <c r="O18" s="98"/>
      <c r="P18" s="9"/>
      <c r="Q18" s="11"/>
      <c r="R18" s="13"/>
      <c r="S18" s="63"/>
      <c r="T18" s="63"/>
      <c r="U18" s="63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7">
        <v>3.2730300000000001E-3</v>
      </c>
      <c r="M19" s="57">
        <v>3.9889999999999999E-4</v>
      </c>
      <c r="N19" s="57">
        <v>1.0728E-4</v>
      </c>
      <c r="O19" s="98"/>
      <c r="P19" s="9"/>
      <c r="Q19" s="12"/>
      <c r="R19" s="3"/>
      <c r="S19" s="70"/>
      <c r="T19" s="70"/>
      <c r="U19" s="70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4"/>
      <c r="R20" s="1"/>
      <c r="S20" s="1"/>
      <c r="T20" s="1"/>
      <c r="U20" s="1"/>
      <c r="V20" s="66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4"/>
      <c r="P23" s="7"/>
      <c r="Q23" s="64"/>
      <c r="R23" s="65"/>
      <c r="S23" s="65"/>
      <c r="T23" s="65"/>
      <c r="U23" s="65"/>
      <c r="V23" s="66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5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7"/>
      <c r="M25" s="7"/>
      <c r="N25" s="7"/>
      <c r="O25" s="86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4"/>
      <c r="R26" s="65"/>
      <c r="S26" s="65"/>
      <c r="T26" s="65"/>
      <c r="U26" s="65"/>
      <c r="V26" s="66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4"/>
      <c r="R28" s="67"/>
      <c r="S28" s="65"/>
      <c r="T28" s="65"/>
      <c r="U28" s="65"/>
      <c r="V28" s="66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4"/>
      <c r="R32" s="65"/>
      <c r="S32" s="67"/>
      <c r="T32" s="65"/>
      <c r="U32" s="65"/>
      <c r="V32" s="66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8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4"/>
      <c r="R36" s="65"/>
      <c r="S36" s="65"/>
      <c r="T36" s="65"/>
      <c r="U36" s="65"/>
      <c r="V36" s="66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4"/>
      <c r="R40" s="65"/>
      <c r="S40" s="65"/>
      <c r="T40" s="65"/>
      <c r="U40" s="65"/>
      <c r="V40" s="66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4"/>
      <c r="R43" s="65"/>
      <c r="S43" s="65"/>
      <c r="T43" s="65"/>
      <c r="U43" s="65"/>
      <c r="V43" s="66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07" zoomScale="70" zoomScaleNormal="70" workbookViewId="0">
      <selection activeCell="R27" sqref="R27:V143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68"/>
      <c r="H1" s="16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68"/>
      <c r="H2" s="168"/>
      <c r="I2" s="113" t="s">
        <v>19</v>
      </c>
      <c r="J2" s="114"/>
      <c r="K2" s="114"/>
      <c r="L2" s="114"/>
      <c r="M2" s="114"/>
      <c r="N2" s="114"/>
      <c r="O2" s="114"/>
      <c r="P2" s="114"/>
      <c r="Q2" s="11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68"/>
      <c r="H3" s="168"/>
      <c r="I3" s="116"/>
      <c r="J3" s="117"/>
      <c r="K3" s="117"/>
      <c r="L3" s="117"/>
      <c r="M3" s="117"/>
      <c r="N3" s="117"/>
      <c r="O3" s="117"/>
      <c r="P3" s="117"/>
      <c r="Q3" s="11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68"/>
      <c r="H4" s="168"/>
      <c r="I4" s="119"/>
      <c r="J4" s="120"/>
      <c r="K4" s="120"/>
      <c r="L4" s="120"/>
      <c r="M4" s="120"/>
      <c r="N4" s="120"/>
      <c r="O4" s="120"/>
      <c r="P4" s="120"/>
      <c r="Q4" s="121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68"/>
      <c r="H5" s="168"/>
      <c r="I5" s="122" t="s">
        <v>38</v>
      </c>
      <c r="J5" s="123"/>
      <c r="K5" s="123"/>
      <c r="L5" s="123"/>
      <c r="M5" s="123"/>
      <c r="N5" s="123"/>
      <c r="O5" s="123"/>
      <c r="P5" s="123"/>
      <c r="Q5" s="124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68"/>
      <c r="H6" s="168"/>
      <c r="I6" s="49" t="s">
        <v>49</v>
      </c>
      <c r="J6" s="49" t="s">
        <v>50</v>
      </c>
      <c r="K6" s="49" t="s">
        <v>46</v>
      </c>
      <c r="L6" s="165" t="s">
        <v>39</v>
      </c>
      <c r="M6" s="166"/>
      <c r="N6" s="166"/>
      <c r="O6" s="166"/>
      <c r="P6" s="166"/>
      <c r="Q6" s="16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68"/>
      <c r="H7" s="168"/>
      <c r="I7" s="50" t="s">
        <v>20</v>
      </c>
      <c r="J7" s="37">
        <f>SUM(J13,J19)</f>
        <v>150.07599999999999</v>
      </c>
      <c r="K7" s="38">
        <f>J7/J7</f>
        <v>1</v>
      </c>
      <c r="L7" s="159" t="s">
        <v>68</v>
      </c>
      <c r="M7" s="160"/>
      <c r="N7" s="160"/>
      <c r="O7" s="160"/>
      <c r="P7" s="160"/>
      <c r="Q7" s="161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0" t="s">
        <v>3</v>
      </c>
      <c r="C8" s="141"/>
      <c r="D8" s="141"/>
      <c r="E8" s="141"/>
      <c r="F8" s="142"/>
      <c r="G8" s="168"/>
      <c r="H8" s="168"/>
      <c r="I8" s="51" t="s">
        <v>6</v>
      </c>
      <c r="J8" s="37">
        <f>SUM(J14,J20)</f>
        <v>149.28881600000003</v>
      </c>
      <c r="K8" s="39">
        <f>J8/J7</f>
        <v>0.99475476425277876</v>
      </c>
      <c r="L8" s="159" t="s">
        <v>69</v>
      </c>
      <c r="M8" s="160"/>
      <c r="N8" s="160"/>
      <c r="O8" s="160"/>
      <c r="P8" s="160"/>
      <c r="Q8" s="161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3"/>
      <c r="C9" s="144"/>
      <c r="D9" s="144"/>
      <c r="E9" s="144"/>
      <c r="F9" s="145"/>
      <c r="G9" s="168"/>
      <c r="H9" s="168"/>
      <c r="I9" s="50" t="s">
        <v>8</v>
      </c>
      <c r="J9" s="40">
        <f t="shared" ref="J9:J10" si="0">SUM(J15,J21)</f>
        <v>0.72802560000000005</v>
      </c>
      <c r="K9" s="39">
        <f>J9/J7</f>
        <v>4.8510461366241108E-3</v>
      </c>
      <c r="L9" s="159" t="s">
        <v>69</v>
      </c>
      <c r="M9" s="160"/>
      <c r="N9" s="160"/>
      <c r="O9" s="160"/>
      <c r="P9" s="160"/>
      <c r="Q9" s="161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6"/>
      <c r="C10" s="147"/>
      <c r="D10" s="147"/>
      <c r="E10" s="147"/>
      <c r="F10" s="148"/>
      <c r="G10" s="168"/>
      <c r="H10" s="168"/>
      <c r="I10" s="51" t="s">
        <v>9</v>
      </c>
      <c r="J10" s="40">
        <f t="shared" si="0"/>
        <v>5.9158399999999993E-2</v>
      </c>
      <c r="K10" s="39">
        <f>J10/J7</f>
        <v>3.9418961059729736E-4</v>
      </c>
      <c r="L10" s="159" t="s">
        <v>69</v>
      </c>
      <c r="M10" s="160"/>
      <c r="N10" s="160"/>
      <c r="O10" s="160"/>
      <c r="P10" s="160"/>
      <c r="Q10" s="161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9" t="s">
        <v>36</v>
      </c>
      <c r="C11" s="150"/>
      <c r="D11" s="150"/>
      <c r="E11" s="150"/>
      <c r="F11" s="151"/>
      <c r="G11" s="168"/>
      <c r="H11" s="168"/>
      <c r="I11" s="184"/>
      <c r="J11" s="184"/>
      <c r="K11" s="184"/>
      <c r="L11" s="184"/>
      <c r="M11" s="184"/>
      <c r="N11" s="184"/>
      <c r="O11" s="184"/>
      <c r="P11" s="184"/>
      <c r="Q11" s="184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2"/>
      <c r="C12" s="153"/>
      <c r="D12" s="153"/>
      <c r="E12" s="153"/>
      <c r="F12" s="154"/>
      <c r="G12" s="168"/>
      <c r="H12" s="168"/>
      <c r="I12" s="49" t="s">
        <v>51</v>
      </c>
      <c r="J12" s="49" t="s">
        <v>50</v>
      </c>
      <c r="K12" s="49" t="s">
        <v>46</v>
      </c>
      <c r="L12" s="165" t="s">
        <v>39</v>
      </c>
      <c r="M12" s="166"/>
      <c r="N12" s="166"/>
      <c r="O12" s="166"/>
      <c r="P12" s="166"/>
      <c r="Q12" s="16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8" t="s">
        <v>4</v>
      </c>
      <c r="C13" s="139"/>
      <c r="D13" s="128" t="s">
        <v>39</v>
      </c>
      <c r="E13" s="128"/>
      <c r="F13" s="128"/>
      <c r="G13" s="168"/>
      <c r="H13" s="168"/>
      <c r="I13" s="50" t="s">
        <v>5</v>
      </c>
      <c r="J13" s="41">
        <f>SUM(J14:J16)</f>
        <v>150</v>
      </c>
      <c r="K13" s="38">
        <f>J13/J13</f>
        <v>1</v>
      </c>
      <c r="L13" s="159" t="s">
        <v>71</v>
      </c>
      <c r="M13" s="160"/>
      <c r="N13" s="160"/>
      <c r="O13" s="160"/>
      <c r="P13" s="160"/>
      <c r="Q13" s="161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150</v>
      </c>
      <c r="D14" s="129" t="s">
        <v>17</v>
      </c>
      <c r="E14" s="129"/>
      <c r="F14" s="129"/>
      <c r="G14" s="168"/>
      <c r="H14" s="168"/>
      <c r="I14" s="51" t="s">
        <v>43</v>
      </c>
      <c r="J14" s="41">
        <f>C14-SUM(J15:J16)</f>
        <v>149.22300000000001</v>
      </c>
      <c r="K14" s="39">
        <f>J14/J13</f>
        <v>0.99482000000000004</v>
      </c>
      <c r="L14" s="162" t="s">
        <v>70</v>
      </c>
      <c r="M14" s="163"/>
      <c r="N14" s="163"/>
      <c r="O14" s="163"/>
      <c r="P14" s="163"/>
      <c r="Q14" s="164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0" t="s">
        <v>60</v>
      </c>
      <c r="E15" s="130"/>
      <c r="F15" s="130"/>
      <c r="G15" s="168"/>
      <c r="H15" s="168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0.72000000000000008</v>
      </c>
      <c r="K15" s="39">
        <f>J15/J13</f>
        <v>4.8000000000000004E-3</v>
      </c>
      <c r="L15" s="159" t="s">
        <v>69</v>
      </c>
      <c r="M15" s="160"/>
      <c r="N15" s="160"/>
      <c r="O15" s="160"/>
      <c r="P15" s="160"/>
      <c r="Q15" s="161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0.8</v>
      </c>
      <c r="D16" s="131" t="s">
        <v>40</v>
      </c>
      <c r="E16" s="132"/>
      <c r="F16" s="133"/>
      <c r="G16" s="168"/>
      <c r="H16" s="168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5.6999999999999995E-2</v>
      </c>
      <c r="K16" s="39">
        <f>J16/J13</f>
        <v>3.7999999999999997E-4</v>
      </c>
      <c r="L16" s="159" t="s">
        <v>69</v>
      </c>
      <c r="M16" s="160"/>
      <c r="N16" s="160"/>
      <c r="O16" s="160"/>
      <c r="P16" s="160"/>
      <c r="Q16" s="161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77</v>
      </c>
      <c r="D17" s="134" t="s">
        <v>61</v>
      </c>
      <c r="E17" s="135"/>
      <c r="F17" s="136"/>
      <c r="G17" s="168"/>
      <c r="H17" s="168"/>
      <c r="I17" s="162"/>
      <c r="J17" s="163"/>
      <c r="K17" s="163"/>
      <c r="L17" s="163"/>
      <c r="M17" s="163"/>
      <c r="N17" s="163"/>
      <c r="O17" s="163"/>
      <c r="P17" s="163"/>
      <c r="Q17" s="164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0.2</v>
      </c>
      <c r="D18" s="131" t="s">
        <v>41</v>
      </c>
      <c r="E18" s="132"/>
      <c r="F18" s="133"/>
      <c r="G18" s="168"/>
      <c r="H18" s="168"/>
      <c r="I18" s="49" t="s">
        <v>29</v>
      </c>
      <c r="J18" s="49" t="s">
        <v>50</v>
      </c>
      <c r="K18" s="49" t="s">
        <v>46</v>
      </c>
      <c r="L18" s="165" t="s">
        <v>39</v>
      </c>
      <c r="M18" s="166"/>
      <c r="N18" s="166"/>
      <c r="O18" s="166"/>
      <c r="P18" s="166"/>
      <c r="Q18" s="16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0"/>
      <c r="C19" s="130"/>
      <c r="D19" s="130"/>
      <c r="E19" s="130"/>
      <c r="F19" s="130"/>
      <c r="G19" s="168"/>
      <c r="H19" s="168"/>
      <c r="I19" s="50" t="s">
        <v>5</v>
      </c>
      <c r="J19" s="41">
        <f>SUM(J20:J22)</f>
        <v>7.5999999999999998E-2</v>
      </c>
      <c r="K19" s="38">
        <f>J19/J19</f>
        <v>1</v>
      </c>
      <c r="L19" s="159" t="s">
        <v>55</v>
      </c>
      <c r="M19" s="160"/>
      <c r="N19" s="160"/>
      <c r="O19" s="160"/>
      <c r="P19" s="160"/>
      <c r="Q19" s="161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8" t="s">
        <v>7</v>
      </c>
      <c r="C20" s="139"/>
      <c r="D20" s="128" t="s">
        <v>39</v>
      </c>
      <c r="E20" s="128"/>
      <c r="F20" s="128"/>
      <c r="G20" s="168"/>
      <c r="H20" s="168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6.5816E-2</v>
      </c>
      <c r="K20" s="39">
        <f>J20/J19</f>
        <v>0.86599999999999999</v>
      </c>
      <c r="L20" s="159" t="s">
        <v>69</v>
      </c>
      <c r="M20" s="160"/>
      <c r="N20" s="160"/>
      <c r="O20" s="160"/>
      <c r="P20" s="160"/>
      <c r="Q20" s="161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80</v>
      </c>
      <c r="D21" s="134" t="s">
        <v>61</v>
      </c>
      <c r="E21" s="135"/>
      <c r="F21" s="136"/>
      <c r="G21" s="168"/>
      <c r="H21" s="168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8.0255999999999991E-3</v>
      </c>
      <c r="K21" s="39">
        <f>J21/J19</f>
        <v>0.10559999999999999</v>
      </c>
      <c r="L21" s="159" t="s">
        <v>69</v>
      </c>
      <c r="M21" s="160"/>
      <c r="N21" s="160"/>
      <c r="O21" s="160"/>
      <c r="P21" s="160"/>
      <c r="Q21" s="161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20000</v>
      </c>
      <c r="D22" s="137" t="s">
        <v>67</v>
      </c>
      <c r="E22" s="137"/>
      <c r="F22" s="137"/>
      <c r="G22" s="168"/>
      <c r="H22" s="168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2.1584000000000004E-3</v>
      </c>
      <c r="K22" s="39">
        <f>J22/J19</f>
        <v>2.8400000000000005E-2</v>
      </c>
      <c r="L22" s="159" t="s">
        <v>69</v>
      </c>
      <c r="M22" s="160"/>
      <c r="N22" s="160"/>
      <c r="O22" s="160"/>
      <c r="P22" s="160"/>
      <c r="Q22" s="161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5"/>
      <c r="C23" s="126"/>
      <c r="D23" s="126"/>
      <c r="E23" s="126"/>
      <c r="F23" s="127"/>
      <c r="G23" s="168"/>
      <c r="H23" s="168"/>
      <c r="I23" s="179"/>
      <c r="J23" s="180"/>
      <c r="K23" s="180"/>
      <c r="L23" s="180"/>
      <c r="M23" s="180"/>
      <c r="N23" s="180"/>
      <c r="O23" s="180"/>
      <c r="P23" s="180"/>
      <c r="Q23" s="181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9" t="s">
        <v>37</v>
      </c>
      <c r="C24" s="150"/>
      <c r="D24" s="150"/>
      <c r="E24" s="150"/>
      <c r="F24" s="151"/>
      <c r="G24" s="168"/>
      <c r="H24" s="168"/>
      <c r="I24" s="173" t="s">
        <v>42</v>
      </c>
      <c r="J24" s="174"/>
      <c r="K24" s="174"/>
      <c r="L24" s="174"/>
      <c r="M24" s="174"/>
      <c r="N24" s="174"/>
      <c r="O24" s="174"/>
      <c r="P24" s="174"/>
      <c r="Q24" s="175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2"/>
      <c r="C25" s="153"/>
      <c r="D25" s="153"/>
      <c r="E25" s="153"/>
      <c r="F25" s="154"/>
      <c r="G25" s="168"/>
      <c r="H25" s="168"/>
      <c r="I25" s="176"/>
      <c r="J25" s="177"/>
      <c r="K25" s="177"/>
      <c r="L25" s="177"/>
      <c r="M25" s="177"/>
      <c r="N25" s="177"/>
      <c r="O25" s="177"/>
      <c r="P25" s="177"/>
      <c r="Q25" s="178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1" t="s">
        <v>11</v>
      </c>
      <c r="C26" s="171" t="s">
        <v>12</v>
      </c>
      <c r="D26" s="155" t="s">
        <v>47</v>
      </c>
      <c r="E26" s="155" t="s">
        <v>48</v>
      </c>
      <c r="F26" s="157" t="s">
        <v>66</v>
      </c>
      <c r="G26" s="168"/>
      <c r="H26" s="168"/>
      <c r="I26" s="182" t="s">
        <v>53</v>
      </c>
      <c r="J26" s="182" t="s">
        <v>54</v>
      </c>
      <c r="K26" s="169" t="s">
        <v>73</v>
      </c>
      <c r="L26" s="169" t="s">
        <v>52</v>
      </c>
      <c r="M26" s="169" t="s">
        <v>59</v>
      </c>
      <c r="N26" s="169" t="s">
        <v>62</v>
      </c>
      <c r="O26" s="169" t="s">
        <v>72</v>
      </c>
      <c r="P26" s="169" t="s">
        <v>64</v>
      </c>
      <c r="Q26" s="169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2"/>
      <c r="C27" s="172"/>
      <c r="D27" s="156"/>
      <c r="E27" s="156"/>
      <c r="F27" s="158"/>
      <c r="G27" s="168"/>
      <c r="H27" s="168"/>
      <c r="I27" s="183"/>
      <c r="J27" s="183"/>
      <c r="K27" s="170"/>
      <c r="L27" s="170"/>
      <c r="M27" s="170"/>
      <c r="N27" s="170"/>
      <c r="O27" s="170"/>
      <c r="P27" s="170"/>
      <c r="Q27" s="170"/>
      <c r="R27" s="7" t="s">
        <v>79</v>
      </c>
      <c r="S27" s="7" t="s">
        <v>78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8"/>
      <c r="B28" s="46" t="s">
        <v>89</v>
      </c>
      <c r="C28" s="46" t="s">
        <v>90</v>
      </c>
      <c r="D28" s="47">
        <v>6.5247999999999973E-2</v>
      </c>
      <c r="E28" s="47">
        <v>8.2216000000000289E-2</v>
      </c>
      <c r="F28" s="96">
        <v>9.9999999999999995E-7</v>
      </c>
      <c r="G28" s="168"/>
      <c r="H28" s="168"/>
      <c r="I28" s="92">
        <f t="shared" ref="I28:I47" si="1">IF(D28=0,"",LOG($K$15*10^D28+$K$16*10^E28+$K$14))</f>
        <v>3.7217650281818146E-4</v>
      </c>
      <c r="J28" s="92">
        <f t="shared" ref="J28:J47" si="2">IF(D28=0,"",LOG($K$21*10^D28+$K$22*10^E28+$K$20))</f>
        <v>9.8917692701836375E-3</v>
      </c>
      <c r="K28" s="93">
        <f t="shared" ref="K28:K47" si="3">IF(D28=0,"",1/(1+10^D28*$J$15/$J$14+10^E28*$J$16/$J$14+10^J28*$J$19/$J$14))</f>
        <v>0.99345333145864689</v>
      </c>
      <c r="L28" s="93">
        <f t="shared" ref="L28:L47" si="4">IF(D28=0,"",1/(1+10^I28/10^J28*$J$13/$J$19))</f>
        <v>5.1762717119172941E-4</v>
      </c>
      <c r="M28" s="93">
        <f t="shared" ref="M28:M47" si="5">IF(D28=0,"",1-L28)</f>
        <v>0.99948237282880825</v>
      </c>
      <c r="N28" s="93">
        <f t="shared" ref="N28:N47" si="6">IF(D28=0,"",1/(1/10^E28*$J$20/$J$22+10^D28/10^E28*$J$21/$J$22+10^I28/10^E28*$J$13/$J$22+1))</f>
        <v>1.7364394178938339E-5</v>
      </c>
      <c r="O28" s="40">
        <f t="shared" ref="O28:O47" si="7">IF(D28=0,"",F28*K28*$J$7/$J$14)</f>
        <v>9.9913218586938918E-7</v>
      </c>
      <c r="P28" s="40">
        <f t="shared" ref="P28:P47" si="8">IF(D28=0,"",O28*10^J28)</f>
        <v>1.0221502018917104E-6</v>
      </c>
      <c r="Q28" s="40">
        <f t="shared" ref="Q28:Q47" si="9">IF(D28=0,"",F28*N28*$J$7/$J$22)</f>
        <v>1.2073660214966408E-6</v>
      </c>
      <c r="R28" s="9">
        <f>F28*$C$14</f>
        <v>1.4999999999999999E-4</v>
      </c>
      <c r="S28" s="9">
        <f>$R28*L28</f>
        <v>7.7644075678759408E-8</v>
      </c>
      <c r="T28" s="9">
        <f t="shared" ref="T28:T91" si="10">R28*K28</f>
        <v>1.4901799971879702E-4</v>
      </c>
      <c r="U28" s="9">
        <f t="shared" ref="U28:U91" si="11">$R28*M28</f>
        <v>1.4992235592432122E-4</v>
      </c>
      <c r="V28" s="100">
        <f>K28/M28</f>
        <v>0.99396783621796403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8"/>
      <c r="B29" s="46" t="s">
        <v>162</v>
      </c>
      <c r="C29" s="46" t="s">
        <v>163</v>
      </c>
      <c r="D29" s="47">
        <v>2.31</v>
      </c>
      <c r="E29" s="47">
        <v>2.58</v>
      </c>
      <c r="F29" s="96">
        <v>9.9999999999999995E-7</v>
      </c>
      <c r="G29" s="168"/>
      <c r="H29" s="168"/>
      <c r="I29" s="92">
        <f t="shared" si="1"/>
        <v>0.32619780382173885</v>
      </c>
      <c r="J29" s="92">
        <f t="shared" si="2"/>
        <v>1.5214536376976955</v>
      </c>
      <c r="K29" s="93">
        <f t="shared" si="3"/>
        <v>0.46570487192292609</v>
      </c>
      <c r="L29" s="93">
        <f t="shared" si="4"/>
        <v>7.8802908036258376E-3</v>
      </c>
      <c r="M29" s="93">
        <f t="shared" si="5"/>
        <v>0.99211970919637416</v>
      </c>
      <c r="N29" s="93">
        <f t="shared" si="6"/>
        <v>2.5609844810279862E-3</v>
      </c>
      <c r="O29" s="40">
        <f t="shared" si="7"/>
        <v>4.6836696996243909E-7</v>
      </c>
      <c r="P29" s="40">
        <f t="shared" si="8"/>
        <v>1.556108582427567E-5</v>
      </c>
      <c r="Q29" s="40">
        <f t="shared" si="9"/>
        <v>1.7806815556651036E-4</v>
      </c>
      <c r="R29" s="9">
        <f t="shared" ref="R29:R92" si="12">F29*$C$14</f>
        <v>1.4999999999999999E-4</v>
      </c>
      <c r="S29" s="9">
        <f t="shared" ref="S29:S92" si="13">$R29*L29</f>
        <v>1.1820436205438755E-6</v>
      </c>
      <c r="T29" s="9">
        <f t="shared" si="10"/>
        <v>6.9855730788438906E-5</v>
      </c>
      <c r="U29" s="9">
        <f t="shared" si="11"/>
        <v>1.4881795637945611E-4</v>
      </c>
      <c r="V29" s="100">
        <f t="shared" ref="V29:V92" si="14">K29/M29</f>
        <v>0.46940391124791908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89"/>
      <c r="B30" s="46" t="s">
        <v>164</v>
      </c>
      <c r="C30" s="46" t="s">
        <v>165</v>
      </c>
      <c r="D30" s="90">
        <v>4.4000000000000004</v>
      </c>
      <c r="E30" s="90">
        <v>2.64</v>
      </c>
      <c r="F30" s="96">
        <v>9.9999999999999995E-7</v>
      </c>
      <c r="G30" s="168"/>
      <c r="H30" s="168"/>
      <c r="I30" s="92">
        <f t="shared" si="1"/>
        <v>2.0854020627961285</v>
      </c>
      <c r="J30" s="92">
        <f t="shared" si="2"/>
        <v>3.425830027081171</v>
      </c>
      <c r="K30" s="93">
        <f t="shared" si="3"/>
        <v>8.0825840587800506E-3</v>
      </c>
      <c r="L30" s="93">
        <f t="shared" si="4"/>
        <v>1.0973826320604889E-2</v>
      </c>
      <c r="M30" s="93">
        <f t="shared" si="5"/>
        <v>0.98902617367939516</v>
      </c>
      <c r="N30" s="93">
        <f t="shared" si="6"/>
        <v>5.1032447262276933E-5</v>
      </c>
      <c r="O30" s="40">
        <f t="shared" si="7"/>
        <v>8.1287863479857309E-9</v>
      </c>
      <c r="P30" s="40">
        <f t="shared" si="8"/>
        <v>2.1669841564356581E-5</v>
      </c>
      <c r="Q30" s="40">
        <f t="shared" si="9"/>
        <v>3.5483439377934907E-6</v>
      </c>
      <c r="R30" s="9">
        <f t="shared" si="12"/>
        <v>1.4999999999999999E-4</v>
      </c>
      <c r="S30" s="9">
        <f t="shared" si="13"/>
        <v>1.6460739480907333E-6</v>
      </c>
      <c r="T30" s="9">
        <f t="shared" si="10"/>
        <v>1.2123876088170075E-6</v>
      </c>
      <c r="U30" s="9">
        <f t="shared" si="11"/>
        <v>1.4835392605190925E-4</v>
      </c>
      <c r="V30" s="100">
        <f t="shared" si="14"/>
        <v>8.1722650763741255E-3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89"/>
      <c r="B31" s="46" t="s">
        <v>91</v>
      </c>
      <c r="C31" s="46" t="s">
        <v>92</v>
      </c>
      <c r="D31" s="47">
        <v>-0.92190615231165807</v>
      </c>
      <c r="E31" s="47">
        <v>-1.7889087518799642</v>
      </c>
      <c r="F31" s="96">
        <v>9.9999999999999995E-7</v>
      </c>
      <c r="G31" s="168"/>
      <c r="H31" s="168"/>
      <c r="I31" s="92">
        <f t="shared" si="1"/>
        <v>-2.0020416091501053E-3</v>
      </c>
      <c r="J31" s="92">
        <f t="shared" si="2"/>
        <v>-5.5960700264727013E-2</v>
      </c>
      <c r="K31" s="93">
        <f t="shared" si="3"/>
        <v>0.99896957005303577</v>
      </c>
      <c r="L31" s="93">
        <f t="shared" si="4"/>
        <v>4.4726960342697698E-4</v>
      </c>
      <c r="M31" s="93">
        <f t="shared" si="5"/>
        <v>0.999552730396573</v>
      </c>
      <c r="N31" s="93">
        <f t="shared" si="6"/>
        <v>2.3493064596664743E-7</v>
      </c>
      <c r="O31" s="40">
        <f t="shared" si="7"/>
        <v>1.0046799568114794E-6</v>
      </c>
      <c r="P31" s="40">
        <f t="shared" si="8"/>
        <v>8.8321622373561852E-7</v>
      </c>
      <c r="Q31" s="40">
        <f t="shared" si="9"/>
        <v>1.6334994266165014E-8</v>
      </c>
      <c r="R31" s="9">
        <f t="shared" si="12"/>
        <v>1.4999999999999999E-4</v>
      </c>
      <c r="S31" s="9">
        <f t="shared" si="13"/>
        <v>6.7090440514046543E-8</v>
      </c>
      <c r="T31" s="9">
        <f t="shared" si="10"/>
        <v>1.4984543550795534E-4</v>
      </c>
      <c r="U31" s="9">
        <f t="shared" si="11"/>
        <v>1.4993290955948594E-4</v>
      </c>
      <c r="V31" s="100">
        <f t="shared" si="14"/>
        <v>0.99941657870985368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89"/>
      <c r="B32" s="46" t="s">
        <v>93</v>
      </c>
      <c r="C32" s="46" t="s">
        <v>94</v>
      </c>
      <c r="D32" s="47">
        <v>0.54749180498968375</v>
      </c>
      <c r="E32" s="47">
        <v>0.30136158174588817</v>
      </c>
      <c r="F32" s="96">
        <v>9.9999999999999995E-7</v>
      </c>
      <c r="G32" s="168"/>
      <c r="H32" s="168"/>
      <c r="I32" s="92">
        <f t="shared" si="1"/>
        <v>5.4008424806920542E-3</v>
      </c>
      <c r="J32" s="92">
        <f t="shared" si="2"/>
        <v>0.11239337914175332</v>
      </c>
      <c r="K32" s="93">
        <f t="shared" si="3"/>
        <v>0.98188865714217477</v>
      </c>
      <c r="L32" s="93">
        <f t="shared" si="4"/>
        <v>6.4778881886616406E-4</v>
      </c>
      <c r="M32" s="93">
        <f t="shared" si="5"/>
        <v>0.99935221118113382</v>
      </c>
      <c r="N32" s="93">
        <f t="shared" si="6"/>
        <v>2.8426277429427821E-5</v>
      </c>
      <c r="O32" s="40">
        <f t="shared" si="7"/>
        <v>9.8750140467132409E-7</v>
      </c>
      <c r="P32" s="40">
        <f t="shared" si="8"/>
        <v>1.2791783523705058E-6</v>
      </c>
      <c r="Q32" s="40">
        <f t="shared" si="9"/>
        <v>1.9765113099975951E-6</v>
      </c>
      <c r="R32" s="9">
        <f t="shared" si="12"/>
        <v>1.4999999999999999E-4</v>
      </c>
      <c r="S32" s="9">
        <f t="shared" si="13"/>
        <v>9.7168322829924606E-8</v>
      </c>
      <c r="T32" s="9">
        <f t="shared" si="10"/>
        <v>1.472832985713262E-4</v>
      </c>
      <c r="U32" s="9">
        <f t="shared" si="11"/>
        <v>1.4990283167717005E-4</v>
      </c>
      <c r="V32" s="100">
        <f t="shared" si="14"/>
        <v>0.98252512593300922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89"/>
      <c r="B33" s="94" t="s">
        <v>166</v>
      </c>
      <c r="C33" s="94" t="s">
        <v>111</v>
      </c>
      <c r="D33" s="95">
        <v>1.6452318246143236</v>
      </c>
      <c r="E33" s="95">
        <v>1.8629354124795308</v>
      </c>
      <c r="F33" s="96">
        <v>9.9999999999999995E-7</v>
      </c>
      <c r="G33" s="168"/>
      <c r="H33" s="168"/>
      <c r="I33" s="92">
        <f t="shared" si="1"/>
        <v>9.1527063522880606E-2</v>
      </c>
      <c r="J33" s="92">
        <f t="shared" si="2"/>
        <v>0.88097499004072233</v>
      </c>
      <c r="K33" s="93">
        <f t="shared" si="3"/>
        <v>0.80327547234961116</v>
      </c>
      <c r="L33" s="93">
        <f t="shared" si="4"/>
        <v>3.110407723460701E-3</v>
      </c>
      <c r="M33" s="93">
        <f t="shared" si="5"/>
        <v>0.99688959227653928</v>
      </c>
      <c r="N33" s="93">
        <f t="shared" si="6"/>
        <v>8.4741487706960575E-4</v>
      </c>
      <c r="O33" s="40">
        <f t="shared" si="7"/>
        <v>8.0786721744195078E-7</v>
      </c>
      <c r="P33" s="40">
        <f t="shared" si="8"/>
        <v>6.1420730198169494E-6</v>
      </c>
      <c r="Q33" s="40">
        <f t="shared" si="9"/>
        <v>5.8921717518114396E-5</v>
      </c>
      <c r="R33" s="9">
        <f t="shared" si="12"/>
        <v>1.4999999999999999E-4</v>
      </c>
      <c r="S33" s="9">
        <f t="shared" si="13"/>
        <v>4.6656115851910513E-7</v>
      </c>
      <c r="T33" s="9">
        <f t="shared" si="10"/>
        <v>1.2049132085244167E-4</v>
      </c>
      <c r="U33" s="9">
        <f t="shared" si="11"/>
        <v>1.4953343884148087E-4</v>
      </c>
      <c r="V33" s="100">
        <f t="shared" si="14"/>
        <v>0.80578178222847852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8"/>
      <c r="B34" s="46" t="s">
        <v>95</v>
      </c>
      <c r="C34" s="46" t="s">
        <v>96</v>
      </c>
      <c r="D34" s="90">
        <v>0.39857726844789648</v>
      </c>
      <c r="E34" s="90">
        <v>8.9525410045599246E-2</v>
      </c>
      <c r="F34" s="96">
        <v>9.9999999999999995E-7</v>
      </c>
      <c r="G34" s="168"/>
      <c r="H34" s="168"/>
      <c r="I34" s="92">
        <f t="shared" si="1"/>
        <v>3.1608226539332684E-3</v>
      </c>
      <c r="J34" s="92">
        <f t="shared" si="2"/>
        <v>6.6433697494800575E-2</v>
      </c>
      <c r="K34" s="93">
        <f t="shared" si="3"/>
        <v>0.98702739330537392</v>
      </c>
      <c r="L34" s="93">
        <f t="shared" si="4"/>
        <v>5.8578834807875967E-4</v>
      </c>
      <c r="M34" s="93">
        <f t="shared" si="5"/>
        <v>0.99941421165192124</v>
      </c>
      <c r="N34" s="93">
        <f t="shared" si="6"/>
        <v>1.7544895323747012E-5</v>
      </c>
      <c r="O34" s="40">
        <f t="shared" si="7"/>
        <v>9.9266951527376644E-7</v>
      </c>
      <c r="P34" s="40">
        <f t="shared" si="8"/>
        <v>1.1567470016614199E-6</v>
      </c>
      <c r="Q34" s="40">
        <f t="shared" si="9"/>
        <v>1.2199164708147961E-6</v>
      </c>
      <c r="R34" s="9">
        <f t="shared" si="12"/>
        <v>1.4999999999999999E-4</v>
      </c>
      <c r="S34" s="9">
        <f t="shared" si="13"/>
        <v>8.7868252211813946E-8</v>
      </c>
      <c r="T34" s="9">
        <f t="shared" si="10"/>
        <v>1.4805410899580606E-4</v>
      </c>
      <c r="U34" s="9">
        <f t="shared" si="11"/>
        <v>1.4991213174778817E-4</v>
      </c>
      <c r="V34" s="100">
        <f t="shared" si="14"/>
        <v>0.98760592134659231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8"/>
      <c r="B35" s="46" t="s">
        <v>97</v>
      </c>
      <c r="C35" s="46" t="s">
        <v>98</v>
      </c>
      <c r="D35" s="90">
        <v>0.27761205565007074</v>
      </c>
      <c r="E35" s="90">
        <v>-8.2551864497786676E-2</v>
      </c>
      <c r="F35" s="96">
        <v>9.9999999999999995E-7</v>
      </c>
      <c r="G35" s="168"/>
      <c r="H35" s="168"/>
      <c r="I35" s="92">
        <f t="shared" si="1"/>
        <v>1.8333114105419375E-3</v>
      </c>
      <c r="J35" s="92">
        <f t="shared" si="2"/>
        <v>3.7265901461407895E-2</v>
      </c>
      <c r="K35" s="93">
        <f t="shared" si="3"/>
        <v>0.99008507606222773</v>
      </c>
      <c r="L35" s="93">
        <f t="shared" si="4"/>
        <v>5.4943489859807834E-4</v>
      </c>
      <c r="M35" s="93">
        <f t="shared" si="5"/>
        <v>0.99945056510140196</v>
      </c>
      <c r="N35" s="93">
        <f t="shared" si="6"/>
        <v>1.1841775279318905E-5</v>
      </c>
      <c r="O35" s="40">
        <f t="shared" si="7"/>
        <v>9.9574467659217991E-7</v>
      </c>
      <c r="P35" s="40">
        <f t="shared" si="8"/>
        <v>1.0849604189737527E-6</v>
      </c>
      <c r="Q35" s="40">
        <f t="shared" si="9"/>
        <v>8.2337206579830591E-7</v>
      </c>
      <c r="R35" s="9">
        <f t="shared" si="12"/>
        <v>1.4999999999999999E-4</v>
      </c>
      <c r="S35" s="9">
        <f t="shared" si="13"/>
        <v>8.2415234789711742E-8</v>
      </c>
      <c r="T35" s="9">
        <f t="shared" si="10"/>
        <v>1.4851276140933416E-4</v>
      </c>
      <c r="U35" s="9">
        <f t="shared" si="11"/>
        <v>1.4991758476521027E-4</v>
      </c>
      <c r="V35" s="100">
        <f t="shared" si="14"/>
        <v>0.99062936240550925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8"/>
      <c r="B36" s="46" t="s">
        <v>167</v>
      </c>
      <c r="C36" s="46" t="s">
        <v>168</v>
      </c>
      <c r="D36" s="47">
        <v>3.4409280000000009</v>
      </c>
      <c r="E36" s="47">
        <v>4.1160660000000009</v>
      </c>
      <c r="F36" s="96">
        <v>9.9999999999999995E-7</v>
      </c>
      <c r="G36" s="168"/>
      <c r="H36" s="168"/>
      <c r="I36" s="92">
        <f t="shared" si="1"/>
        <v>1.2834731216469764</v>
      </c>
      <c r="J36" s="92">
        <f t="shared" si="2"/>
        <v>2.8217385476655523</v>
      </c>
      <c r="K36" s="93">
        <f t="shared" si="3"/>
        <v>5.0902350039862515E-2</v>
      </c>
      <c r="L36" s="93">
        <f t="shared" si="4"/>
        <v>1.7197059988935968E-2</v>
      </c>
      <c r="M36" s="93">
        <f t="shared" si="5"/>
        <v>0.98280294001106405</v>
      </c>
      <c r="N36" s="93">
        <f t="shared" si="6"/>
        <v>9.6183372020365969E-3</v>
      </c>
      <c r="O36" s="40">
        <f t="shared" si="7"/>
        <v>5.1193321971696094E-8</v>
      </c>
      <c r="P36" s="40">
        <f t="shared" si="8"/>
        <v>3.3958762827625742E-5</v>
      </c>
      <c r="Q36" s="40">
        <f t="shared" si="9"/>
        <v>6.6877389452040577E-4</v>
      </c>
      <c r="R36" s="9">
        <f t="shared" si="12"/>
        <v>1.4999999999999999E-4</v>
      </c>
      <c r="S36" s="9">
        <f t="shared" si="13"/>
        <v>2.579558998340395E-6</v>
      </c>
      <c r="T36" s="9">
        <f t="shared" si="10"/>
        <v>7.6353525059793765E-6</v>
      </c>
      <c r="U36" s="9">
        <f t="shared" si="11"/>
        <v>1.4742044100165958E-4</v>
      </c>
      <c r="V36" s="100">
        <f t="shared" si="14"/>
        <v>5.179303802173147E-2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8"/>
      <c r="B37" s="94" t="s">
        <v>169</v>
      </c>
      <c r="C37" s="94" t="s">
        <v>170</v>
      </c>
      <c r="D37" s="95">
        <v>4.9025336133267672</v>
      </c>
      <c r="E37" s="95">
        <v>6.4965619006479365</v>
      </c>
      <c r="F37" s="96">
        <v>9.9999999999999995E-7</v>
      </c>
      <c r="G37" s="168"/>
      <c r="H37" s="168"/>
      <c r="I37" s="92">
        <f t="shared" si="1"/>
        <v>3.1977472098667894</v>
      </c>
      <c r="J37" s="92">
        <f t="shared" si="2"/>
        <v>4.9891763870147496</v>
      </c>
      <c r="K37" s="93">
        <f t="shared" si="3"/>
        <v>6.1177797830223499E-4</v>
      </c>
      <c r="L37" s="93">
        <f t="shared" si="4"/>
        <v>3.0391214262972702E-2</v>
      </c>
      <c r="M37" s="93">
        <f t="shared" si="5"/>
        <v>0.96960878573702725</v>
      </c>
      <c r="N37" s="93">
        <f t="shared" si="6"/>
        <v>2.7762073909591237E-2</v>
      </c>
      <c r="O37" s="40">
        <f t="shared" si="7"/>
        <v>6.1527507067735011E-10</v>
      </c>
      <c r="P37" s="40">
        <f t="shared" si="8"/>
        <v>6.001305094381445E-5</v>
      </c>
      <c r="Q37" s="40">
        <f t="shared" si="9"/>
        <v>1.9303284859413516E-3</v>
      </c>
      <c r="R37" s="9">
        <f t="shared" si="12"/>
        <v>1.4999999999999999E-4</v>
      </c>
      <c r="S37" s="9">
        <f t="shared" si="13"/>
        <v>4.558682139445905E-6</v>
      </c>
      <c r="T37" s="9">
        <f t="shared" si="10"/>
        <v>9.1766696745335246E-8</v>
      </c>
      <c r="U37" s="9">
        <f t="shared" si="11"/>
        <v>1.4544131786055407E-4</v>
      </c>
      <c r="V37" s="100">
        <f t="shared" si="14"/>
        <v>6.3095341884428691E-4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8"/>
      <c r="B38" s="46" t="s">
        <v>171</v>
      </c>
      <c r="C38" s="46" t="s">
        <v>172</v>
      </c>
      <c r="D38" s="90">
        <v>-0.51108880646233978</v>
      </c>
      <c r="E38" s="90">
        <v>-1.2045066120098076</v>
      </c>
      <c r="F38" s="96">
        <v>9.9999999999999995E-7</v>
      </c>
      <c r="G38" s="168"/>
      <c r="H38" s="168"/>
      <c r="I38" s="92">
        <f t="shared" si="1"/>
        <v>-1.5996885357091404E-3</v>
      </c>
      <c r="J38" s="92">
        <f t="shared" si="2"/>
        <v>-4.5600580204728937E-2</v>
      </c>
      <c r="K38" s="93">
        <f t="shared" si="3"/>
        <v>0.99803414774190313</v>
      </c>
      <c r="L38" s="93">
        <f t="shared" si="4"/>
        <v>4.5763859768232693E-4</v>
      </c>
      <c r="M38" s="93">
        <f t="shared" si="5"/>
        <v>0.99954236140231767</v>
      </c>
      <c r="N38" s="93">
        <f t="shared" si="6"/>
        <v>9.0143611665387566E-7</v>
      </c>
      <c r="O38" s="40">
        <f t="shared" si="7"/>
        <v>1.0037391873673215E-6</v>
      </c>
      <c r="P38" s="40">
        <f t="shared" si="8"/>
        <v>9.0369171297069598E-7</v>
      </c>
      <c r="Q38" s="40">
        <f t="shared" si="9"/>
        <v>6.2677875575864994E-8</v>
      </c>
      <c r="R38" s="9">
        <f t="shared" si="12"/>
        <v>1.4999999999999999E-4</v>
      </c>
      <c r="S38" s="9">
        <f t="shared" si="13"/>
        <v>6.8645789652349035E-8</v>
      </c>
      <c r="T38" s="9">
        <f t="shared" si="10"/>
        <v>1.4970512216128546E-4</v>
      </c>
      <c r="U38" s="9">
        <f t="shared" si="11"/>
        <v>1.4993135421034764E-4</v>
      </c>
      <c r="V38" s="100">
        <f t="shared" si="14"/>
        <v>0.99849109580678641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8"/>
      <c r="B39" s="46" t="s">
        <v>99</v>
      </c>
      <c r="C39" s="46" t="s">
        <v>100</v>
      </c>
      <c r="D39" s="90">
        <v>2.3414159999999997</v>
      </c>
      <c r="E39" s="90">
        <v>2.4767320000000002</v>
      </c>
      <c r="F39" s="96">
        <v>9.9999999999999995E-7</v>
      </c>
      <c r="G39" s="168"/>
      <c r="H39" s="168"/>
      <c r="I39" s="92">
        <f t="shared" si="1"/>
        <v>0.33491051106253611</v>
      </c>
      <c r="J39" s="92">
        <f t="shared" si="2"/>
        <v>1.5126387547268108</v>
      </c>
      <c r="K39" s="93">
        <f t="shared" si="3"/>
        <v>0.45659743510048789</v>
      </c>
      <c r="L39" s="93">
        <f t="shared" si="4"/>
        <v>7.5709442413707017E-3</v>
      </c>
      <c r="M39" s="93">
        <f t="shared" si="5"/>
        <v>0.99242905575862927</v>
      </c>
      <c r="N39" s="93">
        <f t="shared" si="6"/>
        <v>1.979527926534008E-3</v>
      </c>
      <c r="O39" s="40">
        <f t="shared" si="7"/>
        <v>4.5920747250853294E-7</v>
      </c>
      <c r="P39" s="40">
        <f t="shared" si="8"/>
        <v>1.4950224052209856E-5</v>
      </c>
      <c r="Q39" s="40">
        <f t="shared" si="9"/>
        <v>1.3763882185995077E-4</v>
      </c>
      <c r="R39" s="9">
        <f t="shared" si="12"/>
        <v>1.4999999999999999E-4</v>
      </c>
      <c r="S39" s="9">
        <f t="shared" si="13"/>
        <v>1.1356416362056052E-6</v>
      </c>
      <c r="T39" s="9">
        <f t="shared" si="10"/>
        <v>6.8489615265073184E-5</v>
      </c>
      <c r="U39" s="9">
        <f t="shared" si="11"/>
        <v>1.4886435836379439E-4</v>
      </c>
      <c r="V39" s="100">
        <f t="shared" si="14"/>
        <v>0.46008068027740001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8"/>
      <c r="B40" s="46" t="s">
        <v>173</v>
      </c>
      <c r="C40" s="46" t="s">
        <v>174</v>
      </c>
      <c r="D40" s="47">
        <v>2.349974877229557</v>
      </c>
      <c r="E40" s="47">
        <v>2.8654572197209189</v>
      </c>
      <c r="F40" s="96">
        <v>9.9999999999999995E-7</v>
      </c>
      <c r="G40" s="168"/>
      <c r="H40" s="168"/>
      <c r="I40" s="92">
        <f t="shared" si="1"/>
        <v>0.37071855582347524</v>
      </c>
      <c r="J40" s="92">
        <f t="shared" si="2"/>
        <v>1.6564783243480041</v>
      </c>
      <c r="K40" s="93">
        <f t="shared" si="3"/>
        <v>0.41956359665154824</v>
      </c>
      <c r="L40" s="93">
        <f t="shared" si="4"/>
        <v>9.6884421284917227E-3</v>
      </c>
      <c r="M40" s="93">
        <f t="shared" si="5"/>
        <v>0.99031155787150826</v>
      </c>
      <c r="N40" s="93">
        <f t="shared" si="6"/>
        <v>4.4519592952203908E-3</v>
      </c>
      <c r="O40" s="40">
        <f t="shared" si="7"/>
        <v>4.2196193838133359E-7</v>
      </c>
      <c r="P40" s="40">
        <f t="shared" si="8"/>
        <v>1.9131613695730573E-5</v>
      </c>
      <c r="Q40" s="40">
        <f t="shared" si="9"/>
        <v>3.0954977909075946E-4</v>
      </c>
      <c r="R40" s="9">
        <f t="shared" si="12"/>
        <v>1.4999999999999999E-4</v>
      </c>
      <c r="S40" s="9">
        <f t="shared" si="13"/>
        <v>1.4532663192737583E-6</v>
      </c>
      <c r="T40" s="9">
        <f t="shared" si="10"/>
        <v>6.2934539497732232E-5</v>
      </c>
      <c r="U40" s="9">
        <f t="shared" si="11"/>
        <v>1.4854673368072622E-4</v>
      </c>
      <c r="V40" s="100">
        <f t="shared" si="14"/>
        <v>0.42366828228615516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8"/>
      <c r="B41" s="94" t="s">
        <v>175</v>
      </c>
      <c r="C41" s="94" t="s">
        <v>176</v>
      </c>
      <c r="D41" s="95">
        <v>1.4854320000000003</v>
      </c>
      <c r="E41" s="95">
        <v>1.5057189999999996</v>
      </c>
      <c r="F41" s="96">
        <v>9.9999999999999995E-7</v>
      </c>
      <c r="G41" s="168"/>
      <c r="H41" s="168"/>
      <c r="I41" s="92">
        <f t="shared" si="1"/>
        <v>6.2122287627494992E-2</v>
      </c>
      <c r="J41" s="92">
        <f t="shared" si="2"/>
        <v>0.69942132779385657</v>
      </c>
      <c r="K41" s="93">
        <f t="shared" si="3"/>
        <v>0.86033720118006529</v>
      </c>
      <c r="L41" s="93">
        <f t="shared" si="4"/>
        <v>2.1931475727636519E-3</v>
      </c>
      <c r="M41" s="93">
        <f t="shared" si="5"/>
        <v>0.99780685242723632</v>
      </c>
      <c r="N41" s="93">
        <f t="shared" si="6"/>
        <v>3.9873454930281703E-4</v>
      </c>
      <c r="O41" s="40">
        <f t="shared" si="7"/>
        <v>8.6525512691943897E-7</v>
      </c>
      <c r="P41" s="40">
        <f t="shared" si="8"/>
        <v>4.3307738832904962E-6</v>
      </c>
      <c r="Q41" s="40">
        <f t="shared" si="9"/>
        <v>2.7724465447168994E-5</v>
      </c>
      <c r="R41" s="9">
        <f t="shared" si="12"/>
        <v>1.4999999999999999E-4</v>
      </c>
      <c r="S41" s="9">
        <f t="shared" si="13"/>
        <v>3.2897213591454775E-7</v>
      </c>
      <c r="T41" s="9">
        <f t="shared" si="10"/>
        <v>1.2905058017700978E-4</v>
      </c>
      <c r="U41" s="9">
        <f t="shared" si="11"/>
        <v>1.4967102786408543E-4</v>
      </c>
      <c r="V41" s="100">
        <f t="shared" si="14"/>
        <v>0.86222819485277502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89"/>
      <c r="B42" s="46" t="s">
        <v>177</v>
      </c>
      <c r="C42" s="46" t="s">
        <v>178</v>
      </c>
      <c r="D42" s="90">
        <v>2.0758240000000003</v>
      </c>
      <c r="E42" s="90">
        <v>2.477398</v>
      </c>
      <c r="F42" s="96">
        <v>9.9999999999999995E-7</v>
      </c>
      <c r="G42" s="168"/>
      <c r="H42" s="168"/>
      <c r="I42" s="92">
        <f t="shared" si="1"/>
        <v>0.22542744412672311</v>
      </c>
      <c r="J42" s="92">
        <f t="shared" si="2"/>
        <v>1.3417480066989405</v>
      </c>
      <c r="K42" s="93">
        <f t="shared" si="3"/>
        <v>0.58809879896811112</v>
      </c>
      <c r="L42" s="93">
        <f t="shared" si="4"/>
        <v>6.5792459923218584E-3</v>
      </c>
      <c r="M42" s="93">
        <f t="shared" si="5"/>
        <v>0.99342075400767815</v>
      </c>
      <c r="N42" s="93">
        <f t="shared" si="6"/>
        <v>2.5535505405261372E-3</v>
      </c>
      <c r="O42" s="40">
        <f t="shared" si="7"/>
        <v>5.9146053459545935E-7</v>
      </c>
      <c r="P42" s="40">
        <f t="shared" si="8"/>
        <v>1.2991933178206515E-5</v>
      </c>
      <c r="Q42" s="40">
        <f t="shared" si="9"/>
        <v>1.7755126525203875E-4</v>
      </c>
      <c r="R42" s="9">
        <f t="shared" si="12"/>
        <v>1.4999999999999999E-4</v>
      </c>
      <c r="S42" s="9">
        <f t="shared" si="13"/>
        <v>9.8688689884827866E-7</v>
      </c>
      <c r="T42" s="9">
        <f t="shared" si="10"/>
        <v>8.8214819845216664E-5</v>
      </c>
      <c r="U42" s="9">
        <f t="shared" si="11"/>
        <v>1.4901311310115171E-4</v>
      </c>
      <c r="V42" s="100">
        <f t="shared" si="14"/>
        <v>0.59199367095522315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89"/>
      <c r="B43" s="46" t="s">
        <v>179</v>
      </c>
      <c r="C43" s="46" t="s">
        <v>180</v>
      </c>
      <c r="D43" s="90">
        <v>2.3078000000000003</v>
      </c>
      <c r="E43" s="90">
        <v>2.5099249999999995</v>
      </c>
      <c r="F43" s="96">
        <v>9.9999999999999995E-7</v>
      </c>
      <c r="G43" s="168"/>
      <c r="H43" s="168"/>
      <c r="I43" s="92">
        <f t="shared" si="1"/>
        <v>0.32073739190116707</v>
      </c>
      <c r="J43" s="92">
        <f t="shared" si="2"/>
        <v>1.4983971526308137</v>
      </c>
      <c r="K43" s="93">
        <f t="shared" si="3"/>
        <v>0.47174478204793202</v>
      </c>
      <c r="L43" s="93">
        <f t="shared" si="4"/>
        <v>7.5697595264802228E-3</v>
      </c>
      <c r="M43" s="93">
        <f t="shared" si="5"/>
        <v>0.9924302404735198</v>
      </c>
      <c r="N43" s="93">
        <f t="shared" si="6"/>
        <v>2.2076400824324765E-3</v>
      </c>
      <c r="O43" s="40">
        <f t="shared" si="7"/>
        <v>4.7444140588666246E-7</v>
      </c>
      <c r="P43" s="40">
        <f t="shared" si="8"/>
        <v>1.4947884614421665E-5</v>
      </c>
      <c r="Q43" s="40">
        <f t="shared" si="9"/>
        <v>1.5349971877832481E-4</v>
      </c>
      <c r="R43" s="9">
        <f t="shared" si="12"/>
        <v>1.4999999999999999E-4</v>
      </c>
      <c r="S43" s="9">
        <f t="shared" si="13"/>
        <v>1.1354639289720334E-6</v>
      </c>
      <c r="T43" s="9">
        <f t="shared" si="10"/>
        <v>7.0761717307189797E-5</v>
      </c>
      <c r="U43" s="9">
        <f t="shared" si="11"/>
        <v>1.4886453607102794E-4</v>
      </c>
      <c r="V43" s="100">
        <f t="shared" si="14"/>
        <v>0.47534301435922355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89"/>
      <c r="B44" s="46" t="s">
        <v>181</v>
      </c>
      <c r="C44" s="46" t="s">
        <v>182</v>
      </c>
      <c r="D44" s="90">
        <v>5.676184000000001</v>
      </c>
      <c r="E44" s="90">
        <v>7.0708080000000004</v>
      </c>
      <c r="F44" s="96">
        <v>9.9999999999999995E-7</v>
      </c>
      <c r="G44" s="168"/>
      <c r="H44" s="168"/>
      <c r="I44" s="92">
        <f t="shared" si="1"/>
        <v>3.8293839195374848</v>
      </c>
      <c r="J44" s="92">
        <f t="shared" si="2"/>
        <v>5.5847769574151425</v>
      </c>
      <c r="K44" s="93">
        <f t="shared" si="3"/>
        <v>1.4322188325863037E-4</v>
      </c>
      <c r="L44" s="93">
        <f t="shared" si="4"/>
        <v>2.8039106029365102E-2</v>
      </c>
      <c r="M44" s="93">
        <f t="shared" si="5"/>
        <v>0.9719608939706349</v>
      </c>
      <c r="N44" s="93">
        <f t="shared" si="6"/>
        <v>2.4384482631051772E-2</v>
      </c>
      <c r="O44" s="40">
        <f t="shared" si="7"/>
        <v>1.4404057921313878E-10</v>
      </c>
      <c r="P44" s="40">
        <f t="shared" si="8"/>
        <v>5.5368379953460509E-5</v>
      </c>
      <c r="Q44" s="40">
        <f t="shared" si="9"/>
        <v>1.6954807335701097E-3</v>
      </c>
      <c r="R44" s="9">
        <f t="shared" si="12"/>
        <v>1.4999999999999999E-4</v>
      </c>
      <c r="S44" s="9">
        <f t="shared" si="13"/>
        <v>4.2058659044047647E-6</v>
      </c>
      <c r="T44" s="9">
        <f t="shared" si="10"/>
        <v>2.1483282488794555E-8</v>
      </c>
      <c r="U44" s="9">
        <f t="shared" si="11"/>
        <v>1.4579413409559523E-4</v>
      </c>
      <c r="V44" s="100">
        <f t="shared" si="14"/>
        <v>1.4735354492868868E-4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89"/>
      <c r="B45" s="46" t="s">
        <v>183</v>
      </c>
      <c r="C45" s="46" t="s">
        <v>184</v>
      </c>
      <c r="D45" s="90">
        <v>1.2599279999999999</v>
      </c>
      <c r="E45" s="90">
        <v>1.3925860000000003</v>
      </c>
      <c r="F45" s="96">
        <v>9.9999999999999995E-7</v>
      </c>
      <c r="G45" s="168"/>
      <c r="H45" s="168"/>
      <c r="I45" s="92">
        <f t="shared" si="1"/>
        <v>3.8037572032670899E-2</v>
      </c>
      <c r="J45" s="92">
        <f t="shared" si="2"/>
        <v>0.54264947929167429</v>
      </c>
      <c r="K45" s="93">
        <f t="shared" si="3"/>
        <v>0.90992215674172428</v>
      </c>
      <c r="L45" s="93">
        <f t="shared" si="4"/>
        <v>1.6167078423749018E-3</v>
      </c>
      <c r="M45" s="93">
        <f t="shared" si="5"/>
        <v>0.99838329215762511</v>
      </c>
      <c r="N45" s="93">
        <f t="shared" si="6"/>
        <v>3.2500227854360644E-4</v>
      </c>
      <c r="O45" s="40">
        <f t="shared" si="7"/>
        <v>9.1512352382120037E-7</v>
      </c>
      <c r="P45" s="40">
        <f t="shared" si="8"/>
        <v>3.1924874493717861E-6</v>
      </c>
      <c r="Q45" s="40">
        <f t="shared" si="9"/>
        <v>2.2597777036096305E-5</v>
      </c>
      <c r="R45" s="9">
        <f t="shared" si="12"/>
        <v>1.4999999999999999E-4</v>
      </c>
      <c r="S45" s="9">
        <f t="shared" si="13"/>
        <v>2.4250617635623523E-7</v>
      </c>
      <c r="T45" s="9">
        <f t="shared" si="10"/>
        <v>1.3648832351125862E-4</v>
      </c>
      <c r="U45" s="9">
        <f t="shared" si="11"/>
        <v>1.4975749382364374E-4</v>
      </c>
      <c r="V45" s="100">
        <f t="shared" si="14"/>
        <v>0.91139561718353101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8"/>
      <c r="B46" s="46" t="s">
        <v>185</v>
      </c>
      <c r="C46" s="46" t="s">
        <v>186</v>
      </c>
      <c r="D46" s="91">
        <v>1.2889359999999999</v>
      </c>
      <c r="E46" s="91">
        <v>1.371977</v>
      </c>
      <c r="F46" s="96">
        <v>9.9999999999999995E-7</v>
      </c>
      <c r="G46" s="168"/>
      <c r="H46" s="168"/>
      <c r="I46" s="92">
        <f t="shared" si="1"/>
        <v>4.0258976380178252E-2</v>
      </c>
      <c r="J46" s="92">
        <f t="shared" si="2"/>
        <v>0.55494878574960893</v>
      </c>
      <c r="K46" s="93">
        <f t="shared" si="3"/>
        <v>0.90524545439314597</v>
      </c>
      <c r="L46" s="93">
        <f t="shared" si="4"/>
        <v>1.6545997862882449E-3</v>
      </c>
      <c r="M46" s="93">
        <f t="shared" si="5"/>
        <v>0.99834540021371176</v>
      </c>
      <c r="N46" s="93">
        <f t="shared" si="6"/>
        <v>3.083468514634459E-4</v>
      </c>
      <c r="O46" s="40">
        <f t="shared" si="7"/>
        <v>9.1042008814663784E-7</v>
      </c>
      <c r="P46" s="40">
        <f t="shared" si="8"/>
        <v>3.2673120727236133E-6</v>
      </c>
      <c r="Q46" s="40">
        <f t="shared" si="9"/>
        <v>2.1439706301069354E-5</v>
      </c>
      <c r="R46" s="9">
        <f t="shared" si="12"/>
        <v>1.4999999999999999E-4</v>
      </c>
      <c r="S46" s="9">
        <f t="shared" si="13"/>
        <v>2.4818996794323671E-7</v>
      </c>
      <c r="T46" s="9">
        <f t="shared" si="10"/>
        <v>1.3578681815897188E-4</v>
      </c>
      <c r="U46" s="9">
        <f t="shared" si="11"/>
        <v>1.4975181003205675E-4</v>
      </c>
      <c r="V46" s="100">
        <f t="shared" si="14"/>
        <v>0.90674575572678928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8"/>
      <c r="B47" s="46" t="s">
        <v>187</v>
      </c>
      <c r="C47" s="46" t="s">
        <v>188</v>
      </c>
      <c r="D47" s="90">
        <v>2.5448008164668257</v>
      </c>
      <c r="E47" s="90">
        <v>3.1426039783542175</v>
      </c>
      <c r="F47" s="96">
        <v>9.9999999999999995E-7</v>
      </c>
      <c r="G47" s="168"/>
      <c r="H47" s="168"/>
      <c r="I47" s="92">
        <f t="shared" si="1"/>
        <v>0.50587648659747519</v>
      </c>
      <c r="J47" s="92">
        <f t="shared" si="2"/>
        <v>1.8883316635103937</v>
      </c>
      <c r="K47" s="93">
        <f t="shared" si="3"/>
        <v>0.30661388897641678</v>
      </c>
      <c r="L47" s="93">
        <f t="shared" si="4"/>
        <v>1.2075394071741029E-2</v>
      </c>
      <c r="M47" s="93">
        <f t="shared" si="5"/>
        <v>0.98792460592825893</v>
      </c>
      <c r="N47" s="93">
        <f t="shared" si="6"/>
        <v>6.1587413800378394E-3</v>
      </c>
      <c r="O47" s="40">
        <f t="shared" si="7"/>
        <v>3.083665788921595E-7</v>
      </c>
      <c r="P47" s="40">
        <f t="shared" si="8"/>
        <v>2.3845090009350084E-5</v>
      </c>
      <c r="Q47" s="40">
        <f t="shared" si="9"/>
        <v>4.2822427323506234E-4</v>
      </c>
      <c r="R47" s="9">
        <f t="shared" si="12"/>
        <v>1.4999999999999999E-4</v>
      </c>
      <c r="S47" s="9">
        <f t="shared" si="13"/>
        <v>1.8113091107611543E-6</v>
      </c>
      <c r="T47" s="9">
        <f t="shared" si="10"/>
        <v>4.5992083346462513E-5</v>
      </c>
      <c r="U47" s="9">
        <f t="shared" si="11"/>
        <v>1.4818869088923883E-4</v>
      </c>
      <c r="V47" s="100">
        <f t="shared" si="14"/>
        <v>0.31036162793852151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8"/>
      <c r="B48" s="46" t="s">
        <v>101</v>
      </c>
      <c r="C48" s="46" t="s">
        <v>102</v>
      </c>
      <c r="D48" s="90">
        <v>0.29376000000000013</v>
      </c>
      <c r="E48" s="90">
        <v>0.18140000000000034</v>
      </c>
      <c r="F48" s="96">
        <v>9.9999999999999995E-7</v>
      </c>
      <c r="G48" s="168"/>
      <c r="H48" s="168"/>
      <c r="I48" s="92">
        <f t="shared" ref="I48:I50" si="15">IF(D48=0,"",LOG($K$15*10^D48+$K$16*10^E48+$K$14))</f>
        <v>2.0958974367173925E-3</v>
      </c>
      <c r="J48" s="92">
        <f t="shared" ref="J48:J50" si="16">IF(D48=0,"",LOG($K$21*10^D48+$K$22*10^E48+$K$20))</f>
        <v>4.7982372015380817E-2</v>
      </c>
      <c r="K48" s="93">
        <f t="shared" ref="K48:K50" si="17">IF(D48=0,"",1/(1+10^D48*$J$15/$J$14+10^E48*$J$16/$J$14+10^J48*$J$19/$J$14))</f>
        <v>0.98947338018224884</v>
      </c>
      <c r="L48" s="93">
        <f t="shared" ref="L48:L50" si="18">IF(D48=0,"",1/(1+10^I48/10^J48*$J$13/$J$19))</f>
        <v>5.6281324879393674E-4</v>
      </c>
      <c r="M48" s="93">
        <f t="shared" ref="M48:M92" si="19">IF(D48=0,"",1-L48)</f>
        <v>0.99943718675120607</v>
      </c>
      <c r="N48" s="93">
        <f t="shared" ref="N48:N50" si="20">IF(D48=0,"",1/(1/10^E48*$J$20/$J$22+10^D48/10^E48*$J$21/$J$22+10^I48/10^E48*$J$13/$J$22+1))</f>
        <v>2.1732029222067086E-5</v>
      </c>
      <c r="O48" s="40">
        <f t="shared" ref="O48:O92" si="21">IF(D48=0,"",F48*K48*$J$7/$J$14)</f>
        <v>9.9512948408912293E-7</v>
      </c>
      <c r="P48" s="40">
        <f t="shared" ref="P48:P50" si="22">IF(D48=0,"",O48*10^J48)</f>
        <v>1.111378435868406E-6</v>
      </c>
      <c r="Q48" s="40">
        <f t="shared" ref="Q48:Q50" si="23">IF(D48=0,"",F48*N48*$J$7/$J$22)</f>
        <v>1.5110526397011394E-6</v>
      </c>
      <c r="R48" s="9">
        <f t="shared" si="12"/>
        <v>1.4999999999999999E-4</v>
      </c>
      <c r="S48" s="9">
        <f t="shared" si="13"/>
        <v>8.4421987319090499E-8</v>
      </c>
      <c r="T48" s="9">
        <f t="shared" si="10"/>
        <v>1.4842100702733732E-4</v>
      </c>
      <c r="U48" s="9">
        <f t="shared" si="11"/>
        <v>1.4991557801268091E-4</v>
      </c>
      <c r="V48" s="100">
        <f t="shared" si="14"/>
        <v>0.99003058251079712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8"/>
      <c r="B49" s="46" t="s">
        <v>189</v>
      </c>
      <c r="C49" s="46" t="s">
        <v>190</v>
      </c>
      <c r="D49" s="90">
        <v>1.6175039999999998</v>
      </c>
      <c r="E49" s="90">
        <v>1.8999029999999997</v>
      </c>
      <c r="F49" s="96">
        <v>9.9999999999999995E-7</v>
      </c>
      <c r="G49" s="168"/>
      <c r="H49" s="168"/>
      <c r="I49" s="92">
        <f t="shared" si="15"/>
        <v>8.7763082204907472E-2</v>
      </c>
      <c r="J49" s="92">
        <f t="shared" si="16"/>
        <v>0.8749628948462248</v>
      </c>
      <c r="K49" s="93">
        <f t="shared" si="17"/>
        <v>0.81028063923022775</v>
      </c>
      <c r="L49" s="93">
        <f t="shared" si="18"/>
        <v>3.0943980755437188E-3</v>
      </c>
      <c r="M49" s="93">
        <f t="shared" si="19"/>
        <v>0.99690560192445632</v>
      </c>
      <c r="N49" s="93">
        <f t="shared" si="20"/>
        <v>9.3075339176528675E-4</v>
      </c>
      <c r="O49" s="40">
        <f t="shared" si="21"/>
        <v>8.1491242779675815E-7</v>
      </c>
      <c r="P49" s="40">
        <f t="shared" si="22"/>
        <v>6.1104590208591991E-6</v>
      </c>
      <c r="Q49" s="40">
        <f t="shared" si="23"/>
        <v>6.4716338965236815E-5</v>
      </c>
      <c r="R49" s="9">
        <f t="shared" si="12"/>
        <v>1.4999999999999999E-4</v>
      </c>
      <c r="S49" s="9">
        <f t="shared" si="13"/>
        <v>4.6415971133155777E-7</v>
      </c>
      <c r="T49" s="9">
        <f t="shared" si="10"/>
        <v>1.2154209588453415E-4</v>
      </c>
      <c r="U49" s="9">
        <f t="shared" si="11"/>
        <v>1.4953584028866844E-4</v>
      </c>
      <c r="V49" s="100">
        <f t="shared" si="14"/>
        <v>0.81279575284363714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8"/>
      <c r="B50" s="46" t="s">
        <v>191</v>
      </c>
      <c r="C50" s="46" t="s">
        <v>192</v>
      </c>
      <c r="D50" s="90">
        <v>2.5898400000000001</v>
      </c>
      <c r="E50" s="90">
        <v>2.96393</v>
      </c>
      <c r="F50" s="96">
        <v>9.9999999999999995E-7</v>
      </c>
      <c r="G50" s="168"/>
      <c r="H50" s="168"/>
      <c r="I50" s="92">
        <f t="shared" si="15"/>
        <v>0.50667591684415281</v>
      </c>
      <c r="J50" s="92">
        <f t="shared" si="16"/>
        <v>1.8329595102905285</v>
      </c>
      <c r="K50" s="93">
        <f t="shared" si="17"/>
        <v>0.30649904117381266</v>
      </c>
      <c r="L50" s="93">
        <f t="shared" si="18"/>
        <v>1.0625917897585145E-2</v>
      </c>
      <c r="M50" s="93">
        <f t="shared" si="19"/>
        <v>0.98937408210241484</v>
      </c>
      <c r="N50" s="93">
        <f t="shared" si="20"/>
        <v>4.079954179532351E-3</v>
      </c>
      <c r="O50" s="40">
        <f t="shared" si="21"/>
        <v>3.0825107458770497E-7</v>
      </c>
      <c r="P50" s="40">
        <f t="shared" si="22"/>
        <v>2.0982832294710375E-5</v>
      </c>
      <c r="Q50" s="40">
        <f t="shared" si="23"/>
        <v>2.8368384147864015E-4</v>
      </c>
      <c r="R50" s="9">
        <f t="shared" si="12"/>
        <v>1.4999999999999999E-4</v>
      </c>
      <c r="S50" s="9">
        <f t="shared" si="13"/>
        <v>1.5938876846377717E-6</v>
      </c>
      <c r="T50" s="9">
        <f t="shared" si="10"/>
        <v>4.5974856176071897E-5</v>
      </c>
      <c r="U50" s="9">
        <f t="shared" si="11"/>
        <v>1.4840611231536221E-4</v>
      </c>
      <c r="V50" s="100">
        <f t="shared" si="14"/>
        <v>0.30979085334689965</v>
      </c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8"/>
      <c r="B51" s="46" t="s">
        <v>193</v>
      </c>
      <c r="C51" s="46" t="s">
        <v>194</v>
      </c>
      <c r="D51" s="90">
        <v>5.0487680000000008</v>
      </c>
      <c r="E51" s="90">
        <v>6.0352960000000007</v>
      </c>
      <c r="F51" s="96">
        <v>9.9999999999999995E-7</v>
      </c>
      <c r="G51" s="168"/>
      <c r="H51" s="168"/>
      <c r="I51" s="92">
        <f t="shared" ref="I51:I70" si="24">IF(D51=0,"",LOG($K$15*10^D51+$K$16*10^E51+$K$14))</f>
        <v>2.9778200964006376</v>
      </c>
      <c r="J51" s="92">
        <f t="shared" ref="J51:J70" si="25">IF(D51=0,"",LOG($K$21*10^D51+$K$22*10^E51+$K$20))</f>
        <v>4.6296168009876641</v>
      </c>
      <c r="K51" s="93">
        <f t="shared" ref="K51:K70" si="26">IF(D51=0,"",1/(1+10^D51*$J$15/$J$14+10^E51*$J$16/$J$14+10^J51*$J$19/$J$14))</f>
        <v>1.0236823200115862E-3</v>
      </c>
      <c r="L51" s="93">
        <f t="shared" ref="L51:L70" si="27">IF(D51=0,"",1/(1+10^I51/10^J51*$J$13/$J$19))</f>
        <v>2.222080709078143E-2</v>
      </c>
      <c r="M51" s="93">
        <f t="shared" ref="M51:M70" si="28">IF(D51=0,"",1-L51)</f>
        <v>0.97777919290921855</v>
      </c>
      <c r="N51" s="93">
        <f t="shared" ref="N51:N70" si="29">IF(D51=0,"",1/(1/10^E51*$J$20/$J$22+10^D51/10^E51*$J$21/$J$22+10^I51/10^E51*$J$13/$J$22+1))</f>
        <v>1.6060437369754904E-2</v>
      </c>
      <c r="O51" s="40">
        <f t="shared" ref="O51:O70" si="30">IF(D51=0,"",F51*K51*$J$7/$J$14)</f>
        <v>1.0295339716937656E-9</v>
      </c>
      <c r="P51" s="40">
        <f t="shared" ref="P51:P70" si="31">IF(D51=0,"",O51*10^J51)</f>
        <v>4.3879076907317277E-5</v>
      </c>
      <c r="Q51" s="40">
        <f t="shared" ref="Q51:Q70" si="32">IF(D51=0,"",F51*N51*$J$7/$J$22)</f>
        <v>1.1167004256409081E-3</v>
      </c>
      <c r="R51" s="9">
        <f t="shared" si="12"/>
        <v>1.4999999999999999E-4</v>
      </c>
      <c r="S51" s="9">
        <f t="shared" si="13"/>
        <v>3.333121063617214E-6</v>
      </c>
      <c r="T51" s="9">
        <f t="shared" si="10"/>
        <v>1.5355234800173792E-7</v>
      </c>
      <c r="U51" s="9">
        <f t="shared" si="11"/>
        <v>1.4666687893638276E-4</v>
      </c>
      <c r="V51" s="100">
        <f t="shared" si="14"/>
        <v>1.0469463120459646E-3</v>
      </c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195</v>
      </c>
      <c r="C52" s="46" t="s">
        <v>196</v>
      </c>
      <c r="D52" s="47">
        <v>2.7330160000000001</v>
      </c>
      <c r="E52" s="47">
        <v>3.3310319999999995</v>
      </c>
      <c r="F52" s="96">
        <v>9.9999999999999995E-7</v>
      </c>
      <c r="G52" s="168"/>
      <c r="H52" s="168"/>
      <c r="I52" s="92">
        <f t="shared" si="24"/>
        <v>0.64393554165863076</v>
      </c>
      <c r="J52" s="92">
        <f t="shared" si="25"/>
        <v>2.0749419502288911</v>
      </c>
      <c r="K52" s="93">
        <f t="shared" si="26"/>
        <v>0.22279883157179931</v>
      </c>
      <c r="L52" s="93">
        <f t="shared" si="27"/>
        <v>1.3484432839573471E-2</v>
      </c>
      <c r="M52" s="93">
        <f t="shared" si="28"/>
        <v>0.98651556716042654</v>
      </c>
      <c r="N52" s="93">
        <f t="shared" si="29"/>
        <v>6.9062305839346109E-3</v>
      </c>
      <c r="O52" s="40">
        <f t="shared" si="30"/>
        <v>2.2407241140420272E-7</v>
      </c>
      <c r="P52" s="40">
        <f t="shared" si="31"/>
        <v>2.6627496616208264E-5</v>
      </c>
      <c r="Q52" s="40">
        <f t="shared" si="32"/>
        <v>4.8019804536442287E-4</v>
      </c>
      <c r="R52" s="9">
        <f t="shared" si="12"/>
        <v>1.4999999999999999E-4</v>
      </c>
      <c r="S52" s="9">
        <f t="shared" si="13"/>
        <v>2.0226649259360204E-6</v>
      </c>
      <c r="T52" s="9">
        <f t="shared" si="10"/>
        <v>3.3419824735769891E-5</v>
      </c>
      <c r="U52" s="9">
        <f t="shared" si="11"/>
        <v>1.4797733507406396E-4</v>
      </c>
      <c r="V52" s="100">
        <f t="shared" si="14"/>
        <v>0.22584421269002428</v>
      </c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197</v>
      </c>
      <c r="C53" s="46" t="s">
        <v>198</v>
      </c>
      <c r="D53" s="47">
        <v>3.4406639999999999</v>
      </c>
      <c r="E53" s="47">
        <v>4.222847999999999</v>
      </c>
      <c r="F53" s="96">
        <v>9.9999999999999995E-7</v>
      </c>
      <c r="G53" s="168"/>
      <c r="H53" s="168"/>
      <c r="I53" s="92">
        <f t="shared" si="24"/>
        <v>1.3135143326183101</v>
      </c>
      <c r="J53" s="92">
        <f t="shared" si="25"/>
        <v>2.8845581821937589</v>
      </c>
      <c r="K53" s="93">
        <f t="shared" si="26"/>
        <v>4.7436376368963022E-2</v>
      </c>
      <c r="L53" s="93">
        <f t="shared" si="27"/>
        <v>1.852027852832204E-2</v>
      </c>
      <c r="M53" s="93">
        <f t="shared" si="28"/>
        <v>0.98147972147167795</v>
      </c>
      <c r="N53" s="93">
        <f t="shared" si="29"/>
        <v>1.1461875100103611E-2</v>
      </c>
      <c r="O53" s="40">
        <f t="shared" si="30"/>
        <v>4.7707535835283389E-8</v>
      </c>
      <c r="P53" s="40">
        <f t="shared" si="31"/>
        <v>3.6571701584427096E-5</v>
      </c>
      <c r="Q53" s="40">
        <f t="shared" si="32"/>
        <v>7.9695717546476516E-4</v>
      </c>
      <c r="R53" s="9">
        <f t="shared" si="12"/>
        <v>1.4999999999999999E-4</v>
      </c>
      <c r="S53" s="9">
        <f t="shared" si="13"/>
        <v>2.778041779248306E-6</v>
      </c>
      <c r="T53" s="9">
        <f t="shared" si="10"/>
        <v>7.1154564553444527E-6</v>
      </c>
      <c r="U53" s="9">
        <f t="shared" si="11"/>
        <v>1.4722195822075167E-4</v>
      </c>
      <c r="V53" s="100">
        <f t="shared" si="14"/>
        <v>4.8331489007062349E-2</v>
      </c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199</v>
      </c>
      <c r="C54" s="46" t="s">
        <v>200</v>
      </c>
      <c r="D54" s="47">
        <v>2.8976480000000002</v>
      </c>
      <c r="E54" s="47">
        <v>3.5312959999999993</v>
      </c>
      <c r="F54" s="96">
        <v>9.9999999999999995E-7</v>
      </c>
      <c r="G54" s="168"/>
      <c r="H54" s="168"/>
      <c r="I54" s="92">
        <f t="shared" si="24"/>
        <v>0.78379345695532832</v>
      </c>
      <c r="J54" s="92">
        <f t="shared" si="25"/>
        <v>2.2572305062802869</v>
      </c>
      <c r="K54" s="93">
        <f t="shared" si="26"/>
        <v>0.16123316282438932</v>
      </c>
      <c r="L54" s="93">
        <f t="shared" si="27"/>
        <v>1.4847820380658084E-2</v>
      </c>
      <c r="M54" s="93">
        <f t="shared" si="28"/>
        <v>0.98515217961934187</v>
      </c>
      <c r="N54" s="93">
        <f t="shared" si="29"/>
        <v>7.925862592224683E-3</v>
      </c>
      <c r="O54" s="40">
        <f t="shared" si="30"/>
        <v>1.6215481624168561E-7</v>
      </c>
      <c r="P54" s="40">
        <f t="shared" si="31"/>
        <v>2.9319756466416358E-5</v>
      </c>
      <c r="Q54" s="40">
        <f t="shared" si="32"/>
        <v>5.5109421534039625E-4</v>
      </c>
      <c r="R54" s="9">
        <f t="shared" si="12"/>
        <v>1.4999999999999999E-4</v>
      </c>
      <c r="S54" s="9">
        <f t="shared" si="13"/>
        <v>2.2271730570987124E-6</v>
      </c>
      <c r="T54" s="9">
        <f t="shared" si="10"/>
        <v>2.4184974423658394E-5</v>
      </c>
      <c r="U54" s="9">
        <f t="shared" si="11"/>
        <v>1.4777282694290126E-4</v>
      </c>
      <c r="V54" s="100">
        <f t="shared" si="14"/>
        <v>0.16366320469055762</v>
      </c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103</v>
      </c>
      <c r="C55" s="46" t="s">
        <v>104</v>
      </c>
      <c r="D55" s="47">
        <v>1.423632</v>
      </c>
      <c r="E55" s="47">
        <v>1.638849</v>
      </c>
      <c r="F55" s="96">
        <v>9.9999999999999995E-7</v>
      </c>
      <c r="G55" s="168"/>
      <c r="H55" s="168"/>
      <c r="I55" s="54">
        <f t="shared" si="24"/>
        <v>5.6400487609719711E-2</v>
      </c>
      <c r="J55" s="54">
        <f t="shared" si="25"/>
        <v>0.69048960682204896</v>
      </c>
      <c r="K55" s="55">
        <f t="shared" si="26"/>
        <v>0.87176116095260181</v>
      </c>
      <c r="L55" s="55">
        <f t="shared" si="27"/>
        <v>2.177032680508487E-3</v>
      </c>
      <c r="M55" s="55">
        <f t="shared" si="28"/>
        <v>0.99782296731949149</v>
      </c>
      <c r="N55" s="55">
        <f t="shared" si="29"/>
        <v>5.4896250405735505E-4</v>
      </c>
      <c r="O55" s="56">
        <f t="shared" si="30"/>
        <v>8.7674438921026003E-7</v>
      </c>
      <c r="P55" s="56">
        <f t="shared" si="31"/>
        <v>4.2989520599998899E-6</v>
      </c>
      <c r="Q55" s="56">
        <f t="shared" si="32"/>
        <v>3.8169985525811526E-5</v>
      </c>
      <c r="R55" s="9">
        <f t="shared" si="12"/>
        <v>1.4999999999999999E-4</v>
      </c>
      <c r="S55" s="9">
        <f t="shared" si="13"/>
        <v>3.26554902076273E-7</v>
      </c>
      <c r="T55" s="9">
        <f t="shared" si="10"/>
        <v>1.3076417414289025E-4</v>
      </c>
      <c r="U55" s="9">
        <f t="shared" si="11"/>
        <v>1.496734450979237E-4</v>
      </c>
      <c r="V55" s="100">
        <f t="shared" si="14"/>
        <v>0.8736631541910318</v>
      </c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201</v>
      </c>
      <c r="C56" s="46" t="s">
        <v>202</v>
      </c>
      <c r="D56" s="47">
        <v>2.6912000000000003</v>
      </c>
      <c r="E56" s="47">
        <v>3.3249699999999995</v>
      </c>
      <c r="F56" s="96">
        <v>9.9999999999999995E-7</v>
      </c>
      <c r="G56" s="168"/>
      <c r="H56" s="168"/>
      <c r="I56" s="54">
        <f t="shared" si="24"/>
        <v>0.61860589125383414</v>
      </c>
      <c r="J56" s="54">
        <f t="shared" si="25"/>
        <v>2.0521115161299051</v>
      </c>
      <c r="K56" s="55">
        <f t="shared" si="26"/>
        <v>0.23616131749058608</v>
      </c>
      <c r="L56" s="55">
        <f t="shared" si="27"/>
        <v>1.3561199486721996E-2</v>
      </c>
      <c r="M56" s="55">
        <f t="shared" si="28"/>
        <v>0.98643880051327804</v>
      </c>
      <c r="N56" s="55">
        <f t="shared" si="29"/>
        <v>7.2189648709966104E-3</v>
      </c>
      <c r="O56" s="56">
        <f t="shared" si="30"/>
        <v>2.3751128099366176E-7</v>
      </c>
      <c r="P56" s="56">
        <f t="shared" si="31"/>
        <v>2.6779086502227499E-5</v>
      </c>
      <c r="Q56" s="56">
        <f t="shared" si="32"/>
        <v>5.0194281503877271E-4</v>
      </c>
      <c r="R56" s="9">
        <f t="shared" si="12"/>
        <v>1.4999999999999999E-4</v>
      </c>
      <c r="S56" s="9">
        <f t="shared" si="13"/>
        <v>2.0341799230082993E-6</v>
      </c>
      <c r="T56" s="9">
        <f t="shared" si="10"/>
        <v>3.5424197623587909E-5</v>
      </c>
      <c r="U56" s="9">
        <f t="shared" si="11"/>
        <v>1.479658200769917E-4</v>
      </c>
      <c r="V56" s="100">
        <f t="shared" si="14"/>
        <v>0.23940797682299522</v>
      </c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7" t="s">
        <v>105</v>
      </c>
      <c r="C57" s="87" t="s">
        <v>106</v>
      </c>
      <c r="D57" s="90">
        <v>2.1493200000000003</v>
      </c>
      <c r="E57" s="90">
        <v>2.6108399999999996</v>
      </c>
      <c r="F57" s="96">
        <v>9.9999999999999995E-7</v>
      </c>
      <c r="G57" s="168"/>
      <c r="H57" s="168"/>
      <c r="I57" s="54">
        <f t="shared" si="24"/>
        <v>0.26171036693668792</v>
      </c>
      <c r="J57" s="54">
        <f t="shared" si="25"/>
        <v>1.4369741370782525</v>
      </c>
      <c r="K57" s="55">
        <f t="shared" si="26"/>
        <v>0.54044588896491574</v>
      </c>
      <c r="L57" s="55">
        <f t="shared" si="27"/>
        <v>7.5284258998759221E-3</v>
      </c>
      <c r="M57" s="55">
        <f t="shared" si="28"/>
        <v>0.9924715741001241</v>
      </c>
      <c r="N57" s="55">
        <f t="shared" si="29"/>
        <v>3.1907177115617262E-3</v>
      </c>
      <c r="O57" s="56">
        <f t="shared" si="30"/>
        <v>5.4353522735971462E-7</v>
      </c>
      <c r="P57" s="56">
        <f t="shared" si="31"/>
        <v>1.4866263754602356E-5</v>
      </c>
      <c r="Q57" s="56">
        <f t="shared" si="32"/>
        <v>2.2185422131223935E-4</v>
      </c>
      <c r="R57" s="9">
        <f t="shared" si="12"/>
        <v>1.4999999999999999E-4</v>
      </c>
      <c r="S57" s="9">
        <f t="shared" si="13"/>
        <v>1.1292638849813883E-6</v>
      </c>
      <c r="T57" s="9">
        <f t="shared" si="10"/>
        <v>8.1066883344737349E-5</v>
      </c>
      <c r="U57" s="9">
        <f t="shared" si="11"/>
        <v>1.4887073611501861E-4</v>
      </c>
      <c r="V57" s="100">
        <f t="shared" si="14"/>
        <v>0.54454545910288576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144</v>
      </c>
      <c r="C58" s="46" t="s">
        <v>145</v>
      </c>
      <c r="D58" s="47">
        <v>2.0184960000000003</v>
      </c>
      <c r="E58" s="47">
        <v>2.3512620000000002</v>
      </c>
      <c r="F58" s="96">
        <v>9.9999999999999995E-7</v>
      </c>
      <c r="G58" s="168"/>
      <c r="H58" s="168"/>
      <c r="I58" s="54">
        <f t="shared" si="24"/>
        <v>0.19893820408979257</v>
      </c>
      <c r="J58" s="54">
        <f t="shared" si="25"/>
        <v>1.2615464423900991</v>
      </c>
      <c r="K58" s="55">
        <f t="shared" si="26"/>
        <v>0.62556445979655773</v>
      </c>
      <c r="L58" s="55">
        <f t="shared" si="27"/>
        <v>5.8183030095784443E-3</v>
      </c>
      <c r="M58" s="55">
        <f t="shared" si="28"/>
        <v>0.99418169699042158</v>
      </c>
      <c r="N58" s="55">
        <f t="shared" si="29"/>
        <v>2.0315627101454153E-3</v>
      </c>
      <c r="O58" s="56">
        <f t="shared" si="30"/>
        <v>6.2914035951849355E-7</v>
      </c>
      <c r="P58" s="56">
        <f t="shared" si="31"/>
        <v>1.1489311085072293E-5</v>
      </c>
      <c r="Q58" s="56">
        <f t="shared" si="32"/>
        <v>1.4125685938092258E-4</v>
      </c>
      <c r="R58" s="9">
        <f t="shared" si="12"/>
        <v>1.4999999999999999E-4</v>
      </c>
      <c r="S58" s="9">
        <f t="shared" si="13"/>
        <v>8.7274545143676655E-7</v>
      </c>
      <c r="T58" s="9">
        <f t="shared" si="10"/>
        <v>9.3834668969483646E-5</v>
      </c>
      <c r="U58" s="9">
        <f t="shared" si="11"/>
        <v>1.4912725454856323E-4</v>
      </c>
      <c r="V58" s="100">
        <f t="shared" si="14"/>
        <v>0.62922548432571346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146</v>
      </c>
      <c r="C59" s="46" t="s">
        <v>147</v>
      </c>
      <c r="D59" s="47">
        <v>1.4665360000000003</v>
      </c>
      <c r="E59" s="47">
        <v>1.8522119999999997</v>
      </c>
      <c r="F59" s="96">
        <v>9.9999999999999995E-7</v>
      </c>
      <c r="G59" s="168"/>
      <c r="H59" s="168"/>
      <c r="I59" s="54">
        <f t="shared" si="24"/>
        <v>6.5352597387686409E-2</v>
      </c>
      <c r="J59" s="54">
        <f t="shared" si="25"/>
        <v>0.77659593217338263</v>
      </c>
      <c r="K59" s="55">
        <f t="shared" si="26"/>
        <v>0.8536142055655892</v>
      </c>
      <c r="L59" s="55">
        <f t="shared" si="27"/>
        <v>2.5991742239768649E-3</v>
      </c>
      <c r="M59" s="55">
        <f t="shared" si="28"/>
        <v>0.99740082577602318</v>
      </c>
      <c r="N59" s="55">
        <f t="shared" si="29"/>
        <v>8.7855670858322449E-4</v>
      </c>
      <c r="O59" s="56">
        <f t="shared" si="30"/>
        <v>8.5849370079988575E-7</v>
      </c>
      <c r="P59" s="56">
        <f t="shared" si="31"/>
        <v>5.1325483004941055E-6</v>
      </c>
      <c r="Q59" s="56">
        <f t="shared" si="32"/>
        <v>6.1087044383495163E-5</v>
      </c>
      <c r="R59" s="9">
        <f t="shared" si="12"/>
        <v>1.4999999999999999E-4</v>
      </c>
      <c r="S59" s="9">
        <f t="shared" si="13"/>
        <v>3.8987613359652973E-7</v>
      </c>
      <c r="T59" s="9">
        <f t="shared" si="10"/>
        <v>1.2804213083483836E-4</v>
      </c>
      <c r="U59" s="9">
        <f t="shared" si="11"/>
        <v>1.4961012386640346E-4</v>
      </c>
      <c r="V59" s="100">
        <f t="shared" si="14"/>
        <v>0.85583867940097058</v>
      </c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148</v>
      </c>
      <c r="C60" s="46" t="s">
        <v>149</v>
      </c>
      <c r="D60" s="47">
        <v>2.7203999877244023</v>
      </c>
      <c r="E60" s="47">
        <v>3.3923999825375306</v>
      </c>
      <c r="F60" s="96">
        <v>9.9999999999999995E-7</v>
      </c>
      <c r="G60" s="168"/>
      <c r="H60" s="168"/>
      <c r="I60" s="54">
        <f t="shared" si="24"/>
        <v>0.6487673116742505</v>
      </c>
      <c r="J60" s="54">
        <f t="shared" si="25"/>
        <v>2.1018734349714285</v>
      </c>
      <c r="K60" s="55">
        <f t="shared" si="26"/>
        <v>0.22017881597282352</v>
      </c>
      <c r="L60" s="55">
        <f t="shared" si="27"/>
        <v>1.4178385892099106E-2</v>
      </c>
      <c r="M60" s="55">
        <f t="shared" si="28"/>
        <v>0.98582161410790092</v>
      </c>
      <c r="N60" s="55">
        <f t="shared" si="29"/>
        <v>7.8608892915083897E-3</v>
      </c>
      <c r="O60" s="56">
        <f t="shared" si="30"/>
        <v>2.2143741907036756E-7</v>
      </c>
      <c r="P60" s="56">
        <f t="shared" si="31"/>
        <v>2.7997834751877182E-5</v>
      </c>
      <c r="Q60" s="56">
        <f t="shared" si="32"/>
        <v>5.4657654805059894E-4</v>
      </c>
      <c r="R60" s="9">
        <f t="shared" si="12"/>
        <v>1.4999999999999999E-4</v>
      </c>
      <c r="S60" s="9">
        <f t="shared" si="13"/>
        <v>2.1267578838148659E-6</v>
      </c>
      <c r="T60" s="9">
        <f t="shared" si="10"/>
        <v>3.3026822395923522E-5</v>
      </c>
      <c r="U60" s="9">
        <f t="shared" si="11"/>
        <v>1.4787324211618512E-4</v>
      </c>
      <c r="V60" s="100">
        <f t="shared" si="14"/>
        <v>0.22334549458227271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150</v>
      </c>
      <c r="C61" s="46" t="s">
        <v>151</v>
      </c>
      <c r="D61" s="47">
        <v>3.4658999877244021</v>
      </c>
      <c r="E61" s="47">
        <v>4.4528999825375299</v>
      </c>
      <c r="F61" s="96">
        <v>9.9999999999999995E-7</v>
      </c>
      <c r="G61" s="168"/>
      <c r="H61" s="168"/>
      <c r="I61" s="54">
        <f t="shared" si="24"/>
        <v>1.4117733403846819</v>
      </c>
      <c r="J61" s="54">
        <f t="shared" si="25"/>
        <v>3.0474184921770631</v>
      </c>
      <c r="K61" s="55">
        <f t="shared" si="26"/>
        <v>3.7719368257804572E-2</v>
      </c>
      <c r="L61" s="55">
        <f t="shared" si="27"/>
        <v>2.1426968342157592E-2</v>
      </c>
      <c r="M61" s="55">
        <f t="shared" si="28"/>
        <v>0.97857303165784237</v>
      </c>
      <c r="N61" s="55">
        <f t="shared" si="29"/>
        <v>1.5479629378401791E-2</v>
      </c>
      <c r="O61" s="56">
        <f t="shared" si="30"/>
        <v>3.7934982614330752E-8</v>
      </c>
      <c r="P61" s="56">
        <f t="shared" si="31"/>
        <v>4.2311496064705848E-5</v>
      </c>
      <c r="Q61" s="56">
        <f t="shared" si="32"/>
        <v>1.0763161872651159E-3</v>
      </c>
      <c r="R61" s="9">
        <f t="shared" si="12"/>
        <v>1.4999999999999999E-4</v>
      </c>
      <c r="S61" s="9">
        <f t="shared" si="13"/>
        <v>3.2140452513236386E-6</v>
      </c>
      <c r="T61" s="9">
        <f t="shared" si="10"/>
        <v>5.6579052386706852E-6</v>
      </c>
      <c r="U61" s="9">
        <f t="shared" si="11"/>
        <v>1.4678595474867636E-4</v>
      </c>
      <c r="V61" s="100">
        <f t="shared" si="14"/>
        <v>3.8545276680987804E-2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152</v>
      </c>
      <c r="C62" s="46" t="s">
        <v>153</v>
      </c>
      <c r="D62" s="47">
        <v>4.1687999877244026</v>
      </c>
      <c r="E62" s="47">
        <v>5.4527999825375302</v>
      </c>
      <c r="F62" s="96">
        <v>9.9999999999999995E-7</v>
      </c>
      <c r="G62" s="168"/>
      <c r="H62" s="168"/>
      <c r="I62" s="54">
        <f t="shared" si="24"/>
        <v>2.2542758302531842</v>
      </c>
      <c r="J62" s="54">
        <f t="shared" si="25"/>
        <v>3.9829255077533601</v>
      </c>
      <c r="K62" s="55">
        <f t="shared" si="26"/>
        <v>5.3931849978853322E-3</v>
      </c>
      <c r="L62" s="55">
        <f t="shared" si="27"/>
        <v>2.6408798989525719E-2</v>
      </c>
      <c r="M62" s="55">
        <f t="shared" si="28"/>
        <v>0.97359120101047425</v>
      </c>
      <c r="N62" s="55">
        <f t="shared" si="29"/>
        <v>2.2127964487967614E-2</v>
      </c>
      <c r="O62" s="56">
        <f t="shared" si="30"/>
        <v>5.4240139371453393E-9</v>
      </c>
      <c r="P62" s="56">
        <f t="shared" si="31"/>
        <v>5.2149038383579808E-5</v>
      </c>
      <c r="Q62" s="56">
        <f t="shared" si="32"/>
        <v>1.5385824677984741E-3</v>
      </c>
      <c r="R62" s="9">
        <f t="shared" si="12"/>
        <v>1.4999999999999999E-4</v>
      </c>
      <c r="S62" s="9">
        <f t="shared" si="13"/>
        <v>3.9613198484288575E-6</v>
      </c>
      <c r="T62" s="9">
        <f t="shared" si="10"/>
        <v>8.0897774968279979E-7</v>
      </c>
      <c r="U62" s="9">
        <f t="shared" si="11"/>
        <v>1.4603868015157113E-4</v>
      </c>
      <c r="V62" s="100">
        <f t="shared" si="14"/>
        <v>5.5394759035289499E-3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154</v>
      </c>
      <c r="C63" s="46" t="s">
        <v>155</v>
      </c>
      <c r="D63" s="47">
        <v>4.999499987724402</v>
      </c>
      <c r="E63" s="47">
        <v>6.6344999825375304</v>
      </c>
      <c r="F63" s="96">
        <v>9.9999999999999995E-7</v>
      </c>
      <c r="G63" s="168"/>
      <c r="H63" s="168"/>
      <c r="I63" s="54">
        <f t="shared" si="24"/>
        <v>3.3259932392561606</v>
      </c>
      <c r="J63" s="54">
        <f t="shared" si="25"/>
        <v>5.1237181209324083</v>
      </c>
      <c r="K63" s="55">
        <f t="shared" si="26"/>
        <v>4.5515060638998275E-4</v>
      </c>
      <c r="L63" s="55">
        <f t="shared" si="27"/>
        <v>3.0821308467576261E-2</v>
      </c>
      <c r="M63" s="55">
        <f t="shared" si="28"/>
        <v>0.96917869153242375</v>
      </c>
      <c r="N63" s="55">
        <f t="shared" si="29"/>
        <v>2.8376006417161169E-2</v>
      </c>
      <c r="O63" s="56">
        <f t="shared" si="30"/>
        <v>4.577523733243738E-10</v>
      </c>
      <c r="P63" s="56">
        <f t="shared" si="31"/>
        <v>6.0862351178683932E-5</v>
      </c>
      <c r="Q63" s="56">
        <f t="shared" si="32"/>
        <v>1.9730159094986464E-3</v>
      </c>
      <c r="R63" s="9">
        <f t="shared" si="12"/>
        <v>1.4999999999999999E-4</v>
      </c>
      <c r="S63" s="9">
        <f t="shared" si="13"/>
        <v>4.6231962701364387E-6</v>
      </c>
      <c r="T63" s="9">
        <f t="shared" si="10"/>
        <v>6.8272590958497401E-8</v>
      </c>
      <c r="U63" s="9">
        <f t="shared" si="11"/>
        <v>1.4537680372986355E-4</v>
      </c>
      <c r="V63" s="100">
        <f t="shared" si="14"/>
        <v>4.6962506539461587E-4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156</v>
      </c>
      <c r="C64" s="46" t="s">
        <v>157</v>
      </c>
      <c r="D64" s="47">
        <v>4.4669999877244022</v>
      </c>
      <c r="E64" s="47">
        <v>5.8769999825375301</v>
      </c>
      <c r="F64" s="96">
        <v>9.9999999999999995E-7</v>
      </c>
      <c r="G64" s="168"/>
      <c r="H64" s="168"/>
      <c r="I64" s="54">
        <f t="shared" si="24"/>
        <v>2.6313958666363746</v>
      </c>
      <c r="J64" s="54">
        <f t="shared" si="25"/>
        <v>4.3890098224367859</v>
      </c>
      <c r="K64" s="55">
        <f t="shared" si="26"/>
        <v>2.2590976583457094E-3</v>
      </c>
      <c r="L64" s="55">
        <f t="shared" si="27"/>
        <v>2.8178810291824532E-2</v>
      </c>
      <c r="M64" s="55">
        <f t="shared" si="28"/>
        <v>0.97182118970817544</v>
      </c>
      <c r="N64" s="55">
        <f t="shared" si="29"/>
        <v>2.4616774843608389E-2</v>
      </c>
      <c r="O64" s="56">
        <f t="shared" si="30"/>
        <v>2.2720112862889138E-9</v>
      </c>
      <c r="P64" s="56">
        <f t="shared" si="31"/>
        <v>5.5644251754682413E-5</v>
      </c>
      <c r="Q64" s="56">
        <f t="shared" si="32"/>
        <v>1.7116322745688341E-3</v>
      </c>
      <c r="R64" s="9">
        <f t="shared" si="12"/>
        <v>1.4999999999999999E-4</v>
      </c>
      <c r="S64" s="9">
        <f t="shared" si="13"/>
        <v>4.2268215437736797E-6</v>
      </c>
      <c r="T64" s="9">
        <f t="shared" si="10"/>
        <v>3.3886464875185639E-7</v>
      </c>
      <c r="U64" s="9">
        <f t="shared" si="11"/>
        <v>1.4577317845622631E-4</v>
      </c>
      <c r="V64" s="100">
        <f t="shared" si="14"/>
        <v>2.3246021822430989E-3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158</v>
      </c>
      <c r="C65" s="46" t="s">
        <v>159</v>
      </c>
      <c r="D65" s="47">
        <v>4.2539999877244021</v>
      </c>
      <c r="E65" s="47">
        <v>5.5739999825375302</v>
      </c>
      <c r="F65" s="96">
        <v>9.9999999999999995E-7</v>
      </c>
      <c r="G65" s="168"/>
      <c r="H65" s="168"/>
      <c r="I65" s="54">
        <f t="shared" si="24"/>
        <v>2.3610319672695166</v>
      </c>
      <c r="J65" s="54">
        <f t="shared" si="25"/>
        <v>4.0984823491035831</v>
      </c>
      <c r="K65" s="55">
        <f t="shared" si="26"/>
        <v>4.2155520630215437E-3</v>
      </c>
      <c r="L65" s="55">
        <f t="shared" si="27"/>
        <v>2.6934854374026252E-2</v>
      </c>
      <c r="M65" s="55">
        <f t="shared" si="28"/>
        <v>0.97306514562597379</v>
      </c>
      <c r="N65" s="55">
        <f t="shared" si="29"/>
        <v>2.2863915443136332E-2</v>
      </c>
      <c r="O65" s="56">
        <f t="shared" si="30"/>
        <v>4.2396493262434143E-9</v>
      </c>
      <c r="P65" s="56">
        <f t="shared" si="31"/>
        <v>5.3187831645215358E-5</v>
      </c>
      <c r="Q65" s="56">
        <f t="shared" si="32"/>
        <v>1.5897539724073976E-3</v>
      </c>
      <c r="R65" s="9">
        <f t="shared" si="12"/>
        <v>1.4999999999999999E-4</v>
      </c>
      <c r="S65" s="9">
        <f t="shared" si="13"/>
        <v>4.0402281561039377E-6</v>
      </c>
      <c r="T65" s="9">
        <f t="shared" si="10"/>
        <v>6.3233280945323152E-7</v>
      </c>
      <c r="U65" s="9">
        <f t="shared" si="11"/>
        <v>1.4595977184389606E-4</v>
      </c>
      <c r="V65" s="100">
        <f t="shared" si="14"/>
        <v>4.3322403252966943E-3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160</v>
      </c>
      <c r="C66" s="46" t="s">
        <v>161</v>
      </c>
      <c r="D66" s="47">
        <v>4.4669999877244022</v>
      </c>
      <c r="E66" s="47">
        <v>5.8769999825375301</v>
      </c>
      <c r="F66" s="96">
        <v>9.9999999999999995E-7</v>
      </c>
      <c r="G66" s="168"/>
      <c r="H66" s="168"/>
      <c r="I66" s="54">
        <f t="shared" si="24"/>
        <v>2.6313958666363746</v>
      </c>
      <c r="J66" s="54">
        <f t="shared" si="25"/>
        <v>4.3890098224367859</v>
      </c>
      <c r="K66" s="55">
        <f t="shared" si="26"/>
        <v>2.2590976583457094E-3</v>
      </c>
      <c r="L66" s="55">
        <f t="shared" si="27"/>
        <v>2.8178810291824532E-2</v>
      </c>
      <c r="M66" s="55">
        <f t="shared" si="28"/>
        <v>0.97182118970817544</v>
      </c>
      <c r="N66" s="55">
        <f t="shared" si="29"/>
        <v>2.4616774843608389E-2</v>
      </c>
      <c r="O66" s="56">
        <f t="shared" si="30"/>
        <v>2.2720112862889138E-9</v>
      </c>
      <c r="P66" s="56">
        <f t="shared" si="31"/>
        <v>5.5644251754682413E-5</v>
      </c>
      <c r="Q66" s="56">
        <f t="shared" si="32"/>
        <v>1.7116322745688341E-3</v>
      </c>
      <c r="R66" s="9">
        <f t="shared" si="12"/>
        <v>1.4999999999999999E-4</v>
      </c>
      <c r="S66" s="9">
        <f t="shared" si="13"/>
        <v>4.2268215437736797E-6</v>
      </c>
      <c r="T66" s="9">
        <f t="shared" si="10"/>
        <v>3.3886464875185639E-7</v>
      </c>
      <c r="U66" s="9">
        <f t="shared" si="11"/>
        <v>1.4577317845622631E-4</v>
      </c>
      <c r="V66" s="100">
        <f t="shared" si="14"/>
        <v>2.3246021822430989E-3</v>
      </c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114</v>
      </c>
      <c r="C67" s="46" t="s">
        <v>115</v>
      </c>
      <c r="D67" s="47">
        <v>-0.73745450190951667</v>
      </c>
      <c r="E67" s="47">
        <v>-1.5265197844064957</v>
      </c>
      <c r="F67" s="96">
        <v>9.9999999999999995E-7</v>
      </c>
      <c r="G67" s="168"/>
      <c r="H67" s="168"/>
      <c r="I67" s="54">
        <f t="shared" si="24"/>
        <v>-1.8671766444063711E-3</v>
      </c>
      <c r="J67" s="54">
        <f t="shared" si="25"/>
        <v>-5.2481050936873601E-2</v>
      </c>
      <c r="K67" s="55">
        <f t="shared" si="26"/>
        <v>0.99865594678006198</v>
      </c>
      <c r="L67" s="55">
        <f t="shared" si="27"/>
        <v>4.5072605813847671E-4</v>
      </c>
      <c r="M67" s="55">
        <f t="shared" si="28"/>
        <v>0.99954927394186155</v>
      </c>
      <c r="N67" s="55">
        <f t="shared" si="29"/>
        <v>4.2972663589399769E-7</v>
      </c>
      <c r="O67" s="56">
        <f t="shared" si="30"/>
        <v>1.0043645407810095E-6</v>
      </c>
      <c r="P67" s="56">
        <f t="shared" si="31"/>
        <v>8.9004163027881591E-7</v>
      </c>
      <c r="Q67" s="56">
        <f t="shared" si="32"/>
        <v>2.9879380378255918E-8</v>
      </c>
      <c r="R67" s="9">
        <f t="shared" si="12"/>
        <v>1.4999999999999999E-4</v>
      </c>
      <c r="S67" s="9">
        <f t="shared" si="13"/>
        <v>6.7608908720771494E-8</v>
      </c>
      <c r="T67" s="9">
        <f t="shared" si="10"/>
        <v>1.4979839201700927E-4</v>
      </c>
      <c r="U67" s="9">
        <f t="shared" si="11"/>
        <v>1.4993239109127921E-4</v>
      </c>
      <c r="V67" s="100">
        <f t="shared" si="14"/>
        <v>0.99910627001080532</v>
      </c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116</v>
      </c>
      <c r="C68" s="46" t="s">
        <v>117</v>
      </c>
      <c r="D68" s="47">
        <v>4.7386560000000006</v>
      </c>
      <c r="E68" s="47">
        <v>5.8355820000000005</v>
      </c>
      <c r="F68" s="96">
        <v>9.9999999999999995E-7</v>
      </c>
      <c r="G68" s="168"/>
      <c r="H68" s="168"/>
      <c r="I68" s="54">
        <f t="shared" si="24"/>
        <v>2.7194923137791687</v>
      </c>
      <c r="J68" s="54">
        <f t="shared" si="25"/>
        <v>4.4020071593837926</v>
      </c>
      <c r="K68" s="55">
        <f t="shared" si="26"/>
        <v>1.8526196216674074E-3</v>
      </c>
      <c r="L68" s="55">
        <f t="shared" si="27"/>
        <v>2.3810649618850689E-2</v>
      </c>
      <c r="M68" s="55">
        <f t="shared" si="28"/>
        <v>0.97618935038114929</v>
      </c>
      <c r="N68" s="55">
        <f t="shared" si="29"/>
        <v>1.8351198164771498E-2</v>
      </c>
      <c r="O68" s="56">
        <f t="shared" si="30"/>
        <v>1.8632097085660911E-9</v>
      </c>
      <c r="P68" s="56">
        <f t="shared" si="31"/>
        <v>4.701851384471892E-5</v>
      </c>
      <c r="Q68" s="56">
        <f t="shared" si="32"/>
        <v>1.275979621838513E-3</v>
      </c>
      <c r="R68" s="9">
        <f t="shared" si="12"/>
        <v>1.4999999999999999E-4</v>
      </c>
      <c r="S68" s="9">
        <f t="shared" si="13"/>
        <v>3.5715974428276029E-6</v>
      </c>
      <c r="T68" s="9">
        <f t="shared" si="10"/>
        <v>2.7789294325011109E-7</v>
      </c>
      <c r="U68" s="9">
        <f t="shared" si="11"/>
        <v>1.4642840255717237E-4</v>
      </c>
      <c r="V68" s="100">
        <f t="shared" si="14"/>
        <v>1.8978076547793309E-3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118</v>
      </c>
      <c r="C69" s="46" t="s">
        <v>119</v>
      </c>
      <c r="D69" s="47">
        <v>2.3724999877244022</v>
      </c>
      <c r="E69" s="47">
        <v>2.8974999825375303</v>
      </c>
      <c r="F69" s="96">
        <v>9.9999999999999995E-7</v>
      </c>
      <c r="G69" s="168"/>
      <c r="H69" s="168"/>
      <c r="I69" s="54">
        <f t="shared" si="24"/>
        <v>0.38500856866688477</v>
      </c>
      <c r="J69" s="54">
        <f t="shared" si="25"/>
        <v>1.6829875890469175</v>
      </c>
      <c r="K69" s="55">
        <f t="shared" si="26"/>
        <v>0.40587073385840061</v>
      </c>
      <c r="L69" s="55">
        <f t="shared" si="27"/>
        <v>9.9621517114104226E-3</v>
      </c>
      <c r="M69" s="55">
        <f t="shared" si="28"/>
        <v>0.99003784828858954</v>
      </c>
      <c r="N69" s="55">
        <f t="shared" si="29"/>
        <v>4.6364318948649971E-3</v>
      </c>
      <c r="O69" s="56">
        <f t="shared" si="30"/>
        <v>4.081908033917916E-7</v>
      </c>
      <c r="P69" s="56">
        <f t="shared" si="31"/>
        <v>1.9672103687389872E-5</v>
      </c>
      <c r="Q69" s="56">
        <f t="shared" si="32"/>
        <v>3.223763681679759E-4</v>
      </c>
      <c r="R69" s="9">
        <f t="shared" si="12"/>
        <v>1.4999999999999999E-4</v>
      </c>
      <c r="S69" s="9">
        <f t="shared" si="13"/>
        <v>1.4943227567115632E-6</v>
      </c>
      <c r="T69" s="9">
        <f t="shared" si="10"/>
        <v>6.0880610078760087E-5</v>
      </c>
      <c r="U69" s="9">
        <f t="shared" si="11"/>
        <v>1.4850567724328842E-4</v>
      </c>
      <c r="V69" s="100">
        <f t="shared" si="14"/>
        <v>0.40995476542639403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112</v>
      </c>
      <c r="C70" s="46" t="s">
        <v>113</v>
      </c>
      <c r="D70" s="47">
        <v>3.3511520000000004</v>
      </c>
      <c r="E70" s="47">
        <v>4.2962190000000007</v>
      </c>
      <c r="F70" s="96">
        <v>9.9999999999999995E-7</v>
      </c>
      <c r="G70" s="168"/>
      <c r="H70" s="168"/>
      <c r="I70" s="54">
        <f t="shared" si="24"/>
        <v>1.2852308448323728</v>
      </c>
      <c r="J70" s="54">
        <f t="shared" si="25"/>
        <v>2.9028974715327305</v>
      </c>
      <c r="K70" s="55">
        <f t="shared" si="26"/>
        <v>5.0522453230092815E-2</v>
      </c>
      <c r="L70" s="55">
        <f t="shared" si="27"/>
        <v>2.0575942020843077E-2</v>
      </c>
      <c r="M70" s="55">
        <f t="shared" si="28"/>
        <v>0.97942405797915688</v>
      </c>
      <c r="N70" s="55">
        <f t="shared" si="29"/>
        <v>1.4454384261327453E-2</v>
      </c>
      <c r="O70" s="56">
        <f t="shared" si="30"/>
        <v>5.081125356653738E-8</v>
      </c>
      <c r="P70" s="56">
        <f t="shared" si="31"/>
        <v>4.0630987825263776E-5</v>
      </c>
      <c r="Q70" s="56">
        <f t="shared" si="32"/>
        <v>1.0050297314691339E-3</v>
      </c>
      <c r="R70" s="9">
        <f t="shared" si="12"/>
        <v>1.4999999999999999E-4</v>
      </c>
      <c r="S70" s="9">
        <f t="shared" si="13"/>
        <v>3.0863913031264613E-6</v>
      </c>
      <c r="T70" s="9">
        <f t="shared" si="10"/>
        <v>7.5783679845139212E-6</v>
      </c>
      <c r="U70" s="9">
        <f t="shared" si="11"/>
        <v>1.4691360869687351E-4</v>
      </c>
      <c r="V70" s="100">
        <f t="shared" si="14"/>
        <v>5.1583839317093823E-2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120</v>
      </c>
      <c r="C71" s="46" t="s">
        <v>121</v>
      </c>
      <c r="D71" s="47">
        <v>5.9183200000000005</v>
      </c>
      <c r="E71" s="47">
        <v>7.0401399999999992</v>
      </c>
      <c r="F71" s="96">
        <v>9.9999999999999995E-7</v>
      </c>
      <c r="G71" s="168"/>
      <c r="H71" s="168"/>
      <c r="I71" s="54">
        <f t="shared" ref="I71:I122" si="33">IF(D71=0,"",LOG($K$15*10^D71+$K$16*10^E71+$K$14))</f>
        <v>3.9109447814528924</v>
      </c>
      <c r="J71" s="54">
        <f t="shared" ref="J71:J122" si="34">IF(D71=0,"",LOG($K$21*10^D71+$K$22*10^E71+$K$20))</f>
        <v>5.6009687713569756</v>
      </c>
      <c r="K71" s="55">
        <f t="shared" ref="K71:K122" si="35">IF(D71=0,"",1/(1+10^D71*$J$15/$J$14+10^E71*$J$16/$J$14+10^J71*$J$19/$J$14))</f>
        <v>1.191663059899067E-4</v>
      </c>
      <c r="L71" s="55">
        <f t="shared" ref="L71:L122" si="36">IF(D71=0,"",1/(1+10^I71/10^J71*$J$13/$J$19))</f>
        <v>2.4215869845954273E-2</v>
      </c>
      <c r="M71" s="55">
        <f t="shared" si="19"/>
        <v>0.97578413015404575</v>
      </c>
      <c r="N71" s="55">
        <f t="shared" ref="N71:N122" si="37">IF(D71=0,"",1/(1/10^E71*$J$20/$J$22+10^D71/10^E71*$J$21/$J$22+10^I71/10^E71*$J$13/$J$22+1))</f>
        <v>1.8905564193616071E-2</v>
      </c>
      <c r="O71" s="56">
        <f t="shared" si="21"/>
        <v>1.1984749360179889E-10</v>
      </c>
      <c r="P71" s="56">
        <f t="shared" ref="P71:P122" si="38">IF(D71=0,"",O71*10^J71)</f>
        <v>4.7818695828966239E-5</v>
      </c>
      <c r="Q71" s="56">
        <f t="shared" ref="Q71:Q122" si="39">IF(D71=0,"",F71*N71*$J$7/$J$22)</f>
        <v>1.3145253205713141E-3</v>
      </c>
      <c r="R71" s="9">
        <f t="shared" si="12"/>
        <v>1.4999999999999999E-4</v>
      </c>
      <c r="S71" s="9">
        <f t="shared" si="13"/>
        <v>3.6323804768931408E-6</v>
      </c>
      <c r="T71" s="9">
        <f t="shared" si="10"/>
        <v>1.7874945898486005E-8</v>
      </c>
      <c r="U71" s="9">
        <f t="shared" si="11"/>
        <v>1.4636761952310684E-4</v>
      </c>
      <c r="V71" s="100">
        <f t="shared" si="14"/>
        <v>1.2212363606599552E-4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122</v>
      </c>
      <c r="C72" s="46" t="s">
        <v>123</v>
      </c>
      <c r="D72" s="47">
        <v>5.5295200000000007</v>
      </c>
      <c r="E72" s="47">
        <v>6.5305900000000001</v>
      </c>
      <c r="F72" s="96">
        <v>9.9999999999999995E-7</v>
      </c>
      <c r="G72" s="168"/>
      <c r="H72" s="168"/>
      <c r="I72" s="54">
        <f t="shared" si="33"/>
        <v>3.4646398062685488</v>
      </c>
      <c r="J72" s="54">
        <f t="shared" si="34"/>
        <v>5.1209220349701772</v>
      </c>
      <c r="K72" s="55">
        <f t="shared" si="35"/>
        <v>3.3361480544426606E-4</v>
      </c>
      <c r="L72" s="55">
        <f t="shared" si="36"/>
        <v>2.2446321356701229E-2</v>
      </c>
      <c r="M72" s="55">
        <f t="shared" si="19"/>
        <v>0.97755367864329878</v>
      </c>
      <c r="N72" s="55">
        <f t="shared" si="37"/>
        <v>1.6373121377571461E-2</v>
      </c>
      <c r="O72" s="56">
        <f t="shared" si="21"/>
        <v>3.3552184007729147E-10</v>
      </c>
      <c r="P72" s="56">
        <f t="shared" si="38"/>
        <v>4.4324396367477568E-5</v>
      </c>
      <c r="Q72" s="56">
        <f t="shared" si="39"/>
        <v>1.138441699342297E-3</v>
      </c>
      <c r="R72" s="9">
        <f t="shared" si="12"/>
        <v>1.4999999999999999E-4</v>
      </c>
      <c r="S72" s="9">
        <f t="shared" si="13"/>
        <v>3.366948203505184E-6</v>
      </c>
      <c r="T72" s="9">
        <f t="shared" si="10"/>
        <v>5.0042220816639906E-8</v>
      </c>
      <c r="U72" s="9">
        <f t="shared" si="11"/>
        <v>1.4663305179649482E-4</v>
      </c>
      <c r="V72" s="100">
        <f t="shared" si="14"/>
        <v>3.4127517775522519E-4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124</v>
      </c>
      <c r="C73" s="46" t="s">
        <v>125</v>
      </c>
      <c r="D73" s="47">
        <v>5.4845040000000003</v>
      </c>
      <c r="E73" s="47">
        <v>6.5678879999999999</v>
      </c>
      <c r="F73" s="96">
        <v>9.9999999999999995E-7</v>
      </c>
      <c r="G73" s="168"/>
      <c r="H73" s="168"/>
      <c r="I73" s="54">
        <f t="shared" si="33"/>
        <v>3.4579829545014036</v>
      </c>
      <c r="J73" s="54">
        <f t="shared" si="34"/>
        <v>5.1374431470300399</v>
      </c>
      <c r="K73" s="55">
        <f t="shared" si="35"/>
        <v>3.3835149745527329E-4</v>
      </c>
      <c r="L73" s="55">
        <f t="shared" si="36"/>
        <v>2.3647709156307675E-2</v>
      </c>
      <c r="M73" s="55">
        <f t="shared" si="19"/>
        <v>0.97635229084369235</v>
      </c>
      <c r="N73" s="55">
        <f t="shared" si="37"/>
        <v>1.8094736715821166E-2</v>
      </c>
      <c r="O73" s="56">
        <f t="shared" si="21"/>
        <v>3.4028560833180936E-10</v>
      </c>
      <c r="P73" s="56">
        <f t="shared" si="38"/>
        <v>4.6696757886079383E-5</v>
      </c>
      <c r="Q73" s="56">
        <f t="shared" si="39"/>
        <v>1.258147566421227E-3</v>
      </c>
      <c r="R73" s="9">
        <f t="shared" si="12"/>
        <v>1.4999999999999999E-4</v>
      </c>
      <c r="S73" s="9">
        <f t="shared" si="13"/>
        <v>3.547156373446151E-6</v>
      </c>
      <c r="T73" s="9">
        <f t="shared" si="10"/>
        <v>5.0752724618290988E-8</v>
      </c>
      <c r="U73" s="9">
        <f t="shared" si="11"/>
        <v>1.4645284362655383E-4</v>
      </c>
      <c r="V73" s="100">
        <f t="shared" si="14"/>
        <v>3.4654652898176192E-4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126</v>
      </c>
      <c r="C74" s="46" t="s">
        <v>127</v>
      </c>
      <c r="D74" s="47">
        <v>2.7195840000000011</v>
      </c>
      <c r="E74" s="47">
        <v>3.2500779999999994</v>
      </c>
      <c r="F74" s="96">
        <v>9.9999999999999995E-7</v>
      </c>
      <c r="G74" s="168"/>
      <c r="H74" s="168"/>
      <c r="I74" s="54">
        <f t="shared" si="33"/>
        <v>0.62193942428688143</v>
      </c>
      <c r="J74" s="54">
        <f t="shared" si="34"/>
        <v>2.0283467872043253</v>
      </c>
      <c r="K74" s="55">
        <f t="shared" si="35"/>
        <v>0.23454794437532575</v>
      </c>
      <c r="L74" s="55">
        <f t="shared" si="36"/>
        <v>1.2751352267455007E-2</v>
      </c>
      <c r="M74" s="55">
        <f t="shared" si="19"/>
        <v>0.98724864773254495</v>
      </c>
      <c r="N74" s="55">
        <f t="shared" si="37"/>
        <v>6.0340068175188137E-3</v>
      </c>
      <c r="O74" s="56">
        <f t="shared" si="21"/>
        <v>2.3588868539080022E-7</v>
      </c>
      <c r="P74" s="56">
        <f t="shared" si="38"/>
        <v>2.5179893985402339E-5</v>
      </c>
      <c r="Q74" s="56">
        <f t="shared" si="39"/>
        <v>4.1955133763248392E-4</v>
      </c>
      <c r="R74" s="9">
        <f t="shared" si="12"/>
        <v>1.4999999999999999E-4</v>
      </c>
      <c r="S74" s="9">
        <f t="shared" si="13"/>
        <v>1.9127028401182509E-6</v>
      </c>
      <c r="T74" s="9">
        <f t="shared" si="10"/>
        <v>3.518219165629886E-5</v>
      </c>
      <c r="U74" s="9">
        <f t="shared" si="11"/>
        <v>1.4808729715988172E-4</v>
      </c>
      <c r="V74" s="100">
        <f t="shared" si="14"/>
        <v>0.23757737720281691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81</v>
      </c>
      <c r="C75" s="46" t="s">
        <v>82</v>
      </c>
      <c r="D75" s="47">
        <v>3.9841999877244016</v>
      </c>
      <c r="E75" s="47">
        <v>5.1901999825375293</v>
      </c>
      <c r="F75" s="96">
        <v>9.9999999999999995E-7</v>
      </c>
      <c r="G75" s="168"/>
      <c r="H75" s="168"/>
      <c r="I75" s="54">
        <f t="shared" si="33"/>
        <v>2.0259693417507676</v>
      </c>
      <c r="J75" s="54">
        <f t="shared" si="34"/>
        <v>3.733983531409903</v>
      </c>
      <c r="K75" s="55">
        <f t="shared" si="35"/>
        <v>9.1344908880806094E-3</v>
      </c>
      <c r="L75" s="55">
        <f t="shared" si="36"/>
        <v>2.521422963215297E-2</v>
      </c>
      <c r="M75" s="55">
        <f t="shared" si="19"/>
        <v>0.97478577036784708</v>
      </c>
      <c r="N75" s="55">
        <f t="shared" si="37"/>
        <v>2.0472953259145117E-2</v>
      </c>
      <c r="O75" s="56">
        <f t="shared" si="21"/>
        <v>9.1867061680812298E-9</v>
      </c>
      <c r="P75" s="56">
        <f t="shared" si="38"/>
        <v>4.9790141135197275E-5</v>
      </c>
      <c r="Q75" s="56">
        <f t="shared" si="39"/>
        <v>1.4235076599886313E-3</v>
      </c>
      <c r="R75" s="9">
        <f t="shared" si="12"/>
        <v>1.4999999999999999E-4</v>
      </c>
      <c r="S75" s="9">
        <f t="shared" si="13"/>
        <v>3.7821344448229452E-6</v>
      </c>
      <c r="T75" s="9">
        <f t="shared" si="10"/>
        <v>1.3701736332120913E-6</v>
      </c>
      <c r="U75" s="9">
        <f t="shared" si="11"/>
        <v>1.4621786555517704E-4</v>
      </c>
      <c r="V75" s="100">
        <f t="shared" si="14"/>
        <v>9.3707675735085864E-3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128</v>
      </c>
      <c r="C76" s="46" t="s">
        <v>129</v>
      </c>
      <c r="D76" s="47">
        <v>4.10616</v>
      </c>
      <c r="E76" s="47">
        <v>5.1108449999999994</v>
      </c>
      <c r="F76" s="96">
        <v>9.9999999999999995E-7</v>
      </c>
      <c r="G76" s="168"/>
      <c r="H76" s="168"/>
      <c r="I76" s="54">
        <f t="shared" si="33"/>
        <v>2.0466328175843658</v>
      </c>
      <c r="J76" s="54">
        <f t="shared" si="34"/>
        <v>3.7002740773254659</v>
      </c>
      <c r="K76" s="55">
        <f t="shared" si="35"/>
        <v>8.7359755274998979E-3</v>
      </c>
      <c r="L76" s="55">
        <f t="shared" si="36"/>
        <v>2.2313274669547682E-2</v>
      </c>
      <c r="M76" s="55">
        <f t="shared" si="19"/>
        <v>0.97768672533045231</v>
      </c>
      <c r="N76" s="55">
        <f t="shared" si="37"/>
        <v>1.6309947917912623E-2</v>
      </c>
      <c r="O76" s="56">
        <f t="shared" si="21"/>
        <v>8.7859127833180835E-9</v>
      </c>
      <c r="P76" s="56">
        <f t="shared" si="38"/>
        <v>4.406167117509266E-5</v>
      </c>
      <c r="Q76" s="56">
        <f t="shared" si="39"/>
        <v>1.1340491770425564E-3</v>
      </c>
      <c r="R76" s="9">
        <f t="shared" si="12"/>
        <v>1.4999999999999999E-4</v>
      </c>
      <c r="S76" s="9">
        <f t="shared" si="13"/>
        <v>3.3469912004321521E-6</v>
      </c>
      <c r="T76" s="9">
        <f t="shared" si="10"/>
        <v>1.3103963291249845E-6</v>
      </c>
      <c r="U76" s="9">
        <f t="shared" si="11"/>
        <v>1.4665300879956782E-4</v>
      </c>
      <c r="V76" s="100">
        <f t="shared" si="14"/>
        <v>8.9353525021495916E-3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130</v>
      </c>
      <c r="C77" s="46" t="s">
        <v>131</v>
      </c>
      <c r="D77" s="47">
        <v>2.8295519999999996</v>
      </c>
      <c r="E77" s="47">
        <v>3.5791989999999991</v>
      </c>
      <c r="F77" s="96">
        <v>9.9999999999999995E-7</v>
      </c>
      <c r="G77" s="168"/>
      <c r="H77" s="168"/>
      <c r="I77" s="54">
        <f t="shared" si="33"/>
        <v>0.75425121724867172</v>
      </c>
      <c r="J77" s="54">
        <f t="shared" si="34"/>
        <v>2.2551798002203722</v>
      </c>
      <c r="K77" s="55">
        <f t="shared" si="35"/>
        <v>0.17241515286751768</v>
      </c>
      <c r="L77" s="55">
        <f t="shared" si="36"/>
        <v>1.5802764102973002E-2</v>
      </c>
      <c r="M77" s="55">
        <f t="shared" si="19"/>
        <v>0.98419723589702701</v>
      </c>
      <c r="N77" s="55">
        <f t="shared" si="37"/>
        <v>9.4639099004771143E-3</v>
      </c>
      <c r="O77" s="56">
        <f t="shared" si="21"/>
        <v>1.7340072563710405E-7</v>
      </c>
      <c r="P77" s="56">
        <f t="shared" si="38"/>
        <v>3.1205468756812836E-5</v>
      </c>
      <c r="Q77" s="56">
        <f t="shared" si="39"/>
        <v>6.5803638909562776E-4</v>
      </c>
      <c r="R77" s="9">
        <f t="shared" si="12"/>
        <v>1.4999999999999999E-4</v>
      </c>
      <c r="S77" s="9">
        <f t="shared" si="13"/>
        <v>2.3704146154459501E-6</v>
      </c>
      <c r="T77" s="9">
        <f t="shared" si="10"/>
        <v>2.586227293012765E-5</v>
      </c>
      <c r="U77" s="9">
        <f t="shared" si="11"/>
        <v>1.4762958538455404E-4</v>
      </c>
      <c r="V77" s="100">
        <f t="shared" si="14"/>
        <v>0.1751835369770911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83</v>
      </c>
      <c r="C78" s="46" t="s">
        <v>84</v>
      </c>
      <c r="D78" s="47">
        <v>3.03</v>
      </c>
      <c r="E78" s="47">
        <v>3.96</v>
      </c>
      <c r="F78" s="96">
        <v>9.9999999999999995E-7</v>
      </c>
      <c r="G78" s="7"/>
      <c r="H78" s="7"/>
      <c r="I78" s="54">
        <f t="shared" si="33"/>
        <v>0.98244102051051041</v>
      </c>
      <c r="J78" s="54">
        <f t="shared" si="34"/>
        <v>2.5717431979412697</v>
      </c>
      <c r="K78" s="55">
        <f t="shared" si="35"/>
        <v>0.10158734202774627</v>
      </c>
      <c r="L78" s="55">
        <f t="shared" si="36"/>
        <v>1.9300147175386806E-2</v>
      </c>
      <c r="M78" s="55">
        <f t="shared" si="19"/>
        <v>0.98069985282461314</v>
      </c>
      <c r="N78" s="55">
        <f t="shared" si="37"/>
        <v>1.3400955433231767E-2</v>
      </c>
      <c r="O78" s="56">
        <f t="shared" si="21"/>
        <v>1.0216804341258418E-7</v>
      </c>
      <c r="P78" s="56">
        <f t="shared" si="38"/>
        <v>3.8111695888070409E-5</v>
      </c>
      <c r="Q78" s="56">
        <f t="shared" si="39"/>
        <v>9.3178363028061995E-4</v>
      </c>
      <c r="R78" s="9">
        <f t="shared" si="12"/>
        <v>1.4999999999999999E-4</v>
      </c>
      <c r="S78" s="9">
        <f t="shared" si="13"/>
        <v>2.8950220763080208E-6</v>
      </c>
      <c r="T78" s="9">
        <f t="shared" si="10"/>
        <v>1.523810130416194E-5</v>
      </c>
      <c r="U78" s="9">
        <f t="shared" si="11"/>
        <v>1.4710497792369196E-4</v>
      </c>
      <c r="V78" s="100">
        <f t="shared" si="14"/>
        <v>0.10358657823303864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132</v>
      </c>
      <c r="C79" s="46" t="s">
        <v>133</v>
      </c>
      <c r="D79" s="47">
        <v>3.2352399999999997</v>
      </c>
      <c r="E79" s="47">
        <v>3.7544849999999994</v>
      </c>
      <c r="F79" s="96">
        <v>9.9999999999999995E-7</v>
      </c>
      <c r="G79" s="7"/>
      <c r="H79" s="7"/>
      <c r="I79" s="54">
        <f t="shared" si="33"/>
        <v>1.0570731161685156</v>
      </c>
      <c r="J79" s="54">
        <f t="shared" si="34"/>
        <v>2.5362302933767991</v>
      </c>
      <c r="K79" s="55">
        <f t="shared" si="35"/>
        <v>8.5919003103526376E-2</v>
      </c>
      <c r="L79" s="55">
        <f t="shared" si="36"/>
        <v>1.5041714739073E-2</v>
      </c>
      <c r="M79" s="55">
        <f t="shared" si="19"/>
        <v>0.98495828526092699</v>
      </c>
      <c r="N79" s="55">
        <f t="shared" si="37"/>
        <v>7.0610680155548961E-3</v>
      </c>
      <c r="O79" s="56">
        <f t="shared" si="21"/>
        <v>8.6410139923234498E-8</v>
      </c>
      <c r="P79" s="56">
        <f t="shared" si="38"/>
        <v>2.9702636594488428E-5</v>
      </c>
      <c r="Q79" s="56">
        <f t="shared" si="39"/>
        <v>4.9096406759748727E-4</v>
      </c>
      <c r="R79" s="9">
        <f t="shared" si="12"/>
        <v>1.4999999999999999E-4</v>
      </c>
      <c r="S79" s="9">
        <f t="shared" si="13"/>
        <v>2.25625721086095E-6</v>
      </c>
      <c r="T79" s="9">
        <f t="shared" si="10"/>
        <v>1.2887850465528956E-5</v>
      </c>
      <c r="U79" s="9">
        <f t="shared" si="11"/>
        <v>1.4774374278913905E-4</v>
      </c>
      <c r="V79" s="100">
        <f t="shared" si="14"/>
        <v>8.7231108554780501E-2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134</v>
      </c>
      <c r="C80" s="46" t="s">
        <v>135</v>
      </c>
      <c r="D80" s="47">
        <v>3.3303280000000011</v>
      </c>
      <c r="E80" s="47">
        <v>3.8215209999999997</v>
      </c>
      <c r="F80" s="96">
        <v>9.9999999999999995E-7</v>
      </c>
      <c r="G80" s="7"/>
      <c r="H80" s="7"/>
      <c r="I80" s="54">
        <f t="shared" si="33"/>
        <v>1.1393826628828596</v>
      </c>
      <c r="J80" s="54">
        <f t="shared" si="34"/>
        <v>2.6181533735404092</v>
      </c>
      <c r="K80" s="55">
        <f t="shared" si="35"/>
        <v>7.1086231775513042E-2</v>
      </c>
      <c r="L80" s="55">
        <f t="shared" si="36"/>
        <v>1.5028536560832265E-2</v>
      </c>
      <c r="M80" s="55">
        <f t="shared" si="19"/>
        <v>0.98497146343916775</v>
      </c>
      <c r="N80" s="55">
        <f t="shared" si="37"/>
        <v>6.8171469967654554E-3</v>
      </c>
      <c r="O80" s="56">
        <f t="shared" si="21"/>
        <v>7.1492580365908031E-8</v>
      </c>
      <c r="P80" s="56">
        <f t="shared" si="38"/>
        <v>2.9676613853992948E-5</v>
      </c>
      <c r="Q80" s="56">
        <f t="shared" si="39"/>
        <v>4.7400396251231103E-4</v>
      </c>
      <c r="R80" s="9">
        <f t="shared" si="12"/>
        <v>1.4999999999999999E-4</v>
      </c>
      <c r="S80" s="9">
        <f t="shared" si="13"/>
        <v>2.2542804841248396E-6</v>
      </c>
      <c r="T80" s="9">
        <f t="shared" si="10"/>
        <v>1.0662934766326956E-5</v>
      </c>
      <c r="U80" s="9">
        <f t="shared" si="11"/>
        <v>1.4774571951587515E-4</v>
      </c>
      <c r="V80" s="100">
        <f t="shared" si="14"/>
        <v>7.2170854094904813E-2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136</v>
      </c>
      <c r="C81" s="46" t="s">
        <v>137</v>
      </c>
      <c r="D81" s="47">
        <v>4.4202640000000004</v>
      </c>
      <c r="E81" s="47">
        <v>5.6388380000000007</v>
      </c>
      <c r="F81" s="96">
        <v>9.9999999999999995E-7</v>
      </c>
      <c r="G81" s="7"/>
      <c r="H81" s="7"/>
      <c r="I81" s="54">
        <f t="shared" si="33"/>
        <v>2.466507651261447</v>
      </c>
      <c r="J81" s="54">
        <f t="shared" si="34"/>
        <v>4.1802418146186522</v>
      </c>
      <c r="K81" s="55">
        <f t="shared" si="35"/>
        <v>3.3113179471256898E-3</v>
      </c>
      <c r="L81" s="55">
        <f t="shared" si="36"/>
        <v>2.553997824613688E-2</v>
      </c>
      <c r="M81" s="55">
        <f t="shared" si="19"/>
        <v>0.97446002175386315</v>
      </c>
      <c r="N81" s="55">
        <f t="shared" si="37"/>
        <v>2.0851391782797896E-2</v>
      </c>
      <c r="O81" s="56">
        <f t="shared" si="21"/>
        <v>3.3302463576850417E-9</v>
      </c>
      <c r="P81" s="56">
        <f t="shared" si="38"/>
        <v>5.0433391779832111E-5</v>
      </c>
      <c r="Q81" s="56">
        <f t="shared" si="39"/>
        <v>1.4498209197531392E-3</v>
      </c>
      <c r="R81" s="9">
        <f t="shared" si="12"/>
        <v>1.4999999999999999E-4</v>
      </c>
      <c r="S81" s="9">
        <f t="shared" si="13"/>
        <v>3.830996736920532E-6</v>
      </c>
      <c r="T81" s="9">
        <f t="shared" si="10"/>
        <v>4.9669769206885344E-7</v>
      </c>
      <c r="U81" s="9">
        <f t="shared" si="11"/>
        <v>1.4616900326307945E-4</v>
      </c>
      <c r="V81" s="100">
        <f t="shared" si="14"/>
        <v>3.3981054873507052E-3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138</v>
      </c>
      <c r="C82" s="46" t="s">
        <v>139</v>
      </c>
      <c r="D82" s="47">
        <v>4.2752879999999998</v>
      </c>
      <c r="E82" s="47">
        <v>5.3084609999999994</v>
      </c>
      <c r="F82" s="96">
        <v>9.9999999999999995E-7</v>
      </c>
      <c r="G82" s="7"/>
      <c r="H82" s="7"/>
      <c r="I82" s="54">
        <f t="shared" si="33"/>
        <v>2.2273249528367836</v>
      </c>
      <c r="J82" s="54">
        <f t="shared" si="34"/>
        <v>3.8903842917257068</v>
      </c>
      <c r="K82" s="55">
        <f t="shared" si="35"/>
        <v>5.7597930846364212E-3</v>
      </c>
      <c r="L82" s="55">
        <f t="shared" si="36"/>
        <v>2.2791294829298061E-2</v>
      </c>
      <c r="M82" s="55">
        <f t="shared" si="19"/>
        <v>0.97720870517070191</v>
      </c>
      <c r="N82" s="55">
        <f t="shared" si="37"/>
        <v>1.6949779293359765E-2</v>
      </c>
      <c r="O82" s="56">
        <f t="shared" si="21"/>
        <v>5.7927176572639291E-9</v>
      </c>
      <c r="P82" s="56">
        <f t="shared" si="38"/>
        <v>4.500561003686499E-5</v>
      </c>
      <c r="Q82" s="56">
        <f t="shared" si="39"/>
        <v>1.1785373782571625E-3</v>
      </c>
      <c r="R82" s="9">
        <f t="shared" si="12"/>
        <v>1.4999999999999999E-4</v>
      </c>
      <c r="S82" s="9">
        <f t="shared" si="13"/>
        <v>3.4186942243947087E-6</v>
      </c>
      <c r="T82" s="9">
        <f t="shared" si="10"/>
        <v>8.6396896269546314E-7</v>
      </c>
      <c r="U82" s="9">
        <f t="shared" si="11"/>
        <v>1.4658130577560526E-4</v>
      </c>
      <c r="V82" s="100">
        <f t="shared" si="14"/>
        <v>5.8941278911655648E-3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85</v>
      </c>
      <c r="C83" s="46" t="s">
        <v>86</v>
      </c>
      <c r="D83" s="47">
        <v>2.7665919999999997</v>
      </c>
      <c r="E83" s="47">
        <v>3.5255839999999989</v>
      </c>
      <c r="F83" s="96">
        <v>9.9999999999999995E-7</v>
      </c>
      <c r="G83" s="7"/>
      <c r="H83" s="7"/>
      <c r="I83" s="54">
        <f t="shared" si="33"/>
        <v>0.70532975413914467</v>
      </c>
      <c r="J83" s="54">
        <f t="shared" si="34"/>
        <v>2.1981621448512665</v>
      </c>
      <c r="K83" s="55">
        <f t="shared" si="35"/>
        <v>0.19302949309015369</v>
      </c>
      <c r="L83" s="55">
        <f t="shared" si="36"/>
        <v>1.5515423718976481E-2</v>
      </c>
      <c r="M83" s="55">
        <f t="shared" si="19"/>
        <v>0.98448457628102348</v>
      </c>
      <c r="N83" s="55">
        <f t="shared" si="37"/>
        <v>9.3649149088280755E-3</v>
      </c>
      <c r="O83" s="56">
        <f t="shared" si="21"/>
        <v>1.9413290313824208E-7</v>
      </c>
      <c r="P83" s="56">
        <f t="shared" si="38"/>
        <v>3.0638062237488336E-5</v>
      </c>
      <c r="Q83" s="56">
        <f t="shared" si="39"/>
        <v>6.5115315504877765E-4</v>
      </c>
      <c r="R83" s="9">
        <f t="shared" si="12"/>
        <v>1.4999999999999999E-4</v>
      </c>
      <c r="S83" s="9">
        <f t="shared" si="13"/>
        <v>2.3273135578464719E-6</v>
      </c>
      <c r="T83" s="9">
        <f t="shared" si="10"/>
        <v>2.8954423963523052E-5</v>
      </c>
      <c r="U83" s="9">
        <f t="shared" si="11"/>
        <v>1.476726864421535E-4</v>
      </c>
      <c r="V83" s="100">
        <f t="shared" si="14"/>
        <v>0.19607162746961407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140</v>
      </c>
      <c r="C84" s="46" t="s">
        <v>141</v>
      </c>
      <c r="D84" s="47">
        <v>4.4687359999999998</v>
      </c>
      <c r="E84" s="47">
        <v>5.2666120000000003</v>
      </c>
      <c r="F84" s="96">
        <v>9.9999999999999995E-7</v>
      </c>
      <c r="G84" s="7"/>
      <c r="H84" s="7"/>
      <c r="I84" s="54">
        <f t="shared" si="33"/>
        <v>2.3272580136650043</v>
      </c>
      <c r="J84" s="54">
        <f t="shared" si="34"/>
        <v>3.9219734110768916</v>
      </c>
      <c r="K84" s="55">
        <f t="shared" si="35"/>
        <v>4.5911077684837832E-3</v>
      </c>
      <c r="L84" s="55">
        <f t="shared" si="36"/>
        <v>1.9537487974404927E-2</v>
      </c>
      <c r="M84" s="55">
        <f t="shared" si="19"/>
        <v>0.98046251202559509</v>
      </c>
      <c r="N84" s="55">
        <f t="shared" si="37"/>
        <v>1.2269465751475313E-2</v>
      </c>
      <c r="O84" s="56">
        <f t="shared" si="21"/>
        <v>4.6173518121400333E-9</v>
      </c>
      <c r="P84" s="56">
        <f t="shared" si="38"/>
        <v>3.8580369016405174E-5</v>
      </c>
      <c r="Q84" s="56">
        <f t="shared" si="39"/>
        <v>8.5310986940252426E-4</v>
      </c>
      <c r="R84" s="9">
        <f t="shared" si="12"/>
        <v>1.4999999999999999E-4</v>
      </c>
      <c r="S84" s="9">
        <f t="shared" si="13"/>
        <v>2.9306231961607387E-6</v>
      </c>
      <c r="T84" s="9">
        <f t="shared" si="10"/>
        <v>6.8866616527256742E-7</v>
      </c>
      <c r="U84" s="9">
        <f t="shared" si="11"/>
        <v>1.4706937680383924E-4</v>
      </c>
      <c r="V84" s="100">
        <f t="shared" si="14"/>
        <v>4.6825938903046318E-3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87</v>
      </c>
      <c r="C85" s="46" t="s">
        <v>88</v>
      </c>
      <c r="D85" s="47">
        <v>2.6972559999999999</v>
      </c>
      <c r="E85" s="47">
        <v>3.431432</v>
      </c>
      <c r="F85" s="96">
        <v>9.9999999999999995E-7</v>
      </c>
      <c r="G85" s="7"/>
      <c r="H85" s="7"/>
      <c r="I85" s="54">
        <f t="shared" si="33"/>
        <v>0.64458903464573347</v>
      </c>
      <c r="J85" s="54">
        <f t="shared" si="34"/>
        <v>2.114444428876499</v>
      </c>
      <c r="K85" s="55">
        <f t="shared" si="35"/>
        <v>0.22218347759002069</v>
      </c>
      <c r="L85" s="55">
        <f t="shared" si="36"/>
        <v>1.4727668977839059E-2</v>
      </c>
      <c r="M85" s="55">
        <f t="shared" si="19"/>
        <v>0.98527233102216094</v>
      </c>
      <c r="N85" s="55">
        <f t="shared" si="37"/>
        <v>8.678405234841197E-3</v>
      </c>
      <c r="O85" s="56">
        <f t="shared" si="21"/>
        <v>2.2345353988862264E-7</v>
      </c>
      <c r="P85" s="56">
        <f t="shared" si="38"/>
        <v>2.9082495388397039E-5</v>
      </c>
      <c r="Q85" s="56">
        <f t="shared" si="39"/>
        <v>6.0341935879541656E-4</v>
      </c>
      <c r="R85" s="9">
        <f t="shared" si="12"/>
        <v>1.4999999999999999E-4</v>
      </c>
      <c r="S85" s="9">
        <f t="shared" si="13"/>
        <v>2.2091503466758586E-6</v>
      </c>
      <c r="T85" s="9">
        <f t="shared" si="10"/>
        <v>3.3327521638503098E-5</v>
      </c>
      <c r="U85" s="9">
        <f t="shared" si="11"/>
        <v>1.4779084965332412E-4</v>
      </c>
      <c r="V85" s="100">
        <f t="shared" si="14"/>
        <v>0.22550463521036734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142</v>
      </c>
      <c r="C86" s="46" t="s">
        <v>143</v>
      </c>
      <c r="D86" s="47">
        <v>3.859360000000001</v>
      </c>
      <c r="E86" s="47">
        <v>4.2614199999999993</v>
      </c>
      <c r="F86" s="96">
        <v>9.9999999999999995E-7</v>
      </c>
      <c r="G86" s="7"/>
      <c r="H86" s="7"/>
      <c r="I86" s="54">
        <f t="shared" si="33"/>
        <v>1.6299602750984028</v>
      </c>
      <c r="J86" s="54">
        <f t="shared" si="34"/>
        <v>3.1083049817479944</v>
      </c>
      <c r="K86" s="55">
        <f t="shared" si="35"/>
        <v>2.2972818434048671E-2</v>
      </c>
      <c r="L86" s="55">
        <f t="shared" si="36"/>
        <v>1.501402336254664E-2</v>
      </c>
      <c r="M86" s="55">
        <f t="shared" si="19"/>
        <v>0.98498597663745335</v>
      </c>
      <c r="N86" s="55">
        <f t="shared" si="37"/>
        <v>6.0663916557662876E-3</v>
      </c>
      <c r="O86" s="56">
        <f t="shared" si="21"/>
        <v>2.3104137427261802E-8</v>
      </c>
      <c r="P86" s="56">
        <f t="shared" si="38"/>
        <v>2.9647954870494088E-5</v>
      </c>
      <c r="Q86" s="56">
        <f t="shared" si="39"/>
        <v>4.2180309216585486E-4</v>
      </c>
      <c r="R86" s="9">
        <f t="shared" si="12"/>
        <v>1.4999999999999999E-4</v>
      </c>
      <c r="S86" s="9">
        <f t="shared" si="13"/>
        <v>2.2521035043819958E-6</v>
      </c>
      <c r="T86" s="9">
        <f t="shared" si="10"/>
        <v>3.4459227651073002E-6</v>
      </c>
      <c r="U86" s="9">
        <f t="shared" si="11"/>
        <v>1.47747896495618E-4</v>
      </c>
      <c r="V86" s="100">
        <f t="shared" si="14"/>
        <v>2.3322990356140209E-2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280</v>
      </c>
      <c r="C87" s="46" t="s">
        <v>281</v>
      </c>
      <c r="D87" s="47">
        <v>2.5105662711924017</v>
      </c>
      <c r="E87" s="47">
        <v>3.0939041322596146</v>
      </c>
      <c r="F87" s="96">
        <v>9.9999999999999995E-7</v>
      </c>
      <c r="G87" s="7"/>
      <c r="H87" s="7"/>
      <c r="I87" s="54">
        <f t="shared" si="33"/>
        <v>0.48026857292599601</v>
      </c>
      <c r="J87" s="54">
        <f t="shared" si="34"/>
        <v>1.8471851829125021</v>
      </c>
      <c r="K87" s="55">
        <f t="shared" si="35"/>
        <v>0.32537493452677441</v>
      </c>
      <c r="L87" s="55">
        <f t="shared" si="36"/>
        <v>1.1655934601759453E-2</v>
      </c>
      <c r="M87" s="55">
        <f t="shared" si="19"/>
        <v>0.9883440653982406</v>
      </c>
      <c r="N87" s="55">
        <f t="shared" si="37"/>
        <v>5.8423072290626652E-3</v>
      </c>
      <c r="O87" s="56">
        <f t="shared" si="21"/>
        <v>3.2723486777534423E-7</v>
      </c>
      <c r="P87" s="56">
        <f t="shared" si="38"/>
        <v>2.3016790017021736E-5</v>
      </c>
      <c r="Q87" s="56">
        <f t="shared" si="39"/>
        <v>4.0622224782654198E-4</v>
      </c>
      <c r="R87" s="9">
        <f t="shared" si="12"/>
        <v>1.4999999999999999E-4</v>
      </c>
      <c r="S87" s="9">
        <f t="shared" si="13"/>
        <v>1.7483901902639177E-6</v>
      </c>
      <c r="T87" s="9">
        <f t="shared" si="10"/>
        <v>4.8806240179016154E-5</v>
      </c>
      <c r="U87" s="9">
        <f t="shared" si="11"/>
        <v>1.4825160980973609E-4</v>
      </c>
      <c r="V87" s="100">
        <f t="shared" si="14"/>
        <v>0.32921221052272798</v>
      </c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282</v>
      </c>
      <c r="C88" s="46" t="s">
        <v>283</v>
      </c>
      <c r="D88" s="47">
        <v>1.93</v>
      </c>
      <c r="E88" s="47">
        <v>1.25</v>
      </c>
      <c r="F88" s="96">
        <v>9.9999999999999995E-7</v>
      </c>
      <c r="G88" s="7"/>
      <c r="H88" s="7"/>
      <c r="I88" s="54">
        <f t="shared" si="33"/>
        <v>0.14925721804369038</v>
      </c>
      <c r="J88" s="54">
        <f t="shared" si="34"/>
        <v>1.0153198888618138</v>
      </c>
      <c r="K88" s="55">
        <f t="shared" si="35"/>
        <v>0.70286806978470706</v>
      </c>
      <c r="L88" s="55">
        <f t="shared" si="36"/>
        <v>3.7082715456000703E-3</v>
      </c>
      <c r="M88" s="55">
        <f t="shared" si="19"/>
        <v>0.99629172845439995</v>
      </c>
      <c r="N88" s="55">
        <f t="shared" si="37"/>
        <v>1.8078815801002851E-4</v>
      </c>
      <c r="O88" s="56">
        <f t="shared" si="21"/>
        <v>7.0688585835299982E-7</v>
      </c>
      <c r="P88" s="56">
        <f t="shared" si="38"/>
        <v>7.3226652694404752E-6</v>
      </c>
      <c r="Q88" s="56">
        <f t="shared" si="39"/>
        <v>1.2570405671568306E-5</v>
      </c>
      <c r="R88" s="9">
        <f t="shared" si="12"/>
        <v>1.4999999999999999E-4</v>
      </c>
      <c r="S88" s="9">
        <f t="shared" si="13"/>
        <v>5.5624073184001053E-7</v>
      </c>
      <c r="T88" s="9">
        <f t="shared" si="10"/>
        <v>1.0543021046770605E-4</v>
      </c>
      <c r="U88" s="9">
        <f t="shared" si="11"/>
        <v>1.4944375926815998E-4</v>
      </c>
      <c r="V88" s="100">
        <f t="shared" si="14"/>
        <v>0.70548419675741303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284</v>
      </c>
      <c r="C89" s="46" t="s">
        <v>285</v>
      </c>
      <c r="D89" s="47">
        <v>1.25894119353766</v>
      </c>
      <c r="E89" s="47">
        <v>1.3134233879901926</v>
      </c>
      <c r="F89" s="96">
        <v>9.9999999999999995E-7</v>
      </c>
      <c r="G89" s="7"/>
      <c r="H89" s="7"/>
      <c r="I89" s="54">
        <f t="shared" si="33"/>
        <v>3.7336026484154294E-2</v>
      </c>
      <c r="J89" s="54">
        <f t="shared" si="34"/>
        <v>0.52729049979946763</v>
      </c>
      <c r="K89" s="55">
        <f t="shared" si="35"/>
        <v>0.91144210593924035</v>
      </c>
      <c r="L89" s="55">
        <f t="shared" si="36"/>
        <v>1.5631383315358124E-3</v>
      </c>
      <c r="M89" s="55">
        <f t="shared" si="19"/>
        <v>0.99843686166846424</v>
      </c>
      <c r="N89" s="55">
        <f t="shared" si="37"/>
        <v>2.7129928006499969E-4</v>
      </c>
      <c r="O89" s="56">
        <f t="shared" si="21"/>
        <v>9.1665216146932714E-7</v>
      </c>
      <c r="P89" s="56">
        <f t="shared" si="38"/>
        <v>3.0867045821522172E-6</v>
      </c>
      <c r="Q89" s="56">
        <f t="shared" si="39"/>
        <v>1.8863746643363082E-5</v>
      </c>
      <c r="R89" s="9">
        <f t="shared" si="12"/>
        <v>1.4999999999999999E-4</v>
      </c>
      <c r="S89" s="9">
        <f t="shared" si="13"/>
        <v>2.3447074973037184E-7</v>
      </c>
      <c r="T89" s="9">
        <f t="shared" si="10"/>
        <v>1.3671631589088604E-4</v>
      </c>
      <c r="U89" s="9">
        <f t="shared" si="11"/>
        <v>1.4976552925026961E-4</v>
      </c>
      <c r="V89" s="100">
        <f t="shared" si="14"/>
        <v>0.91286904653755574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286</v>
      </c>
      <c r="C90" s="46" t="s">
        <v>287</v>
      </c>
      <c r="D90" s="47">
        <v>0.21626245461153099</v>
      </c>
      <c r="E90" s="47">
        <v>-0.16982383217232916</v>
      </c>
      <c r="F90" s="96">
        <v>9.9999999999999995E-7</v>
      </c>
      <c r="G90" s="7"/>
      <c r="H90" s="7"/>
      <c r="I90" s="54">
        <f t="shared" si="33"/>
        <v>1.290009012521746E-3</v>
      </c>
      <c r="J90" s="54">
        <f t="shared" si="34"/>
        <v>2.4879215718300821E-2</v>
      </c>
      <c r="K90" s="55">
        <f t="shared" si="35"/>
        <v>0.99133910039724649</v>
      </c>
      <c r="L90" s="55">
        <f t="shared" si="36"/>
        <v>5.3466194889498979E-4</v>
      </c>
      <c r="M90" s="55">
        <f t="shared" si="19"/>
        <v>0.99946533805110505</v>
      </c>
      <c r="N90" s="55">
        <f t="shared" si="37"/>
        <v>9.6982766667963361E-6</v>
      </c>
      <c r="O90" s="56">
        <f t="shared" si="21"/>
        <v>9.9700586927763914E-7</v>
      </c>
      <c r="P90" s="56">
        <f t="shared" si="38"/>
        <v>1.0557885084521643E-6</v>
      </c>
      <c r="Q90" s="56">
        <f t="shared" si="39"/>
        <v>6.7433217617036997E-7</v>
      </c>
      <c r="R90" s="9">
        <f t="shared" si="12"/>
        <v>1.4999999999999999E-4</v>
      </c>
      <c r="S90" s="9">
        <f t="shared" si="13"/>
        <v>8.0199292334248455E-8</v>
      </c>
      <c r="T90" s="9">
        <f t="shared" si="10"/>
        <v>1.4870086505958696E-4</v>
      </c>
      <c r="U90" s="9">
        <f t="shared" si="11"/>
        <v>1.4991980070766574E-4</v>
      </c>
      <c r="V90" s="100">
        <f t="shared" si="14"/>
        <v>0.99186941523184369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288</v>
      </c>
      <c r="C91" s="46" t="s">
        <v>289</v>
      </c>
      <c r="D91" s="47">
        <v>-2.4693681101840836E-2</v>
      </c>
      <c r="E91" s="47">
        <v>-0.51259241959557644</v>
      </c>
      <c r="F91" s="96">
        <v>9.9999999999999995E-7</v>
      </c>
      <c r="G91" s="7"/>
      <c r="H91" s="7"/>
      <c r="I91" s="54">
        <f t="shared" si="33"/>
        <v>-2.2961926676165657E-4</v>
      </c>
      <c r="J91" s="54">
        <f t="shared" si="34"/>
        <v>-1.1223782850909744E-2</v>
      </c>
      <c r="K91" s="55">
        <f t="shared" si="35"/>
        <v>0.99485465863102762</v>
      </c>
      <c r="L91" s="55">
        <f t="shared" si="36"/>
        <v>4.9375747166326112E-4</v>
      </c>
      <c r="M91" s="55">
        <f t="shared" si="19"/>
        <v>0.99950624252833675</v>
      </c>
      <c r="N91" s="55">
        <f t="shared" si="37"/>
        <v>4.4204184595091873E-6</v>
      </c>
      <c r="O91" s="56">
        <f t="shared" si="21"/>
        <v>1.0005415234160289E-6</v>
      </c>
      <c r="P91" s="56">
        <f t="shared" si="38"/>
        <v>9.7501508312283646E-7</v>
      </c>
      <c r="Q91" s="56">
        <f t="shared" si="39"/>
        <v>3.0735670901098061E-7</v>
      </c>
      <c r="R91" s="9">
        <f t="shared" si="12"/>
        <v>1.4999999999999999E-4</v>
      </c>
      <c r="S91" s="9">
        <f t="shared" si="13"/>
        <v>7.4063620749489168E-8</v>
      </c>
      <c r="T91" s="9">
        <f t="shared" si="10"/>
        <v>1.4922819879465413E-4</v>
      </c>
      <c r="U91" s="9">
        <f t="shared" si="11"/>
        <v>1.499259363792505E-4</v>
      </c>
      <c r="V91" s="100">
        <f t="shared" si="14"/>
        <v>0.99534611821378671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290</v>
      </c>
      <c r="C92" s="46" t="s">
        <v>291</v>
      </c>
      <c r="D92" s="47">
        <v>1.358312346903767</v>
      </c>
      <c r="E92" s="47">
        <v>1.454782352637753</v>
      </c>
      <c r="F92" s="96">
        <v>9.9999999999999995E-7</v>
      </c>
      <c r="G92" s="7"/>
      <c r="H92" s="7"/>
      <c r="I92" s="54">
        <f t="shared" si="33"/>
        <v>4.7346378220411142E-2</v>
      </c>
      <c r="J92" s="54">
        <f t="shared" si="34"/>
        <v>0.61119814622859969</v>
      </c>
      <c r="K92" s="55">
        <f t="shared" si="35"/>
        <v>0.89041574985732852</v>
      </c>
      <c r="L92" s="55">
        <f t="shared" si="36"/>
        <v>1.8525451652909664E-3</v>
      </c>
      <c r="M92" s="55">
        <f t="shared" si="19"/>
        <v>0.99814745483470901</v>
      </c>
      <c r="N92" s="55">
        <f t="shared" si="37"/>
        <v>3.6700446791833183E-4</v>
      </c>
      <c r="O92" s="56">
        <f t="shared" si="21"/>
        <v>8.9550561291214095E-7</v>
      </c>
      <c r="P92" s="56">
        <f t="shared" si="38"/>
        <v>3.6581916871869351E-6</v>
      </c>
      <c r="Q92" s="56">
        <f t="shared" si="39"/>
        <v>2.551823690108949E-5</v>
      </c>
      <c r="R92" s="9">
        <f t="shared" si="12"/>
        <v>1.4999999999999999E-4</v>
      </c>
      <c r="S92" s="9">
        <f t="shared" si="13"/>
        <v>2.7788177479364491E-7</v>
      </c>
      <c r="T92" s="9">
        <f t="shared" ref="T92:T143" si="40">R92*K92</f>
        <v>1.3356236247859927E-4</v>
      </c>
      <c r="U92" s="9">
        <f t="shared" ref="U92:U143" si="41">$R92*M92</f>
        <v>1.4972211822520635E-4</v>
      </c>
      <c r="V92" s="100">
        <f t="shared" si="14"/>
        <v>0.89206834676022828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292</v>
      </c>
      <c r="C93" s="46" t="s">
        <v>293</v>
      </c>
      <c r="D93" s="47">
        <v>-1.2091799453325114E-2</v>
      </c>
      <c r="E93" s="47">
        <v>-0.49466579922233578</v>
      </c>
      <c r="F93" s="96">
        <v>9.9999999999999995E-7</v>
      </c>
      <c r="G93" s="7"/>
      <c r="H93" s="7"/>
      <c r="I93" s="54">
        <f t="shared" si="33"/>
        <v>-1.6947243885858597E-4</v>
      </c>
      <c r="J93" s="54">
        <f t="shared" si="34"/>
        <v>-9.7534084102171136E-3</v>
      </c>
      <c r="K93" s="55">
        <f t="shared" si="35"/>
        <v>0.99471529014373061</v>
      </c>
      <c r="L93" s="55">
        <f t="shared" si="36"/>
        <v>4.9536259608076272E-4</v>
      </c>
      <c r="M93" s="55">
        <f t="shared" ref="M93:M127" si="42">IF(D93=0,"",1-L93)</f>
        <v>0.99950463740391926</v>
      </c>
      <c r="N93" s="55">
        <f t="shared" si="37"/>
        <v>4.6060554291131473E-6</v>
      </c>
      <c r="O93" s="56">
        <f t="shared" ref="O93:O127" si="43">IF(D93=0,"",F93*K93*$J$7/$J$14)</f>
        <v>1.000401358259856E-6</v>
      </c>
      <c r="P93" s="56">
        <f t="shared" si="38"/>
        <v>9.7818469696600717E-7</v>
      </c>
      <c r="Q93" s="56">
        <f t="shared" si="39"/>
        <v>3.2026425805206841E-7</v>
      </c>
      <c r="R93" s="9">
        <f t="shared" ref="R93:R143" si="44">F93*$C$14</f>
        <v>1.4999999999999999E-4</v>
      </c>
      <c r="S93" s="9">
        <f t="shared" ref="S93:S143" si="45">$R93*L93</f>
        <v>7.4304389412114401E-8</v>
      </c>
      <c r="T93" s="9">
        <f t="shared" si="40"/>
        <v>1.4920729352155957E-4</v>
      </c>
      <c r="U93" s="9">
        <f t="shared" si="41"/>
        <v>1.4992569561058787E-4</v>
      </c>
      <c r="V93" s="100">
        <f t="shared" ref="V93:V143" si="46">K93/M93</f>
        <v>0.99520827910050691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294</v>
      </c>
      <c r="C94" s="46" t="s">
        <v>295</v>
      </c>
      <c r="D94" s="47">
        <v>-0.5582197001134892</v>
      </c>
      <c r="E94" s="47">
        <v>-1.2715519677670764</v>
      </c>
      <c r="F94" s="96">
        <v>9.9999999999999995E-7</v>
      </c>
      <c r="G94" s="7"/>
      <c r="H94" s="7"/>
      <c r="I94" s="54">
        <f t="shared" si="33"/>
        <v>-1.6675027667828724E-3</v>
      </c>
      <c r="J94" s="54">
        <f t="shared" si="34"/>
        <v>-4.7341276291219724E-2</v>
      </c>
      <c r="K94" s="55">
        <f t="shared" si="35"/>
        <v>0.99819175721335063</v>
      </c>
      <c r="L94" s="55">
        <f t="shared" si="36"/>
        <v>4.558799882352938E-4</v>
      </c>
      <c r="M94" s="55">
        <f t="shared" si="42"/>
        <v>0.99954412001176474</v>
      </c>
      <c r="N94" s="55">
        <f t="shared" si="37"/>
        <v>7.7260617869208933E-7</v>
      </c>
      <c r="O94" s="56">
        <f t="shared" si="43"/>
        <v>1.0038976977781627E-6</v>
      </c>
      <c r="P94" s="56">
        <f t="shared" si="38"/>
        <v>9.0021901466315704E-7</v>
      </c>
      <c r="Q94" s="56">
        <f t="shared" si="39"/>
        <v>5.3720183873885264E-8</v>
      </c>
      <c r="R94" s="9">
        <f t="shared" si="44"/>
        <v>1.4999999999999999E-4</v>
      </c>
      <c r="S94" s="9">
        <f t="shared" si="45"/>
        <v>6.8381998235294069E-8</v>
      </c>
      <c r="T94" s="9">
        <f t="shared" si="40"/>
        <v>1.4972876358200257E-4</v>
      </c>
      <c r="U94" s="9">
        <f t="shared" si="41"/>
        <v>1.4993161800176471E-4</v>
      </c>
      <c r="V94" s="100">
        <f t="shared" si="46"/>
        <v>0.99864702040526421</v>
      </c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296</v>
      </c>
      <c r="C95" s="46" t="s">
        <v>297</v>
      </c>
      <c r="D95" s="47">
        <v>3.8826699877244018</v>
      </c>
      <c r="E95" s="47">
        <v>5.0457699825375304</v>
      </c>
      <c r="F95" s="96">
        <v>9.9999999999999995E-7</v>
      </c>
      <c r="G95" s="7"/>
      <c r="H95" s="7"/>
      <c r="I95" s="54">
        <f t="shared" si="33"/>
        <v>1.9022995281384409</v>
      </c>
      <c r="J95" s="54">
        <f t="shared" si="34"/>
        <v>3.5979703947660986</v>
      </c>
      <c r="K95" s="55">
        <f t="shared" si="35"/>
        <v>1.2152373673187935E-2</v>
      </c>
      <c r="L95" s="55">
        <f t="shared" si="36"/>
        <v>2.4525018031867268E-2</v>
      </c>
      <c r="M95" s="55">
        <f t="shared" si="42"/>
        <v>0.97547498196813276</v>
      </c>
      <c r="N95" s="55">
        <f t="shared" si="37"/>
        <v>1.9531125164251709E-2</v>
      </c>
      <c r="O95" s="56">
        <f t="shared" si="43"/>
        <v>1.2221840007085719E-8</v>
      </c>
      <c r="P95" s="56">
        <f t="shared" si="38"/>
        <v>4.8429165870401486E-5</v>
      </c>
      <c r="Q95" s="56">
        <f t="shared" si="39"/>
        <v>1.3580212843542615E-3</v>
      </c>
      <c r="R95" s="9">
        <f t="shared" si="44"/>
        <v>1.4999999999999999E-4</v>
      </c>
      <c r="S95" s="9">
        <f t="shared" si="45"/>
        <v>3.67875270478009E-6</v>
      </c>
      <c r="T95" s="9">
        <f t="shared" si="40"/>
        <v>1.82285605097819E-6</v>
      </c>
      <c r="U95" s="9">
        <f t="shared" si="41"/>
        <v>1.463212472952199E-4</v>
      </c>
      <c r="V95" s="100">
        <f t="shared" si="46"/>
        <v>1.2457903993261956E-2</v>
      </c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298</v>
      </c>
      <c r="C96" s="46" t="s">
        <v>211</v>
      </c>
      <c r="D96" s="47">
        <v>-5.8280000000154555</v>
      </c>
      <c r="E96" s="47">
        <v>-8.7680000000219867</v>
      </c>
      <c r="F96" s="96">
        <v>9.9999999999999995E-7</v>
      </c>
      <c r="G96" s="7"/>
      <c r="H96" s="7"/>
      <c r="I96" s="54">
        <f t="shared" si="33"/>
        <v>-2.2554890834977572E-3</v>
      </c>
      <c r="J96" s="54">
        <f t="shared" si="34"/>
        <v>-6.2482029266406218E-2</v>
      </c>
      <c r="K96" s="55">
        <f t="shared" si="35"/>
        <v>0.99955912918873202</v>
      </c>
      <c r="L96" s="55">
        <f t="shared" si="36"/>
        <v>4.4086364414757669E-4</v>
      </c>
      <c r="M96" s="55">
        <f t="shared" si="42"/>
        <v>0.99955913635585247</v>
      </c>
      <c r="N96" s="55">
        <f t="shared" si="37"/>
        <v>2.4666336703691122E-14</v>
      </c>
      <c r="O96" s="56">
        <f t="shared" si="43"/>
        <v>1.0052728860304922E-6</v>
      </c>
      <c r="P96" s="56">
        <f t="shared" si="38"/>
        <v>8.7056647709331203E-7</v>
      </c>
      <c r="Q96" s="56">
        <f t="shared" si="39"/>
        <v>1.7150783669121329E-15</v>
      </c>
      <c r="R96" s="9">
        <f t="shared" si="44"/>
        <v>1.4999999999999999E-4</v>
      </c>
      <c r="S96" s="9">
        <f t="shared" si="45"/>
        <v>6.6129546622136493E-8</v>
      </c>
      <c r="T96" s="9">
        <f t="shared" si="40"/>
        <v>1.4993386937830978E-4</v>
      </c>
      <c r="U96" s="9">
        <f t="shared" si="41"/>
        <v>1.4993387045337785E-4</v>
      </c>
      <c r="V96" s="100">
        <f t="shared" si="46"/>
        <v>0.99999999282971841</v>
      </c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299</v>
      </c>
      <c r="C97" s="46" t="s">
        <v>212</v>
      </c>
      <c r="D97" s="47" t="s">
        <v>300</v>
      </c>
      <c r="E97" s="47">
        <v>-4.1624004386372073</v>
      </c>
      <c r="F97" s="96">
        <v>9.9999999999999995E-7</v>
      </c>
      <c r="G97" s="7"/>
      <c r="H97" s="7"/>
      <c r="I97" s="54" t="e">
        <f t="shared" si="33"/>
        <v>#VALUE!</v>
      </c>
      <c r="J97" s="54" t="e">
        <f t="shared" si="34"/>
        <v>#VALUE!</v>
      </c>
      <c r="K97" s="55" t="e">
        <f t="shared" si="35"/>
        <v>#VALUE!</v>
      </c>
      <c r="L97" s="55" t="e">
        <f t="shared" si="36"/>
        <v>#VALUE!</v>
      </c>
      <c r="M97" s="55" t="e">
        <f t="shared" si="42"/>
        <v>#VALUE!</v>
      </c>
      <c r="N97" s="55" t="e">
        <f t="shared" si="37"/>
        <v>#VALUE!</v>
      </c>
      <c r="O97" s="56" t="e">
        <f t="shared" si="43"/>
        <v>#VALUE!</v>
      </c>
      <c r="P97" s="56" t="e">
        <f t="shared" si="38"/>
        <v>#VALUE!</v>
      </c>
      <c r="Q97" s="56" t="e">
        <f t="shared" si="39"/>
        <v>#VALUE!</v>
      </c>
      <c r="R97" s="9">
        <f t="shared" si="44"/>
        <v>1.4999999999999999E-4</v>
      </c>
      <c r="S97" s="9"/>
      <c r="T97" s="9"/>
      <c r="U97" s="9"/>
      <c r="V97" s="100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301</v>
      </c>
      <c r="C98" s="46" t="s">
        <v>213</v>
      </c>
      <c r="D98" s="47">
        <v>4.54</v>
      </c>
      <c r="E98" s="47">
        <v>4.25</v>
      </c>
      <c r="F98" s="96">
        <v>9.9999999999999995E-7</v>
      </c>
      <c r="G98" s="7"/>
      <c r="H98" s="7"/>
      <c r="I98" s="54">
        <f t="shared" si="33"/>
        <v>2.2410131712935462</v>
      </c>
      <c r="J98" s="54">
        <f t="shared" si="34"/>
        <v>3.6198691988424496</v>
      </c>
      <c r="K98" s="55">
        <f t="shared" si="35"/>
        <v>5.6428489183343693E-3</v>
      </c>
      <c r="L98" s="55">
        <f t="shared" si="36"/>
        <v>1.1976928223697088E-2</v>
      </c>
      <c r="M98" s="55">
        <f t="shared" si="42"/>
        <v>0.98802307177630289</v>
      </c>
      <c r="N98" s="55">
        <f t="shared" si="37"/>
        <v>1.4514249625637891E-3</v>
      </c>
      <c r="O98" s="56">
        <f t="shared" si="43"/>
        <v>5.6751050057159329E-9</v>
      </c>
      <c r="P98" s="56">
        <f t="shared" si="38"/>
        <v>2.3650651053941656E-5</v>
      </c>
      <c r="Q98" s="56">
        <f t="shared" si="39"/>
        <v>1.0091922381473458E-4</v>
      </c>
      <c r="R98" s="9">
        <f t="shared" si="44"/>
        <v>1.4999999999999999E-4</v>
      </c>
      <c r="S98" s="9">
        <f t="shared" si="45"/>
        <v>1.796539233554563E-6</v>
      </c>
      <c r="T98" s="9">
        <f t="shared" si="40"/>
        <v>8.4642733775015527E-7</v>
      </c>
      <c r="U98" s="9">
        <f t="shared" si="41"/>
        <v>1.4820346076644541E-4</v>
      </c>
      <c r="V98" s="100">
        <f t="shared" si="46"/>
        <v>5.7112521757102857E-3</v>
      </c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302</v>
      </c>
      <c r="C99" s="46" t="s">
        <v>214</v>
      </c>
      <c r="D99" s="47">
        <v>2.83</v>
      </c>
      <c r="E99" s="47">
        <v>2.3199999999999998</v>
      </c>
      <c r="F99" s="96">
        <v>9.9999999999999995E-7</v>
      </c>
      <c r="G99" s="7"/>
      <c r="H99" s="7"/>
      <c r="I99" s="54">
        <f t="shared" si="33"/>
        <v>0.63542458371912058</v>
      </c>
      <c r="J99" s="54">
        <f t="shared" si="34"/>
        <v>1.8931732256368987</v>
      </c>
      <c r="K99" s="55">
        <f t="shared" si="35"/>
        <v>0.22822050856840248</v>
      </c>
      <c r="L99" s="55">
        <f t="shared" si="36"/>
        <v>9.0887826937570762E-3</v>
      </c>
      <c r="M99" s="55">
        <f t="shared" si="42"/>
        <v>0.99091121730624288</v>
      </c>
      <c r="N99" s="55">
        <f t="shared" si="37"/>
        <v>6.8968508526937272E-4</v>
      </c>
      <c r="O99" s="56">
        <f t="shared" si="43"/>
        <v>2.2952508020822236E-7</v>
      </c>
      <c r="P99" s="56">
        <f t="shared" si="38"/>
        <v>1.7947475678266934E-5</v>
      </c>
      <c r="Q99" s="56">
        <f t="shared" si="39"/>
        <v>4.7954586201300197E-5</v>
      </c>
      <c r="R99" s="9">
        <f t="shared" si="44"/>
        <v>1.4999999999999999E-4</v>
      </c>
      <c r="S99" s="9">
        <f t="shared" si="45"/>
        <v>1.3633174040635613E-6</v>
      </c>
      <c r="T99" s="9">
        <f t="shared" si="40"/>
        <v>3.4233076285260372E-5</v>
      </c>
      <c r="U99" s="9">
        <f t="shared" si="41"/>
        <v>1.4863668259593643E-4</v>
      </c>
      <c r="V99" s="100">
        <f t="shared" si="46"/>
        <v>0.23031378047047632</v>
      </c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303</v>
      </c>
      <c r="C100" s="46" t="s">
        <v>215</v>
      </c>
      <c r="D100" s="47" t="s">
        <v>300</v>
      </c>
      <c r="E100" s="47">
        <v>1.7</v>
      </c>
      <c r="F100" s="96">
        <v>9.9999999999999995E-7</v>
      </c>
      <c r="G100" s="7"/>
      <c r="H100" s="7"/>
      <c r="I100" s="54" t="e">
        <f t="shared" si="33"/>
        <v>#VALUE!</v>
      </c>
      <c r="J100" s="54" t="e">
        <f t="shared" si="34"/>
        <v>#VALUE!</v>
      </c>
      <c r="K100" s="55" t="e">
        <f t="shared" si="35"/>
        <v>#VALUE!</v>
      </c>
      <c r="L100" s="55" t="e">
        <f t="shared" si="36"/>
        <v>#VALUE!</v>
      </c>
      <c r="M100" s="55" t="e">
        <f t="shared" si="42"/>
        <v>#VALUE!</v>
      </c>
      <c r="N100" s="55" t="e">
        <f t="shared" si="37"/>
        <v>#VALUE!</v>
      </c>
      <c r="O100" s="56" t="e">
        <f t="shared" si="43"/>
        <v>#VALUE!</v>
      </c>
      <c r="P100" s="56" t="e">
        <f t="shared" si="38"/>
        <v>#VALUE!</v>
      </c>
      <c r="Q100" s="56" t="e">
        <f t="shared" si="39"/>
        <v>#VALUE!</v>
      </c>
      <c r="R100" s="9">
        <f t="shared" si="44"/>
        <v>1.4999999999999999E-4</v>
      </c>
      <c r="S100" s="9"/>
      <c r="T100" s="9"/>
      <c r="U100" s="9"/>
      <c r="V100" s="100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304</v>
      </c>
      <c r="C101" s="46" t="s">
        <v>216</v>
      </c>
      <c r="D101" s="47">
        <v>4.2</v>
      </c>
      <c r="E101" s="47">
        <v>3.52</v>
      </c>
      <c r="F101" s="96">
        <v>9.9999999999999995E-7</v>
      </c>
      <c r="G101" s="7"/>
      <c r="H101" s="7"/>
      <c r="I101" s="54">
        <f t="shared" si="33"/>
        <v>1.8939169904293498</v>
      </c>
      <c r="J101" s="54">
        <f t="shared" si="34"/>
        <v>3.2476184352887936</v>
      </c>
      <c r="K101" s="55">
        <f t="shared" si="35"/>
        <v>1.2557044052735996E-2</v>
      </c>
      <c r="L101" s="55">
        <f t="shared" si="36"/>
        <v>1.1310548817967739E-2</v>
      </c>
      <c r="M101" s="55">
        <f t="shared" si="42"/>
        <v>0.98868945118203222</v>
      </c>
      <c r="N101" s="55">
        <f t="shared" si="37"/>
        <v>6.0142791709054519E-4</v>
      </c>
      <c r="O101" s="56">
        <f t="shared" si="43"/>
        <v>1.2628823594609458E-8</v>
      </c>
      <c r="P101" s="56">
        <f t="shared" si="38"/>
        <v>2.2334762163227983E-5</v>
      </c>
      <c r="Q101" s="56">
        <f t="shared" si="39"/>
        <v>4.181796519888836E-5</v>
      </c>
      <c r="R101" s="9">
        <f t="shared" si="44"/>
        <v>1.4999999999999999E-4</v>
      </c>
      <c r="S101" s="9">
        <f t="shared" si="45"/>
        <v>1.6965823226951606E-6</v>
      </c>
      <c r="T101" s="9">
        <f t="shared" si="40"/>
        <v>1.8835566079103992E-6</v>
      </c>
      <c r="U101" s="9">
        <f t="shared" si="41"/>
        <v>1.4830341767730482E-4</v>
      </c>
      <c r="V101" s="100">
        <f t="shared" si="46"/>
        <v>1.270069589366344E-2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305</v>
      </c>
      <c r="C102" s="46" t="s">
        <v>217</v>
      </c>
      <c r="D102" s="47">
        <v>3.44</v>
      </c>
      <c r="E102" s="47">
        <v>-2.9403004386372071</v>
      </c>
      <c r="F102" s="96">
        <v>9.9999999999999995E-7</v>
      </c>
      <c r="G102" s="7"/>
      <c r="H102" s="7"/>
      <c r="I102" s="54">
        <f t="shared" si="33"/>
        <v>1.1527504756067957</v>
      </c>
      <c r="J102" s="54">
        <f t="shared" si="34"/>
        <v>2.4649551637640035</v>
      </c>
      <c r="K102" s="55">
        <f t="shared" si="35"/>
        <v>6.9263078234934938E-2</v>
      </c>
      <c r="L102" s="55">
        <f t="shared" si="36"/>
        <v>1.0290459743490889E-2</v>
      </c>
      <c r="M102" s="55">
        <f t="shared" si="42"/>
        <v>0.98970954025650915</v>
      </c>
      <c r="N102" s="55">
        <f t="shared" si="37"/>
        <v>1.1494696680060044E-9</v>
      </c>
      <c r="O102" s="56">
        <f t="shared" si="43"/>
        <v>6.9659005174712305E-8</v>
      </c>
      <c r="P102" s="56">
        <f t="shared" si="38"/>
        <v>2.0320408374528145E-5</v>
      </c>
      <c r="Q102" s="56">
        <f t="shared" si="39"/>
        <v>7.9923929714450093E-11</v>
      </c>
      <c r="R102" s="9">
        <f t="shared" si="44"/>
        <v>1.4999999999999999E-4</v>
      </c>
      <c r="S102" s="9">
        <f t="shared" si="45"/>
        <v>1.5435689615236331E-6</v>
      </c>
      <c r="T102" s="9">
        <f t="shared" si="40"/>
        <v>1.0389461735240241E-5</v>
      </c>
      <c r="U102" s="9">
        <f t="shared" si="41"/>
        <v>1.4845643103847636E-4</v>
      </c>
      <c r="V102" s="100">
        <f t="shared" si="46"/>
        <v>6.9983237927547515E-2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306</v>
      </c>
      <c r="C103" s="46" t="s">
        <v>218</v>
      </c>
      <c r="D103" s="47">
        <v>4.49</v>
      </c>
      <c r="E103" s="47">
        <v>-1.7182004386372074</v>
      </c>
      <c r="F103" s="96">
        <v>9.9999999999999995E-7</v>
      </c>
      <c r="G103" s="7"/>
      <c r="H103" s="7"/>
      <c r="I103" s="54">
        <f t="shared" si="33"/>
        <v>2.1741441801583692</v>
      </c>
      <c r="J103" s="54">
        <f t="shared" si="34"/>
        <v>3.5137792245030726</v>
      </c>
      <c r="K103" s="55">
        <f t="shared" si="35"/>
        <v>6.5889590147383938E-3</v>
      </c>
      <c r="L103" s="55">
        <f t="shared" si="36"/>
        <v>1.0954028235371739E-2</v>
      </c>
      <c r="M103" s="55">
        <f t="shared" si="42"/>
        <v>0.98904597176462827</v>
      </c>
      <c r="N103" s="55">
        <f t="shared" si="37"/>
        <v>1.8235284061157157E-9</v>
      </c>
      <c r="O103" s="56">
        <f t="shared" si="43"/>
        <v>6.626623329485931E-9</v>
      </c>
      <c r="P103" s="56">
        <f t="shared" si="38"/>
        <v>2.1630746598048021E-5</v>
      </c>
      <c r="Q103" s="56">
        <f t="shared" si="39"/>
        <v>1.2679199827475077E-10</v>
      </c>
      <c r="R103" s="9">
        <f t="shared" si="44"/>
        <v>1.4999999999999999E-4</v>
      </c>
      <c r="S103" s="9">
        <f t="shared" si="45"/>
        <v>1.6431042353057607E-6</v>
      </c>
      <c r="T103" s="9">
        <f t="shared" si="40"/>
        <v>9.8834385221075891E-7</v>
      </c>
      <c r="U103" s="9">
        <f t="shared" si="41"/>
        <v>1.4835689576469423E-4</v>
      </c>
      <c r="V103" s="100">
        <f t="shared" si="46"/>
        <v>6.6619340281853191E-3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307</v>
      </c>
      <c r="C104" s="46" t="s">
        <v>219</v>
      </c>
      <c r="D104" s="47">
        <v>5.17</v>
      </c>
      <c r="E104" s="47">
        <v>4.54</v>
      </c>
      <c r="F104" s="96">
        <v>9.9999999999999995E-7</v>
      </c>
      <c r="G104" s="7"/>
      <c r="H104" s="7"/>
      <c r="I104" s="54">
        <f t="shared" si="33"/>
        <v>2.8598242449089666</v>
      </c>
      <c r="J104" s="54">
        <f t="shared" si="34"/>
        <v>4.2202384414377665</v>
      </c>
      <c r="K104" s="55">
        <f t="shared" si="35"/>
        <v>1.3580121495160597E-3</v>
      </c>
      <c r="L104" s="55">
        <f t="shared" si="36"/>
        <v>1.148470706312504E-2</v>
      </c>
      <c r="M104" s="55">
        <f t="shared" si="42"/>
        <v>0.98851529293687501</v>
      </c>
      <c r="N104" s="55">
        <f t="shared" si="37"/>
        <v>6.8108265584118958E-4</v>
      </c>
      <c r="O104" s="56">
        <f t="shared" si="43"/>
        <v>1.3657749231068411E-9</v>
      </c>
      <c r="P104" s="56">
        <f t="shared" si="38"/>
        <v>2.2678669700073099E-5</v>
      </c>
      <c r="Q104" s="56">
        <f t="shared" si="39"/>
        <v>4.7356449526511465E-5</v>
      </c>
      <c r="R104" s="9">
        <f t="shared" si="44"/>
        <v>1.4999999999999999E-4</v>
      </c>
      <c r="S104" s="9">
        <f t="shared" si="45"/>
        <v>1.722706059468756E-6</v>
      </c>
      <c r="T104" s="9">
        <f t="shared" si="40"/>
        <v>2.0370182242740893E-7</v>
      </c>
      <c r="U104" s="9">
        <f t="shared" si="41"/>
        <v>1.4827729394053125E-4</v>
      </c>
      <c r="V104" s="100">
        <f t="shared" si="46"/>
        <v>1.3737897220400213E-3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308</v>
      </c>
      <c r="C105" s="46" t="s">
        <v>220</v>
      </c>
      <c r="D105" s="47">
        <v>4.76</v>
      </c>
      <c r="E105" s="47">
        <v>4.8899999999999997</v>
      </c>
      <c r="F105" s="96">
        <v>9.9999999999999995E-7</v>
      </c>
      <c r="G105" s="7"/>
      <c r="H105" s="7"/>
      <c r="I105" s="54">
        <f t="shared" si="33"/>
        <v>2.4867185626172419</v>
      </c>
      <c r="J105" s="54">
        <f t="shared" si="34"/>
        <v>3.9181380342054464</v>
      </c>
      <c r="K105" s="55">
        <f t="shared" si="35"/>
        <v>3.1998109144680425E-3</v>
      </c>
      <c r="L105" s="55">
        <f t="shared" si="36"/>
        <v>1.3497090971135415E-2</v>
      </c>
      <c r="M105" s="55">
        <f t="shared" si="42"/>
        <v>0.98650290902886462</v>
      </c>
      <c r="N105" s="55">
        <f t="shared" si="37"/>
        <v>3.5926960865348754E-3</v>
      </c>
      <c r="O105" s="56">
        <f t="shared" si="43"/>
        <v>3.2181019199433453E-9</v>
      </c>
      <c r="P105" s="56">
        <f t="shared" si="38"/>
        <v>2.6652492428738422E-5</v>
      </c>
      <c r="Q105" s="56">
        <f t="shared" si="39"/>
        <v>2.4980423363732759E-4</v>
      </c>
      <c r="R105" s="9">
        <f t="shared" si="44"/>
        <v>1.4999999999999999E-4</v>
      </c>
      <c r="S105" s="9">
        <f t="shared" si="45"/>
        <v>2.024563645670312E-6</v>
      </c>
      <c r="T105" s="9">
        <f t="shared" si="40"/>
        <v>4.7997163717020639E-7</v>
      </c>
      <c r="U105" s="9">
        <f t="shared" si="41"/>
        <v>1.4797543635432968E-4</v>
      </c>
      <c r="V105" s="100">
        <f t="shared" si="46"/>
        <v>3.2435899430017976E-3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309</v>
      </c>
      <c r="C106" s="46" t="s">
        <v>221</v>
      </c>
      <c r="D106" s="47">
        <v>3.93</v>
      </c>
      <c r="E106" s="47">
        <v>2.91</v>
      </c>
      <c r="F106" s="96">
        <v>9.9999999999999995E-7</v>
      </c>
      <c r="G106" s="7"/>
      <c r="H106" s="7"/>
      <c r="I106" s="54">
        <f t="shared" si="33"/>
        <v>1.6248833107371423</v>
      </c>
      <c r="J106" s="54">
        <f t="shared" si="34"/>
        <v>2.9650850681227481</v>
      </c>
      <c r="K106" s="55">
        <f t="shared" si="35"/>
        <v>2.3338420675287193E-2</v>
      </c>
      <c r="L106" s="55">
        <f t="shared" si="36"/>
        <v>1.0968174650724898E-2</v>
      </c>
      <c r="M106" s="55">
        <f t="shared" si="42"/>
        <v>0.98903182534927514</v>
      </c>
      <c r="N106" s="55">
        <f t="shared" si="37"/>
        <v>2.7438958902374725E-4</v>
      </c>
      <c r="O106" s="56">
        <f t="shared" si="43"/>
        <v>2.3471829552176274E-8</v>
      </c>
      <c r="P106" s="56">
        <f t="shared" si="38"/>
        <v>2.1658681301081444E-5</v>
      </c>
      <c r="Q106" s="56">
        <f t="shared" si="39"/>
        <v>1.9078619330211213E-5</v>
      </c>
      <c r="R106" s="9">
        <f t="shared" si="44"/>
        <v>1.4999999999999999E-4</v>
      </c>
      <c r="S106" s="9">
        <f t="shared" si="45"/>
        <v>1.6452261976087346E-6</v>
      </c>
      <c r="T106" s="9">
        <f t="shared" si="40"/>
        <v>3.5007631012930788E-6</v>
      </c>
      <c r="U106" s="9">
        <f t="shared" si="41"/>
        <v>1.4835477380239126E-4</v>
      </c>
      <c r="V106" s="100">
        <f t="shared" si="46"/>
        <v>2.3597239317395335E-2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310</v>
      </c>
      <c r="C107" s="46" t="s">
        <v>222</v>
      </c>
      <c r="D107" s="47" t="s">
        <v>300</v>
      </c>
      <c r="E107" s="47" t="s">
        <v>311</v>
      </c>
      <c r="F107" s="96">
        <v>9.9999999999999995E-7</v>
      </c>
      <c r="G107" s="7"/>
      <c r="H107" s="7"/>
      <c r="I107" s="54" t="e">
        <f t="shared" si="33"/>
        <v>#VALUE!</v>
      </c>
      <c r="J107" s="54" t="e">
        <f t="shared" si="34"/>
        <v>#VALUE!</v>
      </c>
      <c r="K107" s="55" t="e">
        <f t="shared" si="35"/>
        <v>#VALUE!</v>
      </c>
      <c r="L107" s="55" t="e">
        <f t="shared" si="36"/>
        <v>#VALUE!</v>
      </c>
      <c r="M107" s="55" t="e">
        <f t="shared" si="42"/>
        <v>#VALUE!</v>
      </c>
      <c r="N107" s="55" t="e">
        <f t="shared" si="37"/>
        <v>#VALUE!</v>
      </c>
      <c r="O107" s="56" t="e">
        <f t="shared" si="43"/>
        <v>#VALUE!</v>
      </c>
      <c r="P107" s="56" t="e">
        <f t="shared" si="38"/>
        <v>#VALUE!</v>
      </c>
      <c r="Q107" s="56" t="e">
        <f t="shared" si="39"/>
        <v>#VALUE!</v>
      </c>
      <c r="R107" s="9">
        <f t="shared" si="44"/>
        <v>1.4999999999999999E-4</v>
      </c>
      <c r="S107" s="9"/>
      <c r="T107" s="9"/>
      <c r="U107" s="9"/>
      <c r="V107" s="100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312</v>
      </c>
      <c r="C108" s="46" t="s">
        <v>223</v>
      </c>
      <c r="D108" s="47">
        <v>4.6100000000000003</v>
      </c>
      <c r="E108" s="47">
        <v>4.13</v>
      </c>
      <c r="F108" s="96">
        <v>9.9999999999999995E-7</v>
      </c>
      <c r="G108" s="7"/>
      <c r="H108" s="7"/>
      <c r="I108" s="54">
        <f t="shared" si="33"/>
        <v>2.3046271115114854</v>
      </c>
      <c r="J108" s="54">
        <f t="shared" si="34"/>
        <v>3.6707936828342995</v>
      </c>
      <c r="K108" s="55">
        <f t="shared" si="35"/>
        <v>4.8756698484491495E-3</v>
      </c>
      <c r="L108" s="55">
        <f t="shared" si="36"/>
        <v>1.1636055883862977E-2</v>
      </c>
      <c r="M108" s="55">
        <f t="shared" si="42"/>
        <v>0.98836394411613704</v>
      </c>
      <c r="N108" s="55">
        <f t="shared" si="37"/>
        <v>9.5132838603604784E-4</v>
      </c>
      <c r="O108" s="56">
        <f t="shared" si="43"/>
        <v>4.9035405277728938E-9</v>
      </c>
      <c r="P108" s="56">
        <f t="shared" si="38"/>
        <v>2.2977535826666058E-5</v>
      </c>
      <c r="Q108" s="56">
        <f t="shared" si="39"/>
        <v>6.6146941652495304E-5</v>
      </c>
      <c r="R108" s="9">
        <f t="shared" si="44"/>
        <v>1.4999999999999999E-4</v>
      </c>
      <c r="S108" s="9">
        <f t="shared" si="45"/>
        <v>1.7454083825794463E-6</v>
      </c>
      <c r="T108" s="9">
        <f t="shared" si="40"/>
        <v>7.3135047726737233E-7</v>
      </c>
      <c r="U108" s="9">
        <f t="shared" si="41"/>
        <v>1.4825459161742053E-4</v>
      </c>
      <c r="V108" s="100">
        <f t="shared" si="46"/>
        <v>4.9330713422668492E-3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313</v>
      </c>
      <c r="C109" s="46" t="s">
        <v>224</v>
      </c>
      <c r="D109" s="47">
        <v>4.8099999999999996</v>
      </c>
      <c r="E109" s="47">
        <v>4.82</v>
      </c>
      <c r="F109" s="96">
        <v>9.9999999999999995E-7</v>
      </c>
      <c r="G109" s="7"/>
      <c r="H109" s="7"/>
      <c r="I109" s="54">
        <f t="shared" si="33"/>
        <v>2.5263589248425813</v>
      </c>
      <c r="J109" s="54">
        <f t="shared" si="34"/>
        <v>3.9392867705218149</v>
      </c>
      <c r="K109" s="55">
        <f t="shared" si="35"/>
        <v>2.9223240102192456E-3</v>
      </c>
      <c r="L109" s="55">
        <f t="shared" si="36"/>
        <v>1.294174869147037E-2</v>
      </c>
      <c r="M109" s="55">
        <f t="shared" si="42"/>
        <v>0.98705825130852964</v>
      </c>
      <c r="N109" s="55">
        <f t="shared" si="37"/>
        <v>2.7927015867078245E-3</v>
      </c>
      <c r="O109" s="56">
        <f t="shared" si="43"/>
        <v>2.939028823691143E-9</v>
      </c>
      <c r="P109" s="56">
        <f t="shared" si="38"/>
        <v>2.5555866797646143E-5</v>
      </c>
      <c r="Q109" s="56">
        <f t="shared" si="39"/>
        <v>1.9417970873182141E-4</v>
      </c>
      <c r="R109" s="9">
        <f t="shared" si="44"/>
        <v>1.4999999999999999E-4</v>
      </c>
      <c r="S109" s="9">
        <f t="shared" si="45"/>
        <v>1.9412623037205554E-6</v>
      </c>
      <c r="T109" s="9">
        <f t="shared" si="40"/>
        <v>4.3834860153288681E-7</v>
      </c>
      <c r="U109" s="9">
        <f t="shared" si="41"/>
        <v>1.4805873769627943E-4</v>
      </c>
      <c r="V109" s="100">
        <f t="shared" si="46"/>
        <v>2.9606398673484168E-3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203</v>
      </c>
      <c r="C110" s="46" t="s">
        <v>204</v>
      </c>
      <c r="D110" s="47">
        <v>3.19</v>
      </c>
      <c r="E110" s="47">
        <v>1.4</v>
      </c>
      <c r="F110" s="96">
        <v>9.9999999999999995E-7</v>
      </c>
      <c r="G110" s="7"/>
      <c r="H110" s="7"/>
      <c r="I110" s="54">
        <f t="shared" si="33"/>
        <v>0.92627477267552383</v>
      </c>
      <c r="J110" s="54">
        <f t="shared" si="34"/>
        <v>2.2178375809646442</v>
      </c>
      <c r="K110" s="55">
        <f t="shared" si="35"/>
        <v>0.11673067229856958</v>
      </c>
      <c r="L110" s="55">
        <f t="shared" si="36"/>
        <v>9.8174883185665578E-3</v>
      </c>
      <c r="M110" s="55">
        <f t="shared" si="42"/>
        <v>0.99018251168143345</v>
      </c>
      <c r="N110" s="55">
        <f t="shared" si="37"/>
        <v>4.2411257766601579E-5</v>
      </c>
      <c r="O110" s="56">
        <f t="shared" si="43"/>
        <v>1.1739793715365677E-7</v>
      </c>
      <c r="P110" s="56">
        <f t="shared" si="38"/>
        <v>1.9386439169699928E-5</v>
      </c>
      <c r="Q110" s="56">
        <f t="shared" si="39"/>
        <v>2.9489028542348482E-6</v>
      </c>
      <c r="R110" s="9">
        <f t="shared" si="44"/>
        <v>1.4999999999999999E-4</v>
      </c>
      <c r="S110" s="9">
        <f t="shared" si="45"/>
        <v>1.4726232477849836E-6</v>
      </c>
      <c r="T110" s="9">
        <f t="shared" si="40"/>
        <v>1.7509600844785436E-5</v>
      </c>
      <c r="U110" s="9">
        <f t="shared" si="41"/>
        <v>1.4852737675221501E-4</v>
      </c>
      <c r="V110" s="100">
        <f t="shared" si="46"/>
        <v>0.11788803672198643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205</v>
      </c>
      <c r="C111" s="46" t="s">
        <v>206</v>
      </c>
      <c r="D111" s="47">
        <v>2.8380318246143235</v>
      </c>
      <c r="E111" s="47">
        <v>3.5597354124795313</v>
      </c>
      <c r="F111" s="96">
        <v>9.9999999999999995E-7</v>
      </c>
      <c r="G111" s="7"/>
      <c r="H111" s="7"/>
      <c r="I111" s="54">
        <f t="shared" si="33"/>
        <v>0.75430624695958448</v>
      </c>
      <c r="J111" s="54">
        <f t="shared" si="34"/>
        <v>2.247099818745959</v>
      </c>
      <c r="K111" s="55">
        <f t="shared" si="35"/>
        <v>0.17244387749184006</v>
      </c>
      <c r="L111" s="55">
        <f t="shared" si="36"/>
        <v>1.5514058466567759E-2</v>
      </c>
      <c r="M111" s="55">
        <f t="shared" si="42"/>
        <v>0.98448594153343227</v>
      </c>
      <c r="N111" s="55">
        <f t="shared" si="37"/>
        <v>9.0506413947051417E-3</v>
      </c>
      <c r="O111" s="56">
        <f t="shared" si="43"/>
        <v>1.7342961445933529E-7</v>
      </c>
      <c r="P111" s="56">
        <f t="shared" si="38"/>
        <v>3.063536629511347E-5</v>
      </c>
      <c r="Q111" s="56">
        <f t="shared" si="39"/>
        <v>6.2930136117113073E-4</v>
      </c>
      <c r="R111" s="9">
        <f t="shared" si="44"/>
        <v>1.4999999999999999E-4</v>
      </c>
      <c r="S111" s="9">
        <f t="shared" si="45"/>
        <v>2.3271087699851638E-6</v>
      </c>
      <c r="T111" s="9">
        <f t="shared" si="40"/>
        <v>2.5866581623776006E-5</v>
      </c>
      <c r="U111" s="9">
        <f t="shared" si="41"/>
        <v>1.4767289123001481E-4</v>
      </c>
      <c r="V111" s="100">
        <f t="shared" si="46"/>
        <v>0.17516134077368542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207</v>
      </c>
      <c r="C112" s="46" t="s">
        <v>208</v>
      </c>
      <c r="D112" s="47">
        <v>5.4191360000000008</v>
      </c>
      <c r="E112" s="47">
        <v>6.7333169999999996</v>
      </c>
      <c r="F112" s="96">
        <v>9.9999999999999995E-7</v>
      </c>
      <c r="G112" s="7"/>
      <c r="H112" s="7"/>
      <c r="I112" s="54">
        <f t="shared" si="33"/>
        <v>3.5207953657582807</v>
      </c>
      <c r="J112" s="54">
        <f t="shared" si="34"/>
        <v>5.258655618018703</v>
      </c>
      <c r="K112" s="55">
        <f t="shared" si="35"/>
        <v>2.9179645671193095E-4</v>
      </c>
      <c r="L112" s="55">
        <f t="shared" si="36"/>
        <v>2.6959600813839458E-2</v>
      </c>
      <c r="M112" s="55">
        <f t="shared" si="42"/>
        <v>0.97304039918616059</v>
      </c>
      <c r="N112" s="55">
        <f t="shared" si="37"/>
        <v>2.2839846426354948E-2</v>
      </c>
      <c r="O112" s="56">
        <f t="shared" si="43"/>
        <v>2.9346444608069626E-10</v>
      </c>
      <c r="P112" s="56">
        <f t="shared" si="38"/>
        <v>5.3236698049181212E-5</v>
      </c>
      <c r="Q112" s="56">
        <f t="shared" si="39"/>
        <v>1.5880804263721481E-3</v>
      </c>
      <c r="R112" s="9">
        <f t="shared" si="44"/>
        <v>1.4999999999999999E-4</v>
      </c>
      <c r="S112" s="9">
        <f t="shared" si="45"/>
        <v>4.0439401220759187E-6</v>
      </c>
      <c r="T112" s="9">
        <f t="shared" si="40"/>
        <v>4.3769468506789636E-8</v>
      </c>
      <c r="U112" s="9">
        <f t="shared" si="41"/>
        <v>1.4595605987792408E-4</v>
      </c>
      <c r="V112" s="100">
        <f t="shared" si="46"/>
        <v>2.9988113233118176E-4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209</v>
      </c>
      <c r="C113" s="46" t="s">
        <v>210</v>
      </c>
      <c r="D113" s="47">
        <v>5.6895360000000004</v>
      </c>
      <c r="E113" s="47">
        <v>7.1197670000000004</v>
      </c>
      <c r="F113" s="96">
        <v>9.9999999999999995E-7</v>
      </c>
      <c r="G113" s="7"/>
      <c r="H113" s="7"/>
      <c r="I113" s="54">
        <f t="shared" si="33"/>
        <v>3.8666483056990257</v>
      </c>
      <c r="J113" s="54">
        <f t="shared" si="34"/>
        <v>5.6292570490791167</v>
      </c>
      <c r="K113" s="55">
        <f t="shared" si="35"/>
        <v>1.3138356130927936E-4</v>
      </c>
      <c r="L113" s="55">
        <f t="shared" si="36"/>
        <v>2.8495475230025401E-2</v>
      </c>
      <c r="M113" s="55">
        <f t="shared" si="42"/>
        <v>0.97150452476997462</v>
      </c>
      <c r="N113" s="55">
        <f t="shared" si="37"/>
        <v>2.5038262903104368E-2</v>
      </c>
      <c r="O113" s="56">
        <f t="shared" si="43"/>
        <v>1.3213458613652992E-10</v>
      </c>
      <c r="P113" s="56">
        <f t="shared" si="38"/>
        <v>5.6269565008174937E-5</v>
      </c>
      <c r="Q113" s="56">
        <f t="shared" si="39"/>
        <v>1.7409388173861612E-3</v>
      </c>
      <c r="R113" s="9">
        <f t="shared" si="44"/>
        <v>1.4999999999999999E-4</v>
      </c>
      <c r="S113" s="9">
        <f t="shared" si="45"/>
        <v>4.2743212845038097E-6</v>
      </c>
      <c r="T113" s="9">
        <f t="shared" si="40"/>
        <v>1.9707534196391902E-8</v>
      </c>
      <c r="U113" s="9">
        <f t="shared" si="41"/>
        <v>1.4572567871549619E-4</v>
      </c>
      <c r="V113" s="100">
        <f t="shared" si="46"/>
        <v>1.352372098734047E-4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107</v>
      </c>
      <c r="C114" s="46" t="s">
        <v>108</v>
      </c>
      <c r="D114" s="47">
        <v>6.0065360000000005</v>
      </c>
      <c r="E114" s="47">
        <v>7.5552170000000007</v>
      </c>
      <c r="F114" s="96">
        <v>9.9999999999999995E-7</v>
      </c>
      <c r="G114" s="7"/>
      <c r="H114" s="7"/>
      <c r="I114" s="54">
        <f t="shared" si="33"/>
        <v>4.2676323009395754</v>
      </c>
      <c r="J114" s="54">
        <f t="shared" si="34"/>
        <v>6.0519431364066163</v>
      </c>
      <c r="K114" s="55">
        <f t="shared" si="35"/>
        <v>5.2110276034568894E-5</v>
      </c>
      <c r="L114" s="55">
        <f t="shared" si="36"/>
        <v>2.9911923092115038E-2</v>
      </c>
      <c r="M114" s="55">
        <f t="shared" si="42"/>
        <v>0.97008807690788501</v>
      </c>
      <c r="N114" s="55">
        <f t="shared" si="37"/>
        <v>2.7066776644617433E-2</v>
      </c>
      <c r="O114" s="56">
        <f t="shared" si="43"/>
        <v>5.240815280596128E-11</v>
      </c>
      <c r="P114" s="56">
        <f t="shared" si="38"/>
        <v>5.9066602236477084E-5</v>
      </c>
      <c r="Q114" s="56">
        <f t="shared" si="39"/>
        <v>1.8819836785200171E-3</v>
      </c>
      <c r="R114" s="9">
        <f t="shared" si="44"/>
        <v>1.4999999999999999E-4</v>
      </c>
      <c r="S114" s="9">
        <f t="shared" si="45"/>
        <v>4.4867884638172557E-6</v>
      </c>
      <c r="T114" s="9">
        <f t="shared" si="40"/>
        <v>7.8165414051853331E-9</v>
      </c>
      <c r="U114" s="9">
        <f t="shared" si="41"/>
        <v>1.4551321153618275E-4</v>
      </c>
      <c r="V114" s="100">
        <f t="shared" si="46"/>
        <v>5.3717056497249412E-5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109</v>
      </c>
      <c r="C115" s="46" t="s">
        <v>110</v>
      </c>
      <c r="D115" s="47">
        <v>4.6510502998865109</v>
      </c>
      <c r="E115" s="47">
        <v>6.1388180322329244</v>
      </c>
      <c r="F115" s="96">
        <v>9.9999999999999995E-7</v>
      </c>
      <c r="G115" s="7"/>
      <c r="H115" s="7"/>
      <c r="I115" s="54">
        <f t="shared" si="33"/>
        <v>2.8686693929579801</v>
      </c>
      <c r="J115" s="54">
        <f t="shared" si="34"/>
        <v>4.6417281713883654</v>
      </c>
      <c r="K115" s="55">
        <f t="shared" si="35"/>
        <v>1.3068286793268134E-3</v>
      </c>
      <c r="L115" s="55">
        <f t="shared" si="36"/>
        <v>2.9169209093533124E-2</v>
      </c>
      <c r="M115" s="55">
        <f t="shared" si="42"/>
        <v>0.97083079090646685</v>
      </c>
      <c r="N115" s="55">
        <f t="shared" si="37"/>
        <v>2.6021531565919E-2</v>
      </c>
      <c r="O115" s="56">
        <f t="shared" si="43"/>
        <v>1.3142988740251221E-9</v>
      </c>
      <c r="P115" s="56">
        <f t="shared" si="38"/>
        <v>5.7599976630540499E-5</v>
      </c>
      <c r="Q115" s="56">
        <f t="shared" si="39"/>
        <v>1.8093066027088857E-3</v>
      </c>
      <c r="R115" s="9">
        <f t="shared" si="44"/>
        <v>1.4999999999999999E-4</v>
      </c>
      <c r="S115" s="9">
        <f t="shared" si="45"/>
        <v>4.3753813640299683E-6</v>
      </c>
      <c r="T115" s="9">
        <f t="shared" si="40"/>
        <v>1.9602430189902199E-7</v>
      </c>
      <c r="U115" s="9">
        <f t="shared" si="41"/>
        <v>1.4562461863597002E-4</v>
      </c>
      <c r="V115" s="100">
        <f t="shared" si="46"/>
        <v>1.3460931519349779E-3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225</v>
      </c>
      <c r="C116" s="46" t="s">
        <v>226</v>
      </c>
      <c r="D116" s="47">
        <v>-0.1223633442417989</v>
      </c>
      <c r="E116" s="47">
        <v>-0.65153095448481257</v>
      </c>
      <c r="F116" s="96">
        <v>9.9999999999999995E-7</v>
      </c>
      <c r="G116" s="7"/>
      <c r="H116" s="7"/>
      <c r="I116" s="54">
        <f t="shared" si="33"/>
        <v>-6.405424315775722E-4</v>
      </c>
      <c r="J116" s="54">
        <f t="shared" si="34"/>
        <v>-2.1360017607378441E-2</v>
      </c>
      <c r="K116" s="55">
        <f t="shared" si="35"/>
        <v>0.99580730937104667</v>
      </c>
      <c r="L116" s="55">
        <f t="shared" si="36"/>
        <v>4.828287448027867E-4</v>
      </c>
      <c r="M116" s="55">
        <f t="shared" si="42"/>
        <v>0.99951717125519723</v>
      </c>
      <c r="N116" s="55">
        <f t="shared" si="37"/>
        <v>3.2132204383595848E-6</v>
      </c>
      <c r="O116" s="56">
        <f t="shared" si="43"/>
        <v>1.0014996197715444E-6</v>
      </c>
      <c r="P116" s="56">
        <f t="shared" si="38"/>
        <v>9.5343429875030301E-7</v>
      </c>
      <c r="Q116" s="56">
        <f t="shared" si="39"/>
        <v>2.2341886142849006E-7</v>
      </c>
      <c r="R116" s="9">
        <f t="shared" si="44"/>
        <v>1.4999999999999999E-4</v>
      </c>
      <c r="S116" s="9">
        <f t="shared" si="45"/>
        <v>7.2424311720418003E-8</v>
      </c>
      <c r="T116" s="9">
        <f t="shared" si="40"/>
        <v>1.4937109640565698E-4</v>
      </c>
      <c r="U116" s="9">
        <f t="shared" si="41"/>
        <v>1.4992757568827958E-4</v>
      </c>
      <c r="V116" s="100">
        <f t="shared" si="46"/>
        <v>0.9962883460226184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227</v>
      </c>
      <c r="C117" s="46" t="s">
        <v>228</v>
      </c>
      <c r="D117" s="47">
        <v>1.8253520000000001</v>
      </c>
      <c r="E117" s="47">
        <v>2.0793489999999997</v>
      </c>
      <c r="F117" s="96">
        <v>9.9999999999999995E-7</v>
      </c>
      <c r="G117" s="7"/>
      <c r="H117" s="7"/>
      <c r="I117" s="54">
        <f t="shared" si="33"/>
        <v>0.13401854480859055</v>
      </c>
      <c r="J117" s="54">
        <f t="shared" si="34"/>
        <v>1.0545652216525729</v>
      </c>
      <c r="K117" s="55">
        <f t="shared" si="35"/>
        <v>0.72760768765177841</v>
      </c>
      <c r="L117" s="55">
        <f t="shared" si="36"/>
        <v>4.2018478853883406E-3</v>
      </c>
      <c r="M117" s="55">
        <f t="shared" si="42"/>
        <v>0.99579815211461165</v>
      </c>
      <c r="N117" s="55">
        <f t="shared" si="37"/>
        <v>1.2634045728955408E-3</v>
      </c>
      <c r="O117" s="56">
        <f t="shared" si="43"/>
        <v>7.3176689472821403E-7</v>
      </c>
      <c r="P117" s="56">
        <f t="shared" si="38"/>
        <v>8.2973226743097456E-6</v>
      </c>
      <c r="Q117" s="56">
        <f t="shared" si="39"/>
        <v>8.7845952873365048E-5</v>
      </c>
      <c r="R117" s="9">
        <f t="shared" si="44"/>
        <v>1.4999999999999999E-4</v>
      </c>
      <c r="S117" s="9">
        <f t="shared" si="45"/>
        <v>6.3027718280825107E-7</v>
      </c>
      <c r="T117" s="9">
        <f t="shared" si="40"/>
        <v>1.0914115314776676E-4</v>
      </c>
      <c r="U117" s="9">
        <f t="shared" si="41"/>
        <v>1.4936972281719173E-4</v>
      </c>
      <c r="V117" s="100">
        <f t="shared" si="46"/>
        <v>0.73067788497767183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229</v>
      </c>
      <c r="C118" s="46" t="s">
        <v>230</v>
      </c>
      <c r="D118" s="47">
        <v>2.848199987724402</v>
      </c>
      <c r="E118" s="47">
        <v>3.5741999825375301</v>
      </c>
      <c r="F118" s="96">
        <v>9.9999999999999995E-7</v>
      </c>
      <c r="G118" s="7"/>
      <c r="H118" s="7"/>
      <c r="I118" s="54">
        <f t="shared" si="33"/>
        <v>0.76376170277705713</v>
      </c>
      <c r="J118" s="54">
        <f t="shared" si="34"/>
        <v>2.2597306068384477</v>
      </c>
      <c r="K118" s="55">
        <f t="shared" si="35"/>
        <v>0.16871079962140634</v>
      </c>
      <c r="L118" s="55">
        <f t="shared" si="36"/>
        <v>1.562612579075447E-2</v>
      </c>
      <c r="M118" s="55">
        <f t="shared" si="42"/>
        <v>0.98437387420924549</v>
      </c>
      <c r="N118" s="55">
        <f t="shared" si="37"/>
        <v>9.1545928072500858E-3</v>
      </c>
      <c r="O118" s="56">
        <f t="shared" si="43"/>
        <v>1.6967519728180089E-7</v>
      </c>
      <c r="P118" s="56">
        <f t="shared" si="38"/>
        <v>3.0856663870700895E-5</v>
      </c>
      <c r="Q118" s="56">
        <f t="shared" si="39"/>
        <v>6.3652922078431405E-4</v>
      </c>
      <c r="R118" s="9">
        <f t="shared" si="44"/>
        <v>1.4999999999999999E-4</v>
      </c>
      <c r="S118" s="9">
        <f t="shared" si="45"/>
        <v>2.3439188686131705E-6</v>
      </c>
      <c r="T118" s="9">
        <f t="shared" si="40"/>
        <v>2.5306619943210948E-5</v>
      </c>
      <c r="U118" s="9">
        <f t="shared" si="41"/>
        <v>1.4765608113138682E-4</v>
      </c>
      <c r="V118" s="100">
        <f t="shared" si="46"/>
        <v>0.17138894483250372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231</v>
      </c>
      <c r="C119" s="46" t="s">
        <v>232</v>
      </c>
      <c r="D119" s="47">
        <v>-0.98996462433878363</v>
      </c>
      <c r="E119" s="47">
        <v>-1.885724324763622</v>
      </c>
      <c r="F119" s="96">
        <v>9.9999999999999995E-7</v>
      </c>
      <c r="G119" s="7"/>
      <c r="H119" s="7"/>
      <c r="I119" s="54">
        <f t="shared" si="33"/>
        <v>-2.0389427152517209E-3</v>
      </c>
      <c r="J119" s="54">
        <f t="shared" si="34"/>
        <v>-5.6913092577569033E-2</v>
      </c>
      <c r="K119" s="55">
        <f t="shared" si="35"/>
        <v>0.99905539500249496</v>
      </c>
      <c r="L119" s="55">
        <f t="shared" si="36"/>
        <v>4.4632817414136291E-4</v>
      </c>
      <c r="M119" s="55">
        <f t="shared" si="42"/>
        <v>0.99955367182585864</v>
      </c>
      <c r="N119" s="55">
        <f t="shared" si="37"/>
        <v>1.8800154143821781E-7</v>
      </c>
      <c r="O119" s="56">
        <f t="shared" si="43"/>
        <v>1.0047662723601215E-6</v>
      </c>
      <c r="P119" s="56">
        <f t="shared" si="38"/>
        <v>8.8135719818998917E-7</v>
      </c>
      <c r="Q119" s="56">
        <f t="shared" si="39"/>
        <v>1.3071960402558362E-8</v>
      </c>
      <c r="R119" s="9">
        <f t="shared" si="44"/>
        <v>1.4999999999999999E-4</v>
      </c>
      <c r="S119" s="9">
        <f t="shared" si="45"/>
        <v>6.6949226121204431E-8</v>
      </c>
      <c r="T119" s="9">
        <f t="shared" si="40"/>
        <v>1.4985830925037422E-4</v>
      </c>
      <c r="U119" s="9">
        <f t="shared" si="41"/>
        <v>1.4993305077387877E-4</v>
      </c>
      <c r="V119" s="100">
        <f t="shared" si="46"/>
        <v>0.99950150068234611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233</v>
      </c>
      <c r="C120" s="46" t="s">
        <v>234</v>
      </c>
      <c r="D120" s="47">
        <v>-7.2373500000194575</v>
      </c>
      <c r="E120" s="47">
        <v>-10.772850000027681</v>
      </c>
      <c r="F120" s="96">
        <v>9.9999999999999995E-7</v>
      </c>
      <c r="G120" s="7"/>
      <c r="H120" s="7"/>
      <c r="I120" s="54">
        <f t="shared" si="33"/>
        <v>-2.255492076189E-3</v>
      </c>
      <c r="J120" s="54">
        <f t="shared" si="34"/>
        <v>-6.2482104916355273E-2</v>
      </c>
      <c r="K120" s="55">
        <f t="shared" si="35"/>
        <v>0.99955913615034409</v>
      </c>
      <c r="L120" s="55">
        <f t="shared" si="36"/>
        <v>4.4086357042382384E-4</v>
      </c>
      <c r="M120" s="55">
        <f t="shared" si="42"/>
        <v>0.99955913642957617</v>
      </c>
      <c r="N120" s="55">
        <f t="shared" si="37"/>
        <v>2.4392407035963738E-16</v>
      </c>
      <c r="O120" s="56">
        <f t="shared" si="43"/>
        <v>1.0052728930318986E-6</v>
      </c>
      <c r="P120" s="56">
        <f t="shared" si="38"/>
        <v>8.7056633151218126E-7</v>
      </c>
      <c r="Q120" s="56">
        <f t="shared" si="39"/>
        <v>1.6960317264312885E-17</v>
      </c>
      <c r="R120" s="9">
        <f t="shared" si="44"/>
        <v>1.4999999999999999E-4</v>
      </c>
      <c r="S120" s="9">
        <f t="shared" si="45"/>
        <v>6.6129535563573575E-8</v>
      </c>
      <c r="T120" s="9">
        <f t="shared" si="40"/>
        <v>1.499338704225516E-4</v>
      </c>
      <c r="U120" s="9">
        <f t="shared" si="41"/>
        <v>1.4993387046443641E-4</v>
      </c>
      <c r="V120" s="100">
        <f t="shared" si="46"/>
        <v>0.99999999972064479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235</v>
      </c>
      <c r="C121" s="46" t="s">
        <v>236</v>
      </c>
      <c r="D121" s="47">
        <v>0.89837073464087869</v>
      </c>
      <c r="E121" s="47">
        <v>0.80049921406660218</v>
      </c>
      <c r="F121" s="96">
        <v>9.9999999999999995E-7</v>
      </c>
      <c r="G121" s="7"/>
      <c r="H121" s="7"/>
      <c r="I121" s="54">
        <f t="shared" si="33"/>
        <v>1.502652106892244E-2</v>
      </c>
      <c r="J121" s="54">
        <f t="shared" si="34"/>
        <v>0.27440442083106092</v>
      </c>
      <c r="K121" s="55">
        <f t="shared" si="35"/>
        <v>0.96010411756308067</v>
      </c>
      <c r="L121" s="55">
        <f t="shared" si="36"/>
        <v>9.1981519248848808E-4</v>
      </c>
      <c r="M121" s="55">
        <f t="shared" si="42"/>
        <v>0.99908018480751148</v>
      </c>
      <c r="N121" s="55">
        <f t="shared" si="37"/>
        <v>8.7723047724327027E-5</v>
      </c>
      <c r="O121" s="56">
        <f t="shared" si="43"/>
        <v>9.6559233863008289E-7</v>
      </c>
      <c r="P121" s="56">
        <f t="shared" si="38"/>
        <v>1.816344537209241E-6</v>
      </c>
      <c r="Q121" s="56">
        <f t="shared" si="39"/>
        <v>6.0994830014251761E-6</v>
      </c>
      <c r="R121" s="9">
        <f t="shared" si="44"/>
        <v>1.4999999999999999E-4</v>
      </c>
      <c r="S121" s="9">
        <f t="shared" si="45"/>
        <v>1.379722788732732E-7</v>
      </c>
      <c r="T121" s="9">
        <f t="shared" si="40"/>
        <v>1.440156176344621E-4</v>
      </c>
      <c r="U121" s="9">
        <f t="shared" si="41"/>
        <v>1.498620277211267E-4</v>
      </c>
      <c r="V121" s="100">
        <f t="shared" si="46"/>
        <v>0.96098804897032353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237</v>
      </c>
      <c r="C122" s="46" t="s">
        <v>238</v>
      </c>
      <c r="D122" s="47">
        <v>5.1201999877244022</v>
      </c>
      <c r="E122" s="47">
        <v>6.8061999825375299</v>
      </c>
      <c r="F122" s="96">
        <v>9.9999999999999995E-7</v>
      </c>
      <c r="G122" s="7"/>
      <c r="H122" s="7"/>
      <c r="I122" s="54">
        <f t="shared" si="33"/>
        <v>3.4865950332654698</v>
      </c>
      <c r="J122" s="54">
        <f t="shared" si="34"/>
        <v>5.2915829322411865</v>
      </c>
      <c r="K122" s="55">
        <f t="shared" si="35"/>
        <v>3.1428789360710726E-4</v>
      </c>
      <c r="L122" s="55">
        <f t="shared" si="36"/>
        <v>3.1324807437884919E-2</v>
      </c>
      <c r="M122" s="55">
        <f t="shared" si="42"/>
        <v>0.96867519256211509</v>
      </c>
      <c r="N122" s="55">
        <f t="shared" si="37"/>
        <v>2.9095364365142838E-2</v>
      </c>
      <c r="O122" s="56">
        <f t="shared" si="43"/>
        <v>3.1608445025887582E-10</v>
      </c>
      <c r="P122" s="56">
        <f t="shared" si="38"/>
        <v>6.1856602645368706E-5</v>
      </c>
      <c r="Q122" s="56">
        <f t="shared" si="39"/>
        <v>2.0230336834985061E-3</v>
      </c>
      <c r="R122" s="9">
        <f t="shared" si="44"/>
        <v>1.4999999999999999E-4</v>
      </c>
      <c r="S122" s="9">
        <f t="shared" si="45"/>
        <v>4.6987211156827374E-6</v>
      </c>
      <c r="T122" s="9">
        <f t="shared" si="40"/>
        <v>4.7143184041066083E-8</v>
      </c>
      <c r="U122" s="9">
        <f t="shared" si="41"/>
        <v>1.4530127888431725E-4</v>
      </c>
      <c r="V122" s="100">
        <f t="shared" si="46"/>
        <v>3.2445126707108683E-4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239</v>
      </c>
      <c r="C123" s="46" t="s">
        <v>240</v>
      </c>
      <c r="D123" s="47">
        <v>1.6430320000000003</v>
      </c>
      <c r="E123" s="47">
        <v>1.9699289999999996</v>
      </c>
      <c r="F123" s="96">
        <v>9.9999999999999995E-7</v>
      </c>
      <c r="G123" s="7"/>
      <c r="H123" s="7"/>
      <c r="I123" s="54">
        <f t="shared" ref="I123:I127" si="47">IF(D123=0,"",LOG($K$15*10^D123+$K$16*10^E123+$K$14))</f>
        <v>9.3867444440884892E-2</v>
      </c>
      <c r="J123" s="54">
        <f t="shared" ref="J123:J127" si="48">IF(D123=0,"",LOG($K$21*10^D123+$K$22*10^E123+$K$20))</f>
        <v>0.91157893214616048</v>
      </c>
      <c r="K123" s="55">
        <f t="shared" ref="K123:K127" si="49">IF(D123=0,"",1/(1+10^D123*$J$15/$J$14+10^E123*$J$16/$J$14+10^J123*$J$19/$J$14))</f>
        <v>0.79879125174023546</v>
      </c>
      <c r="L123" s="55">
        <f t="shared" ref="L123:L127" si="50">IF(D123=0,"",1/(1+10^I123/10^J123*$J$13/$J$19))</f>
        <v>3.318868593958755E-3</v>
      </c>
      <c r="M123" s="55">
        <f t="shared" si="42"/>
        <v>0.9966811314060412</v>
      </c>
      <c r="N123" s="55">
        <f t="shared" ref="N123:N127" si="51">IF(D123=0,"",1/(1/10^E123*$J$20/$J$22+10^D123/10^E123*$J$21/$J$22+10^I123/10^E123*$J$13/$J$22+1))</f>
        <v>1.0780985585029964E-3</v>
      </c>
      <c r="O123" s="56">
        <f t="shared" si="43"/>
        <v>8.033573637855261E-7</v>
      </c>
      <c r="P123" s="56">
        <f t="shared" ref="P123:P127" si="52">IF(D123=0,"",O123*10^J123)</f>
        <v>6.5537174093020286E-6</v>
      </c>
      <c r="Q123" s="56">
        <f t="shared" ref="Q123:Q127" si="53">IF(D123=0,"",F123*N123*$J$7/$J$22)</f>
        <v>7.496141552348761E-5</v>
      </c>
      <c r="R123" s="9">
        <f t="shared" si="44"/>
        <v>1.4999999999999999E-4</v>
      </c>
      <c r="S123" s="9">
        <f t="shared" si="45"/>
        <v>4.9783028909381323E-7</v>
      </c>
      <c r="T123" s="9">
        <f t="shared" si="40"/>
        <v>1.1981868776103531E-4</v>
      </c>
      <c r="U123" s="9">
        <f t="shared" si="41"/>
        <v>1.4950216971090617E-4</v>
      </c>
      <c r="V123" s="100">
        <f t="shared" si="46"/>
        <v>0.80145116283415752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241</v>
      </c>
      <c r="C124" s="46" t="s">
        <v>242</v>
      </c>
      <c r="D124" s="47">
        <v>1.9888079999999992</v>
      </c>
      <c r="E124" s="47">
        <v>1.7269960000000002</v>
      </c>
      <c r="F124" s="96">
        <v>9.9999999999999995E-7</v>
      </c>
      <c r="G124" s="7"/>
      <c r="H124" s="7"/>
      <c r="I124" s="54">
        <f t="shared" si="47"/>
        <v>0.17110445915344094</v>
      </c>
      <c r="J124" s="54">
        <f t="shared" si="48"/>
        <v>1.1028450599696213</v>
      </c>
      <c r="K124" s="55">
        <f t="shared" si="49"/>
        <v>0.66798040184770013</v>
      </c>
      <c r="L124" s="55">
        <f t="shared" si="50"/>
        <v>4.3110852020551566E-3</v>
      </c>
      <c r="M124" s="55">
        <f t="shared" si="42"/>
        <v>0.99568891479794486</v>
      </c>
      <c r="N124" s="55">
        <f t="shared" si="51"/>
        <v>5.152949498618977E-4</v>
      </c>
      <c r="O124" s="56">
        <f t="shared" si="43"/>
        <v>6.7179876284282873E-7</v>
      </c>
      <c r="P124" s="56">
        <f t="shared" si="52"/>
        <v>8.5130318787319672E-6</v>
      </c>
      <c r="Q124" s="56">
        <f t="shared" si="53"/>
        <v>3.5829042297754877E-5</v>
      </c>
      <c r="R124" s="9">
        <f t="shared" si="44"/>
        <v>1.4999999999999999E-4</v>
      </c>
      <c r="S124" s="9">
        <f t="shared" si="45"/>
        <v>6.4666278030827337E-7</v>
      </c>
      <c r="T124" s="9">
        <f t="shared" si="40"/>
        <v>1.0019706027715502E-4</v>
      </c>
      <c r="U124" s="9">
        <f t="shared" si="41"/>
        <v>1.4935333721969172E-4</v>
      </c>
      <c r="V124" s="100">
        <f t="shared" si="46"/>
        <v>0.67087259074613015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243</v>
      </c>
      <c r="C125" s="46" t="s">
        <v>244</v>
      </c>
      <c r="D125" s="47">
        <v>0.57692000000000121</v>
      </c>
      <c r="E125" s="47">
        <v>0.1355349999999973</v>
      </c>
      <c r="F125" s="96">
        <v>9.9999999999999995E-7</v>
      </c>
      <c r="G125" s="7"/>
      <c r="H125" s="7"/>
      <c r="I125" s="54">
        <f t="shared" si="47"/>
        <v>5.8063156695311677E-3</v>
      </c>
      <c r="J125" s="54">
        <f t="shared" si="48"/>
        <v>0.11509261890443816</v>
      </c>
      <c r="K125" s="55">
        <f t="shared" si="49"/>
        <v>0.98096899272124194</v>
      </c>
      <c r="L125" s="55">
        <f t="shared" si="50"/>
        <v>6.512169926699594E-4</v>
      </c>
      <c r="M125" s="55">
        <f t="shared" si="42"/>
        <v>0.99934878300732999</v>
      </c>
      <c r="N125" s="55">
        <f t="shared" si="51"/>
        <v>1.9385921309154521E-5</v>
      </c>
      <c r="O125" s="56">
        <f t="shared" si="43"/>
        <v>9.8657648319383135E-7</v>
      </c>
      <c r="P125" s="56">
        <f t="shared" si="52"/>
        <v>1.2859479130518002E-6</v>
      </c>
      <c r="Q125" s="56">
        <f t="shared" si="53"/>
        <v>1.3479250956229952E-6</v>
      </c>
      <c r="R125" s="9">
        <f t="shared" si="44"/>
        <v>1.4999999999999999E-4</v>
      </c>
      <c r="S125" s="9">
        <f t="shared" si="45"/>
        <v>9.7682548900493898E-8</v>
      </c>
      <c r="T125" s="9">
        <f t="shared" si="40"/>
        <v>1.4714534890818628E-4</v>
      </c>
      <c r="U125" s="9">
        <f t="shared" si="41"/>
        <v>1.4990231745109949E-4</v>
      </c>
      <c r="V125" s="100">
        <f t="shared" si="46"/>
        <v>0.98160823268250952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245</v>
      </c>
      <c r="C126" s="46" t="s">
        <v>246</v>
      </c>
      <c r="D126" s="47">
        <v>4.3320999877244022</v>
      </c>
      <c r="E126" s="47">
        <v>5.6850999825375297</v>
      </c>
      <c r="F126" s="96">
        <v>9.9999999999999995E-7</v>
      </c>
      <c r="G126" s="7"/>
      <c r="H126" s="7"/>
      <c r="I126" s="54">
        <f t="shared" si="47"/>
        <v>2.4596069923312118</v>
      </c>
      <c r="J126" s="54">
        <f t="shared" si="48"/>
        <v>4.2047481272996352</v>
      </c>
      <c r="K126" s="55">
        <f t="shared" si="49"/>
        <v>3.3579211055472513E-3</v>
      </c>
      <c r="L126" s="55">
        <f t="shared" si="50"/>
        <v>2.7402894637999126E-2</v>
      </c>
      <c r="M126" s="55">
        <f t="shared" si="42"/>
        <v>0.97259710536200084</v>
      </c>
      <c r="N126" s="55">
        <f t="shared" si="51"/>
        <v>2.3521587864057839E-2</v>
      </c>
      <c r="O126" s="56">
        <f t="shared" si="43"/>
        <v>3.37711591266835E-9</v>
      </c>
      <c r="P126" s="56">
        <f t="shared" si="52"/>
        <v>5.4112063364373149E-5</v>
      </c>
      <c r="Q126" s="56">
        <f t="shared" si="53"/>
        <v>1.6354826817486763E-3</v>
      </c>
      <c r="R126" s="9">
        <f t="shared" si="44"/>
        <v>1.4999999999999999E-4</v>
      </c>
      <c r="S126" s="9">
        <f t="shared" si="45"/>
        <v>4.1104341956998687E-6</v>
      </c>
      <c r="T126" s="9">
        <f t="shared" si="40"/>
        <v>5.0368816583208768E-7</v>
      </c>
      <c r="U126" s="9">
        <f t="shared" si="41"/>
        <v>1.4588956580430013E-4</v>
      </c>
      <c r="V126" s="100">
        <f t="shared" si="46"/>
        <v>3.45253043324392E-3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247</v>
      </c>
      <c r="C127" s="46" t="s">
        <v>248</v>
      </c>
      <c r="D127" s="47">
        <v>2.713299987724402</v>
      </c>
      <c r="E127" s="47">
        <v>3.3822999825375302</v>
      </c>
      <c r="F127" s="96">
        <v>9.9999999999999995E-7</v>
      </c>
      <c r="G127" s="7"/>
      <c r="H127" s="7"/>
      <c r="I127" s="54">
        <f t="shared" si="47"/>
        <v>0.64263545610035988</v>
      </c>
      <c r="J127" s="54">
        <f t="shared" si="48"/>
        <v>2.0931619269228987</v>
      </c>
      <c r="K127" s="55">
        <f t="shared" si="49"/>
        <v>0.22332834931794085</v>
      </c>
      <c r="L127" s="55">
        <f t="shared" si="50"/>
        <v>1.4095601340618569E-2</v>
      </c>
      <c r="M127" s="55">
        <f t="shared" si="42"/>
        <v>0.9859043986593814</v>
      </c>
      <c r="N127" s="55">
        <f t="shared" si="51"/>
        <v>7.7900456731192979E-3</v>
      </c>
      <c r="O127" s="56">
        <f t="shared" si="43"/>
        <v>2.2460495602044782E-7</v>
      </c>
      <c r="P127" s="56">
        <f t="shared" si="52"/>
        <v>2.7834361405193056E-5</v>
      </c>
      <c r="Q127" s="56">
        <f t="shared" si="53"/>
        <v>5.4165071091505346E-4</v>
      </c>
      <c r="R127" s="9">
        <f t="shared" si="44"/>
        <v>1.4999999999999999E-4</v>
      </c>
      <c r="S127" s="9">
        <f t="shared" si="45"/>
        <v>2.1143402010927851E-6</v>
      </c>
      <c r="T127" s="9">
        <f t="shared" si="40"/>
        <v>3.3499252397691125E-5</v>
      </c>
      <c r="U127" s="9">
        <f t="shared" si="41"/>
        <v>1.4788565979890719E-4</v>
      </c>
      <c r="V127" s="100">
        <f t="shared" si="46"/>
        <v>0.22652130330447812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249</v>
      </c>
      <c r="C128" s="46" t="s">
        <v>250</v>
      </c>
      <c r="D128" s="47">
        <v>3.598704000000001</v>
      </c>
      <c r="E128" s="47">
        <v>4.3131730000000008</v>
      </c>
      <c r="F128" s="96">
        <v>9.9999999999999995E-7</v>
      </c>
      <c r="G128" s="7"/>
      <c r="H128" s="7"/>
      <c r="I128" s="54">
        <f t="shared" ref="I128:I134" si="54">IF(D128=0,"",LOG($K$15*10^D128+$K$16*10^E128+$K$14))</f>
        <v>1.4450204174697026</v>
      </c>
      <c r="J128" s="54">
        <f t="shared" ref="J128:J134" si="55">IF(D128=0,"",LOG($K$21*10^D128+$K$22*10^E128+$K$20))</f>
        <v>3.0017856440507846</v>
      </c>
      <c r="K128" s="55">
        <f t="shared" ref="K128:K134" si="56">IF(D128=0,"",1/(1+10^D128*$J$15/$J$14+10^E128*$J$16/$J$14+10^J128*$J$19/$J$14))</f>
        <v>3.5064337953244096E-2</v>
      </c>
      <c r="L128" s="55">
        <f t="shared" ref="L128:L134" si="57">IF(D128=0,"",1/(1+10^I128/10^J128*$J$13/$J$19))</f>
        <v>1.7932015802293186E-2</v>
      </c>
      <c r="M128" s="55">
        <f t="shared" ref="M128:M134" si="58">IF(D128=0,"",1-L128)</f>
        <v>0.9820679841977068</v>
      </c>
      <c r="N128" s="55">
        <f t="shared" ref="N128:N134" si="59">IF(D128=0,"",1/(1/10^E128*$J$20/$J$22+10^D128/10^E128*$J$21/$J$22+10^I128/10^E128*$J$13/$J$22+1))</f>
        <v>1.0431212888115753E-2</v>
      </c>
      <c r="O128" s="56">
        <f t="shared" ref="O128:O134" si="60">IF(D128=0,"",F128*K128*$J$7/$J$14)</f>
        <v>3.5264775421155319E-8</v>
      </c>
      <c r="P128" s="56">
        <f t="shared" ref="P128:P134" si="61">IF(D128=0,"",O128*10^J128)</f>
        <v>3.5410068467696751E-5</v>
      </c>
      <c r="Q128" s="56">
        <f t="shared" ref="Q128:Q134" si="62">IF(D128=0,"",F128*N128*$J$7/$J$22)</f>
        <v>7.2529406291552048E-4</v>
      </c>
      <c r="R128" s="9">
        <f t="shared" si="44"/>
        <v>1.4999999999999999E-4</v>
      </c>
      <c r="S128" s="9">
        <f t="shared" si="45"/>
        <v>2.6898023703439775E-6</v>
      </c>
      <c r="T128" s="9">
        <f t="shared" si="40"/>
        <v>5.2596506929866139E-6</v>
      </c>
      <c r="U128" s="9">
        <f t="shared" si="41"/>
        <v>1.4731019762965602E-4</v>
      </c>
      <c r="V128" s="100">
        <f t="shared" si="46"/>
        <v>3.5704593284231381E-2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251</v>
      </c>
      <c r="C129" s="46" t="s">
        <v>252</v>
      </c>
      <c r="D129" s="47">
        <v>-1.2627122753537208</v>
      </c>
      <c r="E129" s="47">
        <v>-2.2737174621228986</v>
      </c>
      <c r="F129" s="96">
        <v>9.9999999999999995E-7</v>
      </c>
      <c r="G129" s="7"/>
      <c r="H129" s="7"/>
      <c r="I129" s="54">
        <f t="shared" si="54"/>
        <v>-2.1401866039787642E-3</v>
      </c>
      <c r="J129" s="54">
        <f t="shared" si="55"/>
        <v>-5.9524237288221454E-2</v>
      </c>
      <c r="K129" s="55">
        <f t="shared" si="56"/>
        <v>0.99929089479565625</v>
      </c>
      <c r="L129" s="55">
        <f t="shared" si="57"/>
        <v>4.4375730813627797E-4</v>
      </c>
      <c r="M129" s="55">
        <f t="shared" si="58"/>
        <v>0.99955624269186372</v>
      </c>
      <c r="N129" s="55">
        <f t="shared" si="59"/>
        <v>7.6960987864167434E-8</v>
      </c>
      <c r="O129" s="56">
        <f t="shared" si="60"/>
        <v>1.0050031183353298E-6</v>
      </c>
      <c r="P129" s="56">
        <f t="shared" si="61"/>
        <v>8.7628054968236904E-7</v>
      </c>
      <c r="Q129" s="56">
        <f t="shared" si="62"/>
        <v>5.3511847733055916E-9</v>
      </c>
      <c r="R129" s="9">
        <f t="shared" si="44"/>
        <v>1.4999999999999999E-4</v>
      </c>
      <c r="S129" s="9">
        <f t="shared" si="45"/>
        <v>6.6563596220441691E-8</v>
      </c>
      <c r="T129" s="9">
        <f t="shared" si="40"/>
        <v>1.4989363421934844E-4</v>
      </c>
      <c r="U129" s="9">
        <f t="shared" si="41"/>
        <v>1.4993343640377956E-4</v>
      </c>
      <c r="V129" s="100">
        <f t="shared" si="46"/>
        <v>0.99973453430144876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253</v>
      </c>
      <c r="C130" s="46" t="s">
        <v>254</v>
      </c>
      <c r="D130" s="47">
        <v>2.1582748772295566</v>
      </c>
      <c r="E130" s="47">
        <v>2.5927572197209185</v>
      </c>
      <c r="F130" s="96">
        <v>9.9999999999999995E-7</v>
      </c>
      <c r="G130" s="7"/>
      <c r="H130" s="7"/>
      <c r="I130" s="54">
        <f t="shared" si="54"/>
        <v>0.26355542441139918</v>
      </c>
      <c r="J130" s="54">
        <f t="shared" si="55"/>
        <v>1.4343865933843176</v>
      </c>
      <c r="K130" s="55">
        <f t="shared" si="56"/>
        <v>0.53819587179658446</v>
      </c>
      <c r="L130" s="55">
        <f t="shared" si="57"/>
        <v>7.4525479848697625E-3</v>
      </c>
      <c r="M130" s="55">
        <f t="shared" si="58"/>
        <v>0.99254745201513028</v>
      </c>
      <c r="N130" s="55">
        <f t="shared" si="59"/>
        <v>3.0478511089472569E-3</v>
      </c>
      <c r="O130" s="56">
        <f t="shared" si="60"/>
        <v>5.4127234847003602E-7</v>
      </c>
      <c r="P130" s="56">
        <f t="shared" si="61"/>
        <v>1.4716428833912031E-5</v>
      </c>
      <c r="Q130" s="56">
        <f t="shared" si="62"/>
        <v>2.1192054439694608E-4</v>
      </c>
      <c r="R130" s="9">
        <f t="shared" si="44"/>
        <v>1.4999999999999999E-4</v>
      </c>
      <c r="S130" s="9">
        <f t="shared" si="45"/>
        <v>1.1178821977304643E-6</v>
      </c>
      <c r="T130" s="9">
        <f t="shared" si="40"/>
        <v>8.0729380769487655E-5</v>
      </c>
      <c r="U130" s="9">
        <f t="shared" si="41"/>
        <v>1.4888211780226954E-4</v>
      </c>
      <c r="V130" s="100">
        <f t="shared" si="46"/>
        <v>0.5422369184505047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255</v>
      </c>
      <c r="C131" s="46" t="s">
        <v>256</v>
      </c>
      <c r="D131" s="47">
        <v>0.51229998772440222</v>
      </c>
      <c r="E131" s="47">
        <v>0.25129998253752994</v>
      </c>
      <c r="F131" s="96">
        <v>9.9999999999999995E-7</v>
      </c>
      <c r="G131" s="7"/>
      <c r="H131" s="7"/>
      <c r="I131" s="54">
        <f t="shared" si="54"/>
        <v>4.79958444939446E-3</v>
      </c>
      <c r="J131" s="54">
        <f t="shared" si="55"/>
        <v>0.100433937104572</v>
      </c>
      <c r="K131" s="55">
        <f t="shared" si="56"/>
        <v>0.98326541442065285</v>
      </c>
      <c r="L131" s="55">
        <f t="shared" si="57"/>
        <v>6.3107725235906373E-4</v>
      </c>
      <c r="M131" s="55">
        <f t="shared" si="58"/>
        <v>0.99936892274764089</v>
      </c>
      <c r="N131" s="55">
        <f t="shared" si="59"/>
        <v>2.536687164911345E-5</v>
      </c>
      <c r="O131" s="56">
        <f t="shared" si="60"/>
        <v>9.8888603187574208E-7</v>
      </c>
      <c r="P131" s="56">
        <f t="shared" si="61"/>
        <v>1.246178285855774E-6</v>
      </c>
      <c r="Q131" s="56">
        <f t="shared" si="62"/>
        <v>1.7637873561954919E-6</v>
      </c>
      <c r="R131" s="9">
        <f t="shared" si="44"/>
        <v>1.4999999999999999E-4</v>
      </c>
      <c r="S131" s="9">
        <f t="shared" si="45"/>
        <v>9.4661587853859545E-8</v>
      </c>
      <c r="T131" s="9">
        <f t="shared" si="40"/>
        <v>1.4748981216309792E-4</v>
      </c>
      <c r="U131" s="9">
        <f t="shared" si="41"/>
        <v>1.4990533841214611E-4</v>
      </c>
      <c r="V131" s="100">
        <f t="shared" si="46"/>
        <v>0.98388632269781473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257</v>
      </c>
      <c r="C132" s="46" t="s">
        <v>258</v>
      </c>
      <c r="D132" s="47">
        <v>0.92271245461153151</v>
      </c>
      <c r="E132" s="47">
        <v>0.83512616782767168</v>
      </c>
      <c r="F132" s="96">
        <v>9.9999999999999995E-7</v>
      </c>
      <c r="G132" s="7"/>
      <c r="H132" s="7"/>
      <c r="I132" s="54">
        <f t="shared" si="54"/>
        <v>1.6027626042906213E-2</v>
      </c>
      <c r="J132" s="54">
        <f t="shared" si="55"/>
        <v>0.28872594496696707</v>
      </c>
      <c r="K132" s="55">
        <f t="shared" si="56"/>
        <v>0.95786606017436993</v>
      </c>
      <c r="L132" s="55">
        <f t="shared" si="57"/>
        <v>9.4843714748935536E-4</v>
      </c>
      <c r="M132" s="55">
        <f t="shared" si="58"/>
        <v>0.99905156285251062</v>
      </c>
      <c r="N132" s="55">
        <f t="shared" si="59"/>
        <v>9.4782272816199849E-5</v>
      </c>
      <c r="O132" s="56">
        <f t="shared" si="60"/>
        <v>9.6334148788543805E-7</v>
      </c>
      <c r="P132" s="56">
        <f t="shared" si="61"/>
        <v>1.8728638598238479E-6</v>
      </c>
      <c r="Q132" s="56">
        <f t="shared" si="62"/>
        <v>6.5903189284488532E-6</v>
      </c>
      <c r="R132" s="9">
        <f t="shared" si="44"/>
        <v>1.4999999999999999E-4</v>
      </c>
      <c r="S132" s="9">
        <f t="shared" si="45"/>
        <v>1.422655721234033E-7</v>
      </c>
      <c r="T132" s="9">
        <f t="shared" si="40"/>
        <v>1.4367990902615547E-4</v>
      </c>
      <c r="U132" s="9">
        <f t="shared" si="41"/>
        <v>1.4985773442787657E-4</v>
      </c>
      <c r="V132" s="100">
        <f t="shared" si="46"/>
        <v>0.95877539837829084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259</v>
      </c>
      <c r="C133" s="46" t="s">
        <v>260</v>
      </c>
      <c r="D133" s="47">
        <v>2.8951366557581992</v>
      </c>
      <c r="E133" s="47">
        <v>3.6409690455151855</v>
      </c>
      <c r="F133" s="96">
        <v>9.9999999999999995E-7</v>
      </c>
      <c r="G133" s="7"/>
      <c r="H133" s="7"/>
      <c r="I133" s="54">
        <f t="shared" si="54"/>
        <v>0.80804902693102654</v>
      </c>
      <c r="J133" s="54">
        <f t="shared" si="55"/>
        <v>2.3181894309775961</v>
      </c>
      <c r="K133" s="55">
        <f t="shared" si="56"/>
        <v>0.15227567023329064</v>
      </c>
      <c r="L133" s="55">
        <f t="shared" si="57"/>
        <v>1.6136070255521939E-2</v>
      </c>
      <c r="M133" s="55">
        <f t="shared" si="58"/>
        <v>0.98386392974447801</v>
      </c>
      <c r="N133" s="55">
        <f t="shared" si="59"/>
        <v>9.6359764668637153E-3</v>
      </c>
      <c r="O133" s="56">
        <f t="shared" si="60"/>
        <v>1.5314612014187706E-7</v>
      </c>
      <c r="P133" s="56">
        <f t="shared" si="61"/>
        <v>3.1863643153522508E-5</v>
      </c>
      <c r="Q133" s="56">
        <f t="shared" si="62"/>
        <v>6.7000037260982149E-4</v>
      </c>
      <c r="R133" s="9">
        <f t="shared" si="44"/>
        <v>1.4999999999999999E-4</v>
      </c>
      <c r="S133" s="9">
        <f t="shared" si="45"/>
        <v>2.4204105383282905E-6</v>
      </c>
      <c r="T133" s="9">
        <f t="shared" si="40"/>
        <v>2.2841350534993593E-5</v>
      </c>
      <c r="U133" s="9">
        <f t="shared" si="41"/>
        <v>1.475795894616717E-4</v>
      </c>
      <c r="V133" s="100">
        <f t="shared" si="46"/>
        <v>0.15477309984607177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261</v>
      </c>
      <c r="C134" s="46" t="s">
        <v>262</v>
      </c>
      <c r="D134" s="47">
        <v>-1.7616394390778063</v>
      </c>
      <c r="E134" s="47">
        <v>-2.9834589203782875</v>
      </c>
      <c r="F134" s="96">
        <v>9.9999999999999995E-7</v>
      </c>
      <c r="G134" s="7"/>
      <c r="H134" s="7"/>
      <c r="I134" s="54">
        <f t="shared" si="54"/>
        <v>-2.2190435405287081E-3</v>
      </c>
      <c r="J134" s="54">
        <f t="shared" si="55"/>
        <v>-6.1551476034624894E-2</v>
      </c>
      <c r="K134" s="55">
        <f t="shared" si="56"/>
        <v>0.99947434265239732</v>
      </c>
      <c r="L134" s="55">
        <f t="shared" si="57"/>
        <v>4.41771809718548E-4</v>
      </c>
      <c r="M134" s="55">
        <f t="shared" si="58"/>
        <v>0.99955822819028151</v>
      </c>
      <c r="N134" s="55">
        <f t="shared" si="59"/>
        <v>1.5017889170512765E-8</v>
      </c>
      <c r="O134" s="56">
        <f t="shared" si="60"/>
        <v>1.0051876148308314E-6</v>
      </c>
      <c r="P134" s="56">
        <f t="shared" si="61"/>
        <v>8.7235981730685265E-7</v>
      </c>
      <c r="Q134" s="56">
        <f t="shared" si="62"/>
        <v>1.044210866917102E-9</v>
      </c>
      <c r="R134" s="9">
        <f t="shared" si="44"/>
        <v>1.4999999999999999E-4</v>
      </c>
      <c r="S134" s="9">
        <f t="shared" si="45"/>
        <v>6.6265771457782195E-8</v>
      </c>
      <c r="T134" s="9">
        <f t="shared" si="40"/>
        <v>1.499211513978596E-4</v>
      </c>
      <c r="U134" s="9">
        <f t="shared" si="41"/>
        <v>1.4993373422854221E-4</v>
      </c>
      <c r="V134" s="100">
        <f t="shared" si="46"/>
        <v>0.99991607738747135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6" t="s">
        <v>263</v>
      </c>
      <c r="C135" s="46" t="s">
        <v>264</v>
      </c>
      <c r="D135" s="47">
        <v>1.1365502998865107</v>
      </c>
      <c r="E135" s="47">
        <v>1.1393180322329237</v>
      </c>
      <c r="F135" s="96">
        <v>9.9999999999999995E-7</v>
      </c>
      <c r="G135" s="7"/>
      <c r="H135" s="7"/>
      <c r="I135" s="54">
        <f t="shared" ref="I135:I143" si="63">IF(D135=0,"",LOG($K$15*10^D135+$K$16*10^E135+$K$14))</f>
        <v>2.7672233265732864E-2</v>
      </c>
      <c r="J135" s="54">
        <f t="shared" ref="J135:J143" si="64">IF(D135=0,"",LOG($K$21*10^D135+$K$22*10^E135+$K$20))</f>
        <v>0.43193712596976019</v>
      </c>
      <c r="K135" s="55">
        <f t="shared" ref="K135:K143" si="65">IF(D135=0,"",1/(1+10^D135*$J$15/$J$14+10^E135*$J$16/$J$14+10^J135*$J$19/$J$14))</f>
        <v>0.93221150052357404</v>
      </c>
      <c r="L135" s="55">
        <f t="shared" ref="L135:L143" si="66">IF(D135=0,"",1/(1+10^I135/10^J135*$J$13/$J$19))</f>
        <v>1.2835991115784911E-3</v>
      </c>
      <c r="M135" s="55">
        <f t="shared" ref="M135:M143" si="67">IF(D135=0,"",1-L135)</f>
        <v>0.99871640088842151</v>
      </c>
      <c r="N135" s="55">
        <f t="shared" ref="N135:N143" si="68">IF(D135=0,"",1/(1/10^E135*$J$20/$J$22+10^D135/10^E135*$J$21/$J$22+10^I135/10^E135*$J$13/$J$22+1))</f>
        <v>1.8583548872479615E-4</v>
      </c>
      <c r="O135" s="56">
        <f t="shared" ref="O135:O143" si="69">IF(D135=0,"",F135*K135*$J$7/$J$14)</f>
        <v>9.375402796658415E-7</v>
      </c>
      <c r="P135" s="56">
        <f t="shared" ref="P135:P143" si="70">IF(D135=0,"",O135*10^J135)</f>
        <v>2.5347028982796528E-6</v>
      </c>
      <c r="Q135" s="56">
        <f t="shared" ref="Q135:Q143" si="71">IF(D135=0,"",F135*N135*$J$7/$J$22)</f>
        <v>1.2921352300714648E-5</v>
      </c>
      <c r="R135" s="9">
        <f t="shared" si="44"/>
        <v>1.4999999999999999E-4</v>
      </c>
      <c r="S135" s="9">
        <f t="shared" si="45"/>
        <v>1.9253986673677366E-7</v>
      </c>
      <c r="T135" s="9">
        <f t="shared" si="40"/>
        <v>1.398317250785361E-4</v>
      </c>
      <c r="U135" s="9">
        <f t="shared" si="41"/>
        <v>1.4980746013326321E-4</v>
      </c>
      <c r="V135" s="100">
        <f t="shared" si="46"/>
        <v>0.93340962428804897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6" t="s">
        <v>265</v>
      </c>
      <c r="C136" s="46" t="s">
        <v>266</v>
      </c>
      <c r="D136" s="47">
        <v>-0.16497034264114602</v>
      </c>
      <c r="E136" s="47">
        <v>-0.71214090995430623</v>
      </c>
      <c r="F136" s="96">
        <v>9.9999999999999995E-7</v>
      </c>
      <c r="G136" s="7"/>
      <c r="H136" s="7"/>
      <c r="I136" s="54">
        <f t="shared" si="63"/>
        <v>-7.9255891896301502E-4</v>
      </c>
      <c r="J136" s="54">
        <f t="shared" si="64"/>
        <v>-2.5149326185848801E-2</v>
      </c>
      <c r="K136" s="55">
        <f t="shared" si="65"/>
        <v>0.99615994513366624</v>
      </c>
      <c r="L136" s="55">
        <f t="shared" si="66"/>
        <v>4.7880378436332042E-4</v>
      </c>
      <c r="M136" s="55">
        <f t="shared" si="67"/>
        <v>0.99952119621563673</v>
      </c>
      <c r="N136" s="55">
        <f t="shared" si="68"/>
        <v>2.7956598579845006E-6</v>
      </c>
      <c r="O136" s="56">
        <f t="shared" si="69"/>
        <v>1.0018542712978567E-6</v>
      </c>
      <c r="P136" s="56">
        <f t="shared" si="70"/>
        <v>9.454862729224956E-7</v>
      </c>
      <c r="Q136" s="56">
        <f t="shared" si="71"/>
        <v>1.9438540068888147E-7</v>
      </c>
      <c r="R136" s="9">
        <f t="shared" si="44"/>
        <v>1.4999999999999999E-4</v>
      </c>
      <c r="S136" s="9">
        <f t="shared" si="45"/>
        <v>7.1820567654498053E-8</v>
      </c>
      <c r="T136" s="9">
        <f t="shared" si="40"/>
        <v>1.4942399177004991E-4</v>
      </c>
      <c r="U136" s="9">
        <f t="shared" si="41"/>
        <v>1.4992817943234549E-4</v>
      </c>
      <c r="V136" s="100">
        <f t="shared" si="46"/>
        <v>0.99663713876734505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6" t="s">
        <v>267</v>
      </c>
      <c r="C137" s="46" t="s">
        <v>268</v>
      </c>
      <c r="D137" s="47">
        <v>-2.7256879443499291</v>
      </c>
      <c r="E137" s="47">
        <v>-4.3548518644977863</v>
      </c>
      <c r="F137" s="96">
        <v>9.9999999999999995E-7</v>
      </c>
      <c r="G137" s="7"/>
      <c r="H137" s="7"/>
      <c r="I137" s="54">
        <f t="shared" si="63"/>
        <v>-2.2515440087297459E-3</v>
      </c>
      <c r="J137" s="54">
        <f t="shared" si="64"/>
        <v>-6.2381894312699707E-2</v>
      </c>
      <c r="K137" s="55">
        <f t="shared" si="65"/>
        <v>0.9995499517527171</v>
      </c>
      <c r="L137" s="55">
        <f t="shared" si="66"/>
        <v>4.4096125675180669E-4</v>
      </c>
      <c r="M137" s="55">
        <f t="shared" si="67"/>
        <v>0.99955903874324814</v>
      </c>
      <c r="N137" s="55">
        <f t="shared" si="68"/>
        <v>6.3862924651438721E-10</v>
      </c>
      <c r="O137" s="56">
        <f t="shared" si="69"/>
        <v>1.0052636561337109E-6</v>
      </c>
      <c r="P137" s="56">
        <f t="shared" si="70"/>
        <v>8.7075923116163338E-7</v>
      </c>
      <c r="Q137" s="56">
        <f t="shared" si="71"/>
        <v>4.4404615826488668E-11</v>
      </c>
      <c r="R137" s="9">
        <f t="shared" si="44"/>
        <v>1.4999999999999999E-4</v>
      </c>
      <c r="S137" s="9">
        <f t="shared" si="45"/>
        <v>6.6144188512771002E-8</v>
      </c>
      <c r="T137" s="9">
        <f t="shared" si="40"/>
        <v>1.4993249276290755E-4</v>
      </c>
      <c r="U137" s="9">
        <f t="shared" si="41"/>
        <v>1.499338558114872E-4</v>
      </c>
      <c r="V137" s="100">
        <f t="shared" si="46"/>
        <v>0.99999090900069043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6" t="s">
        <v>269</v>
      </c>
      <c r="C138" s="46" t="s">
        <v>270</v>
      </c>
      <c r="D138" s="47">
        <v>-0.21545001227559774</v>
      </c>
      <c r="E138" s="47">
        <v>-0.78395001746247006</v>
      </c>
      <c r="F138" s="96">
        <v>9.9999999999999995E-7</v>
      </c>
      <c r="G138" s="7"/>
      <c r="H138" s="7"/>
      <c r="I138" s="54">
        <f t="shared" si="63"/>
        <v>-9.5421953907495261E-4</v>
      </c>
      <c r="J138" s="54">
        <f t="shared" si="64"/>
        <v>-2.9201865265541728E-2</v>
      </c>
      <c r="K138" s="55">
        <f t="shared" si="65"/>
        <v>0.99653507776427142</v>
      </c>
      <c r="L138" s="55">
        <f t="shared" si="66"/>
        <v>4.7453532841157294E-4</v>
      </c>
      <c r="M138" s="55">
        <f t="shared" si="67"/>
        <v>0.99952546467158843</v>
      </c>
      <c r="N138" s="55">
        <f t="shared" si="68"/>
        <v>2.3704933338454404E-6</v>
      </c>
      <c r="O138" s="56">
        <f t="shared" si="69"/>
        <v>1.0022315482904832E-6</v>
      </c>
      <c r="P138" s="56">
        <f t="shared" si="70"/>
        <v>9.3705742035125282E-7</v>
      </c>
      <c r="Q138" s="56">
        <f t="shared" si="71"/>
        <v>1.6482309005290412E-7</v>
      </c>
      <c r="R138" s="9">
        <f t="shared" si="44"/>
        <v>1.4999999999999999E-4</v>
      </c>
      <c r="S138" s="9">
        <f t="shared" si="45"/>
        <v>7.1180299261735939E-8</v>
      </c>
      <c r="T138" s="9">
        <f t="shared" si="40"/>
        <v>1.4948026166464071E-4</v>
      </c>
      <c r="U138" s="9">
        <f t="shared" si="41"/>
        <v>1.4992881970073824E-4</v>
      </c>
      <c r="V138" s="100">
        <f t="shared" si="46"/>
        <v>0.99700819337474356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6" t="s">
        <v>271</v>
      </c>
      <c r="C139" s="46" t="s">
        <v>272</v>
      </c>
      <c r="D139" s="47">
        <v>1.0310160000000004</v>
      </c>
      <c r="E139" s="47">
        <v>0.78085199999999966</v>
      </c>
      <c r="F139" s="96">
        <v>9.9999999999999995E-7</v>
      </c>
      <c r="G139" s="7"/>
      <c r="H139" s="7"/>
      <c r="I139" s="54">
        <f t="shared" si="63"/>
        <v>2.0637855846763784E-2</v>
      </c>
      <c r="J139" s="54">
        <f t="shared" si="64"/>
        <v>0.33678734695500601</v>
      </c>
      <c r="K139" s="55">
        <f t="shared" si="65"/>
        <v>0.94765708713792074</v>
      </c>
      <c r="L139" s="55">
        <f t="shared" si="66"/>
        <v>1.048132981838607E-3</v>
      </c>
      <c r="M139" s="55">
        <f t="shared" si="67"/>
        <v>0.99895186701816141</v>
      </c>
      <c r="N139" s="55">
        <f t="shared" si="68"/>
        <v>8.2755978924438828E-5</v>
      </c>
      <c r="O139" s="56">
        <f t="shared" si="69"/>
        <v>9.530741575314165E-7</v>
      </c>
      <c r="P139" s="56">
        <f t="shared" si="70"/>
        <v>2.0697316497685627E-6</v>
      </c>
      <c r="Q139" s="56">
        <f t="shared" si="71"/>
        <v>5.7541170742513337E-6</v>
      </c>
      <c r="R139" s="9">
        <f t="shared" si="44"/>
        <v>1.4999999999999999E-4</v>
      </c>
      <c r="S139" s="9">
        <f t="shared" si="45"/>
        <v>1.5721994727579104E-7</v>
      </c>
      <c r="T139" s="9">
        <f t="shared" si="40"/>
        <v>1.4214856307068809E-4</v>
      </c>
      <c r="U139" s="9">
        <f t="shared" si="41"/>
        <v>1.498427800527242E-4</v>
      </c>
      <c r="V139" s="100">
        <f t="shared" si="46"/>
        <v>0.94865139995848458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6" t="s">
        <v>273</v>
      </c>
      <c r="C140" s="46" t="s">
        <v>274</v>
      </c>
      <c r="D140" s="47">
        <v>-1.8497486811018407</v>
      </c>
      <c r="E140" s="47">
        <v>-3.1087974195955765</v>
      </c>
      <c r="F140" s="96">
        <v>9.9999999999999995E-7</v>
      </c>
      <c r="G140" s="7"/>
      <c r="H140" s="7"/>
      <c r="I140" s="54">
        <f t="shared" si="63"/>
        <v>-2.2257476801494347E-3</v>
      </c>
      <c r="J140" s="54">
        <f t="shared" si="64"/>
        <v>-6.1723202613472264E-2</v>
      </c>
      <c r="K140" s="55">
        <f t="shared" si="65"/>
        <v>0.99948993925510909</v>
      </c>
      <c r="L140" s="55">
        <f t="shared" si="66"/>
        <v>4.4160405206111151E-4</v>
      </c>
      <c r="M140" s="55">
        <f t="shared" si="67"/>
        <v>0.99955839594793894</v>
      </c>
      <c r="N140" s="55">
        <f t="shared" si="68"/>
        <v>1.1253229416277437E-8</v>
      </c>
      <c r="O140" s="56">
        <f t="shared" si="69"/>
        <v>1.0052033005880442E-6</v>
      </c>
      <c r="P140" s="56">
        <f t="shared" si="70"/>
        <v>8.7202854890951781E-7</v>
      </c>
      <c r="Q140" s="56">
        <f t="shared" si="71"/>
        <v>7.8244980442793376E-10</v>
      </c>
      <c r="R140" s="9">
        <f t="shared" si="44"/>
        <v>1.4999999999999999E-4</v>
      </c>
      <c r="S140" s="9">
        <f t="shared" si="45"/>
        <v>6.6240607809166718E-8</v>
      </c>
      <c r="T140" s="9">
        <f t="shared" si="40"/>
        <v>1.4992349088826636E-4</v>
      </c>
      <c r="U140" s="9">
        <f t="shared" si="41"/>
        <v>1.4993375939219083E-4</v>
      </c>
      <c r="V140" s="100">
        <f t="shared" si="46"/>
        <v>0.99993151306306127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6" t="s">
        <v>275</v>
      </c>
      <c r="C141" s="46" t="s">
        <v>276</v>
      </c>
      <c r="D141" s="47">
        <v>-1.4544244920654867</v>
      </c>
      <c r="E141" s="47">
        <v>-2.5464348408255515</v>
      </c>
      <c r="F141" s="96">
        <v>9.9999999999999995E-7</v>
      </c>
      <c r="G141" s="7"/>
      <c r="H141" s="7"/>
      <c r="I141" s="54">
        <f t="shared" si="63"/>
        <v>-2.1814307177209532E-3</v>
      </c>
      <c r="J141" s="54">
        <f t="shared" si="64"/>
        <v>-6.0585812833321005E-2</v>
      </c>
      <c r="K141" s="55">
        <f t="shared" si="65"/>
        <v>0.99938684074233197</v>
      </c>
      <c r="L141" s="55">
        <f t="shared" si="66"/>
        <v>4.4271642950032523E-4</v>
      </c>
      <c r="M141" s="55">
        <f t="shared" si="67"/>
        <v>0.99955728357049967</v>
      </c>
      <c r="N141" s="55">
        <f t="shared" si="68"/>
        <v>4.1076643733017217E-8</v>
      </c>
      <c r="O141" s="56">
        <f t="shared" si="69"/>
        <v>1.0050996127356117E-6</v>
      </c>
      <c r="P141" s="56">
        <f t="shared" si="70"/>
        <v>8.7422514307487885E-7</v>
      </c>
      <c r="Q141" s="56">
        <f t="shared" si="71"/>
        <v>2.856105626795909E-9</v>
      </c>
      <c r="R141" s="9">
        <f t="shared" si="44"/>
        <v>1.4999999999999999E-4</v>
      </c>
      <c r="S141" s="9">
        <f t="shared" si="45"/>
        <v>6.6407464425048779E-8</v>
      </c>
      <c r="T141" s="9">
        <f t="shared" si="40"/>
        <v>1.4990802611134979E-4</v>
      </c>
      <c r="U141" s="9">
        <f t="shared" si="41"/>
        <v>1.4993359253557493E-4</v>
      </c>
      <c r="V141" s="100">
        <f t="shared" si="46"/>
        <v>0.99982948168057073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6" t="s">
        <v>277</v>
      </c>
      <c r="C142" s="46" t="s">
        <v>278</v>
      </c>
      <c r="D142" s="47">
        <v>2.3179513188981593</v>
      </c>
      <c r="E142" s="47">
        <v>2.8199025804044244</v>
      </c>
      <c r="F142" s="96">
        <v>9.9999999999999995E-7</v>
      </c>
      <c r="G142" s="7"/>
      <c r="H142" s="7"/>
      <c r="I142" s="54">
        <f t="shared" si="63"/>
        <v>0.35101699191808489</v>
      </c>
      <c r="J142" s="54">
        <f t="shared" si="64"/>
        <v>1.618932745693185</v>
      </c>
      <c r="K142" s="55">
        <f t="shared" si="65"/>
        <v>0.43920651524908916</v>
      </c>
      <c r="L142" s="55">
        <f t="shared" si="66"/>
        <v>9.3020644663537686E-3</v>
      </c>
      <c r="M142" s="55">
        <f t="shared" si="67"/>
        <v>0.99069793553364627</v>
      </c>
      <c r="N142" s="55">
        <f t="shared" si="68"/>
        <v>4.1963095727714271E-3</v>
      </c>
      <c r="O142" s="56">
        <f t="shared" si="69"/>
        <v>4.4171714134230176E-7</v>
      </c>
      <c r="P142" s="56">
        <f t="shared" si="70"/>
        <v>1.8368639827006678E-5</v>
      </c>
      <c r="Q142" s="56">
        <f t="shared" si="71"/>
        <v>2.9177416393775233E-4</v>
      </c>
      <c r="R142" s="9">
        <f t="shared" si="44"/>
        <v>1.4999999999999999E-4</v>
      </c>
      <c r="S142" s="9">
        <f t="shared" si="45"/>
        <v>1.3953096699530652E-6</v>
      </c>
      <c r="T142" s="9">
        <f t="shared" si="40"/>
        <v>6.5880977287363366E-5</v>
      </c>
      <c r="U142" s="9">
        <f t="shared" si="41"/>
        <v>1.4860469033004694E-4</v>
      </c>
      <c r="V142" s="100">
        <f t="shared" si="46"/>
        <v>0.44333040323992151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6" t="s">
        <v>97</v>
      </c>
      <c r="C143" s="46" t="s">
        <v>279</v>
      </c>
      <c r="D143" s="47">
        <v>3.46</v>
      </c>
      <c r="E143" s="47">
        <v>2.6247999825375303</v>
      </c>
      <c r="F143" s="96">
        <v>9.9999999999999995E-7</v>
      </c>
      <c r="G143" s="7"/>
      <c r="H143" s="7"/>
      <c r="I143" s="54">
        <f t="shared" si="63"/>
        <v>1.1760432553236648</v>
      </c>
      <c r="J143" s="54">
        <f t="shared" si="64"/>
        <v>2.5015937770548793</v>
      </c>
      <c r="K143" s="55">
        <f t="shared" si="65"/>
        <v>6.5625037536725786E-2</v>
      </c>
      <c r="L143" s="55">
        <f t="shared" si="66"/>
        <v>1.0608187011659395E-2</v>
      </c>
      <c r="M143" s="55">
        <f t="shared" si="67"/>
        <v>0.98939181298834056</v>
      </c>
      <c r="N143" s="55">
        <f t="shared" si="68"/>
        <v>4.0009738495696228E-4</v>
      </c>
      <c r="O143" s="56">
        <f t="shared" si="69"/>
        <v>6.6000168428202468E-8</v>
      </c>
      <c r="P143" s="56">
        <f t="shared" si="70"/>
        <v>2.094781939423416E-5</v>
      </c>
      <c r="Q143" s="56">
        <f t="shared" si="71"/>
        <v>2.7819224955893739E-5</v>
      </c>
      <c r="R143" s="9">
        <f t="shared" si="44"/>
        <v>1.4999999999999999E-4</v>
      </c>
      <c r="S143" s="9">
        <f t="shared" si="45"/>
        <v>1.5912280517489092E-6</v>
      </c>
      <c r="T143" s="9">
        <f t="shared" si="40"/>
        <v>9.8437556305088668E-6</v>
      </c>
      <c r="U143" s="9">
        <f t="shared" si="41"/>
        <v>1.4840877194825108E-4</v>
      </c>
      <c r="V143" s="100">
        <f t="shared" si="46"/>
        <v>6.6328664413053059E-2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2025-02-02T14:48:44Z</dcterms:modified>
</cp:coreProperties>
</file>