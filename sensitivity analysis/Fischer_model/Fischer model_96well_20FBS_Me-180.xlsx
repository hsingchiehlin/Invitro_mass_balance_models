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99022A99-BB5D-40E1-B8C0-47A7EFCA44E5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S130" i="4" s="1"/>
  <c r="V127" i="4"/>
  <c r="U127" i="4"/>
  <c r="T127" i="4"/>
  <c r="S127" i="4"/>
  <c r="R127" i="4"/>
  <c r="V126" i="4"/>
  <c r="R126" i="4"/>
  <c r="U126" i="4" s="1"/>
  <c r="V124" i="4"/>
  <c r="U124" i="4"/>
  <c r="T124" i="4"/>
  <c r="S124" i="4"/>
  <c r="R124" i="4"/>
  <c r="V121" i="4"/>
  <c r="R121" i="4"/>
  <c r="U121" i="4" s="1"/>
  <c r="V120" i="4"/>
  <c r="R120" i="4"/>
  <c r="V119" i="4"/>
  <c r="U119" i="4"/>
  <c r="T119" i="4"/>
  <c r="S119" i="4"/>
  <c r="R119" i="4"/>
  <c r="V116" i="4"/>
  <c r="R116" i="4"/>
  <c r="T116" i="4" s="1"/>
  <c r="V115" i="4"/>
  <c r="U115" i="4"/>
  <c r="T115" i="4"/>
  <c r="R115" i="4"/>
  <c r="S115" i="4" s="1"/>
  <c r="V114" i="4"/>
  <c r="R114" i="4"/>
  <c r="U114" i="4" s="1"/>
  <c r="V108" i="4"/>
  <c r="R108" i="4"/>
  <c r="V107" i="4"/>
  <c r="R107" i="4"/>
  <c r="U107" i="4" s="1"/>
  <c r="V93" i="4"/>
  <c r="R93" i="4"/>
  <c r="S93" i="4" s="1"/>
  <c r="V92" i="4"/>
  <c r="U92" i="4"/>
  <c r="T92" i="4"/>
  <c r="S92" i="4"/>
  <c r="R92" i="4"/>
  <c r="V91" i="4"/>
  <c r="R91" i="4"/>
  <c r="U91" i="4" s="1"/>
  <c r="V90" i="4"/>
  <c r="U90" i="4"/>
  <c r="T90" i="4"/>
  <c r="S90" i="4"/>
  <c r="R90" i="4"/>
  <c r="V89" i="4"/>
  <c r="R89" i="4"/>
  <c r="U89" i="4" s="1"/>
  <c r="V88" i="4"/>
  <c r="R88" i="4"/>
  <c r="T88" i="4" s="1"/>
  <c r="V86" i="4"/>
  <c r="U86" i="4"/>
  <c r="T86" i="4"/>
  <c r="S86" i="4"/>
  <c r="R86" i="4"/>
  <c r="V85" i="4"/>
  <c r="R85" i="4"/>
  <c r="U85" i="4" s="1"/>
  <c r="V84" i="4"/>
  <c r="U84" i="4"/>
  <c r="T84" i="4"/>
  <c r="R84" i="4"/>
  <c r="S84" i="4" s="1"/>
  <c r="V83" i="4"/>
  <c r="R83" i="4"/>
  <c r="U83" i="4" s="1"/>
  <c r="V82" i="4"/>
  <c r="R82" i="4"/>
  <c r="V81" i="4"/>
  <c r="R81" i="4"/>
  <c r="U81" i="4" s="1"/>
  <c r="V80" i="4"/>
  <c r="R80" i="4"/>
  <c r="S80" i="4" s="1"/>
  <c r="V79" i="4"/>
  <c r="U79" i="4"/>
  <c r="T79" i="4"/>
  <c r="S79" i="4"/>
  <c r="R79" i="4"/>
  <c r="V78" i="4"/>
  <c r="R78" i="4"/>
  <c r="U78" i="4" s="1"/>
  <c r="V77" i="4"/>
  <c r="U77" i="4"/>
  <c r="T77" i="4"/>
  <c r="S77" i="4"/>
  <c r="R77" i="4"/>
  <c r="V76" i="4"/>
  <c r="R76" i="4"/>
  <c r="U76" i="4" s="1"/>
  <c r="V75" i="4"/>
  <c r="R75" i="4"/>
  <c r="V74" i="4"/>
  <c r="U74" i="4"/>
  <c r="T74" i="4"/>
  <c r="S74" i="4"/>
  <c r="R74" i="4"/>
  <c r="V73" i="4"/>
  <c r="R73" i="4"/>
  <c r="U73" i="4" s="1"/>
  <c r="V72" i="4"/>
  <c r="U72" i="4"/>
  <c r="T72" i="4"/>
  <c r="R72" i="4"/>
  <c r="S72" i="4" s="1"/>
  <c r="V71" i="4"/>
  <c r="R71" i="4"/>
  <c r="U71" i="4" s="1"/>
  <c r="V70" i="4"/>
  <c r="R70" i="4"/>
  <c r="V69" i="4"/>
  <c r="R69" i="4"/>
  <c r="U69" i="4" s="1"/>
  <c r="V68" i="4"/>
  <c r="R68" i="4"/>
  <c r="S68" i="4" s="1"/>
  <c r="V65" i="4"/>
  <c r="U65" i="4"/>
  <c r="T65" i="4"/>
  <c r="S65" i="4"/>
  <c r="R65" i="4"/>
  <c r="V64" i="4"/>
  <c r="R64" i="4"/>
  <c r="U64" i="4" s="1"/>
  <c r="V63" i="4"/>
  <c r="U63" i="4"/>
  <c r="T63" i="4"/>
  <c r="S63" i="4"/>
  <c r="R63" i="4"/>
  <c r="V62" i="4"/>
  <c r="R62" i="4"/>
  <c r="U62" i="4" s="1"/>
  <c r="V61" i="4"/>
  <c r="R61" i="4"/>
  <c r="V60" i="4"/>
  <c r="U60" i="4"/>
  <c r="T60" i="4"/>
  <c r="S60" i="4"/>
  <c r="R60" i="4"/>
  <c r="V58" i="4"/>
  <c r="R58" i="4"/>
  <c r="U58" i="4" s="1"/>
  <c r="V57" i="4"/>
  <c r="U57" i="4"/>
  <c r="T57" i="4"/>
  <c r="R57" i="4"/>
  <c r="S57" i="4" s="1"/>
  <c r="V49" i="4"/>
  <c r="R49" i="4"/>
  <c r="U49" i="4" s="1"/>
  <c r="V48" i="4"/>
  <c r="R48" i="4"/>
  <c r="V47" i="4"/>
  <c r="R47" i="4"/>
  <c r="U47" i="4" s="1"/>
  <c r="V46" i="4"/>
  <c r="R46" i="4"/>
  <c r="S46" i="4" s="1"/>
  <c r="V45" i="4"/>
  <c r="U45" i="4"/>
  <c r="T45" i="4"/>
  <c r="S45" i="4"/>
  <c r="R45" i="4"/>
  <c r="V44" i="4"/>
  <c r="R44" i="4"/>
  <c r="U44" i="4" s="1"/>
  <c r="V43" i="4"/>
  <c r="U43" i="4"/>
  <c r="T43" i="4"/>
  <c r="S43" i="4"/>
  <c r="R43" i="4"/>
  <c r="V42" i="4"/>
  <c r="R42" i="4"/>
  <c r="U42" i="4" s="1"/>
  <c r="V41" i="4"/>
  <c r="R41" i="4"/>
  <c r="V40" i="4"/>
  <c r="U40" i="4"/>
  <c r="T40" i="4"/>
  <c r="S40" i="4"/>
  <c r="R40" i="4"/>
  <c r="V39" i="4"/>
  <c r="R39" i="4"/>
  <c r="S39" i="4" s="1"/>
  <c r="V38" i="4"/>
  <c r="U38" i="4"/>
  <c r="T38" i="4"/>
  <c r="R38" i="4"/>
  <c r="S38" i="4" s="1"/>
  <c r="V37" i="4"/>
  <c r="R37" i="4"/>
  <c r="T37" i="4" s="1"/>
  <c r="V36" i="4"/>
  <c r="R36" i="4"/>
  <c r="V35" i="4"/>
  <c r="R35" i="4"/>
  <c r="U35" i="4" s="1"/>
  <c r="V34" i="4"/>
  <c r="R34" i="4"/>
  <c r="S34" i="4" s="1"/>
  <c r="V33" i="4"/>
  <c r="U33" i="4"/>
  <c r="T33" i="4"/>
  <c r="S33" i="4"/>
  <c r="R33" i="4"/>
  <c r="V32" i="4"/>
  <c r="R32" i="4"/>
  <c r="U32" i="4" s="1"/>
  <c r="V31" i="4"/>
  <c r="U31" i="4"/>
  <c r="T31" i="4"/>
  <c r="S31" i="4"/>
  <c r="R31" i="4"/>
  <c r="V30" i="4"/>
  <c r="R30" i="4"/>
  <c r="U30" i="4" s="1"/>
  <c r="V29" i="4"/>
  <c r="R29" i="4"/>
  <c r="V28" i="4"/>
  <c r="U28" i="4"/>
  <c r="T28" i="4"/>
  <c r="S28" i="4"/>
  <c r="R28" i="4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108" i="4" l="1"/>
  <c r="S108" i="4"/>
  <c r="T108" i="4"/>
  <c r="U36" i="4"/>
  <c r="T36" i="4"/>
  <c r="T48" i="4"/>
  <c r="U48" i="4"/>
  <c r="U70" i="4"/>
  <c r="T70" i="4"/>
  <c r="U82" i="4"/>
  <c r="T82" i="4"/>
  <c r="S82" i="4"/>
  <c r="S36" i="4"/>
  <c r="S48" i="4"/>
  <c r="S70" i="4"/>
  <c r="U29" i="4"/>
  <c r="T29" i="4"/>
  <c r="S29" i="4"/>
  <c r="T41" i="4"/>
  <c r="U41" i="4"/>
  <c r="S41" i="4"/>
  <c r="T61" i="4"/>
  <c r="U61" i="4"/>
  <c r="S61" i="4"/>
  <c r="T75" i="4"/>
  <c r="U75" i="4"/>
  <c r="S75" i="4"/>
  <c r="T120" i="4"/>
  <c r="S120" i="4"/>
  <c r="U120" i="4"/>
  <c r="S126" i="4"/>
  <c r="S88" i="4"/>
  <c r="T46" i="4"/>
  <c r="S58" i="4"/>
  <c r="T68" i="4"/>
  <c r="S73" i="4"/>
  <c r="T80" i="4"/>
  <c r="S85" i="4"/>
  <c r="U88" i="4"/>
  <c r="T93" i="4"/>
  <c r="S116" i="4"/>
  <c r="T130" i="4"/>
  <c r="S32" i="4"/>
  <c r="U34" i="4"/>
  <c r="T39" i="4"/>
  <c r="S44" i="4"/>
  <c r="U46" i="4"/>
  <c r="T58" i="4"/>
  <c r="S64" i="4"/>
  <c r="U68" i="4"/>
  <c r="T73" i="4"/>
  <c r="S78" i="4"/>
  <c r="U80" i="4"/>
  <c r="T85" i="4"/>
  <c r="S91" i="4"/>
  <c r="U93" i="4"/>
  <c r="U130" i="4"/>
  <c r="T32" i="4"/>
  <c r="S37" i="4"/>
  <c r="U39" i="4"/>
  <c r="T44" i="4"/>
  <c r="S49" i="4"/>
  <c r="T64" i="4"/>
  <c r="S71" i="4"/>
  <c r="T78" i="4"/>
  <c r="S83" i="4"/>
  <c r="T91" i="4"/>
  <c r="S114" i="4"/>
  <c r="S30" i="4"/>
  <c r="S42" i="4"/>
  <c r="T49" i="4"/>
  <c r="S62" i="4"/>
  <c r="T71" i="4"/>
  <c r="S76" i="4"/>
  <c r="T83" i="4"/>
  <c r="S89" i="4"/>
  <c r="T114" i="4"/>
  <c r="S121" i="4"/>
  <c r="T30" i="4"/>
  <c r="S35" i="4"/>
  <c r="U37" i="4"/>
  <c r="T42" i="4"/>
  <c r="S47" i="4"/>
  <c r="T62" i="4"/>
  <c r="S69" i="4"/>
  <c r="T76" i="4"/>
  <c r="S81" i="4"/>
  <c r="T89" i="4"/>
  <c r="S107" i="4"/>
  <c r="T121" i="4"/>
  <c r="S131" i="4"/>
  <c r="T34" i="4"/>
  <c r="T126" i="4"/>
  <c r="T35" i="4"/>
  <c r="T47" i="4"/>
  <c r="T69" i="4"/>
  <c r="T81" i="4"/>
  <c r="T107" i="4"/>
  <c r="T131" i="4"/>
  <c r="U116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 s="1"/>
  <c r="J85" i="4"/>
  <c r="K85" i="4"/>
  <c r="J88" i="4"/>
  <c r="K88" i="4" s="1"/>
  <c r="J119" i="4"/>
  <c r="K119" i="4"/>
  <c r="J72" i="4"/>
  <c r="L72" i="4" s="1"/>
  <c r="K72" i="4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/>
  <c r="J78" i="4"/>
  <c r="K78" i="4" s="1"/>
  <c r="J115" i="4"/>
  <c r="K115" i="4"/>
  <c r="O115" i="4"/>
  <c r="J99" i="4"/>
  <c r="K99" i="4"/>
  <c r="J83" i="4"/>
  <c r="K83" i="4"/>
  <c r="J102" i="4"/>
  <c r="K102" i="4"/>
  <c r="J74" i="4"/>
  <c r="L74" i="4" s="1"/>
  <c r="K74" i="4"/>
  <c r="O74" i="4" s="1"/>
  <c r="P74" i="4" s="1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/>
  <c r="J111" i="4"/>
  <c r="K111" i="4"/>
  <c r="J95" i="4"/>
  <c r="K95" i="4" s="1"/>
  <c r="J79" i="4"/>
  <c r="K79" i="4"/>
  <c r="J126" i="4"/>
  <c r="K126" i="4"/>
  <c r="O126" i="4" s="1"/>
  <c r="P126" i="4" s="1"/>
  <c r="J94" i="4"/>
  <c r="K94" i="4" s="1"/>
  <c r="J121" i="4"/>
  <c r="K121" i="4"/>
  <c r="J105" i="4"/>
  <c r="K105" i="4"/>
  <c r="J89" i="4"/>
  <c r="K89" i="4" s="1"/>
  <c r="J73" i="4"/>
  <c r="K73" i="4"/>
  <c r="J124" i="4"/>
  <c r="K124" i="4"/>
  <c r="O124" i="4" s="1"/>
  <c r="P124" i="4" s="1"/>
  <c r="J108" i="4"/>
  <c r="K108" i="4"/>
  <c r="O108" i="4" s="1"/>
  <c r="P108" i="4" s="1"/>
  <c r="J92" i="4"/>
  <c r="K92" i="4" s="1"/>
  <c r="J76" i="4"/>
  <c r="K76" i="4"/>
  <c r="J98" i="4"/>
  <c r="K98" i="4"/>
  <c r="J123" i="4"/>
  <c r="K123" i="4"/>
  <c r="J107" i="4"/>
  <c r="K107" i="4"/>
  <c r="O107" i="4" s="1"/>
  <c r="P107" i="4" s="1"/>
  <c r="J91" i="4"/>
  <c r="L91" i="4" s="1"/>
  <c r="M91" i="4" s="1"/>
  <c r="K91" i="4"/>
  <c r="O91" i="4" s="1"/>
  <c r="P91" i="4" s="1"/>
  <c r="J75" i="4"/>
  <c r="K75" i="4" s="1"/>
  <c r="P100" i="4"/>
  <c r="P115" i="4"/>
  <c r="O112" i="4"/>
  <c r="P112" i="4"/>
  <c r="O98" i="4"/>
  <c r="P98" i="4"/>
  <c r="O105" i="4"/>
  <c r="P105" i="4"/>
  <c r="O111" i="4"/>
  <c r="P111" i="4"/>
  <c r="O104" i="4"/>
  <c r="P104" i="4"/>
  <c r="O85" i="4"/>
  <c r="P85" i="4" s="1"/>
  <c r="O120" i="4"/>
  <c r="P120" i="4" s="1"/>
  <c r="O121" i="4"/>
  <c r="P121" i="4"/>
  <c r="O127" i="4"/>
  <c r="P127" i="4"/>
  <c r="O102" i="4"/>
  <c r="P102" i="4"/>
  <c r="O97" i="4"/>
  <c r="P97" i="4"/>
  <c r="O110" i="4"/>
  <c r="P110" i="4"/>
  <c r="O118" i="4"/>
  <c r="P118" i="4"/>
  <c r="O117" i="4"/>
  <c r="P117" i="4"/>
  <c r="O106" i="4"/>
  <c r="P106" i="4"/>
  <c r="O109" i="4"/>
  <c r="P109" i="4"/>
  <c r="O114" i="4"/>
  <c r="P114" i="4" s="1"/>
  <c r="O113" i="4"/>
  <c r="P113" i="4"/>
  <c r="O71" i="4"/>
  <c r="P71" i="4"/>
  <c r="O103" i="4"/>
  <c r="P103" i="4"/>
  <c r="O119" i="4"/>
  <c r="P119" i="4"/>
  <c r="O122" i="4"/>
  <c r="P122" i="4"/>
  <c r="O123" i="4"/>
  <c r="P123" i="4"/>
  <c r="O125" i="4"/>
  <c r="P125" i="4"/>
  <c r="O99" i="4"/>
  <c r="P99" i="4"/>
  <c r="O101" i="4"/>
  <c r="P101" i="4"/>
  <c r="O87" i="4"/>
  <c r="P87" i="4" s="1"/>
  <c r="I76" i="4"/>
  <c r="L76" i="4" s="1"/>
  <c r="I77" i="4"/>
  <c r="N77" i="4" s="1"/>
  <c r="Q77" i="4" s="1"/>
  <c r="I81" i="4"/>
  <c r="I89" i="4"/>
  <c r="I90" i="4"/>
  <c r="I96" i="4"/>
  <c r="I99" i="4"/>
  <c r="I102" i="4"/>
  <c r="I104" i="4"/>
  <c r="I108" i="4"/>
  <c r="N108" i="4" s="1"/>
  <c r="Q108" i="4" s="1"/>
  <c r="I111" i="4"/>
  <c r="I113" i="4"/>
  <c r="I115" i="4"/>
  <c r="L115" i="4" s="1"/>
  <c r="M115" i="4" s="1"/>
  <c r="I119" i="4"/>
  <c r="N119" i="4" s="1"/>
  <c r="Q119" i="4" s="1"/>
  <c r="I120" i="4"/>
  <c r="I123" i="4"/>
  <c r="I125" i="4"/>
  <c r="I79" i="4"/>
  <c r="I92" i="4"/>
  <c r="I100" i="4"/>
  <c r="I103" i="4"/>
  <c r="I107" i="4"/>
  <c r="I109" i="4"/>
  <c r="I110" i="4"/>
  <c r="I117" i="4"/>
  <c r="I124" i="4"/>
  <c r="L124" i="4" s="1"/>
  <c r="M124" i="4" s="1"/>
  <c r="I72" i="4"/>
  <c r="N72" i="4" s="1"/>
  <c r="Q72" i="4" s="1"/>
  <c r="I106" i="4"/>
  <c r="I71" i="4"/>
  <c r="I75" i="4"/>
  <c r="I80" i="4"/>
  <c r="I83" i="4"/>
  <c r="L83" i="4" s="1"/>
  <c r="I86" i="4"/>
  <c r="I88" i="4"/>
  <c r="N88" i="4" s="1"/>
  <c r="Q88" i="4" s="1"/>
  <c r="I94" i="4"/>
  <c r="I95" i="4"/>
  <c r="I98" i="4"/>
  <c r="I101" i="4"/>
  <c r="I118" i="4"/>
  <c r="I127" i="4"/>
  <c r="I73" i="4"/>
  <c r="I74" i="4"/>
  <c r="I78" i="4"/>
  <c r="I82" i="4"/>
  <c r="I85" i="4"/>
  <c r="N85" i="4" s="1"/>
  <c r="Q85" i="4" s="1"/>
  <c r="I93" i="4"/>
  <c r="N93" i="4" s="1"/>
  <c r="Q93" i="4" s="1"/>
  <c r="I112" i="4"/>
  <c r="I114" i="4"/>
  <c r="N114" i="4" s="1"/>
  <c r="Q114" i="4" s="1"/>
  <c r="I121" i="4"/>
  <c r="L121" i="4" s="1"/>
  <c r="M121" i="4" s="1"/>
  <c r="I122" i="4"/>
  <c r="I84" i="4"/>
  <c r="I87" i="4"/>
  <c r="I91" i="4"/>
  <c r="I97" i="4"/>
  <c r="I105" i="4"/>
  <c r="I116" i="4"/>
  <c r="I126" i="4"/>
  <c r="L126" i="4" s="1"/>
  <c r="M126" i="4" s="1"/>
  <c r="L105" i="4"/>
  <c r="N105" i="4"/>
  <c r="Q105" i="4"/>
  <c r="L73" i="4"/>
  <c r="N73" i="4"/>
  <c r="Q73" i="4" s="1"/>
  <c r="N101" i="4"/>
  <c r="Q101" i="4"/>
  <c r="L101" i="4"/>
  <c r="N75" i="4"/>
  <c r="Q75" i="4"/>
  <c r="L75" i="4"/>
  <c r="L106" i="4"/>
  <c r="N106" i="4"/>
  <c r="Q106" i="4"/>
  <c r="N107" i="4"/>
  <c r="Q107" i="4"/>
  <c r="L107" i="4"/>
  <c r="M107" i="4" s="1"/>
  <c r="N79" i="4"/>
  <c r="Q79" i="4"/>
  <c r="L79" i="4"/>
  <c r="L96" i="4"/>
  <c r="N96" i="4"/>
  <c r="Q96" i="4" s="1"/>
  <c r="L97" i="4"/>
  <c r="N97" i="4"/>
  <c r="Q97" i="4" s="1"/>
  <c r="N98" i="4"/>
  <c r="Q98" i="4"/>
  <c r="L98" i="4"/>
  <c r="N86" i="4"/>
  <c r="Q86" i="4" s="1"/>
  <c r="L86" i="4"/>
  <c r="N71" i="4"/>
  <c r="Q71" i="4"/>
  <c r="L71" i="4"/>
  <c r="M71" i="4" s="1"/>
  <c r="N117" i="4"/>
  <c r="Q117" i="4"/>
  <c r="L117" i="4"/>
  <c r="N103" i="4"/>
  <c r="Q103" i="4"/>
  <c r="L103" i="4"/>
  <c r="L125" i="4"/>
  <c r="N125" i="4"/>
  <c r="Q125" i="4"/>
  <c r="N115" i="4"/>
  <c r="Q115" i="4" s="1"/>
  <c r="L104" i="4"/>
  <c r="N104" i="4"/>
  <c r="Q104" i="4"/>
  <c r="N90" i="4"/>
  <c r="Q90" i="4" s="1"/>
  <c r="L90" i="4"/>
  <c r="N126" i="4"/>
  <c r="Q126" i="4"/>
  <c r="N91" i="4"/>
  <c r="Q91" i="4"/>
  <c r="L112" i="4"/>
  <c r="N112" i="4"/>
  <c r="Q112" i="4"/>
  <c r="L78" i="4"/>
  <c r="N78" i="4"/>
  <c r="Q78" i="4"/>
  <c r="L127" i="4"/>
  <c r="M127" i="4" s="1"/>
  <c r="N127" i="4"/>
  <c r="Q127" i="4" s="1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 s="1"/>
  <c r="L89" i="4"/>
  <c r="N116" i="4"/>
  <c r="Q116" i="4"/>
  <c r="L116" i="4"/>
  <c r="M116" i="4" s="1"/>
  <c r="N87" i="4"/>
  <c r="Q87" i="4" s="1"/>
  <c r="L87" i="4"/>
  <c r="N122" i="4"/>
  <c r="Q122" i="4"/>
  <c r="L122" i="4"/>
  <c r="N74" i="4"/>
  <c r="Q74" i="4"/>
  <c r="N118" i="4"/>
  <c r="Q118" i="4"/>
  <c r="L118" i="4"/>
  <c r="L94" i="4"/>
  <c r="N94" i="4"/>
  <c r="Q94" i="4" s="1"/>
  <c r="L80" i="4"/>
  <c r="N80" i="4"/>
  <c r="Q80" i="4" s="1"/>
  <c r="N109" i="4"/>
  <c r="Q109" i="4"/>
  <c r="L109" i="4"/>
  <c r="L92" i="4"/>
  <c r="N92" i="4"/>
  <c r="Q92" i="4" s="1"/>
  <c r="N120" i="4"/>
  <c r="Q120" i="4"/>
  <c r="L120" i="4"/>
  <c r="M120" i="4" s="1"/>
  <c r="N111" i="4"/>
  <c r="Q111" i="4"/>
  <c r="L111" i="4"/>
  <c r="N99" i="4"/>
  <c r="Q99" i="4"/>
  <c r="L99" i="4"/>
  <c r="L81" i="4"/>
  <c r="N81" i="4"/>
  <c r="Q81" i="4" s="1"/>
  <c r="M76" i="4" l="1"/>
  <c r="M74" i="4"/>
  <c r="M72" i="4"/>
  <c r="O75" i="4"/>
  <c r="P75" i="4" s="1"/>
  <c r="O93" i="4"/>
  <c r="P93" i="4" s="1"/>
  <c r="O92" i="4"/>
  <c r="P92" i="4" s="1"/>
  <c r="M75" i="4"/>
  <c r="L77" i="4"/>
  <c r="O73" i="4"/>
  <c r="P73" i="4" s="1"/>
  <c r="O95" i="4"/>
  <c r="P95" i="4" s="1"/>
  <c r="O77" i="4"/>
  <c r="P77" i="4" s="1"/>
  <c r="O83" i="4"/>
  <c r="P83" i="4" s="1"/>
  <c r="M81" i="4"/>
  <c r="M90" i="4"/>
  <c r="M96" i="4"/>
  <c r="M89" i="4"/>
  <c r="L108" i="4"/>
  <c r="M108" i="4" s="1"/>
  <c r="L82" i="4"/>
  <c r="M83" i="4"/>
  <c r="O89" i="4"/>
  <c r="P89" i="4" s="1"/>
  <c r="O88" i="4"/>
  <c r="P88" i="4" s="1"/>
  <c r="M79" i="4"/>
  <c r="O84" i="4"/>
  <c r="P84" i="4" s="1"/>
  <c r="M86" i="4"/>
  <c r="M78" i="4"/>
  <c r="N124" i="4"/>
  <c r="Q124" i="4" s="1"/>
  <c r="M73" i="4"/>
  <c r="O90" i="4"/>
  <c r="P90" i="4" s="1"/>
  <c r="M97" i="4"/>
  <c r="O96" i="4"/>
  <c r="P96" i="4" s="1"/>
  <c r="N76" i="4"/>
  <c r="Q76" i="4" s="1"/>
  <c r="L114" i="4"/>
  <c r="M114" i="4" s="1"/>
  <c r="L85" i="4"/>
  <c r="O76" i="4"/>
  <c r="P76" i="4" s="1"/>
  <c r="O81" i="4"/>
  <c r="P81" i="4" s="1"/>
  <c r="O82" i="4"/>
  <c r="P82" i="4" s="1"/>
  <c r="O79" i="4"/>
  <c r="P79" i="4" s="1"/>
  <c r="M80" i="4"/>
  <c r="M87" i="4"/>
  <c r="L119" i="4"/>
  <c r="M119" i="4" s="1"/>
  <c r="O86" i="4"/>
  <c r="P86" i="4" s="1"/>
  <c r="M92" i="4"/>
  <c r="M95" i="4"/>
  <c r="N121" i="4"/>
  <c r="Q121" i="4" s="1"/>
  <c r="O72" i="4"/>
  <c r="P72" i="4" s="1"/>
  <c r="M94" i="4"/>
  <c r="L84" i="4"/>
  <c r="O94" i="4"/>
  <c r="P94" i="4" s="1"/>
  <c r="O80" i="4"/>
  <c r="P80" i="4" s="1"/>
  <c r="O78" i="4"/>
  <c r="P78" i="4" s="1"/>
  <c r="L93" i="4"/>
  <c r="L88" i="4"/>
  <c r="N82" i="4"/>
  <c r="Q82" i="4" s="1"/>
  <c r="N84" i="4"/>
  <c r="Q84" i="4" s="1"/>
  <c r="J14" i="4"/>
  <c r="J13" i="4" s="1"/>
  <c r="K16" i="4" s="1"/>
  <c r="M88" i="4" l="1"/>
  <c r="M77" i="4"/>
  <c r="M93" i="4"/>
  <c r="M82" i="4"/>
  <c r="M84" i="4"/>
  <c r="M85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8" i="4" l="1"/>
  <c r="P58" i="4" s="1"/>
  <c r="O57" i="4"/>
  <c r="P57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O64" i="4" l="1"/>
  <c r="P64" i="4" s="1"/>
  <c r="M66" i="4"/>
  <c r="O69" i="4"/>
  <c r="P69" i="4" s="1"/>
  <c r="M57" i="4"/>
  <c r="M65" i="4"/>
  <c r="O67" i="4"/>
  <c r="P67" i="4" s="1"/>
  <c r="M67" i="4"/>
  <c r="M68" i="4"/>
  <c r="M69" i="4"/>
  <c r="O65" i="4"/>
  <c r="P65" i="4" s="1"/>
  <c r="O68" i="4"/>
  <c r="P68" i="4" s="1"/>
  <c r="M64" i="4"/>
  <c r="M58" i="4"/>
  <c r="O66" i="4"/>
  <c r="P66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L39" i="4" s="1"/>
  <c r="J45" i="4"/>
  <c r="L45" i="4" s="1"/>
  <c r="J30" i="4"/>
  <c r="K30" i="4" s="1"/>
  <c r="J43" i="4"/>
  <c r="L43" i="4" s="1"/>
  <c r="J31" i="4"/>
  <c r="K31" i="4" s="1"/>
  <c r="J44" i="4"/>
  <c r="L44" i="4" s="1"/>
  <c r="J36" i="4"/>
  <c r="K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44" i="4"/>
  <c r="L36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K39" i="4"/>
  <c r="L50" i="4"/>
  <c r="M50" i="4" s="1"/>
  <c r="K50" i="4"/>
  <c r="O50" i="4" s="1"/>
  <c r="P50" i="4" s="1"/>
  <c r="L49" i="4"/>
  <c r="K49" i="4"/>
  <c r="M48" i="4" l="1"/>
  <c r="O48" i="4"/>
  <c r="P48" i="4" s="1"/>
  <c r="M49" i="4"/>
  <c r="O49" i="4"/>
  <c r="P49" i="4" s="1"/>
  <c r="O44" i="4"/>
  <c r="P44" i="4" s="1"/>
  <c r="O35" i="4"/>
  <c r="P35" i="4" s="1"/>
  <c r="M44" i="4"/>
  <c r="O31" i="4"/>
  <c r="P31" i="4" s="1"/>
  <c r="M43" i="4"/>
  <c r="O39" i="4"/>
  <c r="P39" i="4" s="1"/>
  <c r="O33" i="4"/>
  <c r="P33" i="4" s="1"/>
  <c r="O46" i="4"/>
  <c r="P46" i="4" s="1"/>
  <c r="O41" i="4"/>
  <c r="P41" i="4" s="1"/>
  <c r="O30" i="4"/>
  <c r="P30" i="4" s="1"/>
  <c r="M45" i="4"/>
  <c r="O47" i="4"/>
  <c r="P47" i="4" s="1"/>
  <c r="L47" i="4"/>
  <c r="O28" i="4"/>
  <c r="P28" i="4" s="1"/>
  <c r="O36" i="4"/>
  <c r="P36" i="4" s="1"/>
  <c r="L35" i="4"/>
  <c r="M39" i="4"/>
  <c r="K45" i="4"/>
  <c r="L30" i="4"/>
  <c r="L31" i="4"/>
  <c r="K43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M47" i="4" l="1"/>
  <c r="O45" i="4"/>
  <c r="P45" i="4" s="1"/>
  <c r="O29" i="4"/>
  <c r="P29" i="4" s="1"/>
  <c r="O38" i="4"/>
  <c r="P38" i="4" s="1"/>
  <c r="M33" i="4"/>
  <c r="M35" i="4"/>
  <c r="O34" i="4"/>
  <c r="P34" i="4" s="1"/>
  <c r="O43" i="4"/>
  <c r="P43" i="4" s="1"/>
  <c r="M31" i="4"/>
  <c r="O32" i="4"/>
  <c r="P32" i="4" s="1"/>
  <c r="O40" i="4"/>
  <c r="P40" i="4" s="1"/>
  <c r="M30" i="4"/>
  <c r="O42" i="4"/>
  <c r="P42" i="4" s="1"/>
  <c r="M46" i="4"/>
  <c r="M41" i="4"/>
  <c r="O37" i="4"/>
  <c r="P37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<sst xmlns="http://schemas.openxmlformats.org/spreadsheetml/2006/main" count="318" uniqueCount="294">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</sst>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32</v>
      </c>
      <c r="K17" s="31" t="s">
        <v>80</v>
      </c>
      <c r="L17" s="81">
        <v>3.2908E-3</v>
      </c>
      <c r="M17" s="81">
        <v>4.0128000000000001E-4</v>
      </c>
      <c r="N17" s="81">
        <v>1.0792000000000001E-4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25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150.07599999999999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149.28881600000003</v>
      </c>
      <c r="K8" s="39">
        <f>J8/J7</f>
        <v>0.99475476425277876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0.72802560000000005</v>
      </c>
      <c r="K9" s="39">
        <f>J9/J7</f>
        <v>4.8510461366241108E-3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5.9158399999999993E-2</v>
      </c>
      <c r="K10" s="39">
        <f>J10/J7</f>
        <v>3.9418961059729736E-4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7.5999999999999998E-2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6.5816E-2</v>
      </c>
      <c r="K20" s="39">
        <f>J20/J19</f>
        <v>0.86599999999999999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8.0255999999999991E-3</v>
      </c>
      <c r="K21" s="39">
        <f>J21/J19</f>
        <v>0.10559999999999999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2.1584000000000004E-3</v>
      </c>
      <c r="K22" s="39">
        <f>J22/J19</f>
        <v>2.8400000000000005E-2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0.89119664393071474</v>
      </c>
      <c r="K28" s="95">
        <f t="shared" ref="K28:K47" si="3">IF(D28=0,"",1/(1+10^D28*$J$15/$J$14+10^E28*$J$16/$J$14+10^J28*$J$19/$J$14))</f>
        <v>0.8019839506719737</v>
      </c>
      <c r="L28" s="95">
        <f t="shared" ref="L28:L47" si="4">IF(D28=0,"",1/(1+10^I28/10^J28*$J$13/$J$19))</f>
        <v>3.1793632255273214E-3</v>
      </c>
      <c r="M28" s="95">
        <f t="shared" ref="M28:M47" si="5">IF(D28=0,"",1-L28)</f>
        <v>0.99682063677447263</v>
      </c>
      <c r="N28" s="95">
        <f t="shared" ref="N28:N47" si="6">IF(D28=0,"",1/(1/10^E28*$J$20/$J$22+10^D28/10^E28*$J$21/$J$22+10^I28/10^E28*$J$13/$J$22+1))</f>
        <v>9.266310373391729E-4</v>
      </c>
      <c r="O28" s="40">
        <f t="shared" ref="O28:O47" si="7">IF(D28=0,"",F28*K28*$J$7/$J$14)</f>
        <v>8.0656831306867645E-7</v>
      </c>
      <c r="P28" s="40">
        <f t="shared" ref="P28:P47" si="8">IF(D28=0,"",O28*10^J28)</f>
        <v>6.2782383609768193E-6</v>
      </c>
      <c r="Q28" s="40">
        <f t="shared" ref="Q28:Q47" si="9">IF(D28=0,"",F28*N28*$J$7/$J$22)</f>
        <v>6.4429706986524136E-5</v>
      </c>
      <c r="R28" s="9">
        <f>F28*$C$14</f>
        <v>1.4999999999999999E-4</v>
      </c>
      <c r="S28" s="9">
        <f>$R28*L28</f>
        <v>4.7690448382909819E-7</v>
      </c>
      <c r="T28" s="9">
        <f t="shared" ref="T28:T49" si="10">R28*K28</f>
        <v>1.2029759260079605E-4</v>
      </c>
      <c r="U28" s="9">
        <f t="shared" ref="U28:U49" si="11">$R28*M28</f>
        <v>1.4952309551617088E-4</v>
      </c>
      <c r="V28" s="102">
        <f>K28/M28</f>
        <v>0.80454188154354989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2.7194923137791687</v>
      </c>
      <c r="J29" s="94">
        <f t="shared" si="2"/>
        <v>4.4020071593837926</v>
      </c>
      <c r="K29" s="95">
        <f t="shared" si="3"/>
        <v>1.8526196216674074E-3</v>
      </c>
      <c r="L29" s="95">
        <f t="shared" si="4"/>
        <v>2.3810649618850689E-2</v>
      </c>
      <c r="M29" s="95">
        <f t="shared" si="5"/>
        <v>0.97618935038114929</v>
      </c>
      <c r="N29" s="95">
        <f t="shared" si="6"/>
        <v>1.8351198164771498E-2</v>
      </c>
      <c r="O29" s="40">
        <f t="shared" si="7"/>
        <v>1.8632097085660911E-9</v>
      </c>
      <c r="P29" s="40">
        <f t="shared" si="8"/>
        <v>4.701851384471892E-5</v>
      </c>
      <c r="Q29" s="40">
        <f t="shared" si="9"/>
        <v>1.275979621838513E-3</v>
      </c>
      <c r="R29" s="9">
        <f>F29*$C$14</f>
        <v>1.4999999999999999E-4</v>
      </c>
      <c r="S29" s="9">
        <f t="shared" ref="S29:S49" si="12">$R29*L29</f>
        <v>3.5715974428276029E-6</v>
      </c>
      <c r="T29" s="9">
        <f t="shared" si="10"/>
        <v>2.7789294325011109E-7</v>
      </c>
      <c r="U29" s="9">
        <f t="shared" si="11"/>
        <v>1.4642840255717237E-4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5.9163420575972845</v>
      </c>
      <c r="J30" s="94">
        <f t="shared" si="2"/>
        <v>7.7643514268344243</v>
      </c>
      <c r="K30" s="95">
        <f t="shared" si="3"/>
        <v>1.1645718428159908E-6</v>
      </c>
      <c r="L30" s="95">
        <f t="shared" si="4"/>
        <v>3.4474306439768253E-2</v>
      </c>
      <c r="M30" s="95">
        <f t="shared" si="5"/>
        <v>0.96552569356023177</v>
      </c>
      <c r="N30" s="95">
        <f t="shared" si="6"/>
        <v>3.360372724257573E-2</v>
      </c>
      <c r="O30" s="40">
        <f t="shared" si="7"/>
        <v>1.1712288580343017E-12</v>
      </c>
      <c r="P30" s="40">
        <f t="shared" si="8"/>
        <v>6.8075868595456236E-5</v>
      </c>
      <c r="Q30" s="40">
        <f t="shared" si="9"/>
        <v>2.3365052676319466E-3</v>
      </c>
      <c r="R30" s="9">
        <f t="shared" ref="R30:R49" si="14">F30*$C$14</f>
        <v>1.4999999999999999E-4</v>
      </c>
      <c r="S30" s="9">
        <f t="shared" si="12"/>
        <v>5.1711459659652374E-6</v>
      </c>
      <c r="T30" s="9">
        <f t="shared" si="10"/>
        <v>1.746857764223986E-10</v>
      </c>
      <c r="U30" s="9">
        <f t="shared" si="11"/>
        <v>1.4482885403403477E-4</v>
      </c>
      <c r="V30" s="102">
        <f t="shared" si="13"/>
        <v>1.2061531356268793E-6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1.2852308448323728</v>
      </c>
      <c r="J31" s="94">
        <f t="shared" si="2"/>
        <v>2.9028974715327305</v>
      </c>
      <c r="K31" s="95">
        <f t="shared" si="3"/>
        <v>5.0522453230092815E-2</v>
      </c>
      <c r="L31" s="95">
        <f t="shared" si="4"/>
        <v>2.0575942020843077E-2</v>
      </c>
      <c r="M31" s="95">
        <f t="shared" si="5"/>
        <v>0.97942405797915688</v>
      </c>
      <c r="N31" s="95">
        <f t="shared" si="6"/>
        <v>1.4454384261327453E-2</v>
      </c>
      <c r="O31" s="40">
        <f t="shared" si="7"/>
        <v>5.081125356653738E-8</v>
      </c>
      <c r="P31" s="40">
        <f t="shared" si="8"/>
        <v>4.0630987825263776E-5</v>
      </c>
      <c r="Q31" s="40">
        <f t="shared" si="9"/>
        <v>1.0050297314691339E-3</v>
      </c>
      <c r="R31" s="9">
        <f t="shared" si="14"/>
        <v>1.4999999999999999E-4</v>
      </c>
      <c r="S31" s="9">
        <f t="shared" si="12"/>
        <v>3.0863913031264613E-6</v>
      </c>
      <c r="T31" s="9">
        <f t="shared" si="10"/>
        <v>7.5783679845139212E-6</v>
      </c>
      <c r="U31" s="9">
        <f t="shared" si="11"/>
        <v>1.4691360869687351E-4</v>
      </c>
      <c r="V31" s="102">
        <f t="shared" si="13"/>
        <v>5.1583839317093823E-2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3.9109447814528924</v>
      </c>
      <c r="J32" s="94">
        <f t="shared" si="2"/>
        <v>5.6009687713569756</v>
      </c>
      <c r="K32" s="95">
        <f t="shared" si="3"/>
        <v>1.191663059899067E-4</v>
      </c>
      <c r="L32" s="95">
        <f t="shared" si="4"/>
        <v>2.4215869845954273E-2</v>
      </c>
      <c r="M32" s="95">
        <f t="shared" si="5"/>
        <v>0.97578413015404575</v>
      </c>
      <c r="N32" s="95">
        <f t="shared" si="6"/>
        <v>1.8905564193616071E-2</v>
      </c>
      <c r="O32" s="40">
        <f t="shared" si="7"/>
        <v>1.1984749360179889E-10</v>
      </c>
      <c r="P32" s="40">
        <f t="shared" si="8"/>
        <v>4.7818695828966239E-5</v>
      </c>
      <c r="Q32" s="40">
        <f t="shared" si="9"/>
        <v>1.3145253205713141E-3</v>
      </c>
      <c r="R32" s="9">
        <f t="shared" si="14"/>
        <v>1.4999999999999999E-4</v>
      </c>
      <c r="S32" s="9">
        <f t="shared" si="12"/>
        <v>3.6323804768931408E-6</v>
      </c>
      <c r="T32" s="9">
        <f t="shared" si="10"/>
        <v>1.7874945898486005E-8</v>
      </c>
      <c r="U32" s="9">
        <f t="shared" si="11"/>
        <v>1.4636761952310684E-4</v>
      </c>
      <c r="V32" s="102">
        <f t="shared" si="13"/>
        <v>1.2212363606599552E-4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3.4646398062685488</v>
      </c>
      <c r="J33" s="94">
        <f t="shared" si="2"/>
        <v>5.1209220349701772</v>
      </c>
      <c r="K33" s="95">
        <f t="shared" si="3"/>
        <v>3.3361480544426606E-4</v>
      </c>
      <c r="L33" s="95">
        <f t="shared" si="4"/>
        <v>2.2446321356701229E-2</v>
      </c>
      <c r="M33" s="95">
        <f t="shared" si="5"/>
        <v>0.97755367864329878</v>
      </c>
      <c r="N33" s="95">
        <f t="shared" si="6"/>
        <v>1.6373121377571461E-2</v>
      </c>
      <c r="O33" s="40">
        <f t="shared" si="7"/>
        <v>3.3552184007729147E-10</v>
      </c>
      <c r="P33" s="40">
        <f t="shared" si="8"/>
        <v>4.4324396367477568E-5</v>
      </c>
      <c r="Q33" s="40">
        <f t="shared" si="9"/>
        <v>1.138441699342297E-3</v>
      </c>
      <c r="R33" s="9">
        <f t="shared" si="14"/>
        <v>1.4999999999999999E-4</v>
      </c>
      <c r="S33" s="9">
        <f t="shared" si="12"/>
        <v>3.366948203505184E-6</v>
      </c>
      <c r="T33" s="9">
        <f t="shared" si="10"/>
        <v>5.0042220816639906E-8</v>
      </c>
      <c r="U33" s="9">
        <f t="shared" si="11"/>
        <v>1.4663305179649482E-4</v>
      </c>
      <c r="V33" s="102">
        <f t="shared" si="13"/>
        <v>3.4127517775522519E-4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3.4579829545014036</v>
      </c>
      <c r="J34" s="94">
        <f t="shared" si="2"/>
        <v>5.1374431470300399</v>
      </c>
      <c r="K34" s="95">
        <f t="shared" si="3"/>
        <v>3.3835149745527329E-4</v>
      </c>
      <c r="L34" s="95">
        <f t="shared" si="4"/>
        <v>2.3647709156307675E-2</v>
      </c>
      <c r="M34" s="95">
        <f t="shared" si="5"/>
        <v>0.97635229084369235</v>
      </c>
      <c r="N34" s="95">
        <f t="shared" si="6"/>
        <v>1.8094736715821166E-2</v>
      </c>
      <c r="O34" s="40">
        <f t="shared" si="7"/>
        <v>3.4028560833180936E-10</v>
      </c>
      <c r="P34" s="40">
        <f t="shared" si="8"/>
        <v>4.6696757886079383E-5</v>
      </c>
      <c r="Q34" s="40">
        <f t="shared" si="9"/>
        <v>1.258147566421227E-3</v>
      </c>
      <c r="R34" s="9">
        <f t="shared" si="14"/>
        <v>1.4999999999999999E-4</v>
      </c>
      <c r="S34" s="9">
        <f t="shared" si="12"/>
        <v>3.547156373446151E-6</v>
      </c>
      <c r="T34" s="9">
        <f t="shared" si="10"/>
        <v>5.0752724618290988E-8</v>
      </c>
      <c r="U34" s="9">
        <f t="shared" si="11"/>
        <v>1.4645284362655383E-4</v>
      </c>
      <c r="V34" s="102">
        <f t="shared" si="13"/>
        <v>3.4654652898176192E-4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0.62193942428688143</v>
      </c>
      <c r="J35" s="94">
        <f t="shared" si="2"/>
        <v>2.0283467872043253</v>
      </c>
      <c r="K35" s="95">
        <f t="shared" si="3"/>
        <v>0.23454794437532575</v>
      </c>
      <c r="L35" s="95">
        <f t="shared" si="4"/>
        <v>1.2751352267455007E-2</v>
      </c>
      <c r="M35" s="95">
        <f t="shared" si="5"/>
        <v>0.98724864773254495</v>
      </c>
      <c r="N35" s="95">
        <f t="shared" si="6"/>
        <v>6.0340068175188137E-3</v>
      </c>
      <c r="O35" s="40">
        <f t="shared" si="7"/>
        <v>2.3588868539080022E-7</v>
      </c>
      <c r="P35" s="40">
        <f t="shared" si="8"/>
        <v>2.5179893985402339E-5</v>
      </c>
      <c r="Q35" s="40">
        <f t="shared" si="9"/>
        <v>4.1955133763248392E-4</v>
      </c>
      <c r="R35" s="9">
        <f t="shared" si="14"/>
        <v>1.4999999999999999E-4</v>
      </c>
      <c r="S35" s="9">
        <f t="shared" si="12"/>
        <v>1.9127028401182509E-6</v>
      </c>
      <c r="T35" s="9">
        <f t="shared" si="10"/>
        <v>3.518219165629886E-5</v>
      </c>
      <c r="U35" s="9">
        <f t="shared" si="11"/>
        <v>1.4808729715988172E-4</v>
      </c>
      <c r="V35" s="102">
        <f t="shared" si="13"/>
        <v>0.23757737720281691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6.3597288158186656</v>
      </c>
      <c r="J36" s="94">
        <f t="shared" si="2"/>
        <v>8.2095828794962227</v>
      </c>
      <c r="K36" s="95">
        <f t="shared" si="3"/>
        <v>4.1948438783464596E-7</v>
      </c>
      <c r="L36" s="95">
        <f t="shared" si="4"/>
        <v>3.4615970096881242E-2</v>
      </c>
      <c r="M36" s="95">
        <f t="shared" si="5"/>
        <v>0.96538402990311878</v>
      </c>
      <c r="N36" s="95">
        <f t="shared" si="6"/>
        <v>3.3806714624261644E-2</v>
      </c>
      <c r="O36" s="40">
        <f t="shared" si="7"/>
        <v>4.2188227678489452E-13</v>
      </c>
      <c r="P36" s="40">
        <f t="shared" si="8"/>
        <v>6.8355609582362593E-5</v>
      </c>
      <c r="Q36" s="40">
        <f t="shared" si="9"/>
        <v>2.3506192105034697E-3</v>
      </c>
      <c r="R36" s="9">
        <f t="shared" si="14"/>
        <v>1.4999999999999999E-4</v>
      </c>
      <c r="S36" s="9">
        <f t="shared" si="12"/>
        <v>5.1923955145321858E-6</v>
      </c>
      <c r="T36" s="9">
        <f t="shared" si="10"/>
        <v>6.292265817519689E-11</v>
      </c>
      <c r="U36" s="9">
        <f t="shared" si="11"/>
        <v>1.4480760448546781E-4</v>
      </c>
      <c r="V36" s="102">
        <f t="shared" si="13"/>
        <v>4.3452592423425877E-7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2.0466328175843658</v>
      </c>
      <c r="J37" s="94">
        <f t="shared" si="2"/>
        <v>3.7002740773254659</v>
      </c>
      <c r="K37" s="95">
        <f t="shared" si="3"/>
        <v>8.7359755274998979E-3</v>
      </c>
      <c r="L37" s="95">
        <f t="shared" si="4"/>
        <v>2.2313274669547682E-2</v>
      </c>
      <c r="M37" s="95">
        <f t="shared" si="5"/>
        <v>0.97768672533045231</v>
      </c>
      <c r="N37" s="95">
        <f t="shared" si="6"/>
        <v>1.6309947917912623E-2</v>
      </c>
      <c r="O37" s="40">
        <f t="shared" si="7"/>
        <v>8.7859127833180835E-9</v>
      </c>
      <c r="P37" s="40">
        <f t="shared" si="8"/>
        <v>4.406167117509266E-5</v>
      </c>
      <c r="Q37" s="40">
        <f t="shared" si="9"/>
        <v>1.1340491770425564E-3</v>
      </c>
      <c r="R37" s="9">
        <f t="shared" si="14"/>
        <v>1.4999999999999999E-4</v>
      </c>
      <c r="S37" s="9">
        <f t="shared" si="12"/>
        <v>3.3469912004321521E-6</v>
      </c>
      <c r="T37" s="9">
        <f t="shared" si="10"/>
        <v>1.3103963291249845E-6</v>
      </c>
      <c r="U37" s="9">
        <f t="shared" si="11"/>
        <v>1.4665300879956782E-4</v>
      </c>
      <c r="V37" s="102">
        <f t="shared" si="13"/>
        <v>8.9353525021495916E-3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0.75425121724867172</v>
      </c>
      <c r="J38" s="94">
        <f t="shared" si="2"/>
        <v>2.2551798002203722</v>
      </c>
      <c r="K38" s="95">
        <f t="shared" si="3"/>
        <v>0.17241515286751768</v>
      </c>
      <c r="L38" s="95">
        <f t="shared" si="4"/>
        <v>1.5802764102973002E-2</v>
      </c>
      <c r="M38" s="95">
        <f t="shared" si="5"/>
        <v>0.98419723589702701</v>
      </c>
      <c r="N38" s="95">
        <f t="shared" si="6"/>
        <v>9.4639099004771143E-3</v>
      </c>
      <c r="O38" s="40">
        <f t="shared" si="7"/>
        <v>1.7340072563710405E-7</v>
      </c>
      <c r="P38" s="40">
        <f t="shared" si="8"/>
        <v>3.1205468756812836E-5</v>
      </c>
      <c r="Q38" s="40">
        <f t="shared" si="9"/>
        <v>6.5803638909562776E-4</v>
      </c>
      <c r="R38" s="9">
        <f t="shared" si="14"/>
        <v>1.4999999999999999E-4</v>
      </c>
      <c r="S38" s="9">
        <f t="shared" si="12"/>
        <v>2.3704146154459501E-6</v>
      </c>
      <c r="T38" s="9">
        <f t="shared" si="10"/>
        <v>2.586227293012765E-5</v>
      </c>
      <c r="U38" s="9">
        <f t="shared" si="11"/>
        <v>1.4762958538455404E-4</v>
      </c>
      <c r="V38" s="102">
        <f t="shared" si="13"/>
        <v>0.1751835369770911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-1.6810051832329899E-4</v>
      </c>
      <c r="J39" s="94">
        <f t="shared" si="2"/>
        <v>-1.2147501700621064E-2</v>
      </c>
      <c r="K39" s="95">
        <f t="shared" si="3"/>
        <v>0.99471485825916828</v>
      </c>
      <c r="L39" s="95">
        <f t="shared" si="4"/>
        <v>4.9263915752060692E-4</v>
      </c>
      <c r="M39" s="95">
        <f t="shared" si="5"/>
        <v>0.99950736084247938</v>
      </c>
      <c r="N39" s="95">
        <f t="shared" si="6"/>
        <v>6.9691814278973689E-7</v>
      </c>
      <c r="O39" s="40">
        <f t="shared" si="7"/>
        <v>1.0004009239065218E-6</v>
      </c>
      <c r="P39" s="40">
        <f t="shared" si="8"/>
        <v>9.7280676584292897E-7</v>
      </c>
      <c r="Q39" s="40">
        <f t="shared" si="9"/>
        <v>4.8457508894233009E-8</v>
      </c>
      <c r="R39" s="9">
        <f t="shared" si="14"/>
        <v>1.4999999999999999E-4</v>
      </c>
      <c r="S39" s="9">
        <f t="shared" si="12"/>
        <v>7.3895873628091029E-8</v>
      </c>
      <c r="T39" s="9">
        <f t="shared" si="10"/>
        <v>1.4920722873887522E-4</v>
      </c>
      <c r="U39" s="9">
        <f t="shared" si="11"/>
        <v>1.499261041263719E-4</v>
      </c>
      <c r="V39" s="102">
        <f t="shared" si="13"/>
        <v>0.99520513527857213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1.0570731161685156</v>
      </c>
      <c r="J40" s="94">
        <f t="shared" si="2"/>
        <v>2.5362302933767991</v>
      </c>
      <c r="K40" s="95">
        <f t="shared" si="3"/>
        <v>8.5919003103526376E-2</v>
      </c>
      <c r="L40" s="95">
        <f t="shared" si="4"/>
        <v>1.5041714739073E-2</v>
      </c>
      <c r="M40" s="95">
        <f t="shared" si="5"/>
        <v>0.98495828526092699</v>
      </c>
      <c r="N40" s="95">
        <f t="shared" si="6"/>
        <v>7.0610680155548961E-3</v>
      </c>
      <c r="O40" s="40">
        <f t="shared" si="7"/>
        <v>8.6410139923234498E-8</v>
      </c>
      <c r="P40" s="40">
        <f t="shared" si="8"/>
        <v>2.9702636594488428E-5</v>
      </c>
      <c r="Q40" s="40">
        <f t="shared" si="9"/>
        <v>4.9096406759748727E-4</v>
      </c>
      <c r="R40" s="9">
        <f t="shared" si="14"/>
        <v>1.4999999999999999E-4</v>
      </c>
      <c r="S40" s="9">
        <f t="shared" si="12"/>
        <v>2.25625721086095E-6</v>
      </c>
      <c r="T40" s="9">
        <f t="shared" si="10"/>
        <v>1.2887850465528956E-5</v>
      </c>
      <c r="U40" s="9">
        <f t="shared" si="11"/>
        <v>1.4774374278913905E-4</v>
      </c>
      <c r="V40" s="102">
        <f t="shared" si="13"/>
        <v>8.7231108554780501E-2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1.1393826628828596</v>
      </c>
      <c r="J41" s="94">
        <f t="shared" si="2"/>
        <v>2.6181533735404092</v>
      </c>
      <c r="K41" s="95">
        <f t="shared" si="3"/>
        <v>7.1086231775513042E-2</v>
      </c>
      <c r="L41" s="95">
        <f t="shared" si="4"/>
        <v>1.5028536560832265E-2</v>
      </c>
      <c r="M41" s="95">
        <f t="shared" si="5"/>
        <v>0.98497146343916775</v>
      </c>
      <c r="N41" s="95">
        <f t="shared" si="6"/>
        <v>6.8171469967654554E-3</v>
      </c>
      <c r="O41" s="40">
        <f t="shared" si="7"/>
        <v>7.1492580365908031E-8</v>
      </c>
      <c r="P41" s="40">
        <f t="shared" si="8"/>
        <v>2.9676613853992948E-5</v>
      </c>
      <c r="Q41" s="40">
        <f t="shared" si="9"/>
        <v>4.7400396251231103E-4</v>
      </c>
      <c r="R41" s="9">
        <f t="shared" si="14"/>
        <v>1.4999999999999999E-4</v>
      </c>
      <c r="S41" s="9">
        <f t="shared" si="12"/>
        <v>2.2542804841248396E-6</v>
      </c>
      <c r="T41" s="9">
        <f t="shared" si="10"/>
        <v>1.0662934766326956E-5</v>
      </c>
      <c r="U41" s="9">
        <f t="shared" si="11"/>
        <v>1.4774571951587515E-4</v>
      </c>
      <c r="V41" s="102">
        <f t="shared" si="13"/>
        <v>7.2170854094904813E-2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2.466507651261447</v>
      </c>
      <c r="J42" s="94">
        <f t="shared" si="2"/>
        <v>4.1802418146186522</v>
      </c>
      <c r="K42" s="95">
        <f t="shared" si="3"/>
        <v>3.3113179471256898E-3</v>
      </c>
      <c r="L42" s="95">
        <f t="shared" si="4"/>
        <v>2.553997824613688E-2</v>
      </c>
      <c r="M42" s="95">
        <f t="shared" si="5"/>
        <v>0.97446002175386315</v>
      </c>
      <c r="N42" s="95">
        <f t="shared" si="6"/>
        <v>2.0851391782797896E-2</v>
      </c>
      <c r="O42" s="40">
        <f t="shared" si="7"/>
        <v>3.3302463576850417E-9</v>
      </c>
      <c r="P42" s="40">
        <f t="shared" si="8"/>
        <v>5.0433391779832111E-5</v>
      </c>
      <c r="Q42" s="40">
        <f t="shared" si="9"/>
        <v>1.4498209197531392E-3</v>
      </c>
      <c r="R42" s="9">
        <f t="shared" si="14"/>
        <v>1.4999999999999999E-4</v>
      </c>
      <c r="S42" s="9">
        <f t="shared" si="12"/>
        <v>3.830996736920532E-6</v>
      </c>
      <c r="T42" s="9">
        <f t="shared" si="10"/>
        <v>4.9669769206885344E-7</v>
      </c>
      <c r="U42" s="9">
        <f t="shared" si="11"/>
        <v>1.4616900326307945E-4</v>
      </c>
      <c r="V42" s="102">
        <f t="shared" si="13"/>
        <v>3.3981054873507052E-3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2.2273249528367836</v>
      </c>
      <c r="J43" s="94">
        <f t="shared" si="2"/>
        <v>3.8903842917257068</v>
      </c>
      <c r="K43" s="95">
        <f t="shared" si="3"/>
        <v>5.7597930846364212E-3</v>
      </c>
      <c r="L43" s="95">
        <f t="shared" si="4"/>
        <v>2.2791294829298061E-2</v>
      </c>
      <c r="M43" s="95">
        <f t="shared" si="5"/>
        <v>0.97720870517070191</v>
      </c>
      <c r="N43" s="95">
        <f t="shared" si="6"/>
        <v>1.6949779293359765E-2</v>
      </c>
      <c r="O43" s="40">
        <f t="shared" si="7"/>
        <v>5.7927176572639291E-9</v>
      </c>
      <c r="P43" s="40">
        <f t="shared" si="8"/>
        <v>4.500561003686499E-5</v>
      </c>
      <c r="Q43" s="40">
        <f t="shared" si="9"/>
        <v>1.1785373782571625E-3</v>
      </c>
      <c r="R43" s="9">
        <f t="shared" si="14"/>
        <v>1.4999999999999999E-4</v>
      </c>
      <c r="S43" s="9">
        <f t="shared" si="12"/>
        <v>3.4186942243947087E-6</v>
      </c>
      <c r="T43" s="9">
        <f t="shared" si="10"/>
        <v>8.6396896269546314E-7</v>
      </c>
      <c r="U43" s="9">
        <f t="shared" si="11"/>
        <v>1.4658130577560526E-4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0.70532975413914467</v>
      </c>
      <c r="J44" s="94">
        <f t="shared" si="2"/>
        <v>2.1981621448512665</v>
      </c>
      <c r="K44" s="95">
        <f t="shared" si="3"/>
        <v>0.19302949309015369</v>
      </c>
      <c r="L44" s="95">
        <f t="shared" si="4"/>
        <v>1.5515423718976481E-2</v>
      </c>
      <c r="M44" s="95">
        <f t="shared" si="5"/>
        <v>0.98448457628102348</v>
      </c>
      <c r="N44" s="95">
        <f t="shared" si="6"/>
        <v>9.3649149088280755E-3</v>
      </c>
      <c r="O44" s="40">
        <f t="shared" si="7"/>
        <v>1.9413290313824208E-7</v>
      </c>
      <c r="P44" s="40">
        <f t="shared" si="8"/>
        <v>3.0638062237488336E-5</v>
      </c>
      <c r="Q44" s="40">
        <f t="shared" si="9"/>
        <v>6.5115315504877765E-4</v>
      </c>
      <c r="R44" s="9">
        <f t="shared" si="14"/>
        <v>1.4999999999999999E-4</v>
      </c>
      <c r="S44" s="9">
        <f t="shared" si="12"/>
        <v>2.3273135578464719E-6</v>
      </c>
      <c r="T44" s="9">
        <f t="shared" si="10"/>
        <v>2.8954423963523052E-5</v>
      </c>
      <c r="U44" s="9">
        <f t="shared" si="11"/>
        <v>1.476726864421535E-4</v>
      </c>
      <c r="V44" s="102">
        <f t="shared" si="13"/>
        <v>0.19607162746961407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2.3272580136650043</v>
      </c>
      <c r="J45" s="94">
        <f t="shared" si="2"/>
        <v>3.9219734110768916</v>
      </c>
      <c r="K45" s="95">
        <f t="shared" si="3"/>
        <v>4.5911077684837832E-3</v>
      </c>
      <c r="L45" s="95">
        <f t="shared" si="4"/>
        <v>1.9537487974404927E-2</v>
      </c>
      <c r="M45" s="95">
        <f t="shared" si="5"/>
        <v>0.98046251202559509</v>
      </c>
      <c r="N45" s="95">
        <f t="shared" si="6"/>
        <v>1.2269465751475313E-2</v>
      </c>
      <c r="O45" s="40">
        <f t="shared" si="7"/>
        <v>4.6173518121400333E-9</v>
      </c>
      <c r="P45" s="40">
        <f t="shared" si="8"/>
        <v>3.8580369016405174E-5</v>
      </c>
      <c r="Q45" s="40">
        <f t="shared" si="9"/>
        <v>8.5310986940252426E-4</v>
      </c>
      <c r="R45" s="9">
        <f t="shared" si="14"/>
        <v>1.4999999999999999E-4</v>
      </c>
      <c r="S45" s="9">
        <f t="shared" si="12"/>
        <v>2.9306231961607387E-6</v>
      </c>
      <c r="T45" s="9">
        <f t="shared" si="10"/>
        <v>6.8866616527256742E-7</v>
      </c>
      <c r="U45" s="9">
        <f t="shared" si="11"/>
        <v>1.4706937680383924E-4</v>
      </c>
      <c r="V45" s="102">
        <f t="shared" si="13"/>
        <v>4.6825938903046318E-3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0.64458903464573347</v>
      </c>
      <c r="J46" s="94">
        <f t="shared" si="2"/>
        <v>2.114444428876499</v>
      </c>
      <c r="K46" s="95">
        <f t="shared" si="3"/>
        <v>0.22218347759002069</v>
      </c>
      <c r="L46" s="95">
        <f t="shared" si="4"/>
        <v>1.4727668977839059E-2</v>
      </c>
      <c r="M46" s="95">
        <f t="shared" si="5"/>
        <v>0.98527233102216094</v>
      </c>
      <c r="N46" s="95">
        <f t="shared" si="6"/>
        <v>8.678405234841197E-3</v>
      </c>
      <c r="O46" s="40">
        <f t="shared" si="7"/>
        <v>2.2345353988862264E-7</v>
      </c>
      <c r="P46" s="40">
        <f t="shared" si="8"/>
        <v>2.9082495388397039E-5</v>
      </c>
      <c r="Q46" s="40">
        <f t="shared" si="9"/>
        <v>6.0341935879541656E-4</v>
      </c>
      <c r="R46" s="9">
        <f t="shared" si="14"/>
        <v>1.4999999999999999E-4</v>
      </c>
      <c r="S46" s="9">
        <f t="shared" si="12"/>
        <v>2.2091503466758586E-6</v>
      </c>
      <c r="T46" s="9">
        <f t="shared" si="10"/>
        <v>3.3327521638503098E-5</v>
      </c>
      <c r="U46" s="9">
        <f t="shared" si="11"/>
        <v>1.4779084965332412E-4</v>
      </c>
      <c r="V46" s="102">
        <f t="shared" si="13"/>
        <v>0.22550463521036734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1.6299602750984028</v>
      </c>
      <c r="J47" s="94">
        <f t="shared" si="2"/>
        <v>3.1083049817479944</v>
      </c>
      <c r="K47" s="95">
        <f t="shared" si="3"/>
        <v>2.2972818434048671E-2</v>
      </c>
      <c r="L47" s="95">
        <f t="shared" si="4"/>
        <v>1.501402336254664E-2</v>
      </c>
      <c r="M47" s="95">
        <f t="shared" si="5"/>
        <v>0.98498597663745335</v>
      </c>
      <c r="N47" s="95">
        <f t="shared" si="6"/>
        <v>6.0663916557662876E-3</v>
      </c>
      <c r="O47" s="40">
        <f t="shared" si="7"/>
        <v>2.3104137427261802E-8</v>
      </c>
      <c r="P47" s="40">
        <f t="shared" si="8"/>
        <v>2.9647954870494088E-5</v>
      </c>
      <c r="Q47" s="40">
        <f t="shared" si="9"/>
        <v>4.2180309216585486E-4</v>
      </c>
      <c r="R47" s="9">
        <f t="shared" si="14"/>
        <v>1.4999999999999999E-4</v>
      </c>
      <c r="S47" s="9">
        <f t="shared" si="12"/>
        <v>2.2521035043819958E-6</v>
      </c>
      <c r="T47" s="9">
        <f t="shared" si="10"/>
        <v>3.4459227651073002E-6</v>
      </c>
      <c r="U47" s="9">
        <f t="shared" si="11"/>
        <v>1.47747896495618E-4</v>
      </c>
      <c r="V47" s="102">
        <f t="shared" si="13"/>
        <v>2.3322990356140209E-2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1.2615464423900991</v>
      </c>
      <c r="K48" s="95">
        <f t="shared" ref="K48:K50" si="17">IF(D48=0,"",1/(1+10^D48*$J$15/$J$14+10^E48*$J$16/$J$14+10^J48*$J$19/$J$14))</f>
        <v>0.62556445979655773</v>
      </c>
      <c r="L48" s="95">
        <f t="shared" ref="L48:L50" si="18">IF(D48=0,"",1/(1+10^I48/10^J48*$J$13/$J$19))</f>
        <v>5.8183030095784443E-3</v>
      </c>
      <c r="M48" s="95">
        <f t="shared" ref="M48:M92" si="19">IF(D48=0,"",1-L48)</f>
        <v>0.99418169699042158</v>
      </c>
      <c r="N48" s="95">
        <f t="shared" ref="N48:N50" si="20">IF(D48=0,"",1/(1/10^E48*$J$20/$J$22+10^D48/10^E48*$J$21/$J$22+10^I48/10^E48*$J$13/$J$22+1))</f>
        <v>2.0315627101454153E-3</v>
      </c>
      <c r="O48" s="40">
        <f t="shared" ref="O48:O92" si="21">IF(D48=0,"",F48*K48*$J$7/$J$14)</f>
        <v>6.2914035951849355E-7</v>
      </c>
      <c r="P48" s="40">
        <f t="shared" ref="P48:P50" si="22">IF(D48=0,"",O48*10^J48)</f>
        <v>1.1489311085072293E-5</v>
      </c>
      <c r="Q48" s="40">
        <f t="shared" ref="Q48:Q50" si="23">IF(D48=0,"",F48*N48*$J$7/$J$22)</f>
        <v>1.4125685938092258E-4</v>
      </c>
      <c r="R48" s="9">
        <f t="shared" si="14"/>
        <v>1.4999999999999999E-4</v>
      </c>
      <c r="S48" s="9">
        <f t="shared" si="12"/>
        <v>8.7274545143676655E-7</v>
      </c>
      <c r="T48" s="9">
        <f t="shared" si="10"/>
        <v>9.3834668969483646E-5</v>
      </c>
      <c r="U48" s="9">
        <f t="shared" si="11"/>
        <v>1.4912725454856323E-4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6.5352597387686409E-2</v>
      </c>
      <c r="J49" s="94">
        <f t="shared" si="16"/>
        <v>0.77659593217338263</v>
      </c>
      <c r="K49" s="95">
        <f t="shared" si="17"/>
        <v>0.8536142055655892</v>
      </c>
      <c r="L49" s="95">
        <f t="shared" si="18"/>
        <v>2.5991742239768649E-3</v>
      </c>
      <c r="M49" s="95">
        <f t="shared" si="19"/>
        <v>0.99740082577602318</v>
      </c>
      <c r="N49" s="95">
        <f t="shared" si="20"/>
        <v>8.7855670858322449E-4</v>
      </c>
      <c r="O49" s="40">
        <f t="shared" si="21"/>
        <v>8.5849370079988575E-7</v>
      </c>
      <c r="P49" s="40">
        <f t="shared" si="22"/>
        <v>5.1325483004941055E-6</v>
      </c>
      <c r="Q49" s="40">
        <f t="shared" si="23"/>
        <v>6.1087044383495163E-5</v>
      </c>
      <c r="R49" s="9">
        <f t="shared" si="14"/>
        <v>1.4999999999999999E-4</v>
      </c>
      <c r="S49" s="9">
        <f t="shared" si="12"/>
        <v>3.8987613359652973E-7</v>
      </c>
      <c r="T49" s="9">
        <f t="shared" si="10"/>
        <v>1.2804213083483836E-4</v>
      </c>
      <c r="U49" s="9">
        <f t="shared" si="11"/>
        <v>1.4961012386640346E-4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3.7217650281818146E-4</v>
      </c>
      <c r="J57" s="54">
        <f t="shared" si="25"/>
        <v>9.8917692701836375E-3</v>
      </c>
      <c r="K57" s="55">
        <f t="shared" si="26"/>
        <v>0.99345333145864689</v>
      </c>
      <c r="L57" s="55">
        <f t="shared" si="27"/>
        <v>5.1762717119172941E-4</v>
      </c>
      <c r="M57" s="55">
        <f t="shared" si="28"/>
        <v>0.99948237282880825</v>
      </c>
      <c r="N57" s="55">
        <f t="shared" si="29"/>
        <v>1.7364394178938339E-5</v>
      </c>
      <c r="O57" s="56">
        <f t="shared" si="30"/>
        <v>9.9913218586938918E-7</v>
      </c>
      <c r="P57" s="56">
        <f t="shared" si="31"/>
        <v>1.0221502018917104E-6</v>
      </c>
      <c r="Q57" s="56">
        <f t="shared" si="32"/>
        <v>1.2073660214966408E-6</v>
      </c>
      <c r="R57" s="9">
        <f t="shared" ref="R57:R58" si="33">F57*$C$14</f>
        <v>1.4999999999999999E-4</v>
      </c>
      <c r="S57" s="9">
        <f t="shared" ref="S57:S58" si="34">$R57*L57</f>
        <v>7.7644075678759408E-8</v>
      </c>
      <c r="T57" s="9">
        <f t="shared" ref="T57:T58" si="35">R57*K57</f>
        <v>1.4901799971879702E-4</v>
      </c>
      <c r="U57" s="9">
        <f t="shared" ref="U57:U58" si="36">$R57*M57</f>
        <v>1.4992235592432122E-4</v>
      </c>
      <c r="V57" s="102">
        <f t="shared" ref="V57:V58" si="37">K57/M57</f>
        <v>0.99396783621796403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0.27242732253974722</v>
      </c>
      <c r="J58" s="54">
        <f t="shared" si="25"/>
        <v>1.4462409030259145</v>
      </c>
      <c r="K58" s="55">
        <f t="shared" si="26"/>
        <v>0.52728590418938059</v>
      </c>
      <c r="L58" s="55">
        <f t="shared" si="27"/>
        <v>7.5035173321969335E-3</v>
      </c>
      <c r="M58" s="55">
        <f t="shared" si="28"/>
        <v>0.9924964826678031</v>
      </c>
      <c r="N58" s="55">
        <f t="shared" si="29"/>
        <v>2.9553663701137175E-3</v>
      </c>
      <c r="O58" s="56">
        <f t="shared" si="30"/>
        <v>5.30300016466131E-7</v>
      </c>
      <c r="P58" s="56">
        <f t="shared" si="31"/>
        <v>1.4817077199299827E-5</v>
      </c>
      <c r="Q58" s="56">
        <f t="shared" si="32"/>
        <v>2.0548997561211366E-4</v>
      </c>
      <c r="R58" s="9">
        <f t="shared" si="33"/>
        <v>1.4999999999999999E-4</v>
      </c>
      <c r="S58" s="9">
        <f t="shared" si="34"/>
        <v>1.1255275998295399E-6</v>
      </c>
      <c r="T58" s="9">
        <f t="shared" si="35"/>
        <v>7.9092885628407084E-5</v>
      </c>
      <c r="U58" s="9">
        <f t="shared" si="36"/>
        <v>1.4887447240017045E-4</v>
      </c>
      <c r="V58" s="102">
        <f t="shared" si="37"/>
        <v>0.53127231521471052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0.35062624883359406</v>
      </c>
      <c r="J60" s="54">
        <f t="shared" si="25"/>
        <v>1.5527177591860062</v>
      </c>
      <c r="K60" s="55">
        <f t="shared" si="26"/>
        <v>0.44017770968927022</v>
      </c>
      <c r="L60" s="55">
        <f t="shared" si="27"/>
        <v>8.0043050395051663E-3</v>
      </c>
      <c r="M60" s="55">
        <f t="shared" si="28"/>
        <v>0.99199569496049489</v>
      </c>
      <c r="N60" s="55">
        <f t="shared" si="29"/>
        <v>2.3514037791516895E-3</v>
      </c>
      <c r="O60" s="56">
        <f t="shared" si="30"/>
        <v>4.4269388739890569E-7</v>
      </c>
      <c r="P60" s="56">
        <f t="shared" si="31"/>
        <v>1.5805974777747071E-5</v>
      </c>
      <c r="Q60" s="56">
        <f t="shared" si="32"/>
        <v>1.6349577166418128E-4</v>
      </c>
      <c r="R60" s="9">
        <f t="shared" ref="R60:R65" si="38">F60*$C$14</f>
        <v>1.4999999999999999E-4</v>
      </c>
      <c r="S60" s="9">
        <f t="shared" ref="S60:S93" si="39">$R60*L60</f>
        <v>1.2006457559257749E-6</v>
      </c>
      <c r="T60" s="9">
        <f t="shared" ref="T60:T93" si="40">R60*K60</f>
        <v>6.6026656453390528E-5</v>
      </c>
      <c r="U60" s="9">
        <f t="shared" ref="U60:U93" si="41">$R60*M60</f>
        <v>1.4879935424407423E-4</v>
      </c>
      <c r="V60" s="102">
        <f t="shared" ref="V60:V93" si="42">K60/M60</f>
        <v>0.44372945560696186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1.0599296125914559</v>
      </c>
      <c r="J61" s="54">
        <f t="shared" si="25"/>
        <v>2.4998402478188688</v>
      </c>
      <c r="K61" s="55">
        <f t="shared" si="26"/>
        <v>8.5466820370976249E-2</v>
      </c>
      <c r="L61" s="55">
        <f t="shared" si="27"/>
        <v>1.3759910858846477E-2</v>
      </c>
      <c r="M61" s="55">
        <f t="shared" si="28"/>
        <v>0.98624008914115358</v>
      </c>
      <c r="N61" s="55">
        <f t="shared" si="29"/>
        <v>5.2174309803216775E-3</v>
      </c>
      <c r="O61" s="56">
        <f t="shared" si="30"/>
        <v>8.5955372388938898E-8</v>
      </c>
      <c r="P61" s="56">
        <f t="shared" si="31"/>
        <v>2.717147871121374E-5</v>
      </c>
      <c r="Q61" s="56">
        <f t="shared" si="32"/>
        <v>3.6277389353352293E-4</v>
      </c>
      <c r="R61" s="9">
        <f t="shared" si="38"/>
        <v>1.4999999999999999E-4</v>
      </c>
      <c r="S61" s="9">
        <f t="shared" si="39"/>
        <v>2.0639866288269712E-6</v>
      </c>
      <c r="T61" s="9">
        <f t="shared" si="40"/>
        <v>1.2820023055646436E-5</v>
      </c>
      <c r="U61" s="9">
        <f t="shared" si="41"/>
        <v>1.4793601337117303E-4</v>
      </c>
      <c r="V61" s="102">
        <f t="shared" si="42"/>
        <v>8.6659243841327963E-2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0.76837016932652724</v>
      </c>
      <c r="J62" s="54">
        <f t="shared" si="25"/>
        <v>2.2029781197538778</v>
      </c>
      <c r="K62" s="55">
        <f t="shared" si="26"/>
        <v>0.16727441407652799</v>
      </c>
      <c r="L62" s="55">
        <f t="shared" si="27"/>
        <v>1.3595195667162269E-2</v>
      </c>
      <c r="M62" s="55">
        <f t="shared" si="28"/>
        <v>0.98640480433283773</v>
      </c>
      <c r="N62" s="55">
        <f t="shared" si="29"/>
        <v>6.2225541237828806E-3</v>
      </c>
      <c r="O62" s="56">
        <f t="shared" si="30"/>
        <v>1.6823060095929589E-7</v>
      </c>
      <c r="P62" s="56">
        <f t="shared" si="31"/>
        <v>2.6846218222961128E-5</v>
      </c>
      <c r="Q62" s="56">
        <f t="shared" si="32"/>
        <v>4.3266124568237552E-4</v>
      </c>
      <c r="R62" s="9">
        <f t="shared" si="38"/>
        <v>1.4999999999999999E-4</v>
      </c>
      <c r="S62" s="9">
        <f t="shared" si="39"/>
        <v>2.0392793500743402E-6</v>
      </c>
      <c r="T62" s="9">
        <f t="shared" si="40"/>
        <v>2.5091162111479196E-5</v>
      </c>
      <c r="U62" s="9">
        <f t="shared" si="41"/>
        <v>1.4796072064992565E-4</v>
      </c>
      <c r="V62" s="102">
        <f t="shared" si="42"/>
        <v>0.16957988580526562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0.7211484450377651</v>
      </c>
      <c r="J63" s="54">
        <f t="shared" si="25"/>
        <v>2.1382472771579155</v>
      </c>
      <c r="K63" s="55">
        <f t="shared" si="26"/>
        <v>0.18658838666550412</v>
      </c>
      <c r="L63" s="55">
        <f t="shared" si="27"/>
        <v>1.3065008968117495E-2</v>
      </c>
      <c r="M63" s="55">
        <f t="shared" si="28"/>
        <v>0.98693499103188254</v>
      </c>
      <c r="N63" s="55">
        <f t="shared" si="29"/>
        <v>5.7558408228234681E-3</v>
      </c>
      <c r="O63" s="56">
        <f t="shared" si="30"/>
        <v>1.8765497756520234E-7</v>
      </c>
      <c r="P63" s="56">
        <f t="shared" si="31"/>
        <v>2.579926691972633E-5</v>
      </c>
      <c r="Q63" s="56">
        <f t="shared" si="32"/>
        <v>4.0021014053282736E-4</v>
      </c>
      <c r="R63" s="9">
        <f t="shared" si="38"/>
        <v>1.4999999999999999E-4</v>
      </c>
      <c r="S63" s="9">
        <f t="shared" si="39"/>
        <v>1.9597513452176242E-6</v>
      </c>
      <c r="T63" s="9">
        <f t="shared" si="40"/>
        <v>2.7988257999825616E-5</v>
      </c>
      <c r="U63" s="9">
        <f t="shared" si="41"/>
        <v>1.4804024865478236E-4</v>
      </c>
      <c r="V63" s="102">
        <f t="shared" si="42"/>
        <v>0.18905843683829471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0.2338148544799136</v>
      </c>
      <c r="J64" s="54">
        <f t="shared" si="25"/>
        <v>1.3844943041417832</v>
      </c>
      <c r="K64" s="55">
        <f t="shared" si="26"/>
        <v>0.57653769515003306</v>
      </c>
      <c r="L64" s="55">
        <f t="shared" si="27"/>
        <v>7.1170470537431831E-3</v>
      </c>
      <c r="M64" s="55">
        <f t="shared" si="28"/>
        <v>0.99288295294625684</v>
      </c>
      <c r="N64" s="55">
        <f t="shared" si="29"/>
        <v>3.1487985230324073E-3</v>
      </c>
      <c r="O64" s="56">
        <f t="shared" si="30"/>
        <v>5.7983334430574605E-7</v>
      </c>
      <c r="P64" s="56">
        <f t="shared" si="31"/>
        <v>1.40539204425995E-5</v>
      </c>
      <c r="Q64" s="56">
        <f t="shared" si="32"/>
        <v>2.1893953259016468E-4</v>
      </c>
      <c r="R64" s="9">
        <f t="shared" si="38"/>
        <v>1.4999999999999999E-4</v>
      </c>
      <c r="S64" s="9">
        <f t="shared" si="39"/>
        <v>1.0675570580614775E-6</v>
      </c>
      <c r="T64" s="9">
        <f t="shared" si="40"/>
        <v>8.6480654272504947E-5</v>
      </c>
      <c r="U64" s="9">
        <f t="shared" si="41"/>
        <v>1.489324429419385E-4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1.2834731216469764</v>
      </c>
      <c r="J65" s="54">
        <f t="shared" si="25"/>
        <v>2.8217385476655523</v>
      </c>
      <c r="K65" s="55">
        <f t="shared" si="26"/>
        <v>5.0902350039862515E-2</v>
      </c>
      <c r="L65" s="55">
        <f t="shared" si="27"/>
        <v>1.7197059988935968E-2</v>
      </c>
      <c r="M65" s="55">
        <f t="shared" si="28"/>
        <v>0.98280294001106405</v>
      </c>
      <c r="N65" s="55">
        <f t="shared" si="29"/>
        <v>9.6183372020365969E-3</v>
      </c>
      <c r="O65" s="56">
        <f t="shared" si="30"/>
        <v>5.1193321971696094E-8</v>
      </c>
      <c r="P65" s="56">
        <f t="shared" si="31"/>
        <v>3.3958762827625742E-5</v>
      </c>
      <c r="Q65" s="56">
        <f t="shared" si="32"/>
        <v>6.6877389452040577E-4</v>
      </c>
      <c r="R65" s="9">
        <f t="shared" si="38"/>
        <v>1.4999999999999999E-4</v>
      </c>
      <c r="S65" s="9">
        <f t="shared" si="39"/>
        <v>2.579558998340395E-6</v>
      </c>
      <c r="T65" s="9">
        <f t="shared" si="40"/>
        <v>7.6353525059793765E-6</v>
      </c>
      <c r="U65" s="9">
        <f t="shared" si="41"/>
        <v>1.4742044100165958E-4</v>
      </c>
      <c r="V65" s="102">
        <f t="shared" si="42"/>
        <v>5.179303802173147E-2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0.33491051106253611</v>
      </c>
      <c r="J68" s="54">
        <f t="shared" si="25"/>
        <v>1.5126387547268108</v>
      </c>
      <c r="K68" s="55">
        <f t="shared" si="26"/>
        <v>0.45659743510048789</v>
      </c>
      <c r="L68" s="55">
        <f t="shared" si="27"/>
        <v>7.5709442413707017E-3</v>
      </c>
      <c r="M68" s="55">
        <f t="shared" si="28"/>
        <v>0.99242905575862927</v>
      </c>
      <c r="N68" s="55">
        <f t="shared" si="29"/>
        <v>1.979527926534008E-3</v>
      </c>
      <c r="O68" s="56">
        <f t="shared" si="30"/>
        <v>4.5920747250853294E-7</v>
      </c>
      <c r="P68" s="56">
        <f t="shared" si="31"/>
        <v>1.4950224052209856E-5</v>
      </c>
      <c r="Q68" s="56">
        <f t="shared" si="32"/>
        <v>1.3763882185995077E-4</v>
      </c>
      <c r="R68" s="9">
        <f>F68*$C$14</f>
        <v>1.4999999999999999E-4</v>
      </c>
      <c r="S68" s="9">
        <f t="shared" si="39"/>
        <v>1.1356416362056052E-6</v>
      </c>
      <c r="T68" s="9">
        <f t="shared" si="40"/>
        <v>6.8489615265073184E-5</v>
      </c>
      <c r="U68" s="9">
        <f t="shared" si="41"/>
        <v>1.4886435836379439E-4</v>
      </c>
      <c r="V68" s="102">
        <f t="shared" si="42"/>
        <v>0.46008068027740001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2.1724337273682748</v>
      </c>
      <c r="J69" s="54">
        <f t="shared" si="25"/>
        <v>3.7503360262758276</v>
      </c>
      <c r="K69" s="55">
        <f t="shared" si="26"/>
        <v>6.5624212014886059E-3</v>
      </c>
      <c r="L69" s="55">
        <f t="shared" si="27"/>
        <v>1.8809530411974036E-2</v>
      </c>
      <c r="M69" s="55">
        <f t="shared" si="28"/>
        <v>0.98119046958802592</v>
      </c>
      <c r="N69" s="55">
        <f t="shared" si="29"/>
        <v>1.1256237998316685E-2</v>
      </c>
      <c r="O69" s="56">
        <f t="shared" si="30"/>
        <v>6.5999338187451261E-9</v>
      </c>
      <c r="P69" s="56">
        <f t="shared" si="31"/>
        <v>3.7142882711939707E-5</v>
      </c>
      <c r="Q69" s="56">
        <f t="shared" si="32"/>
        <v>7.8265899454937643E-4</v>
      </c>
      <c r="R69" s="9">
        <f>F69*$C$14</f>
        <v>1.4999999999999999E-4</v>
      </c>
      <c r="S69" s="9">
        <f t="shared" si="39"/>
        <v>2.8214295617961053E-6</v>
      </c>
      <c r="T69" s="9">
        <f t="shared" si="40"/>
        <v>9.843631802232907E-7</v>
      </c>
      <c r="U69" s="9">
        <f t="shared" si="41"/>
        <v>1.4717857043820387E-4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6.2122287627494992E-2</v>
      </c>
      <c r="J70" s="54">
        <f t="shared" si="25"/>
        <v>0.69942132779385657</v>
      </c>
      <c r="K70" s="55">
        <f t="shared" si="26"/>
        <v>0.86033720118006529</v>
      </c>
      <c r="L70" s="55">
        <f t="shared" si="27"/>
        <v>2.1931475727636519E-3</v>
      </c>
      <c r="M70" s="55">
        <f t="shared" si="28"/>
        <v>0.99780685242723632</v>
      </c>
      <c r="N70" s="55">
        <f t="shared" si="29"/>
        <v>3.9873454930281703E-4</v>
      </c>
      <c r="O70" s="56">
        <f t="shared" si="30"/>
        <v>8.6525512691943897E-7</v>
      </c>
      <c r="P70" s="56">
        <f t="shared" si="31"/>
        <v>4.3307738832904962E-6</v>
      </c>
      <c r="Q70" s="56">
        <f t="shared" si="32"/>
        <v>2.7724465447168994E-5</v>
      </c>
      <c r="R70" s="9">
        <f t="shared" ref="R70:R86" si="43">F70*$C$14</f>
        <v>1.4999999999999999E-4</v>
      </c>
      <c r="S70" s="9">
        <f t="shared" si="39"/>
        <v>3.2897213591454775E-7</v>
      </c>
      <c r="T70" s="9">
        <f t="shared" si="40"/>
        <v>1.2905058017700978E-4</v>
      </c>
      <c r="U70" s="9">
        <f t="shared" si="41"/>
        <v>1.4967102786408543E-4</v>
      </c>
      <c r="V70" s="102">
        <f t="shared" si="42"/>
        <v>0.86222819485277502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1.3417480066989405</v>
      </c>
      <c r="K71" s="55">
        <f t="shared" ref="K71:K122" si="46">IF(D71=0,"",1/(1+10^D71*$J$15/$J$14+10^E71*$J$16/$J$14+10^J71*$J$19/$J$14))</f>
        <v>0.58809879896811112</v>
      </c>
      <c r="L71" s="55">
        <f t="shared" ref="L71:L122" si="47">IF(D71=0,"",1/(1+10^I71/10^J71*$J$13/$J$19))</f>
        <v>6.5792459923218584E-3</v>
      </c>
      <c r="M71" s="55">
        <f t="shared" si="19"/>
        <v>0.99342075400767815</v>
      </c>
      <c r="N71" s="55">
        <f t="shared" ref="N71:N122" si="48">IF(D71=0,"",1/(1/10^E71*$J$20/$J$22+10^D71/10^E71*$J$21/$J$22+10^I71/10^E71*$J$13/$J$22+1))</f>
        <v>2.5535505405261372E-3</v>
      </c>
      <c r="O71" s="56">
        <f t="shared" si="21"/>
        <v>5.9146053459545935E-7</v>
      </c>
      <c r="P71" s="56">
        <f t="shared" ref="P71:P122" si="49">IF(D71=0,"",O71*10^J71)</f>
        <v>1.2991933178206515E-5</v>
      </c>
      <c r="Q71" s="56">
        <f t="shared" ref="Q71:Q122" si="50">IF(D71=0,"",F71*N71*$J$7/$J$22)</f>
        <v>1.7755126525203875E-4</v>
      </c>
      <c r="R71" s="9">
        <f t="shared" si="43"/>
        <v>1.4999999999999999E-4</v>
      </c>
      <c r="S71" s="9">
        <f t="shared" si="39"/>
        <v>9.8688689884827866E-7</v>
      </c>
      <c r="T71" s="9">
        <f t="shared" si="40"/>
        <v>8.8214819845216664E-5</v>
      </c>
      <c r="U71" s="9">
        <f t="shared" si="41"/>
        <v>1.4901311310115171E-4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0.32073739190116707</v>
      </c>
      <c r="J72" s="54">
        <f t="shared" si="45"/>
        <v>1.4983971526308137</v>
      </c>
      <c r="K72" s="55">
        <f t="shared" si="46"/>
        <v>0.47174478204793202</v>
      </c>
      <c r="L72" s="55">
        <f t="shared" si="47"/>
        <v>7.5697595264802228E-3</v>
      </c>
      <c r="M72" s="55">
        <f t="shared" si="19"/>
        <v>0.9924302404735198</v>
      </c>
      <c r="N72" s="55">
        <f t="shared" si="48"/>
        <v>2.2076400824324765E-3</v>
      </c>
      <c r="O72" s="56">
        <f t="shared" si="21"/>
        <v>4.7444140588666246E-7</v>
      </c>
      <c r="P72" s="56">
        <f t="shared" si="49"/>
        <v>1.4947884614421665E-5</v>
      </c>
      <c r="Q72" s="56">
        <f t="shared" si="50"/>
        <v>1.5349971877832481E-4</v>
      </c>
      <c r="R72" s="9">
        <f t="shared" si="43"/>
        <v>1.4999999999999999E-4</v>
      </c>
      <c r="S72" s="9">
        <f t="shared" si="39"/>
        <v>1.1354639289720334E-6</v>
      </c>
      <c r="T72" s="9">
        <f t="shared" si="40"/>
        <v>7.0761717307189797E-5</v>
      </c>
      <c r="U72" s="9">
        <f t="shared" si="41"/>
        <v>1.4886453607102794E-4</v>
      </c>
      <c r="V72" s="102">
        <f t="shared" si="42"/>
        <v>0.47534301435922355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3.8293839195374848</v>
      </c>
      <c r="J73" s="54">
        <f t="shared" si="45"/>
        <v>5.5847769574151425</v>
      </c>
      <c r="K73" s="55">
        <f t="shared" si="46"/>
        <v>1.4322188325863037E-4</v>
      </c>
      <c r="L73" s="55">
        <f t="shared" si="47"/>
        <v>2.8039106029365102E-2</v>
      </c>
      <c r="M73" s="55">
        <f t="shared" si="19"/>
        <v>0.9719608939706349</v>
      </c>
      <c r="N73" s="55">
        <f t="shared" si="48"/>
        <v>2.4384482631051772E-2</v>
      </c>
      <c r="O73" s="56">
        <f t="shared" si="21"/>
        <v>1.4404057921313878E-10</v>
      </c>
      <c r="P73" s="56">
        <f t="shared" si="49"/>
        <v>5.5368379953460509E-5</v>
      </c>
      <c r="Q73" s="56">
        <f t="shared" si="50"/>
        <v>1.6954807335701097E-3</v>
      </c>
      <c r="R73" s="9">
        <f t="shared" si="43"/>
        <v>1.4999999999999999E-4</v>
      </c>
      <c r="S73" s="9">
        <f t="shared" si="39"/>
        <v>4.2058659044047647E-6</v>
      </c>
      <c r="T73" s="9">
        <f t="shared" si="40"/>
        <v>2.1483282488794555E-8</v>
      </c>
      <c r="U73" s="9">
        <f t="shared" si="41"/>
        <v>1.4579413409559523E-4</v>
      </c>
      <c r="V73" s="102">
        <f t="shared" si="42"/>
        <v>1.4735354492868868E-4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3.8037572032670899E-2</v>
      </c>
      <c r="J74" s="54">
        <f t="shared" si="45"/>
        <v>0.54264947929167429</v>
      </c>
      <c r="K74" s="55">
        <f t="shared" si="46"/>
        <v>0.90992215674172428</v>
      </c>
      <c r="L74" s="55">
        <f t="shared" si="47"/>
        <v>1.6167078423749018E-3</v>
      </c>
      <c r="M74" s="55">
        <f t="shared" si="19"/>
        <v>0.99838329215762511</v>
      </c>
      <c r="N74" s="55">
        <f t="shared" si="48"/>
        <v>3.2500227854360644E-4</v>
      </c>
      <c r="O74" s="56">
        <f t="shared" si="21"/>
        <v>9.1512352382120037E-7</v>
      </c>
      <c r="P74" s="56">
        <f t="shared" si="49"/>
        <v>3.1924874493717861E-6</v>
      </c>
      <c r="Q74" s="56">
        <f t="shared" si="50"/>
        <v>2.2597777036096305E-5</v>
      </c>
      <c r="R74" s="9">
        <f t="shared" si="43"/>
        <v>1.4999999999999999E-4</v>
      </c>
      <c r="S74" s="9">
        <f t="shared" si="39"/>
        <v>2.4250617635623523E-7</v>
      </c>
      <c r="T74" s="9">
        <f t="shared" si="40"/>
        <v>1.3648832351125862E-4</v>
      </c>
      <c r="U74" s="9">
        <f t="shared" si="41"/>
        <v>1.4975749382364374E-4</v>
      </c>
      <c r="V74" s="102">
        <f t="shared" si="42"/>
        <v>0.91139561718353101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4.0258976380178252E-2</v>
      </c>
      <c r="J75" s="54">
        <f t="shared" si="45"/>
        <v>0.55494878574960893</v>
      </c>
      <c r="K75" s="55">
        <f t="shared" si="46"/>
        <v>0.90524545439314597</v>
      </c>
      <c r="L75" s="55">
        <f t="shared" si="47"/>
        <v>1.6545997862882449E-3</v>
      </c>
      <c r="M75" s="55">
        <f t="shared" si="19"/>
        <v>0.99834540021371176</v>
      </c>
      <c r="N75" s="55">
        <f t="shared" si="48"/>
        <v>3.083468514634459E-4</v>
      </c>
      <c r="O75" s="56">
        <f t="shared" si="21"/>
        <v>9.1042008814663784E-7</v>
      </c>
      <c r="P75" s="56">
        <f t="shared" si="49"/>
        <v>3.2673120727236133E-6</v>
      </c>
      <c r="Q75" s="56">
        <f t="shared" si="50"/>
        <v>2.1439706301069354E-5</v>
      </c>
      <c r="R75" s="9">
        <f t="shared" si="43"/>
        <v>1.4999999999999999E-4</v>
      </c>
      <c r="S75" s="9">
        <f t="shared" si="39"/>
        <v>2.4818996794323671E-7</v>
      </c>
      <c r="T75" s="9">
        <f t="shared" si="40"/>
        <v>1.3578681815897188E-4</v>
      </c>
      <c r="U75" s="9">
        <f t="shared" si="41"/>
        <v>1.4975181003205675E-4</v>
      </c>
      <c r="V75" s="102">
        <f t="shared" si="42"/>
        <v>0.90674575572678928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1.137117589232139</v>
      </c>
      <c r="J76" s="54">
        <f t="shared" si="45"/>
        <v>2.6326668044693871</v>
      </c>
      <c r="K76" s="55">
        <f t="shared" si="46"/>
        <v>7.1415676146618007E-2</v>
      </c>
      <c r="L76" s="55">
        <f t="shared" si="47"/>
        <v>1.5611268103392532E-2</v>
      </c>
      <c r="M76" s="55">
        <f t="shared" si="19"/>
        <v>0.98438873189660747</v>
      </c>
      <c r="N76" s="55">
        <f t="shared" si="48"/>
        <v>7.6571775578935857E-3</v>
      </c>
      <c r="O76" s="56">
        <f t="shared" si="21"/>
        <v>7.1823907932288192E-8</v>
      </c>
      <c r="P76" s="56">
        <f t="shared" si="49"/>
        <v>3.0827324630062349E-5</v>
      </c>
      <c r="Q76" s="56">
        <f t="shared" si="50"/>
        <v>5.3241224016791953E-4</v>
      </c>
      <c r="R76" s="9">
        <f t="shared" si="43"/>
        <v>1.4999999999999999E-4</v>
      </c>
      <c r="S76" s="9">
        <f t="shared" si="39"/>
        <v>2.3416902155088798E-6</v>
      </c>
      <c r="T76" s="9">
        <f t="shared" si="40"/>
        <v>1.0712351421992701E-5</v>
      </c>
      <c r="U76" s="9">
        <f t="shared" si="41"/>
        <v>1.4765830978449111E-4</v>
      </c>
      <c r="V76" s="102">
        <f t="shared" si="42"/>
        <v>7.2548246269563105E-2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2.0958974367173925E-3</v>
      </c>
      <c r="J77" s="54">
        <f t="shared" si="45"/>
        <v>4.7982372015380817E-2</v>
      </c>
      <c r="K77" s="55">
        <f t="shared" si="46"/>
        <v>0.98947338018224884</v>
      </c>
      <c r="L77" s="55">
        <f t="shared" si="47"/>
        <v>5.6281324879393674E-4</v>
      </c>
      <c r="M77" s="55">
        <f t="shared" si="19"/>
        <v>0.99943718675120607</v>
      </c>
      <c r="N77" s="55">
        <f t="shared" si="48"/>
        <v>2.1732029222067086E-5</v>
      </c>
      <c r="O77" s="56">
        <f t="shared" si="21"/>
        <v>9.9512948408912293E-7</v>
      </c>
      <c r="P77" s="56">
        <f t="shared" si="49"/>
        <v>1.111378435868406E-6</v>
      </c>
      <c r="Q77" s="56">
        <f t="shared" si="50"/>
        <v>1.5110526397011394E-6</v>
      </c>
      <c r="R77" s="9">
        <f t="shared" si="43"/>
        <v>1.4999999999999999E-4</v>
      </c>
      <c r="S77" s="9">
        <f t="shared" si="39"/>
        <v>8.4421987319090499E-8</v>
      </c>
      <c r="T77" s="9">
        <f t="shared" si="40"/>
        <v>1.4842100702733732E-4</v>
      </c>
      <c r="U77" s="9">
        <f t="shared" si="41"/>
        <v>1.4991557801268091E-4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0.8749628948462248</v>
      </c>
      <c r="K78" s="55">
        <f t="shared" si="46"/>
        <v>0.81028063923022775</v>
      </c>
      <c r="L78" s="55">
        <f t="shared" si="47"/>
        <v>3.0943980755437188E-3</v>
      </c>
      <c r="M78" s="55">
        <f t="shared" si="19"/>
        <v>0.99690560192445632</v>
      </c>
      <c r="N78" s="55">
        <f t="shared" si="48"/>
        <v>9.3075339176528675E-4</v>
      </c>
      <c r="O78" s="56">
        <f t="shared" si="21"/>
        <v>8.1491242779675815E-7</v>
      </c>
      <c r="P78" s="56">
        <f t="shared" si="49"/>
        <v>6.1104590208591991E-6</v>
      </c>
      <c r="Q78" s="56">
        <f t="shared" si="50"/>
        <v>6.4716338965236815E-5</v>
      </c>
      <c r="R78" s="9">
        <f t="shared" si="43"/>
        <v>1.4999999999999999E-4</v>
      </c>
      <c r="S78" s="9">
        <f t="shared" si="39"/>
        <v>4.6415971133155777E-7</v>
      </c>
      <c r="T78" s="9">
        <f t="shared" si="40"/>
        <v>1.2154209588453415E-4</v>
      </c>
      <c r="U78" s="9">
        <f t="shared" si="41"/>
        <v>1.4953584028866844E-4</v>
      </c>
      <c r="V78" s="102">
        <f t="shared" si="42"/>
        <v>0.81279575284363714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1.8329595102905285</v>
      </c>
      <c r="K79" s="55">
        <f t="shared" si="46"/>
        <v>0.30649904117381266</v>
      </c>
      <c r="L79" s="55">
        <f t="shared" si="47"/>
        <v>1.0625917897585145E-2</v>
      </c>
      <c r="M79" s="55">
        <f t="shared" si="19"/>
        <v>0.98937408210241484</v>
      </c>
      <c r="N79" s="55">
        <f t="shared" si="48"/>
        <v>4.079954179532351E-3</v>
      </c>
      <c r="O79" s="56">
        <f t="shared" si="21"/>
        <v>3.0825107458770497E-7</v>
      </c>
      <c r="P79" s="56">
        <f t="shared" si="49"/>
        <v>2.0982832294710375E-5</v>
      </c>
      <c r="Q79" s="56">
        <f t="shared" si="50"/>
        <v>2.8368384147864015E-4</v>
      </c>
      <c r="R79" s="9">
        <f t="shared" si="43"/>
        <v>1.4999999999999999E-4</v>
      </c>
      <c r="S79" s="9">
        <f t="shared" si="39"/>
        <v>1.5938876846377717E-6</v>
      </c>
      <c r="T79" s="9">
        <f t="shared" si="40"/>
        <v>4.5974856176071897E-5</v>
      </c>
      <c r="U79" s="9">
        <f t="shared" si="41"/>
        <v>1.4840611231536221E-4</v>
      </c>
      <c r="V79" s="102">
        <f t="shared" si="42"/>
        <v>0.30979085334689965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4.6296168009876641</v>
      </c>
      <c r="K80" s="55">
        <f t="shared" si="46"/>
        <v>1.0236823200115862E-3</v>
      </c>
      <c r="L80" s="55">
        <f t="shared" si="47"/>
        <v>2.222080709078143E-2</v>
      </c>
      <c r="M80" s="55">
        <f t="shared" si="19"/>
        <v>0.97777919290921855</v>
      </c>
      <c r="N80" s="55">
        <f t="shared" si="48"/>
        <v>1.6060437369754904E-2</v>
      </c>
      <c r="O80" s="56">
        <f t="shared" si="21"/>
        <v>1.0295339716937656E-9</v>
      </c>
      <c r="P80" s="56">
        <f t="shared" si="49"/>
        <v>4.3879076907317277E-5</v>
      </c>
      <c r="Q80" s="56">
        <f t="shared" si="50"/>
        <v>1.1167004256409081E-3</v>
      </c>
      <c r="R80" s="9">
        <f t="shared" si="43"/>
        <v>1.4999999999999999E-4</v>
      </c>
      <c r="S80" s="9">
        <f t="shared" si="39"/>
        <v>3.333121063617214E-6</v>
      </c>
      <c r="T80" s="9">
        <f t="shared" si="40"/>
        <v>1.5355234800173792E-7</v>
      </c>
      <c r="U80" s="9">
        <f t="shared" si="41"/>
        <v>1.4666687893638276E-4</v>
      </c>
      <c r="V80" s="102">
        <f t="shared" si="42"/>
        <v>1.0469463120459646E-3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2.0749419502288911</v>
      </c>
      <c r="K81" s="55">
        <f t="shared" si="46"/>
        <v>0.22279883157179931</v>
      </c>
      <c r="L81" s="55">
        <f t="shared" si="47"/>
        <v>1.3484432839573471E-2</v>
      </c>
      <c r="M81" s="55">
        <f t="shared" si="19"/>
        <v>0.98651556716042654</v>
      </c>
      <c r="N81" s="55">
        <f t="shared" si="48"/>
        <v>6.9062305839346109E-3</v>
      </c>
      <c r="O81" s="56">
        <f t="shared" si="21"/>
        <v>2.2407241140420272E-7</v>
      </c>
      <c r="P81" s="56">
        <f t="shared" si="49"/>
        <v>2.6627496616208264E-5</v>
      </c>
      <c r="Q81" s="56">
        <f t="shared" si="50"/>
        <v>4.8019804536442287E-4</v>
      </c>
      <c r="R81" s="9">
        <f t="shared" si="43"/>
        <v>1.4999999999999999E-4</v>
      </c>
      <c r="S81" s="9">
        <f t="shared" si="39"/>
        <v>2.0226649259360204E-6</v>
      </c>
      <c r="T81" s="9">
        <f t="shared" si="40"/>
        <v>3.3419824735769891E-5</v>
      </c>
      <c r="U81" s="9">
        <f t="shared" si="41"/>
        <v>1.4797733507406396E-4</v>
      </c>
      <c r="V81" s="102">
        <f t="shared" si="42"/>
        <v>0.22584421269002428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2.8845581821937589</v>
      </c>
      <c r="K82" s="55">
        <f t="shared" si="46"/>
        <v>4.7436376368963022E-2</v>
      </c>
      <c r="L82" s="55">
        <f t="shared" si="47"/>
        <v>1.852027852832204E-2</v>
      </c>
      <c r="M82" s="55">
        <f t="shared" si="19"/>
        <v>0.98147972147167795</v>
      </c>
      <c r="N82" s="55">
        <f t="shared" si="48"/>
        <v>1.1461875100103611E-2</v>
      </c>
      <c r="O82" s="56">
        <f t="shared" si="21"/>
        <v>4.7707535835283389E-8</v>
      </c>
      <c r="P82" s="56">
        <f t="shared" si="49"/>
        <v>3.6571701584427096E-5</v>
      </c>
      <c r="Q82" s="56">
        <f t="shared" si="50"/>
        <v>7.9695717546476516E-4</v>
      </c>
      <c r="R82" s="9">
        <f t="shared" si="43"/>
        <v>1.4999999999999999E-4</v>
      </c>
      <c r="S82" s="9">
        <f t="shared" si="39"/>
        <v>2.778041779248306E-6</v>
      </c>
      <c r="T82" s="9">
        <f t="shared" si="40"/>
        <v>7.1154564553444527E-6</v>
      </c>
      <c r="U82" s="9">
        <f t="shared" si="41"/>
        <v>1.4722195822075167E-4</v>
      </c>
      <c r="V82" s="102">
        <f t="shared" si="42"/>
        <v>4.8331489007062349E-2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2.2572305062802869</v>
      </c>
      <c r="K83" s="55">
        <f t="shared" si="46"/>
        <v>0.16123316282438932</v>
      </c>
      <c r="L83" s="55">
        <f t="shared" si="47"/>
        <v>1.4847820380658084E-2</v>
      </c>
      <c r="M83" s="55">
        <f t="shared" si="19"/>
        <v>0.98515217961934187</v>
      </c>
      <c r="N83" s="55">
        <f t="shared" si="48"/>
        <v>7.925862592224683E-3</v>
      </c>
      <c r="O83" s="56">
        <f t="shared" si="21"/>
        <v>1.6215481624168561E-7</v>
      </c>
      <c r="P83" s="56">
        <f t="shared" si="49"/>
        <v>2.9319756466416358E-5</v>
      </c>
      <c r="Q83" s="56">
        <f t="shared" si="50"/>
        <v>5.5109421534039625E-4</v>
      </c>
      <c r="R83" s="9">
        <f t="shared" si="43"/>
        <v>1.4999999999999999E-4</v>
      </c>
      <c r="S83" s="9">
        <f t="shared" si="39"/>
        <v>2.2271730570987124E-6</v>
      </c>
      <c r="T83" s="9">
        <f t="shared" si="40"/>
        <v>2.4184974423658394E-5</v>
      </c>
      <c r="U83" s="9">
        <f t="shared" si="41"/>
        <v>1.4777282694290126E-4</v>
      </c>
      <c r="V83" s="102">
        <f t="shared" si="42"/>
        <v>0.16366320469055762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0.69048960682204896</v>
      </c>
      <c r="K84" s="55">
        <f t="shared" si="46"/>
        <v>0.87176116095260181</v>
      </c>
      <c r="L84" s="55">
        <f t="shared" si="47"/>
        <v>2.177032680508487E-3</v>
      </c>
      <c r="M84" s="55">
        <f t="shared" si="19"/>
        <v>0.99782296731949149</v>
      </c>
      <c r="N84" s="55">
        <f t="shared" si="48"/>
        <v>5.4896250405735505E-4</v>
      </c>
      <c r="O84" s="56">
        <f t="shared" si="21"/>
        <v>8.7674438921026003E-7</v>
      </c>
      <c r="P84" s="56">
        <f t="shared" si="49"/>
        <v>4.2989520599998899E-6</v>
      </c>
      <c r="Q84" s="56">
        <f t="shared" si="50"/>
        <v>3.8169985525811526E-5</v>
      </c>
      <c r="R84" s="9">
        <f t="shared" si="43"/>
        <v>1.4999999999999999E-4</v>
      </c>
      <c r="S84" s="9">
        <f t="shared" si="39"/>
        <v>3.26554902076273E-7</v>
      </c>
      <c r="T84" s="9">
        <f t="shared" si="40"/>
        <v>1.3076417414289025E-4</v>
      </c>
      <c r="U84" s="9">
        <f t="shared" si="41"/>
        <v>1.496734450979237E-4</v>
      </c>
      <c r="V84" s="102">
        <f t="shared" si="42"/>
        <v>0.8736631541910318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0.61860589125383414</v>
      </c>
      <c r="J85" s="54">
        <f t="shared" si="45"/>
        <v>2.0521115161299051</v>
      </c>
      <c r="K85" s="55">
        <f t="shared" si="46"/>
        <v>0.23616131749058608</v>
      </c>
      <c r="L85" s="55">
        <f t="shared" si="47"/>
        <v>1.3561199486721996E-2</v>
      </c>
      <c r="M85" s="55">
        <f t="shared" si="19"/>
        <v>0.98643880051327804</v>
      </c>
      <c r="N85" s="55">
        <f t="shared" si="48"/>
        <v>7.2189648709966104E-3</v>
      </c>
      <c r="O85" s="56">
        <f t="shared" si="21"/>
        <v>2.3751128099366176E-7</v>
      </c>
      <c r="P85" s="56">
        <f t="shared" si="49"/>
        <v>2.6779086502227499E-5</v>
      </c>
      <c r="Q85" s="56">
        <f t="shared" si="50"/>
        <v>5.0194281503877271E-4</v>
      </c>
      <c r="R85" s="9">
        <f t="shared" si="43"/>
        <v>1.4999999999999999E-4</v>
      </c>
      <c r="S85" s="9">
        <f t="shared" si="39"/>
        <v>2.0341799230082993E-6</v>
      </c>
      <c r="T85" s="9">
        <f t="shared" si="40"/>
        <v>3.5424197623587909E-5</v>
      </c>
      <c r="U85" s="9">
        <f t="shared" si="41"/>
        <v>1.479658200769917E-4</v>
      </c>
      <c r="V85" s="102">
        <f t="shared" si="42"/>
        <v>0.23940797682299522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1.4369741370782525</v>
      </c>
      <c r="K86" s="55">
        <f t="shared" si="46"/>
        <v>0.54044588896491574</v>
      </c>
      <c r="L86" s="55">
        <f t="shared" si="47"/>
        <v>7.5284258998759221E-3</v>
      </c>
      <c r="M86" s="55">
        <f t="shared" si="19"/>
        <v>0.9924715741001241</v>
      </c>
      <c r="N86" s="55">
        <f t="shared" si="48"/>
        <v>3.1907177115617262E-3</v>
      </c>
      <c r="O86" s="56">
        <f t="shared" si="21"/>
        <v>5.4353522735971462E-7</v>
      </c>
      <c r="P86" s="56">
        <f t="shared" si="49"/>
        <v>1.4866263754602356E-5</v>
      </c>
      <c r="Q86" s="56">
        <f t="shared" si="50"/>
        <v>2.2185422131223935E-4</v>
      </c>
      <c r="R86" s="9">
        <f t="shared" si="43"/>
        <v>1.4999999999999999E-4</v>
      </c>
      <c r="S86" s="9">
        <f t="shared" si="39"/>
        <v>1.1292638849813883E-6</v>
      </c>
      <c r="T86" s="9">
        <f t="shared" si="40"/>
        <v>8.1066883344737349E-5</v>
      </c>
      <c r="U86" s="9">
        <f t="shared" si="41"/>
        <v>1.4887073611501861E-4</v>
      </c>
      <c r="V86" s="102">
        <f t="shared" si="42"/>
        <v>0.54454545910288576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3.8141757440305213</v>
      </c>
      <c r="K88" s="55">
        <f t="shared" si="46"/>
        <v>7.0963152268838968E-3</v>
      </c>
      <c r="L88" s="55">
        <f t="shared" si="47"/>
        <v>2.3560606644836966E-2</v>
      </c>
      <c r="M88" s="55">
        <f t="shared" si="19"/>
        <v>0.97643939335516305</v>
      </c>
      <c r="N88" s="55">
        <f t="shared" si="48"/>
        <v>1.8072451361729708E-2</v>
      </c>
      <c r="O88" s="56">
        <f t="shared" si="21"/>
        <v>7.1368797302683065E-9</v>
      </c>
      <c r="P88" s="56">
        <f t="shared" si="49"/>
        <v>4.6524757931980961E-5</v>
      </c>
      <c r="Q88" s="56">
        <f t="shared" si="50"/>
        <v>1.256598040475791E-3</v>
      </c>
      <c r="R88" s="9">
        <f>F88*$C$14</f>
        <v>1.4999999999999999E-4</v>
      </c>
      <c r="S88" s="9">
        <f t="shared" si="39"/>
        <v>3.5340909967255448E-6</v>
      </c>
      <c r="T88" s="9">
        <f t="shared" si="40"/>
        <v>1.0644472840325844E-6</v>
      </c>
      <c r="U88" s="9">
        <f t="shared" si="41"/>
        <v>1.4646590900327445E-4</v>
      </c>
      <c r="V88" s="102">
        <f t="shared" si="42"/>
        <v>7.2675429475454745E-3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5.258655618018703</v>
      </c>
      <c r="K89" s="55">
        <f t="shared" si="46"/>
        <v>2.9179645671193095E-4</v>
      </c>
      <c r="L89" s="55">
        <f t="shared" si="47"/>
        <v>2.6959600813839458E-2</v>
      </c>
      <c r="M89" s="55">
        <f t="shared" si="19"/>
        <v>0.97304039918616059</v>
      </c>
      <c r="N89" s="55">
        <f t="shared" si="48"/>
        <v>2.2839846426354948E-2</v>
      </c>
      <c r="O89" s="56">
        <f t="shared" si="21"/>
        <v>2.9346444608069626E-10</v>
      </c>
      <c r="P89" s="56">
        <f t="shared" si="49"/>
        <v>5.3236698049181212E-5</v>
      </c>
      <c r="Q89" s="56">
        <f t="shared" si="50"/>
        <v>1.5880804263721481E-3</v>
      </c>
      <c r="R89" s="9">
        <f>F89*$C$14</f>
        <v>1.4999999999999999E-4</v>
      </c>
      <c r="S89" s="9">
        <f t="shared" si="39"/>
        <v>4.0439401220759187E-6</v>
      </c>
      <c r="T89" s="9">
        <f t="shared" si="40"/>
        <v>4.3769468506789636E-8</v>
      </c>
      <c r="U89" s="9">
        <f t="shared" si="41"/>
        <v>1.4595605987792408E-4</v>
      </c>
      <c r="V89" s="102">
        <f t="shared" si="42"/>
        <v>2.9988113233118176E-4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5.6292570490791167</v>
      </c>
      <c r="K90" s="55">
        <f t="shared" si="46"/>
        <v>1.3138356130927936E-4</v>
      </c>
      <c r="L90" s="55">
        <f t="shared" si="47"/>
        <v>2.8495475230025401E-2</v>
      </c>
      <c r="M90" s="55">
        <f t="shared" si="19"/>
        <v>0.97150452476997462</v>
      </c>
      <c r="N90" s="55">
        <f t="shared" si="48"/>
        <v>2.5038262903104368E-2</v>
      </c>
      <c r="O90" s="56">
        <f t="shared" si="21"/>
        <v>1.3213458613652992E-10</v>
      </c>
      <c r="P90" s="56">
        <f t="shared" si="49"/>
        <v>5.6269565008174937E-5</v>
      </c>
      <c r="Q90" s="56">
        <f t="shared" si="50"/>
        <v>1.7409388173861612E-3</v>
      </c>
      <c r="R90" s="9">
        <f>F90*$C$14</f>
        <v>1.4999999999999999E-4</v>
      </c>
      <c r="S90" s="9">
        <f t="shared" si="39"/>
        <v>4.2743212845038097E-6</v>
      </c>
      <c r="T90" s="9">
        <f t="shared" si="40"/>
        <v>1.9707534196391902E-8</v>
      </c>
      <c r="U90" s="9">
        <f t="shared" si="41"/>
        <v>1.4572567871549619E-4</v>
      </c>
      <c r="V90" s="102">
        <f t="shared" si="42"/>
        <v>1.352372098734047E-4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6.0519431364066163</v>
      </c>
      <c r="K91" s="55">
        <f t="shared" si="46"/>
        <v>5.2110276034568894E-5</v>
      </c>
      <c r="L91" s="55">
        <f t="shared" si="47"/>
        <v>2.9911923092115038E-2</v>
      </c>
      <c r="M91" s="55">
        <f t="shared" si="19"/>
        <v>0.97008807690788501</v>
      </c>
      <c r="N91" s="55">
        <f t="shared" si="48"/>
        <v>2.7066776644617433E-2</v>
      </c>
      <c r="O91" s="56">
        <f t="shared" si="21"/>
        <v>5.240815280596128E-11</v>
      </c>
      <c r="P91" s="56">
        <f t="shared" si="49"/>
        <v>5.9066602236477084E-5</v>
      </c>
      <c r="Q91" s="56">
        <f t="shared" si="50"/>
        <v>1.8819836785200171E-3</v>
      </c>
      <c r="R91" s="9">
        <f t="shared" ref="R91:R92" si="51">F91*$C$14</f>
        <v>1.4999999999999999E-4</v>
      </c>
      <c r="S91" s="9">
        <f t="shared" si="39"/>
        <v>4.4867884638172557E-6</v>
      </c>
      <c r="T91" s="9">
        <f t="shared" si="40"/>
        <v>7.8165414051853331E-9</v>
      </c>
      <c r="U91" s="9">
        <f t="shared" si="41"/>
        <v>1.4551321153618275E-4</v>
      </c>
      <c r="V91" s="102">
        <f t="shared" si="42"/>
        <v>5.3717056497249412E-5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7.3052603387083286</v>
      </c>
      <c r="K92" s="55">
        <f t="shared" si="46"/>
        <v>3.1299493810568221E-6</v>
      </c>
      <c r="L92" s="55">
        <f t="shared" si="47"/>
        <v>3.2194039912166607E-2</v>
      </c>
      <c r="M92" s="55">
        <f t="shared" si="19"/>
        <v>0.96780596008783337</v>
      </c>
      <c r="N92" s="55">
        <f t="shared" si="48"/>
        <v>3.0336220996802103E-2</v>
      </c>
      <c r="O92" s="56">
        <f t="shared" si="21"/>
        <v>3.147841038656799E-12</v>
      </c>
      <c r="P92" s="56">
        <f t="shared" si="49"/>
        <v>6.3573062287609501E-5</v>
      </c>
      <c r="Q92" s="56">
        <f t="shared" si="50"/>
        <v>2.1093118524444362E-3</v>
      </c>
      <c r="R92" s="9">
        <f t="shared" si="51"/>
        <v>1.4999999999999999E-4</v>
      </c>
      <c r="S92" s="9">
        <f t="shared" si="39"/>
        <v>4.829105986824991E-6</v>
      </c>
      <c r="T92" s="9">
        <f t="shared" si="40"/>
        <v>4.6949240715852332E-10</v>
      </c>
      <c r="U92" s="9">
        <f t="shared" si="41"/>
        <v>1.4517089401317498E-4</v>
      </c>
      <c r="V92" s="102">
        <f t="shared" si="42"/>
        <v>3.2340670652335756E-6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1.3331589544646656</v>
      </c>
      <c r="K93" s="55">
        <f t="shared" si="46"/>
        <v>0.55786027985748821</v>
      </c>
      <c r="L93" s="55">
        <f t="shared" si="47"/>
        <v>6.1187431119508699E-3</v>
      </c>
      <c r="M93" s="55">
        <f t="shared" ref="M93:M127" si="52">IF(D93=0,"",1-L93)</f>
        <v>0.99388125688804918</v>
      </c>
      <c r="N93" s="55">
        <f t="shared" si="48"/>
        <v>1.4348999016741038E-3</v>
      </c>
      <c r="O93" s="56">
        <f t="shared" ref="O93:O127" si="53">IF(D93=0,"",F93*K93*$J$7/$J$14)</f>
        <v>5.6104916373409184E-7</v>
      </c>
      <c r="P93" s="56">
        <f t="shared" si="49"/>
        <v>1.2082585411436036E-5</v>
      </c>
      <c r="Q93" s="56">
        <f t="shared" si="50"/>
        <v>9.977021758878926E-5</v>
      </c>
      <c r="R93" s="9">
        <f>F93*$C$14</f>
        <v>1.4999999999999999E-4</v>
      </c>
      <c r="S93" s="9">
        <f t="shared" si="39"/>
        <v>9.1781146679263036E-7</v>
      </c>
      <c r="T93" s="9">
        <f t="shared" si="40"/>
        <v>8.3679041978623224E-5</v>
      </c>
      <c r="U93" s="9">
        <f t="shared" si="41"/>
        <v>1.4908218853320736E-4</v>
      </c>
      <c r="V93" s="102">
        <f t="shared" si="42"/>
        <v>0.56129469792418629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0.34270676047399873</v>
      </c>
      <c r="K107" s="55">
        <f t="shared" si="46"/>
        <v>0.95107653781835644</v>
      </c>
      <c r="L107" s="55">
        <f t="shared" si="47"/>
        <v>1.0663506894038036E-3</v>
      </c>
      <c r="M107" s="55">
        <f t="shared" si="52"/>
        <v>0.99893364931059625</v>
      </c>
      <c r="N107" s="55">
        <f t="shared" si="48"/>
        <v>1.6073987772797208E-4</v>
      </c>
      <c r="O107" s="56">
        <f t="shared" si="53"/>
        <v>9.5651315473906583E-7</v>
      </c>
      <c r="P107" s="56">
        <f t="shared" si="49"/>
        <v>2.1057058692495419E-6</v>
      </c>
      <c r="Q107" s="56">
        <f t="shared" si="50"/>
        <v>1.117642600532947E-5</v>
      </c>
      <c r="R107" s="9">
        <f>F107*$C$14</f>
        <v>1.4999999999999999E-4</v>
      </c>
      <c r="S107" s="9">
        <f t="shared" ref="S107:S108" si="54">$R107*L107</f>
        <v>1.5995260341057052E-7</v>
      </c>
      <c r="T107" s="9">
        <f t="shared" ref="T107:T108" si="55">R107*K107</f>
        <v>1.4266148067275345E-4</v>
      </c>
      <c r="U107" s="9">
        <f t="shared" ref="U107:U108" si="56">$R107*M107</f>
        <v>1.4984004739658944E-4</v>
      </c>
      <c r="V107" s="102">
        <f t="shared" ref="V107:V108" si="57">K107/M107</f>
        <v>0.95209180156733342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1.0545652216525729</v>
      </c>
      <c r="K108" s="55">
        <f t="shared" si="46"/>
        <v>0.72760768765177841</v>
      </c>
      <c r="L108" s="55">
        <f t="shared" si="47"/>
        <v>4.2018478853883406E-3</v>
      </c>
      <c r="M108" s="55">
        <f t="shared" si="52"/>
        <v>0.99579815211461165</v>
      </c>
      <c r="N108" s="55">
        <f t="shared" si="48"/>
        <v>1.2634045728955408E-3</v>
      </c>
      <c r="O108" s="56">
        <f t="shared" si="53"/>
        <v>7.3176689472821403E-7</v>
      </c>
      <c r="P108" s="56">
        <f t="shared" si="49"/>
        <v>8.2973226743097456E-6</v>
      </c>
      <c r="Q108" s="56">
        <f t="shared" si="50"/>
        <v>8.7845952873365048E-5</v>
      </c>
      <c r="R108" s="9">
        <f>F108*$C$14</f>
        <v>1.4999999999999999E-4</v>
      </c>
      <c r="S108" s="9">
        <f t="shared" si="54"/>
        <v>6.3027718280825107E-7</v>
      </c>
      <c r="T108" s="9">
        <f t="shared" si="55"/>
        <v>1.0914115314776676E-4</v>
      </c>
      <c r="U108" s="9">
        <f t="shared" si="56"/>
        <v>1.4936972281719173E-4</v>
      </c>
      <c r="V108" s="102">
        <f t="shared" si="57"/>
        <v>0.73067788497767183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0.91157893214616048</v>
      </c>
      <c r="K114" s="55">
        <f t="shared" si="46"/>
        <v>0.79879125174023546</v>
      </c>
      <c r="L114" s="55">
        <f t="shared" si="47"/>
        <v>3.318868593958755E-3</v>
      </c>
      <c r="M114" s="55">
        <f t="shared" si="52"/>
        <v>0.9966811314060412</v>
      </c>
      <c r="N114" s="55">
        <f t="shared" si="48"/>
        <v>1.0780985585029964E-3</v>
      </c>
      <c r="O114" s="56">
        <f t="shared" si="53"/>
        <v>8.033573637855261E-7</v>
      </c>
      <c r="P114" s="56">
        <f t="shared" si="49"/>
        <v>6.5537174093020286E-6</v>
      </c>
      <c r="Q114" s="56">
        <f t="shared" si="50"/>
        <v>7.496141552348761E-5</v>
      </c>
      <c r="R114" s="9">
        <f>F114*$C$14</f>
        <v>1.4999999999999999E-4</v>
      </c>
      <c r="S114" s="9">
        <f t="shared" ref="S114:S116" si="58">$R114*L114</f>
        <v>4.9783028909381323E-7</v>
      </c>
      <c r="T114" s="9">
        <f t="shared" ref="T114:T116" si="59">R114*K114</f>
        <v>1.1981868776103531E-4</v>
      </c>
      <c r="U114" s="9">
        <f t="shared" ref="U114:U116" si="60">$R114*M114</f>
        <v>1.4950216971090617E-4</v>
      </c>
      <c r="V114" s="102">
        <f t="shared" ref="V114:V116" si="61">K114/M114</f>
        <v>0.80145116283415752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0.17110445915344094</v>
      </c>
      <c r="J115" s="54">
        <f t="shared" si="45"/>
        <v>1.1028450599696213</v>
      </c>
      <c r="K115" s="55">
        <f t="shared" si="46"/>
        <v>0.66798040184770013</v>
      </c>
      <c r="L115" s="55">
        <f t="shared" si="47"/>
        <v>4.3110852020551566E-3</v>
      </c>
      <c r="M115" s="55">
        <f t="shared" si="52"/>
        <v>0.99568891479794486</v>
      </c>
      <c r="N115" s="55">
        <f t="shared" si="48"/>
        <v>5.152949498618977E-4</v>
      </c>
      <c r="O115" s="56">
        <f t="shared" si="53"/>
        <v>6.7179876284282873E-7</v>
      </c>
      <c r="P115" s="56">
        <f t="shared" si="49"/>
        <v>8.5130318787319672E-6</v>
      </c>
      <c r="Q115" s="56">
        <f t="shared" si="50"/>
        <v>3.5829042297754877E-5</v>
      </c>
      <c r="R115" s="9">
        <f>F115*$C$14</f>
        <v>1.4999999999999999E-4</v>
      </c>
      <c r="S115" s="9">
        <f t="shared" si="58"/>
        <v>6.4666278030827337E-7</v>
      </c>
      <c r="T115" s="9">
        <f t="shared" si="59"/>
        <v>1.0019706027715502E-4</v>
      </c>
      <c r="U115" s="9">
        <f t="shared" si="60"/>
        <v>1.4935333721969172E-4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0.11509261890443816</v>
      </c>
      <c r="K116" s="55">
        <f t="shared" si="46"/>
        <v>0.98096899272124194</v>
      </c>
      <c r="L116" s="55">
        <f t="shared" si="47"/>
        <v>6.512169926699594E-4</v>
      </c>
      <c r="M116" s="55">
        <f t="shared" si="52"/>
        <v>0.99934878300732999</v>
      </c>
      <c r="N116" s="55">
        <f t="shared" si="48"/>
        <v>1.9385921309154521E-5</v>
      </c>
      <c r="O116" s="56">
        <f t="shared" si="53"/>
        <v>9.8657648319383135E-7</v>
      </c>
      <c r="P116" s="56">
        <f t="shared" si="49"/>
        <v>1.2859479130518002E-6</v>
      </c>
      <c r="Q116" s="56">
        <f t="shared" si="50"/>
        <v>1.3479250956229952E-6</v>
      </c>
      <c r="R116" s="9">
        <f>F116*$C$14</f>
        <v>1.4999999999999999E-4</v>
      </c>
      <c r="S116" s="9">
        <f t="shared" si="58"/>
        <v>9.7682548900493898E-8</v>
      </c>
      <c r="T116" s="9">
        <f t="shared" si="59"/>
        <v>1.4714534890818628E-4</v>
      </c>
      <c r="U116" s="9">
        <f t="shared" si="60"/>
        <v>1.4990231745109949E-4</v>
      </c>
      <c r="V116" s="102">
        <f t="shared" si="61"/>
        <v>0.98160823268250952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3.0017856440507846</v>
      </c>
      <c r="K119" s="55">
        <f t="shared" si="46"/>
        <v>3.5064337953244096E-2</v>
      </c>
      <c r="L119" s="55">
        <f t="shared" si="47"/>
        <v>1.7932015802293186E-2</v>
      </c>
      <c r="M119" s="55">
        <f t="shared" si="52"/>
        <v>0.9820679841977068</v>
      </c>
      <c r="N119" s="55">
        <f t="shared" si="48"/>
        <v>1.0431212888115753E-2</v>
      </c>
      <c r="O119" s="56">
        <f t="shared" si="53"/>
        <v>3.5264775421155319E-8</v>
      </c>
      <c r="P119" s="56">
        <f t="shared" si="49"/>
        <v>3.5410068467696751E-5</v>
      </c>
      <c r="Q119" s="56">
        <f t="shared" si="50"/>
        <v>7.2529406291552048E-4</v>
      </c>
      <c r="R119" s="9">
        <f>F119*$C$14</f>
        <v>1.4999999999999999E-4</v>
      </c>
      <c r="S119" s="9">
        <f t="shared" ref="S119:S121" si="62">$R119*L119</f>
        <v>2.6898023703439775E-6</v>
      </c>
      <c r="T119" s="9">
        <f t="shared" ref="T119:T121" si="63">R119*K119</f>
        <v>5.2596506929866139E-6</v>
      </c>
      <c r="U119" s="9">
        <f t="shared" ref="U119:U121" si="64">$R119*M119</f>
        <v>1.4731019762965602E-4</v>
      </c>
      <c r="V119" s="102">
        <f t="shared" ref="V119:V121" si="65">K119/M119</f>
        <v>3.5704593284231381E-2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1.2179102287878116</v>
      </c>
      <c r="K120" s="55">
        <f t="shared" si="46"/>
        <v>0.63577868876617316</v>
      </c>
      <c r="L120" s="55">
        <f t="shared" si="47"/>
        <v>5.3480322872384422E-3</v>
      </c>
      <c r="M120" s="55">
        <f t="shared" si="52"/>
        <v>0.99465196771276154</v>
      </c>
      <c r="N120" s="55">
        <f t="shared" si="48"/>
        <v>1.5126488856882097E-3</v>
      </c>
      <c r="O120" s="56">
        <f t="shared" si="53"/>
        <v>6.3941297585005127E-7</v>
      </c>
      <c r="P120" s="56">
        <f t="shared" si="49"/>
        <v>1.0560674914994691E-5</v>
      </c>
      <c r="Q120" s="56">
        <f t="shared" si="50"/>
        <v>1.051761926281244E-4</v>
      </c>
      <c r="R120" s="9">
        <f>F120*$C$14</f>
        <v>1.4999999999999999E-4</v>
      </c>
      <c r="S120" s="9">
        <f t="shared" si="62"/>
        <v>8.0220484308576623E-7</v>
      </c>
      <c r="T120" s="9">
        <f t="shared" si="63"/>
        <v>9.5366803314925967E-5</v>
      </c>
      <c r="U120" s="9">
        <f t="shared" si="64"/>
        <v>1.4919779515691422E-4</v>
      </c>
      <c r="V120" s="102">
        <f t="shared" si="65"/>
        <v>0.63919713568573078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3.5006702519024278</v>
      </c>
      <c r="K121" s="55">
        <f t="shared" si="46"/>
        <v>9.9172326787123379E-3</v>
      </c>
      <c r="L121" s="55">
        <f t="shared" si="47"/>
        <v>1.599700130083968E-2</v>
      </c>
      <c r="M121" s="55">
        <f t="shared" si="52"/>
        <v>0.9840029986991603</v>
      </c>
      <c r="N121" s="55">
        <f t="shared" si="48"/>
        <v>7.2768876247406456E-3</v>
      </c>
      <c r="O121" s="56">
        <f t="shared" si="53"/>
        <v>9.9739223275931477E-9</v>
      </c>
      <c r="P121" s="56">
        <f t="shared" si="49"/>
        <v>3.1589025884537053E-5</v>
      </c>
      <c r="Q121" s="56">
        <f t="shared" si="50"/>
        <v>5.0597024980104563E-4</v>
      </c>
      <c r="R121" s="9">
        <f>F121*$C$14</f>
        <v>1.4999999999999999E-4</v>
      </c>
      <c r="S121" s="9">
        <f t="shared" si="62"/>
        <v>2.3995501951259518E-6</v>
      </c>
      <c r="T121" s="9">
        <f t="shared" si="63"/>
        <v>1.4875849018068505E-6</v>
      </c>
      <c r="U121" s="9">
        <f t="shared" si="64"/>
        <v>1.4760044980487402E-4</v>
      </c>
      <c r="V121" s="102">
        <f t="shared" si="65"/>
        <v>1.0078457780944567E-2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2.150257268427175</v>
      </c>
      <c r="K124" s="55">
        <f t="shared" si="68"/>
        <v>0.2042969471276318</v>
      </c>
      <c r="L124" s="55">
        <f t="shared" si="69"/>
        <v>1.4706081576675871E-2</v>
      </c>
      <c r="M124" s="55">
        <f t="shared" si="52"/>
        <v>0.98529391842332414</v>
      </c>
      <c r="N124" s="55">
        <f t="shared" si="70"/>
        <v>8.3761036399293276E-3</v>
      </c>
      <c r="O124" s="56">
        <f t="shared" si="53"/>
        <v>2.0546476506387398E-7</v>
      </c>
      <c r="P124" s="56">
        <f t="shared" si="71"/>
        <v>2.9039867088173798E-5</v>
      </c>
      <c r="Q124" s="56">
        <f t="shared" si="72"/>
        <v>5.8239998603874777E-4</v>
      </c>
      <c r="R124" s="9">
        <f>F124*$C$14</f>
        <v>1.4999999999999999E-4</v>
      </c>
      <c r="S124" s="9">
        <f t="shared" ref="S124:S127" si="73">$R124*L124</f>
        <v>2.2059122365013807E-6</v>
      </c>
      <c r="T124" s="9">
        <f t="shared" ref="T124:T127" si="74">R124*K124</f>
        <v>3.0644542069144766E-5</v>
      </c>
      <c r="U124" s="9">
        <f t="shared" ref="U124:U127" si="75">$R124*M124</f>
        <v>1.4779408776349862E-4</v>
      </c>
      <c r="V124" s="102">
        <f t="shared" ref="V124:V127" si="76">K124/M124</f>
        <v>0.2073461972185412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1.5580178961312285</v>
      </c>
      <c r="K126" s="55">
        <f t="shared" si="68"/>
        <v>0.44796379646453482</v>
      </c>
      <c r="L126" s="55">
        <f t="shared" si="69"/>
        <v>8.2459109071578492E-3</v>
      </c>
      <c r="M126" s="55">
        <f t="shared" si="52"/>
        <v>0.99175408909284213</v>
      </c>
      <c r="N126" s="55">
        <f t="shared" si="70"/>
        <v>2.8157434470771911E-3</v>
      </c>
      <c r="O126" s="56">
        <f t="shared" si="53"/>
        <v>4.5052448160277913E-7</v>
      </c>
      <c r="P126" s="56">
        <f t="shared" si="71"/>
        <v>1.6283070069771332E-5</v>
      </c>
      <c r="Q126" s="56">
        <f t="shared" si="72"/>
        <v>1.9578183541677004E-4</v>
      </c>
      <c r="R126" s="9">
        <f>F126*$C$14</f>
        <v>1.4999999999999999E-4</v>
      </c>
      <c r="S126" s="9">
        <f t="shared" si="73"/>
        <v>1.2368866360736772E-6</v>
      </c>
      <c r="T126" s="9">
        <f t="shared" si="74"/>
        <v>6.7194569469680214E-5</v>
      </c>
      <c r="U126" s="9">
        <f t="shared" si="75"/>
        <v>1.4876311336392632E-4</v>
      </c>
      <c r="V126" s="102">
        <f t="shared" si="76"/>
        <v>0.45168837859220473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1.3441931174444362E-2</v>
      </c>
      <c r="K127" s="55">
        <f t="shared" si="68"/>
        <v>0.99305250708400206</v>
      </c>
      <c r="L127" s="55">
        <f t="shared" si="69"/>
        <v>5.2166532327782621E-4</v>
      </c>
      <c r="M127" s="55">
        <f t="shared" si="52"/>
        <v>0.9994783346767222</v>
      </c>
      <c r="N127" s="55">
        <f t="shared" si="70"/>
        <v>1.7069758531837448E-5</v>
      </c>
      <c r="O127" s="56">
        <f t="shared" si="53"/>
        <v>9.98729070271598E-7</v>
      </c>
      <c r="P127" s="56">
        <f t="shared" si="71"/>
        <v>1.0301242770558296E-6</v>
      </c>
      <c r="Q127" s="56">
        <f t="shared" si="72"/>
        <v>1.186879670785784E-6</v>
      </c>
      <c r="R127" s="9">
        <f>F127*$C$14</f>
        <v>1.4999999999999999E-4</v>
      </c>
      <c r="S127" s="9">
        <f t="shared" si="73"/>
        <v>7.824979849167393E-8</v>
      </c>
      <c r="T127" s="9">
        <f t="shared" si="74"/>
        <v>1.489578760626003E-4</v>
      </c>
      <c r="U127" s="9">
        <f t="shared" si="75"/>
        <v>1.4992175020150833E-4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0.33678734695500601</v>
      </c>
      <c r="K130" s="55">
        <f t="shared" si="79"/>
        <v>0.94765708713792074</v>
      </c>
      <c r="L130" s="55">
        <f t="shared" si="80"/>
        <v>1.048132981838607E-3</v>
      </c>
      <c r="M130" s="55">
        <f t="shared" si="81"/>
        <v>0.99895186701816141</v>
      </c>
      <c r="N130" s="55">
        <f t="shared" si="82"/>
        <v>8.2755978924438828E-5</v>
      </c>
      <c r="O130" s="56">
        <f t="shared" si="83"/>
        <v>9.530741575314165E-7</v>
      </c>
      <c r="P130" s="56">
        <f t="shared" si="84"/>
        <v>2.0697316497685627E-6</v>
      </c>
      <c r="Q130" s="56">
        <f t="shared" si="85"/>
        <v>5.7541170742513337E-6</v>
      </c>
      <c r="R130" s="9">
        <f>F130*$C$14</f>
        <v>1.4999999999999999E-4</v>
      </c>
      <c r="S130" s="9">
        <f t="shared" ref="S130:S131" si="86">$R130*L130</f>
        <v>1.5721994727579104E-7</v>
      </c>
      <c r="T130" s="9">
        <f t="shared" ref="T130:T131" si="87">R130*K130</f>
        <v>1.4214856307068809E-4</v>
      </c>
      <c r="U130" s="9">
        <f t="shared" ref="U130:U131" si="88">$R130*M130</f>
        <v>1.498427800527242E-4</v>
      </c>
      <c r="V130" s="102">
        <f t="shared" ref="V130:V131" si="89">K130/M130</f>
        <v>0.94865139995848458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-1.6886993788656414E-2</v>
      </c>
      <c r="K131" s="55">
        <f t="shared" si="79"/>
        <v>0.99567134800789203</v>
      </c>
      <c r="L131" s="55">
        <f t="shared" si="80"/>
        <v>4.8776074061090654E-4</v>
      </c>
      <c r="M131" s="55">
        <f t="shared" si="81"/>
        <v>0.99951223925938915</v>
      </c>
      <c r="N131" s="55">
        <f t="shared" si="82"/>
        <v>8.2178304236815535E-6</v>
      </c>
      <c r="O131" s="56">
        <f t="shared" si="83"/>
        <v>1.001362881215579E-6</v>
      </c>
      <c r="P131" s="56">
        <f t="shared" si="84"/>
        <v>9.6317343299897872E-7</v>
      </c>
      <c r="Q131" s="56">
        <f t="shared" si="85"/>
        <v>5.7139506980375862E-7</v>
      </c>
      <c r="R131" s="9">
        <f>F131*$C$14</f>
        <v>1.4999999999999999E-4</v>
      </c>
      <c r="S131" s="9">
        <f t="shared" si="86"/>
        <v>7.316411109163598E-8</v>
      </c>
      <c r="T131" s="9">
        <f t="shared" si="87"/>
        <v>1.4935070220118378E-4</v>
      </c>
      <c r="U131" s="9">
        <f t="shared" si="88"/>
        <v>1.4992683588890837E-4</v>
      </c>
      <c r="V131" s="102">
        <f t="shared" si="89"/>
        <v>0.99615723439830706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293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2024-10-28T22:41:32Z</dcterms:modified>
</cp:coreProperties>
</file>