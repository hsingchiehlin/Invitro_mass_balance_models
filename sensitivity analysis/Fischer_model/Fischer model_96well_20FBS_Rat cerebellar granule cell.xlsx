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96well_1um\"/>
    </mc:Choice>
  </mc:AlternateContent>
  <xr:revisionPtr revIDLastSave="0" documentId="13_ncr:1_{D3E0EBB2-1C60-4886-AD89-BE0DBAFEAE88}" xr6:coauthVersionLast="47" xr6:coauthVersionMax="47" xr10:uidLastSave="{00000000-0000-0000-0000-000000000000}"/>
  <bookViews>
    <workbookView xWindow="-98" yWindow="-98" windowWidth="21795" windowHeight="13875" firstSheet="1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U131" i="4"/>
  <c r="T131" i="4"/>
  <c r="S131" i="4"/>
  <c r="R131" i="4"/>
  <c r="V130" i="4"/>
  <c r="R130" i="4"/>
  <c r="U130" i="4" s="1"/>
  <c r="V127" i="4"/>
  <c r="U127" i="4"/>
  <c r="R127" i="4"/>
  <c r="T127" i="4" s="1"/>
  <c r="V126" i="4"/>
  <c r="R126" i="4"/>
  <c r="U126" i="4" s="1"/>
  <c r="V124" i="4"/>
  <c r="U124" i="4"/>
  <c r="T124" i="4"/>
  <c r="S124" i="4"/>
  <c r="R124" i="4"/>
  <c r="V121" i="4"/>
  <c r="U121" i="4"/>
  <c r="T121" i="4"/>
  <c r="R121" i="4"/>
  <c r="S121" i="4" s="1"/>
  <c r="V120" i="4"/>
  <c r="R120" i="4"/>
  <c r="U120" i="4" s="1"/>
  <c r="V119" i="4"/>
  <c r="R119" i="4"/>
  <c r="U119" i="4" s="1"/>
  <c r="V116" i="4"/>
  <c r="R116" i="4"/>
  <c r="U116" i="4" s="1"/>
  <c r="V115" i="4"/>
  <c r="U115" i="4"/>
  <c r="T115" i="4"/>
  <c r="R115" i="4"/>
  <c r="S115" i="4" s="1"/>
  <c r="V114" i="4"/>
  <c r="U114" i="4"/>
  <c r="R114" i="4"/>
  <c r="T114" i="4" s="1"/>
  <c r="V108" i="4"/>
  <c r="R108" i="4"/>
  <c r="U108" i="4" s="1"/>
  <c r="V107" i="4"/>
  <c r="U107" i="4"/>
  <c r="T107" i="4"/>
  <c r="S107" i="4"/>
  <c r="R107" i="4"/>
  <c r="V93" i="4"/>
  <c r="R93" i="4"/>
  <c r="U93" i="4" s="1"/>
  <c r="V92" i="4"/>
  <c r="U92" i="4"/>
  <c r="R92" i="4"/>
  <c r="T92" i="4" s="1"/>
  <c r="V91" i="4"/>
  <c r="R91" i="4"/>
  <c r="U91" i="4" s="1"/>
  <c r="V90" i="4"/>
  <c r="U90" i="4"/>
  <c r="T90" i="4"/>
  <c r="S90" i="4"/>
  <c r="R90" i="4"/>
  <c r="V89" i="4"/>
  <c r="U89" i="4"/>
  <c r="T89" i="4"/>
  <c r="R89" i="4"/>
  <c r="S89" i="4" s="1"/>
  <c r="V88" i="4"/>
  <c r="R88" i="4"/>
  <c r="U88" i="4" s="1"/>
  <c r="V86" i="4"/>
  <c r="R86" i="4"/>
  <c r="U86" i="4" s="1"/>
  <c r="V85" i="4"/>
  <c r="R85" i="4"/>
  <c r="U85" i="4" s="1"/>
  <c r="V84" i="4"/>
  <c r="U84" i="4"/>
  <c r="T84" i="4"/>
  <c r="R84" i="4"/>
  <c r="S84" i="4" s="1"/>
  <c r="V83" i="4"/>
  <c r="U83" i="4"/>
  <c r="R83" i="4"/>
  <c r="T83" i="4" s="1"/>
  <c r="V82" i="4"/>
  <c r="R82" i="4"/>
  <c r="U82" i="4" s="1"/>
  <c r="V81" i="4"/>
  <c r="U81" i="4"/>
  <c r="T81" i="4"/>
  <c r="S81" i="4"/>
  <c r="R81" i="4"/>
  <c r="V80" i="4"/>
  <c r="R80" i="4"/>
  <c r="U80" i="4" s="1"/>
  <c r="V79" i="4"/>
  <c r="U79" i="4"/>
  <c r="R79" i="4"/>
  <c r="T79" i="4" s="1"/>
  <c r="V78" i="4"/>
  <c r="R78" i="4"/>
  <c r="U78" i="4" s="1"/>
  <c r="V77" i="4"/>
  <c r="U77" i="4"/>
  <c r="T77" i="4"/>
  <c r="S77" i="4"/>
  <c r="R77" i="4"/>
  <c r="V76" i="4"/>
  <c r="U76" i="4"/>
  <c r="T76" i="4"/>
  <c r="R76" i="4"/>
  <c r="S76" i="4" s="1"/>
  <c r="V75" i="4"/>
  <c r="R75" i="4"/>
  <c r="S75" i="4" s="1"/>
  <c r="V74" i="4"/>
  <c r="R74" i="4"/>
  <c r="U74" i="4" s="1"/>
  <c r="V73" i="4"/>
  <c r="R73" i="4"/>
  <c r="T73" i="4" s="1"/>
  <c r="V72" i="4"/>
  <c r="U72" i="4"/>
  <c r="T72" i="4"/>
  <c r="R72" i="4"/>
  <c r="S72" i="4" s="1"/>
  <c r="V71" i="4"/>
  <c r="U71" i="4"/>
  <c r="R71" i="4"/>
  <c r="T71" i="4" s="1"/>
  <c r="V70" i="4"/>
  <c r="R70" i="4"/>
  <c r="U70" i="4" s="1"/>
  <c r="V69" i="4"/>
  <c r="U69" i="4"/>
  <c r="T69" i="4"/>
  <c r="S69" i="4"/>
  <c r="R69" i="4"/>
  <c r="V68" i="4"/>
  <c r="R68" i="4"/>
  <c r="U68" i="4" s="1"/>
  <c r="V65" i="4"/>
  <c r="U65" i="4"/>
  <c r="R65" i="4"/>
  <c r="T65" i="4" s="1"/>
  <c r="V64" i="4"/>
  <c r="R64" i="4"/>
  <c r="U64" i="4" s="1"/>
  <c r="V63" i="4"/>
  <c r="U63" i="4"/>
  <c r="T63" i="4"/>
  <c r="S63" i="4"/>
  <c r="R63" i="4"/>
  <c r="V62" i="4"/>
  <c r="U62" i="4"/>
  <c r="T62" i="4"/>
  <c r="R62" i="4"/>
  <c r="S62" i="4" s="1"/>
  <c r="V61" i="4"/>
  <c r="R61" i="4"/>
  <c r="U61" i="4" s="1"/>
  <c r="V60" i="4"/>
  <c r="R60" i="4"/>
  <c r="U60" i="4" s="1"/>
  <c r="V58" i="4"/>
  <c r="R58" i="4"/>
  <c r="T58" i="4" s="1"/>
  <c r="V57" i="4"/>
  <c r="U57" i="4"/>
  <c r="T57" i="4"/>
  <c r="R57" i="4"/>
  <c r="S57" i="4" s="1"/>
  <c r="V49" i="4"/>
  <c r="U49" i="4"/>
  <c r="R49" i="4"/>
  <c r="T49" i="4" s="1"/>
  <c r="V48" i="4"/>
  <c r="R48" i="4"/>
  <c r="U48" i="4" s="1"/>
  <c r="V47" i="4"/>
  <c r="U47" i="4"/>
  <c r="T47" i="4"/>
  <c r="S47" i="4"/>
  <c r="R47" i="4"/>
  <c r="V46" i="4"/>
  <c r="R46" i="4"/>
  <c r="U46" i="4" s="1"/>
  <c r="V45" i="4"/>
  <c r="U45" i="4"/>
  <c r="R45" i="4"/>
  <c r="T45" i="4" s="1"/>
  <c r="V44" i="4"/>
  <c r="R44" i="4"/>
  <c r="U44" i="4" s="1"/>
  <c r="V43" i="4"/>
  <c r="U43" i="4"/>
  <c r="T43" i="4"/>
  <c r="S43" i="4"/>
  <c r="R43" i="4"/>
  <c r="V42" i="4"/>
  <c r="U42" i="4"/>
  <c r="T42" i="4"/>
  <c r="R42" i="4"/>
  <c r="S42" i="4" s="1"/>
  <c r="V41" i="4"/>
  <c r="R41" i="4"/>
  <c r="U41" i="4" s="1"/>
  <c r="V40" i="4"/>
  <c r="R40" i="4"/>
  <c r="U40" i="4" s="1"/>
  <c r="V39" i="4"/>
  <c r="R39" i="4"/>
  <c r="T39" i="4" s="1"/>
  <c r="V38" i="4"/>
  <c r="U38" i="4"/>
  <c r="T38" i="4"/>
  <c r="R38" i="4"/>
  <c r="S38" i="4" s="1"/>
  <c r="V37" i="4"/>
  <c r="U37" i="4"/>
  <c r="R37" i="4"/>
  <c r="T37" i="4" s="1"/>
  <c r="V36" i="4"/>
  <c r="R36" i="4"/>
  <c r="U36" i="4" s="1"/>
  <c r="V35" i="4"/>
  <c r="U35" i="4"/>
  <c r="T35" i="4"/>
  <c r="S35" i="4"/>
  <c r="R35" i="4"/>
  <c r="V34" i="4"/>
  <c r="R34" i="4"/>
  <c r="T34" i="4" s="1"/>
  <c r="V33" i="4"/>
  <c r="U33" i="4"/>
  <c r="R33" i="4"/>
  <c r="T33" i="4" s="1"/>
  <c r="V32" i="4"/>
  <c r="R32" i="4"/>
  <c r="U32" i="4" s="1"/>
  <c r="V31" i="4"/>
  <c r="U31" i="4"/>
  <c r="T31" i="4"/>
  <c r="S31" i="4"/>
  <c r="R31" i="4"/>
  <c r="V30" i="4"/>
  <c r="U30" i="4"/>
  <c r="T30" i="4"/>
  <c r="R30" i="4"/>
  <c r="S30" i="4" s="1"/>
  <c r="V29" i="4"/>
  <c r="R29" i="4"/>
  <c r="U29" i="4" s="1"/>
  <c r="V28" i="4"/>
  <c r="R28" i="4"/>
  <c r="U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L130" i="4" s="1"/>
  <c r="M130" i="4" s="1"/>
  <c r="J130" i="4"/>
  <c r="K130" i="4" s="1"/>
  <c r="O130" i="4" s="1"/>
  <c r="P130" i="4" s="1"/>
  <c r="I131" i="4"/>
  <c r="L131" i="4" s="1"/>
  <c r="M131" i="4" s="1"/>
  <c r="J131" i="4"/>
  <c r="K131" i="4" s="1"/>
  <c r="O131" i="4" s="1"/>
  <c r="P131" i="4" s="1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S36" i="4" l="1"/>
  <c r="S48" i="4"/>
  <c r="S70" i="4"/>
  <c r="S82" i="4"/>
  <c r="S108" i="4"/>
  <c r="S29" i="4"/>
  <c r="T36" i="4"/>
  <c r="S41" i="4"/>
  <c r="T48" i="4"/>
  <c r="S61" i="4"/>
  <c r="T70" i="4"/>
  <c r="T82" i="4"/>
  <c r="S88" i="4"/>
  <c r="T108" i="4"/>
  <c r="S120" i="4"/>
  <c r="T29" i="4"/>
  <c r="S34" i="4"/>
  <c r="T41" i="4"/>
  <c r="S46" i="4"/>
  <c r="S68" i="4"/>
  <c r="T75" i="4"/>
  <c r="S80" i="4"/>
  <c r="T88" i="4"/>
  <c r="S93" i="4"/>
  <c r="T120" i="4"/>
  <c r="S130" i="4"/>
  <c r="S39" i="4"/>
  <c r="T46" i="4"/>
  <c r="S58" i="4"/>
  <c r="T68" i="4"/>
  <c r="S73" i="4"/>
  <c r="U75" i="4"/>
  <c r="T80" i="4"/>
  <c r="S85" i="4"/>
  <c r="T93" i="4"/>
  <c r="S116" i="4"/>
  <c r="T130" i="4"/>
  <c r="S32" i="4"/>
  <c r="U34" i="4"/>
  <c r="S44" i="4"/>
  <c r="S64" i="4"/>
  <c r="S78" i="4"/>
  <c r="T85" i="4"/>
  <c r="S91" i="4"/>
  <c r="T116" i="4"/>
  <c r="S126" i="4"/>
  <c r="T32" i="4"/>
  <c r="S37" i="4"/>
  <c r="U39" i="4"/>
  <c r="T44" i="4"/>
  <c r="S49" i="4"/>
  <c r="U58" i="4"/>
  <c r="T64" i="4"/>
  <c r="S71" i="4"/>
  <c r="U73" i="4"/>
  <c r="T78" i="4"/>
  <c r="S83" i="4"/>
  <c r="T91" i="4"/>
  <c r="S114" i="4"/>
  <c r="T126" i="4"/>
  <c r="T61" i="4"/>
  <c r="S28" i="4"/>
  <c r="S40" i="4"/>
  <c r="S60" i="4"/>
  <c r="S74" i="4"/>
  <c r="S86" i="4"/>
  <c r="S119" i="4"/>
  <c r="T28" i="4"/>
  <c r="S33" i="4"/>
  <c r="T40" i="4"/>
  <c r="S45" i="4"/>
  <c r="T60" i="4"/>
  <c r="S65" i="4"/>
  <c r="T74" i="4"/>
  <c r="S79" i="4"/>
  <c r="T86" i="4"/>
  <c r="S92" i="4"/>
  <c r="T119" i="4"/>
  <c r="S127" i="4"/>
  <c r="N130" i="4"/>
  <c r="Q130" i="4" s="1"/>
  <c r="N131" i="4"/>
  <c r="Q131" i="4" s="1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L87" i="4" s="1"/>
  <c r="J122" i="4"/>
  <c r="K122" i="4"/>
  <c r="J117" i="4"/>
  <c r="K117" i="4"/>
  <c r="J120" i="4"/>
  <c r="K120" i="4"/>
  <c r="J101" i="4"/>
  <c r="K101" i="4"/>
  <c r="J86" i="4"/>
  <c r="K86" i="4" s="1"/>
  <c r="J85" i="4"/>
  <c r="K85" i="4" s="1"/>
  <c r="J88" i="4"/>
  <c r="K88" i="4" s="1"/>
  <c r="J119" i="4"/>
  <c r="K119" i="4"/>
  <c r="J72" i="4"/>
  <c r="K72" i="4" s="1"/>
  <c r="J103" i="4"/>
  <c r="K103" i="4"/>
  <c r="J118" i="4"/>
  <c r="K118" i="4"/>
  <c r="J104" i="4"/>
  <c r="K104" i="4"/>
  <c r="J90" i="4"/>
  <c r="L90" i="4" s="1"/>
  <c r="J71" i="4"/>
  <c r="K71" i="4" s="1"/>
  <c r="O71" i="4" s="1"/>
  <c r="P71" i="4" s="1"/>
  <c r="J110" i="4"/>
  <c r="K110" i="4"/>
  <c r="J82" i="4"/>
  <c r="K82" i="4"/>
  <c r="J113" i="4"/>
  <c r="K113" i="4"/>
  <c r="J97" i="4"/>
  <c r="L97" i="4" s="1"/>
  <c r="K97" i="4"/>
  <c r="J81" i="4"/>
  <c r="K81" i="4" s="1"/>
  <c r="J116" i="4"/>
  <c r="K116" i="4" s="1"/>
  <c r="O116" i="4" s="1"/>
  <c r="P116" i="4" s="1"/>
  <c r="J100" i="4"/>
  <c r="K100" i="4"/>
  <c r="O100" i="4"/>
  <c r="J84" i="4"/>
  <c r="K84" i="4" s="1"/>
  <c r="J114" i="4"/>
  <c r="K114" i="4"/>
  <c r="J78" i="4"/>
  <c r="K78" i="4"/>
  <c r="J115" i="4"/>
  <c r="K115" i="4" s="1"/>
  <c r="O115" i="4" s="1"/>
  <c r="P115" i="4" s="1"/>
  <c r="J99" i="4"/>
  <c r="K99" i="4"/>
  <c r="J83" i="4"/>
  <c r="K83" i="4"/>
  <c r="J102" i="4"/>
  <c r="K102" i="4"/>
  <c r="J74" i="4"/>
  <c r="K74" i="4" s="1"/>
  <c r="J125" i="4"/>
  <c r="K125" i="4"/>
  <c r="J109" i="4"/>
  <c r="K109" i="4"/>
  <c r="J93" i="4"/>
  <c r="K93" i="4" s="1"/>
  <c r="J77" i="4"/>
  <c r="K77" i="4" s="1"/>
  <c r="J112" i="4"/>
  <c r="K112" i="4"/>
  <c r="J96" i="4"/>
  <c r="K96" i="4" s="1"/>
  <c r="J80" i="4"/>
  <c r="K80" i="4" s="1"/>
  <c r="J106" i="4"/>
  <c r="K106" i="4"/>
  <c r="J127" i="4"/>
  <c r="K127" i="4"/>
  <c r="O127" i="4" s="1"/>
  <c r="P127" i="4" s="1"/>
  <c r="J111" i="4"/>
  <c r="K111" i="4"/>
  <c r="J95" i="4"/>
  <c r="K95" i="4" s="1"/>
  <c r="J79" i="4"/>
  <c r="K79" i="4" s="1"/>
  <c r="J126" i="4"/>
  <c r="K126" i="4"/>
  <c r="J94" i="4"/>
  <c r="K94" i="4" s="1"/>
  <c r="J121" i="4"/>
  <c r="K121" i="4"/>
  <c r="O121" i="4" s="1"/>
  <c r="P121" i="4" s="1"/>
  <c r="J105" i="4"/>
  <c r="K105" i="4"/>
  <c r="J89" i="4"/>
  <c r="K89" i="4" s="1"/>
  <c r="J73" i="4"/>
  <c r="K73" i="4" s="1"/>
  <c r="J124" i="4"/>
  <c r="K124" i="4" s="1"/>
  <c r="O124" i="4" s="1"/>
  <c r="P124" i="4" s="1"/>
  <c r="J108" i="4"/>
  <c r="K108" i="4" s="1"/>
  <c r="O108" i="4" s="1"/>
  <c r="P108" i="4" s="1"/>
  <c r="J92" i="4"/>
  <c r="K92" i="4" s="1"/>
  <c r="J76" i="4"/>
  <c r="K76" i="4"/>
  <c r="J98" i="4"/>
  <c r="K98" i="4"/>
  <c r="J123" i="4"/>
  <c r="K123" i="4"/>
  <c r="J107" i="4"/>
  <c r="K107" i="4"/>
  <c r="O107" i="4" s="1"/>
  <c r="P107" i="4" s="1"/>
  <c r="J91" i="4"/>
  <c r="K91" i="4" s="1"/>
  <c r="O91" i="4" s="1"/>
  <c r="P91" i="4" s="1"/>
  <c r="J75" i="4"/>
  <c r="K75" i="4" s="1"/>
  <c r="P100" i="4"/>
  <c r="O112" i="4"/>
  <c r="P112" i="4"/>
  <c r="O98" i="4"/>
  <c r="P98" i="4"/>
  <c r="O105" i="4"/>
  <c r="P105" i="4"/>
  <c r="O126" i="4"/>
  <c r="P126" i="4"/>
  <c r="O111" i="4"/>
  <c r="P111" i="4"/>
  <c r="O104" i="4"/>
  <c r="P104" i="4"/>
  <c r="O120" i="4"/>
  <c r="P120" i="4" s="1"/>
  <c r="O102" i="4"/>
  <c r="P102" i="4"/>
  <c r="O110" i="4"/>
  <c r="P110" i="4"/>
  <c r="O118" i="4"/>
  <c r="P118" i="4"/>
  <c r="O117" i="4"/>
  <c r="P117" i="4"/>
  <c r="O106" i="4"/>
  <c r="P106" i="4"/>
  <c r="O109" i="4"/>
  <c r="P109" i="4"/>
  <c r="O114" i="4"/>
  <c r="P114" i="4"/>
  <c r="O113" i="4"/>
  <c r="P113" i="4"/>
  <c r="O103" i="4"/>
  <c r="P103" i="4"/>
  <c r="O119" i="4"/>
  <c r="P119" i="4"/>
  <c r="O122" i="4"/>
  <c r="P122" i="4"/>
  <c r="O123" i="4"/>
  <c r="P123" i="4"/>
  <c r="O125" i="4"/>
  <c r="P125" i="4"/>
  <c r="O99" i="4"/>
  <c r="P99" i="4"/>
  <c r="O101" i="4"/>
  <c r="P101" i="4"/>
  <c r="I76" i="4"/>
  <c r="I77" i="4"/>
  <c r="I81" i="4"/>
  <c r="I89" i="4"/>
  <c r="N89" i="4" s="1"/>
  <c r="Q89" i="4" s="1"/>
  <c r="I90" i="4"/>
  <c r="N90" i="4" s="1"/>
  <c r="Q90" i="4" s="1"/>
  <c r="I96" i="4"/>
  <c r="I99" i="4"/>
  <c r="I102" i="4"/>
  <c r="I104" i="4"/>
  <c r="I108" i="4"/>
  <c r="I111" i="4"/>
  <c r="I113" i="4"/>
  <c r="I115" i="4"/>
  <c r="I119" i="4"/>
  <c r="N119" i="4" s="1"/>
  <c r="Q119" i="4" s="1"/>
  <c r="I120" i="4"/>
  <c r="I123" i="4"/>
  <c r="I125" i="4"/>
  <c r="I79" i="4"/>
  <c r="N79" i="4" s="1"/>
  <c r="Q79" i="4" s="1"/>
  <c r="I92" i="4"/>
  <c r="L92" i="4" s="1"/>
  <c r="I100" i="4"/>
  <c r="I103" i="4"/>
  <c r="I107" i="4"/>
  <c r="I109" i="4"/>
  <c r="I110" i="4"/>
  <c r="I117" i="4"/>
  <c r="I124" i="4"/>
  <c r="I72" i="4"/>
  <c r="L72" i="4" s="1"/>
  <c r="I106" i="4"/>
  <c r="I71" i="4"/>
  <c r="N71" i="4" s="1"/>
  <c r="Q71" i="4" s="1"/>
  <c r="I75" i="4"/>
  <c r="N75" i="4" s="1"/>
  <c r="Q75" i="4" s="1"/>
  <c r="I80" i="4"/>
  <c r="L80" i="4" s="1"/>
  <c r="I83" i="4"/>
  <c r="N83" i="4" s="1"/>
  <c r="Q83" i="4" s="1"/>
  <c r="I86" i="4"/>
  <c r="I88" i="4"/>
  <c r="N88" i="4" s="1"/>
  <c r="Q88" i="4" s="1"/>
  <c r="I94" i="4"/>
  <c r="N94" i="4" s="1"/>
  <c r="Q94" i="4" s="1"/>
  <c r="I95" i="4"/>
  <c r="I98" i="4"/>
  <c r="I101" i="4"/>
  <c r="I118" i="4"/>
  <c r="I127" i="4"/>
  <c r="L127" i="4" s="1"/>
  <c r="M127" i="4" s="1"/>
  <c r="I73" i="4"/>
  <c r="L73" i="4" s="1"/>
  <c r="I74" i="4"/>
  <c r="I78" i="4"/>
  <c r="N78" i="4" s="1"/>
  <c r="Q78" i="4" s="1"/>
  <c r="I82" i="4"/>
  <c r="N82" i="4" s="1"/>
  <c r="Q82" i="4" s="1"/>
  <c r="I85" i="4"/>
  <c r="N85" i="4" s="1"/>
  <c r="Q85" i="4" s="1"/>
  <c r="I93" i="4"/>
  <c r="N93" i="4" s="1"/>
  <c r="Q93" i="4" s="1"/>
  <c r="I112" i="4"/>
  <c r="I114" i="4"/>
  <c r="N114" i="4" s="1"/>
  <c r="Q114" i="4" s="1"/>
  <c r="I121" i="4"/>
  <c r="N121" i="4" s="1"/>
  <c r="Q121" i="4" s="1"/>
  <c r="I122" i="4"/>
  <c r="I84" i="4"/>
  <c r="L84" i="4" s="1"/>
  <c r="I87" i="4"/>
  <c r="I91" i="4"/>
  <c r="N91" i="4" s="1"/>
  <c r="Q91" i="4" s="1"/>
  <c r="I97" i="4"/>
  <c r="I105" i="4"/>
  <c r="I116" i="4"/>
  <c r="N116" i="4" s="1"/>
  <c r="Q116" i="4" s="1"/>
  <c r="I126" i="4"/>
  <c r="L105" i="4"/>
  <c r="N105" i="4"/>
  <c r="Q105" i="4"/>
  <c r="L121" i="4"/>
  <c r="M121" i="4" s="1"/>
  <c r="L85" i="4"/>
  <c r="N101" i="4"/>
  <c r="Q101" i="4"/>
  <c r="L101" i="4"/>
  <c r="L106" i="4"/>
  <c r="N106" i="4"/>
  <c r="Q106" i="4"/>
  <c r="N124" i="4"/>
  <c r="Q124" i="4"/>
  <c r="N107" i="4"/>
  <c r="Q107" i="4"/>
  <c r="L107" i="4"/>
  <c r="M107" i="4" s="1"/>
  <c r="N108" i="4"/>
  <c r="Q108" i="4"/>
  <c r="L108" i="4"/>
  <c r="M108" i="4" s="1"/>
  <c r="N96" i="4"/>
  <c r="Q96" i="4" s="1"/>
  <c r="N77" i="4"/>
  <c r="Q77" i="4" s="1"/>
  <c r="L77" i="4"/>
  <c r="N97" i="4"/>
  <c r="Q97" i="4"/>
  <c r="N98" i="4"/>
  <c r="Q98" i="4"/>
  <c r="L98" i="4"/>
  <c r="N86" i="4"/>
  <c r="Q86" i="4" s="1"/>
  <c r="L71" i="4"/>
  <c r="M71" i="4" s="1"/>
  <c r="N117" i="4"/>
  <c r="Q117" i="4"/>
  <c r="L117" i="4"/>
  <c r="N103" i="4"/>
  <c r="Q103" i="4"/>
  <c r="L103" i="4"/>
  <c r="L125" i="4"/>
  <c r="N125" i="4"/>
  <c r="Q125" i="4"/>
  <c r="N115" i="4"/>
  <c r="Q115" i="4"/>
  <c r="L115" i="4"/>
  <c r="M115" i="4" s="1"/>
  <c r="L104" i="4"/>
  <c r="N104" i="4"/>
  <c r="Q104" i="4"/>
  <c r="N76" i="4"/>
  <c r="Q76" i="4" s="1"/>
  <c r="L76" i="4"/>
  <c r="N126" i="4"/>
  <c r="Q126" i="4"/>
  <c r="L126" i="4"/>
  <c r="M126" i="4" s="1"/>
  <c r="L112" i="4"/>
  <c r="N112" i="4"/>
  <c r="Q112" i="4"/>
  <c r="N95" i="4"/>
  <c r="Q95" i="4" s="1"/>
  <c r="L95" i="4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7" i="4"/>
  <c r="Q87" i="4" s="1"/>
  <c r="N122" i="4"/>
  <c r="Q122" i="4"/>
  <c r="L122" i="4"/>
  <c r="N74" i="4"/>
  <c r="Q74" i="4" s="1"/>
  <c r="L74" i="4"/>
  <c r="N118" i="4"/>
  <c r="Q118" i="4"/>
  <c r="L118" i="4"/>
  <c r="L94" i="4"/>
  <c r="N109" i="4"/>
  <c r="Q109" i="4"/>
  <c r="L109" i="4"/>
  <c r="N120" i="4"/>
  <c r="Q120" i="4"/>
  <c r="L120" i="4"/>
  <c r="M120" i="4" s="1"/>
  <c r="N111" i="4"/>
  <c r="Q111" i="4"/>
  <c r="L111" i="4"/>
  <c r="N99" i="4"/>
  <c r="Q99" i="4"/>
  <c r="L99" i="4"/>
  <c r="L81" i="4"/>
  <c r="N81" i="4"/>
  <c r="Q81" i="4" s="1"/>
  <c r="M92" i="4" l="1"/>
  <c r="O77" i="4"/>
  <c r="P77" i="4" s="1"/>
  <c r="M73" i="4"/>
  <c r="M90" i="4"/>
  <c r="O86" i="4"/>
  <c r="P86" i="4" s="1"/>
  <c r="N73" i="4"/>
  <c r="Q73" i="4" s="1"/>
  <c r="O73" i="4"/>
  <c r="P73" i="4" s="1"/>
  <c r="O81" i="4"/>
  <c r="P81" i="4" s="1"/>
  <c r="M80" i="4"/>
  <c r="M84" i="4"/>
  <c r="L116" i="4"/>
  <c r="M116" i="4" s="1"/>
  <c r="N127" i="4"/>
  <c r="Q127" i="4" s="1"/>
  <c r="L119" i="4"/>
  <c r="M119" i="4" s="1"/>
  <c r="O72" i="4"/>
  <c r="P72" i="4" s="1"/>
  <c r="N92" i="4"/>
  <c r="Q92" i="4" s="1"/>
  <c r="O89" i="4"/>
  <c r="P89" i="4" s="1"/>
  <c r="O97" i="4"/>
  <c r="P97" i="4" s="1"/>
  <c r="M97" i="4"/>
  <c r="M81" i="4"/>
  <c r="M72" i="4"/>
  <c r="O76" i="4"/>
  <c r="P76" i="4" s="1"/>
  <c r="L114" i="4"/>
  <c r="M114" i="4" s="1"/>
  <c r="O94" i="4"/>
  <c r="P94" i="4" s="1"/>
  <c r="L82" i="4"/>
  <c r="L75" i="4"/>
  <c r="O92" i="4"/>
  <c r="P92" i="4" s="1"/>
  <c r="O83" i="4"/>
  <c r="P83" i="4" s="1"/>
  <c r="M74" i="4"/>
  <c r="L91" i="4"/>
  <c r="M91" i="4" s="1"/>
  <c r="O93" i="4"/>
  <c r="P93" i="4" s="1"/>
  <c r="M85" i="4"/>
  <c r="O78" i="4"/>
  <c r="P78" i="4" s="1"/>
  <c r="L124" i="4"/>
  <c r="M124" i="4" s="1"/>
  <c r="O80" i="4"/>
  <c r="P80" i="4" s="1"/>
  <c r="M94" i="4"/>
  <c r="L78" i="4"/>
  <c r="O96" i="4"/>
  <c r="P96" i="4" s="1"/>
  <c r="L79" i="4"/>
  <c r="O75" i="4"/>
  <c r="P75" i="4" s="1"/>
  <c r="L83" i="4"/>
  <c r="M87" i="4"/>
  <c r="M77" i="4"/>
  <c r="M95" i="4"/>
  <c r="M76" i="4"/>
  <c r="O74" i="4"/>
  <c r="P74" i="4" s="1"/>
  <c r="O82" i="4"/>
  <c r="P82" i="4" s="1"/>
  <c r="O84" i="4"/>
  <c r="P84" i="4" s="1"/>
  <c r="L86" i="4"/>
  <c r="O79" i="4"/>
  <c r="P79" i="4" s="1"/>
  <c r="O88" i="4"/>
  <c r="P88" i="4" s="1"/>
  <c r="O95" i="4"/>
  <c r="P95" i="4" s="1"/>
  <c r="O85" i="4"/>
  <c r="P85" i="4" s="1"/>
  <c r="L93" i="4"/>
  <c r="L89" i="4"/>
  <c r="L88" i="4"/>
  <c r="N80" i="4"/>
  <c r="Q80" i="4" s="1"/>
  <c r="N72" i="4"/>
  <c r="Q72" i="4" s="1"/>
  <c r="L96" i="4"/>
  <c r="K90" i="4"/>
  <c r="N84" i="4"/>
  <c r="Q84" i="4" s="1"/>
  <c r="K87" i="4"/>
  <c r="J14" i="4"/>
  <c r="J13" i="4" s="1"/>
  <c r="K16" i="4" s="1"/>
  <c r="O90" i="4" l="1"/>
  <c r="P90" i="4" s="1"/>
  <c r="M83" i="4"/>
  <c r="M88" i="4"/>
  <c r="M93" i="4"/>
  <c r="M89" i="4"/>
  <c r="M79" i="4"/>
  <c r="M86" i="4"/>
  <c r="M78" i="4"/>
  <c r="M75" i="4"/>
  <c r="M96" i="4"/>
  <c r="M82" i="4"/>
  <c r="O87" i="4"/>
  <c r="P87" i="4" s="1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O64" i="4" l="1"/>
  <c r="P64" i="4" s="1"/>
  <c r="M58" i="4"/>
  <c r="M57" i="4"/>
  <c r="M64" i="4"/>
  <c r="M69" i="4"/>
  <c r="O69" i="4"/>
  <c r="P69" i="4" s="1"/>
  <c r="O65" i="4"/>
  <c r="P65" i="4" s="1"/>
  <c r="O66" i="4"/>
  <c r="P66" i="4" s="1"/>
  <c r="M65" i="4"/>
  <c r="M66" i="4"/>
  <c r="O67" i="4"/>
  <c r="P67" i="4" s="1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J45" i="4" s="1"/>
  <c r="K20" i="4"/>
  <c r="Q50" i="4"/>
  <c r="Q52" i="4"/>
  <c r="J52" i="4"/>
  <c r="J49" i="4"/>
  <c r="J39" i="4"/>
  <c r="J53" i="4"/>
  <c r="J54" i="4"/>
  <c r="J50" i="4"/>
  <c r="J48" i="4"/>
  <c r="J51" i="4"/>
  <c r="Q54" i="4"/>
  <c r="Q51" i="4"/>
  <c r="Q49" i="4"/>
  <c r="J30" i="4" l="1"/>
  <c r="K30" i="4" s="1"/>
  <c r="J43" i="4"/>
  <c r="L43" i="4" s="1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L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K47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M48" i="4" l="1"/>
  <c r="O49" i="4"/>
  <c r="P49" i="4" s="1"/>
  <c r="M49" i="4"/>
  <c r="K35" i="4"/>
  <c r="O48" i="4"/>
  <c r="P48" i="4" s="1"/>
  <c r="K43" i="4"/>
  <c r="L30" i="4"/>
  <c r="O30" i="4"/>
  <c r="P30" i="4" s="1"/>
  <c r="O45" i="4"/>
  <c r="P45" i="4" s="1"/>
  <c r="M45" i="4"/>
  <c r="M35" i="4"/>
  <c r="O28" i="4"/>
  <c r="P28" i="4" s="1"/>
  <c r="O39" i="4"/>
  <c r="P39" i="4" s="1"/>
  <c r="M39" i="4"/>
  <c r="O47" i="4"/>
  <c r="P47" i="4" s="1"/>
  <c r="M47" i="4"/>
  <c r="O31" i="4"/>
  <c r="P31" i="4" s="1"/>
  <c r="M43" i="4"/>
  <c r="O46" i="4"/>
  <c r="P46" i="4" s="1"/>
  <c r="M44" i="4"/>
  <c r="K36" i="4"/>
  <c r="M31" i="4"/>
  <c r="O43" i="4"/>
  <c r="P43" i="4" s="1"/>
  <c r="O33" i="4"/>
  <c r="P33" i="4" s="1"/>
  <c r="K44" i="4"/>
  <c r="O41" i="4"/>
  <c r="P41" i="4" s="1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6" i="4"/>
  <c r="K40" i="4"/>
  <c r="K32" i="4"/>
  <c r="L28" i="4"/>
  <c r="O35" i="4" l="1"/>
  <c r="P35" i="4" s="1"/>
  <c r="M30" i="4"/>
  <c r="O44" i="4"/>
  <c r="P44" i="4" s="1"/>
  <c r="O29" i="4"/>
  <c r="P29" i="4" s="1"/>
  <c r="O32" i="4"/>
  <c r="P32" i="4" s="1"/>
  <c r="O38" i="4"/>
  <c r="P38" i="4" s="1"/>
  <c r="O40" i="4"/>
  <c r="P40" i="4" s="1"/>
  <c r="O34" i="4"/>
  <c r="P34" i="4" s="1"/>
  <c r="O42" i="4"/>
  <c r="P42" i="4" s="1"/>
  <c r="M41" i="4"/>
  <c r="O37" i="4"/>
  <c r="P37" i="4" s="1"/>
  <c r="M33" i="4"/>
  <c r="M46" i="4"/>
  <c r="O36" i="4"/>
  <c r="P36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<sst xmlns="http://schemas.openxmlformats.org/spreadsheetml/2006/main" count="318" uniqueCount="294">
  <si>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</si>
  <si>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</si>
  <si>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</si>
  <si>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</si>
  <si>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</si>
  <si>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</si>
  <si>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</si>
  <si>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</si>
  <si>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</si>
  <si>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</si>
  <si>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</si>
  <si>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</si>
  <si>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</si>
  <si>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</si>
  <si>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</si>
  <si>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</si>
  <si>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</si>
  <si>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</si>
  <si>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</si>
  <si>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</si>
  <si>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</si>
  <si>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</si>
  <si>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</si>
  <si>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</si>
  <si>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</si>
  <si>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</si>
  <si>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</si>
  <si>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</si>
  <si>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</si>
  <si>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</si>
  <si>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</si>
  <si>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</si>
  <si>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</si>
  <si>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</si>
  <si>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</si>
  <si>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</si>
  <si>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</si>
  <si>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</si>
  <si>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</si>
  <si>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</si>
  <si>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</si>
  <si>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</si>
  <si>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</si>
  <si>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</si>
  <si>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</si>
  <si>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</si>
  <si>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</si>
  <si>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</si>
  <si>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</si>
  <si>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</si>
  <si>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</si>
  <si>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</si>
  <si>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</si>
  <si>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</si>
  <si>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</si>
  <si>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</si>
  <si>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</si>
  <si>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</si>
  <si>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</si>
  <si>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</si>
  <si>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</si>
  <si>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</si>
  <si>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</si>
  <si>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</si>
  <si>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</si>
  <si>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</si>
  <si>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</si>
  <si>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</si>
  <si>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</si>
  <si>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</si>
  <si>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</si>
  <si>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</si>
  <si>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</si>
  <si>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</si>
  <si>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</si>
  <si>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</si>
  <si>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</si>
  <si>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</si>
  <si>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</si>
  <si>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</si>
  <si>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</si>
  <si>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</si>
  <si>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</si>
  <si>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</si>
  <si>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</si>
  <si>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</si>
  <si>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</si>
  <si>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</si>
  <si>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</si>
  <si>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</si>
  <si>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</si>
  <si>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</si>
  <si>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</si>
  <si>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</si>
  <si>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</si>
  <si>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</si>
  <si>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</si>
  <si>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</si>
  <si>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</si>
  <si>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</si>
  <si>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</si>
  <si>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</si>
  <si>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</si>
  <si>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</si>
  <si>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</si>
  <si>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</si>
  <si>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</si>
  <si>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</si>
  <si>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</si>
  <si>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</si>
  <si>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</si>
  <si>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Rat cerebellar granule cell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</si>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</sst>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J15" sqref="J15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111</v>
      </c>
      <c r="K17" s="31" t="s">
        <v>79</v>
      </c>
      <c r="L17" s="81">
        <v>4.6260000000000035E-5</v>
      </c>
      <c r="M17" s="81">
        <v>7.4529999999999993E-5</v>
      </c>
      <c r="N17" s="81">
        <v>2.4492099999999998E-3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20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40"/>
      <c r="H1" s="14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40"/>
      <c r="H2" s="140"/>
      <c r="I2" s="153" t="s">
        <v>19</v>
      </c>
      <c r="J2" s="154"/>
      <c r="K2" s="154"/>
      <c r="L2" s="154"/>
      <c r="M2" s="154"/>
      <c r="N2" s="154"/>
      <c r="O2" s="154"/>
      <c r="P2" s="154"/>
      <c r="Q2" s="15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40"/>
      <c r="H3" s="140"/>
      <c r="I3" s="156"/>
      <c r="J3" s="157"/>
      <c r="K3" s="157"/>
      <c r="L3" s="157"/>
      <c r="M3" s="157"/>
      <c r="N3" s="157"/>
      <c r="O3" s="157"/>
      <c r="P3" s="157"/>
      <c r="Q3" s="15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40"/>
      <c r="H4" s="140"/>
      <c r="I4" s="159"/>
      <c r="J4" s="160"/>
      <c r="K4" s="160"/>
      <c r="L4" s="160"/>
      <c r="M4" s="160"/>
      <c r="N4" s="160"/>
      <c r="O4" s="160"/>
      <c r="P4" s="160"/>
      <c r="Q4" s="16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40"/>
      <c r="H5" s="140"/>
      <c r="I5" s="162" t="s">
        <v>38</v>
      </c>
      <c r="J5" s="163"/>
      <c r="K5" s="163"/>
      <c r="L5" s="163"/>
      <c r="M5" s="163"/>
      <c r="N5" s="163"/>
      <c r="O5" s="163"/>
      <c r="P5" s="163"/>
      <c r="Q5" s="16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40"/>
      <c r="H6" s="140"/>
      <c r="I6" s="49" t="s">
        <v>49</v>
      </c>
      <c r="J6" s="49" t="s">
        <v>50</v>
      </c>
      <c r="K6" s="49" t="s">
        <v>46</v>
      </c>
      <c r="L6" s="132" t="s">
        <v>39</v>
      </c>
      <c r="M6" s="133"/>
      <c r="N6" s="133"/>
      <c r="O6" s="133"/>
      <c r="P6" s="133"/>
      <c r="Q6" s="134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40"/>
      <c r="H7" s="140"/>
      <c r="I7" s="50" t="s">
        <v>20</v>
      </c>
      <c r="J7" s="37">
        <f>SUM(J13,J19)</f>
        <v>150.0514</v>
      </c>
      <c r="K7" s="38">
        <f>J7/J7</f>
        <v>1</v>
      </c>
      <c r="L7" s="115" t="s">
        <v>68</v>
      </c>
      <c r="M7" s="116"/>
      <c r="N7" s="116"/>
      <c r="O7" s="116"/>
      <c r="P7" s="116"/>
      <c r="Q7" s="11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8" t="s">
        <v>3</v>
      </c>
      <c r="C8" s="179"/>
      <c r="D8" s="179"/>
      <c r="E8" s="179"/>
      <c r="F8" s="180"/>
      <c r="G8" s="140"/>
      <c r="H8" s="140"/>
      <c r="I8" s="51" t="s">
        <v>6</v>
      </c>
      <c r="J8" s="37">
        <f>SUM(J14,J20)</f>
        <v>149.22392520000002</v>
      </c>
      <c r="K8" s="39">
        <f>J8/J7</f>
        <v>0.99448539100601541</v>
      </c>
      <c r="L8" s="115" t="s">
        <v>69</v>
      </c>
      <c r="M8" s="116"/>
      <c r="N8" s="116"/>
      <c r="O8" s="116"/>
      <c r="P8" s="116"/>
      <c r="Q8" s="11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81"/>
      <c r="C9" s="182"/>
      <c r="D9" s="182"/>
      <c r="E9" s="182"/>
      <c r="F9" s="183"/>
      <c r="G9" s="140"/>
      <c r="H9" s="140"/>
      <c r="I9" s="50" t="s">
        <v>8</v>
      </c>
      <c r="J9" s="40">
        <f t="shared" ref="J9:J10" si="0">SUM(J15,J21)</f>
        <v>0.72149060000000009</v>
      </c>
      <c r="K9" s="39">
        <f>J9/J7</f>
        <v>4.808289692731958E-3</v>
      </c>
      <c r="L9" s="115" t="s">
        <v>69</v>
      </c>
      <c r="M9" s="116"/>
      <c r="N9" s="116"/>
      <c r="O9" s="116"/>
      <c r="P9" s="116"/>
      <c r="Q9" s="11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4"/>
      <c r="C10" s="185"/>
      <c r="D10" s="185"/>
      <c r="E10" s="185"/>
      <c r="F10" s="186"/>
      <c r="G10" s="140"/>
      <c r="H10" s="140"/>
      <c r="I10" s="51" t="s">
        <v>9</v>
      </c>
      <c r="J10" s="40">
        <f t="shared" si="0"/>
        <v>0.1059842</v>
      </c>
      <c r="K10" s="39">
        <f>J10/J7</f>
        <v>7.0631930125277073E-4</v>
      </c>
      <c r="L10" s="115" t="s">
        <v>69</v>
      </c>
      <c r="M10" s="116"/>
      <c r="N10" s="116"/>
      <c r="O10" s="116"/>
      <c r="P10" s="116"/>
      <c r="Q10" s="11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3" t="s">
        <v>36</v>
      </c>
      <c r="C11" s="144"/>
      <c r="D11" s="144"/>
      <c r="E11" s="144"/>
      <c r="F11" s="145"/>
      <c r="G11" s="140"/>
      <c r="H11" s="140"/>
      <c r="I11" s="131"/>
      <c r="J11" s="131"/>
      <c r="K11" s="131"/>
      <c r="L11" s="131"/>
      <c r="M11" s="131"/>
      <c r="N11" s="131"/>
      <c r="O11" s="131"/>
      <c r="P11" s="131"/>
      <c r="Q11" s="131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6"/>
      <c r="C12" s="147"/>
      <c r="D12" s="147"/>
      <c r="E12" s="147"/>
      <c r="F12" s="148"/>
      <c r="G12" s="140"/>
      <c r="H12" s="140"/>
      <c r="I12" s="49" t="s">
        <v>51</v>
      </c>
      <c r="J12" s="49" t="s">
        <v>50</v>
      </c>
      <c r="K12" s="49" t="s">
        <v>46</v>
      </c>
      <c r="L12" s="132" t="s">
        <v>39</v>
      </c>
      <c r="M12" s="133"/>
      <c r="N12" s="133"/>
      <c r="O12" s="133"/>
      <c r="P12" s="133"/>
      <c r="Q12" s="134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5" t="s">
        <v>4</v>
      </c>
      <c r="C13" s="136"/>
      <c r="D13" s="168" t="s">
        <v>39</v>
      </c>
      <c r="E13" s="168"/>
      <c r="F13" s="168"/>
      <c r="G13" s="140"/>
      <c r="H13" s="140"/>
      <c r="I13" s="50" t="s">
        <v>5</v>
      </c>
      <c r="J13" s="41">
        <f>SUM(J14:J16)</f>
        <v>150</v>
      </c>
      <c r="K13" s="38">
        <f>J13/J13</f>
        <v>1</v>
      </c>
      <c r="L13" s="115" t="s">
        <v>71</v>
      </c>
      <c r="M13" s="116"/>
      <c r="N13" s="116"/>
      <c r="O13" s="116"/>
      <c r="P13" s="116"/>
      <c r="Q13" s="11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150</v>
      </c>
      <c r="D14" s="169" t="s">
        <v>17</v>
      </c>
      <c r="E14" s="169"/>
      <c r="F14" s="169"/>
      <c r="G14" s="140"/>
      <c r="H14" s="140"/>
      <c r="I14" s="51" t="s">
        <v>43</v>
      </c>
      <c r="J14" s="41">
        <f>C14-SUM(J15:J16)</f>
        <v>149.22300000000001</v>
      </c>
      <c r="K14" s="39">
        <f>J14/J13</f>
        <v>0.99482000000000004</v>
      </c>
      <c r="L14" s="137" t="s">
        <v>70</v>
      </c>
      <c r="M14" s="138"/>
      <c r="N14" s="138"/>
      <c r="O14" s="138"/>
      <c r="P14" s="138"/>
      <c r="Q14" s="139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70" t="s">
        <v>60</v>
      </c>
      <c r="E15" s="170"/>
      <c r="F15" s="170"/>
      <c r="G15" s="140"/>
      <c r="H15" s="14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0.72000000000000008</v>
      </c>
      <c r="K15" s="39">
        <f>J15/J13</f>
        <v>4.8000000000000004E-3</v>
      </c>
      <c r="L15" s="115" t="s">
        <v>69</v>
      </c>
      <c r="M15" s="116"/>
      <c r="N15" s="116"/>
      <c r="O15" s="116"/>
      <c r="P15" s="116"/>
      <c r="Q15" s="11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0.8</v>
      </c>
      <c r="D16" s="171" t="s">
        <v>40</v>
      </c>
      <c r="E16" s="172"/>
      <c r="F16" s="173"/>
      <c r="G16" s="140"/>
      <c r="H16" s="14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5.6999999999999995E-2</v>
      </c>
      <c r="K16" s="39">
        <f>J16/J13</f>
        <v>3.7999999999999997E-4</v>
      </c>
      <c r="L16" s="115" t="s">
        <v>69</v>
      </c>
      <c r="M16" s="116"/>
      <c r="N16" s="116"/>
      <c r="O16" s="116"/>
      <c r="P16" s="116"/>
      <c r="Q16" s="11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74" t="s">
        <v>61</v>
      </c>
      <c r="E17" s="175"/>
      <c r="F17" s="176"/>
      <c r="G17" s="140"/>
      <c r="H17" s="140"/>
      <c r="I17" s="137"/>
      <c r="J17" s="138"/>
      <c r="K17" s="138"/>
      <c r="L17" s="138"/>
      <c r="M17" s="138"/>
      <c r="N17" s="138"/>
      <c r="O17" s="138"/>
      <c r="P17" s="138"/>
      <c r="Q17" s="139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0.2</v>
      </c>
      <c r="D18" s="171" t="s">
        <v>41</v>
      </c>
      <c r="E18" s="172"/>
      <c r="F18" s="173"/>
      <c r="G18" s="140"/>
      <c r="H18" s="140"/>
      <c r="I18" s="49" t="s">
        <v>29</v>
      </c>
      <c r="J18" s="49" t="s">
        <v>50</v>
      </c>
      <c r="K18" s="49" t="s">
        <v>46</v>
      </c>
      <c r="L18" s="132" t="s">
        <v>39</v>
      </c>
      <c r="M18" s="133"/>
      <c r="N18" s="133"/>
      <c r="O18" s="133"/>
      <c r="P18" s="133"/>
      <c r="Q18" s="134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70"/>
      <c r="C19" s="170"/>
      <c r="D19" s="170"/>
      <c r="E19" s="170"/>
      <c r="F19" s="170"/>
      <c r="G19" s="140"/>
      <c r="H19" s="140"/>
      <c r="I19" s="50" t="s">
        <v>5</v>
      </c>
      <c r="J19" s="41">
        <f>SUM(J20:J22)</f>
        <v>5.1400000000000001E-2</v>
      </c>
      <c r="K19" s="38">
        <f>J19/J19</f>
        <v>1</v>
      </c>
      <c r="L19" s="115" t="s">
        <v>55</v>
      </c>
      <c r="M19" s="116"/>
      <c r="N19" s="116"/>
      <c r="O19" s="116"/>
      <c r="P19" s="116"/>
      <c r="Q19" s="11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5" t="s">
        <v>7</v>
      </c>
      <c r="C20" s="136"/>
      <c r="D20" s="168" t="s">
        <v>39</v>
      </c>
      <c r="E20" s="168"/>
      <c r="F20" s="168"/>
      <c r="G20" s="140"/>
      <c r="H20" s="14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9.252000000000007E-4</v>
      </c>
      <c r="K20" s="39">
        <f>J20/J19</f>
        <v>1.8000000000000013E-2</v>
      </c>
      <c r="L20" s="115" t="s">
        <v>69</v>
      </c>
      <c r="M20" s="116"/>
      <c r="N20" s="116"/>
      <c r="O20" s="116"/>
      <c r="P20" s="116"/>
      <c r="Q20" s="11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74" t="s">
        <v>61</v>
      </c>
      <c r="E21" s="175"/>
      <c r="F21" s="176"/>
      <c r="G21" s="140"/>
      <c r="H21" s="14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1.4905999999999999E-3</v>
      </c>
      <c r="K21" s="39">
        <f>J21/J19</f>
        <v>2.8999999999999998E-2</v>
      </c>
      <c r="L21" s="115" t="s">
        <v>69</v>
      </c>
      <c r="M21" s="116"/>
      <c r="N21" s="116"/>
      <c r="O21" s="116"/>
      <c r="P21" s="116"/>
      <c r="Q21" s="11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20000</v>
      </c>
      <c r="D22" s="177" t="s">
        <v>67</v>
      </c>
      <c r="E22" s="177"/>
      <c r="F22" s="177"/>
      <c r="G22" s="140"/>
      <c r="H22" s="14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4.8984199999999999E-2</v>
      </c>
      <c r="K22" s="39">
        <f>J22/J19</f>
        <v>0.95299999999999996</v>
      </c>
      <c r="L22" s="115" t="s">
        <v>69</v>
      </c>
      <c r="M22" s="116"/>
      <c r="N22" s="116"/>
      <c r="O22" s="116"/>
      <c r="P22" s="116"/>
      <c r="Q22" s="11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5"/>
      <c r="C23" s="166"/>
      <c r="D23" s="166"/>
      <c r="E23" s="166"/>
      <c r="F23" s="167"/>
      <c r="G23" s="140"/>
      <c r="H23" s="140"/>
      <c r="I23" s="126"/>
      <c r="J23" s="127"/>
      <c r="K23" s="127"/>
      <c r="L23" s="127"/>
      <c r="M23" s="127"/>
      <c r="N23" s="127"/>
      <c r="O23" s="127"/>
      <c r="P23" s="127"/>
      <c r="Q23" s="128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3" t="s">
        <v>37</v>
      </c>
      <c r="C24" s="144"/>
      <c r="D24" s="144"/>
      <c r="E24" s="144"/>
      <c r="F24" s="145"/>
      <c r="G24" s="140"/>
      <c r="H24" s="140"/>
      <c r="I24" s="120" t="s">
        <v>42</v>
      </c>
      <c r="J24" s="121"/>
      <c r="K24" s="121"/>
      <c r="L24" s="121"/>
      <c r="M24" s="121"/>
      <c r="N24" s="121"/>
      <c r="O24" s="121"/>
      <c r="P24" s="121"/>
      <c r="Q24" s="122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6"/>
      <c r="C25" s="147"/>
      <c r="D25" s="147"/>
      <c r="E25" s="147"/>
      <c r="F25" s="148"/>
      <c r="G25" s="140"/>
      <c r="H25" s="140"/>
      <c r="I25" s="123"/>
      <c r="J25" s="124"/>
      <c r="K25" s="124"/>
      <c r="L25" s="124"/>
      <c r="M25" s="124"/>
      <c r="N25" s="124"/>
      <c r="O25" s="124"/>
      <c r="P25" s="124"/>
      <c r="Q25" s="125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41" t="s">
        <v>11</v>
      </c>
      <c r="C26" s="141" t="s">
        <v>12</v>
      </c>
      <c r="D26" s="149" t="s">
        <v>47</v>
      </c>
      <c r="E26" s="149" t="s">
        <v>48</v>
      </c>
      <c r="F26" s="151" t="s">
        <v>66</v>
      </c>
      <c r="G26" s="140"/>
      <c r="H26" s="140"/>
      <c r="I26" s="129" t="s">
        <v>53</v>
      </c>
      <c r="J26" s="129" t="s">
        <v>54</v>
      </c>
      <c r="K26" s="118" t="s">
        <v>73</v>
      </c>
      <c r="L26" s="118" t="s">
        <v>52</v>
      </c>
      <c r="M26" s="118" t="s">
        <v>59</v>
      </c>
      <c r="N26" s="118" t="s">
        <v>62</v>
      </c>
      <c r="O26" s="118" t="s">
        <v>72</v>
      </c>
      <c r="P26" s="118" t="s">
        <v>64</v>
      </c>
      <c r="Q26" s="118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2"/>
      <c r="C27" s="142"/>
      <c r="D27" s="150"/>
      <c r="E27" s="150"/>
      <c r="F27" s="152"/>
      <c r="G27" s="140"/>
      <c r="H27" s="140"/>
      <c r="I27" s="130"/>
      <c r="J27" s="130"/>
      <c r="K27" s="119"/>
      <c r="L27" s="119"/>
      <c r="M27" s="119"/>
      <c r="N27" s="119"/>
      <c r="O27" s="119"/>
      <c r="P27" s="119"/>
      <c r="Q27" s="119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114</v>
      </c>
      <c r="C28" s="46" t="s">
        <v>115</v>
      </c>
      <c r="D28" s="47">
        <v>1.6437199999999998</v>
      </c>
      <c r="E28" s="47">
        <v>1.9024449999999995</v>
      </c>
      <c r="F28" s="98">
        <v>9.9999999999999995E-7</v>
      </c>
      <c r="G28" s="140"/>
      <c r="H28" s="140"/>
      <c r="I28" s="94">
        <f t="shared" ref="I28:I47" si="1">IF(D28=0,"",LOG($K$15*10^D28+$K$16*10^E28+$K$14))</f>
        <v>9.2195850977354138E-2</v>
      </c>
      <c r="J28" s="94">
        <f t="shared" ref="J28:J47" si="2">IF(D28=0,"",LOG($K$21*10^D28+$K$22*10^E28+$K$20))</f>
        <v>1.8888623824539965</v>
      </c>
      <c r="K28" s="95">
        <f t="shared" ref="K28:K47" si="3">IF(D28=0,"",1/(1+10^D28*$J$15/$J$14+10^E28*$J$16/$J$14+10^J28*$J$19/$J$14))</f>
        <v>0.78764262487097136</v>
      </c>
      <c r="L28" s="95">
        <f t="shared" ref="L28:L47" si="4">IF(D28=0,"",1/(1+10^I28/10^J28*$J$13/$J$19))</f>
        <v>2.1004819090531864E-2</v>
      </c>
      <c r="M28" s="95">
        <f t="shared" ref="M28:M47" si="5">IF(D28=0,"",1-L28)</f>
        <v>0.97899518090946813</v>
      </c>
      <c r="N28" s="95">
        <f t="shared" ref="N28:N47" si="6">IF(D28=0,"",1/(1/10^E28*$J$20/$J$22+10^D28/10^E28*$J$21/$J$22+10^I28/10^E28*$J$13/$J$22+1))</f>
        <v>2.0653538264470223E-2</v>
      </c>
      <c r="O28" s="40">
        <f t="shared" ref="O28:O47" si="7">IF(D28=0,"",F28*K28*$J$7/$J$14)</f>
        <v>7.9201516228439348E-7</v>
      </c>
      <c r="P28" s="40">
        <f t="shared" ref="P28:P47" si="8">IF(D28=0,"",O28*10^J28)</f>
        <v>6.1319115005467552E-5</v>
      </c>
      <c r="Q28" s="40">
        <f t="shared" ref="Q28:Q47" si="9">IF(D28=0,"",F28*N28*$J$7/$J$22)</f>
        <v>6.3267182714780022E-5</v>
      </c>
      <c r="R28" s="9">
        <f>F28*$C$14</f>
        <v>1.4999999999999999E-4</v>
      </c>
      <c r="S28" s="9">
        <f>$R28*L28</f>
        <v>3.1507228635797794E-6</v>
      </c>
      <c r="T28" s="9">
        <f t="shared" ref="T28:T49" si="10">R28*K28</f>
        <v>1.1814639373064569E-4</v>
      </c>
      <c r="U28" s="9">
        <f t="shared" ref="U28:U49" si="11">$R28*M28</f>
        <v>1.4684927713642021E-4</v>
      </c>
      <c r="V28" s="102">
        <f>K28/M28</f>
        <v>0.80454188154354978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116</v>
      </c>
      <c r="C29" s="46" t="s">
        <v>117</v>
      </c>
      <c r="D29" s="47">
        <v>4.7386560000000006</v>
      </c>
      <c r="E29" s="47">
        <v>5.8355820000000005</v>
      </c>
      <c r="F29" s="98">
        <v>9.9999999999999995E-7</v>
      </c>
      <c r="G29" s="140"/>
      <c r="H29" s="140"/>
      <c r="I29" s="94">
        <f t="shared" si="1"/>
        <v>2.7194923137791687</v>
      </c>
      <c r="J29" s="94">
        <f t="shared" si="2"/>
        <v>5.8157308430918091</v>
      </c>
      <c r="K29" s="95">
        <f t="shared" si="3"/>
        <v>1.3293026798253818E-3</v>
      </c>
      <c r="L29" s="95">
        <f t="shared" si="4"/>
        <v>0.29955879539333619</v>
      </c>
      <c r="M29" s="95">
        <f t="shared" si="5"/>
        <v>0.70044120460666381</v>
      </c>
      <c r="N29" s="95">
        <f t="shared" si="6"/>
        <v>0.29883133366395326</v>
      </c>
      <c r="O29" s="40">
        <f t="shared" si="7"/>
        <v>1.3366822013466443E-9</v>
      </c>
      <c r="P29" s="40">
        <f t="shared" si="8"/>
        <v>8.7449837803664715E-4</v>
      </c>
      <c r="Q29" s="40">
        <f t="shared" si="9"/>
        <v>9.1539843419190909E-4</v>
      </c>
      <c r="R29" s="9">
        <f>F29*$C$14</f>
        <v>1.4999999999999999E-4</v>
      </c>
      <c r="S29" s="9">
        <f t="shared" ref="S29:S49" si="12">$R29*L29</f>
        <v>4.4933819309000423E-5</v>
      </c>
      <c r="T29" s="9">
        <f t="shared" si="10"/>
        <v>1.9939540197380725E-7</v>
      </c>
      <c r="U29" s="9">
        <f t="shared" si="11"/>
        <v>1.0506618069099956E-4</v>
      </c>
      <c r="V29" s="102">
        <f t="shared" ref="V29:V49" si="13">K29/M29</f>
        <v>1.8978076547793304E-3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118</v>
      </c>
      <c r="C30" s="46" t="s">
        <v>119</v>
      </c>
      <c r="D30" s="91">
        <v>7.1429999999999998</v>
      </c>
      <c r="E30" s="91">
        <v>9.299925</v>
      </c>
      <c r="F30" s="98">
        <v>9.9999999999999995E-7</v>
      </c>
      <c r="G30" s="140"/>
      <c r="H30" s="140"/>
      <c r="I30" s="94">
        <f t="shared" si="1"/>
        <v>5.9163420575972845</v>
      </c>
      <c r="J30" s="94">
        <f t="shared" si="2"/>
        <v>9.279109970691108</v>
      </c>
      <c r="K30" s="95">
        <f t="shared" si="3"/>
        <v>6.738198834084263E-7</v>
      </c>
      <c r="L30" s="95">
        <f t="shared" si="4"/>
        <v>0.44134798185620128</v>
      </c>
      <c r="M30" s="95">
        <f t="shared" si="5"/>
        <v>0.55865201814379872</v>
      </c>
      <c r="N30" s="95">
        <f t="shared" si="6"/>
        <v>0.44125442638474932</v>
      </c>
      <c r="O30" s="40">
        <f t="shared" si="7"/>
        <v>6.7756054263264459E-13</v>
      </c>
      <c r="P30" s="40">
        <f t="shared" si="8"/>
        <v>1.2884218397801108E-3</v>
      </c>
      <c r="Q30" s="40">
        <f t="shared" si="9"/>
        <v>1.3516775702211851E-3</v>
      </c>
      <c r="R30" s="9">
        <f t="shared" ref="R30:R49" si="14">F30*$C$14</f>
        <v>1.4999999999999999E-4</v>
      </c>
      <c r="S30" s="9">
        <f t="shared" si="12"/>
        <v>6.6202197278430192E-5</v>
      </c>
      <c r="T30" s="9">
        <f t="shared" si="10"/>
        <v>1.0107298251126393E-10</v>
      </c>
      <c r="U30" s="9">
        <f t="shared" si="11"/>
        <v>8.3797802721569795E-5</v>
      </c>
      <c r="V30" s="102">
        <f t="shared" si="13"/>
        <v>1.2061531356268778E-6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112</v>
      </c>
      <c r="C31" s="46" t="s">
        <v>113</v>
      </c>
      <c r="D31" s="47">
        <v>3.3511520000000004</v>
      </c>
      <c r="E31" s="47">
        <v>4.2962190000000007</v>
      </c>
      <c r="F31" s="98">
        <v>9.9999999999999995E-7</v>
      </c>
      <c r="G31" s="140"/>
      <c r="H31" s="140"/>
      <c r="I31" s="94">
        <f t="shared" si="1"/>
        <v>1.2852308448323728</v>
      </c>
      <c r="J31" s="94">
        <f t="shared" si="2"/>
        <v>4.2768094924983595</v>
      </c>
      <c r="K31" s="95">
        <f t="shared" si="3"/>
        <v>3.8608170997690539E-2</v>
      </c>
      <c r="L31" s="95">
        <f t="shared" si="4"/>
        <v>0.25154522213129277</v>
      </c>
      <c r="M31" s="95">
        <f t="shared" si="5"/>
        <v>0.74845477786870718</v>
      </c>
      <c r="N31" s="95">
        <f t="shared" si="6"/>
        <v>0.25067930436255309</v>
      </c>
      <c r="O31" s="40">
        <f t="shared" si="7"/>
        <v>3.8822501287622292E-8</v>
      </c>
      <c r="P31" s="40">
        <f t="shared" si="8"/>
        <v>7.3433293276481469E-4</v>
      </c>
      <c r="Q31" s="40">
        <f t="shared" si="9"/>
        <v>7.6789619041705681E-4</v>
      </c>
      <c r="R31" s="9">
        <f t="shared" si="14"/>
        <v>1.4999999999999999E-4</v>
      </c>
      <c r="S31" s="9">
        <f t="shared" si="12"/>
        <v>3.7731783319693914E-5</v>
      </c>
      <c r="T31" s="9">
        <f t="shared" si="10"/>
        <v>5.7912256496535807E-6</v>
      </c>
      <c r="U31" s="9">
        <f t="shared" si="11"/>
        <v>1.1226821668030607E-4</v>
      </c>
      <c r="V31" s="102">
        <f t="shared" si="13"/>
        <v>5.1583839317093823E-2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120</v>
      </c>
      <c r="C32" s="46" t="s">
        <v>121</v>
      </c>
      <c r="D32" s="47">
        <v>5.9183200000000005</v>
      </c>
      <c r="E32" s="47">
        <v>7.0401399999999992</v>
      </c>
      <c r="F32" s="98">
        <v>9.9999999999999995E-7</v>
      </c>
      <c r="G32" s="140"/>
      <c r="H32" s="140"/>
      <c r="I32" s="94">
        <f t="shared" si="1"/>
        <v>3.9109447814528924</v>
      </c>
      <c r="J32" s="94">
        <f t="shared" si="2"/>
        <v>7.0202300748795512</v>
      </c>
      <c r="K32" s="95">
        <f t="shared" si="3"/>
        <v>8.4766032464239909E-5</v>
      </c>
      <c r="L32" s="95">
        <f t="shared" si="4"/>
        <v>0.30589986349217113</v>
      </c>
      <c r="M32" s="95">
        <f t="shared" si="5"/>
        <v>0.69410013650782887</v>
      </c>
      <c r="N32" s="95">
        <f t="shared" si="6"/>
        <v>0.30519829911099144</v>
      </c>
      <c r="O32" s="40">
        <f t="shared" si="7"/>
        <v>8.5236604569702034E-11</v>
      </c>
      <c r="P32" s="40">
        <f t="shared" si="8"/>
        <v>8.9300978164998394E-4</v>
      </c>
      <c r="Q32" s="40">
        <f t="shared" si="9"/>
        <v>9.349021125020521E-4</v>
      </c>
      <c r="R32" s="9">
        <f t="shared" si="14"/>
        <v>1.4999999999999999E-4</v>
      </c>
      <c r="S32" s="9">
        <f t="shared" si="12"/>
        <v>4.5884979523825667E-5</v>
      </c>
      <c r="T32" s="9">
        <f t="shared" si="10"/>
        <v>1.2714904869635986E-8</v>
      </c>
      <c r="U32" s="9">
        <f t="shared" si="11"/>
        <v>1.0411502047617432E-4</v>
      </c>
      <c r="V32" s="102">
        <f t="shared" si="13"/>
        <v>1.2212363606599552E-4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122</v>
      </c>
      <c r="C33" s="96" t="s">
        <v>123</v>
      </c>
      <c r="D33" s="97">
        <v>5.5295200000000007</v>
      </c>
      <c r="E33" s="97">
        <v>6.5305900000000001</v>
      </c>
      <c r="F33" s="98">
        <v>9.9999999999999995E-7</v>
      </c>
      <c r="G33" s="140"/>
      <c r="H33" s="140"/>
      <c r="I33" s="94">
        <f t="shared" si="1"/>
        <v>3.4646398062685488</v>
      </c>
      <c r="J33" s="94">
        <f t="shared" si="2"/>
        <v>6.5109992218451609</v>
      </c>
      <c r="K33" s="95">
        <f t="shared" si="3"/>
        <v>2.4707368762882145E-4</v>
      </c>
      <c r="L33" s="95">
        <f t="shared" si="4"/>
        <v>0.27602795710495059</v>
      </c>
      <c r="M33" s="95">
        <f t="shared" si="5"/>
        <v>0.72397204289504935</v>
      </c>
      <c r="N33" s="95">
        <f t="shared" si="6"/>
        <v>0.27519259909036897</v>
      </c>
      <c r="O33" s="40">
        <f t="shared" si="7"/>
        <v>2.4844529819040852E-10</v>
      </c>
      <c r="P33" s="40">
        <f t="shared" si="8"/>
        <v>8.0580508565637732E-4</v>
      </c>
      <c r="Q33" s="40">
        <f t="shared" si="9"/>
        <v>8.429868154047344E-4</v>
      </c>
      <c r="R33" s="9">
        <f t="shared" si="14"/>
        <v>1.4999999999999999E-4</v>
      </c>
      <c r="S33" s="9">
        <f t="shared" si="12"/>
        <v>4.1404193565742589E-5</v>
      </c>
      <c r="T33" s="9">
        <f t="shared" si="10"/>
        <v>3.7061053144323215E-8</v>
      </c>
      <c r="U33" s="9">
        <f t="shared" si="11"/>
        <v>1.085958064342574E-4</v>
      </c>
      <c r="V33" s="102">
        <f t="shared" si="13"/>
        <v>3.4127517775522513E-4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124</v>
      </c>
      <c r="C34" s="46" t="s">
        <v>125</v>
      </c>
      <c r="D34" s="91">
        <v>5.4845040000000003</v>
      </c>
      <c r="E34" s="91">
        <v>6.5678879999999999</v>
      </c>
      <c r="F34" s="98">
        <v>9.9999999999999995E-7</v>
      </c>
      <c r="G34" s="140"/>
      <c r="H34" s="140"/>
      <c r="I34" s="94">
        <f t="shared" si="1"/>
        <v>3.4579829545014036</v>
      </c>
      <c r="J34" s="94">
        <f t="shared" si="2"/>
        <v>6.5480702357711023</v>
      </c>
      <c r="K34" s="95">
        <f t="shared" si="3"/>
        <v>2.4376243355398369E-4</v>
      </c>
      <c r="L34" s="95">
        <f t="shared" si="4"/>
        <v>0.2965953683904522</v>
      </c>
      <c r="M34" s="95">
        <f t="shared" si="5"/>
        <v>0.7034046316095478</v>
      </c>
      <c r="N34" s="95">
        <f t="shared" si="6"/>
        <v>0.29585235436740903</v>
      </c>
      <c r="O34" s="40">
        <f t="shared" si="7"/>
        <v>2.4511566194341507E-10</v>
      </c>
      <c r="P34" s="40">
        <f t="shared" si="8"/>
        <v>8.658472813327455E-4</v>
      </c>
      <c r="Q34" s="40">
        <f t="shared" si="9"/>
        <v>9.0627304245299173E-4</v>
      </c>
      <c r="R34" s="9">
        <f t="shared" si="14"/>
        <v>1.4999999999999999E-4</v>
      </c>
      <c r="S34" s="9">
        <f t="shared" si="12"/>
        <v>4.4489305258567827E-5</v>
      </c>
      <c r="T34" s="9">
        <f t="shared" si="10"/>
        <v>3.6564365033097551E-8</v>
      </c>
      <c r="U34" s="9">
        <f t="shared" si="11"/>
        <v>1.0551069474143216E-4</v>
      </c>
      <c r="V34" s="102">
        <f t="shared" si="13"/>
        <v>3.4654652898176186E-4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126</v>
      </c>
      <c r="C35" s="46" t="s">
        <v>127</v>
      </c>
      <c r="D35" s="91">
        <v>2.7195840000000011</v>
      </c>
      <c r="E35" s="91">
        <v>3.2500779999999994</v>
      </c>
      <c r="F35" s="98">
        <v>9.9999999999999995E-7</v>
      </c>
      <c r="G35" s="140"/>
      <c r="H35" s="140"/>
      <c r="I35" s="94">
        <f t="shared" si="1"/>
        <v>0.62193942428688143</v>
      </c>
      <c r="J35" s="94">
        <f t="shared" si="2"/>
        <v>3.2330538908434048</v>
      </c>
      <c r="K35" s="95">
        <f t="shared" si="3"/>
        <v>0.20840955801821531</v>
      </c>
      <c r="L35" s="95">
        <f t="shared" si="4"/>
        <v>0.12277187132889913</v>
      </c>
      <c r="M35" s="95">
        <f t="shared" si="5"/>
        <v>0.87722812867110089</v>
      </c>
      <c r="N35" s="95">
        <f t="shared" si="6"/>
        <v>0.12167907101586922</v>
      </c>
      <c r="O35" s="40">
        <f t="shared" si="7"/>
        <v>2.0956652763993775E-7</v>
      </c>
      <c r="P35" s="40">
        <f t="shared" si="8"/>
        <v>3.5840644306461432E-4</v>
      </c>
      <c r="Q35" s="40">
        <f t="shared" si="9"/>
        <v>3.7273477890075986E-4</v>
      </c>
      <c r="R35" s="9">
        <f t="shared" si="14"/>
        <v>1.4999999999999999E-4</v>
      </c>
      <c r="S35" s="9">
        <f t="shared" si="12"/>
        <v>1.841578069933487E-5</v>
      </c>
      <c r="T35" s="9">
        <f t="shared" si="10"/>
        <v>3.1261433702732295E-5</v>
      </c>
      <c r="U35" s="9">
        <f t="shared" si="11"/>
        <v>1.3158421930066513E-4</v>
      </c>
      <c r="V35" s="102">
        <f t="shared" si="13"/>
        <v>0.23757737720281688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80</v>
      </c>
      <c r="C36" s="46" t="s">
        <v>81</v>
      </c>
      <c r="D36" s="47">
        <v>7.5547280000000008</v>
      </c>
      <c r="E36" s="47">
        <v>9.7459910000000001</v>
      </c>
      <c r="F36" s="98">
        <v>9.9999999999999995E-7</v>
      </c>
      <c r="G36" s="140"/>
      <c r="H36" s="140"/>
      <c r="I36" s="94">
        <f t="shared" si="1"/>
        <v>6.3597288158186656</v>
      </c>
      <c r="J36" s="94">
        <f t="shared" si="2"/>
        <v>9.7251689720970358</v>
      </c>
      <c r="K36" s="95">
        <f t="shared" si="3"/>
        <v>2.4208932935677263E-7</v>
      </c>
      <c r="L36" s="95">
        <f t="shared" si="4"/>
        <v>0.44286562468420376</v>
      </c>
      <c r="M36" s="95">
        <f t="shared" si="5"/>
        <v>0.55713437531579624</v>
      </c>
      <c r="N36" s="95">
        <f t="shared" si="6"/>
        <v>0.44277888276939154</v>
      </c>
      <c r="O36" s="40">
        <f t="shared" si="7"/>
        <v>2.434332696370186E-13</v>
      </c>
      <c r="P36" s="40">
        <f t="shared" si="8"/>
        <v>1.2928522761817003E-3</v>
      </c>
      <c r="Q36" s="40">
        <f t="shared" si="9"/>
        <v>1.3563473783379759E-3</v>
      </c>
      <c r="R36" s="9">
        <f t="shared" si="14"/>
        <v>1.4999999999999999E-4</v>
      </c>
      <c r="S36" s="9">
        <f t="shared" si="12"/>
        <v>6.6429843702630557E-5</v>
      </c>
      <c r="T36" s="9">
        <f t="shared" si="10"/>
        <v>3.6313399403515892E-11</v>
      </c>
      <c r="U36" s="9">
        <f t="shared" si="11"/>
        <v>8.357015629736943E-5</v>
      </c>
      <c r="V36" s="102">
        <f t="shared" si="13"/>
        <v>4.345259242342585E-7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128</v>
      </c>
      <c r="C37" s="96" t="s">
        <v>129</v>
      </c>
      <c r="D37" s="97">
        <v>4.10616</v>
      </c>
      <c r="E37" s="97">
        <v>5.1108449999999994</v>
      </c>
      <c r="F37" s="98">
        <v>9.9999999999999995E-7</v>
      </c>
      <c r="G37" s="140"/>
      <c r="H37" s="140"/>
      <c r="I37" s="94">
        <f t="shared" si="1"/>
        <v>2.0466328175843658</v>
      </c>
      <c r="J37" s="94">
        <f t="shared" si="2"/>
        <v>5.0912433878185999</v>
      </c>
      <c r="K37" s="95">
        <f t="shared" si="3"/>
        <v>6.4761293259754131E-3</v>
      </c>
      <c r="L37" s="95">
        <f t="shared" si="4"/>
        <v>0.27522396856560022</v>
      </c>
      <c r="M37" s="95">
        <f t="shared" si="5"/>
        <v>0.72477603143439984</v>
      </c>
      <c r="N37" s="95">
        <f t="shared" si="6"/>
        <v>0.27439788882199218</v>
      </c>
      <c r="O37" s="40">
        <f t="shared" si="7"/>
        <v>6.5120810595127227E-9</v>
      </c>
      <c r="P37" s="40">
        <f t="shared" si="8"/>
        <v>8.034580116113685E-4</v>
      </c>
      <c r="Q37" s="40">
        <f t="shared" si="9"/>
        <v>8.4055241026258015E-4</v>
      </c>
      <c r="R37" s="9">
        <f t="shared" si="14"/>
        <v>1.4999999999999999E-4</v>
      </c>
      <c r="S37" s="9">
        <f t="shared" si="12"/>
        <v>4.1283595284840028E-5</v>
      </c>
      <c r="T37" s="9">
        <f t="shared" si="10"/>
        <v>9.7141939889631183E-7</v>
      </c>
      <c r="U37" s="9">
        <f t="shared" si="11"/>
        <v>1.0871640471515997E-4</v>
      </c>
      <c r="V37" s="102">
        <f t="shared" si="13"/>
        <v>8.9353525021495881E-3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130</v>
      </c>
      <c r="C38" s="46" t="s">
        <v>131</v>
      </c>
      <c r="D38" s="91">
        <v>2.8295519999999996</v>
      </c>
      <c r="E38" s="91">
        <v>3.5791989999999991</v>
      </c>
      <c r="F38" s="98">
        <v>9.9999999999999995E-7</v>
      </c>
      <c r="G38" s="140"/>
      <c r="H38" s="140"/>
      <c r="I38" s="94">
        <f t="shared" si="1"/>
        <v>0.75425121724867172</v>
      </c>
      <c r="J38" s="94">
        <f t="shared" si="2"/>
        <v>3.5606397320231116</v>
      </c>
      <c r="K38" s="95">
        <f t="shared" si="3"/>
        <v>0.14366230370223473</v>
      </c>
      <c r="L38" s="95">
        <f t="shared" si="4"/>
        <v>0.17993262277252936</v>
      </c>
      <c r="M38" s="95">
        <f t="shared" si="5"/>
        <v>0.8200673772274707</v>
      </c>
      <c r="N38" s="95">
        <f t="shared" si="6"/>
        <v>0.17896251693906201</v>
      </c>
      <c r="O38" s="40">
        <f t="shared" si="7"/>
        <v>1.4445983392469995E-7</v>
      </c>
      <c r="P38" s="40">
        <f t="shared" si="8"/>
        <v>5.2527513526634062E-4</v>
      </c>
      <c r="Q38" s="40">
        <f t="shared" si="9"/>
        <v>5.4820893704970108E-4</v>
      </c>
      <c r="R38" s="9">
        <f t="shared" si="14"/>
        <v>1.4999999999999999E-4</v>
      </c>
      <c r="S38" s="9">
        <f t="shared" si="12"/>
        <v>2.6989893415879402E-5</v>
      </c>
      <c r="T38" s="9">
        <f t="shared" si="10"/>
        <v>2.1549345555335207E-5</v>
      </c>
      <c r="U38" s="9">
        <f t="shared" si="11"/>
        <v>1.230101065841206E-4</v>
      </c>
      <c r="V38" s="102">
        <f t="shared" si="13"/>
        <v>0.1751835369770911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82</v>
      </c>
      <c r="C39" s="46" t="s">
        <v>83</v>
      </c>
      <c r="D39" s="91">
        <v>-2.3039999999996397E-3</v>
      </c>
      <c r="E39" s="91">
        <v>-1.314813</v>
      </c>
      <c r="F39" s="98">
        <v>9.9999999999999995E-7</v>
      </c>
      <c r="G39" s="140"/>
      <c r="H39" s="140"/>
      <c r="I39" s="94">
        <f t="shared" si="1"/>
        <v>-1.6810051832329899E-4</v>
      </c>
      <c r="J39" s="94">
        <f t="shared" si="2"/>
        <v>-1.0314794301942178</v>
      </c>
      <c r="K39" s="95">
        <f t="shared" si="3"/>
        <v>0.99517340606615645</v>
      </c>
      <c r="L39" s="95">
        <f t="shared" si="4"/>
        <v>3.1882082689167719E-5</v>
      </c>
      <c r="M39" s="95">
        <f t="shared" si="5"/>
        <v>0.99996811791731088</v>
      </c>
      <c r="N39" s="95">
        <f t="shared" si="6"/>
        <v>1.58236261848952E-5</v>
      </c>
      <c r="O39" s="40">
        <f t="shared" si="7"/>
        <v>1.0006980346394005E-6</v>
      </c>
      <c r="P39" s="40">
        <f t="shared" si="8"/>
        <v>9.3072979424618323E-8</v>
      </c>
      <c r="Q39" s="40">
        <f t="shared" si="9"/>
        <v>4.8471900370327245E-8</v>
      </c>
      <c r="R39" s="9">
        <f t="shared" si="14"/>
        <v>1.4999999999999999E-4</v>
      </c>
      <c r="S39" s="9">
        <f t="shared" si="12"/>
        <v>4.7823124033751572E-9</v>
      </c>
      <c r="T39" s="9">
        <f t="shared" si="10"/>
        <v>1.4927601090992346E-4</v>
      </c>
      <c r="U39" s="9">
        <f t="shared" si="11"/>
        <v>1.4999521768759662E-4</v>
      </c>
      <c r="V39" s="102">
        <f t="shared" si="13"/>
        <v>0.99520513527857202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132</v>
      </c>
      <c r="C40" s="46" t="s">
        <v>133</v>
      </c>
      <c r="D40" s="47">
        <v>3.2352399999999997</v>
      </c>
      <c r="E40" s="47">
        <v>3.7544849999999994</v>
      </c>
      <c r="F40" s="98">
        <v>9.9999999999999995E-7</v>
      </c>
      <c r="G40" s="140"/>
      <c r="H40" s="140"/>
      <c r="I40" s="94">
        <f t="shared" si="1"/>
        <v>1.0570731161685156</v>
      </c>
      <c r="J40" s="94">
        <f t="shared" si="2"/>
        <v>3.737559055838291</v>
      </c>
      <c r="K40" s="95">
        <f t="shared" si="3"/>
        <v>7.4928314285109696E-2</v>
      </c>
      <c r="L40" s="95">
        <f t="shared" si="4"/>
        <v>0.14103677545201357</v>
      </c>
      <c r="M40" s="95">
        <f t="shared" si="5"/>
        <v>0.85896322454798646</v>
      </c>
      <c r="N40" s="95">
        <f t="shared" si="6"/>
        <v>0.13974980638041079</v>
      </c>
      <c r="O40" s="40">
        <f t="shared" si="7"/>
        <v>7.534427305523081E-8</v>
      </c>
      <c r="P40" s="40">
        <f t="shared" si="8"/>
        <v>4.1172695735525823E-4</v>
      </c>
      <c r="Q40" s="40">
        <f t="shared" si="9"/>
        <v>4.2809016166661028E-4</v>
      </c>
      <c r="R40" s="9">
        <f t="shared" si="14"/>
        <v>1.4999999999999999E-4</v>
      </c>
      <c r="S40" s="9">
        <f t="shared" si="12"/>
        <v>2.1155516317802033E-5</v>
      </c>
      <c r="T40" s="9">
        <f t="shared" si="10"/>
        <v>1.1239247142766454E-5</v>
      </c>
      <c r="U40" s="9">
        <f t="shared" si="11"/>
        <v>1.2884448368219795E-4</v>
      </c>
      <c r="V40" s="102">
        <f t="shared" si="13"/>
        <v>8.7231108554780487E-2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134</v>
      </c>
      <c r="C41" s="96" t="s">
        <v>135</v>
      </c>
      <c r="D41" s="97">
        <v>3.3303280000000011</v>
      </c>
      <c r="E41" s="97">
        <v>3.8215209999999997</v>
      </c>
      <c r="F41" s="98">
        <v>9.9999999999999995E-7</v>
      </c>
      <c r="G41" s="140"/>
      <c r="H41" s="140"/>
      <c r="I41" s="94">
        <f t="shared" si="1"/>
        <v>1.1393826628828596</v>
      </c>
      <c r="J41" s="94">
        <f t="shared" si="2"/>
        <v>3.8048590996090375</v>
      </c>
      <c r="K41" s="95">
        <f t="shared" si="3"/>
        <v>6.2290547040150877E-2</v>
      </c>
      <c r="L41" s="95">
        <f t="shared" si="4"/>
        <v>0.13690162294270908</v>
      </c>
      <c r="M41" s="95">
        <f t="shared" si="5"/>
        <v>0.86309837705729087</v>
      </c>
      <c r="N41" s="95">
        <f t="shared" si="6"/>
        <v>0.13556993807387197</v>
      </c>
      <c r="O41" s="40">
        <f t="shared" si="7"/>
        <v>6.2636348218039407E-8</v>
      </c>
      <c r="P41" s="40">
        <f t="shared" si="8"/>
        <v>3.9965525651411714E-4</v>
      </c>
      <c r="Q41" s="40">
        <f t="shared" si="9"/>
        <v>4.1528613320004806E-4</v>
      </c>
      <c r="R41" s="9">
        <f t="shared" si="14"/>
        <v>1.4999999999999999E-4</v>
      </c>
      <c r="S41" s="9">
        <f t="shared" si="12"/>
        <v>2.0535243441406359E-5</v>
      </c>
      <c r="T41" s="9">
        <f t="shared" si="10"/>
        <v>9.3435820560226309E-6</v>
      </c>
      <c r="U41" s="9">
        <f t="shared" si="11"/>
        <v>1.2946475655859361E-4</v>
      </c>
      <c r="V41" s="102">
        <f t="shared" si="13"/>
        <v>7.2170854094904813E-2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136</v>
      </c>
      <c r="C42" s="46" t="s">
        <v>137</v>
      </c>
      <c r="D42" s="91">
        <v>4.4202640000000004</v>
      </c>
      <c r="E42" s="91">
        <v>5.6388380000000007</v>
      </c>
      <c r="F42" s="98">
        <v>9.9999999999999995E-7</v>
      </c>
      <c r="G42" s="140"/>
      <c r="H42" s="140"/>
      <c r="I42" s="94">
        <f t="shared" si="1"/>
        <v>2.466507651261447</v>
      </c>
      <c r="J42" s="94">
        <f t="shared" si="2"/>
        <v>5.6187291277528306</v>
      </c>
      <c r="K42" s="95">
        <f t="shared" si="3"/>
        <v>2.28595938115693E-3</v>
      </c>
      <c r="L42" s="95">
        <f t="shared" si="4"/>
        <v>0.32728416181713271</v>
      </c>
      <c r="M42" s="95">
        <f t="shared" si="5"/>
        <v>0.67271583818286729</v>
      </c>
      <c r="N42" s="95">
        <f t="shared" si="6"/>
        <v>0.32668317063308872</v>
      </c>
      <c r="O42" s="40">
        <f t="shared" si="7"/>
        <v>2.2986497087294244E-9</v>
      </c>
      <c r="P42" s="40">
        <f t="shared" si="8"/>
        <v>9.5543670580714617E-4</v>
      </c>
      <c r="Q42" s="40">
        <f t="shared" si="9"/>
        <v>1.0007158861415283E-3</v>
      </c>
      <c r="R42" s="9">
        <f t="shared" si="14"/>
        <v>1.4999999999999999E-4</v>
      </c>
      <c r="S42" s="9">
        <f t="shared" si="12"/>
        <v>4.9092624272569901E-5</v>
      </c>
      <c r="T42" s="9">
        <f t="shared" si="10"/>
        <v>3.4289390717353948E-7</v>
      </c>
      <c r="U42" s="9">
        <f t="shared" si="11"/>
        <v>1.0090737572743009E-4</v>
      </c>
      <c r="V42" s="102">
        <f t="shared" si="13"/>
        <v>3.3981054873507047E-3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138</v>
      </c>
      <c r="C43" s="46" t="s">
        <v>139</v>
      </c>
      <c r="D43" s="91">
        <v>4.2752879999999998</v>
      </c>
      <c r="E43" s="91">
        <v>5.3084609999999994</v>
      </c>
      <c r="F43" s="98">
        <v>9.9999999999999995E-7</v>
      </c>
      <c r="G43" s="140"/>
      <c r="H43" s="140"/>
      <c r="I43" s="94">
        <f t="shared" si="1"/>
        <v>2.2273249528367836</v>
      </c>
      <c r="J43" s="94">
        <f t="shared" si="2"/>
        <v>5.2887765986811166</v>
      </c>
      <c r="K43" s="95">
        <f t="shared" si="3"/>
        <v>4.2259348556480227E-3</v>
      </c>
      <c r="L43" s="95">
        <f t="shared" si="4"/>
        <v>0.28302627060704222</v>
      </c>
      <c r="M43" s="95">
        <f t="shared" si="5"/>
        <v>0.71697372939295778</v>
      </c>
      <c r="N43" s="95">
        <f t="shared" si="6"/>
        <v>0.28223056860843437</v>
      </c>
      <c r="O43" s="40">
        <f t="shared" si="7"/>
        <v>4.2493948077627681E-9</v>
      </c>
      <c r="P43" s="40">
        <f t="shared" si="8"/>
        <v>8.2623517784757925E-4</v>
      </c>
      <c r="Q43" s="40">
        <f t="shared" si="9"/>
        <v>8.6454595446065524E-4</v>
      </c>
      <c r="R43" s="9">
        <f t="shared" si="14"/>
        <v>1.4999999999999999E-4</v>
      </c>
      <c r="S43" s="9">
        <f t="shared" si="12"/>
        <v>4.2453940591056331E-5</v>
      </c>
      <c r="T43" s="9">
        <f t="shared" si="10"/>
        <v>6.3389022834720336E-7</v>
      </c>
      <c r="U43" s="9">
        <f t="shared" si="11"/>
        <v>1.0754605940894366E-4</v>
      </c>
      <c r="V43" s="102">
        <f t="shared" si="13"/>
        <v>5.8941278911655622E-3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84</v>
      </c>
      <c r="C44" s="46" t="s">
        <v>85</v>
      </c>
      <c r="D44" s="91">
        <v>2.7665919999999997</v>
      </c>
      <c r="E44" s="91">
        <v>3.5255839999999989</v>
      </c>
      <c r="F44" s="98">
        <v>9.9999999999999995E-7</v>
      </c>
      <c r="G44" s="140"/>
      <c r="H44" s="140"/>
      <c r="I44" s="94">
        <f t="shared" si="1"/>
        <v>0.70532975413914467</v>
      </c>
      <c r="J44" s="94">
        <f t="shared" si="2"/>
        <v>3.5069752121358908</v>
      </c>
      <c r="K44" s="95">
        <f t="shared" si="3"/>
        <v>0.16110681324004753</v>
      </c>
      <c r="L44" s="95">
        <f t="shared" si="4"/>
        <v>0.17832674049173763</v>
      </c>
      <c r="M44" s="95">
        <f t="shared" si="5"/>
        <v>0.82167325950826231</v>
      </c>
      <c r="N44" s="95">
        <f t="shared" si="6"/>
        <v>0.17738551777411052</v>
      </c>
      <c r="O44" s="40">
        <f t="shared" si="7"/>
        <v>1.6200118531464765E-7</v>
      </c>
      <c r="P44" s="40">
        <f t="shared" si="8"/>
        <v>5.2058710249458984E-4</v>
      </c>
      <c r="Q44" s="40">
        <f t="shared" si="9"/>
        <v>5.4337817667186893E-4</v>
      </c>
      <c r="R44" s="9">
        <f t="shared" si="14"/>
        <v>1.4999999999999999E-4</v>
      </c>
      <c r="S44" s="9">
        <f t="shared" si="12"/>
        <v>2.6749011073760643E-5</v>
      </c>
      <c r="T44" s="9">
        <f t="shared" si="10"/>
        <v>2.4166021986007126E-5</v>
      </c>
      <c r="U44" s="9">
        <f t="shared" si="11"/>
        <v>1.2325098892623933E-4</v>
      </c>
      <c r="V44" s="102">
        <f t="shared" si="13"/>
        <v>0.19607162746961407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140</v>
      </c>
      <c r="C45" s="46" t="s">
        <v>141</v>
      </c>
      <c r="D45" s="91">
        <v>4.4687359999999998</v>
      </c>
      <c r="E45" s="91">
        <v>5.2666120000000003</v>
      </c>
      <c r="F45" s="98">
        <v>9.9999999999999995E-7</v>
      </c>
      <c r="G45" s="140"/>
      <c r="H45" s="140"/>
      <c r="I45" s="94">
        <f t="shared" si="1"/>
        <v>2.3272580136650043</v>
      </c>
      <c r="J45" s="94">
        <f t="shared" si="2"/>
        <v>5.2478046732163026</v>
      </c>
      <c r="K45" s="95">
        <f t="shared" si="3"/>
        <v>3.6429739791075458E-3</v>
      </c>
      <c r="L45" s="95">
        <f t="shared" si="4"/>
        <v>0.22201795320103057</v>
      </c>
      <c r="M45" s="95">
        <f t="shared" si="5"/>
        <v>0.77798204679896943</v>
      </c>
      <c r="N45" s="95">
        <f t="shared" si="6"/>
        <v>0.22094710828363048</v>
      </c>
      <c r="O45" s="40">
        <f t="shared" si="7"/>
        <v>3.6631976687820106E-9</v>
      </c>
      <c r="P45" s="40">
        <f t="shared" si="8"/>
        <v>6.4813433274220073E-4</v>
      </c>
      <c r="Q45" s="40">
        <f t="shared" si="9"/>
        <v>6.7681870733645442E-4</v>
      </c>
      <c r="R45" s="9">
        <f t="shared" si="14"/>
        <v>1.4999999999999999E-4</v>
      </c>
      <c r="S45" s="9">
        <f t="shared" si="12"/>
        <v>3.3302692980154584E-5</v>
      </c>
      <c r="T45" s="9">
        <f t="shared" si="10"/>
        <v>5.4644609686613185E-7</v>
      </c>
      <c r="U45" s="9">
        <f t="shared" si="11"/>
        <v>1.166973070198454E-4</v>
      </c>
      <c r="V45" s="102">
        <f t="shared" si="13"/>
        <v>4.6825938903046309E-3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86</v>
      </c>
      <c r="C46" s="46" t="s">
        <v>87</v>
      </c>
      <c r="D46" s="93">
        <v>2.6972559999999999</v>
      </c>
      <c r="E46" s="93">
        <v>3.431432</v>
      </c>
      <c r="F46" s="98">
        <v>9.9999999999999995E-7</v>
      </c>
      <c r="G46" s="140"/>
      <c r="H46" s="140"/>
      <c r="I46" s="94">
        <f t="shared" si="1"/>
        <v>0.64458903464573347</v>
      </c>
      <c r="J46" s="94">
        <f t="shared" si="2"/>
        <v>3.4129584322588506</v>
      </c>
      <c r="K46" s="95">
        <f t="shared" si="3"/>
        <v>0.18776078862845527</v>
      </c>
      <c r="L46" s="95">
        <f t="shared" si="4"/>
        <v>0.16737503664482029</v>
      </c>
      <c r="M46" s="95">
        <f t="shared" si="5"/>
        <v>0.83262496335517966</v>
      </c>
      <c r="N46" s="95">
        <f t="shared" si="6"/>
        <v>0.16643978782279881</v>
      </c>
      <c r="O46" s="40">
        <f t="shared" si="7"/>
        <v>1.8880312819608097E-7</v>
      </c>
      <c r="P46" s="40">
        <f t="shared" si="8"/>
        <v>4.8861592555654837E-4</v>
      </c>
      <c r="Q46" s="40">
        <f t="shared" si="9"/>
        <v>5.0984854664389565E-4</v>
      </c>
      <c r="R46" s="9">
        <f t="shared" si="14"/>
        <v>1.4999999999999999E-4</v>
      </c>
      <c r="S46" s="9">
        <f t="shared" si="12"/>
        <v>2.5106255496723042E-5</v>
      </c>
      <c r="T46" s="9">
        <f t="shared" si="10"/>
        <v>2.8164118294268288E-5</v>
      </c>
      <c r="U46" s="9">
        <f t="shared" si="11"/>
        <v>1.2489374450327692E-4</v>
      </c>
      <c r="V46" s="102">
        <f t="shared" si="13"/>
        <v>0.22550463521036734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142</v>
      </c>
      <c r="C47" s="46" t="s">
        <v>143</v>
      </c>
      <c r="D47" s="91">
        <v>3.859360000000001</v>
      </c>
      <c r="E47" s="91">
        <v>4.2614199999999993</v>
      </c>
      <c r="F47" s="98">
        <v>9.9999999999999995E-7</v>
      </c>
      <c r="G47" s="140"/>
      <c r="H47" s="140"/>
      <c r="I47" s="94">
        <f t="shared" si="1"/>
        <v>1.6299602750984028</v>
      </c>
      <c r="J47" s="94">
        <f t="shared" si="2"/>
        <v>4.2457183871894006</v>
      </c>
      <c r="K47" s="95">
        <f t="shared" si="3"/>
        <v>2.0432616876001959E-2</v>
      </c>
      <c r="L47" s="95">
        <f t="shared" si="4"/>
        <v>0.12392808280595566</v>
      </c>
      <c r="M47" s="95">
        <f t="shared" si="5"/>
        <v>0.87607191719404431</v>
      </c>
      <c r="N47" s="95">
        <f t="shared" si="6"/>
        <v>0.12245153808565851</v>
      </c>
      <c r="O47" s="40">
        <f t="shared" si="7"/>
        <v>2.0546046976054093E-8</v>
      </c>
      <c r="P47" s="40">
        <f t="shared" si="8"/>
        <v>3.6178175728306583E-4</v>
      </c>
      <c r="Q47" s="40">
        <f t="shared" si="9"/>
        <v>3.7510104731538693E-4</v>
      </c>
      <c r="R47" s="9">
        <f t="shared" si="14"/>
        <v>1.4999999999999999E-4</v>
      </c>
      <c r="S47" s="9">
        <f t="shared" si="12"/>
        <v>1.8589212420893346E-5</v>
      </c>
      <c r="T47" s="9">
        <f t="shared" si="10"/>
        <v>3.0648925314002936E-6</v>
      </c>
      <c r="U47" s="9">
        <f t="shared" si="11"/>
        <v>1.3141078757910663E-4</v>
      </c>
      <c r="V47" s="102">
        <f t="shared" si="13"/>
        <v>2.3322990356140209E-2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144</v>
      </c>
      <c r="C48" s="46" t="s">
        <v>145</v>
      </c>
      <c r="D48" s="91">
        <v>2.0184960000000003</v>
      </c>
      <c r="E48" s="91">
        <v>2.3512620000000002</v>
      </c>
      <c r="F48" s="98">
        <v>9.9999999999999995E-7</v>
      </c>
      <c r="G48" s="140"/>
      <c r="H48" s="140"/>
      <c r="I48" s="94">
        <f t="shared" ref="I48:I50" si="15">IF(D48=0,"",LOG($K$15*10^D48+$K$16*10^E48+$K$14))</f>
        <v>0.19893820408979257</v>
      </c>
      <c r="J48" s="94">
        <f t="shared" ref="J48:J50" si="16">IF(D48=0,"",LOG($K$21*10^D48+$K$22*10^E48+$K$20))</f>
        <v>2.3364900872934777</v>
      </c>
      <c r="K48" s="95">
        <f t="shared" ref="K48:K50" si="17">IF(D48=0,"",1/(1+10^D48*$J$15/$J$14+10^E48*$J$16/$J$14+10^J48*$J$19/$J$14))</f>
        <v>0.60095919949518906</v>
      </c>
      <c r="L48" s="95">
        <f t="shared" ref="L48:L50" si="18">IF(D48=0,"",1/(1+10^I48/10^J48*$J$13/$J$19))</f>
        <v>4.4922345859553049E-2</v>
      </c>
      <c r="M48" s="95">
        <f t="shared" ref="M48:M92" si="19">IF(D48=0,"",1-L48)</f>
        <v>0.95507765414044699</v>
      </c>
      <c r="N48" s="95">
        <f t="shared" ref="N48:N50" si="20">IF(D48=0,"",1/(1/10^E48*$J$20/$J$22+10^D48/10^E48*$J$21/$J$22+10^I48/10^E48*$J$13/$J$22+1))</f>
        <v>4.4292198800180226E-2</v>
      </c>
      <c r="O48" s="40">
        <f t="shared" ref="O48:O92" si="21">IF(D48=0,"",F48*K48*$J$7/$J$14)</f>
        <v>6.0429537824016671E-7</v>
      </c>
      <c r="P48" s="40">
        <f t="shared" ref="P48:P50" si="22">IF(D48=0,"",O48*10^J48)</f>
        <v>1.3114126240292099E-4</v>
      </c>
      <c r="Q48" s="40">
        <f t="shared" ref="Q48:Q50" si="23">IF(D48=0,"",F48*N48*$J$7/$J$22)</f>
        <v>1.3567857470460603E-4</v>
      </c>
      <c r="R48" s="9">
        <f t="shared" si="14"/>
        <v>1.4999999999999999E-4</v>
      </c>
      <c r="S48" s="9">
        <f t="shared" si="12"/>
        <v>6.7383518789329567E-6</v>
      </c>
      <c r="T48" s="9">
        <f t="shared" si="10"/>
        <v>9.0143879924278346E-5</v>
      </c>
      <c r="U48" s="9">
        <f t="shared" si="11"/>
        <v>1.4326164812106704E-4</v>
      </c>
      <c r="V48" s="102">
        <f t="shared" si="13"/>
        <v>0.62922548432571346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146</v>
      </c>
      <c r="C49" s="46" t="s">
        <v>147</v>
      </c>
      <c r="D49" s="91">
        <v>1.4665360000000003</v>
      </c>
      <c r="E49" s="91">
        <v>1.8522119999999997</v>
      </c>
      <c r="F49" s="98">
        <v>9.9999999999999995E-7</v>
      </c>
      <c r="G49" s="140"/>
      <c r="H49" s="140"/>
      <c r="I49" s="94">
        <f t="shared" si="15"/>
        <v>6.5352597387686409E-2</v>
      </c>
      <c r="J49" s="94">
        <f t="shared" si="16"/>
        <v>1.8368226563727335</v>
      </c>
      <c r="K49" s="95">
        <f t="shared" si="17"/>
        <v>0.8388551137139274</v>
      </c>
      <c r="L49" s="95">
        <f t="shared" si="18"/>
        <v>1.9844353960410448E-2</v>
      </c>
      <c r="M49" s="95">
        <f t="shared" si="19"/>
        <v>0.9801556460395896</v>
      </c>
      <c r="N49" s="95">
        <f t="shared" si="20"/>
        <v>1.9593824289765471E-2</v>
      </c>
      <c r="O49" s="40">
        <f t="shared" si="21"/>
        <v>8.4351195331774578E-7</v>
      </c>
      <c r="P49" s="40">
        <f t="shared" si="22"/>
        <v>5.7931383148932522E-5</v>
      </c>
      <c r="Q49" s="40">
        <f t="shared" si="23"/>
        <v>6.002100199724227E-5</v>
      </c>
      <c r="R49" s="9">
        <f t="shared" si="14"/>
        <v>1.4999999999999999E-4</v>
      </c>
      <c r="S49" s="9">
        <f t="shared" si="12"/>
        <v>2.9766530940615667E-6</v>
      </c>
      <c r="T49" s="9">
        <f t="shared" si="10"/>
        <v>1.2582826705708909E-4</v>
      </c>
      <c r="U49" s="9">
        <f t="shared" si="11"/>
        <v>1.4702334690593842E-4</v>
      </c>
      <c r="V49" s="102">
        <f t="shared" si="13"/>
        <v>0.85583867940097047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148</v>
      </c>
      <c r="C50" s="46" t="s">
        <v>149</v>
      </c>
      <c r="D50" s="91"/>
      <c r="E50" s="91"/>
      <c r="F50" s="92"/>
      <c r="G50" s="140"/>
      <c r="H50" s="14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150</v>
      </c>
      <c r="C51" s="46" t="s">
        <v>151</v>
      </c>
      <c r="D51" s="91"/>
      <c r="E51" s="91"/>
      <c r="F51" s="92"/>
      <c r="G51" s="140"/>
      <c r="H51" s="14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152</v>
      </c>
      <c r="C52" s="46" t="s">
        <v>153</v>
      </c>
      <c r="D52" s="47"/>
      <c r="E52" s="47"/>
      <c r="F52" s="92"/>
      <c r="G52" s="140"/>
      <c r="H52" s="14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154</v>
      </c>
      <c r="C53" s="46" t="s">
        <v>155</v>
      </c>
      <c r="D53" s="47"/>
      <c r="E53" s="47"/>
      <c r="F53" s="92"/>
      <c r="G53" s="140"/>
      <c r="H53" s="14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156</v>
      </c>
      <c r="C54" s="46" t="s">
        <v>157</v>
      </c>
      <c r="D54" s="47"/>
      <c r="E54" s="47"/>
      <c r="F54" s="92"/>
      <c r="G54" s="140"/>
      <c r="H54" s="14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158</v>
      </c>
      <c r="C55" s="46" t="s">
        <v>159</v>
      </c>
      <c r="D55" s="47"/>
      <c r="E55" s="47"/>
      <c r="F55" s="57"/>
      <c r="G55" s="140"/>
      <c r="H55" s="14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160</v>
      </c>
      <c r="C56" s="46" t="s">
        <v>161</v>
      </c>
      <c r="D56" s="47"/>
      <c r="E56" s="47"/>
      <c r="F56" s="57"/>
      <c r="G56" s="140"/>
      <c r="H56" s="14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88</v>
      </c>
      <c r="C57" s="88" t="s">
        <v>89</v>
      </c>
      <c r="D57" s="91">
        <v>6.5247999999999973E-2</v>
      </c>
      <c r="E57" s="91">
        <v>8.2216000000000289E-2</v>
      </c>
      <c r="F57" s="98">
        <v>9.9999999999999995E-7</v>
      </c>
      <c r="G57" s="140"/>
      <c r="H57" s="140"/>
      <c r="I57" s="54">
        <f t="shared" si="24"/>
        <v>3.7217650281818146E-4</v>
      </c>
      <c r="J57" s="54">
        <f t="shared" si="25"/>
        <v>8.0381300697110955E-2</v>
      </c>
      <c r="K57" s="55">
        <f t="shared" si="26"/>
        <v>0.99355850541289326</v>
      </c>
      <c r="L57" s="55">
        <f t="shared" si="27"/>
        <v>4.1181494023800658E-4</v>
      </c>
      <c r="M57" s="55">
        <f t="shared" si="28"/>
        <v>0.99958818505976199</v>
      </c>
      <c r="N57" s="55">
        <f t="shared" si="29"/>
        <v>3.9412111092484905E-4</v>
      </c>
      <c r="O57" s="56">
        <f t="shared" si="30"/>
        <v>9.990741689894467E-7</v>
      </c>
      <c r="P57" s="56">
        <f t="shared" si="31"/>
        <v>1.2022063876192456E-6</v>
      </c>
      <c r="Q57" s="56">
        <f t="shared" si="32"/>
        <v>1.207295913046021E-6</v>
      </c>
      <c r="R57" s="9">
        <f t="shared" ref="R57:R58" si="33">F57*$C$14</f>
        <v>1.4999999999999999E-4</v>
      </c>
      <c r="S57" s="9">
        <f t="shared" ref="S57:S58" si="34">$R57*L57</f>
        <v>6.1772241035700976E-8</v>
      </c>
      <c r="T57" s="9">
        <f t="shared" ref="T57:T58" si="35">R57*K57</f>
        <v>1.4903377581193398E-4</v>
      </c>
      <c r="U57" s="9">
        <f t="shared" ref="U57:U58" si="36">$R57*M57</f>
        <v>1.4993822775896429E-4</v>
      </c>
      <c r="V57" s="102">
        <f t="shared" ref="V57:V58" si="37">K57/M57</f>
        <v>0.99396783621796381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162</v>
      </c>
      <c r="C58" s="46" t="s">
        <v>163</v>
      </c>
      <c r="D58" s="47">
        <v>2.1823520000000003</v>
      </c>
      <c r="E58" s="47">
        <v>2.5882690000000008</v>
      </c>
      <c r="F58" s="98">
        <v>9.9999999999999995E-7</v>
      </c>
      <c r="G58" s="140"/>
      <c r="H58" s="140"/>
      <c r="I58" s="54">
        <f t="shared" si="24"/>
        <v>0.27242732253974722</v>
      </c>
      <c r="J58" s="54">
        <f t="shared" si="25"/>
        <v>2.5725421120660119</v>
      </c>
      <c r="K58" s="55">
        <f t="shared" si="26"/>
        <v>0.49726483912001951</v>
      </c>
      <c r="L58" s="55">
        <f t="shared" si="27"/>
        <v>6.4011383843607814E-2</v>
      </c>
      <c r="M58" s="55">
        <f t="shared" si="28"/>
        <v>0.93598861615639217</v>
      </c>
      <c r="N58" s="55">
        <f t="shared" si="29"/>
        <v>6.3252399426608832E-2</v>
      </c>
      <c r="O58" s="56">
        <f t="shared" si="30"/>
        <v>5.0002536660389943E-7</v>
      </c>
      <c r="P58" s="56">
        <f t="shared" si="31"/>
        <v>1.8686766073289362E-4</v>
      </c>
      <c r="Q58" s="56">
        <f t="shared" si="32"/>
        <v>1.9375862190914317E-4</v>
      </c>
      <c r="R58" s="9">
        <f t="shared" si="33"/>
        <v>1.4999999999999999E-4</v>
      </c>
      <c r="S58" s="9">
        <f t="shared" si="34"/>
        <v>9.6017075765411705E-6</v>
      </c>
      <c r="T58" s="9">
        <f t="shared" si="35"/>
        <v>7.4589725868002925E-5</v>
      </c>
      <c r="U58" s="9">
        <f t="shared" si="36"/>
        <v>1.4039829242345881E-4</v>
      </c>
      <c r="V58" s="102">
        <f t="shared" si="37"/>
        <v>0.53127231521471052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164</v>
      </c>
      <c r="C59" s="46" t="s">
        <v>165</v>
      </c>
      <c r="D59" s="47"/>
      <c r="E59" s="47"/>
      <c r="F59" s="57"/>
      <c r="G59" s="140"/>
      <c r="H59" s="14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90</v>
      </c>
      <c r="C60" s="46" t="s">
        <v>91</v>
      </c>
      <c r="D60" s="47">
        <v>2.3628240000000003</v>
      </c>
      <c r="E60" s="47">
        <v>2.5674030000000005</v>
      </c>
      <c r="F60" s="98">
        <v>9.9999999999999995E-7</v>
      </c>
      <c r="G60" s="140"/>
      <c r="H60" s="140"/>
      <c r="I60" s="54">
        <f t="shared" si="24"/>
        <v>0.35062624883359406</v>
      </c>
      <c r="J60" s="54">
        <f t="shared" si="25"/>
        <v>2.5546913678115204</v>
      </c>
      <c r="K60" s="55">
        <f t="shared" si="26"/>
        <v>0.42066851650816367</v>
      </c>
      <c r="L60" s="55">
        <f t="shared" si="27"/>
        <v>5.1970719562112411E-2</v>
      </c>
      <c r="M60" s="55">
        <f t="shared" si="28"/>
        <v>0.94802928043788759</v>
      </c>
      <c r="N60" s="55">
        <f t="shared" si="29"/>
        <v>5.0999188156734807E-2</v>
      </c>
      <c r="O60" s="56">
        <f t="shared" si="30"/>
        <v>4.2300382540206978E-7</v>
      </c>
      <c r="P60" s="56">
        <f t="shared" si="31"/>
        <v>1.5171749473350885E-4</v>
      </c>
      <c r="Q60" s="56">
        <f t="shared" si="32"/>
        <v>1.562238350688891E-4</v>
      </c>
      <c r="R60" s="9">
        <f t="shared" ref="R60:R65" si="38">F60*$C$14</f>
        <v>1.4999999999999999E-4</v>
      </c>
      <c r="S60" s="9">
        <f t="shared" ref="S60:S93" si="39">$R60*L60</f>
        <v>7.7956079343168612E-6</v>
      </c>
      <c r="T60" s="9">
        <f t="shared" ref="T60:T93" si="40">R60*K60</f>
        <v>6.3100277476224549E-5</v>
      </c>
      <c r="U60" s="9">
        <f t="shared" ref="U60:U93" si="41">$R60*M60</f>
        <v>1.4220439206568314E-4</v>
      </c>
      <c r="V60" s="102">
        <f t="shared" ref="V60:V93" si="42">K60/M60</f>
        <v>0.44372945560696192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92</v>
      </c>
      <c r="C61" s="46" t="s">
        <v>93</v>
      </c>
      <c r="D61" s="47">
        <v>3.2672240000000001</v>
      </c>
      <c r="E61" s="47">
        <v>3.6253630000000006</v>
      </c>
      <c r="F61" s="98">
        <v>9.9999999999999995E-7</v>
      </c>
      <c r="G61" s="140"/>
      <c r="H61" s="140"/>
      <c r="I61" s="54">
        <f t="shared" si="24"/>
        <v>1.0599296125914559</v>
      </c>
      <c r="J61" s="54">
        <f t="shared" si="25"/>
        <v>3.6102131398703299</v>
      </c>
      <c r="K61" s="55">
        <f t="shared" si="26"/>
        <v>7.7259668609572715E-2</v>
      </c>
      <c r="L61" s="55">
        <f t="shared" si="27"/>
        <v>0.10846592717755255</v>
      </c>
      <c r="M61" s="55">
        <f t="shared" si="28"/>
        <v>0.89153407282244745</v>
      </c>
      <c r="N61" s="55">
        <f t="shared" si="29"/>
        <v>0.10703753370038484</v>
      </c>
      <c r="O61" s="56">
        <f t="shared" si="30"/>
        <v>7.7688569713800409E-8</v>
      </c>
      <c r="P61" s="56">
        <f t="shared" si="31"/>
        <v>3.1664327286556052E-4</v>
      </c>
      <c r="Q61" s="56">
        <f t="shared" si="32"/>
        <v>3.2788392551659365E-4</v>
      </c>
      <c r="R61" s="9">
        <f t="shared" si="38"/>
        <v>1.4999999999999999E-4</v>
      </c>
      <c r="S61" s="9">
        <f t="shared" si="39"/>
        <v>1.6269889076632881E-5</v>
      </c>
      <c r="T61" s="9">
        <f t="shared" si="40"/>
        <v>1.1588950291435906E-5</v>
      </c>
      <c r="U61" s="9">
        <f t="shared" si="41"/>
        <v>1.337301109233671E-4</v>
      </c>
      <c r="V61" s="102">
        <f t="shared" si="42"/>
        <v>8.6659243841327963E-2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166</v>
      </c>
      <c r="C62" s="46" t="s">
        <v>110</v>
      </c>
      <c r="D62" s="47">
        <v>2.9091840000000002</v>
      </c>
      <c r="E62" s="47">
        <v>3.4102429999999995</v>
      </c>
      <c r="F62" s="98">
        <v>9.9999999999999995E-7</v>
      </c>
      <c r="G62" s="140"/>
      <c r="H62" s="140"/>
      <c r="I62" s="54">
        <f t="shared" si="24"/>
        <v>0.76837016932652724</v>
      </c>
      <c r="J62" s="54">
        <f t="shared" si="25"/>
        <v>3.3934881626861433</v>
      </c>
      <c r="K62" s="55">
        <f t="shared" si="26"/>
        <v>0.1481641505764783</v>
      </c>
      <c r="L62" s="55">
        <f t="shared" si="27"/>
        <v>0.1262870011209922</v>
      </c>
      <c r="M62" s="55">
        <f t="shared" si="28"/>
        <v>0.87371299887900777</v>
      </c>
      <c r="N62" s="55">
        <f t="shared" si="29"/>
        <v>0.12508533278932993</v>
      </c>
      <c r="O62" s="56">
        <f t="shared" si="30"/>
        <v>1.4898667245539478E-7</v>
      </c>
      <c r="P62" s="56">
        <f t="shared" si="31"/>
        <v>3.686681190662735E-4</v>
      </c>
      <c r="Q62" s="56">
        <f t="shared" si="32"/>
        <v>3.8316904847899647E-4</v>
      </c>
      <c r="R62" s="9">
        <f t="shared" si="38"/>
        <v>1.4999999999999999E-4</v>
      </c>
      <c r="S62" s="9">
        <f t="shared" si="39"/>
        <v>1.8943050168148828E-5</v>
      </c>
      <c r="T62" s="9">
        <f t="shared" si="40"/>
        <v>2.2224622586471742E-5</v>
      </c>
      <c r="U62" s="9">
        <f t="shared" si="41"/>
        <v>1.3105694983185117E-4</v>
      </c>
      <c r="V62" s="102">
        <f t="shared" si="42"/>
        <v>0.16957988580526562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94</v>
      </c>
      <c r="C63" s="46" t="s">
        <v>95</v>
      </c>
      <c r="D63" s="47">
        <v>2.857424</v>
      </c>
      <c r="E63" s="47">
        <v>3.3289280000000003</v>
      </c>
      <c r="F63" s="98">
        <v>9.9999999999999995E-7</v>
      </c>
      <c r="G63" s="140"/>
      <c r="H63" s="140"/>
      <c r="I63" s="54">
        <f t="shared" si="24"/>
        <v>0.7211484450377651</v>
      </c>
      <c r="J63" s="54">
        <f t="shared" si="25"/>
        <v>3.3124645098789665</v>
      </c>
      <c r="K63" s="55">
        <f t="shared" si="26"/>
        <v>0.16675975580586927</v>
      </c>
      <c r="L63" s="55">
        <f t="shared" si="27"/>
        <v>0.1179459716547743</v>
      </c>
      <c r="M63" s="55">
        <f t="shared" si="28"/>
        <v>0.88205402834522573</v>
      </c>
      <c r="N63" s="55">
        <f t="shared" si="29"/>
        <v>0.11674532627984205</v>
      </c>
      <c r="O63" s="56">
        <f t="shared" si="30"/>
        <v>1.676855097560618E-7</v>
      </c>
      <c r="P63" s="56">
        <f t="shared" si="31"/>
        <v>3.4431825235718298E-4</v>
      </c>
      <c r="Q63" s="56">
        <f t="shared" si="32"/>
        <v>3.5762143000696327E-4</v>
      </c>
      <c r="R63" s="9">
        <f t="shared" si="38"/>
        <v>1.4999999999999999E-4</v>
      </c>
      <c r="S63" s="9">
        <f t="shared" si="39"/>
        <v>1.7691895748216144E-5</v>
      </c>
      <c r="T63" s="9">
        <f t="shared" si="40"/>
        <v>2.501396337088039E-5</v>
      </c>
      <c r="U63" s="9">
        <f t="shared" si="41"/>
        <v>1.3230810425178384E-4</v>
      </c>
      <c r="V63" s="102">
        <f t="shared" si="42"/>
        <v>0.18905843683829471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96</v>
      </c>
      <c r="C64" s="46" t="s">
        <v>97</v>
      </c>
      <c r="D64" s="47">
        <v>2.0783680000000002</v>
      </c>
      <c r="E64" s="47">
        <v>2.5770209999999998</v>
      </c>
      <c r="F64" s="98">
        <v>9.9999999999999995E-7</v>
      </c>
      <c r="G64" s="140"/>
      <c r="H64" s="140"/>
      <c r="I64" s="54">
        <f t="shared" si="24"/>
        <v>0.2338148544799136</v>
      </c>
      <c r="J64" s="54">
        <f t="shared" si="25"/>
        <v>2.5603074590057777</v>
      </c>
      <c r="K64" s="55">
        <f t="shared" si="26"/>
        <v>0.54133098770821886</v>
      </c>
      <c r="L64" s="55">
        <f t="shared" si="27"/>
        <v>6.7748190415924961E-2</v>
      </c>
      <c r="M64" s="55">
        <f t="shared" si="28"/>
        <v>0.93225180958407505</v>
      </c>
      <c r="N64" s="55">
        <f t="shared" si="29"/>
        <v>6.7097160435988915E-2</v>
      </c>
      <c r="O64" s="56">
        <f t="shared" si="30"/>
        <v>5.443361450245673E-7</v>
      </c>
      <c r="P64" s="56">
        <f t="shared" si="31"/>
        <v>1.9777647508513859E-4</v>
      </c>
      <c r="Q64" s="56">
        <f t="shared" si="32"/>
        <v>2.0553612918950898E-4</v>
      </c>
      <c r="R64" s="9">
        <f t="shared" si="38"/>
        <v>1.4999999999999999E-4</v>
      </c>
      <c r="S64" s="9">
        <f t="shared" si="39"/>
        <v>1.0162228562388744E-5</v>
      </c>
      <c r="T64" s="9">
        <f t="shared" si="40"/>
        <v>8.119964815623282E-5</v>
      </c>
      <c r="U64" s="9">
        <f t="shared" si="41"/>
        <v>1.3983777143761124E-4</v>
      </c>
      <c r="V64" s="102">
        <f t="shared" si="42"/>
        <v>0.5806703533777362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167</v>
      </c>
      <c r="C65" s="46" t="s">
        <v>168</v>
      </c>
      <c r="D65" s="47">
        <v>3.4409280000000009</v>
      </c>
      <c r="E65" s="47">
        <v>4.1160660000000009</v>
      </c>
      <c r="F65" s="98">
        <v>9.9999999999999995E-7</v>
      </c>
      <c r="G65" s="140"/>
      <c r="H65" s="140"/>
      <c r="I65" s="54">
        <f t="shared" si="24"/>
        <v>1.2834731216469764</v>
      </c>
      <c r="J65" s="54">
        <f t="shared" si="25"/>
        <v>4.0979428181217807</v>
      </c>
      <c r="K65" s="55">
        <f t="shared" si="26"/>
        <v>4.2330725848820652E-2</v>
      </c>
      <c r="L65" s="55">
        <f t="shared" si="27"/>
        <v>0.1826946735377947</v>
      </c>
      <c r="M65" s="55">
        <f t="shared" si="28"/>
        <v>0.81730532646220533</v>
      </c>
      <c r="N65" s="55">
        <f t="shared" si="29"/>
        <v>0.18152730840467876</v>
      </c>
      <c r="O65" s="56">
        <f t="shared" si="30"/>
        <v>4.2565721615513199E-8</v>
      </c>
      <c r="P65" s="56">
        <f t="shared" si="31"/>
        <v>5.3333835674881436E-4</v>
      </c>
      <c r="Q65" s="56">
        <f t="shared" si="32"/>
        <v>5.5606556327047942E-4</v>
      </c>
      <c r="R65" s="9">
        <f t="shared" si="38"/>
        <v>1.4999999999999999E-4</v>
      </c>
      <c r="S65" s="9">
        <f t="shared" si="39"/>
        <v>2.7404201030669203E-5</v>
      </c>
      <c r="T65" s="9">
        <f t="shared" si="40"/>
        <v>6.3496088773230974E-6</v>
      </c>
      <c r="U65" s="9">
        <f t="shared" si="41"/>
        <v>1.225957989693308E-4</v>
      </c>
      <c r="V65" s="102">
        <f t="shared" si="42"/>
        <v>5.179303802173147E-2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169</v>
      </c>
      <c r="C66" s="46" t="s">
        <v>170</v>
      </c>
      <c r="D66" s="47"/>
      <c r="E66" s="47"/>
      <c r="F66" s="57"/>
      <c r="G66" s="140"/>
      <c r="H66" s="14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171</v>
      </c>
      <c r="C67" s="46" t="s">
        <v>172</v>
      </c>
      <c r="D67" s="47"/>
      <c r="E67" s="47"/>
      <c r="F67" s="57"/>
      <c r="G67" s="140"/>
      <c r="H67" s="14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98</v>
      </c>
      <c r="C68" s="46" t="s">
        <v>99</v>
      </c>
      <c r="D68" s="47">
        <v>2.3414159999999997</v>
      </c>
      <c r="E68" s="47">
        <v>2.4767320000000002</v>
      </c>
      <c r="F68" s="98">
        <v>9.9999999999999995E-7</v>
      </c>
      <c r="G68" s="140"/>
      <c r="H68" s="140"/>
      <c r="I68" s="54">
        <f t="shared" si="24"/>
        <v>0.33491051106253611</v>
      </c>
      <c r="J68" s="54">
        <f t="shared" si="25"/>
        <v>2.4654231458254099</v>
      </c>
      <c r="K68" s="55">
        <f t="shared" si="26"/>
        <v>0.43973037355109551</v>
      </c>
      <c r="L68" s="55">
        <f t="shared" si="27"/>
        <v>4.4232039289358163E-2</v>
      </c>
      <c r="M68" s="55">
        <f t="shared" si="28"/>
        <v>0.95576796071064185</v>
      </c>
      <c r="N68" s="55">
        <f t="shared" si="29"/>
        <v>4.326520018529393E-2</v>
      </c>
      <c r="O68" s="56">
        <f t="shared" si="30"/>
        <v>4.4217150287733692E-7</v>
      </c>
      <c r="P68" s="56">
        <f t="shared" si="31"/>
        <v>1.2912605875920618E-4</v>
      </c>
      <c r="Q68" s="56">
        <f t="shared" si="32"/>
        <v>1.3253260967992971E-4</v>
      </c>
      <c r="R68" s="9">
        <f>F68*$C$14</f>
        <v>1.4999999999999999E-4</v>
      </c>
      <c r="S68" s="9">
        <f t="shared" si="39"/>
        <v>6.6348058934037235E-6</v>
      </c>
      <c r="T68" s="9">
        <f t="shared" si="40"/>
        <v>6.5959556032664325E-5</v>
      </c>
      <c r="U68" s="9">
        <f t="shared" si="41"/>
        <v>1.4336519410659625E-4</v>
      </c>
      <c r="V68" s="102">
        <f t="shared" si="42"/>
        <v>0.46008068027740012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173</v>
      </c>
      <c r="C69" s="46" t="s">
        <v>174</v>
      </c>
      <c r="D69" s="47">
        <v>4.3302640000000006</v>
      </c>
      <c r="E69" s="47">
        <v>5.074033</v>
      </c>
      <c r="F69" s="98">
        <v>9.9999999999999995E-7</v>
      </c>
      <c r="G69" s="140"/>
      <c r="H69" s="140"/>
      <c r="I69" s="54">
        <f t="shared" si="24"/>
        <v>2.1724337273682748</v>
      </c>
      <c r="J69" s="54">
        <f t="shared" si="25"/>
        <v>5.0555035272524416</v>
      </c>
      <c r="K69" s="55">
        <f t="shared" si="26"/>
        <v>5.3006125811348413E-3</v>
      </c>
      <c r="L69" s="55">
        <f t="shared" si="27"/>
        <v>0.20747078130124733</v>
      </c>
      <c r="M69" s="55">
        <f t="shared" si="28"/>
        <v>0.7925292186987527</v>
      </c>
      <c r="N69" s="55">
        <f t="shared" si="29"/>
        <v>0.20633804709998599</v>
      </c>
      <c r="O69" s="56">
        <f t="shared" si="30"/>
        <v>5.3300385239332843E-9</v>
      </c>
      <c r="P69" s="56">
        <f t="shared" si="31"/>
        <v>6.0566694928688709E-4</v>
      </c>
      <c r="Q69" s="56">
        <f t="shared" si="32"/>
        <v>6.3206733682736151E-4</v>
      </c>
      <c r="R69" s="9">
        <f>F69*$C$14</f>
        <v>1.4999999999999999E-4</v>
      </c>
      <c r="S69" s="9">
        <f t="shared" si="39"/>
        <v>3.1120617195187096E-5</v>
      </c>
      <c r="T69" s="9">
        <f t="shared" si="40"/>
        <v>7.9509188717022612E-7</v>
      </c>
      <c r="U69" s="9">
        <f t="shared" si="41"/>
        <v>1.188793828048129E-4</v>
      </c>
      <c r="V69" s="102">
        <f t="shared" si="42"/>
        <v>6.6882235456730216E-3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175</v>
      </c>
      <c r="C70" s="46" t="s">
        <v>176</v>
      </c>
      <c r="D70" s="47">
        <v>1.4854320000000003</v>
      </c>
      <c r="E70" s="47">
        <v>1.5057189999999996</v>
      </c>
      <c r="F70" s="98">
        <v>9.9999999999999995E-7</v>
      </c>
      <c r="G70" s="140"/>
      <c r="H70" s="140"/>
      <c r="I70" s="54">
        <f t="shared" si="24"/>
        <v>6.2122287627494992E-2</v>
      </c>
      <c r="J70" s="54">
        <f t="shared" si="25"/>
        <v>1.4974934704256861</v>
      </c>
      <c r="K70" s="55">
        <f t="shared" si="26"/>
        <v>0.85425139419597407</v>
      </c>
      <c r="L70" s="55">
        <f t="shared" si="27"/>
        <v>9.2513799762289402E-3</v>
      </c>
      <c r="M70" s="55">
        <f t="shared" si="28"/>
        <v>0.99074862002377106</v>
      </c>
      <c r="N70" s="55">
        <f t="shared" si="29"/>
        <v>8.9851420830201045E-3</v>
      </c>
      <c r="O70" s="56">
        <f t="shared" si="30"/>
        <v>8.5899370506596003E-7</v>
      </c>
      <c r="P70" s="56">
        <f t="shared" si="31"/>
        <v>2.7007441972084027E-5</v>
      </c>
      <c r="Q70" s="56">
        <f t="shared" si="32"/>
        <v>2.7523837252748496E-5</v>
      </c>
      <c r="R70" s="9">
        <f t="shared" ref="R70:R86" si="43">F70*$C$14</f>
        <v>1.4999999999999999E-4</v>
      </c>
      <c r="S70" s="9">
        <f t="shared" si="39"/>
        <v>1.387706996434341E-6</v>
      </c>
      <c r="T70" s="9">
        <f t="shared" si="40"/>
        <v>1.2813770912939611E-4</v>
      </c>
      <c r="U70" s="9">
        <f t="shared" si="41"/>
        <v>1.4861229300356564E-4</v>
      </c>
      <c r="V70" s="102">
        <f t="shared" si="42"/>
        <v>0.86222819485277502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177</v>
      </c>
      <c r="C71" s="46" t="s">
        <v>178</v>
      </c>
      <c r="D71" s="47">
        <v>2.0758240000000003</v>
      </c>
      <c r="E71" s="47">
        <v>2.477398</v>
      </c>
      <c r="F71" s="98">
        <v>9.9999999999999995E-7</v>
      </c>
      <c r="G71" s="140"/>
      <c r="H71" s="140"/>
      <c r="I71" s="54">
        <f t="shared" ref="I71:I122" si="44">IF(D71=0,"",LOG($K$15*10^D71+$K$16*10^E71+$K$14))</f>
        <v>0.22542744412672311</v>
      </c>
      <c r="J71" s="54">
        <f t="shared" ref="J71:J122" si="45">IF(D71=0,"",LOG($K$21*10^D71+$K$22*10^E71+$K$20))</f>
        <v>2.4617287350279575</v>
      </c>
      <c r="K71" s="55">
        <f t="shared" ref="K71:K122" si="46">IF(D71=0,"",1/(1+10^D71*$J$15/$J$14+10^E71*$J$16/$J$14+10^J71*$J$19/$J$14))</f>
        <v>0.55898892786407262</v>
      </c>
      <c r="L71" s="55">
        <f t="shared" ref="L71:L122" si="47">IF(D71=0,"",1/(1+10^I71/10^J71*$J$13/$J$19))</f>
        <v>5.5751851262016136E-2</v>
      </c>
      <c r="M71" s="55">
        <f t="shared" si="19"/>
        <v>0.94424814873798391</v>
      </c>
      <c r="N71" s="55">
        <f t="shared" ref="N71:N122" si="48">IF(D71=0,"",1/(1/10^E71*$J$20/$J$22+10^D71/10^E71*$J$21/$J$22+10^I71/10^E71*$J$13/$J$22+1))</f>
        <v>5.5083491248313007E-2</v>
      </c>
      <c r="O71" s="56">
        <f t="shared" si="21"/>
        <v>5.6209211187620609E-7</v>
      </c>
      <c r="P71" s="56">
        <f t="shared" ref="P71:P122" si="49">IF(D71=0,"",O71*10^J71)</f>
        <v>1.6275570689605617E-4</v>
      </c>
      <c r="Q71" s="56">
        <f t="shared" ref="Q71:Q122" si="50">IF(D71=0,"",F71*N71*$J$7/$J$22)</f>
        <v>1.6873512231897457E-4</v>
      </c>
      <c r="R71" s="9">
        <f t="shared" si="43"/>
        <v>1.4999999999999999E-4</v>
      </c>
      <c r="S71" s="9">
        <f t="shared" si="39"/>
        <v>8.3627776893024201E-6</v>
      </c>
      <c r="T71" s="9">
        <f t="shared" si="40"/>
        <v>8.3848339179610885E-5</v>
      </c>
      <c r="U71" s="9">
        <f t="shared" si="41"/>
        <v>1.4163722231069756E-4</v>
      </c>
      <c r="V71" s="102">
        <f t="shared" si="42"/>
        <v>0.59199367095522315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179</v>
      </c>
      <c r="C72" s="46" t="s">
        <v>180</v>
      </c>
      <c r="D72" s="47">
        <v>2.3078000000000003</v>
      </c>
      <c r="E72" s="47">
        <v>2.5099249999999995</v>
      </c>
      <c r="F72" s="98">
        <v>9.9999999999999995E-7</v>
      </c>
      <c r="G72" s="140"/>
      <c r="H72" s="140"/>
      <c r="I72" s="54">
        <f t="shared" si="44"/>
        <v>0.32073739190116707</v>
      </c>
      <c r="J72" s="54">
        <f t="shared" si="45"/>
        <v>2.4972623302127044</v>
      </c>
      <c r="K72" s="55">
        <f t="shared" si="46"/>
        <v>0.45208274551499333</v>
      </c>
      <c r="L72" s="55">
        <f t="shared" si="47"/>
        <v>4.89336503147852E-2</v>
      </c>
      <c r="M72" s="55">
        <f t="shared" si="19"/>
        <v>0.95106634968521475</v>
      </c>
      <c r="N72" s="55">
        <f t="shared" si="48"/>
        <v>4.8013479993315671E-2</v>
      </c>
      <c r="O72" s="56">
        <f t="shared" si="21"/>
        <v>4.5459244808352908E-7</v>
      </c>
      <c r="P72" s="56">
        <f t="shared" si="49"/>
        <v>1.4285141511369574E-4</v>
      </c>
      <c r="Q72" s="56">
        <f t="shared" si="50"/>
        <v>1.4707783105305397E-4</v>
      </c>
      <c r="R72" s="9">
        <f t="shared" si="43"/>
        <v>1.4999999999999999E-4</v>
      </c>
      <c r="S72" s="9">
        <f t="shared" si="39"/>
        <v>7.3400475472177796E-6</v>
      </c>
      <c r="T72" s="9">
        <f t="shared" si="40"/>
        <v>6.7812411827249E-5</v>
      </c>
      <c r="U72" s="9">
        <f t="shared" si="41"/>
        <v>1.426599524527822E-4</v>
      </c>
      <c r="V72" s="102">
        <f t="shared" si="42"/>
        <v>0.47534301435922355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181</v>
      </c>
      <c r="C73" s="46" t="s">
        <v>182</v>
      </c>
      <c r="D73" s="47">
        <v>5.676184000000001</v>
      </c>
      <c r="E73" s="47">
        <v>7.0708080000000004</v>
      </c>
      <c r="F73" s="98">
        <v>9.9999999999999995E-7</v>
      </c>
      <c r="G73" s="140"/>
      <c r="H73" s="140"/>
      <c r="I73" s="54">
        <f t="shared" si="44"/>
        <v>3.8293839195374848</v>
      </c>
      <c r="J73" s="54">
        <f t="shared" si="45"/>
        <v>7.0504332537206764</v>
      </c>
      <c r="K73" s="55">
        <f t="shared" si="46"/>
        <v>9.3852125303642593E-5</v>
      </c>
      <c r="L73" s="55">
        <f t="shared" si="47"/>
        <v>0.36308199881406267</v>
      </c>
      <c r="M73" s="55">
        <f t="shared" si="19"/>
        <v>0.63691800118593733</v>
      </c>
      <c r="N73" s="55">
        <f t="shared" si="48"/>
        <v>0.36263720982253544</v>
      </c>
      <c r="O73" s="56">
        <f t="shared" si="21"/>
        <v>9.4373138154218825E-11</v>
      </c>
      <c r="P73" s="56">
        <f t="shared" si="49"/>
        <v>1.0599408995495805E-3</v>
      </c>
      <c r="Q73" s="56">
        <f t="shared" si="50"/>
        <v>1.110852499907423E-3</v>
      </c>
      <c r="R73" s="9">
        <f t="shared" si="43"/>
        <v>1.4999999999999999E-4</v>
      </c>
      <c r="S73" s="9">
        <f t="shared" si="39"/>
        <v>5.4462299822109395E-5</v>
      </c>
      <c r="T73" s="9">
        <f t="shared" si="40"/>
        <v>1.4077818795546387E-8</v>
      </c>
      <c r="U73" s="9">
        <f t="shared" si="41"/>
        <v>9.5537700177890592E-5</v>
      </c>
      <c r="V73" s="102">
        <f t="shared" si="42"/>
        <v>1.4735354492868865E-4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183</v>
      </c>
      <c r="C74" s="46" t="s">
        <v>184</v>
      </c>
      <c r="D74" s="47">
        <v>1.2599279999999999</v>
      </c>
      <c r="E74" s="47">
        <v>1.3925860000000003</v>
      </c>
      <c r="F74" s="98">
        <v>9.9999999999999995E-7</v>
      </c>
      <c r="G74" s="140"/>
      <c r="H74" s="140"/>
      <c r="I74" s="54">
        <f t="shared" si="44"/>
        <v>3.8037572032670899E-2</v>
      </c>
      <c r="J74" s="54">
        <f t="shared" si="45"/>
        <v>1.3816332663919468</v>
      </c>
      <c r="K74" s="55">
        <f t="shared" si="46"/>
        <v>0.90455801264378433</v>
      </c>
      <c r="L74" s="55">
        <f t="shared" si="47"/>
        <v>7.5023452064392976E-3</v>
      </c>
      <c r="M74" s="55">
        <f t="shared" si="19"/>
        <v>0.99249765479356067</v>
      </c>
      <c r="N74" s="55">
        <f t="shared" si="48"/>
        <v>7.33234139821196E-3</v>
      </c>
      <c r="O74" s="56">
        <f t="shared" si="21"/>
        <v>9.0957959683438562E-7</v>
      </c>
      <c r="P74" s="56">
        <f t="shared" si="49"/>
        <v>2.1901505865943687E-5</v>
      </c>
      <c r="Q74" s="56">
        <f t="shared" si="50"/>
        <v>2.2460877019113553E-5</v>
      </c>
      <c r="R74" s="9">
        <f t="shared" si="43"/>
        <v>1.4999999999999999E-4</v>
      </c>
      <c r="S74" s="9">
        <f t="shared" si="39"/>
        <v>1.1253517809658946E-6</v>
      </c>
      <c r="T74" s="9">
        <f t="shared" si="40"/>
        <v>1.3568370189656764E-4</v>
      </c>
      <c r="U74" s="9">
        <f t="shared" si="41"/>
        <v>1.488746482190341E-4</v>
      </c>
      <c r="V74" s="102">
        <f t="shared" si="42"/>
        <v>0.91139561718353101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185</v>
      </c>
      <c r="C75" s="46" t="s">
        <v>186</v>
      </c>
      <c r="D75" s="47">
        <v>1.2889359999999999</v>
      </c>
      <c r="E75" s="47">
        <v>1.371977</v>
      </c>
      <c r="F75" s="98">
        <v>9.9999999999999995E-7</v>
      </c>
      <c r="G75" s="140"/>
      <c r="H75" s="140"/>
      <c r="I75" s="54">
        <f t="shared" si="44"/>
        <v>4.0258976380178252E-2</v>
      </c>
      <c r="J75" s="54">
        <f t="shared" si="45"/>
        <v>1.3621902530651464</v>
      </c>
      <c r="K75" s="55">
        <f t="shared" si="46"/>
        <v>0.9002716955362311</v>
      </c>
      <c r="L75" s="55">
        <f t="shared" si="47"/>
        <v>7.1398847468206808E-3</v>
      </c>
      <c r="M75" s="55">
        <f t="shared" si="19"/>
        <v>0.9928601152531793</v>
      </c>
      <c r="N75" s="55">
        <f t="shared" si="48"/>
        <v>6.9593847788259082E-3</v>
      </c>
      <c r="O75" s="56">
        <f t="shared" si="21"/>
        <v>9.0526948456729321E-7</v>
      </c>
      <c r="P75" s="56">
        <f t="shared" si="49"/>
        <v>2.0843379418270199E-5</v>
      </c>
      <c r="Q75" s="56">
        <f t="shared" si="50"/>
        <v>2.1318413472130152E-5</v>
      </c>
      <c r="R75" s="9">
        <f t="shared" si="43"/>
        <v>1.4999999999999999E-4</v>
      </c>
      <c r="S75" s="9">
        <f t="shared" si="39"/>
        <v>1.0709827120231019E-6</v>
      </c>
      <c r="T75" s="9">
        <f t="shared" si="40"/>
        <v>1.3504075433043466E-4</v>
      </c>
      <c r="U75" s="9">
        <f t="shared" si="41"/>
        <v>1.4892901728797689E-4</v>
      </c>
      <c r="V75" s="102">
        <f t="shared" si="42"/>
        <v>0.90674575572678917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187</v>
      </c>
      <c r="C76" s="46" t="s">
        <v>188</v>
      </c>
      <c r="D76" s="47">
        <v>3.3144320000000005</v>
      </c>
      <c r="E76" s="47">
        <v>3.8699789999999998</v>
      </c>
      <c r="F76" s="98">
        <v>9.9999999999999995E-7</v>
      </c>
      <c r="G76" s="140"/>
      <c r="H76" s="140"/>
      <c r="I76" s="54">
        <f t="shared" si="44"/>
        <v>1.137117589232139</v>
      </c>
      <c r="J76" s="54">
        <f t="shared" si="45"/>
        <v>3.8527349289281725</v>
      </c>
      <c r="K76" s="55">
        <f t="shared" si="46"/>
        <v>6.1584464787314344E-2</v>
      </c>
      <c r="L76" s="55">
        <f t="shared" si="47"/>
        <v>0.1511240043144709</v>
      </c>
      <c r="M76" s="55">
        <f t="shared" si="19"/>
        <v>0.84887599568552907</v>
      </c>
      <c r="N76" s="55">
        <f t="shared" si="48"/>
        <v>0.14985471919925675</v>
      </c>
      <c r="O76" s="56">
        <f t="shared" si="21"/>
        <v>6.1926346203917748E-8</v>
      </c>
      <c r="P76" s="56">
        <f t="shared" si="49"/>
        <v>4.4117448289868492E-4</v>
      </c>
      <c r="Q76" s="56">
        <f t="shared" si="50"/>
        <v>4.5904414918392778E-4</v>
      </c>
      <c r="R76" s="9">
        <f t="shared" si="43"/>
        <v>1.4999999999999999E-4</v>
      </c>
      <c r="S76" s="9">
        <f t="shared" si="39"/>
        <v>2.2668600647170633E-5</v>
      </c>
      <c r="T76" s="9">
        <f t="shared" si="40"/>
        <v>9.2376697180971514E-6</v>
      </c>
      <c r="U76" s="9">
        <f t="shared" si="41"/>
        <v>1.2733139935282935E-4</v>
      </c>
      <c r="V76" s="102">
        <f t="shared" si="42"/>
        <v>7.2548246269563091E-2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100</v>
      </c>
      <c r="C77" s="46" t="s">
        <v>101</v>
      </c>
      <c r="D77" s="47">
        <v>0.29376000000000013</v>
      </c>
      <c r="E77" s="47">
        <v>0.18140000000000034</v>
      </c>
      <c r="F77" s="98">
        <v>9.9999999999999995E-7</v>
      </c>
      <c r="G77" s="140"/>
      <c r="H77" s="140"/>
      <c r="I77" s="54">
        <f t="shared" si="44"/>
        <v>2.0958974367173925E-3</v>
      </c>
      <c r="J77" s="54">
        <f t="shared" si="45"/>
        <v>0.18244842776560238</v>
      </c>
      <c r="K77" s="55">
        <f t="shared" si="46"/>
        <v>0.98951695576469223</v>
      </c>
      <c r="L77" s="55">
        <f t="shared" si="47"/>
        <v>5.1879886861902534E-4</v>
      </c>
      <c r="M77" s="55">
        <f t="shared" si="19"/>
        <v>0.99948120113138095</v>
      </c>
      <c r="N77" s="55">
        <f t="shared" si="48"/>
        <v>4.9322319619148601E-4</v>
      </c>
      <c r="O77" s="56">
        <f t="shared" si="21"/>
        <v>9.9501018298941949E-7</v>
      </c>
      <c r="P77" s="56">
        <f t="shared" si="49"/>
        <v>1.514523279274335E-6</v>
      </c>
      <c r="Q77" s="56">
        <f t="shared" si="50"/>
        <v>1.5108714871531461E-6</v>
      </c>
      <c r="R77" s="9">
        <f t="shared" si="43"/>
        <v>1.4999999999999999E-4</v>
      </c>
      <c r="S77" s="9">
        <f t="shared" si="39"/>
        <v>7.781983029285379E-8</v>
      </c>
      <c r="T77" s="9">
        <f t="shared" si="40"/>
        <v>1.4842754336470381E-4</v>
      </c>
      <c r="U77" s="9">
        <f t="shared" si="41"/>
        <v>1.4992218016970712E-4</v>
      </c>
      <c r="V77" s="102">
        <f t="shared" si="42"/>
        <v>0.99003058251079712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189</v>
      </c>
      <c r="C78" s="46" t="s">
        <v>190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8.7763082204907472E-2</v>
      </c>
      <c r="J78" s="54">
        <f t="shared" si="45"/>
        <v>1.885940844009744</v>
      </c>
      <c r="K78" s="55">
        <f t="shared" si="46"/>
        <v>0.79566486766902744</v>
      </c>
      <c r="L78" s="55">
        <f t="shared" si="47"/>
        <v>2.1076494451005592E-2</v>
      </c>
      <c r="M78" s="55">
        <f t="shared" si="19"/>
        <v>0.97892350554899443</v>
      </c>
      <c r="N78" s="55">
        <f t="shared" si="48"/>
        <v>2.0742133977311193E-2</v>
      </c>
      <c r="O78" s="56">
        <f t="shared" si="21"/>
        <v>8.0008193994593516E-7</v>
      </c>
      <c r="P78" s="56">
        <f t="shared" si="49"/>
        <v>6.1528356020731922E-5</v>
      </c>
      <c r="Q78" s="56">
        <f t="shared" si="50"/>
        <v>6.353857452572692E-5</v>
      </c>
      <c r="R78" s="9">
        <f t="shared" si="43"/>
        <v>1.4999999999999999E-4</v>
      </c>
      <c r="S78" s="9">
        <f t="shared" si="39"/>
        <v>3.1614741676508387E-6</v>
      </c>
      <c r="T78" s="9">
        <f t="shared" si="40"/>
        <v>1.193497301503541E-4</v>
      </c>
      <c r="U78" s="9">
        <f t="shared" si="41"/>
        <v>1.4683852583234915E-4</v>
      </c>
      <c r="V78" s="102">
        <f t="shared" si="42"/>
        <v>0.81279575284363725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191</v>
      </c>
      <c r="C79" s="46" t="s">
        <v>192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0.50667591684415281</v>
      </c>
      <c r="J79" s="54">
        <f t="shared" si="45"/>
        <v>2.9485807923787242</v>
      </c>
      <c r="K79" s="55">
        <f t="shared" si="46"/>
        <v>0.2829674874373781</v>
      </c>
      <c r="L79" s="55">
        <f t="shared" si="47"/>
        <v>8.6585403086401322E-2</v>
      </c>
      <c r="M79" s="55">
        <f t="shared" si="19"/>
        <v>0.91341459691359872</v>
      </c>
      <c r="N79" s="55">
        <f t="shared" si="48"/>
        <v>8.5484384950634124E-2</v>
      </c>
      <c r="O79" s="56">
        <f t="shared" si="21"/>
        <v>2.8453835966614393E-7</v>
      </c>
      <c r="P79" s="56">
        <f t="shared" si="49"/>
        <v>2.5276772281476343E-4</v>
      </c>
      <c r="Q79" s="56">
        <f t="shared" si="50"/>
        <v>2.6186100089378982E-4</v>
      </c>
      <c r="R79" s="9">
        <f t="shared" si="43"/>
        <v>1.4999999999999999E-4</v>
      </c>
      <c r="S79" s="9">
        <f t="shared" si="39"/>
        <v>1.2987810462960198E-5</v>
      </c>
      <c r="T79" s="9">
        <f t="shared" si="40"/>
        <v>4.244512311560671E-5</v>
      </c>
      <c r="U79" s="9">
        <f t="shared" si="41"/>
        <v>1.3701218953703979E-4</v>
      </c>
      <c r="V79" s="102">
        <f t="shared" si="42"/>
        <v>0.3097908533468996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193</v>
      </c>
      <c r="C80" s="46" t="s">
        <v>194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2.9778200964006376</v>
      </c>
      <c r="J80" s="54">
        <f t="shared" si="45"/>
        <v>6.0157499789101383</v>
      </c>
      <c r="K80" s="55">
        <f t="shared" si="46"/>
        <v>7.6200302121313284E-4</v>
      </c>
      <c r="L80" s="55">
        <f t="shared" si="47"/>
        <v>0.27216609634546551</v>
      </c>
      <c r="M80" s="55">
        <f t="shared" si="19"/>
        <v>0.72783390365453449</v>
      </c>
      <c r="N80" s="55">
        <f t="shared" si="48"/>
        <v>0.27131446340239213</v>
      </c>
      <c r="O80" s="56">
        <f t="shared" si="21"/>
        <v>7.6623322234012365E-10</v>
      </c>
      <c r="P80" s="56">
        <f t="shared" si="49"/>
        <v>7.9453120212396851E-4</v>
      </c>
      <c r="Q80" s="56">
        <f t="shared" si="50"/>
        <v>8.3110707276586536E-4</v>
      </c>
      <c r="R80" s="9">
        <f t="shared" si="43"/>
        <v>1.4999999999999999E-4</v>
      </c>
      <c r="S80" s="9">
        <f t="shared" si="39"/>
        <v>4.0824914451819823E-5</v>
      </c>
      <c r="T80" s="9">
        <f t="shared" si="40"/>
        <v>1.1430045318196991E-7</v>
      </c>
      <c r="U80" s="9">
        <f t="shared" si="41"/>
        <v>1.0917508554818016E-4</v>
      </c>
      <c r="V80" s="102">
        <f t="shared" si="42"/>
        <v>1.0469463120459646E-3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195</v>
      </c>
      <c r="C81" s="46" t="s">
        <v>196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0.64393554165863076</v>
      </c>
      <c r="J81" s="54">
        <f t="shared" si="45"/>
        <v>3.3134507884219753</v>
      </c>
      <c r="K81" s="55">
        <f t="shared" si="46"/>
        <v>0.19467676572459605</v>
      </c>
      <c r="L81" s="55">
        <f t="shared" si="47"/>
        <v>0.13800418701986483</v>
      </c>
      <c r="M81" s="55">
        <f t="shared" si="19"/>
        <v>0.86199581298013517</v>
      </c>
      <c r="N81" s="55">
        <f t="shared" si="48"/>
        <v>0.13695136814827669</v>
      </c>
      <c r="O81" s="56">
        <f t="shared" si="21"/>
        <v>1.9575749880680357E-7</v>
      </c>
      <c r="P81" s="56">
        <f t="shared" si="49"/>
        <v>4.0287395852514699E-4</v>
      </c>
      <c r="Q81" s="56">
        <f t="shared" si="50"/>
        <v>4.1951781436798651E-4</v>
      </c>
      <c r="R81" s="9">
        <f t="shared" si="43"/>
        <v>1.4999999999999999E-4</v>
      </c>
      <c r="S81" s="9">
        <f t="shared" si="39"/>
        <v>2.0700628052979722E-5</v>
      </c>
      <c r="T81" s="9">
        <f t="shared" si="40"/>
        <v>2.9201514858689405E-5</v>
      </c>
      <c r="U81" s="9">
        <f t="shared" si="41"/>
        <v>1.2929937194702026E-4</v>
      </c>
      <c r="V81" s="102">
        <f t="shared" si="42"/>
        <v>0.2258442126900243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197</v>
      </c>
      <c r="C82" s="46" t="s">
        <v>198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1.3135143326183101</v>
      </c>
      <c r="J82" s="54">
        <f t="shared" si="45"/>
        <v>4.2041181793483684</v>
      </c>
      <c r="K82" s="55">
        <f t="shared" si="46"/>
        <v>3.8165554948545143E-2</v>
      </c>
      <c r="L82" s="55">
        <f t="shared" si="47"/>
        <v>0.21033769634185559</v>
      </c>
      <c r="M82" s="55">
        <f t="shared" si="19"/>
        <v>0.78966230365814438</v>
      </c>
      <c r="N82" s="55">
        <f t="shared" si="48"/>
        <v>0.2092858346388998</v>
      </c>
      <c r="O82" s="56">
        <f t="shared" si="21"/>
        <v>3.8377428089544688E-8</v>
      </c>
      <c r="P82" s="56">
        <f t="shared" si="49"/>
        <v>6.1403629978346941E-4</v>
      </c>
      <c r="Q82" s="56">
        <f t="shared" si="50"/>
        <v>6.4109718006490686E-4</v>
      </c>
      <c r="R82" s="9">
        <f t="shared" si="43"/>
        <v>1.4999999999999999E-4</v>
      </c>
      <c r="S82" s="9">
        <f t="shared" si="39"/>
        <v>3.1550654451278334E-5</v>
      </c>
      <c r="T82" s="9">
        <f t="shared" si="40"/>
        <v>5.7248332422817705E-6</v>
      </c>
      <c r="U82" s="9">
        <f t="shared" si="41"/>
        <v>1.1844934554872165E-4</v>
      </c>
      <c r="V82" s="102">
        <f t="shared" si="42"/>
        <v>4.8331489007062356E-2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199</v>
      </c>
      <c r="C83" s="46" t="s">
        <v>200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0.78379345695532832</v>
      </c>
      <c r="J83" s="54">
        <f t="shared" si="45"/>
        <v>3.5134526251640912</v>
      </c>
      <c r="K83" s="55">
        <f t="shared" si="46"/>
        <v>0.13824324054501155</v>
      </c>
      <c r="L83" s="55">
        <f t="shared" si="47"/>
        <v>0.15531874860698372</v>
      </c>
      <c r="M83" s="55">
        <f t="shared" si="19"/>
        <v>0.84468125139301631</v>
      </c>
      <c r="N83" s="55">
        <f t="shared" si="48"/>
        <v>0.15422691031107152</v>
      </c>
      <c r="O83" s="56">
        <f t="shared" si="21"/>
        <v>1.3901068725542138E-7</v>
      </c>
      <c r="P83" s="56">
        <f t="shared" si="49"/>
        <v>4.5342014931373472E-4</v>
      </c>
      <c r="Q83" s="56">
        <f t="shared" si="50"/>
        <v>4.7243731264062121E-4</v>
      </c>
      <c r="R83" s="9">
        <f t="shared" si="43"/>
        <v>1.4999999999999999E-4</v>
      </c>
      <c r="S83" s="9">
        <f t="shared" si="39"/>
        <v>2.3297812291047556E-5</v>
      </c>
      <c r="T83" s="9">
        <f t="shared" si="40"/>
        <v>2.0736486081751733E-5</v>
      </c>
      <c r="U83" s="9">
        <f t="shared" si="41"/>
        <v>1.2670218770895243E-4</v>
      </c>
      <c r="V83" s="102">
        <f t="shared" si="42"/>
        <v>0.16366320469055759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102</v>
      </c>
      <c r="C84" s="46" t="s">
        <v>103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5.6400487609719711E-2</v>
      </c>
      <c r="J84" s="54">
        <f t="shared" si="45"/>
        <v>1.6261045420364111</v>
      </c>
      <c r="K84" s="55">
        <f t="shared" si="46"/>
        <v>0.86268752484519373</v>
      </c>
      <c r="L84" s="55">
        <f t="shared" si="47"/>
        <v>1.2562770094157228E-2</v>
      </c>
      <c r="M84" s="55">
        <f t="shared" si="19"/>
        <v>0.98743722990584282</v>
      </c>
      <c r="N84" s="55">
        <f t="shared" si="48"/>
        <v>1.2328855730972995E-2</v>
      </c>
      <c r="O84" s="56">
        <f t="shared" si="21"/>
        <v>8.6747666824521754E-7</v>
      </c>
      <c r="P84" s="56">
        <f t="shared" si="49"/>
        <v>3.6674343200514084E-5</v>
      </c>
      <c r="Q84" s="56">
        <f t="shared" si="50"/>
        <v>3.7766505584056111E-5</v>
      </c>
      <c r="R84" s="9">
        <f t="shared" si="43"/>
        <v>1.4999999999999999E-4</v>
      </c>
      <c r="S84" s="9">
        <f t="shared" si="39"/>
        <v>1.8844155141235841E-6</v>
      </c>
      <c r="T84" s="9">
        <f t="shared" si="40"/>
        <v>1.2940312872677904E-4</v>
      </c>
      <c r="U84" s="9">
        <f t="shared" si="41"/>
        <v>1.4811558448587641E-4</v>
      </c>
      <c r="V84" s="102">
        <f t="shared" si="42"/>
        <v>0.87366315419103191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201</v>
      </c>
      <c r="C85" s="46" t="s">
        <v>202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0.61860589125383414</v>
      </c>
      <c r="J85" s="54">
        <f t="shared" si="45"/>
        <v>3.3071272258548747</v>
      </c>
      <c r="K85" s="55">
        <f t="shared" si="46"/>
        <v>0.20510245340998665</v>
      </c>
      <c r="L85" s="55">
        <f t="shared" si="47"/>
        <v>0.14329315116501823</v>
      </c>
      <c r="M85" s="55">
        <f t="shared" si="19"/>
        <v>0.85670684883498183</v>
      </c>
      <c r="N85" s="55">
        <f t="shared" si="48"/>
        <v>0.14228565195242324</v>
      </c>
      <c r="O85" s="56">
        <f t="shared" si="21"/>
        <v>2.0624106389499787E-7</v>
      </c>
      <c r="P85" s="56">
        <f t="shared" si="49"/>
        <v>4.1831396775724941E-4</v>
      </c>
      <c r="Q85" s="56">
        <f t="shared" si="50"/>
        <v>4.3585811905418157E-4</v>
      </c>
      <c r="R85" s="9">
        <f t="shared" si="43"/>
        <v>1.4999999999999999E-4</v>
      </c>
      <c r="S85" s="9">
        <f t="shared" si="39"/>
        <v>2.1493972674752732E-5</v>
      </c>
      <c r="T85" s="9">
        <f t="shared" si="40"/>
        <v>3.0765368011497992E-5</v>
      </c>
      <c r="U85" s="9">
        <f t="shared" si="41"/>
        <v>1.2850602732524725E-4</v>
      </c>
      <c r="V85" s="102">
        <f t="shared" si="42"/>
        <v>0.23940797682299528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104</v>
      </c>
      <c r="C86" s="46" t="s">
        <v>105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0.26171036693668792</v>
      </c>
      <c r="J86" s="54">
        <f t="shared" si="45"/>
        <v>2.5944953006708373</v>
      </c>
      <c r="K86" s="55">
        <f t="shared" si="46"/>
        <v>0.50715205657245355</v>
      </c>
      <c r="L86" s="55">
        <f t="shared" si="47"/>
        <v>6.866901909720477E-2</v>
      </c>
      <c r="M86" s="55">
        <f t="shared" si="19"/>
        <v>0.9313309809027952</v>
      </c>
      <c r="N86" s="55">
        <f t="shared" si="48"/>
        <v>6.7951405446911611E-2</v>
      </c>
      <c r="O86" s="56">
        <f t="shared" si="21"/>
        <v>5.0996747218308061E-7</v>
      </c>
      <c r="P86" s="56">
        <f t="shared" si="49"/>
        <v>2.0046463914712669E-4</v>
      </c>
      <c r="Q86" s="56">
        <f t="shared" si="50"/>
        <v>2.0815290479943969E-4</v>
      </c>
      <c r="R86" s="9">
        <f t="shared" si="43"/>
        <v>1.4999999999999999E-4</v>
      </c>
      <c r="S86" s="9">
        <f t="shared" si="39"/>
        <v>1.0300352864580715E-5</v>
      </c>
      <c r="T86" s="9">
        <f t="shared" si="40"/>
        <v>7.6072808485868029E-5</v>
      </c>
      <c r="U86" s="9">
        <f t="shared" si="41"/>
        <v>1.3969964713541927E-4</v>
      </c>
      <c r="V86" s="102">
        <f t="shared" si="42"/>
        <v>0.54454545910288576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203</v>
      </c>
      <c r="C87" s="46" t="s">
        <v>204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205</v>
      </c>
      <c r="C88" s="46" t="s">
        <v>206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2.1363569008891736</v>
      </c>
      <c r="J88" s="54">
        <f t="shared" si="45"/>
        <v>5.2258583214073822</v>
      </c>
      <c r="K88" s="55">
        <f t="shared" si="46"/>
        <v>5.1140681567093688E-3</v>
      </c>
      <c r="L88" s="55">
        <f t="shared" si="47"/>
        <v>0.29631400961495741</v>
      </c>
      <c r="M88" s="55">
        <f t="shared" si="19"/>
        <v>0.70368599038504254</v>
      </c>
      <c r="N88" s="55">
        <f t="shared" si="48"/>
        <v>0.29557980921295196</v>
      </c>
      <c r="O88" s="56">
        <f t="shared" si="21"/>
        <v>5.1424585124924451E-9</v>
      </c>
      <c r="P88" s="56">
        <f t="shared" si="49"/>
        <v>8.650259140532651E-4</v>
      </c>
      <c r="Q88" s="56">
        <f t="shared" si="50"/>
        <v>9.0543816545205077E-4</v>
      </c>
      <c r="R88" s="9">
        <f>F88*$C$14</f>
        <v>1.4999999999999999E-4</v>
      </c>
      <c r="S88" s="9">
        <f t="shared" si="39"/>
        <v>4.4447101442243606E-5</v>
      </c>
      <c r="T88" s="9">
        <f t="shared" si="40"/>
        <v>7.6711022350640527E-7</v>
      </c>
      <c r="U88" s="9">
        <f t="shared" si="41"/>
        <v>1.0555289855775637E-4</v>
      </c>
      <c r="V88" s="102">
        <f t="shared" si="42"/>
        <v>7.2675429475454753E-3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207</v>
      </c>
      <c r="C89" s="46" t="s">
        <v>208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3.5207953657582807</v>
      </c>
      <c r="J89" s="54">
        <f t="shared" si="45"/>
        <v>6.7130505038246406</v>
      </c>
      <c r="K89" s="55">
        <f t="shared" si="46"/>
        <v>1.9555455896134386E-4</v>
      </c>
      <c r="L89" s="55">
        <f t="shared" si="47"/>
        <v>0.34789308870096586</v>
      </c>
      <c r="M89" s="55">
        <f t="shared" si="19"/>
        <v>0.65210691129903409</v>
      </c>
      <c r="N89" s="55">
        <f t="shared" si="48"/>
        <v>0.3473803095935738</v>
      </c>
      <c r="O89" s="56">
        <f t="shared" si="21"/>
        <v>1.9664016504514844E-10</v>
      </c>
      <c r="P89" s="56">
        <f t="shared" si="49"/>
        <v>1.0156000974689517E-3</v>
      </c>
      <c r="Q89" s="56">
        <f t="shared" si="50"/>
        <v>1.0641166291773506E-3</v>
      </c>
      <c r="R89" s="9">
        <f>F89*$C$14</f>
        <v>1.4999999999999999E-4</v>
      </c>
      <c r="S89" s="9">
        <f t="shared" si="39"/>
        <v>5.2183963305144872E-5</v>
      </c>
      <c r="T89" s="9">
        <f t="shared" si="40"/>
        <v>2.9333183844201578E-8</v>
      </c>
      <c r="U89" s="9">
        <f t="shared" si="41"/>
        <v>9.7816036694855108E-5</v>
      </c>
      <c r="V89" s="102">
        <f t="shared" si="42"/>
        <v>2.9988113233118176E-4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209</v>
      </c>
      <c r="C90" s="46" t="s">
        <v>210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3.8666483056990257</v>
      </c>
      <c r="J90" s="54">
        <f t="shared" si="45"/>
        <v>7.099350372052486</v>
      </c>
      <c r="K90" s="55">
        <f t="shared" si="46"/>
        <v>8.5292842649085988E-5</v>
      </c>
      <c r="L90" s="55">
        <f t="shared" si="47"/>
        <v>0.36930935850474533</v>
      </c>
      <c r="M90" s="55">
        <f t="shared" si="19"/>
        <v>0.63069064149525467</v>
      </c>
      <c r="N90" s="55">
        <f t="shared" si="48"/>
        <v>0.36889251360715464</v>
      </c>
      <c r="O90" s="56">
        <f t="shared" si="21"/>
        <v>8.5766339300744923E-11</v>
      </c>
      <c r="P90" s="56">
        <f t="shared" si="49"/>
        <v>1.0781203555785793E-3</v>
      </c>
      <c r="Q90" s="56">
        <f t="shared" si="50"/>
        <v>1.1300141293778933E-3</v>
      </c>
      <c r="R90" s="9">
        <f>F90*$C$14</f>
        <v>1.4999999999999999E-4</v>
      </c>
      <c r="S90" s="9">
        <f t="shared" si="39"/>
        <v>5.5396403775711796E-5</v>
      </c>
      <c r="T90" s="9">
        <f t="shared" si="40"/>
        <v>1.2793926397362897E-8</v>
      </c>
      <c r="U90" s="9">
        <f t="shared" si="41"/>
        <v>9.4603596224288191E-5</v>
      </c>
      <c r="V90" s="102">
        <f t="shared" si="42"/>
        <v>1.3523720987340467E-4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106</v>
      </c>
      <c r="C91" s="46" t="s">
        <v>107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4.2676323009395754</v>
      </c>
      <c r="J91" s="54">
        <f t="shared" si="45"/>
        <v>7.534683341589246</v>
      </c>
      <c r="K91" s="55">
        <f t="shared" si="46"/>
        <v>3.2879461386137915E-5</v>
      </c>
      <c r="L91" s="55">
        <f t="shared" si="47"/>
        <v>0.38791394149041819</v>
      </c>
      <c r="M91" s="55">
        <f t="shared" si="19"/>
        <v>0.61208605850958175</v>
      </c>
      <c r="N91" s="55">
        <f t="shared" si="48"/>
        <v>0.38758052558779726</v>
      </c>
      <c r="O91" s="56">
        <f t="shared" si="21"/>
        <v>3.3061989185554064E-11</v>
      </c>
      <c r="P91" s="56">
        <f t="shared" si="49"/>
        <v>1.1324324902753959E-3</v>
      </c>
      <c r="Q91" s="56">
        <f t="shared" si="50"/>
        <v>1.1872603916606743E-3</v>
      </c>
      <c r="R91" s="9">
        <f t="shared" ref="R91:R92" si="51">F91*$C$14</f>
        <v>1.4999999999999999E-4</v>
      </c>
      <c r="S91" s="9">
        <f t="shared" si="39"/>
        <v>5.8187091223562724E-5</v>
      </c>
      <c r="T91" s="9">
        <f t="shared" si="40"/>
        <v>4.9319192079206868E-9</v>
      </c>
      <c r="U91" s="9">
        <f t="shared" si="41"/>
        <v>9.1812908776437249E-5</v>
      </c>
      <c r="V91" s="102">
        <f t="shared" si="42"/>
        <v>5.3717056497249418E-5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108</v>
      </c>
      <c r="C92" s="46" t="s">
        <v>109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5.487995486122375</v>
      </c>
      <c r="J92" s="54">
        <f t="shared" si="45"/>
        <v>8.8054385095234817</v>
      </c>
      <c r="K92" s="55">
        <f t="shared" si="46"/>
        <v>1.8893565392262208E-6</v>
      </c>
      <c r="L92" s="55">
        <f t="shared" si="47"/>
        <v>0.41579549801643756</v>
      </c>
      <c r="M92" s="55">
        <f t="shared" si="19"/>
        <v>0.58420450198356244</v>
      </c>
      <c r="N92" s="55">
        <f t="shared" si="48"/>
        <v>0.41558721047412922</v>
      </c>
      <c r="O92" s="56">
        <f t="shared" si="21"/>
        <v>1.8998451566450834E-12</v>
      </c>
      <c r="P92" s="56">
        <f t="shared" si="49"/>
        <v>1.2138267819273101E-3</v>
      </c>
      <c r="Q92" s="56">
        <f t="shared" si="50"/>
        <v>1.2730521832292404E-3</v>
      </c>
      <c r="R92" s="9">
        <f t="shared" si="51"/>
        <v>1.4999999999999999E-4</v>
      </c>
      <c r="S92" s="9">
        <f t="shared" si="39"/>
        <v>6.2369324702465624E-5</v>
      </c>
      <c r="T92" s="9">
        <f t="shared" si="40"/>
        <v>2.8340348088393308E-10</v>
      </c>
      <c r="U92" s="9">
        <f t="shared" si="41"/>
        <v>8.7630675297534362E-5</v>
      </c>
      <c r="V92" s="102">
        <f t="shared" si="42"/>
        <v>3.2340670652335727E-6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211</v>
      </c>
      <c r="C93" s="46" t="s">
        <v>212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0.24855356797573289</v>
      </c>
      <c r="J93" s="54">
        <f t="shared" si="45"/>
        <v>2.239993400384916</v>
      </c>
      <c r="K93" s="55">
        <f t="shared" si="46"/>
        <v>0.54304939710334621</v>
      </c>
      <c r="L93" s="55">
        <f t="shared" si="47"/>
        <v>3.2505742328078409E-2</v>
      </c>
      <c r="M93" s="55">
        <f t="shared" ref="M93:M127" si="52">IF(D93=0,"",1-L93)</f>
        <v>0.96749425767192154</v>
      </c>
      <c r="N93" s="55">
        <f t="shared" si="48"/>
        <v>3.170002382700516E-2</v>
      </c>
      <c r="O93" s="56">
        <f t="shared" ref="O93:O127" si="53">IF(D93=0,"",F93*K93*$J$7/$J$14)</f>
        <v>5.460640940371995E-7</v>
      </c>
      <c r="P93" s="56">
        <f t="shared" si="49"/>
        <v>9.4893621485747577E-5</v>
      </c>
      <c r="Q93" s="56">
        <f t="shared" si="50"/>
        <v>9.7105453498791077E-5</v>
      </c>
      <c r="R93" s="9">
        <f>F93*$C$14</f>
        <v>1.4999999999999999E-4</v>
      </c>
      <c r="S93" s="9">
        <f t="shared" si="39"/>
        <v>4.8758613492117613E-6</v>
      </c>
      <c r="T93" s="9">
        <f t="shared" si="40"/>
        <v>8.1457409565501918E-5</v>
      </c>
      <c r="U93" s="9">
        <f t="shared" si="41"/>
        <v>1.4512413865078823E-4</v>
      </c>
      <c r="V93" s="102">
        <f t="shared" si="42"/>
        <v>0.5612946979241864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213</v>
      </c>
      <c r="C94" s="46" t="s">
        <v>214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215</v>
      </c>
      <c r="C95" s="46" t="s">
        <v>216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217</v>
      </c>
      <c r="C96" s="46" t="s">
        <v>218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219</v>
      </c>
      <c r="C97" s="46" t="s">
        <v>220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221</v>
      </c>
      <c r="C98" s="46" t="s">
        <v>222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223</v>
      </c>
      <c r="C99" s="46" t="s">
        <v>224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225</v>
      </c>
      <c r="C100" s="46" t="s">
        <v>226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227</v>
      </c>
      <c r="C101" s="46" t="s">
        <v>228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229</v>
      </c>
      <c r="C102" s="46" t="s">
        <v>230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231</v>
      </c>
      <c r="C103" s="46" t="s">
        <v>232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233</v>
      </c>
      <c r="C104" s="46" t="s">
        <v>234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235</v>
      </c>
      <c r="C105" s="46" t="s">
        <v>236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237</v>
      </c>
      <c r="C106" s="46" t="s">
        <v>238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239</v>
      </c>
      <c r="C107" s="46" t="s">
        <v>240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1.9065682325616583E-2</v>
      </c>
      <c r="J107" s="54">
        <f t="shared" si="45"/>
        <v>1.0580076914030012</v>
      </c>
      <c r="K107" s="55">
        <f t="shared" si="46"/>
        <v>0.94853656955161891</v>
      </c>
      <c r="L107" s="55">
        <f t="shared" si="47"/>
        <v>3.734127328753163E-3</v>
      </c>
      <c r="M107" s="55">
        <f t="shared" si="52"/>
        <v>0.99626587267124689</v>
      </c>
      <c r="N107" s="55">
        <f t="shared" si="48"/>
        <v>3.638198009886831E-3</v>
      </c>
      <c r="O107" s="56">
        <f t="shared" si="53"/>
        <v>9.5380229731621651E-7</v>
      </c>
      <c r="P107" s="56">
        <f t="shared" si="49"/>
        <v>1.0900992868826308E-5</v>
      </c>
      <c r="Q107" s="56">
        <f t="shared" si="50"/>
        <v>1.1144750855596964E-5</v>
      </c>
      <c r="R107" s="9">
        <f>F107*$C$14</f>
        <v>1.4999999999999999E-4</v>
      </c>
      <c r="S107" s="9">
        <f t="shared" ref="S107:S108" si="54">$R107*L107</f>
        <v>5.6011909931297442E-7</v>
      </c>
      <c r="T107" s="9">
        <f t="shared" ref="T107:T108" si="55">R107*K107</f>
        <v>1.4228048543274283E-4</v>
      </c>
      <c r="U107" s="9">
        <f t="shared" ref="U107:U108" si="56">$R107*M107</f>
        <v>1.4943988090068702E-4</v>
      </c>
      <c r="V107" s="102">
        <f t="shared" ref="V107:V108" si="57">K107/M107</f>
        <v>0.95209180156733331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241</v>
      </c>
      <c r="C108" s="46" t="s">
        <v>242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0.13401854480859055</v>
      </c>
      <c r="J108" s="54">
        <f t="shared" si="45"/>
        <v>2.0658109944425873</v>
      </c>
      <c r="K108" s="55">
        <f t="shared" si="46"/>
        <v>0.70988790428975868</v>
      </c>
      <c r="L108" s="55">
        <f t="shared" si="47"/>
        <v>2.8453003868522109E-2</v>
      </c>
      <c r="M108" s="55">
        <f t="shared" si="52"/>
        <v>0.97154699613147788</v>
      </c>
      <c r="N108" s="55">
        <f t="shared" si="48"/>
        <v>2.7974287188988801E-2</v>
      </c>
      <c r="O108" s="56">
        <f t="shared" si="53"/>
        <v>7.1382879235603282E-7</v>
      </c>
      <c r="P108" s="56">
        <f t="shared" si="49"/>
        <v>8.3062510985936939E-5</v>
      </c>
      <c r="Q108" s="56">
        <f t="shared" si="50"/>
        <v>8.5692548958844574E-5</v>
      </c>
      <c r="R108" s="9">
        <f>F108*$C$14</f>
        <v>1.4999999999999999E-4</v>
      </c>
      <c r="S108" s="9">
        <f t="shared" si="54"/>
        <v>4.2679505802783159E-6</v>
      </c>
      <c r="T108" s="9">
        <f t="shared" si="55"/>
        <v>1.0648318564346379E-4</v>
      </c>
      <c r="U108" s="9">
        <f t="shared" si="56"/>
        <v>1.4573204941972166E-4</v>
      </c>
      <c r="V108" s="102">
        <f t="shared" si="57"/>
        <v>0.73067788497767194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243</v>
      </c>
      <c r="C109" s="46" t="s">
        <v>244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245</v>
      </c>
      <c r="C110" s="46" t="s">
        <v>246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247</v>
      </c>
      <c r="C111" s="46" t="s">
        <v>248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249</v>
      </c>
      <c r="C112" s="46" t="s">
        <v>250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251</v>
      </c>
      <c r="C113" s="46" t="s">
        <v>252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253</v>
      </c>
      <c r="C114" s="46" t="s">
        <v>254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9.3867444440884892E-2</v>
      </c>
      <c r="J114" s="54">
        <f t="shared" si="45"/>
        <v>1.9552901171232637</v>
      </c>
      <c r="K114" s="55">
        <f t="shared" si="46"/>
        <v>0.78197569988355564</v>
      </c>
      <c r="L114" s="55">
        <f t="shared" si="47"/>
        <v>2.4300249165190586E-2</v>
      </c>
      <c r="M114" s="55">
        <f t="shared" si="52"/>
        <v>0.97569975083480942</v>
      </c>
      <c r="N114" s="55">
        <f t="shared" si="48"/>
        <v>2.3952040107425982E-2</v>
      </c>
      <c r="O114" s="56">
        <f t="shared" si="53"/>
        <v>7.8631677779904808E-7</v>
      </c>
      <c r="P114" s="56">
        <f t="shared" si="49"/>
        <v>7.0939424272094907E-5</v>
      </c>
      <c r="Q114" s="56">
        <f t="shared" si="50"/>
        <v>7.3371355477386973E-5</v>
      </c>
      <c r="R114" s="9">
        <f>F114*$C$14</f>
        <v>1.4999999999999999E-4</v>
      </c>
      <c r="S114" s="9">
        <f t="shared" ref="S114:S116" si="58">$R114*L114</f>
        <v>3.6450373747785877E-6</v>
      </c>
      <c r="T114" s="9">
        <f t="shared" ref="T114:T116" si="59">R114*K114</f>
        <v>1.1729635498253334E-4</v>
      </c>
      <c r="U114" s="9">
        <f t="shared" ref="U114:U116" si="60">$R114*M114</f>
        <v>1.4635496262522141E-4</v>
      </c>
      <c r="V114" s="102">
        <f t="shared" ref="V114:V116" si="61">K114/M114</f>
        <v>0.8014511628341574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255</v>
      </c>
      <c r="C115" s="46" t="s">
        <v>256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0.17110445915344094</v>
      </c>
      <c r="J115" s="54">
        <f t="shared" si="45"/>
        <v>1.7297361884216989</v>
      </c>
      <c r="K115" s="55">
        <f t="shared" si="46"/>
        <v>0.66265412975524696</v>
      </c>
      <c r="L115" s="55">
        <f t="shared" si="47"/>
        <v>1.2250405075787653E-2</v>
      </c>
      <c r="M115" s="55">
        <f t="shared" si="52"/>
        <v>0.98774959492421233</v>
      </c>
      <c r="N115" s="55">
        <f t="shared" si="48"/>
        <v>1.1601206618228336E-2</v>
      </c>
      <c r="O115" s="56">
        <f t="shared" si="53"/>
        <v>6.6633280315739838E-7</v>
      </c>
      <c r="P115" s="56">
        <f t="shared" si="49"/>
        <v>3.5762459770214848E-5</v>
      </c>
      <c r="Q115" s="56">
        <f t="shared" si="50"/>
        <v>3.5537526278972145E-5</v>
      </c>
      <c r="R115" s="9">
        <f>F115*$C$14</f>
        <v>1.4999999999999999E-4</v>
      </c>
      <c r="S115" s="9">
        <f t="shared" si="58"/>
        <v>1.8375607613681477E-6</v>
      </c>
      <c r="T115" s="9">
        <f t="shared" si="59"/>
        <v>9.939811946328704E-5</v>
      </c>
      <c r="U115" s="9">
        <f t="shared" si="60"/>
        <v>1.4816243923863184E-4</v>
      </c>
      <c r="V115" s="102">
        <f t="shared" si="61"/>
        <v>0.67087259074613015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257</v>
      </c>
      <c r="C116" s="46" t="s">
        <v>258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5.8063156695311677E-3</v>
      </c>
      <c r="J116" s="54">
        <f t="shared" si="45"/>
        <v>0.15519220542192749</v>
      </c>
      <c r="K116" s="55">
        <f t="shared" si="46"/>
        <v>0.9811340058993443</v>
      </c>
      <c r="L116" s="55">
        <f t="shared" si="47"/>
        <v>4.8311206790660846E-4</v>
      </c>
      <c r="M116" s="55">
        <f t="shared" si="52"/>
        <v>0.99951688793209337</v>
      </c>
      <c r="N116" s="55">
        <f t="shared" si="48"/>
        <v>4.4003131194338E-4</v>
      </c>
      <c r="O116" s="56">
        <f t="shared" si="53"/>
        <v>9.8658069582306251E-7</v>
      </c>
      <c r="P116" s="56">
        <f t="shared" si="49"/>
        <v>1.4103432324179313E-6</v>
      </c>
      <c r="Q116" s="56">
        <f t="shared" si="50"/>
        <v>1.3479308511916268E-6</v>
      </c>
      <c r="R116" s="9">
        <f>F116*$C$14</f>
        <v>1.4999999999999999E-4</v>
      </c>
      <c r="S116" s="9">
        <f t="shared" si="58"/>
        <v>7.2466810185991265E-8</v>
      </c>
      <c r="T116" s="9">
        <f t="shared" si="59"/>
        <v>1.4717010088490163E-4</v>
      </c>
      <c r="U116" s="9">
        <f t="shared" si="60"/>
        <v>1.49927533189814E-4</v>
      </c>
      <c r="V116" s="102">
        <f t="shared" si="61"/>
        <v>0.98160823268250974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259</v>
      </c>
      <c r="C117" s="46" t="s">
        <v>260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261</v>
      </c>
      <c r="C118" s="46" t="s">
        <v>262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263</v>
      </c>
      <c r="C119" s="46" t="s">
        <v>264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1.4450204174697026</v>
      </c>
      <c r="J119" s="54">
        <f t="shared" si="45"/>
        <v>4.2948093083985448</v>
      </c>
      <c r="K119" s="55">
        <f t="shared" si="46"/>
        <v>2.873674965933724E-2</v>
      </c>
      <c r="L119" s="55">
        <f t="shared" si="47"/>
        <v>0.19515258357449014</v>
      </c>
      <c r="M119" s="55">
        <f t="shared" si="52"/>
        <v>0.80484741642550983</v>
      </c>
      <c r="N119" s="55">
        <f t="shared" si="48"/>
        <v>0.19401302959349589</v>
      </c>
      <c r="O119" s="56">
        <f t="shared" si="53"/>
        <v>2.8896279513433421E-8</v>
      </c>
      <c r="P119" s="56">
        <f t="shared" si="49"/>
        <v>5.6970658324842916E-4</v>
      </c>
      <c r="Q119" s="56">
        <f t="shared" si="50"/>
        <v>5.9431258872749758E-4</v>
      </c>
      <c r="R119" s="9">
        <f>F119*$C$14</f>
        <v>1.4999999999999999E-4</v>
      </c>
      <c r="S119" s="9">
        <f t="shared" ref="S119:S121" si="62">$R119*L119</f>
        <v>2.9272887536173519E-5</v>
      </c>
      <c r="T119" s="9">
        <f t="shared" ref="T119:T121" si="63">R119*K119</f>
        <v>4.3105124489005857E-6</v>
      </c>
      <c r="U119" s="9">
        <f t="shared" ref="U119:U121" si="64">$R119*M119</f>
        <v>1.2072711246382646E-4</v>
      </c>
      <c r="V119" s="102">
        <f t="shared" ref="V119:V121" si="65">K119/M119</f>
        <v>3.5704593284231388E-2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265</v>
      </c>
      <c r="C120" s="46" t="s">
        <v>266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0.19210968761462099</v>
      </c>
      <c r="J120" s="54">
        <f t="shared" si="45"/>
        <v>2.2035514919584065</v>
      </c>
      <c r="K120" s="55">
        <f t="shared" si="46"/>
        <v>0.61747352526239674</v>
      </c>
      <c r="L120" s="55">
        <f t="shared" si="47"/>
        <v>3.3985775609005141E-2</v>
      </c>
      <c r="M120" s="55">
        <f t="shared" si="52"/>
        <v>0.96601422439099482</v>
      </c>
      <c r="N120" s="55">
        <f t="shared" si="48"/>
        <v>3.3340690832126971E-2</v>
      </c>
      <c r="O120" s="56">
        <f t="shared" si="53"/>
        <v>6.2090138201589562E-7</v>
      </c>
      <c r="P120" s="56">
        <f t="shared" si="49"/>
        <v>9.9214264790215432E-5</v>
      </c>
      <c r="Q120" s="56">
        <f t="shared" si="50"/>
        <v>1.0213124510204958E-4</v>
      </c>
      <c r="R120" s="9">
        <f>F120*$C$14</f>
        <v>1.4999999999999999E-4</v>
      </c>
      <c r="S120" s="9">
        <f t="shared" si="62"/>
        <v>5.0978663413507704E-6</v>
      </c>
      <c r="T120" s="9">
        <f t="shared" si="63"/>
        <v>9.2621028789359507E-5</v>
      </c>
      <c r="U120" s="9">
        <f t="shared" si="64"/>
        <v>1.449021336586492E-4</v>
      </c>
      <c r="V120" s="102">
        <f t="shared" si="65"/>
        <v>0.63919713568573078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267</v>
      </c>
      <c r="C121" s="46" t="s">
        <v>268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1.9943504269299017</v>
      </c>
      <c r="J121" s="54">
        <f t="shared" si="45"/>
        <v>4.6885883202793597</v>
      </c>
      <c r="K121" s="55">
        <f t="shared" si="46"/>
        <v>8.6179216799545533E-3</v>
      </c>
      <c r="L121" s="55">
        <f t="shared" si="47"/>
        <v>0.14491662640602238</v>
      </c>
      <c r="M121" s="55">
        <f t="shared" si="52"/>
        <v>0.85508337359397757</v>
      </c>
      <c r="N121" s="55">
        <f t="shared" si="48"/>
        <v>0.14350987813868013</v>
      </c>
      <c r="O121" s="56">
        <f t="shared" si="53"/>
        <v>8.6657634089083633E-9</v>
      </c>
      <c r="P121" s="56">
        <f t="shared" si="49"/>
        <v>4.2305335944553768E-4</v>
      </c>
      <c r="Q121" s="56">
        <f t="shared" si="50"/>
        <v>4.3960824364873462E-4</v>
      </c>
      <c r="R121" s="9">
        <f>F121*$C$14</f>
        <v>1.4999999999999999E-4</v>
      </c>
      <c r="S121" s="9">
        <f t="shared" si="62"/>
        <v>2.1737493960903355E-5</v>
      </c>
      <c r="T121" s="9">
        <f t="shared" si="63"/>
        <v>1.2926882519931829E-6</v>
      </c>
      <c r="U121" s="9">
        <f t="shared" si="64"/>
        <v>1.2826250603909661E-4</v>
      </c>
      <c r="V121" s="102">
        <f t="shared" si="65"/>
        <v>1.0078457780944567E-2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269</v>
      </c>
      <c r="C122" s="46" t="s">
        <v>270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271</v>
      </c>
      <c r="C123" s="46" t="s">
        <v>272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273</v>
      </c>
      <c r="C124" s="46" t="s">
        <v>274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0.68104843309954888</v>
      </c>
      <c r="J124" s="54">
        <f t="shared" si="67"/>
        <v>3.4342194910128088</v>
      </c>
      <c r="K124" s="55">
        <f t="shared" si="68"/>
        <v>0.17364110896301879</v>
      </c>
      <c r="L124" s="55">
        <f t="shared" si="69"/>
        <v>0.16255464873559997</v>
      </c>
      <c r="M124" s="55">
        <f t="shared" si="52"/>
        <v>0.83744535126440001</v>
      </c>
      <c r="N124" s="55">
        <f t="shared" si="70"/>
        <v>0.16156854113501146</v>
      </c>
      <c r="O124" s="56">
        <f t="shared" si="53"/>
        <v>1.7460506421566056E-7</v>
      </c>
      <c r="P124" s="56">
        <f t="shared" si="71"/>
        <v>4.7454382527791855E-4</v>
      </c>
      <c r="Q124" s="56">
        <f t="shared" si="72"/>
        <v>4.9492664559727543E-4</v>
      </c>
      <c r="R124" s="9">
        <f>F124*$C$14</f>
        <v>1.4999999999999999E-4</v>
      </c>
      <c r="S124" s="9">
        <f t="shared" ref="S124:S127" si="73">$R124*L124</f>
        <v>2.4383197310339993E-5</v>
      </c>
      <c r="T124" s="9">
        <f t="shared" ref="T124:T127" si="74">R124*K124</f>
        <v>2.6046166344452818E-5</v>
      </c>
      <c r="U124" s="9">
        <f t="shared" ref="U124:U127" si="75">$R124*M124</f>
        <v>1.2561680268965999E-4</v>
      </c>
      <c r="V124" s="102">
        <f t="shared" ref="V124:V127" si="76">K124/M124</f>
        <v>0.2073461972185412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275</v>
      </c>
      <c r="C125" s="46" t="s">
        <v>276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277</v>
      </c>
      <c r="C126" s="46" t="s">
        <v>278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0.34290559098075568</v>
      </c>
      <c r="J126" s="54">
        <f t="shared" si="67"/>
        <v>2.6237206895598435</v>
      </c>
      <c r="K126" s="55">
        <f t="shared" si="68"/>
        <v>0.42395476385802094</v>
      </c>
      <c r="L126" s="55">
        <f t="shared" si="69"/>
        <v>6.1399885515368562E-2</v>
      </c>
      <c r="M126" s="55">
        <f t="shared" si="52"/>
        <v>0.93860011448463143</v>
      </c>
      <c r="N126" s="55">
        <f t="shared" si="70"/>
        <v>6.0477491966626371E-2</v>
      </c>
      <c r="O126" s="56">
        <f t="shared" si="53"/>
        <v>4.2630831610117363E-7</v>
      </c>
      <c r="P126" s="56">
        <f t="shared" si="71"/>
        <v>1.792439451638283E-4</v>
      </c>
      <c r="Q126" s="56">
        <f t="shared" si="72"/>
        <v>1.852583555122068E-4</v>
      </c>
      <c r="R126" s="9">
        <f>F126*$C$14</f>
        <v>1.4999999999999999E-4</v>
      </c>
      <c r="S126" s="9">
        <f t="shared" si="73"/>
        <v>9.2099828273052829E-6</v>
      </c>
      <c r="T126" s="9">
        <f t="shared" si="74"/>
        <v>6.359321457870314E-5</v>
      </c>
      <c r="U126" s="9">
        <f t="shared" si="75"/>
        <v>1.407900171726947E-4</v>
      </c>
      <c r="V126" s="102">
        <f t="shared" si="76"/>
        <v>0.45168837859220479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279</v>
      </c>
      <c r="C127" s="46" t="s">
        <v>280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5.456801422185465E-4</v>
      </c>
      <c r="J127" s="54">
        <f t="shared" si="67"/>
        <v>7.4340635464284932E-2</v>
      </c>
      <c r="K127" s="55">
        <f t="shared" si="68"/>
        <v>0.99316746180510129</v>
      </c>
      <c r="L127" s="55">
        <f t="shared" si="69"/>
        <v>4.0596675508739269E-4</v>
      </c>
      <c r="M127" s="55">
        <f t="shared" si="52"/>
        <v>0.99959403324491258</v>
      </c>
      <c r="N127" s="55">
        <f t="shared" si="70"/>
        <v>3.8743757299313728E-4</v>
      </c>
      <c r="O127" s="56">
        <f t="shared" si="53"/>
        <v>9.9868095453316151E-7</v>
      </c>
      <c r="P127" s="56">
        <f t="shared" si="71"/>
        <v>1.1851338512513695E-6</v>
      </c>
      <c r="Q127" s="56">
        <f t="shared" si="72"/>
        <v>1.1868224905218916E-6</v>
      </c>
      <c r="R127" s="9">
        <f>F127*$C$14</f>
        <v>1.4999999999999999E-4</v>
      </c>
      <c r="S127" s="9">
        <f t="shared" si="73"/>
        <v>6.0895013263108892E-8</v>
      </c>
      <c r="T127" s="9">
        <f t="shared" si="74"/>
        <v>1.4897511927076517E-4</v>
      </c>
      <c r="U127" s="9">
        <f t="shared" si="75"/>
        <v>1.4993910498673686E-4</v>
      </c>
      <c r="V127" s="102">
        <f t="shared" si="76"/>
        <v>0.99357081852624796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281</v>
      </c>
      <c r="C128" s="46" t="s">
        <v>282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283</v>
      </c>
      <c r="C129" s="46" t="s">
        <v>284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285</v>
      </c>
      <c r="C130" s="46" t="s">
        <v>286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2.0637855846763784E-2</v>
      </c>
      <c r="J130" s="54">
        <f t="shared" si="78"/>
        <v>0.78412765153631614</v>
      </c>
      <c r="K130" s="55">
        <f t="shared" si="79"/>
        <v>0.94676945942701085</v>
      </c>
      <c r="L130" s="55">
        <f t="shared" si="80"/>
        <v>1.9838062027380822E-3</v>
      </c>
      <c r="M130" s="55">
        <f t="shared" si="81"/>
        <v>0.99801619379726192</v>
      </c>
      <c r="N130" s="55">
        <f t="shared" si="82"/>
        <v>1.8763614118980539E-3</v>
      </c>
      <c r="O130" s="56">
        <f t="shared" si="83"/>
        <v>9.520253772157521E-7</v>
      </c>
      <c r="P130" s="56">
        <f t="shared" si="84"/>
        <v>5.7913015184734064E-6</v>
      </c>
      <c r="Q130" s="56">
        <f t="shared" si="85"/>
        <v>5.7477851380910505E-6</v>
      </c>
      <c r="R130" s="9">
        <f>F130*$C$14</f>
        <v>1.4999999999999999E-4</v>
      </c>
      <c r="S130" s="9">
        <f t="shared" ref="S130:S131" si="86">$R130*L130</f>
        <v>2.9757093041071232E-7</v>
      </c>
      <c r="T130" s="9">
        <f t="shared" ref="T130:T131" si="87">R130*K130</f>
        <v>1.4201541891405162E-4</v>
      </c>
      <c r="U130" s="9">
        <f t="shared" ref="U130:U131" si="88">$R130*M130</f>
        <v>1.4970242906958928E-4</v>
      </c>
      <c r="V130" s="102">
        <f t="shared" ref="V130:V131" si="89">K130/M130</f>
        <v>0.94865139995848469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287</v>
      </c>
      <c r="C131" s="46" t="s">
        <v>288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-5.8338548275705044E-4</v>
      </c>
      <c r="J131" s="54">
        <f t="shared" si="78"/>
        <v>-0.23382974924437347</v>
      </c>
      <c r="K131" s="55">
        <f t="shared" si="79"/>
        <v>0.99595776952747195</v>
      </c>
      <c r="L131" s="55">
        <f t="shared" si="80"/>
        <v>2.0023432440918138E-4</v>
      </c>
      <c r="M131" s="55">
        <f t="shared" si="81"/>
        <v>0.99979976567559081</v>
      </c>
      <c r="N131" s="55">
        <f t="shared" si="82"/>
        <v>1.8655469213858824E-4</v>
      </c>
      <c r="O131" s="56">
        <f t="shared" si="83"/>
        <v>1.0014867524341053E-6</v>
      </c>
      <c r="P131" s="56">
        <f t="shared" si="84"/>
        <v>5.8454164796988011E-7</v>
      </c>
      <c r="Q131" s="56">
        <f t="shared" si="85"/>
        <v>5.7146575287468531E-7</v>
      </c>
      <c r="R131" s="9">
        <f>F131*$C$14</f>
        <v>1.4999999999999999E-4</v>
      </c>
      <c r="S131" s="9">
        <f t="shared" si="86"/>
        <v>3.0035148661377207E-8</v>
      </c>
      <c r="T131" s="9">
        <f t="shared" si="87"/>
        <v>1.4939366542912077E-4</v>
      </c>
      <c r="U131" s="9">
        <f t="shared" si="88"/>
        <v>1.499699648513386E-4</v>
      </c>
      <c r="V131" s="102">
        <f t="shared" si="89"/>
        <v>0.99615723439830706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289</v>
      </c>
      <c r="C132" s="46" t="s">
        <v>290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291</v>
      </c>
      <c r="C133" s="46" t="s">
        <v>292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96</v>
      </c>
      <c r="C134" s="46" t="s">
        <v>293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2024-10-28T22:40:57Z</dcterms:modified>
</cp:coreProperties>
</file>