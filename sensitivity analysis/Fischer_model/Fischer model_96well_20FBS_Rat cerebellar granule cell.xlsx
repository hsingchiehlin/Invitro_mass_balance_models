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96well_1um\"/>
    </mc:Choice>
  </mc:AlternateContent>
  <xr:revisionPtr revIDLastSave="0" documentId="13_ncr:1_{BC2346C2-11DF-4A4C-9F38-B2A176B4B5A3}" xr6:coauthVersionLast="47" xr6:coauthVersionMax="47" xr10:uidLastSave="{00000000-0000-0000-0000-000000000000}"/>
  <bookViews>
    <workbookView xWindow="43080" yWindow="-120" windowWidth="29040" windowHeight="15720" firstSheet="1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4" l="1"/>
  <c r="R143" i="4"/>
  <c r="U143" i="4" s="1"/>
  <c r="V142" i="4"/>
  <c r="R142" i="4"/>
  <c r="S142" i="4" s="1"/>
  <c r="V141" i="4"/>
  <c r="U141" i="4"/>
  <c r="T141" i="4"/>
  <c r="R141" i="4"/>
  <c r="S141" i="4" s="1"/>
  <c r="V140" i="4"/>
  <c r="R140" i="4"/>
  <c r="T140" i="4" s="1"/>
  <c r="V139" i="4"/>
  <c r="U139" i="4"/>
  <c r="T139" i="4"/>
  <c r="S139" i="4"/>
  <c r="R139" i="4"/>
  <c r="V138" i="4"/>
  <c r="R138" i="4"/>
  <c r="S138" i="4" s="1"/>
  <c r="V137" i="4"/>
  <c r="R137" i="4"/>
  <c r="U137" i="4" s="1"/>
  <c r="V136" i="4"/>
  <c r="U136" i="4"/>
  <c r="R136" i="4"/>
  <c r="T136" i="4" s="1"/>
  <c r="V135" i="4"/>
  <c r="R135" i="4"/>
  <c r="V134" i="4"/>
  <c r="U134" i="4"/>
  <c r="T134" i="4"/>
  <c r="S134" i="4"/>
  <c r="R134" i="4"/>
  <c r="V133" i="4"/>
  <c r="R133" i="4"/>
  <c r="S133" i="4" s="1"/>
  <c r="V132" i="4"/>
  <c r="U132" i="4"/>
  <c r="T132" i="4"/>
  <c r="S132" i="4"/>
  <c r="R132" i="4"/>
  <c r="V131" i="4"/>
  <c r="R131" i="4"/>
  <c r="U131" i="4" s="1"/>
  <c r="V130" i="4"/>
  <c r="R130" i="4"/>
  <c r="V129" i="4"/>
  <c r="U129" i="4"/>
  <c r="T129" i="4"/>
  <c r="R129" i="4"/>
  <c r="S129" i="4" s="1"/>
  <c r="V128" i="4"/>
  <c r="R128" i="4"/>
  <c r="S128" i="4" s="1"/>
  <c r="V127" i="4"/>
  <c r="U127" i="4"/>
  <c r="T127" i="4"/>
  <c r="S127" i="4"/>
  <c r="R127" i="4"/>
  <c r="V126" i="4"/>
  <c r="R126" i="4"/>
  <c r="U126" i="4" s="1"/>
  <c r="V125" i="4"/>
  <c r="T125" i="4"/>
  <c r="S125" i="4"/>
  <c r="R125" i="4"/>
  <c r="U125" i="4" s="1"/>
  <c r="V124" i="4"/>
  <c r="U124" i="4"/>
  <c r="R124" i="4"/>
  <c r="T124" i="4" s="1"/>
  <c r="V123" i="4"/>
  <c r="R123" i="4"/>
  <c r="V122" i="4"/>
  <c r="U122" i="4"/>
  <c r="T122" i="4"/>
  <c r="S122" i="4"/>
  <c r="R122" i="4"/>
  <c r="V121" i="4"/>
  <c r="R121" i="4"/>
  <c r="S121" i="4" s="1"/>
  <c r="V120" i="4"/>
  <c r="R120" i="4"/>
  <c r="U120" i="4" s="1"/>
  <c r="V119" i="4"/>
  <c r="R119" i="4"/>
  <c r="U119" i="4" s="1"/>
  <c r="V118" i="4"/>
  <c r="R118" i="4"/>
  <c r="V117" i="4"/>
  <c r="U117" i="4"/>
  <c r="T117" i="4"/>
  <c r="R117" i="4"/>
  <c r="S117" i="4" s="1"/>
  <c r="V116" i="4"/>
  <c r="R116" i="4"/>
  <c r="U116" i="4" s="1"/>
  <c r="V115" i="4"/>
  <c r="U115" i="4"/>
  <c r="T115" i="4"/>
  <c r="S115" i="4"/>
  <c r="R115" i="4"/>
  <c r="V114" i="4"/>
  <c r="R114" i="4"/>
  <c r="U114" i="4" s="1"/>
  <c r="V113" i="4"/>
  <c r="T113" i="4"/>
  <c r="R113" i="4"/>
  <c r="U113" i="4" s="1"/>
  <c r="V112" i="4"/>
  <c r="U112" i="4"/>
  <c r="S112" i="4"/>
  <c r="R112" i="4"/>
  <c r="T112" i="4" s="1"/>
  <c r="V111" i="4"/>
  <c r="R111" i="4"/>
  <c r="V110" i="4"/>
  <c r="U110" i="4"/>
  <c r="T110" i="4"/>
  <c r="S110" i="4"/>
  <c r="R110" i="4"/>
  <c r="V109" i="4"/>
  <c r="R109" i="4"/>
  <c r="T109" i="4" s="1"/>
  <c r="V108" i="4"/>
  <c r="R108" i="4"/>
  <c r="U108" i="4" s="1"/>
  <c r="R107" i="4"/>
  <c r="V106" i="4"/>
  <c r="R106" i="4"/>
  <c r="U106" i="4" s="1"/>
  <c r="V105" i="4"/>
  <c r="R105" i="4"/>
  <c r="U105" i="4" s="1"/>
  <c r="V104" i="4"/>
  <c r="U104" i="4"/>
  <c r="S104" i="4"/>
  <c r="R104" i="4"/>
  <c r="T104" i="4" s="1"/>
  <c r="V103" i="4"/>
  <c r="R103" i="4"/>
  <c r="V102" i="4"/>
  <c r="U102" i="4"/>
  <c r="T102" i="4"/>
  <c r="S102" i="4"/>
  <c r="R102" i="4"/>
  <c r="V101" i="4"/>
  <c r="R101" i="4"/>
  <c r="S101" i="4" s="1"/>
  <c r="R100" i="4"/>
  <c r="V99" i="4"/>
  <c r="U99" i="4"/>
  <c r="T99" i="4"/>
  <c r="S99" i="4"/>
  <c r="R99" i="4"/>
  <c r="V98" i="4"/>
  <c r="R98" i="4"/>
  <c r="U98" i="4" s="1"/>
  <c r="R97" i="4"/>
  <c r="V96" i="4"/>
  <c r="R96" i="4"/>
  <c r="U96" i="4" s="1"/>
  <c r="V95" i="4"/>
  <c r="R95" i="4"/>
  <c r="U95" i="4" s="1"/>
  <c r="V94" i="4"/>
  <c r="S94" i="4"/>
  <c r="R94" i="4"/>
  <c r="V93" i="4"/>
  <c r="U93" i="4"/>
  <c r="T93" i="4"/>
  <c r="R93" i="4"/>
  <c r="S93" i="4" s="1"/>
  <c r="V92" i="4"/>
  <c r="R92" i="4"/>
  <c r="T92" i="4" s="1"/>
  <c r="V91" i="4"/>
  <c r="U91" i="4"/>
  <c r="T91" i="4"/>
  <c r="S91" i="4"/>
  <c r="R91" i="4"/>
  <c r="V90" i="4"/>
  <c r="R90" i="4"/>
  <c r="S90" i="4" s="1"/>
  <c r="V89" i="4"/>
  <c r="R89" i="4"/>
  <c r="U89" i="4" s="1"/>
  <c r="V88" i="4"/>
  <c r="U88" i="4"/>
  <c r="S88" i="4"/>
  <c r="R88" i="4"/>
  <c r="T88" i="4" s="1"/>
  <c r="V87" i="4"/>
  <c r="R87" i="4"/>
  <c r="V86" i="4"/>
  <c r="U86" i="4"/>
  <c r="T86" i="4"/>
  <c r="S86" i="4"/>
  <c r="R86" i="4"/>
  <c r="V85" i="4"/>
  <c r="R85" i="4"/>
  <c r="T85" i="4" s="1"/>
  <c r="V84" i="4"/>
  <c r="R84" i="4"/>
  <c r="U84" i="4" s="1"/>
  <c r="V83" i="4"/>
  <c r="R83" i="4"/>
  <c r="U83" i="4" s="1"/>
  <c r="V82" i="4"/>
  <c r="R82" i="4"/>
  <c r="S82" i="4" s="1"/>
  <c r="V81" i="4"/>
  <c r="U81" i="4"/>
  <c r="T81" i="4"/>
  <c r="R81" i="4"/>
  <c r="S81" i="4" s="1"/>
  <c r="V80" i="4"/>
  <c r="R80" i="4"/>
  <c r="T80" i="4" s="1"/>
  <c r="V79" i="4"/>
  <c r="U79" i="4"/>
  <c r="T79" i="4"/>
  <c r="S79" i="4"/>
  <c r="R79" i="4"/>
  <c r="V78" i="4"/>
  <c r="R78" i="4"/>
  <c r="U78" i="4" s="1"/>
  <c r="V77" i="4"/>
  <c r="R77" i="4"/>
  <c r="U77" i="4" s="1"/>
  <c r="V76" i="4"/>
  <c r="U76" i="4"/>
  <c r="S76" i="4"/>
  <c r="R76" i="4"/>
  <c r="T76" i="4" s="1"/>
  <c r="V75" i="4"/>
  <c r="R75" i="4"/>
  <c r="V74" i="4"/>
  <c r="U74" i="4"/>
  <c r="T74" i="4"/>
  <c r="S74" i="4"/>
  <c r="R74" i="4"/>
  <c r="V73" i="4"/>
  <c r="R73" i="4"/>
  <c r="U73" i="4" s="1"/>
  <c r="V72" i="4"/>
  <c r="T72" i="4"/>
  <c r="R72" i="4"/>
  <c r="U72" i="4" s="1"/>
  <c r="V71" i="4"/>
  <c r="R71" i="4"/>
  <c r="U71" i="4" s="1"/>
  <c r="V70" i="4"/>
  <c r="R70" i="4"/>
  <c r="V69" i="4"/>
  <c r="U69" i="4"/>
  <c r="T69" i="4"/>
  <c r="R69" i="4"/>
  <c r="S69" i="4" s="1"/>
  <c r="V68" i="4"/>
  <c r="R68" i="4"/>
  <c r="T68" i="4" s="1"/>
  <c r="V67" i="4"/>
  <c r="U67" i="4"/>
  <c r="T67" i="4"/>
  <c r="S67" i="4"/>
  <c r="R67" i="4"/>
  <c r="V66" i="4"/>
  <c r="R66" i="4"/>
  <c r="S66" i="4" s="1"/>
  <c r="V65" i="4"/>
  <c r="T65" i="4"/>
  <c r="R65" i="4"/>
  <c r="U65" i="4" s="1"/>
  <c r="V64" i="4"/>
  <c r="U64" i="4"/>
  <c r="S64" i="4"/>
  <c r="R64" i="4"/>
  <c r="T64" i="4" s="1"/>
  <c r="V63" i="4"/>
  <c r="R63" i="4"/>
  <c r="V62" i="4"/>
  <c r="U62" i="4"/>
  <c r="T62" i="4"/>
  <c r="S62" i="4"/>
  <c r="R62" i="4"/>
  <c r="V61" i="4"/>
  <c r="R61" i="4"/>
  <c r="S61" i="4" s="1"/>
  <c r="V60" i="4"/>
  <c r="R60" i="4"/>
  <c r="U60" i="4" s="1"/>
  <c r="V59" i="4"/>
  <c r="R59" i="4"/>
  <c r="U59" i="4" s="1"/>
  <c r="V58" i="4"/>
  <c r="S58" i="4"/>
  <c r="R58" i="4"/>
  <c r="V57" i="4"/>
  <c r="U57" i="4"/>
  <c r="T57" i="4"/>
  <c r="R57" i="4"/>
  <c r="S57" i="4" s="1"/>
  <c r="V56" i="4"/>
  <c r="R56" i="4"/>
  <c r="T56" i="4" s="1"/>
  <c r="V55" i="4"/>
  <c r="U55" i="4"/>
  <c r="T55" i="4"/>
  <c r="S55" i="4"/>
  <c r="R55" i="4"/>
  <c r="V54" i="4"/>
  <c r="R54" i="4"/>
  <c r="U54" i="4" s="1"/>
  <c r="V53" i="4"/>
  <c r="R53" i="4"/>
  <c r="U53" i="4" s="1"/>
  <c r="V52" i="4"/>
  <c r="U52" i="4"/>
  <c r="S52" i="4"/>
  <c r="R52" i="4"/>
  <c r="T52" i="4" s="1"/>
  <c r="V51" i="4"/>
  <c r="R51" i="4"/>
  <c r="V50" i="4"/>
  <c r="U50" i="4"/>
  <c r="T50" i="4"/>
  <c r="S50" i="4"/>
  <c r="R50" i="4"/>
  <c r="V49" i="4"/>
  <c r="R49" i="4"/>
  <c r="S49" i="4" s="1"/>
  <c r="V48" i="4"/>
  <c r="R48" i="4"/>
  <c r="U48" i="4" s="1"/>
  <c r="V47" i="4"/>
  <c r="R47" i="4"/>
  <c r="U47" i="4" s="1"/>
  <c r="V46" i="4"/>
  <c r="R46" i="4"/>
  <c r="S46" i="4" s="1"/>
  <c r="V45" i="4"/>
  <c r="U45" i="4"/>
  <c r="T45" i="4"/>
  <c r="R45" i="4"/>
  <c r="S45" i="4" s="1"/>
  <c r="V44" i="4"/>
  <c r="R44" i="4"/>
  <c r="S44" i="4" s="1"/>
  <c r="V43" i="4"/>
  <c r="U43" i="4"/>
  <c r="T43" i="4"/>
  <c r="S43" i="4"/>
  <c r="R43" i="4"/>
  <c r="V42" i="4"/>
  <c r="R42" i="4"/>
  <c r="U42" i="4" s="1"/>
  <c r="V41" i="4"/>
  <c r="R41" i="4"/>
  <c r="U41" i="4" s="1"/>
  <c r="V40" i="4"/>
  <c r="U40" i="4"/>
  <c r="S40" i="4"/>
  <c r="R40" i="4"/>
  <c r="T40" i="4" s="1"/>
  <c r="V39" i="4"/>
  <c r="R39" i="4"/>
  <c r="V38" i="4"/>
  <c r="U38" i="4"/>
  <c r="T38" i="4"/>
  <c r="S38" i="4"/>
  <c r="R38" i="4"/>
  <c r="V37" i="4"/>
  <c r="R37" i="4"/>
  <c r="S37" i="4" s="1"/>
  <c r="V36" i="4"/>
  <c r="T36" i="4"/>
  <c r="R36" i="4"/>
  <c r="U36" i="4" s="1"/>
  <c r="V35" i="4"/>
  <c r="R35" i="4"/>
  <c r="U35" i="4" s="1"/>
  <c r="V34" i="4"/>
  <c r="R34" i="4"/>
  <c r="V33" i="4"/>
  <c r="U33" i="4"/>
  <c r="T33" i="4"/>
  <c r="R33" i="4"/>
  <c r="S33" i="4" s="1"/>
  <c r="V32" i="4"/>
  <c r="R32" i="4"/>
  <c r="T32" i="4" s="1"/>
  <c r="V31" i="4"/>
  <c r="U31" i="4"/>
  <c r="T31" i="4"/>
  <c r="S31" i="4"/>
  <c r="R31" i="4"/>
  <c r="V30" i="4"/>
  <c r="R30" i="4"/>
  <c r="U30" i="4" s="1"/>
  <c r="V29" i="4"/>
  <c r="U29" i="4"/>
  <c r="T29" i="4"/>
  <c r="S29" i="4"/>
  <c r="R29" i="4"/>
  <c r="V28" i="4"/>
  <c r="U28" i="4"/>
  <c r="S28" i="4"/>
  <c r="R28" i="4"/>
  <c r="T28" i="4" s="1"/>
  <c r="I135" i="4"/>
  <c r="J135" i="4"/>
  <c r="K135" i="4" s="1"/>
  <c r="O135" i="4" s="1"/>
  <c r="P135" i="4" s="1"/>
  <c r="I136" i="4"/>
  <c r="L136" i="4" s="1"/>
  <c r="M136" i="4" s="1"/>
  <c r="J136" i="4"/>
  <c r="K136" i="4" s="1"/>
  <c r="O136" i="4" s="1"/>
  <c r="P136" i="4" s="1"/>
  <c r="I137" i="4"/>
  <c r="L137" i="4" s="1"/>
  <c r="M137" i="4" s="1"/>
  <c r="J137" i="4"/>
  <c r="K137" i="4"/>
  <c r="O137" i="4" s="1"/>
  <c r="P137" i="4" s="1"/>
  <c r="N137" i="4"/>
  <c r="Q137" i="4" s="1"/>
  <c r="I138" i="4"/>
  <c r="N138" i="4" s="1"/>
  <c r="Q138" i="4" s="1"/>
  <c r="J138" i="4"/>
  <c r="K138" i="4"/>
  <c r="O138" i="4" s="1"/>
  <c r="P138" i="4" s="1"/>
  <c r="L138" i="4"/>
  <c r="M138" i="4" s="1"/>
  <c r="I139" i="4"/>
  <c r="L139" i="4" s="1"/>
  <c r="M139" i="4" s="1"/>
  <c r="J139" i="4"/>
  <c r="K139" i="4" s="1"/>
  <c r="O139" i="4" s="1"/>
  <c r="P139" i="4" s="1"/>
  <c r="I140" i="4"/>
  <c r="J140" i="4"/>
  <c r="K140" i="4"/>
  <c r="O140" i="4" s="1"/>
  <c r="P140" i="4" s="1"/>
  <c r="I141" i="4"/>
  <c r="L141" i="4" s="1"/>
  <c r="M141" i="4" s="1"/>
  <c r="J141" i="4"/>
  <c r="K141" i="4" s="1"/>
  <c r="O141" i="4" s="1"/>
  <c r="P141" i="4" s="1"/>
  <c r="I142" i="4"/>
  <c r="J142" i="4"/>
  <c r="K142" i="4" s="1"/>
  <c r="O142" i="4" s="1"/>
  <c r="P142" i="4" s="1"/>
  <c r="L142" i="4"/>
  <c r="M142" i="4"/>
  <c r="N142" i="4"/>
  <c r="Q142" i="4" s="1"/>
  <c r="I143" i="4"/>
  <c r="J143" i="4"/>
  <c r="K143" i="4" s="1"/>
  <c r="O143" i="4" s="1"/>
  <c r="P143" i="4" s="1"/>
  <c r="S137" i="4" l="1"/>
  <c r="T137" i="4"/>
  <c r="S39" i="4"/>
  <c r="U39" i="4"/>
  <c r="T39" i="4"/>
  <c r="T53" i="4"/>
  <c r="S75" i="4"/>
  <c r="U75" i="4"/>
  <c r="T75" i="4"/>
  <c r="T89" i="4"/>
  <c r="S105" i="4"/>
  <c r="T120" i="4"/>
  <c r="S51" i="4"/>
  <c r="U51" i="4"/>
  <c r="T51" i="4"/>
  <c r="S87" i="4"/>
  <c r="U87" i="4"/>
  <c r="T87" i="4"/>
  <c r="S48" i="4"/>
  <c r="S84" i="4"/>
  <c r="T103" i="4"/>
  <c r="S103" i="4"/>
  <c r="U103" i="4"/>
  <c r="U118" i="4"/>
  <c r="T118" i="4"/>
  <c r="T48" i="4"/>
  <c r="T84" i="4"/>
  <c r="U111" i="4"/>
  <c r="T111" i="4"/>
  <c r="S111" i="4"/>
  <c r="S118" i="4"/>
  <c r="U34" i="4"/>
  <c r="T34" i="4"/>
  <c r="S41" i="4"/>
  <c r="U70" i="4"/>
  <c r="T70" i="4"/>
  <c r="S77" i="4"/>
  <c r="S108" i="4"/>
  <c r="S34" i="4"/>
  <c r="T41" i="4"/>
  <c r="S63" i="4"/>
  <c r="T63" i="4"/>
  <c r="U63" i="4"/>
  <c r="S70" i="4"/>
  <c r="T77" i="4"/>
  <c r="T108" i="4"/>
  <c r="S60" i="4"/>
  <c r="S96" i="4"/>
  <c r="T60" i="4"/>
  <c r="T96" i="4"/>
  <c r="T123" i="4"/>
  <c r="U123" i="4"/>
  <c r="S123" i="4"/>
  <c r="U46" i="4"/>
  <c r="T46" i="4"/>
  <c r="S53" i="4"/>
  <c r="S89" i="4"/>
  <c r="S120" i="4"/>
  <c r="U142" i="4"/>
  <c r="T142" i="4"/>
  <c r="S36" i="4"/>
  <c r="S72" i="4"/>
  <c r="T105" i="4"/>
  <c r="S113" i="4"/>
  <c r="T135" i="4"/>
  <c r="S135" i="4"/>
  <c r="U135" i="4"/>
  <c r="T130" i="4"/>
  <c r="U130" i="4"/>
  <c r="S130" i="4"/>
  <c r="T82" i="4"/>
  <c r="U82" i="4"/>
  <c r="U58" i="4"/>
  <c r="T58" i="4"/>
  <c r="S65" i="4"/>
  <c r="T94" i="4"/>
  <c r="U94" i="4"/>
  <c r="S56" i="4"/>
  <c r="S68" i="4"/>
  <c r="S92" i="4"/>
  <c r="S116" i="4"/>
  <c r="T44" i="4"/>
  <c r="S73" i="4"/>
  <c r="S109" i="4"/>
  <c r="T116" i="4"/>
  <c r="T128" i="4"/>
  <c r="S30" i="4"/>
  <c r="T37" i="4"/>
  <c r="S42" i="4"/>
  <c r="U44" i="4"/>
  <c r="T49" i="4"/>
  <c r="S54" i="4"/>
  <c r="U56" i="4"/>
  <c r="U68" i="4"/>
  <c r="T73" i="4"/>
  <c r="S78" i="4"/>
  <c r="U92" i="4"/>
  <c r="T101" i="4"/>
  <c r="S106" i="4"/>
  <c r="S114" i="4"/>
  <c r="T121" i="4"/>
  <c r="S126" i="4"/>
  <c r="U128" i="4"/>
  <c r="T133" i="4"/>
  <c r="T30" i="4"/>
  <c r="S35" i="4"/>
  <c r="U37" i="4"/>
  <c r="T42" i="4"/>
  <c r="S47" i="4"/>
  <c r="U49" i="4"/>
  <c r="T54" i="4"/>
  <c r="S59" i="4"/>
  <c r="U61" i="4"/>
  <c r="T66" i="4"/>
  <c r="S71" i="4"/>
  <c r="T78" i="4"/>
  <c r="S83" i="4"/>
  <c r="U85" i="4"/>
  <c r="T90" i="4"/>
  <c r="S95" i="4"/>
  <c r="T98" i="4"/>
  <c r="U101" i="4"/>
  <c r="T106" i="4"/>
  <c r="U109" i="4"/>
  <c r="T114" i="4"/>
  <c r="S119" i="4"/>
  <c r="U121" i="4"/>
  <c r="T126" i="4"/>
  <c r="S131" i="4"/>
  <c r="U133" i="4"/>
  <c r="T138" i="4"/>
  <c r="S143" i="4"/>
  <c r="U32" i="4"/>
  <c r="T61" i="4"/>
  <c r="U80" i="4"/>
  <c r="S98" i="4"/>
  <c r="U140" i="4"/>
  <c r="T35" i="4"/>
  <c r="T47" i="4"/>
  <c r="T59" i="4"/>
  <c r="U66" i="4"/>
  <c r="T71" i="4"/>
  <c r="T83" i="4"/>
  <c r="U90" i="4"/>
  <c r="T95" i="4"/>
  <c r="T119" i="4"/>
  <c r="S124" i="4"/>
  <c r="T131" i="4"/>
  <c r="S136" i="4"/>
  <c r="U138" i="4"/>
  <c r="T143" i="4"/>
  <c r="S32" i="4"/>
  <c r="S80" i="4"/>
  <c r="S140" i="4"/>
  <c r="S85" i="4"/>
  <c r="L135" i="4"/>
  <c r="M135" i="4" s="1"/>
  <c r="L140" i="4"/>
  <c r="M140" i="4" s="1"/>
  <c r="N141" i="4"/>
  <c r="Q141" i="4" s="1"/>
  <c r="L143" i="4"/>
  <c r="M143" i="4" s="1"/>
  <c r="N143" i="4"/>
  <c r="Q143" i="4" s="1"/>
  <c r="N139" i="4"/>
  <c r="Q139" i="4" s="1"/>
  <c r="N135" i="4"/>
  <c r="Q135" i="4" s="1"/>
  <c r="N140" i="4"/>
  <c r="Q140" i="4" s="1"/>
  <c r="N136" i="4"/>
  <c r="Q136" i="4" s="1"/>
  <c r="I128" i="4" l="1"/>
  <c r="N128" i="4" s="1"/>
  <c r="Q128" i="4" s="1"/>
  <c r="J128" i="4"/>
  <c r="K128" i="4" s="1"/>
  <c r="O128" i="4" s="1"/>
  <c r="P128" i="4" s="1"/>
  <c r="I129" i="4"/>
  <c r="N129" i="4" s="1"/>
  <c r="Q129" i="4" s="1"/>
  <c r="J129" i="4"/>
  <c r="K129" i="4" s="1"/>
  <c r="O129" i="4" s="1"/>
  <c r="P129" i="4" s="1"/>
  <c r="L129" i="4"/>
  <c r="M129" i="4"/>
  <c r="I130" i="4"/>
  <c r="J130" i="4"/>
  <c r="K130" i="4" s="1"/>
  <c r="I131" i="4"/>
  <c r="J131" i="4"/>
  <c r="K131" i="4" s="1"/>
  <c r="O131" i="4" s="1"/>
  <c r="P131" i="4" s="1"/>
  <c r="I132" i="4"/>
  <c r="J132" i="4"/>
  <c r="K132" i="4" s="1"/>
  <c r="O132" i="4" s="1"/>
  <c r="P132" i="4" s="1"/>
  <c r="N132" i="4"/>
  <c r="Q132" i="4"/>
  <c r="I133" i="4"/>
  <c r="J133" i="4"/>
  <c r="K133" i="4" s="1"/>
  <c r="O133" i="4" s="1"/>
  <c r="P133" i="4" s="1"/>
  <c r="I134" i="4"/>
  <c r="N134" i="4" s="1"/>
  <c r="Q134" i="4" s="1"/>
  <c r="J134" i="4"/>
  <c r="K134" i="4" s="1"/>
  <c r="O134" i="4" s="1"/>
  <c r="P134" i="4" s="1"/>
  <c r="L132" i="4" l="1"/>
  <c r="M132" i="4" s="1"/>
  <c r="L134" i="4"/>
  <c r="M134" i="4" s="1"/>
  <c r="L131" i="4"/>
  <c r="M131" i="4" s="1"/>
  <c r="L128" i="4"/>
  <c r="M128" i="4" s="1"/>
  <c r="O130" i="4"/>
  <c r="P130" i="4" s="1"/>
  <c r="L133" i="4"/>
  <c r="M133" i="4" s="1"/>
  <c r="N133" i="4"/>
  <c r="Q133" i="4" s="1"/>
  <c r="L130" i="4"/>
  <c r="M130" i="4" s="1"/>
  <c r="N130" i="4"/>
  <c r="Q130" i="4" s="1"/>
  <c r="N131" i="4"/>
  <c r="Q131" i="4" s="1"/>
  <c r="O15" i="1" l="1"/>
  <c r="L15" i="1"/>
  <c r="N15" i="1"/>
  <c r="M117" i="4"/>
  <c r="J16" i="4"/>
  <c r="J15" i="4"/>
  <c r="J87" i="4"/>
  <c r="J122" i="4"/>
  <c r="K122" i="4" s="1"/>
  <c r="O122" i="4" s="1"/>
  <c r="P122" i="4" s="1"/>
  <c r="J117" i="4"/>
  <c r="K117" i="4" s="1"/>
  <c r="O117" i="4" s="1"/>
  <c r="P117" i="4" s="1"/>
  <c r="J120" i="4"/>
  <c r="K120" i="4"/>
  <c r="O120" i="4" s="1"/>
  <c r="P120" i="4" s="1"/>
  <c r="J101" i="4"/>
  <c r="K101" i="4"/>
  <c r="O101" i="4" s="1"/>
  <c r="P101" i="4" s="1"/>
  <c r="J86" i="4"/>
  <c r="K86" i="4" s="1"/>
  <c r="J85" i="4"/>
  <c r="K85" i="4" s="1"/>
  <c r="J88" i="4"/>
  <c r="K88" i="4" s="1"/>
  <c r="J119" i="4"/>
  <c r="K119" i="4"/>
  <c r="O119" i="4" s="1"/>
  <c r="P119" i="4" s="1"/>
  <c r="J72" i="4"/>
  <c r="K72" i="4" s="1"/>
  <c r="J103" i="4"/>
  <c r="K103" i="4" s="1"/>
  <c r="O103" i="4" s="1"/>
  <c r="P103" i="4" s="1"/>
  <c r="J118" i="4"/>
  <c r="K118" i="4" s="1"/>
  <c r="O118" i="4" s="1"/>
  <c r="P118" i="4" s="1"/>
  <c r="J104" i="4"/>
  <c r="K104" i="4" s="1"/>
  <c r="O104" i="4" s="1"/>
  <c r="P104" i="4" s="1"/>
  <c r="J90" i="4"/>
  <c r="J71" i="4"/>
  <c r="K71" i="4" s="1"/>
  <c r="J110" i="4"/>
  <c r="L110" i="4" s="1"/>
  <c r="M110" i="4" s="1"/>
  <c r="K110" i="4"/>
  <c r="J82" i="4"/>
  <c r="K82" i="4"/>
  <c r="J113" i="4"/>
  <c r="K113" i="4" s="1"/>
  <c r="O113" i="4" s="1"/>
  <c r="P113" i="4" s="1"/>
  <c r="J97" i="4"/>
  <c r="K97" i="4" s="1"/>
  <c r="J81" i="4"/>
  <c r="K81" i="4" s="1"/>
  <c r="J116" i="4"/>
  <c r="K116" i="4" s="1"/>
  <c r="J100" i="4"/>
  <c r="K100" i="4"/>
  <c r="O100" i="4" s="1"/>
  <c r="P100" i="4" s="1"/>
  <c r="J84" i="4"/>
  <c r="K84" i="4" s="1"/>
  <c r="J114" i="4"/>
  <c r="K114" i="4"/>
  <c r="O114" i="4" s="1"/>
  <c r="P114" i="4" s="1"/>
  <c r="J78" i="4"/>
  <c r="K78" i="4"/>
  <c r="J115" i="4"/>
  <c r="K115" i="4" s="1"/>
  <c r="J99" i="4"/>
  <c r="K99" i="4" s="1"/>
  <c r="O99" i="4" s="1"/>
  <c r="P99" i="4" s="1"/>
  <c r="J83" i="4"/>
  <c r="K83" i="4"/>
  <c r="J102" i="4"/>
  <c r="K102" i="4" s="1"/>
  <c r="O102" i="4" s="1"/>
  <c r="P102" i="4" s="1"/>
  <c r="J74" i="4"/>
  <c r="K74" i="4" s="1"/>
  <c r="J125" i="4"/>
  <c r="K125" i="4"/>
  <c r="O125" i="4" s="1"/>
  <c r="P125" i="4" s="1"/>
  <c r="J109" i="4"/>
  <c r="K109" i="4"/>
  <c r="O109" i="4" s="1"/>
  <c r="P109" i="4" s="1"/>
  <c r="J93" i="4"/>
  <c r="K93" i="4" s="1"/>
  <c r="J77" i="4"/>
  <c r="K77" i="4" s="1"/>
  <c r="J112" i="4"/>
  <c r="K112" i="4" s="1"/>
  <c r="O112" i="4" s="1"/>
  <c r="P112" i="4" s="1"/>
  <c r="J96" i="4"/>
  <c r="K96" i="4" s="1"/>
  <c r="J80" i="4"/>
  <c r="K80" i="4" s="1"/>
  <c r="J106" i="4"/>
  <c r="K106" i="4"/>
  <c r="O106" i="4" s="1"/>
  <c r="P106" i="4" s="1"/>
  <c r="J127" i="4"/>
  <c r="K127" i="4"/>
  <c r="J111" i="4"/>
  <c r="L111" i="4" s="1"/>
  <c r="M111" i="4" s="1"/>
  <c r="K111" i="4"/>
  <c r="O111" i="4" s="1"/>
  <c r="P111" i="4" s="1"/>
  <c r="J95" i="4"/>
  <c r="K95" i="4" s="1"/>
  <c r="J79" i="4"/>
  <c r="K79" i="4" s="1"/>
  <c r="J126" i="4"/>
  <c r="K126" i="4" s="1"/>
  <c r="J94" i="4"/>
  <c r="K94" i="4" s="1"/>
  <c r="J121" i="4"/>
  <c r="K121" i="4" s="1"/>
  <c r="J105" i="4"/>
  <c r="K105" i="4"/>
  <c r="J89" i="4"/>
  <c r="K89" i="4" s="1"/>
  <c r="J73" i="4"/>
  <c r="K73" i="4" s="1"/>
  <c r="J124" i="4"/>
  <c r="K124" i="4" s="1"/>
  <c r="J108" i="4"/>
  <c r="K108" i="4" s="1"/>
  <c r="J92" i="4"/>
  <c r="K92" i="4" s="1"/>
  <c r="J76" i="4"/>
  <c r="K76" i="4" s="1"/>
  <c r="J98" i="4"/>
  <c r="K98" i="4" s="1"/>
  <c r="O98" i="4" s="1"/>
  <c r="P98" i="4" s="1"/>
  <c r="J123" i="4"/>
  <c r="K123" i="4" s="1"/>
  <c r="O123" i="4" s="1"/>
  <c r="P123" i="4" s="1"/>
  <c r="J107" i="4"/>
  <c r="K107" i="4"/>
  <c r="J91" i="4"/>
  <c r="K91" i="4" s="1"/>
  <c r="J75" i="4"/>
  <c r="K75" i="4" s="1"/>
  <c r="O105" i="4"/>
  <c r="P105" i="4" s="1"/>
  <c r="O110" i="4"/>
  <c r="P110" i="4" s="1"/>
  <c r="I76" i="4"/>
  <c r="I77" i="4"/>
  <c r="I81" i="4"/>
  <c r="I89" i="4"/>
  <c r="N89" i="4" s="1"/>
  <c r="Q89" i="4" s="1"/>
  <c r="I90" i="4"/>
  <c r="N90" i="4" s="1"/>
  <c r="Q90" i="4" s="1"/>
  <c r="I96" i="4"/>
  <c r="N96" i="4" s="1"/>
  <c r="Q96" i="4" s="1"/>
  <c r="I99" i="4"/>
  <c r="N99" i="4" s="1"/>
  <c r="Q99" i="4" s="1"/>
  <c r="I102" i="4"/>
  <c r="L102" i="4" s="1"/>
  <c r="M102" i="4" s="1"/>
  <c r="I104" i="4"/>
  <c r="N104" i="4" s="1"/>
  <c r="Q104" i="4" s="1"/>
  <c r="I108" i="4"/>
  <c r="N108" i="4" s="1"/>
  <c r="Q108" i="4" s="1"/>
  <c r="I111" i="4"/>
  <c r="I113" i="4"/>
  <c r="I115" i="4"/>
  <c r="N115" i="4" s="1"/>
  <c r="Q115" i="4" s="1"/>
  <c r="I119" i="4"/>
  <c r="N119" i="4" s="1"/>
  <c r="Q119" i="4" s="1"/>
  <c r="I120" i="4"/>
  <c r="N120" i="4" s="1"/>
  <c r="Q120" i="4" s="1"/>
  <c r="I123" i="4"/>
  <c r="N123" i="4" s="1"/>
  <c r="Q123" i="4" s="1"/>
  <c r="I125" i="4"/>
  <c r="L125" i="4" s="1"/>
  <c r="M125" i="4" s="1"/>
  <c r="I79" i="4"/>
  <c r="N79" i="4" s="1"/>
  <c r="Q79" i="4" s="1"/>
  <c r="I92" i="4"/>
  <c r="L92" i="4" s="1"/>
  <c r="I100" i="4"/>
  <c r="L100" i="4" s="1"/>
  <c r="M100" i="4" s="1"/>
  <c r="I103" i="4"/>
  <c r="L103" i="4" s="1"/>
  <c r="M103" i="4" s="1"/>
  <c r="I107" i="4"/>
  <c r="N107" i="4" s="1"/>
  <c r="Q107" i="4" s="1"/>
  <c r="I109" i="4"/>
  <c r="L109" i="4" s="1"/>
  <c r="M109" i="4" s="1"/>
  <c r="I110" i="4"/>
  <c r="I117" i="4"/>
  <c r="I124" i="4"/>
  <c r="I72" i="4"/>
  <c r="I106" i="4"/>
  <c r="L106" i="4" s="1"/>
  <c r="M106" i="4" s="1"/>
  <c r="I71" i="4"/>
  <c r="N71" i="4" s="1"/>
  <c r="Q71" i="4" s="1"/>
  <c r="I75" i="4"/>
  <c r="N75" i="4" s="1"/>
  <c r="Q75" i="4" s="1"/>
  <c r="I80" i="4"/>
  <c r="I83" i="4"/>
  <c r="N83" i="4" s="1"/>
  <c r="Q83" i="4" s="1"/>
  <c r="I86" i="4"/>
  <c r="N86" i="4" s="1"/>
  <c r="Q86" i="4" s="1"/>
  <c r="I88" i="4"/>
  <c r="N88" i="4" s="1"/>
  <c r="Q88" i="4" s="1"/>
  <c r="I94" i="4"/>
  <c r="N94" i="4" s="1"/>
  <c r="Q94" i="4" s="1"/>
  <c r="I95" i="4"/>
  <c r="I98" i="4"/>
  <c r="L98" i="4" s="1"/>
  <c r="M98" i="4" s="1"/>
  <c r="I101" i="4"/>
  <c r="I118" i="4"/>
  <c r="N118" i="4" s="1"/>
  <c r="Q118" i="4" s="1"/>
  <c r="I127" i="4"/>
  <c r="L127" i="4" s="1"/>
  <c r="I73" i="4"/>
  <c r="L73" i="4" s="1"/>
  <c r="I74" i="4"/>
  <c r="N74" i="4" s="1"/>
  <c r="Q74" i="4" s="1"/>
  <c r="I78" i="4"/>
  <c r="N78" i="4" s="1"/>
  <c r="Q78" i="4" s="1"/>
  <c r="I82" i="4"/>
  <c r="N82" i="4" s="1"/>
  <c r="Q82" i="4" s="1"/>
  <c r="I85" i="4"/>
  <c r="N85" i="4" s="1"/>
  <c r="Q85" i="4" s="1"/>
  <c r="I93" i="4"/>
  <c r="N93" i="4" s="1"/>
  <c r="Q93" i="4" s="1"/>
  <c r="I112" i="4"/>
  <c r="I114" i="4"/>
  <c r="N114" i="4" s="1"/>
  <c r="Q114" i="4" s="1"/>
  <c r="I121" i="4"/>
  <c r="N121" i="4" s="1"/>
  <c r="Q121" i="4" s="1"/>
  <c r="I122" i="4"/>
  <c r="L122" i="4" s="1"/>
  <c r="M122" i="4" s="1"/>
  <c r="I84" i="4"/>
  <c r="L84" i="4" s="1"/>
  <c r="I87" i="4"/>
  <c r="I91" i="4"/>
  <c r="N91" i="4" s="1"/>
  <c r="Q91" i="4" s="1"/>
  <c r="I97" i="4"/>
  <c r="I105" i="4"/>
  <c r="N105" i="4" s="1"/>
  <c r="Q105" i="4" s="1"/>
  <c r="I116" i="4"/>
  <c r="N116" i="4" s="1"/>
  <c r="Q116" i="4" s="1"/>
  <c r="I126" i="4"/>
  <c r="N126" i="4" s="1"/>
  <c r="Q126" i="4" s="1"/>
  <c r="N101" i="4"/>
  <c r="Q101" i="4" s="1"/>
  <c r="N124" i="4"/>
  <c r="Q124" i="4"/>
  <c r="N77" i="4"/>
  <c r="Q77" i="4" s="1"/>
  <c r="L77" i="4"/>
  <c r="N97" i="4"/>
  <c r="Q97" i="4" s="1"/>
  <c r="N98" i="4"/>
  <c r="Q98" i="4" s="1"/>
  <c r="N117" i="4"/>
  <c r="Q117" i="4" s="1"/>
  <c r="L117" i="4"/>
  <c r="N76" i="4"/>
  <c r="Q76" i="4" s="1"/>
  <c r="L126" i="4"/>
  <c r="N112" i="4"/>
  <c r="Q112" i="4"/>
  <c r="N95" i="4"/>
  <c r="Q95" i="4" s="1"/>
  <c r="N110" i="4"/>
  <c r="Q110" i="4"/>
  <c r="N113" i="4"/>
  <c r="Q113" i="4"/>
  <c r="N87" i="4"/>
  <c r="Q87" i="4" s="1"/>
  <c r="N122" i="4"/>
  <c r="Q122" i="4" s="1"/>
  <c r="N109" i="4"/>
  <c r="Q109" i="4" s="1"/>
  <c r="L120" i="4"/>
  <c r="N111" i="4"/>
  <c r="Q111" i="4" s="1"/>
  <c r="N81" i="4"/>
  <c r="Q81" i="4" s="1"/>
  <c r="L113" i="4" l="1"/>
  <c r="M113" i="4" s="1"/>
  <c r="L76" i="4"/>
  <c r="L72" i="4"/>
  <c r="N106" i="4"/>
  <c r="Q106" i="4" s="1"/>
  <c r="N100" i="4"/>
  <c r="Q100" i="4" s="1"/>
  <c r="L90" i="4"/>
  <c r="N125" i="4"/>
  <c r="Q125" i="4" s="1"/>
  <c r="L101" i="4"/>
  <c r="M101" i="4" s="1"/>
  <c r="L123" i="4"/>
  <c r="M123" i="4" s="1"/>
  <c r="L105" i="4"/>
  <c r="M105" i="4" s="1"/>
  <c r="L118" i="4"/>
  <c r="M118" i="4" s="1"/>
  <c r="L112" i="4"/>
  <c r="M112" i="4" s="1"/>
  <c r="O121" i="4"/>
  <c r="P121" i="4" s="1"/>
  <c r="N103" i="4"/>
  <c r="Q103" i="4" s="1"/>
  <c r="L81" i="4"/>
  <c r="M120" i="4"/>
  <c r="M126" i="4"/>
  <c r="O116" i="4"/>
  <c r="P116" i="4" s="1"/>
  <c r="L80" i="4"/>
  <c r="N102" i="4"/>
  <c r="Q102" i="4" s="1"/>
  <c r="O108" i="4"/>
  <c r="P108" i="4" s="1"/>
  <c r="O115" i="4"/>
  <c r="P115" i="4" s="1"/>
  <c r="L97" i="4"/>
  <c r="L99" i="4"/>
  <c r="M99" i="4" s="1"/>
  <c r="L94" i="4"/>
  <c r="M94" i="4" s="1"/>
  <c r="L108" i="4"/>
  <c r="M127" i="4"/>
  <c r="O124" i="4"/>
  <c r="P124" i="4" s="1"/>
  <c r="L95" i="4"/>
  <c r="M95" i="4" s="1"/>
  <c r="L104" i="4"/>
  <c r="M104" i="4" s="1"/>
  <c r="O91" i="4"/>
  <c r="P91" i="4" s="1"/>
  <c r="L115" i="4"/>
  <c r="L85" i="4"/>
  <c r="O107" i="4"/>
  <c r="P107" i="4" s="1"/>
  <c r="O127" i="4"/>
  <c r="P127" i="4" s="1"/>
  <c r="L107" i="4"/>
  <c r="L121" i="4"/>
  <c r="L74" i="4"/>
  <c r="O126" i="4"/>
  <c r="P126" i="4" s="1"/>
  <c r="L87" i="4"/>
  <c r="O71" i="4"/>
  <c r="P71" i="4" s="1"/>
  <c r="L71" i="4"/>
  <c r="M92" i="4"/>
  <c r="O77" i="4"/>
  <c r="P77" i="4" s="1"/>
  <c r="M73" i="4"/>
  <c r="M90" i="4"/>
  <c r="O86" i="4"/>
  <c r="P86" i="4" s="1"/>
  <c r="N73" i="4"/>
  <c r="Q73" i="4" s="1"/>
  <c r="O73" i="4"/>
  <c r="P73" i="4" s="1"/>
  <c r="O81" i="4"/>
  <c r="P81" i="4" s="1"/>
  <c r="M84" i="4"/>
  <c r="L116" i="4"/>
  <c r="N127" i="4"/>
  <c r="Q127" i="4" s="1"/>
  <c r="L119" i="4"/>
  <c r="O72" i="4"/>
  <c r="P72" i="4" s="1"/>
  <c r="N92" i="4"/>
  <c r="Q92" i="4" s="1"/>
  <c r="O89" i="4"/>
  <c r="P89" i="4" s="1"/>
  <c r="O97" i="4"/>
  <c r="P97" i="4" s="1"/>
  <c r="M97" i="4"/>
  <c r="M72" i="4"/>
  <c r="O76" i="4"/>
  <c r="P76" i="4" s="1"/>
  <c r="L114" i="4"/>
  <c r="O94" i="4"/>
  <c r="P94" i="4" s="1"/>
  <c r="L82" i="4"/>
  <c r="L75" i="4"/>
  <c r="O92" i="4"/>
  <c r="P92" i="4" s="1"/>
  <c r="O83" i="4"/>
  <c r="P83" i="4" s="1"/>
  <c r="L91" i="4"/>
  <c r="O93" i="4"/>
  <c r="P93" i="4" s="1"/>
  <c r="O78" i="4"/>
  <c r="P78" i="4" s="1"/>
  <c r="L124" i="4"/>
  <c r="O80" i="4"/>
  <c r="P80" i="4" s="1"/>
  <c r="L78" i="4"/>
  <c r="O96" i="4"/>
  <c r="P96" i="4" s="1"/>
  <c r="L79" i="4"/>
  <c r="O75" i="4"/>
  <c r="P75" i="4" s="1"/>
  <c r="L83" i="4"/>
  <c r="M87" i="4"/>
  <c r="M77" i="4"/>
  <c r="M76" i="4"/>
  <c r="O74" i="4"/>
  <c r="P74" i="4" s="1"/>
  <c r="O82" i="4"/>
  <c r="P82" i="4" s="1"/>
  <c r="O84" i="4"/>
  <c r="P84" i="4" s="1"/>
  <c r="L86" i="4"/>
  <c r="O79" i="4"/>
  <c r="P79" i="4" s="1"/>
  <c r="O88" i="4"/>
  <c r="P88" i="4" s="1"/>
  <c r="O95" i="4"/>
  <c r="P95" i="4" s="1"/>
  <c r="O85" i="4"/>
  <c r="P85" i="4" s="1"/>
  <c r="L93" i="4"/>
  <c r="L89" i="4"/>
  <c r="L88" i="4"/>
  <c r="N80" i="4"/>
  <c r="Q80" i="4" s="1"/>
  <c r="N72" i="4"/>
  <c r="Q72" i="4" s="1"/>
  <c r="L96" i="4"/>
  <c r="K90" i="4"/>
  <c r="N84" i="4"/>
  <c r="Q84" i="4" s="1"/>
  <c r="K87" i="4"/>
  <c r="J14" i="4"/>
  <c r="J13" i="4" s="1"/>
  <c r="K16" i="4" s="1"/>
  <c r="M80" i="4" l="1"/>
  <c r="M116" i="4"/>
  <c r="M74" i="4"/>
  <c r="M121" i="4"/>
  <c r="M107" i="4"/>
  <c r="M114" i="4"/>
  <c r="M115" i="4"/>
  <c r="M81" i="4"/>
  <c r="M119" i="4"/>
  <c r="M71" i="4"/>
  <c r="M124" i="4"/>
  <c r="M108" i="4"/>
  <c r="M85" i="4"/>
  <c r="M91" i="4"/>
  <c r="O90" i="4"/>
  <c r="P90" i="4" s="1"/>
  <c r="M83" i="4"/>
  <c r="M88" i="4"/>
  <c r="M93" i="4"/>
  <c r="M89" i="4"/>
  <c r="M79" i="4"/>
  <c r="M86" i="4"/>
  <c r="M78" i="4"/>
  <c r="M75" i="4"/>
  <c r="M96" i="4"/>
  <c r="M82" i="4"/>
  <c r="O87" i="4"/>
  <c r="P87" i="4" s="1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60" i="4" l="1"/>
  <c r="P60" i="4" s="1"/>
  <c r="O61" i="4"/>
  <c r="P61" i="4" s="1"/>
  <c r="O62" i="4"/>
  <c r="P62" i="4" s="1"/>
  <c r="O57" i="4"/>
  <c r="P57" i="4" s="1"/>
  <c r="O58" i="4"/>
  <c r="P58" i="4" s="1"/>
  <c r="L66" i="4"/>
  <c r="K66" i="4"/>
  <c r="K70" i="4"/>
  <c r="L70" i="4"/>
  <c r="K64" i="4"/>
  <c r="L64" i="4"/>
  <c r="O63" i="4"/>
  <c r="P63" i="4" s="1"/>
  <c r="L63" i="4"/>
  <c r="K68" i="4"/>
  <c r="L68" i="4"/>
  <c r="L67" i="4"/>
  <c r="K67" i="4"/>
  <c r="L65" i="4"/>
  <c r="K65" i="4"/>
  <c r="K69" i="4"/>
  <c r="L69" i="4"/>
  <c r="N62" i="4"/>
  <c r="Q62" i="4" s="1"/>
  <c r="L62" i="4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L60" i="4"/>
  <c r="N60" i="4"/>
  <c r="Q60" i="4" s="1"/>
  <c r="M61" i="4" l="1"/>
  <c r="M60" i="4"/>
  <c r="M70" i="4"/>
  <c r="M62" i="4"/>
  <c r="M63" i="4"/>
  <c r="O64" i="4"/>
  <c r="P64" i="4" s="1"/>
  <c r="M58" i="4"/>
  <c r="M57" i="4"/>
  <c r="M64" i="4"/>
  <c r="M69" i="4"/>
  <c r="O69" i="4"/>
  <c r="P69" i="4" s="1"/>
  <c r="O65" i="4"/>
  <c r="P65" i="4" s="1"/>
  <c r="O66" i="4"/>
  <c r="P66" i="4" s="1"/>
  <c r="M65" i="4"/>
  <c r="M66" i="4"/>
  <c r="O67" i="4"/>
  <c r="P67" i="4" s="1"/>
  <c r="M67" i="4"/>
  <c r="M68" i="4"/>
  <c r="O68" i="4"/>
  <c r="P68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J45" i="4" s="1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30" i="4" l="1"/>
  <c r="K30" i="4" s="1"/>
  <c r="J43" i="4"/>
  <c r="L43" i="4" s="1"/>
  <c r="J31" i="4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L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K47" i="4" l="1"/>
  <c r="M48" i="4"/>
  <c r="O49" i="4"/>
  <c r="P49" i="4" s="1"/>
  <c r="M49" i="4"/>
  <c r="K35" i="4"/>
  <c r="O48" i="4"/>
  <c r="P48" i="4" s="1"/>
  <c r="K43" i="4"/>
  <c r="L30" i="4"/>
  <c r="O30" i="4"/>
  <c r="P30" i="4" s="1"/>
  <c r="O45" i="4"/>
  <c r="P45" i="4" s="1"/>
  <c r="M45" i="4"/>
  <c r="M35" i="4"/>
  <c r="O28" i="4"/>
  <c r="P28" i="4" s="1"/>
  <c r="O39" i="4"/>
  <c r="P39" i="4" s="1"/>
  <c r="M39" i="4"/>
  <c r="O47" i="4"/>
  <c r="P47" i="4" s="1"/>
  <c r="M47" i="4"/>
  <c r="O31" i="4"/>
  <c r="P31" i="4" s="1"/>
  <c r="M43" i="4"/>
  <c r="O46" i="4"/>
  <c r="P46" i="4" s="1"/>
  <c r="M44" i="4"/>
  <c r="K36" i="4"/>
  <c r="M31" i="4"/>
  <c r="O43" i="4"/>
  <c r="P43" i="4" s="1"/>
  <c r="O33" i="4"/>
  <c r="P33" i="4" s="1"/>
  <c r="K44" i="4"/>
  <c r="O41" i="4"/>
  <c r="P41" i="4" s="1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6" i="4"/>
  <c r="K40" i="4"/>
  <c r="K32" i="4"/>
  <c r="L28" i="4"/>
  <c r="O35" i="4" l="1"/>
  <c r="P35" i="4" s="1"/>
  <c r="M30" i="4"/>
  <c r="O44" i="4"/>
  <c r="P44" i="4" s="1"/>
  <c r="O29" i="4"/>
  <c r="P29" i="4" s="1"/>
  <c r="O32" i="4"/>
  <c r="P32" i="4" s="1"/>
  <c r="O38" i="4"/>
  <c r="P38" i="4" s="1"/>
  <c r="O40" i="4"/>
  <c r="P40" i="4" s="1"/>
  <c r="O34" i="4"/>
  <c r="P34" i="4" s="1"/>
  <c r="O42" i="4"/>
  <c r="P42" i="4" s="1"/>
  <c r="M41" i="4"/>
  <c r="O37" i="4"/>
  <c r="P37" i="4" s="1"/>
  <c r="M33" i="4"/>
  <c r="M46" i="4"/>
  <c r="O36" i="4"/>
  <c r="P36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<sst xmlns="http://schemas.openxmlformats.org/spreadsheetml/2006/main" count="340" uniqueCount="314">
  <si>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</si>
  <si>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</si>
  <si>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</si>
  <si>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</si>
  <si>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</si>
  <si>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</si>
  <si>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</si>
  <si>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</si>
  <si>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</si>
  <si>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</si>
  <si>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</si>
  <si>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</si>
  <si>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</si>
  <si>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</si>
  <si>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</si>
  <si>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</si>
  <si>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</si>
  <si>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</si>
  <si>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</si>
  <si>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</si>
  <si>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</si>
  <si>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</si>
  <si>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</si>
  <si>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</si>
  <si>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</si>
  <si>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</si>
  <si>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</si>
  <si>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</si>
  <si>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</si>
  <si>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</si>
  <si>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</si>
  <si>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</si>
  <si>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</si>
  <si>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</si>
  <si>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</si>
  <si>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</si>
  <si>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</si>
  <si>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</si>
  <si>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</si>
  <si>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</si>
  <si>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</si>
  <si>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</si>
  <si>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</si>
  <si>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</si>
  <si>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</si>
  <si>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</si>
  <si>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</si>
  <si>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</si>
  <si>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</si>
  <si>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</si>
  <si>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</si>
  <si>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</si>
  <si>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</si>
  <si>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</si>
  <si>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</si>
  <si>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</si>
  <si>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</si>
  <si>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</si>
  <si>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</si>
  <si>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</si>
  <si>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</si>
  <si>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</si>
  <si>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</si>
  <si>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</si>
  <si>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</si>
  <si>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</si>
  <si>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</si>
  <si>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</si>
  <si>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</si>
  <si>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</si>
  <si>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</si>
  <si>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</si>
  <si>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</si>
  <si>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</si>
  <si>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</si>
  <si>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</si>
  <si>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</si>
  <si>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</si>
  <si>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</si>
  <si>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</si>
  <si>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</si>
  <si>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</si>
  <si>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</si>
  <si>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</si>
  <si>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</si>
  <si>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</si>
  <si>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</si>
  <si>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</si>
  <si>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</si>
  <si>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</si>
  <si>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</si>
  <si>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</si>
  <si>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</si>
  <si>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</si>
  <si>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</si>
  <si>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</si>
  <si>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</si>
  <si>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</si>
  <si>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</si>
  <si>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</si>
  <si>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</si>
  <si>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</si>
  <si>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</si>
  <si>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</si>
  <si>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</si>
  <si>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</si>
  <si>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</si>
  <si>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</si>
  <si>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</si>
  <si>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</si>
  <si>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</si>
  <si>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Rat cerebellar granule cell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</si>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</sst>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J15" sqref="J15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111</v>
      </c>
      <c r="K17" s="31" t="s">
        <v>79</v>
      </c>
      <c r="L17" s="80">
        <v>4.6260000000000035E-5</v>
      </c>
      <c r="M17" s="80">
        <v>7.4529999999999993E-5</v>
      </c>
      <c r="N17" s="80">
        <v>2.4492099999999998E-3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95" zoomScale="70" zoomScaleNormal="70" workbookViewId="0">
      <selection activeCell="R27" sqref="R27:V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68"/>
      <c r="H1" s="16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68"/>
      <c r="H2" s="168"/>
      <c r="I2" s="113" t="s">
        <v>19</v>
      </c>
      <c r="J2" s="114"/>
      <c r="K2" s="114"/>
      <c r="L2" s="114"/>
      <c r="M2" s="114"/>
      <c r="N2" s="114"/>
      <c r="O2" s="114"/>
      <c r="P2" s="114"/>
      <c r="Q2" s="1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68"/>
      <c r="H3" s="168"/>
      <c r="I3" s="116"/>
      <c r="J3" s="117"/>
      <c r="K3" s="117"/>
      <c r="L3" s="117"/>
      <c r="M3" s="117"/>
      <c r="N3" s="117"/>
      <c r="O3" s="117"/>
      <c r="P3" s="117"/>
      <c r="Q3" s="11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68"/>
      <c r="H4" s="168"/>
      <c r="I4" s="119"/>
      <c r="J4" s="120"/>
      <c r="K4" s="120"/>
      <c r="L4" s="120"/>
      <c r="M4" s="120"/>
      <c r="N4" s="120"/>
      <c r="O4" s="120"/>
      <c r="P4" s="120"/>
      <c r="Q4" s="12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68"/>
      <c r="H5" s="168"/>
      <c r="I5" s="122" t="s">
        <v>38</v>
      </c>
      <c r="J5" s="123"/>
      <c r="K5" s="123"/>
      <c r="L5" s="123"/>
      <c r="M5" s="123"/>
      <c r="N5" s="123"/>
      <c r="O5" s="123"/>
      <c r="P5" s="123"/>
      <c r="Q5" s="12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68"/>
      <c r="H6" s="168"/>
      <c r="I6" s="49" t="s">
        <v>49</v>
      </c>
      <c r="J6" s="49" t="s">
        <v>50</v>
      </c>
      <c r="K6" s="49" t="s">
        <v>46</v>
      </c>
      <c r="L6" s="165" t="s">
        <v>39</v>
      </c>
      <c r="M6" s="166"/>
      <c r="N6" s="166"/>
      <c r="O6" s="166"/>
      <c r="P6" s="166"/>
      <c r="Q6" s="16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68"/>
      <c r="H7" s="168"/>
      <c r="I7" s="50" t="s">
        <v>20</v>
      </c>
      <c r="J7" s="37">
        <f>SUM(J13,J19)</f>
        <v>150.0514</v>
      </c>
      <c r="K7" s="38">
        <f>J7/J7</f>
        <v>1</v>
      </c>
      <c r="L7" s="159" t="s">
        <v>68</v>
      </c>
      <c r="M7" s="160"/>
      <c r="N7" s="160"/>
      <c r="O7" s="160"/>
      <c r="P7" s="160"/>
      <c r="Q7" s="16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0" t="s">
        <v>3</v>
      </c>
      <c r="C8" s="141"/>
      <c r="D8" s="141"/>
      <c r="E8" s="141"/>
      <c r="F8" s="142"/>
      <c r="G8" s="168"/>
      <c r="H8" s="168"/>
      <c r="I8" s="51" t="s">
        <v>6</v>
      </c>
      <c r="J8" s="37">
        <f>SUM(J14,J20)</f>
        <v>149.22392520000002</v>
      </c>
      <c r="K8" s="39">
        <f>J8/J7</f>
        <v>0.99448539100601541</v>
      </c>
      <c r="L8" s="159" t="s">
        <v>69</v>
      </c>
      <c r="M8" s="160"/>
      <c r="N8" s="160"/>
      <c r="O8" s="160"/>
      <c r="P8" s="160"/>
      <c r="Q8" s="16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3"/>
      <c r="C9" s="144"/>
      <c r="D9" s="144"/>
      <c r="E9" s="144"/>
      <c r="F9" s="145"/>
      <c r="G9" s="168"/>
      <c r="H9" s="168"/>
      <c r="I9" s="50" t="s">
        <v>8</v>
      </c>
      <c r="J9" s="40">
        <f t="shared" ref="J9:J10" si="0">SUM(J15,J21)</f>
        <v>0.72149060000000009</v>
      </c>
      <c r="K9" s="39">
        <f>J9/J7</f>
        <v>4.808289692731958E-3</v>
      </c>
      <c r="L9" s="159" t="s">
        <v>69</v>
      </c>
      <c r="M9" s="160"/>
      <c r="N9" s="160"/>
      <c r="O9" s="160"/>
      <c r="P9" s="160"/>
      <c r="Q9" s="16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6"/>
      <c r="C10" s="147"/>
      <c r="D10" s="147"/>
      <c r="E10" s="147"/>
      <c r="F10" s="148"/>
      <c r="G10" s="168"/>
      <c r="H10" s="168"/>
      <c r="I10" s="51" t="s">
        <v>9</v>
      </c>
      <c r="J10" s="40">
        <f t="shared" si="0"/>
        <v>0.1059842</v>
      </c>
      <c r="K10" s="39">
        <f>J10/J7</f>
        <v>7.0631930125277073E-4</v>
      </c>
      <c r="L10" s="159" t="s">
        <v>69</v>
      </c>
      <c r="M10" s="160"/>
      <c r="N10" s="160"/>
      <c r="O10" s="160"/>
      <c r="P10" s="160"/>
      <c r="Q10" s="16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9" t="s">
        <v>36</v>
      </c>
      <c r="C11" s="150"/>
      <c r="D11" s="150"/>
      <c r="E11" s="150"/>
      <c r="F11" s="151"/>
      <c r="G11" s="168"/>
      <c r="H11" s="168"/>
      <c r="I11" s="184"/>
      <c r="J11" s="184"/>
      <c r="K11" s="184"/>
      <c r="L11" s="184"/>
      <c r="M11" s="184"/>
      <c r="N11" s="184"/>
      <c r="O11" s="184"/>
      <c r="P11" s="184"/>
      <c r="Q11" s="18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2"/>
      <c r="C12" s="153"/>
      <c r="D12" s="153"/>
      <c r="E12" s="153"/>
      <c r="F12" s="154"/>
      <c r="G12" s="168"/>
      <c r="H12" s="168"/>
      <c r="I12" s="49" t="s">
        <v>51</v>
      </c>
      <c r="J12" s="49" t="s">
        <v>50</v>
      </c>
      <c r="K12" s="49" t="s">
        <v>46</v>
      </c>
      <c r="L12" s="165" t="s">
        <v>39</v>
      </c>
      <c r="M12" s="166"/>
      <c r="N12" s="166"/>
      <c r="O12" s="166"/>
      <c r="P12" s="166"/>
      <c r="Q12" s="16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28" t="s">
        <v>39</v>
      </c>
      <c r="E13" s="128"/>
      <c r="F13" s="128"/>
      <c r="G13" s="168"/>
      <c r="H13" s="168"/>
      <c r="I13" s="50" t="s">
        <v>5</v>
      </c>
      <c r="J13" s="41">
        <f>SUM(J14:J16)</f>
        <v>150</v>
      </c>
      <c r="K13" s="38">
        <f>J13/J13</f>
        <v>1</v>
      </c>
      <c r="L13" s="159" t="s">
        <v>71</v>
      </c>
      <c r="M13" s="160"/>
      <c r="N13" s="160"/>
      <c r="O13" s="160"/>
      <c r="P13" s="160"/>
      <c r="Q13" s="16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29" t="s">
        <v>17</v>
      </c>
      <c r="E14" s="129"/>
      <c r="F14" s="129"/>
      <c r="G14" s="168"/>
      <c r="H14" s="168"/>
      <c r="I14" s="51" t="s">
        <v>43</v>
      </c>
      <c r="J14" s="41">
        <f>C14-SUM(J15:J16)</f>
        <v>149.22300000000001</v>
      </c>
      <c r="K14" s="39">
        <f>J14/J13</f>
        <v>0.99482000000000004</v>
      </c>
      <c r="L14" s="162" t="s">
        <v>70</v>
      </c>
      <c r="M14" s="163"/>
      <c r="N14" s="163"/>
      <c r="O14" s="163"/>
      <c r="P14" s="163"/>
      <c r="Q14" s="16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0" t="s">
        <v>60</v>
      </c>
      <c r="E15" s="130"/>
      <c r="F15" s="130"/>
      <c r="G15" s="168"/>
      <c r="H15" s="16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0.72000000000000008</v>
      </c>
      <c r="K15" s="39">
        <f>J15/J13</f>
        <v>4.8000000000000004E-3</v>
      </c>
      <c r="L15" s="159" t="s">
        <v>69</v>
      </c>
      <c r="M15" s="160"/>
      <c r="N15" s="160"/>
      <c r="O15" s="160"/>
      <c r="P15" s="160"/>
      <c r="Q15" s="161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31" t="s">
        <v>40</v>
      </c>
      <c r="E16" s="132"/>
      <c r="F16" s="133"/>
      <c r="G16" s="168"/>
      <c r="H16" s="16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5.6999999999999995E-2</v>
      </c>
      <c r="K16" s="39">
        <f>J16/J13</f>
        <v>3.7999999999999997E-4</v>
      </c>
      <c r="L16" s="159" t="s">
        <v>69</v>
      </c>
      <c r="M16" s="160"/>
      <c r="N16" s="160"/>
      <c r="O16" s="160"/>
      <c r="P16" s="160"/>
      <c r="Q16" s="161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4" t="s">
        <v>61</v>
      </c>
      <c r="E17" s="135"/>
      <c r="F17" s="136"/>
      <c r="G17" s="168"/>
      <c r="H17" s="168"/>
      <c r="I17" s="162"/>
      <c r="J17" s="163"/>
      <c r="K17" s="163"/>
      <c r="L17" s="163"/>
      <c r="M17" s="163"/>
      <c r="N17" s="163"/>
      <c r="O17" s="163"/>
      <c r="P17" s="163"/>
      <c r="Q17" s="16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31" t="s">
        <v>41</v>
      </c>
      <c r="E18" s="132"/>
      <c r="F18" s="133"/>
      <c r="G18" s="168"/>
      <c r="H18" s="168"/>
      <c r="I18" s="49" t="s">
        <v>29</v>
      </c>
      <c r="J18" s="49" t="s">
        <v>50</v>
      </c>
      <c r="K18" s="49" t="s">
        <v>46</v>
      </c>
      <c r="L18" s="165" t="s">
        <v>39</v>
      </c>
      <c r="M18" s="166"/>
      <c r="N18" s="166"/>
      <c r="O18" s="166"/>
      <c r="P18" s="166"/>
      <c r="Q18" s="16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0"/>
      <c r="C19" s="130"/>
      <c r="D19" s="130"/>
      <c r="E19" s="130"/>
      <c r="F19" s="130"/>
      <c r="G19" s="168"/>
      <c r="H19" s="168"/>
      <c r="I19" s="50" t="s">
        <v>5</v>
      </c>
      <c r="J19" s="41">
        <f>SUM(J20:J22)</f>
        <v>5.1400000000000001E-2</v>
      </c>
      <c r="K19" s="38">
        <f>J19/J19</f>
        <v>1</v>
      </c>
      <c r="L19" s="159" t="s">
        <v>55</v>
      </c>
      <c r="M19" s="160"/>
      <c r="N19" s="160"/>
      <c r="O19" s="160"/>
      <c r="P19" s="160"/>
      <c r="Q19" s="161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28" t="s">
        <v>39</v>
      </c>
      <c r="E20" s="128"/>
      <c r="F20" s="128"/>
      <c r="G20" s="168"/>
      <c r="H20" s="16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9.252000000000007E-4</v>
      </c>
      <c r="K20" s="39">
        <f>J20/J19</f>
        <v>1.8000000000000013E-2</v>
      </c>
      <c r="L20" s="159" t="s">
        <v>69</v>
      </c>
      <c r="M20" s="160"/>
      <c r="N20" s="160"/>
      <c r="O20" s="160"/>
      <c r="P20" s="160"/>
      <c r="Q20" s="16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4" t="s">
        <v>61</v>
      </c>
      <c r="E21" s="135"/>
      <c r="F21" s="136"/>
      <c r="G21" s="168"/>
      <c r="H21" s="16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1.4905999999999999E-3</v>
      </c>
      <c r="K21" s="39">
        <f>J21/J19</f>
        <v>2.8999999999999998E-2</v>
      </c>
      <c r="L21" s="159" t="s">
        <v>69</v>
      </c>
      <c r="M21" s="160"/>
      <c r="N21" s="160"/>
      <c r="O21" s="160"/>
      <c r="P21" s="160"/>
      <c r="Q21" s="161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7" t="s">
        <v>67</v>
      </c>
      <c r="E22" s="137"/>
      <c r="F22" s="137"/>
      <c r="G22" s="168"/>
      <c r="H22" s="16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4.8984199999999999E-2</v>
      </c>
      <c r="K22" s="39">
        <f>J22/J19</f>
        <v>0.95299999999999996</v>
      </c>
      <c r="L22" s="159" t="s">
        <v>69</v>
      </c>
      <c r="M22" s="160"/>
      <c r="N22" s="160"/>
      <c r="O22" s="160"/>
      <c r="P22" s="160"/>
      <c r="Q22" s="161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5"/>
      <c r="C23" s="126"/>
      <c r="D23" s="126"/>
      <c r="E23" s="126"/>
      <c r="F23" s="127"/>
      <c r="G23" s="168"/>
      <c r="H23" s="168"/>
      <c r="I23" s="179"/>
      <c r="J23" s="180"/>
      <c r="K23" s="180"/>
      <c r="L23" s="180"/>
      <c r="M23" s="180"/>
      <c r="N23" s="180"/>
      <c r="O23" s="180"/>
      <c r="P23" s="180"/>
      <c r="Q23" s="18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9" t="s">
        <v>37</v>
      </c>
      <c r="C24" s="150"/>
      <c r="D24" s="150"/>
      <c r="E24" s="150"/>
      <c r="F24" s="151"/>
      <c r="G24" s="168"/>
      <c r="H24" s="168"/>
      <c r="I24" s="173" t="s">
        <v>42</v>
      </c>
      <c r="J24" s="174"/>
      <c r="K24" s="174"/>
      <c r="L24" s="174"/>
      <c r="M24" s="174"/>
      <c r="N24" s="174"/>
      <c r="O24" s="174"/>
      <c r="P24" s="174"/>
      <c r="Q24" s="17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2"/>
      <c r="C25" s="153"/>
      <c r="D25" s="153"/>
      <c r="E25" s="153"/>
      <c r="F25" s="154"/>
      <c r="G25" s="168"/>
      <c r="H25" s="168"/>
      <c r="I25" s="176"/>
      <c r="J25" s="177"/>
      <c r="K25" s="177"/>
      <c r="L25" s="177"/>
      <c r="M25" s="177"/>
      <c r="N25" s="177"/>
      <c r="O25" s="177"/>
      <c r="P25" s="177"/>
      <c r="Q25" s="17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1" t="s">
        <v>11</v>
      </c>
      <c r="C26" s="171" t="s">
        <v>12</v>
      </c>
      <c r="D26" s="155" t="s">
        <v>47</v>
      </c>
      <c r="E26" s="155" t="s">
        <v>48</v>
      </c>
      <c r="F26" s="157" t="s">
        <v>66</v>
      </c>
      <c r="G26" s="168"/>
      <c r="H26" s="168"/>
      <c r="I26" s="182" t="s">
        <v>53</v>
      </c>
      <c r="J26" s="182" t="s">
        <v>54</v>
      </c>
      <c r="K26" s="169" t="s">
        <v>73</v>
      </c>
      <c r="L26" s="169" t="s">
        <v>52</v>
      </c>
      <c r="M26" s="169" t="s">
        <v>59</v>
      </c>
      <c r="N26" s="169" t="s">
        <v>62</v>
      </c>
      <c r="O26" s="169" t="s">
        <v>72</v>
      </c>
      <c r="P26" s="169" t="s">
        <v>64</v>
      </c>
      <c r="Q26" s="169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2"/>
      <c r="C27" s="172"/>
      <c r="D27" s="156"/>
      <c r="E27" s="156"/>
      <c r="F27" s="158"/>
      <c r="G27" s="168"/>
      <c r="H27" s="168"/>
      <c r="I27" s="183"/>
      <c r="J27" s="183"/>
      <c r="K27" s="170"/>
      <c r="L27" s="170"/>
      <c r="M27" s="170"/>
      <c r="N27" s="170"/>
      <c r="O27" s="170"/>
      <c r="P27" s="170"/>
      <c r="Q27" s="170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88</v>
      </c>
      <c r="C28" s="46" t="s">
        <v>89</v>
      </c>
      <c r="D28" s="47">
        <v>6.5247999999999973E-2</v>
      </c>
      <c r="E28" s="47">
        <v>8.2216000000000289E-2</v>
      </c>
      <c r="F28" s="96">
        <v>9.9999999999999995E-7</v>
      </c>
      <c r="G28" s="168"/>
      <c r="H28" s="16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8.0381300697110955E-2</v>
      </c>
      <c r="K28" s="93">
        <f t="shared" ref="K28:K47" si="3">IF(D28=0,"",1/(1+10^D28*$J$15/$J$14+10^E28*$J$16/$J$14+10^J28*$J$19/$J$14))</f>
        <v>0.99355850541289326</v>
      </c>
      <c r="L28" s="93">
        <f t="shared" ref="L28:L47" si="4">IF(D28=0,"",1/(1+10^I28/10^J28*$J$13/$J$19))</f>
        <v>4.1181494023800658E-4</v>
      </c>
      <c r="M28" s="93">
        <f t="shared" ref="M28:M47" si="5">IF(D28=0,"",1-L28)</f>
        <v>0.99958818505976199</v>
      </c>
      <c r="N28" s="93">
        <f t="shared" ref="N28:N47" si="6">IF(D28=0,"",1/(1/10^E28*$J$20/$J$22+10^D28/10^E28*$J$21/$J$22+10^I28/10^E28*$J$13/$J$22+1))</f>
        <v>3.9412111092484905E-4</v>
      </c>
      <c r="O28" s="40">
        <f t="shared" ref="O28:O47" si="7">IF(D28=0,"",F28*K28*$J$7/$J$14)</f>
        <v>9.990741689894467E-7</v>
      </c>
      <c r="P28" s="40">
        <f t="shared" ref="P28:P47" si="8">IF(D28=0,"",O28*10^J28)</f>
        <v>1.2022063876192456E-6</v>
      </c>
      <c r="Q28" s="40">
        <f t="shared" ref="Q28:Q47" si="9">IF(D28=0,"",F28*N28*$J$7/$J$22)</f>
        <v>1.207295913046021E-6</v>
      </c>
      <c r="R28" s="9">
        <f>F28*$C$14</f>
        <v>1.4999999999999999E-4</v>
      </c>
      <c r="S28" s="9">
        <f>$R28*L28</f>
        <v>6.1772241035700976E-8</v>
      </c>
      <c r="T28" s="9">
        <f t="shared" ref="T28:T91" si="10">R28*K28</f>
        <v>1.4903377581193398E-4</v>
      </c>
      <c r="U28" s="9">
        <f t="shared" ref="U28:U91" si="11">$R28*M28</f>
        <v>1.4993822775896429E-4</v>
      </c>
      <c r="V28" s="100">
        <f>K28/M28</f>
        <v>0.99396783621796381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162</v>
      </c>
      <c r="C29" s="46" t="s">
        <v>163</v>
      </c>
      <c r="D29" s="47">
        <v>2.31</v>
      </c>
      <c r="E29" s="47">
        <v>2.58</v>
      </c>
      <c r="F29" s="96">
        <v>9.9999999999999995E-7</v>
      </c>
      <c r="G29" s="168"/>
      <c r="H29" s="168"/>
      <c r="I29" s="92">
        <f t="shared" si="1"/>
        <v>0.32619780382173885</v>
      </c>
      <c r="J29" s="92">
        <f t="shared" si="2"/>
        <v>2.5661540001265828</v>
      </c>
      <c r="K29" s="93">
        <f t="shared" si="3"/>
        <v>0.44302503303133112</v>
      </c>
      <c r="L29" s="93">
        <f t="shared" si="4"/>
        <v>5.6196545415352905E-2</v>
      </c>
      <c r="M29" s="93">
        <f t="shared" si="5"/>
        <v>0.94380345458464709</v>
      </c>
      <c r="N29" s="93">
        <f t="shared" si="6"/>
        <v>5.5290245640799457E-2</v>
      </c>
      <c r="O29" s="40">
        <f t="shared" si="7"/>
        <v>4.4548445240611349E-7</v>
      </c>
      <c r="P29" s="40">
        <f t="shared" si="8"/>
        <v>1.6405389717387712E-4</v>
      </c>
      <c r="Q29" s="40">
        <f t="shared" si="9"/>
        <v>1.6936846503047627E-4</v>
      </c>
      <c r="R29" s="9">
        <f t="shared" ref="R29:R92" si="12">F29*$C$14</f>
        <v>1.4999999999999999E-4</v>
      </c>
      <c r="S29" s="9">
        <f t="shared" ref="S29:S92" si="13">$R29*L29</f>
        <v>8.4294818123029354E-6</v>
      </c>
      <c r="T29" s="9">
        <f t="shared" si="10"/>
        <v>6.6453754954699662E-5</v>
      </c>
      <c r="U29" s="9">
        <f t="shared" si="11"/>
        <v>1.4157051818769706E-4</v>
      </c>
      <c r="V29" s="100">
        <f t="shared" ref="V29:V92" si="14">K29/M29</f>
        <v>0.46940391124791908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164</v>
      </c>
      <c r="C30" s="46" t="s">
        <v>165</v>
      </c>
      <c r="D30" s="90">
        <v>4.4000000000000004</v>
      </c>
      <c r="E30" s="90">
        <v>2.64</v>
      </c>
      <c r="F30" s="96">
        <v>9.9999999999999995E-7</v>
      </c>
      <c r="G30" s="168"/>
      <c r="H30" s="168"/>
      <c r="I30" s="92">
        <f t="shared" si="1"/>
        <v>2.0854020627961285</v>
      </c>
      <c r="J30" s="92">
        <f t="shared" si="2"/>
        <v>3.0586023840529086</v>
      </c>
      <c r="K30" s="93">
        <f t="shared" si="3"/>
        <v>8.1460218183670042E-3</v>
      </c>
      <c r="L30" s="93">
        <f t="shared" si="4"/>
        <v>3.211258783441767E-3</v>
      </c>
      <c r="M30" s="93">
        <f t="shared" si="5"/>
        <v>0.99678874121655825</v>
      </c>
      <c r="N30" s="93">
        <f t="shared" si="6"/>
        <v>1.1672552118283572E-3</v>
      </c>
      <c r="O30" s="40">
        <f t="shared" si="7"/>
        <v>8.1912438315575644E-9</v>
      </c>
      <c r="P30" s="40">
        <f t="shared" si="8"/>
        <v>9.3745890314734267E-6</v>
      </c>
      <c r="Q30" s="40">
        <f t="shared" si="9"/>
        <v>3.5756076182144764E-6</v>
      </c>
      <c r="R30" s="9">
        <f t="shared" si="12"/>
        <v>1.4999999999999999E-4</v>
      </c>
      <c r="S30" s="9">
        <f t="shared" si="13"/>
        <v>4.8168881751626496E-7</v>
      </c>
      <c r="T30" s="9">
        <f t="shared" si="10"/>
        <v>1.2219032727550506E-6</v>
      </c>
      <c r="U30" s="9">
        <f t="shared" si="11"/>
        <v>1.4951831118248371E-4</v>
      </c>
      <c r="V30" s="100">
        <f t="shared" si="14"/>
        <v>8.1722650763741255E-3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90</v>
      </c>
      <c r="C31" s="46" t="s">
        <v>91</v>
      </c>
      <c r="D31" s="47">
        <v>-0.92190615231165807</v>
      </c>
      <c r="E31" s="47">
        <v>-1.7889087518799642</v>
      </c>
      <c r="F31" s="96">
        <v>9.9999999999999995E-7</v>
      </c>
      <c r="G31" s="168"/>
      <c r="H31" s="168"/>
      <c r="I31" s="92">
        <f t="shared" si="1"/>
        <v>-2.0020416091501053E-3</v>
      </c>
      <c r="J31" s="92">
        <f t="shared" si="2"/>
        <v>-1.432197159864895</v>
      </c>
      <c r="K31" s="93">
        <f t="shared" si="3"/>
        <v>0.99940386074078236</v>
      </c>
      <c r="L31" s="93">
        <f t="shared" si="4"/>
        <v>1.2725393336688884E-5</v>
      </c>
      <c r="M31" s="93">
        <f t="shared" si="5"/>
        <v>0.99998727460666326</v>
      </c>
      <c r="N31" s="93">
        <f t="shared" si="6"/>
        <v>5.3339940106912214E-6</v>
      </c>
      <c r="O31" s="40">
        <f t="shared" si="7"/>
        <v>1.0049519743575684E-6</v>
      </c>
      <c r="P31" s="40">
        <f t="shared" si="8"/>
        <v>3.7149087270833433E-8</v>
      </c>
      <c r="Q31" s="40">
        <f t="shared" si="9"/>
        <v>1.6339416973143029E-8</v>
      </c>
      <c r="R31" s="9">
        <f t="shared" si="12"/>
        <v>1.4999999999999999E-4</v>
      </c>
      <c r="S31" s="9">
        <f t="shared" si="13"/>
        <v>1.9088090005033326E-9</v>
      </c>
      <c r="T31" s="9">
        <f t="shared" si="10"/>
        <v>1.4991057911111733E-4</v>
      </c>
      <c r="U31" s="9">
        <f t="shared" si="11"/>
        <v>1.4999809119099948E-4</v>
      </c>
      <c r="V31" s="100">
        <f t="shared" si="14"/>
        <v>0.99941657870985368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92</v>
      </c>
      <c r="C32" s="46" t="s">
        <v>93</v>
      </c>
      <c r="D32" s="47">
        <v>0.54749180498968375</v>
      </c>
      <c r="E32" s="47">
        <v>0.30136158174588817</v>
      </c>
      <c r="F32" s="96">
        <v>9.9999999999999995E-7</v>
      </c>
      <c r="G32" s="168"/>
      <c r="H32" s="168"/>
      <c r="I32" s="92">
        <f t="shared" si="1"/>
        <v>5.4008424806920542E-3</v>
      </c>
      <c r="J32" s="92">
        <f t="shared" si="2"/>
        <v>0.3070163663915419</v>
      </c>
      <c r="K32" s="93">
        <f t="shared" si="3"/>
        <v>0.98185132266448172</v>
      </c>
      <c r="L32" s="93">
        <f t="shared" si="4"/>
        <v>6.8578731550269709E-4</v>
      </c>
      <c r="M32" s="93">
        <f t="shared" si="5"/>
        <v>0.99931421268449727</v>
      </c>
      <c r="N32" s="93">
        <f t="shared" si="6"/>
        <v>6.4510077557143738E-4</v>
      </c>
      <c r="O32" s="40">
        <f t="shared" si="7"/>
        <v>9.8730199471701539E-7</v>
      </c>
      <c r="P32" s="40">
        <f t="shared" si="8"/>
        <v>2.0020106380043071E-6</v>
      </c>
      <c r="Q32" s="40">
        <f t="shared" si="9"/>
        <v>1.9761121854716416E-6</v>
      </c>
      <c r="R32" s="9">
        <f t="shared" si="12"/>
        <v>1.4999999999999999E-4</v>
      </c>
      <c r="S32" s="9">
        <f t="shared" si="13"/>
        <v>1.0286809732540455E-7</v>
      </c>
      <c r="T32" s="9">
        <f t="shared" si="10"/>
        <v>1.4727769839967223E-4</v>
      </c>
      <c r="U32" s="9">
        <f t="shared" si="11"/>
        <v>1.4989713190267457E-4</v>
      </c>
      <c r="V32" s="100">
        <f t="shared" si="14"/>
        <v>0.98252512593300934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166</v>
      </c>
      <c r="C33" s="94" t="s">
        <v>110</v>
      </c>
      <c r="D33" s="95">
        <v>1.6452318246143236</v>
      </c>
      <c r="E33" s="95">
        <v>1.8629354124795308</v>
      </c>
      <c r="F33" s="96">
        <v>9.9999999999999995E-7</v>
      </c>
      <c r="G33" s="168"/>
      <c r="H33" s="168"/>
      <c r="I33" s="92">
        <f t="shared" si="1"/>
        <v>9.1527063522880606E-2</v>
      </c>
      <c r="J33" s="92">
        <f t="shared" si="2"/>
        <v>1.8500712938307124</v>
      </c>
      <c r="K33" s="93">
        <f t="shared" si="3"/>
        <v>0.790251427369835</v>
      </c>
      <c r="L33" s="93">
        <f t="shared" si="4"/>
        <v>1.9273648525153442E-2</v>
      </c>
      <c r="M33" s="93">
        <f t="shared" si="5"/>
        <v>0.98072635147484655</v>
      </c>
      <c r="N33" s="93">
        <f t="shared" si="6"/>
        <v>1.8919992251282665E-2</v>
      </c>
      <c r="O33" s="40">
        <f t="shared" si="7"/>
        <v>7.9463844734955091E-7</v>
      </c>
      <c r="P33" s="40">
        <f t="shared" si="8"/>
        <v>5.626532965578227E-5</v>
      </c>
      <c r="Q33" s="40">
        <f t="shared" si="9"/>
        <v>5.7956878448440839E-5</v>
      </c>
      <c r="R33" s="9">
        <f t="shared" si="12"/>
        <v>1.4999999999999999E-4</v>
      </c>
      <c r="S33" s="9">
        <f t="shared" si="13"/>
        <v>2.8910472787730159E-6</v>
      </c>
      <c r="T33" s="9">
        <f t="shared" si="10"/>
        <v>1.1853771410547524E-4</v>
      </c>
      <c r="U33" s="9">
        <f t="shared" si="11"/>
        <v>1.4710895272122696E-4</v>
      </c>
      <c r="V33" s="100">
        <f t="shared" si="14"/>
        <v>0.8057817822284784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94</v>
      </c>
      <c r="C34" s="46" t="s">
        <v>95</v>
      </c>
      <c r="D34" s="90">
        <v>0.39857726844789648</v>
      </c>
      <c r="E34" s="90">
        <v>8.9525410045599246E-2</v>
      </c>
      <c r="F34" s="96">
        <v>9.9999999999999995E-7</v>
      </c>
      <c r="G34" s="168"/>
      <c r="H34" s="168"/>
      <c r="I34" s="92">
        <f t="shared" si="1"/>
        <v>3.1608226539332684E-3</v>
      </c>
      <c r="J34" s="92">
        <f t="shared" si="2"/>
        <v>0.1009809094502437</v>
      </c>
      <c r="K34" s="93">
        <f t="shared" si="3"/>
        <v>0.98718219130190588</v>
      </c>
      <c r="L34" s="93">
        <f t="shared" si="4"/>
        <v>4.290476955715891E-4</v>
      </c>
      <c r="M34" s="93">
        <f t="shared" si="5"/>
        <v>0.99957095230442838</v>
      </c>
      <c r="N34" s="93">
        <f t="shared" si="6"/>
        <v>3.9823825377222251E-4</v>
      </c>
      <c r="O34" s="40">
        <f t="shared" si="7"/>
        <v>9.9266245726140592E-7</v>
      </c>
      <c r="P34" s="40">
        <f t="shared" si="8"/>
        <v>1.2525137623986527E-6</v>
      </c>
      <c r="Q34" s="40">
        <f t="shared" si="9"/>
        <v>1.2199077970463388E-6</v>
      </c>
      <c r="R34" s="9">
        <f t="shared" si="12"/>
        <v>1.4999999999999999E-4</v>
      </c>
      <c r="S34" s="9">
        <f t="shared" si="13"/>
        <v>6.4357154335738358E-8</v>
      </c>
      <c r="T34" s="9">
        <f t="shared" si="10"/>
        <v>1.4807732869528587E-4</v>
      </c>
      <c r="U34" s="9">
        <f t="shared" si="11"/>
        <v>1.4993564284566425E-4</v>
      </c>
      <c r="V34" s="100">
        <f t="shared" si="14"/>
        <v>0.98760592134659253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96</v>
      </c>
      <c r="C35" s="46" t="s">
        <v>97</v>
      </c>
      <c r="D35" s="90">
        <v>0.27761205565007074</v>
      </c>
      <c r="E35" s="90">
        <v>-8.2551864497786676E-2</v>
      </c>
      <c r="F35" s="96">
        <v>9.9999999999999995E-7</v>
      </c>
      <c r="G35" s="168"/>
      <c r="H35" s="168"/>
      <c r="I35" s="92">
        <f t="shared" si="1"/>
        <v>1.8333114105419375E-3</v>
      </c>
      <c r="J35" s="92">
        <f t="shared" si="2"/>
        <v>-6.5005803120437564E-2</v>
      </c>
      <c r="K35" s="93">
        <f t="shared" si="3"/>
        <v>0.99033841373942699</v>
      </c>
      <c r="L35" s="93">
        <f t="shared" si="4"/>
        <v>2.9370083012243448E-4</v>
      </c>
      <c r="M35" s="93">
        <f t="shared" si="5"/>
        <v>0.99970629916987752</v>
      </c>
      <c r="N35" s="93">
        <f t="shared" si="6"/>
        <v>2.6881408045823901E-4</v>
      </c>
      <c r="O35" s="40">
        <f t="shared" si="7"/>
        <v>9.9583620122487982E-7</v>
      </c>
      <c r="P35" s="40">
        <f t="shared" si="8"/>
        <v>8.5739729068158492E-7</v>
      </c>
      <c r="Q35" s="40">
        <f t="shared" si="9"/>
        <v>8.2344774667079187E-7</v>
      </c>
      <c r="R35" s="9">
        <f t="shared" si="12"/>
        <v>1.4999999999999999E-4</v>
      </c>
      <c r="S35" s="9">
        <f t="shared" si="13"/>
        <v>4.4055124518365171E-8</v>
      </c>
      <c r="T35" s="9">
        <f t="shared" si="10"/>
        <v>1.4855076206091403E-4</v>
      </c>
      <c r="U35" s="9">
        <f t="shared" si="11"/>
        <v>1.499559448754816E-4</v>
      </c>
      <c r="V35" s="100">
        <f t="shared" si="14"/>
        <v>0.99062936240550914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167</v>
      </c>
      <c r="C36" s="46" t="s">
        <v>168</v>
      </c>
      <c r="D36" s="47">
        <v>3.4409280000000009</v>
      </c>
      <c r="E36" s="47">
        <v>4.1160660000000009</v>
      </c>
      <c r="F36" s="96">
        <v>9.9999999999999995E-7</v>
      </c>
      <c r="G36" s="168"/>
      <c r="H36" s="168"/>
      <c r="I36" s="92">
        <f t="shared" si="1"/>
        <v>1.2834731216469764</v>
      </c>
      <c r="J36" s="92">
        <f t="shared" si="2"/>
        <v>4.0979428181217807</v>
      </c>
      <c r="K36" s="93">
        <f t="shared" si="3"/>
        <v>4.2330725848820652E-2</v>
      </c>
      <c r="L36" s="93">
        <f t="shared" si="4"/>
        <v>0.1826946735377947</v>
      </c>
      <c r="M36" s="93">
        <f t="shared" si="5"/>
        <v>0.81730532646220533</v>
      </c>
      <c r="N36" s="93">
        <f t="shared" si="6"/>
        <v>0.18152730840467876</v>
      </c>
      <c r="O36" s="40">
        <f t="shared" si="7"/>
        <v>4.2565721615513199E-8</v>
      </c>
      <c r="P36" s="40">
        <f t="shared" si="8"/>
        <v>5.3333835674881436E-4</v>
      </c>
      <c r="Q36" s="40">
        <f t="shared" si="9"/>
        <v>5.5606556327047942E-4</v>
      </c>
      <c r="R36" s="9">
        <f t="shared" si="12"/>
        <v>1.4999999999999999E-4</v>
      </c>
      <c r="S36" s="9">
        <f t="shared" si="13"/>
        <v>2.7404201030669203E-5</v>
      </c>
      <c r="T36" s="9">
        <f t="shared" si="10"/>
        <v>6.3496088773230974E-6</v>
      </c>
      <c r="U36" s="9">
        <f t="shared" si="11"/>
        <v>1.225957989693308E-4</v>
      </c>
      <c r="V36" s="100">
        <f t="shared" si="14"/>
        <v>5.179303802173147E-2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169</v>
      </c>
      <c r="C37" s="94" t="s">
        <v>170</v>
      </c>
      <c r="D37" s="95">
        <v>4.9025336133267672</v>
      </c>
      <c r="E37" s="95">
        <v>6.4965619006479365</v>
      </c>
      <c r="F37" s="96">
        <v>9.9999999999999995E-7</v>
      </c>
      <c r="G37" s="168"/>
      <c r="H37" s="168"/>
      <c r="I37" s="92">
        <f t="shared" si="1"/>
        <v>3.1977472098667894</v>
      </c>
      <c r="J37" s="92">
        <f t="shared" si="2"/>
        <v>6.4759912324893314</v>
      </c>
      <c r="K37" s="93">
        <f t="shared" si="3"/>
        <v>3.8232575912200282E-4</v>
      </c>
      <c r="L37" s="93">
        <f t="shared" si="4"/>
        <v>0.39405073702222498</v>
      </c>
      <c r="M37" s="93">
        <f t="shared" si="5"/>
        <v>0.60594926297777496</v>
      </c>
      <c r="N37" s="93">
        <f t="shared" si="6"/>
        <v>0.39374559930232261</v>
      </c>
      <c r="O37" s="40">
        <f t="shared" si="7"/>
        <v>3.8444821114921484E-10</v>
      </c>
      <c r="P37" s="40">
        <f t="shared" si="8"/>
        <v>1.1503475634477964E-3</v>
      </c>
      <c r="Q37" s="40">
        <f t="shared" si="9"/>
        <v>1.2061456228570136E-3</v>
      </c>
      <c r="R37" s="9">
        <f t="shared" si="12"/>
        <v>1.4999999999999999E-4</v>
      </c>
      <c r="S37" s="9">
        <f t="shared" si="13"/>
        <v>5.9107610553333743E-5</v>
      </c>
      <c r="T37" s="9">
        <f t="shared" si="10"/>
        <v>5.7348863868300415E-8</v>
      </c>
      <c r="U37" s="9">
        <f t="shared" si="11"/>
        <v>9.0892389446666237E-5</v>
      </c>
      <c r="V37" s="100">
        <f t="shared" si="14"/>
        <v>6.3095341884428658E-4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171</v>
      </c>
      <c r="C38" s="46" t="s">
        <v>172</v>
      </c>
      <c r="D38" s="90">
        <v>-0.51108880646233978</v>
      </c>
      <c r="E38" s="90">
        <v>-1.2045066120098076</v>
      </c>
      <c r="F38" s="96">
        <v>9.9999999999999995E-7</v>
      </c>
      <c r="G38" s="168"/>
      <c r="H38" s="168"/>
      <c r="I38" s="92">
        <f t="shared" si="1"/>
        <v>-1.5996885357091404E-3</v>
      </c>
      <c r="J38" s="92">
        <f t="shared" si="2"/>
        <v>-1.0632404522957326</v>
      </c>
      <c r="K38" s="93">
        <f t="shared" si="3"/>
        <v>0.99846140907559255</v>
      </c>
      <c r="L38" s="93">
        <f t="shared" si="4"/>
        <v>2.9731593319565693E-5</v>
      </c>
      <c r="M38" s="93">
        <f t="shared" si="5"/>
        <v>0.99997026840668046</v>
      </c>
      <c r="N38" s="93">
        <f t="shared" si="6"/>
        <v>2.0466563376735922E-5</v>
      </c>
      <c r="O38" s="40">
        <f t="shared" si="7"/>
        <v>1.0040042907444921E-6</v>
      </c>
      <c r="P38" s="40">
        <f t="shared" si="8"/>
        <v>8.6795081747694134E-8</v>
      </c>
      <c r="Q38" s="40">
        <f t="shared" si="9"/>
        <v>6.2694429793034332E-8</v>
      </c>
      <c r="R38" s="9">
        <f t="shared" si="12"/>
        <v>1.4999999999999999E-4</v>
      </c>
      <c r="S38" s="9">
        <f t="shared" si="13"/>
        <v>4.4597389979348537E-9</v>
      </c>
      <c r="T38" s="9">
        <f t="shared" si="10"/>
        <v>1.4976921136133887E-4</v>
      </c>
      <c r="U38" s="9">
        <f t="shared" si="11"/>
        <v>1.4999554026100205E-4</v>
      </c>
      <c r="V38" s="100">
        <f t="shared" si="14"/>
        <v>0.9984910958067863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98</v>
      </c>
      <c r="C39" s="46" t="s">
        <v>99</v>
      </c>
      <c r="D39" s="90">
        <v>2.3414159999999997</v>
      </c>
      <c r="E39" s="90">
        <v>2.4767320000000002</v>
      </c>
      <c r="F39" s="96">
        <v>9.9999999999999995E-7</v>
      </c>
      <c r="G39" s="168"/>
      <c r="H39" s="168"/>
      <c r="I39" s="92">
        <f t="shared" si="1"/>
        <v>0.33491051106253611</v>
      </c>
      <c r="J39" s="92">
        <f t="shared" si="2"/>
        <v>2.4654231458254099</v>
      </c>
      <c r="K39" s="93">
        <f t="shared" si="3"/>
        <v>0.43973037355109551</v>
      </c>
      <c r="L39" s="93">
        <f t="shared" si="4"/>
        <v>4.4232039289358163E-2</v>
      </c>
      <c r="M39" s="93">
        <f t="shared" si="5"/>
        <v>0.95576796071064185</v>
      </c>
      <c r="N39" s="93">
        <f t="shared" si="6"/>
        <v>4.326520018529393E-2</v>
      </c>
      <c r="O39" s="40">
        <f t="shared" si="7"/>
        <v>4.4217150287733692E-7</v>
      </c>
      <c r="P39" s="40">
        <f t="shared" si="8"/>
        <v>1.2912605875920618E-4</v>
      </c>
      <c r="Q39" s="40">
        <f t="shared" si="9"/>
        <v>1.3253260967992971E-4</v>
      </c>
      <c r="R39" s="9">
        <f t="shared" si="12"/>
        <v>1.4999999999999999E-4</v>
      </c>
      <c r="S39" s="9">
        <f t="shared" si="13"/>
        <v>6.6348058934037235E-6</v>
      </c>
      <c r="T39" s="9">
        <f t="shared" si="10"/>
        <v>6.5959556032664325E-5</v>
      </c>
      <c r="U39" s="9">
        <f t="shared" si="11"/>
        <v>1.4336519410659625E-4</v>
      </c>
      <c r="V39" s="100">
        <f t="shared" si="14"/>
        <v>0.46008068027740012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173</v>
      </c>
      <c r="C40" s="46" t="s">
        <v>174</v>
      </c>
      <c r="D40" s="47">
        <v>2.349974877229557</v>
      </c>
      <c r="E40" s="47">
        <v>2.8654572197209189</v>
      </c>
      <c r="F40" s="96">
        <v>9.9999999999999995E-7</v>
      </c>
      <c r="G40" s="168"/>
      <c r="H40" s="168"/>
      <c r="I40" s="92">
        <f t="shared" si="1"/>
        <v>0.37071855582347524</v>
      </c>
      <c r="J40" s="92">
        <f t="shared" si="2"/>
        <v>2.8485753936162044</v>
      </c>
      <c r="K40" s="93">
        <f t="shared" si="3"/>
        <v>0.3841143859898824</v>
      </c>
      <c r="L40" s="93">
        <f t="shared" si="4"/>
        <v>9.336053216643013E-2</v>
      </c>
      <c r="M40" s="93">
        <f t="shared" si="5"/>
        <v>0.90663946783356986</v>
      </c>
      <c r="N40" s="93">
        <f t="shared" si="6"/>
        <v>9.2499214622976417E-2</v>
      </c>
      <c r="O40" s="40">
        <f t="shared" si="7"/>
        <v>3.862467674414952E-7</v>
      </c>
      <c r="P40" s="40">
        <f t="shared" si="8"/>
        <v>2.7254627541474464E-4</v>
      </c>
      <c r="Q40" s="40">
        <f t="shared" si="9"/>
        <v>2.8334925655778973E-4</v>
      </c>
      <c r="R40" s="9">
        <f t="shared" si="12"/>
        <v>1.4999999999999999E-4</v>
      </c>
      <c r="S40" s="9">
        <f t="shared" si="13"/>
        <v>1.4004079824964518E-5</v>
      </c>
      <c r="T40" s="9">
        <f t="shared" si="10"/>
        <v>5.7617157898482356E-5</v>
      </c>
      <c r="U40" s="9">
        <f t="shared" si="11"/>
        <v>1.3599592017503545E-4</v>
      </c>
      <c r="V40" s="100">
        <f t="shared" si="14"/>
        <v>0.42366828228615522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175</v>
      </c>
      <c r="C41" s="94" t="s">
        <v>176</v>
      </c>
      <c r="D41" s="95">
        <v>1.4854320000000003</v>
      </c>
      <c r="E41" s="95">
        <v>1.5057189999999996</v>
      </c>
      <c r="F41" s="96">
        <v>9.9999999999999995E-7</v>
      </c>
      <c r="G41" s="168"/>
      <c r="H41" s="168"/>
      <c r="I41" s="92">
        <f t="shared" si="1"/>
        <v>6.2122287627494992E-2</v>
      </c>
      <c r="J41" s="92">
        <f t="shared" si="2"/>
        <v>1.4974934704256861</v>
      </c>
      <c r="K41" s="93">
        <f t="shared" si="3"/>
        <v>0.85425139419597407</v>
      </c>
      <c r="L41" s="93">
        <f t="shared" si="4"/>
        <v>9.2513799762289402E-3</v>
      </c>
      <c r="M41" s="93">
        <f t="shared" si="5"/>
        <v>0.99074862002377106</v>
      </c>
      <c r="N41" s="93">
        <f t="shared" si="6"/>
        <v>8.9851420830201045E-3</v>
      </c>
      <c r="O41" s="40">
        <f t="shared" si="7"/>
        <v>8.5899370506596003E-7</v>
      </c>
      <c r="P41" s="40">
        <f t="shared" si="8"/>
        <v>2.7007441972084027E-5</v>
      </c>
      <c r="Q41" s="40">
        <f t="shared" si="9"/>
        <v>2.7523837252748496E-5</v>
      </c>
      <c r="R41" s="9">
        <f t="shared" si="12"/>
        <v>1.4999999999999999E-4</v>
      </c>
      <c r="S41" s="9">
        <f t="shared" si="13"/>
        <v>1.387706996434341E-6</v>
      </c>
      <c r="T41" s="9">
        <f t="shared" si="10"/>
        <v>1.2813770912939611E-4</v>
      </c>
      <c r="U41" s="9">
        <f t="shared" si="11"/>
        <v>1.4861229300356564E-4</v>
      </c>
      <c r="V41" s="100">
        <f t="shared" si="14"/>
        <v>0.86222819485277502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177</v>
      </c>
      <c r="C42" s="46" t="s">
        <v>178</v>
      </c>
      <c r="D42" s="90">
        <v>2.0758240000000003</v>
      </c>
      <c r="E42" s="90">
        <v>2.477398</v>
      </c>
      <c r="F42" s="96">
        <v>9.9999999999999995E-7</v>
      </c>
      <c r="G42" s="168"/>
      <c r="H42" s="168"/>
      <c r="I42" s="92">
        <f t="shared" si="1"/>
        <v>0.22542744412672311</v>
      </c>
      <c r="J42" s="92">
        <f t="shared" si="2"/>
        <v>2.4617287350279575</v>
      </c>
      <c r="K42" s="93">
        <f t="shared" si="3"/>
        <v>0.55898892786407262</v>
      </c>
      <c r="L42" s="93">
        <f t="shared" si="4"/>
        <v>5.5751851262016136E-2</v>
      </c>
      <c r="M42" s="93">
        <f t="shared" si="5"/>
        <v>0.94424814873798391</v>
      </c>
      <c r="N42" s="93">
        <f t="shared" si="6"/>
        <v>5.5083491248313007E-2</v>
      </c>
      <c r="O42" s="40">
        <f t="shared" si="7"/>
        <v>5.6209211187620609E-7</v>
      </c>
      <c r="P42" s="40">
        <f t="shared" si="8"/>
        <v>1.6275570689605617E-4</v>
      </c>
      <c r="Q42" s="40">
        <f t="shared" si="9"/>
        <v>1.6873512231897457E-4</v>
      </c>
      <c r="R42" s="9">
        <f t="shared" si="12"/>
        <v>1.4999999999999999E-4</v>
      </c>
      <c r="S42" s="9">
        <f t="shared" si="13"/>
        <v>8.3627776893024201E-6</v>
      </c>
      <c r="T42" s="9">
        <f t="shared" si="10"/>
        <v>8.3848339179610885E-5</v>
      </c>
      <c r="U42" s="9">
        <f t="shared" si="11"/>
        <v>1.4163722231069756E-4</v>
      </c>
      <c r="V42" s="100">
        <f t="shared" si="14"/>
        <v>0.59199367095522315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179</v>
      </c>
      <c r="C43" s="46" t="s">
        <v>180</v>
      </c>
      <c r="D43" s="90">
        <v>2.3078000000000003</v>
      </c>
      <c r="E43" s="90">
        <v>2.5099249999999995</v>
      </c>
      <c r="F43" s="96">
        <v>9.9999999999999995E-7</v>
      </c>
      <c r="G43" s="168"/>
      <c r="H43" s="168"/>
      <c r="I43" s="92">
        <f t="shared" si="1"/>
        <v>0.32073739190116707</v>
      </c>
      <c r="J43" s="92">
        <f t="shared" si="2"/>
        <v>2.4972623302127044</v>
      </c>
      <c r="K43" s="93">
        <f t="shared" si="3"/>
        <v>0.45208274551499333</v>
      </c>
      <c r="L43" s="93">
        <f t="shared" si="4"/>
        <v>4.89336503147852E-2</v>
      </c>
      <c r="M43" s="93">
        <f t="shared" si="5"/>
        <v>0.95106634968521475</v>
      </c>
      <c r="N43" s="93">
        <f t="shared" si="6"/>
        <v>4.8013479993315671E-2</v>
      </c>
      <c r="O43" s="40">
        <f t="shared" si="7"/>
        <v>4.5459244808352908E-7</v>
      </c>
      <c r="P43" s="40">
        <f t="shared" si="8"/>
        <v>1.4285141511369574E-4</v>
      </c>
      <c r="Q43" s="40">
        <f t="shared" si="9"/>
        <v>1.4707783105305397E-4</v>
      </c>
      <c r="R43" s="9">
        <f t="shared" si="12"/>
        <v>1.4999999999999999E-4</v>
      </c>
      <c r="S43" s="9">
        <f t="shared" si="13"/>
        <v>7.3400475472177796E-6</v>
      </c>
      <c r="T43" s="9">
        <f t="shared" si="10"/>
        <v>6.7812411827249E-5</v>
      </c>
      <c r="U43" s="9">
        <f t="shared" si="11"/>
        <v>1.426599524527822E-4</v>
      </c>
      <c r="V43" s="100">
        <f t="shared" si="14"/>
        <v>0.47534301435922355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181</v>
      </c>
      <c r="C44" s="46" t="s">
        <v>182</v>
      </c>
      <c r="D44" s="90">
        <v>5.676184000000001</v>
      </c>
      <c r="E44" s="90">
        <v>7.0708080000000004</v>
      </c>
      <c r="F44" s="96">
        <v>9.9999999999999995E-7</v>
      </c>
      <c r="G44" s="168"/>
      <c r="H44" s="168"/>
      <c r="I44" s="92">
        <f t="shared" si="1"/>
        <v>3.8293839195374848</v>
      </c>
      <c r="J44" s="92">
        <f t="shared" si="2"/>
        <v>7.0504332537206764</v>
      </c>
      <c r="K44" s="93">
        <f t="shared" si="3"/>
        <v>9.3852125303642593E-5</v>
      </c>
      <c r="L44" s="93">
        <f t="shared" si="4"/>
        <v>0.36308199881406267</v>
      </c>
      <c r="M44" s="93">
        <f t="shared" si="5"/>
        <v>0.63691800118593733</v>
      </c>
      <c r="N44" s="93">
        <f t="shared" si="6"/>
        <v>0.36263720982253544</v>
      </c>
      <c r="O44" s="40">
        <f t="shared" si="7"/>
        <v>9.4373138154218825E-11</v>
      </c>
      <c r="P44" s="40">
        <f t="shared" si="8"/>
        <v>1.0599408995495805E-3</v>
      </c>
      <c r="Q44" s="40">
        <f t="shared" si="9"/>
        <v>1.110852499907423E-3</v>
      </c>
      <c r="R44" s="9">
        <f t="shared" si="12"/>
        <v>1.4999999999999999E-4</v>
      </c>
      <c r="S44" s="9">
        <f t="shared" si="13"/>
        <v>5.4462299822109395E-5</v>
      </c>
      <c r="T44" s="9">
        <f t="shared" si="10"/>
        <v>1.4077818795546387E-8</v>
      </c>
      <c r="U44" s="9">
        <f t="shared" si="11"/>
        <v>9.5537700177890592E-5</v>
      </c>
      <c r="V44" s="100">
        <f t="shared" si="14"/>
        <v>1.4735354492868865E-4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183</v>
      </c>
      <c r="C45" s="46" t="s">
        <v>184</v>
      </c>
      <c r="D45" s="90">
        <v>1.2599279999999999</v>
      </c>
      <c r="E45" s="90">
        <v>1.3925860000000003</v>
      </c>
      <c r="F45" s="96">
        <v>9.9999999999999995E-7</v>
      </c>
      <c r="G45" s="168"/>
      <c r="H45" s="168"/>
      <c r="I45" s="92">
        <f t="shared" si="1"/>
        <v>3.8037572032670899E-2</v>
      </c>
      <c r="J45" s="92">
        <f t="shared" si="2"/>
        <v>1.3816332663919468</v>
      </c>
      <c r="K45" s="93">
        <f t="shared" si="3"/>
        <v>0.90455801264378433</v>
      </c>
      <c r="L45" s="93">
        <f t="shared" si="4"/>
        <v>7.5023452064392976E-3</v>
      </c>
      <c r="M45" s="93">
        <f t="shared" si="5"/>
        <v>0.99249765479356067</v>
      </c>
      <c r="N45" s="93">
        <f t="shared" si="6"/>
        <v>7.33234139821196E-3</v>
      </c>
      <c r="O45" s="40">
        <f t="shared" si="7"/>
        <v>9.0957959683438562E-7</v>
      </c>
      <c r="P45" s="40">
        <f t="shared" si="8"/>
        <v>2.1901505865943687E-5</v>
      </c>
      <c r="Q45" s="40">
        <f t="shared" si="9"/>
        <v>2.2460877019113553E-5</v>
      </c>
      <c r="R45" s="9">
        <f t="shared" si="12"/>
        <v>1.4999999999999999E-4</v>
      </c>
      <c r="S45" s="9">
        <f t="shared" si="13"/>
        <v>1.1253517809658946E-6</v>
      </c>
      <c r="T45" s="9">
        <f t="shared" si="10"/>
        <v>1.3568370189656764E-4</v>
      </c>
      <c r="U45" s="9">
        <f t="shared" si="11"/>
        <v>1.488746482190341E-4</v>
      </c>
      <c r="V45" s="100">
        <f t="shared" si="14"/>
        <v>0.91139561718353101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185</v>
      </c>
      <c r="C46" s="46" t="s">
        <v>186</v>
      </c>
      <c r="D46" s="91">
        <v>1.2889359999999999</v>
      </c>
      <c r="E46" s="91">
        <v>1.371977</v>
      </c>
      <c r="F46" s="96">
        <v>9.9999999999999995E-7</v>
      </c>
      <c r="G46" s="168"/>
      <c r="H46" s="168"/>
      <c r="I46" s="92">
        <f t="shared" si="1"/>
        <v>4.0258976380178252E-2</v>
      </c>
      <c r="J46" s="92">
        <f t="shared" si="2"/>
        <v>1.3621902530651464</v>
      </c>
      <c r="K46" s="93">
        <f t="shared" si="3"/>
        <v>0.9002716955362311</v>
      </c>
      <c r="L46" s="93">
        <f t="shared" si="4"/>
        <v>7.1398847468206808E-3</v>
      </c>
      <c r="M46" s="93">
        <f t="shared" si="5"/>
        <v>0.9928601152531793</v>
      </c>
      <c r="N46" s="93">
        <f t="shared" si="6"/>
        <v>6.9593847788259082E-3</v>
      </c>
      <c r="O46" s="40">
        <f t="shared" si="7"/>
        <v>9.0526948456729321E-7</v>
      </c>
      <c r="P46" s="40">
        <f t="shared" si="8"/>
        <v>2.0843379418270199E-5</v>
      </c>
      <c r="Q46" s="40">
        <f t="shared" si="9"/>
        <v>2.1318413472130152E-5</v>
      </c>
      <c r="R46" s="9">
        <f t="shared" si="12"/>
        <v>1.4999999999999999E-4</v>
      </c>
      <c r="S46" s="9">
        <f t="shared" si="13"/>
        <v>1.0709827120231019E-6</v>
      </c>
      <c r="T46" s="9">
        <f t="shared" si="10"/>
        <v>1.3504075433043466E-4</v>
      </c>
      <c r="U46" s="9">
        <f t="shared" si="11"/>
        <v>1.4892901728797689E-4</v>
      </c>
      <c r="V46" s="100">
        <f t="shared" si="14"/>
        <v>0.90674575572678917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187</v>
      </c>
      <c r="C47" s="46" t="s">
        <v>188</v>
      </c>
      <c r="D47" s="90">
        <v>2.5448008164668257</v>
      </c>
      <c r="E47" s="90">
        <v>3.1426039783542175</v>
      </c>
      <c r="F47" s="96">
        <v>9.9999999999999995E-7</v>
      </c>
      <c r="G47" s="168"/>
      <c r="H47" s="168"/>
      <c r="I47" s="92">
        <f t="shared" si="1"/>
        <v>0.50587648659747519</v>
      </c>
      <c r="J47" s="92">
        <f t="shared" si="2"/>
        <v>3.1250264524098048</v>
      </c>
      <c r="K47" s="93">
        <f t="shared" si="3"/>
        <v>0.27163516620128425</v>
      </c>
      <c r="L47" s="93">
        <f t="shared" si="4"/>
        <v>0.1247785107793946</v>
      </c>
      <c r="M47" s="93">
        <f t="shared" si="5"/>
        <v>0.87522148922060539</v>
      </c>
      <c r="N47" s="93">
        <f t="shared" si="6"/>
        <v>0.1238255382994591</v>
      </c>
      <c r="O47" s="40">
        <f t="shared" si="7"/>
        <v>2.7314312792086593E-7</v>
      </c>
      <c r="P47" s="40">
        <f t="shared" si="8"/>
        <v>3.6426440140784533E-4</v>
      </c>
      <c r="Q47" s="40">
        <f t="shared" si="9"/>
        <v>3.7930996887950515E-4</v>
      </c>
      <c r="R47" s="9">
        <f t="shared" si="12"/>
        <v>1.4999999999999999E-4</v>
      </c>
      <c r="S47" s="9">
        <f t="shared" si="13"/>
        <v>1.8716776616909187E-5</v>
      </c>
      <c r="T47" s="9">
        <f t="shared" si="10"/>
        <v>4.0745274930192636E-5</v>
      </c>
      <c r="U47" s="9">
        <f t="shared" si="11"/>
        <v>1.312832233830908E-4</v>
      </c>
      <c r="V47" s="100">
        <f t="shared" si="14"/>
        <v>0.31036162793852151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100</v>
      </c>
      <c r="C48" s="46" t="s">
        <v>101</v>
      </c>
      <c r="D48" s="90">
        <v>0.29376000000000013</v>
      </c>
      <c r="E48" s="90">
        <v>0.18140000000000034</v>
      </c>
      <c r="F48" s="96">
        <v>9.9999999999999995E-7</v>
      </c>
      <c r="G48" s="168"/>
      <c r="H48" s="16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0.18244842776560238</v>
      </c>
      <c r="K48" s="93">
        <f t="shared" ref="K48:K50" si="17">IF(D48=0,"",1/(1+10^D48*$J$15/$J$14+10^E48*$J$16/$J$14+10^J48*$J$19/$J$14))</f>
        <v>0.98951695576469223</v>
      </c>
      <c r="L48" s="93">
        <f t="shared" ref="L48:L50" si="18">IF(D48=0,"",1/(1+10^I48/10^J48*$J$13/$J$19))</f>
        <v>5.1879886861902534E-4</v>
      </c>
      <c r="M48" s="93">
        <f t="shared" ref="M48:M92" si="19">IF(D48=0,"",1-L48)</f>
        <v>0.99948120113138095</v>
      </c>
      <c r="N48" s="93">
        <f t="shared" ref="N48:N50" si="20">IF(D48=0,"",1/(1/10^E48*$J$20/$J$22+10^D48/10^E48*$J$21/$J$22+10^I48/10^E48*$J$13/$J$22+1))</f>
        <v>4.9322319619148601E-4</v>
      </c>
      <c r="O48" s="40">
        <f t="shared" ref="O48:O92" si="21">IF(D48=0,"",F48*K48*$J$7/$J$14)</f>
        <v>9.9501018298941949E-7</v>
      </c>
      <c r="P48" s="40">
        <f t="shared" ref="P48:P50" si="22">IF(D48=0,"",O48*10^J48)</f>
        <v>1.514523279274335E-6</v>
      </c>
      <c r="Q48" s="40">
        <f t="shared" ref="Q48:Q50" si="23">IF(D48=0,"",F48*N48*$J$7/$J$22)</f>
        <v>1.5108714871531461E-6</v>
      </c>
      <c r="R48" s="9">
        <f t="shared" si="12"/>
        <v>1.4999999999999999E-4</v>
      </c>
      <c r="S48" s="9">
        <f t="shared" si="13"/>
        <v>7.781983029285379E-8</v>
      </c>
      <c r="T48" s="9">
        <f t="shared" si="10"/>
        <v>1.4842754336470381E-4</v>
      </c>
      <c r="U48" s="9">
        <f t="shared" si="11"/>
        <v>1.4992218016970712E-4</v>
      </c>
      <c r="V48" s="100">
        <f t="shared" si="14"/>
        <v>0.99003058251079712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189</v>
      </c>
      <c r="C49" s="46" t="s">
        <v>190</v>
      </c>
      <c r="D49" s="90">
        <v>1.6175039999999998</v>
      </c>
      <c r="E49" s="90">
        <v>1.8999029999999997</v>
      </c>
      <c r="F49" s="96">
        <v>9.9999999999999995E-7</v>
      </c>
      <c r="G49" s="168"/>
      <c r="H49" s="168"/>
      <c r="I49" s="92">
        <f t="shared" si="15"/>
        <v>8.7763082204907472E-2</v>
      </c>
      <c r="J49" s="92">
        <f t="shared" si="16"/>
        <v>1.885940844009744</v>
      </c>
      <c r="K49" s="93">
        <f t="shared" si="17"/>
        <v>0.79566486766902744</v>
      </c>
      <c r="L49" s="93">
        <f t="shared" si="18"/>
        <v>2.1076494451005592E-2</v>
      </c>
      <c r="M49" s="93">
        <f t="shared" si="19"/>
        <v>0.97892350554899443</v>
      </c>
      <c r="N49" s="93">
        <f t="shared" si="20"/>
        <v>2.0742133977311193E-2</v>
      </c>
      <c r="O49" s="40">
        <f t="shared" si="21"/>
        <v>8.0008193994593516E-7</v>
      </c>
      <c r="P49" s="40">
        <f t="shared" si="22"/>
        <v>6.1528356020731922E-5</v>
      </c>
      <c r="Q49" s="40">
        <f t="shared" si="23"/>
        <v>6.353857452572692E-5</v>
      </c>
      <c r="R49" s="9">
        <f t="shared" si="12"/>
        <v>1.4999999999999999E-4</v>
      </c>
      <c r="S49" s="9">
        <f t="shared" si="13"/>
        <v>3.1614741676508387E-6</v>
      </c>
      <c r="T49" s="9">
        <f t="shared" si="10"/>
        <v>1.193497301503541E-4</v>
      </c>
      <c r="U49" s="9">
        <f t="shared" si="11"/>
        <v>1.4683852583234915E-4</v>
      </c>
      <c r="V49" s="100">
        <f t="shared" si="14"/>
        <v>0.81279575284363725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191</v>
      </c>
      <c r="C50" s="46" t="s">
        <v>192</v>
      </c>
      <c r="D50" s="90">
        <v>2.5898400000000001</v>
      </c>
      <c r="E50" s="90">
        <v>2.96393</v>
      </c>
      <c r="F50" s="96">
        <v>9.9999999999999995E-7</v>
      </c>
      <c r="G50" s="168"/>
      <c r="H50" s="168"/>
      <c r="I50" s="92">
        <f t="shared" si="15"/>
        <v>0.50667591684415281</v>
      </c>
      <c r="J50" s="92">
        <f t="shared" si="16"/>
        <v>2.9485807923787242</v>
      </c>
      <c r="K50" s="93">
        <f t="shared" si="17"/>
        <v>0.2829674874373781</v>
      </c>
      <c r="L50" s="93">
        <f t="shared" si="18"/>
        <v>8.6585403086401322E-2</v>
      </c>
      <c r="M50" s="93">
        <f t="shared" si="19"/>
        <v>0.91341459691359872</v>
      </c>
      <c r="N50" s="93">
        <f t="shared" si="20"/>
        <v>8.5484384950634124E-2</v>
      </c>
      <c r="O50" s="40">
        <f t="shared" si="21"/>
        <v>2.8453835966614393E-7</v>
      </c>
      <c r="P50" s="40">
        <f t="shared" si="22"/>
        <v>2.5276772281476343E-4</v>
      </c>
      <c r="Q50" s="40">
        <f t="shared" si="23"/>
        <v>2.6186100089378982E-4</v>
      </c>
      <c r="R50" s="9">
        <f t="shared" si="12"/>
        <v>1.4999999999999999E-4</v>
      </c>
      <c r="S50" s="9">
        <f t="shared" si="13"/>
        <v>1.2987810462960198E-5</v>
      </c>
      <c r="T50" s="9">
        <f t="shared" si="10"/>
        <v>4.244512311560671E-5</v>
      </c>
      <c r="U50" s="9">
        <f t="shared" si="11"/>
        <v>1.3701218953703979E-4</v>
      </c>
      <c r="V50" s="100">
        <f t="shared" si="14"/>
        <v>0.3097908533468996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193</v>
      </c>
      <c r="C51" s="46" t="s">
        <v>194</v>
      </c>
      <c r="D51" s="90">
        <v>5.0487680000000008</v>
      </c>
      <c r="E51" s="90">
        <v>6.0352960000000007</v>
      </c>
      <c r="F51" s="96">
        <v>9.9999999999999995E-7</v>
      </c>
      <c r="G51" s="168"/>
      <c r="H51" s="16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6.0157499789101383</v>
      </c>
      <c r="K51" s="93">
        <f t="shared" ref="K51:K70" si="26">IF(D51=0,"",1/(1+10^D51*$J$15/$J$14+10^E51*$J$16/$J$14+10^J51*$J$19/$J$14))</f>
        <v>7.6200302121313284E-4</v>
      </c>
      <c r="L51" s="93">
        <f t="shared" ref="L51:L70" si="27">IF(D51=0,"",1/(1+10^I51/10^J51*$J$13/$J$19))</f>
        <v>0.27216609634546551</v>
      </c>
      <c r="M51" s="93">
        <f t="shared" ref="M51:M70" si="28">IF(D51=0,"",1-L51)</f>
        <v>0.72783390365453449</v>
      </c>
      <c r="N51" s="93">
        <f t="shared" ref="N51:N70" si="29">IF(D51=0,"",1/(1/10^E51*$J$20/$J$22+10^D51/10^E51*$J$21/$J$22+10^I51/10^E51*$J$13/$J$22+1))</f>
        <v>0.27131446340239213</v>
      </c>
      <c r="O51" s="40">
        <f t="shared" ref="O51:O70" si="30">IF(D51=0,"",F51*K51*$J$7/$J$14)</f>
        <v>7.6623322234012365E-10</v>
      </c>
      <c r="P51" s="40">
        <f t="shared" ref="P51:P70" si="31">IF(D51=0,"",O51*10^J51)</f>
        <v>7.9453120212396851E-4</v>
      </c>
      <c r="Q51" s="40">
        <f t="shared" ref="Q51:Q70" si="32">IF(D51=0,"",F51*N51*$J$7/$J$22)</f>
        <v>8.3110707276586536E-4</v>
      </c>
      <c r="R51" s="9">
        <f t="shared" si="12"/>
        <v>1.4999999999999999E-4</v>
      </c>
      <c r="S51" s="9">
        <f t="shared" si="13"/>
        <v>4.0824914451819823E-5</v>
      </c>
      <c r="T51" s="9">
        <f t="shared" si="10"/>
        <v>1.1430045318196991E-7</v>
      </c>
      <c r="U51" s="9">
        <f t="shared" si="11"/>
        <v>1.0917508554818016E-4</v>
      </c>
      <c r="V51" s="100">
        <f t="shared" si="14"/>
        <v>1.0469463120459646E-3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195</v>
      </c>
      <c r="C52" s="46" t="s">
        <v>196</v>
      </c>
      <c r="D52" s="47">
        <v>2.7330160000000001</v>
      </c>
      <c r="E52" s="47">
        <v>3.3310319999999995</v>
      </c>
      <c r="F52" s="96">
        <v>9.9999999999999995E-7</v>
      </c>
      <c r="G52" s="168"/>
      <c r="H52" s="168"/>
      <c r="I52" s="92">
        <f t="shared" si="24"/>
        <v>0.64393554165863076</v>
      </c>
      <c r="J52" s="92">
        <f t="shared" si="25"/>
        <v>3.3134507884219753</v>
      </c>
      <c r="K52" s="93">
        <f t="shared" si="26"/>
        <v>0.19467676572459605</v>
      </c>
      <c r="L52" s="93">
        <f t="shared" si="27"/>
        <v>0.13800418701986483</v>
      </c>
      <c r="M52" s="93">
        <f t="shared" si="28"/>
        <v>0.86199581298013517</v>
      </c>
      <c r="N52" s="93">
        <f t="shared" si="29"/>
        <v>0.13695136814827669</v>
      </c>
      <c r="O52" s="40">
        <f t="shared" si="30"/>
        <v>1.9575749880680357E-7</v>
      </c>
      <c r="P52" s="40">
        <f t="shared" si="31"/>
        <v>4.0287395852514699E-4</v>
      </c>
      <c r="Q52" s="40">
        <f t="shared" si="32"/>
        <v>4.1951781436798651E-4</v>
      </c>
      <c r="R52" s="9">
        <f t="shared" si="12"/>
        <v>1.4999999999999999E-4</v>
      </c>
      <c r="S52" s="9">
        <f t="shared" si="13"/>
        <v>2.0700628052979722E-5</v>
      </c>
      <c r="T52" s="9">
        <f t="shared" si="10"/>
        <v>2.9201514858689405E-5</v>
      </c>
      <c r="U52" s="9">
        <f t="shared" si="11"/>
        <v>1.2929937194702026E-4</v>
      </c>
      <c r="V52" s="100">
        <f t="shared" si="14"/>
        <v>0.2258442126900243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197</v>
      </c>
      <c r="C53" s="46" t="s">
        <v>198</v>
      </c>
      <c r="D53" s="47">
        <v>3.4406639999999999</v>
      </c>
      <c r="E53" s="47">
        <v>4.222847999999999</v>
      </c>
      <c r="F53" s="96">
        <v>9.9999999999999995E-7</v>
      </c>
      <c r="G53" s="168"/>
      <c r="H53" s="168"/>
      <c r="I53" s="92">
        <f t="shared" si="24"/>
        <v>1.3135143326183101</v>
      </c>
      <c r="J53" s="92">
        <f t="shared" si="25"/>
        <v>4.2041181793483684</v>
      </c>
      <c r="K53" s="93">
        <f t="shared" si="26"/>
        <v>3.8165554948545143E-2</v>
      </c>
      <c r="L53" s="93">
        <f t="shared" si="27"/>
        <v>0.21033769634185559</v>
      </c>
      <c r="M53" s="93">
        <f t="shared" si="28"/>
        <v>0.78966230365814438</v>
      </c>
      <c r="N53" s="93">
        <f t="shared" si="29"/>
        <v>0.2092858346388998</v>
      </c>
      <c r="O53" s="40">
        <f t="shared" si="30"/>
        <v>3.8377428089544688E-8</v>
      </c>
      <c r="P53" s="40">
        <f t="shared" si="31"/>
        <v>6.1403629978346941E-4</v>
      </c>
      <c r="Q53" s="40">
        <f t="shared" si="32"/>
        <v>6.4109718006490686E-4</v>
      </c>
      <c r="R53" s="9">
        <f t="shared" si="12"/>
        <v>1.4999999999999999E-4</v>
      </c>
      <c r="S53" s="9">
        <f t="shared" si="13"/>
        <v>3.1550654451278334E-5</v>
      </c>
      <c r="T53" s="9">
        <f t="shared" si="10"/>
        <v>5.7248332422817705E-6</v>
      </c>
      <c r="U53" s="9">
        <f t="shared" si="11"/>
        <v>1.1844934554872165E-4</v>
      </c>
      <c r="V53" s="100">
        <f t="shared" si="14"/>
        <v>4.8331489007062356E-2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199</v>
      </c>
      <c r="C54" s="46" t="s">
        <v>200</v>
      </c>
      <c r="D54" s="47">
        <v>2.8976480000000002</v>
      </c>
      <c r="E54" s="47">
        <v>3.5312959999999993</v>
      </c>
      <c r="F54" s="96">
        <v>9.9999999999999995E-7</v>
      </c>
      <c r="G54" s="168"/>
      <c r="H54" s="168"/>
      <c r="I54" s="92">
        <f t="shared" si="24"/>
        <v>0.78379345695532832</v>
      </c>
      <c r="J54" s="92">
        <f t="shared" si="25"/>
        <v>3.5134526251640912</v>
      </c>
      <c r="K54" s="93">
        <f t="shared" si="26"/>
        <v>0.13824324054501155</v>
      </c>
      <c r="L54" s="93">
        <f t="shared" si="27"/>
        <v>0.15531874860698372</v>
      </c>
      <c r="M54" s="93">
        <f t="shared" si="28"/>
        <v>0.84468125139301631</v>
      </c>
      <c r="N54" s="93">
        <f t="shared" si="29"/>
        <v>0.15422691031107152</v>
      </c>
      <c r="O54" s="40">
        <f t="shared" si="30"/>
        <v>1.3901068725542138E-7</v>
      </c>
      <c r="P54" s="40">
        <f t="shared" si="31"/>
        <v>4.5342014931373472E-4</v>
      </c>
      <c r="Q54" s="40">
        <f t="shared" si="32"/>
        <v>4.7243731264062121E-4</v>
      </c>
      <c r="R54" s="9">
        <f t="shared" si="12"/>
        <v>1.4999999999999999E-4</v>
      </c>
      <c r="S54" s="9">
        <f t="shared" si="13"/>
        <v>2.3297812291047556E-5</v>
      </c>
      <c r="T54" s="9">
        <f t="shared" si="10"/>
        <v>2.0736486081751733E-5</v>
      </c>
      <c r="U54" s="9">
        <f t="shared" si="11"/>
        <v>1.2670218770895243E-4</v>
      </c>
      <c r="V54" s="100">
        <f t="shared" si="14"/>
        <v>0.16366320469055759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102</v>
      </c>
      <c r="C55" s="46" t="s">
        <v>103</v>
      </c>
      <c r="D55" s="47">
        <v>1.423632</v>
      </c>
      <c r="E55" s="47">
        <v>1.638849</v>
      </c>
      <c r="F55" s="96">
        <v>9.9999999999999995E-7</v>
      </c>
      <c r="G55" s="168"/>
      <c r="H55" s="168"/>
      <c r="I55" s="54">
        <f t="shared" si="24"/>
        <v>5.6400487609719711E-2</v>
      </c>
      <c r="J55" s="54">
        <f t="shared" si="25"/>
        <v>1.6261045420364111</v>
      </c>
      <c r="K55" s="55">
        <f t="shared" si="26"/>
        <v>0.86268752484519373</v>
      </c>
      <c r="L55" s="55">
        <f t="shared" si="27"/>
        <v>1.2562770094157228E-2</v>
      </c>
      <c r="M55" s="55">
        <f t="shared" si="28"/>
        <v>0.98743722990584282</v>
      </c>
      <c r="N55" s="55">
        <f t="shared" si="29"/>
        <v>1.2328855730972995E-2</v>
      </c>
      <c r="O55" s="56">
        <f t="shared" si="30"/>
        <v>8.6747666824521754E-7</v>
      </c>
      <c r="P55" s="56">
        <f t="shared" si="31"/>
        <v>3.6674343200514084E-5</v>
      </c>
      <c r="Q55" s="56">
        <f t="shared" si="32"/>
        <v>3.7766505584056111E-5</v>
      </c>
      <c r="R55" s="9">
        <f t="shared" si="12"/>
        <v>1.4999999999999999E-4</v>
      </c>
      <c r="S55" s="9">
        <f t="shared" si="13"/>
        <v>1.8844155141235841E-6</v>
      </c>
      <c r="T55" s="9">
        <f t="shared" si="10"/>
        <v>1.2940312872677904E-4</v>
      </c>
      <c r="U55" s="9">
        <f t="shared" si="11"/>
        <v>1.4811558448587641E-4</v>
      </c>
      <c r="V55" s="100">
        <f t="shared" si="14"/>
        <v>0.87366315419103191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201</v>
      </c>
      <c r="C56" s="46" t="s">
        <v>202</v>
      </c>
      <c r="D56" s="47">
        <v>2.6912000000000003</v>
      </c>
      <c r="E56" s="47">
        <v>3.3249699999999995</v>
      </c>
      <c r="F56" s="96">
        <v>9.9999999999999995E-7</v>
      </c>
      <c r="G56" s="168"/>
      <c r="H56" s="168"/>
      <c r="I56" s="54">
        <f t="shared" si="24"/>
        <v>0.61860589125383414</v>
      </c>
      <c r="J56" s="54">
        <f t="shared" si="25"/>
        <v>3.3071272258548747</v>
      </c>
      <c r="K56" s="55">
        <f t="shared" si="26"/>
        <v>0.20510245340998665</v>
      </c>
      <c r="L56" s="55">
        <f t="shared" si="27"/>
        <v>0.14329315116501823</v>
      </c>
      <c r="M56" s="55">
        <f t="shared" si="28"/>
        <v>0.85670684883498183</v>
      </c>
      <c r="N56" s="55">
        <f t="shared" si="29"/>
        <v>0.14228565195242324</v>
      </c>
      <c r="O56" s="56">
        <f t="shared" si="30"/>
        <v>2.0624106389499787E-7</v>
      </c>
      <c r="P56" s="56">
        <f t="shared" si="31"/>
        <v>4.1831396775724941E-4</v>
      </c>
      <c r="Q56" s="56">
        <f t="shared" si="32"/>
        <v>4.3585811905418157E-4</v>
      </c>
      <c r="R56" s="9">
        <f t="shared" si="12"/>
        <v>1.4999999999999999E-4</v>
      </c>
      <c r="S56" s="9">
        <f t="shared" si="13"/>
        <v>2.1493972674752732E-5</v>
      </c>
      <c r="T56" s="9">
        <f t="shared" si="10"/>
        <v>3.0765368011497992E-5</v>
      </c>
      <c r="U56" s="9">
        <f t="shared" si="11"/>
        <v>1.2850602732524725E-4</v>
      </c>
      <c r="V56" s="100">
        <f t="shared" si="14"/>
        <v>0.23940797682299528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104</v>
      </c>
      <c r="C57" s="87" t="s">
        <v>105</v>
      </c>
      <c r="D57" s="90">
        <v>2.1493200000000003</v>
      </c>
      <c r="E57" s="90">
        <v>2.6108399999999996</v>
      </c>
      <c r="F57" s="96">
        <v>9.9999999999999995E-7</v>
      </c>
      <c r="G57" s="168"/>
      <c r="H57" s="168"/>
      <c r="I57" s="54">
        <f t="shared" si="24"/>
        <v>0.26171036693668792</v>
      </c>
      <c r="J57" s="54">
        <f t="shared" si="25"/>
        <v>2.5944953006708373</v>
      </c>
      <c r="K57" s="55">
        <f t="shared" si="26"/>
        <v>0.50715205657245355</v>
      </c>
      <c r="L57" s="55">
        <f t="shared" si="27"/>
        <v>6.866901909720477E-2</v>
      </c>
      <c r="M57" s="55">
        <f t="shared" si="28"/>
        <v>0.9313309809027952</v>
      </c>
      <c r="N57" s="55">
        <f t="shared" si="29"/>
        <v>6.7951405446911611E-2</v>
      </c>
      <c r="O57" s="56">
        <f t="shared" si="30"/>
        <v>5.0996747218308061E-7</v>
      </c>
      <c r="P57" s="56">
        <f t="shared" si="31"/>
        <v>2.0046463914712669E-4</v>
      </c>
      <c r="Q57" s="56">
        <f t="shared" si="32"/>
        <v>2.0815290479943969E-4</v>
      </c>
      <c r="R57" s="9">
        <f t="shared" si="12"/>
        <v>1.4999999999999999E-4</v>
      </c>
      <c r="S57" s="9">
        <f t="shared" si="13"/>
        <v>1.0300352864580715E-5</v>
      </c>
      <c r="T57" s="9">
        <f t="shared" si="10"/>
        <v>7.6072808485868029E-5</v>
      </c>
      <c r="U57" s="9">
        <f t="shared" si="11"/>
        <v>1.3969964713541927E-4</v>
      </c>
      <c r="V57" s="100">
        <f t="shared" si="14"/>
        <v>0.54454545910288576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144</v>
      </c>
      <c r="C58" s="46" t="s">
        <v>145</v>
      </c>
      <c r="D58" s="47">
        <v>2.0184960000000003</v>
      </c>
      <c r="E58" s="47">
        <v>2.3512620000000002</v>
      </c>
      <c r="F58" s="96">
        <v>9.9999999999999995E-7</v>
      </c>
      <c r="G58" s="168"/>
      <c r="H58" s="168"/>
      <c r="I58" s="54">
        <f t="shared" si="24"/>
        <v>0.19893820408979257</v>
      </c>
      <c r="J58" s="54">
        <f t="shared" si="25"/>
        <v>2.3364900872934777</v>
      </c>
      <c r="K58" s="55">
        <f t="shared" si="26"/>
        <v>0.60095919949518906</v>
      </c>
      <c r="L58" s="55">
        <f t="shared" si="27"/>
        <v>4.4922345859553049E-2</v>
      </c>
      <c r="M58" s="55">
        <f t="shared" si="28"/>
        <v>0.95507765414044699</v>
      </c>
      <c r="N58" s="55">
        <f t="shared" si="29"/>
        <v>4.4292198800180226E-2</v>
      </c>
      <c r="O58" s="56">
        <f t="shared" si="30"/>
        <v>6.0429537824016671E-7</v>
      </c>
      <c r="P58" s="56">
        <f t="shared" si="31"/>
        <v>1.3114126240292099E-4</v>
      </c>
      <c r="Q58" s="56">
        <f t="shared" si="32"/>
        <v>1.3567857470460603E-4</v>
      </c>
      <c r="R58" s="9">
        <f t="shared" si="12"/>
        <v>1.4999999999999999E-4</v>
      </c>
      <c r="S58" s="9">
        <f t="shared" si="13"/>
        <v>6.7383518789329567E-6</v>
      </c>
      <c r="T58" s="9">
        <f t="shared" si="10"/>
        <v>9.0143879924278346E-5</v>
      </c>
      <c r="U58" s="9">
        <f t="shared" si="11"/>
        <v>1.4326164812106704E-4</v>
      </c>
      <c r="V58" s="100">
        <f t="shared" si="14"/>
        <v>0.62922548432571346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146</v>
      </c>
      <c r="C59" s="46" t="s">
        <v>147</v>
      </c>
      <c r="D59" s="47">
        <v>1.4665360000000003</v>
      </c>
      <c r="E59" s="47">
        <v>1.8522119999999997</v>
      </c>
      <c r="F59" s="96">
        <v>9.9999999999999995E-7</v>
      </c>
      <c r="G59" s="168"/>
      <c r="H59" s="168"/>
      <c r="I59" s="54">
        <f t="shared" si="24"/>
        <v>6.5352597387686409E-2</v>
      </c>
      <c r="J59" s="54">
        <f t="shared" si="25"/>
        <v>1.8368226563727335</v>
      </c>
      <c r="K59" s="55">
        <f t="shared" si="26"/>
        <v>0.8388551137139274</v>
      </c>
      <c r="L59" s="55">
        <f t="shared" si="27"/>
        <v>1.9844353960410448E-2</v>
      </c>
      <c r="M59" s="55">
        <f t="shared" si="28"/>
        <v>0.9801556460395896</v>
      </c>
      <c r="N59" s="55">
        <f t="shared" si="29"/>
        <v>1.9593824289765471E-2</v>
      </c>
      <c r="O59" s="56">
        <f t="shared" si="30"/>
        <v>8.4351195331774578E-7</v>
      </c>
      <c r="P59" s="56">
        <f t="shared" si="31"/>
        <v>5.7931383148932522E-5</v>
      </c>
      <c r="Q59" s="56">
        <f t="shared" si="32"/>
        <v>6.002100199724227E-5</v>
      </c>
      <c r="R59" s="9">
        <f t="shared" si="12"/>
        <v>1.4999999999999999E-4</v>
      </c>
      <c r="S59" s="9">
        <f t="shared" si="13"/>
        <v>2.9766530940615667E-6</v>
      </c>
      <c r="T59" s="9">
        <f t="shared" si="10"/>
        <v>1.2582826705708909E-4</v>
      </c>
      <c r="U59" s="9">
        <f t="shared" si="11"/>
        <v>1.4702334690593842E-4</v>
      </c>
      <c r="V59" s="100">
        <f t="shared" si="14"/>
        <v>0.85583867940097047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148</v>
      </c>
      <c r="C60" s="46" t="s">
        <v>149</v>
      </c>
      <c r="D60" s="47">
        <v>2.7203999877244023</v>
      </c>
      <c r="E60" s="47">
        <v>3.3923999825375306</v>
      </c>
      <c r="F60" s="96">
        <v>9.9999999999999995E-7</v>
      </c>
      <c r="G60" s="168"/>
      <c r="H60" s="168"/>
      <c r="I60" s="54">
        <f t="shared" si="24"/>
        <v>0.6487673116742505</v>
      </c>
      <c r="J60" s="54">
        <f t="shared" si="25"/>
        <v>3.3742995972030507</v>
      </c>
      <c r="K60" s="55">
        <f t="shared" si="26"/>
        <v>0.18893328084547406</v>
      </c>
      <c r="L60" s="55">
        <f t="shared" si="27"/>
        <v>0.15407614915698414</v>
      </c>
      <c r="M60" s="55">
        <f t="shared" si="28"/>
        <v>0.8459238508430158</v>
      </c>
      <c r="N60" s="55">
        <f t="shared" si="29"/>
        <v>0.15308361224224229</v>
      </c>
      <c r="O60" s="56">
        <f t="shared" si="30"/>
        <v>1.8998212941340521E-7</v>
      </c>
      <c r="P60" s="56">
        <f t="shared" si="31"/>
        <v>4.4979264372790455E-4</v>
      </c>
      <c r="Q60" s="56">
        <f t="shared" si="32"/>
        <v>4.6893509200937432E-4</v>
      </c>
      <c r="R60" s="9">
        <f t="shared" si="12"/>
        <v>1.4999999999999999E-4</v>
      </c>
      <c r="S60" s="9">
        <f t="shared" si="13"/>
        <v>2.3111422373547619E-5</v>
      </c>
      <c r="T60" s="9">
        <f t="shared" si="10"/>
        <v>2.8339992126821108E-5</v>
      </c>
      <c r="U60" s="9">
        <f t="shared" si="11"/>
        <v>1.2688857762645236E-4</v>
      </c>
      <c r="V60" s="100">
        <f t="shared" si="14"/>
        <v>0.22334549458227271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150</v>
      </c>
      <c r="C61" s="46" t="s">
        <v>151</v>
      </c>
      <c r="D61" s="47">
        <v>3.4658999877244021</v>
      </c>
      <c r="E61" s="47">
        <v>4.4528999825375299</v>
      </c>
      <c r="F61" s="96">
        <v>9.9999999999999995E-7</v>
      </c>
      <c r="G61" s="168"/>
      <c r="H61" s="168"/>
      <c r="I61" s="54">
        <f t="shared" si="24"/>
        <v>1.4117733403846819</v>
      </c>
      <c r="J61" s="54">
        <f t="shared" si="25"/>
        <v>4.4333527660079728</v>
      </c>
      <c r="K61" s="55">
        <f t="shared" si="26"/>
        <v>2.8339544780651902E-2</v>
      </c>
      <c r="L61" s="55">
        <f t="shared" si="27"/>
        <v>0.26477256823972445</v>
      </c>
      <c r="M61" s="55">
        <f t="shared" si="28"/>
        <v>0.73522743176027561</v>
      </c>
      <c r="N61" s="55">
        <f t="shared" si="29"/>
        <v>0.26394479686528965</v>
      </c>
      <c r="O61" s="56">
        <f t="shared" si="30"/>
        <v>2.849686958243374E-8</v>
      </c>
      <c r="P61" s="56">
        <f t="shared" si="31"/>
        <v>7.7294736470751371E-4</v>
      </c>
      <c r="Q61" s="56">
        <f t="shared" si="32"/>
        <v>8.0853185909644993E-4</v>
      </c>
      <c r="R61" s="9">
        <f t="shared" si="12"/>
        <v>1.4999999999999999E-4</v>
      </c>
      <c r="S61" s="9">
        <f t="shared" si="13"/>
        <v>3.9715885235958662E-5</v>
      </c>
      <c r="T61" s="9">
        <f t="shared" si="10"/>
        <v>4.2509317170977849E-6</v>
      </c>
      <c r="U61" s="9">
        <f t="shared" si="11"/>
        <v>1.1028411476404133E-4</v>
      </c>
      <c r="V61" s="100">
        <f t="shared" si="14"/>
        <v>3.8545276680987804E-2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152</v>
      </c>
      <c r="C62" s="46" t="s">
        <v>153</v>
      </c>
      <c r="D62" s="47">
        <v>4.1687999877244026</v>
      </c>
      <c r="E62" s="47">
        <v>5.4527999825375302</v>
      </c>
      <c r="F62" s="96">
        <v>9.9999999999999995E-7</v>
      </c>
      <c r="G62" s="168"/>
      <c r="H62" s="168"/>
      <c r="I62" s="54">
        <f t="shared" si="24"/>
        <v>2.2542758302531842</v>
      </c>
      <c r="J62" s="54">
        <f t="shared" si="25"/>
        <v>5.4325795788243934</v>
      </c>
      <c r="K62" s="55">
        <f t="shared" si="26"/>
        <v>3.652501493140422E-3</v>
      </c>
      <c r="L62" s="55">
        <f t="shared" si="27"/>
        <v>0.34064132478424908</v>
      </c>
      <c r="M62" s="55">
        <f t="shared" si="28"/>
        <v>0.65935867521575098</v>
      </c>
      <c r="N62" s="55">
        <f t="shared" si="29"/>
        <v>0.34010313677863674</v>
      </c>
      <c r="O62" s="56">
        <f t="shared" si="30"/>
        <v>3.6727780740757837E-9</v>
      </c>
      <c r="P62" s="56">
        <f t="shared" si="31"/>
        <v>9.9443011053951952E-4</v>
      </c>
      <c r="Q62" s="56">
        <f t="shared" si="32"/>
        <v>1.0418247479396607E-3</v>
      </c>
      <c r="R62" s="9">
        <f t="shared" si="12"/>
        <v>1.4999999999999999E-4</v>
      </c>
      <c r="S62" s="9">
        <f t="shared" si="13"/>
        <v>5.1096198717637357E-5</v>
      </c>
      <c r="T62" s="9">
        <f t="shared" si="10"/>
        <v>5.4787522397106323E-7</v>
      </c>
      <c r="U62" s="9">
        <f t="shared" si="11"/>
        <v>9.8903801282362644E-5</v>
      </c>
      <c r="V62" s="100">
        <f t="shared" si="14"/>
        <v>5.5394759035289473E-3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154</v>
      </c>
      <c r="C63" s="46" t="s">
        <v>155</v>
      </c>
      <c r="D63" s="47">
        <v>4.999499987724402</v>
      </c>
      <c r="E63" s="47">
        <v>6.6344999825375304</v>
      </c>
      <c r="F63" s="96">
        <v>9.9999999999999995E-7</v>
      </c>
      <c r="G63" s="168"/>
      <c r="H63" s="168"/>
      <c r="I63" s="54">
        <f t="shared" si="24"/>
        <v>3.3259932392561606</v>
      </c>
      <c r="J63" s="54">
        <f t="shared" si="25"/>
        <v>6.6138990365335042</v>
      </c>
      <c r="K63" s="55">
        <f t="shared" si="26"/>
        <v>2.8206850646772275E-4</v>
      </c>
      <c r="L63" s="55">
        <f t="shared" si="27"/>
        <v>0.39937510313529206</v>
      </c>
      <c r="M63" s="55">
        <f t="shared" si="28"/>
        <v>0.60062489686470788</v>
      </c>
      <c r="N63" s="55">
        <f t="shared" si="29"/>
        <v>0.39909366520035933</v>
      </c>
      <c r="O63" s="56">
        <f t="shared" si="30"/>
        <v>2.8363438807282287E-10</v>
      </c>
      <c r="P63" s="56">
        <f t="shared" si="31"/>
        <v>1.1658909212178014E-3</v>
      </c>
      <c r="Q63" s="56">
        <f t="shared" si="32"/>
        <v>1.2225281456968817E-3</v>
      </c>
      <c r="R63" s="9">
        <f t="shared" si="12"/>
        <v>1.4999999999999999E-4</v>
      </c>
      <c r="S63" s="9">
        <f t="shared" si="13"/>
        <v>5.9906265470293804E-5</v>
      </c>
      <c r="T63" s="9">
        <f t="shared" si="10"/>
        <v>4.2310275970158409E-8</v>
      </c>
      <c r="U63" s="9">
        <f t="shared" si="11"/>
        <v>9.0093734529706176E-5</v>
      </c>
      <c r="V63" s="100">
        <f t="shared" si="14"/>
        <v>4.6962506539461571E-4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156</v>
      </c>
      <c r="C64" s="46" t="s">
        <v>157</v>
      </c>
      <c r="D64" s="47">
        <v>4.4669999877244022</v>
      </c>
      <c r="E64" s="47">
        <v>5.8769999825375301</v>
      </c>
      <c r="F64" s="96">
        <v>9.9999999999999995E-7</v>
      </c>
      <c r="G64" s="168"/>
      <c r="H64" s="168"/>
      <c r="I64" s="54">
        <f t="shared" si="24"/>
        <v>2.6313958666363746</v>
      </c>
      <c r="J64" s="54">
        <f t="shared" si="25"/>
        <v>5.8566067394427304</v>
      </c>
      <c r="K64" s="55">
        <f t="shared" si="26"/>
        <v>1.4754230704906556E-3</v>
      </c>
      <c r="L64" s="55">
        <f t="shared" si="27"/>
        <v>0.36530083221940224</v>
      </c>
      <c r="M64" s="55">
        <f t="shared" si="28"/>
        <v>0.63469916778059776</v>
      </c>
      <c r="N64" s="55">
        <f t="shared" si="29"/>
        <v>0.36486886468757884</v>
      </c>
      <c r="O64" s="56">
        <f t="shared" si="30"/>
        <v>1.4836137681149791E-9</v>
      </c>
      <c r="P64" s="56">
        <f t="shared" si="31"/>
        <v>1.0664183131456509E-3</v>
      </c>
      <c r="Q64" s="56">
        <f t="shared" si="32"/>
        <v>1.117688641700421E-3</v>
      </c>
      <c r="R64" s="9">
        <f t="shared" si="12"/>
        <v>1.4999999999999999E-4</v>
      </c>
      <c r="S64" s="9">
        <f t="shared" si="13"/>
        <v>5.4795124832910332E-5</v>
      </c>
      <c r="T64" s="9">
        <f t="shared" si="10"/>
        <v>2.2131346057359832E-7</v>
      </c>
      <c r="U64" s="9">
        <f t="shared" si="11"/>
        <v>9.5204875167089655E-5</v>
      </c>
      <c r="V64" s="100">
        <f t="shared" si="14"/>
        <v>2.3246021822430976E-3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158</v>
      </c>
      <c r="C65" s="46" t="s">
        <v>159</v>
      </c>
      <c r="D65" s="47">
        <v>4.2539999877244021</v>
      </c>
      <c r="E65" s="47">
        <v>5.5739999825375302</v>
      </c>
      <c r="F65" s="96">
        <v>9.9999999999999995E-7</v>
      </c>
      <c r="G65" s="168"/>
      <c r="H65" s="168"/>
      <c r="I65" s="54">
        <f t="shared" si="24"/>
        <v>2.3610319672695166</v>
      </c>
      <c r="J65" s="54">
        <f t="shared" si="25"/>
        <v>5.5537249868910639</v>
      </c>
      <c r="K65" s="55">
        <f t="shared" si="26"/>
        <v>2.8240927607698606E-3</v>
      </c>
      <c r="L65" s="55">
        <f t="shared" si="27"/>
        <v>0.34812186104277276</v>
      </c>
      <c r="M65" s="55">
        <f t="shared" si="28"/>
        <v>0.65187813895722724</v>
      </c>
      <c r="N65" s="55">
        <f t="shared" si="29"/>
        <v>0.34761554776732562</v>
      </c>
      <c r="O65" s="56">
        <f t="shared" si="30"/>
        <v>2.839770494383457E-9</v>
      </c>
      <c r="P65" s="56">
        <f t="shared" si="31"/>
        <v>1.0162679498068785E-3</v>
      </c>
      <c r="Q65" s="56">
        <f t="shared" si="32"/>
        <v>1.0648372251512545E-3</v>
      </c>
      <c r="R65" s="9">
        <f t="shared" si="12"/>
        <v>1.4999999999999999E-4</v>
      </c>
      <c r="S65" s="9">
        <f t="shared" si="13"/>
        <v>5.2218279156415913E-5</v>
      </c>
      <c r="T65" s="9">
        <f t="shared" si="10"/>
        <v>4.2361391411547905E-7</v>
      </c>
      <c r="U65" s="9">
        <f t="shared" si="11"/>
        <v>9.7781720843584074E-5</v>
      </c>
      <c r="V65" s="100">
        <f t="shared" si="14"/>
        <v>4.3322403252966926E-3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160</v>
      </c>
      <c r="C66" s="46" t="s">
        <v>161</v>
      </c>
      <c r="D66" s="47">
        <v>4.4669999877244022</v>
      </c>
      <c r="E66" s="47">
        <v>5.8769999825375301</v>
      </c>
      <c r="F66" s="96">
        <v>9.9999999999999995E-7</v>
      </c>
      <c r="G66" s="168"/>
      <c r="H66" s="168"/>
      <c r="I66" s="54">
        <f t="shared" si="24"/>
        <v>2.6313958666363746</v>
      </c>
      <c r="J66" s="54">
        <f t="shared" si="25"/>
        <v>5.8566067394427304</v>
      </c>
      <c r="K66" s="55">
        <f t="shared" si="26"/>
        <v>1.4754230704906556E-3</v>
      </c>
      <c r="L66" s="55">
        <f t="shared" si="27"/>
        <v>0.36530083221940224</v>
      </c>
      <c r="M66" s="55">
        <f t="shared" si="28"/>
        <v>0.63469916778059776</v>
      </c>
      <c r="N66" s="55">
        <f t="shared" si="29"/>
        <v>0.36486886468757884</v>
      </c>
      <c r="O66" s="56">
        <f t="shared" si="30"/>
        <v>1.4836137681149791E-9</v>
      </c>
      <c r="P66" s="56">
        <f t="shared" si="31"/>
        <v>1.0664183131456509E-3</v>
      </c>
      <c r="Q66" s="56">
        <f t="shared" si="32"/>
        <v>1.117688641700421E-3</v>
      </c>
      <c r="R66" s="9">
        <f t="shared" si="12"/>
        <v>1.4999999999999999E-4</v>
      </c>
      <c r="S66" s="9">
        <f t="shared" si="13"/>
        <v>5.4795124832910332E-5</v>
      </c>
      <c r="T66" s="9">
        <f t="shared" si="10"/>
        <v>2.2131346057359832E-7</v>
      </c>
      <c r="U66" s="9">
        <f t="shared" si="11"/>
        <v>9.5204875167089655E-5</v>
      </c>
      <c r="V66" s="100">
        <f t="shared" si="14"/>
        <v>2.3246021822430976E-3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114</v>
      </c>
      <c r="C67" s="46" t="s">
        <v>115</v>
      </c>
      <c r="D67" s="47">
        <v>-0.73745450190951667</v>
      </c>
      <c r="E67" s="47">
        <v>-1.5265197844064957</v>
      </c>
      <c r="F67" s="96">
        <v>9.9999999999999995E-7</v>
      </c>
      <c r="G67" s="168"/>
      <c r="H67" s="168"/>
      <c r="I67" s="54">
        <f t="shared" si="24"/>
        <v>-1.8671766444063711E-3</v>
      </c>
      <c r="J67" s="54">
        <f t="shared" si="25"/>
        <v>-1.2868501140216462</v>
      </c>
      <c r="K67" s="55">
        <f t="shared" si="26"/>
        <v>0.99908850796907445</v>
      </c>
      <c r="L67" s="55">
        <f t="shared" si="27"/>
        <v>1.7777930400733873E-5</v>
      </c>
      <c r="M67" s="55">
        <f t="shared" si="28"/>
        <v>0.9999822220695993</v>
      </c>
      <c r="N67" s="55">
        <f t="shared" si="29"/>
        <v>9.7567332587534945E-6</v>
      </c>
      <c r="O67" s="56">
        <f t="shared" si="30"/>
        <v>1.0046348709292184E-6</v>
      </c>
      <c r="P67" s="56">
        <f t="shared" si="31"/>
        <v>5.1898897776900357E-8</v>
      </c>
      <c r="Q67" s="56">
        <f t="shared" si="32"/>
        <v>2.9887422575085923E-8</v>
      </c>
      <c r="R67" s="9">
        <f t="shared" si="12"/>
        <v>1.4999999999999999E-4</v>
      </c>
      <c r="S67" s="9">
        <f t="shared" si="13"/>
        <v>2.6666895601100805E-9</v>
      </c>
      <c r="T67" s="9">
        <f t="shared" si="10"/>
        <v>1.4986327619536115E-4</v>
      </c>
      <c r="U67" s="9">
        <f t="shared" si="11"/>
        <v>1.4999733331043987E-4</v>
      </c>
      <c r="V67" s="100">
        <f t="shared" si="14"/>
        <v>0.99910627001080565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116</v>
      </c>
      <c r="C68" s="46" t="s">
        <v>117</v>
      </c>
      <c r="D68" s="47">
        <v>4.7386560000000006</v>
      </c>
      <c r="E68" s="47">
        <v>5.8355820000000005</v>
      </c>
      <c r="F68" s="96">
        <v>9.9999999999999995E-7</v>
      </c>
      <c r="G68" s="168"/>
      <c r="H68" s="168"/>
      <c r="I68" s="54">
        <f t="shared" si="24"/>
        <v>2.7194923137791687</v>
      </c>
      <c r="J68" s="54">
        <f t="shared" si="25"/>
        <v>5.8157308430918091</v>
      </c>
      <c r="K68" s="55">
        <f t="shared" si="26"/>
        <v>1.3293026798253818E-3</v>
      </c>
      <c r="L68" s="55">
        <f t="shared" si="27"/>
        <v>0.29955879539333619</v>
      </c>
      <c r="M68" s="55">
        <f t="shared" si="28"/>
        <v>0.70044120460666381</v>
      </c>
      <c r="N68" s="55">
        <f t="shared" si="29"/>
        <v>0.29883133366395326</v>
      </c>
      <c r="O68" s="56">
        <f t="shared" si="30"/>
        <v>1.3366822013466443E-9</v>
      </c>
      <c r="P68" s="56">
        <f t="shared" si="31"/>
        <v>8.7449837803664715E-4</v>
      </c>
      <c r="Q68" s="56">
        <f t="shared" si="32"/>
        <v>9.1539843419190909E-4</v>
      </c>
      <c r="R68" s="9">
        <f t="shared" si="12"/>
        <v>1.4999999999999999E-4</v>
      </c>
      <c r="S68" s="9">
        <f t="shared" si="13"/>
        <v>4.4933819309000423E-5</v>
      </c>
      <c r="T68" s="9">
        <f t="shared" si="10"/>
        <v>1.9939540197380725E-7</v>
      </c>
      <c r="U68" s="9">
        <f t="shared" si="11"/>
        <v>1.0506618069099956E-4</v>
      </c>
      <c r="V68" s="100">
        <f t="shared" si="14"/>
        <v>1.8978076547793304E-3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118</v>
      </c>
      <c r="C69" s="46" t="s">
        <v>119</v>
      </c>
      <c r="D69" s="47">
        <v>2.3724999877244022</v>
      </c>
      <c r="E69" s="47">
        <v>2.8974999825375303</v>
      </c>
      <c r="F69" s="96">
        <v>9.9999999999999995E-7</v>
      </c>
      <c r="G69" s="168"/>
      <c r="H69" s="168"/>
      <c r="I69" s="54">
        <f t="shared" si="24"/>
        <v>0.38500856866688477</v>
      </c>
      <c r="J69" s="54">
        <f t="shared" si="25"/>
        <v>2.8805307478536943</v>
      </c>
      <c r="K69" s="55">
        <f t="shared" si="26"/>
        <v>0.37024616270532251</v>
      </c>
      <c r="L69" s="55">
        <f t="shared" si="27"/>
        <v>9.6860937034774025E-2</v>
      </c>
      <c r="M69" s="55">
        <f t="shared" si="28"/>
        <v>0.90313906296522595</v>
      </c>
      <c r="N69" s="55">
        <f t="shared" si="29"/>
        <v>9.5986642632071906E-2</v>
      </c>
      <c r="O69" s="56">
        <f t="shared" si="30"/>
        <v>3.7230155578269719E-7</v>
      </c>
      <c r="P69" s="56">
        <f t="shared" si="31"/>
        <v>2.8276496512411845E-4</v>
      </c>
      <c r="Q69" s="56">
        <f t="shared" si="32"/>
        <v>2.9403215951760107E-4</v>
      </c>
      <c r="R69" s="9">
        <f t="shared" si="12"/>
        <v>1.4999999999999999E-4</v>
      </c>
      <c r="S69" s="9">
        <f t="shared" si="13"/>
        <v>1.4529140555216103E-5</v>
      </c>
      <c r="T69" s="9">
        <f t="shared" si="10"/>
        <v>5.5536924405798373E-5</v>
      </c>
      <c r="U69" s="9">
        <f t="shared" si="11"/>
        <v>1.3547085944478387E-4</v>
      </c>
      <c r="V69" s="100">
        <f t="shared" si="14"/>
        <v>0.40995476542639403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112</v>
      </c>
      <c r="C70" s="46" t="s">
        <v>113</v>
      </c>
      <c r="D70" s="47">
        <v>3.3511520000000004</v>
      </c>
      <c r="E70" s="47">
        <v>4.2962190000000007</v>
      </c>
      <c r="F70" s="96">
        <v>9.9999999999999995E-7</v>
      </c>
      <c r="G70" s="168"/>
      <c r="H70" s="168"/>
      <c r="I70" s="54">
        <f t="shared" si="24"/>
        <v>1.2852308448323728</v>
      </c>
      <c r="J70" s="54">
        <f t="shared" si="25"/>
        <v>4.2768094924983595</v>
      </c>
      <c r="K70" s="55">
        <f t="shared" si="26"/>
        <v>3.8608170997690539E-2</v>
      </c>
      <c r="L70" s="55">
        <f t="shared" si="27"/>
        <v>0.25154522213129277</v>
      </c>
      <c r="M70" s="55">
        <f t="shared" si="28"/>
        <v>0.74845477786870718</v>
      </c>
      <c r="N70" s="55">
        <f t="shared" si="29"/>
        <v>0.25067930436255309</v>
      </c>
      <c r="O70" s="56">
        <f t="shared" si="30"/>
        <v>3.8822501287622292E-8</v>
      </c>
      <c r="P70" s="56">
        <f t="shared" si="31"/>
        <v>7.3433293276481469E-4</v>
      </c>
      <c r="Q70" s="56">
        <f t="shared" si="32"/>
        <v>7.6789619041705681E-4</v>
      </c>
      <c r="R70" s="9">
        <f t="shared" si="12"/>
        <v>1.4999999999999999E-4</v>
      </c>
      <c r="S70" s="9">
        <f t="shared" si="13"/>
        <v>3.7731783319693914E-5</v>
      </c>
      <c r="T70" s="9">
        <f t="shared" si="10"/>
        <v>5.7912256496535807E-6</v>
      </c>
      <c r="U70" s="9">
        <f t="shared" si="11"/>
        <v>1.1226821668030607E-4</v>
      </c>
      <c r="V70" s="100">
        <f t="shared" si="14"/>
        <v>5.1583839317093823E-2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120</v>
      </c>
      <c r="C71" s="46" t="s">
        <v>121</v>
      </c>
      <c r="D71" s="47">
        <v>5.9183200000000005</v>
      </c>
      <c r="E71" s="47">
        <v>7.0401399999999992</v>
      </c>
      <c r="F71" s="96">
        <v>9.9999999999999995E-7</v>
      </c>
      <c r="G71" s="168"/>
      <c r="H71" s="16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7.0202300748795512</v>
      </c>
      <c r="K71" s="55">
        <f t="shared" ref="K71:K122" si="35">IF(D71=0,"",1/(1+10^D71*$J$15/$J$14+10^E71*$J$16/$J$14+10^J71*$J$19/$J$14))</f>
        <v>8.4766032464239909E-5</v>
      </c>
      <c r="L71" s="55">
        <f t="shared" ref="L71:L122" si="36">IF(D71=0,"",1/(1+10^I71/10^J71*$J$13/$J$19))</f>
        <v>0.30589986349217113</v>
      </c>
      <c r="M71" s="55">
        <f t="shared" si="19"/>
        <v>0.69410013650782887</v>
      </c>
      <c r="N71" s="55">
        <f t="shared" ref="N71:N122" si="37">IF(D71=0,"",1/(1/10^E71*$J$20/$J$22+10^D71/10^E71*$J$21/$J$22+10^I71/10^E71*$J$13/$J$22+1))</f>
        <v>0.30519829911099144</v>
      </c>
      <c r="O71" s="56">
        <f t="shared" si="21"/>
        <v>8.5236604569702034E-11</v>
      </c>
      <c r="P71" s="56">
        <f t="shared" ref="P71:P122" si="38">IF(D71=0,"",O71*10^J71)</f>
        <v>8.9300978164998394E-4</v>
      </c>
      <c r="Q71" s="56">
        <f t="shared" ref="Q71:Q122" si="39">IF(D71=0,"",F71*N71*$J$7/$J$22)</f>
        <v>9.349021125020521E-4</v>
      </c>
      <c r="R71" s="9">
        <f t="shared" si="12"/>
        <v>1.4999999999999999E-4</v>
      </c>
      <c r="S71" s="9">
        <f t="shared" si="13"/>
        <v>4.5884979523825667E-5</v>
      </c>
      <c r="T71" s="9">
        <f t="shared" si="10"/>
        <v>1.2714904869635986E-8</v>
      </c>
      <c r="U71" s="9">
        <f t="shared" si="11"/>
        <v>1.0411502047617432E-4</v>
      </c>
      <c r="V71" s="100">
        <f t="shared" si="14"/>
        <v>1.2212363606599552E-4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122</v>
      </c>
      <c r="C72" s="46" t="s">
        <v>123</v>
      </c>
      <c r="D72" s="47">
        <v>5.5295200000000007</v>
      </c>
      <c r="E72" s="47">
        <v>6.5305900000000001</v>
      </c>
      <c r="F72" s="96">
        <v>9.9999999999999995E-7</v>
      </c>
      <c r="G72" s="168"/>
      <c r="H72" s="168"/>
      <c r="I72" s="54">
        <f t="shared" si="33"/>
        <v>3.4646398062685488</v>
      </c>
      <c r="J72" s="54">
        <f t="shared" si="34"/>
        <v>6.5109992218451609</v>
      </c>
      <c r="K72" s="55">
        <f t="shared" si="35"/>
        <v>2.4707368762882145E-4</v>
      </c>
      <c r="L72" s="55">
        <f t="shared" si="36"/>
        <v>0.27602795710495059</v>
      </c>
      <c r="M72" s="55">
        <f t="shared" si="19"/>
        <v>0.72397204289504935</v>
      </c>
      <c r="N72" s="55">
        <f t="shared" si="37"/>
        <v>0.27519259909036897</v>
      </c>
      <c r="O72" s="56">
        <f t="shared" si="21"/>
        <v>2.4844529819040852E-10</v>
      </c>
      <c r="P72" s="56">
        <f t="shared" si="38"/>
        <v>8.0580508565637732E-4</v>
      </c>
      <c r="Q72" s="56">
        <f t="shared" si="39"/>
        <v>8.429868154047344E-4</v>
      </c>
      <c r="R72" s="9">
        <f t="shared" si="12"/>
        <v>1.4999999999999999E-4</v>
      </c>
      <c r="S72" s="9">
        <f t="shared" si="13"/>
        <v>4.1404193565742589E-5</v>
      </c>
      <c r="T72" s="9">
        <f t="shared" si="10"/>
        <v>3.7061053144323215E-8</v>
      </c>
      <c r="U72" s="9">
        <f t="shared" si="11"/>
        <v>1.085958064342574E-4</v>
      </c>
      <c r="V72" s="100">
        <f t="shared" si="14"/>
        <v>3.4127517775522513E-4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124</v>
      </c>
      <c r="C73" s="46" t="s">
        <v>125</v>
      </c>
      <c r="D73" s="47">
        <v>5.4845040000000003</v>
      </c>
      <c r="E73" s="47">
        <v>6.5678879999999999</v>
      </c>
      <c r="F73" s="96">
        <v>9.9999999999999995E-7</v>
      </c>
      <c r="G73" s="168"/>
      <c r="H73" s="168"/>
      <c r="I73" s="54">
        <f t="shared" si="33"/>
        <v>3.4579829545014036</v>
      </c>
      <c r="J73" s="54">
        <f t="shared" si="34"/>
        <v>6.5480702357711023</v>
      </c>
      <c r="K73" s="55">
        <f t="shared" si="35"/>
        <v>2.4376243355398369E-4</v>
      </c>
      <c r="L73" s="55">
        <f t="shared" si="36"/>
        <v>0.2965953683904522</v>
      </c>
      <c r="M73" s="55">
        <f t="shared" si="19"/>
        <v>0.7034046316095478</v>
      </c>
      <c r="N73" s="55">
        <f t="shared" si="37"/>
        <v>0.29585235436740903</v>
      </c>
      <c r="O73" s="56">
        <f t="shared" si="21"/>
        <v>2.4511566194341507E-10</v>
      </c>
      <c r="P73" s="56">
        <f t="shared" si="38"/>
        <v>8.658472813327455E-4</v>
      </c>
      <c r="Q73" s="56">
        <f t="shared" si="39"/>
        <v>9.0627304245299173E-4</v>
      </c>
      <c r="R73" s="9">
        <f t="shared" si="12"/>
        <v>1.4999999999999999E-4</v>
      </c>
      <c r="S73" s="9">
        <f t="shared" si="13"/>
        <v>4.4489305258567827E-5</v>
      </c>
      <c r="T73" s="9">
        <f t="shared" si="10"/>
        <v>3.6564365033097551E-8</v>
      </c>
      <c r="U73" s="9">
        <f t="shared" si="11"/>
        <v>1.0551069474143216E-4</v>
      </c>
      <c r="V73" s="100">
        <f t="shared" si="14"/>
        <v>3.4654652898176186E-4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126</v>
      </c>
      <c r="C74" s="46" t="s">
        <v>127</v>
      </c>
      <c r="D74" s="47">
        <v>2.7195840000000011</v>
      </c>
      <c r="E74" s="47">
        <v>3.2500779999999994</v>
      </c>
      <c r="F74" s="96">
        <v>9.9999999999999995E-7</v>
      </c>
      <c r="G74" s="168"/>
      <c r="H74" s="168"/>
      <c r="I74" s="54">
        <f t="shared" si="33"/>
        <v>0.62193942428688143</v>
      </c>
      <c r="J74" s="54">
        <f t="shared" si="34"/>
        <v>3.2330538908434048</v>
      </c>
      <c r="K74" s="55">
        <f t="shared" si="35"/>
        <v>0.20840955801821531</v>
      </c>
      <c r="L74" s="55">
        <f t="shared" si="36"/>
        <v>0.12277187132889913</v>
      </c>
      <c r="M74" s="55">
        <f t="shared" si="19"/>
        <v>0.87722812867110089</v>
      </c>
      <c r="N74" s="55">
        <f t="shared" si="37"/>
        <v>0.12167907101586922</v>
      </c>
      <c r="O74" s="56">
        <f t="shared" si="21"/>
        <v>2.0956652763993775E-7</v>
      </c>
      <c r="P74" s="56">
        <f t="shared" si="38"/>
        <v>3.5840644306461432E-4</v>
      </c>
      <c r="Q74" s="56">
        <f t="shared" si="39"/>
        <v>3.7273477890075986E-4</v>
      </c>
      <c r="R74" s="9">
        <f t="shared" si="12"/>
        <v>1.4999999999999999E-4</v>
      </c>
      <c r="S74" s="9">
        <f t="shared" si="13"/>
        <v>1.841578069933487E-5</v>
      </c>
      <c r="T74" s="9">
        <f t="shared" si="10"/>
        <v>3.1261433702732295E-5</v>
      </c>
      <c r="U74" s="9">
        <f t="shared" si="11"/>
        <v>1.3158421930066513E-4</v>
      </c>
      <c r="V74" s="100">
        <f t="shared" si="14"/>
        <v>0.23757737720281688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80</v>
      </c>
      <c r="C75" s="46" t="s">
        <v>81</v>
      </c>
      <c r="D75" s="47">
        <v>3.9841999877244016</v>
      </c>
      <c r="E75" s="47">
        <v>5.1901999825375293</v>
      </c>
      <c r="F75" s="96">
        <v>9.9999999999999995E-7</v>
      </c>
      <c r="G75" s="168"/>
      <c r="H75" s="168"/>
      <c r="I75" s="54">
        <f t="shared" si="33"/>
        <v>2.0259693417507676</v>
      </c>
      <c r="J75" s="54">
        <f t="shared" si="34"/>
        <v>5.1701145702581215</v>
      </c>
      <c r="K75" s="55">
        <f t="shared" si="35"/>
        <v>6.3421067672737048E-3</v>
      </c>
      <c r="L75" s="55">
        <f t="shared" si="36"/>
        <v>0.32320306554150235</v>
      </c>
      <c r="M75" s="55">
        <f t="shared" si="19"/>
        <v>0.67679693445849765</v>
      </c>
      <c r="N75" s="55">
        <f t="shared" si="37"/>
        <v>0.32259214202800374</v>
      </c>
      <c r="O75" s="56">
        <f t="shared" si="21"/>
        <v>6.3773144848910249E-9</v>
      </c>
      <c r="P75" s="56">
        <f t="shared" si="38"/>
        <v>9.4352281067693023E-4</v>
      </c>
      <c r="Q75" s="56">
        <f t="shared" si="39"/>
        <v>9.8818399688676748E-4</v>
      </c>
      <c r="R75" s="9">
        <f t="shared" si="12"/>
        <v>1.4999999999999999E-4</v>
      </c>
      <c r="S75" s="9">
        <f t="shared" si="13"/>
        <v>4.8480459831225346E-5</v>
      </c>
      <c r="T75" s="9">
        <f t="shared" si="10"/>
        <v>9.5131601509105559E-7</v>
      </c>
      <c r="U75" s="9">
        <f t="shared" si="11"/>
        <v>1.0151954016877463E-4</v>
      </c>
      <c r="V75" s="100">
        <f t="shared" si="14"/>
        <v>9.3707675735085847E-3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128</v>
      </c>
      <c r="C76" s="46" t="s">
        <v>129</v>
      </c>
      <c r="D76" s="47">
        <v>4.10616</v>
      </c>
      <c r="E76" s="47">
        <v>5.1108449999999994</v>
      </c>
      <c r="F76" s="96">
        <v>9.9999999999999995E-7</v>
      </c>
      <c r="G76" s="168"/>
      <c r="H76" s="168"/>
      <c r="I76" s="54">
        <f t="shared" si="33"/>
        <v>2.0466328175843658</v>
      </c>
      <c r="J76" s="54">
        <f t="shared" si="34"/>
        <v>5.0912433878185999</v>
      </c>
      <c r="K76" s="55">
        <f t="shared" si="35"/>
        <v>6.4761293259754131E-3</v>
      </c>
      <c r="L76" s="55">
        <f t="shared" si="36"/>
        <v>0.27522396856560022</v>
      </c>
      <c r="M76" s="55">
        <f t="shared" si="19"/>
        <v>0.72477603143439984</v>
      </c>
      <c r="N76" s="55">
        <f t="shared" si="37"/>
        <v>0.27439788882199218</v>
      </c>
      <c r="O76" s="56">
        <f t="shared" si="21"/>
        <v>6.5120810595127227E-9</v>
      </c>
      <c r="P76" s="56">
        <f t="shared" si="38"/>
        <v>8.034580116113685E-4</v>
      </c>
      <c r="Q76" s="56">
        <f t="shared" si="39"/>
        <v>8.4055241026258015E-4</v>
      </c>
      <c r="R76" s="9">
        <f t="shared" si="12"/>
        <v>1.4999999999999999E-4</v>
      </c>
      <c r="S76" s="9">
        <f t="shared" si="13"/>
        <v>4.1283595284840028E-5</v>
      </c>
      <c r="T76" s="9">
        <f t="shared" si="10"/>
        <v>9.7141939889631183E-7</v>
      </c>
      <c r="U76" s="9">
        <f t="shared" si="11"/>
        <v>1.0871640471515997E-4</v>
      </c>
      <c r="V76" s="100">
        <f t="shared" si="14"/>
        <v>8.9353525021495881E-3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130</v>
      </c>
      <c r="C77" s="46" t="s">
        <v>131</v>
      </c>
      <c r="D77" s="47">
        <v>2.8295519999999996</v>
      </c>
      <c r="E77" s="47">
        <v>3.5791989999999991</v>
      </c>
      <c r="F77" s="96">
        <v>9.9999999999999995E-7</v>
      </c>
      <c r="G77" s="168"/>
      <c r="H77" s="168"/>
      <c r="I77" s="54">
        <f t="shared" si="33"/>
        <v>0.75425121724867172</v>
      </c>
      <c r="J77" s="54">
        <f t="shared" si="34"/>
        <v>3.5606397320231116</v>
      </c>
      <c r="K77" s="55">
        <f t="shared" si="35"/>
        <v>0.14366230370223473</v>
      </c>
      <c r="L77" s="55">
        <f t="shared" si="36"/>
        <v>0.17993262277252936</v>
      </c>
      <c r="M77" s="55">
        <f t="shared" si="19"/>
        <v>0.8200673772274707</v>
      </c>
      <c r="N77" s="55">
        <f t="shared" si="37"/>
        <v>0.17896251693906201</v>
      </c>
      <c r="O77" s="56">
        <f t="shared" si="21"/>
        <v>1.4445983392469995E-7</v>
      </c>
      <c r="P77" s="56">
        <f t="shared" si="38"/>
        <v>5.2527513526634062E-4</v>
      </c>
      <c r="Q77" s="56">
        <f t="shared" si="39"/>
        <v>5.4820893704970108E-4</v>
      </c>
      <c r="R77" s="9">
        <f t="shared" si="12"/>
        <v>1.4999999999999999E-4</v>
      </c>
      <c r="S77" s="9">
        <f t="shared" si="13"/>
        <v>2.6989893415879402E-5</v>
      </c>
      <c r="T77" s="9">
        <f t="shared" si="10"/>
        <v>2.1549345555335207E-5</v>
      </c>
      <c r="U77" s="9">
        <f t="shared" si="11"/>
        <v>1.230101065841206E-4</v>
      </c>
      <c r="V77" s="100">
        <f t="shared" si="14"/>
        <v>0.1751835369770911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82</v>
      </c>
      <c r="C78" s="46" t="s">
        <v>83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3.9406437344393757</v>
      </c>
      <c r="K78" s="55">
        <f t="shared" si="35"/>
        <v>7.8999845694243828E-2</v>
      </c>
      <c r="L78" s="55">
        <f t="shared" si="36"/>
        <v>0.23735442330648329</v>
      </c>
      <c r="M78" s="55">
        <f t="shared" si="19"/>
        <v>0.76264557669351674</v>
      </c>
      <c r="N78" s="55">
        <f t="shared" si="37"/>
        <v>0.23650835955201069</v>
      </c>
      <c r="O78" s="56">
        <f t="shared" si="21"/>
        <v>7.9438407257629565E-8</v>
      </c>
      <c r="P78" s="56">
        <f t="shared" si="38"/>
        <v>6.9290590492860813E-4</v>
      </c>
      <c r="Q78" s="56">
        <f t="shared" si="39"/>
        <v>7.2448688480127423E-4</v>
      </c>
      <c r="R78" s="9">
        <f t="shared" si="12"/>
        <v>1.4999999999999999E-4</v>
      </c>
      <c r="S78" s="9">
        <f t="shared" si="13"/>
        <v>3.5603163495972489E-5</v>
      </c>
      <c r="T78" s="9">
        <f t="shared" si="10"/>
        <v>1.1849976854136573E-5</v>
      </c>
      <c r="U78" s="9">
        <f t="shared" si="11"/>
        <v>1.143968365040275E-4</v>
      </c>
      <c r="V78" s="100">
        <f t="shared" si="14"/>
        <v>0.10358657823303863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132</v>
      </c>
      <c r="C79" s="46" t="s">
        <v>133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3.737559055838291</v>
      </c>
      <c r="K79" s="55">
        <f t="shared" si="35"/>
        <v>7.4928314285109696E-2</v>
      </c>
      <c r="L79" s="55">
        <f t="shared" si="36"/>
        <v>0.14103677545201357</v>
      </c>
      <c r="M79" s="55">
        <f t="shared" si="19"/>
        <v>0.85896322454798646</v>
      </c>
      <c r="N79" s="55">
        <f t="shared" si="37"/>
        <v>0.13974980638041079</v>
      </c>
      <c r="O79" s="56">
        <f t="shared" si="21"/>
        <v>7.534427305523081E-8</v>
      </c>
      <c r="P79" s="56">
        <f t="shared" si="38"/>
        <v>4.1172695735525823E-4</v>
      </c>
      <c r="Q79" s="56">
        <f t="shared" si="39"/>
        <v>4.2809016166661028E-4</v>
      </c>
      <c r="R79" s="9">
        <f t="shared" si="12"/>
        <v>1.4999999999999999E-4</v>
      </c>
      <c r="S79" s="9">
        <f t="shared" si="13"/>
        <v>2.1155516317802033E-5</v>
      </c>
      <c r="T79" s="9">
        <f t="shared" si="10"/>
        <v>1.1239247142766454E-5</v>
      </c>
      <c r="U79" s="9">
        <f t="shared" si="11"/>
        <v>1.2884448368219795E-4</v>
      </c>
      <c r="V79" s="100">
        <f t="shared" si="14"/>
        <v>8.7231108554780487E-2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134</v>
      </c>
      <c r="C80" s="46" t="s">
        <v>135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3.8048590996090375</v>
      </c>
      <c r="K80" s="55">
        <f t="shared" si="35"/>
        <v>6.2290547040150877E-2</v>
      </c>
      <c r="L80" s="55">
        <f t="shared" si="36"/>
        <v>0.13690162294270908</v>
      </c>
      <c r="M80" s="55">
        <f t="shared" si="19"/>
        <v>0.86309837705729087</v>
      </c>
      <c r="N80" s="55">
        <f t="shared" si="37"/>
        <v>0.13556993807387197</v>
      </c>
      <c r="O80" s="56">
        <f t="shared" si="21"/>
        <v>6.2636348218039407E-8</v>
      </c>
      <c r="P80" s="56">
        <f t="shared" si="38"/>
        <v>3.9965525651411714E-4</v>
      </c>
      <c r="Q80" s="56">
        <f t="shared" si="39"/>
        <v>4.1528613320004806E-4</v>
      </c>
      <c r="R80" s="9">
        <f t="shared" si="12"/>
        <v>1.4999999999999999E-4</v>
      </c>
      <c r="S80" s="9">
        <f t="shared" si="13"/>
        <v>2.0535243441406359E-5</v>
      </c>
      <c r="T80" s="9">
        <f t="shared" si="10"/>
        <v>9.3435820560226309E-6</v>
      </c>
      <c r="U80" s="9">
        <f t="shared" si="11"/>
        <v>1.2946475655859361E-4</v>
      </c>
      <c r="V80" s="100">
        <f t="shared" si="14"/>
        <v>7.2170854094904813E-2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136</v>
      </c>
      <c r="C81" s="46" t="s">
        <v>137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5.6187291277528306</v>
      </c>
      <c r="K81" s="55">
        <f t="shared" si="35"/>
        <v>2.28595938115693E-3</v>
      </c>
      <c r="L81" s="55">
        <f t="shared" si="36"/>
        <v>0.32728416181713271</v>
      </c>
      <c r="M81" s="55">
        <f t="shared" si="19"/>
        <v>0.67271583818286729</v>
      </c>
      <c r="N81" s="55">
        <f t="shared" si="37"/>
        <v>0.32668317063308872</v>
      </c>
      <c r="O81" s="56">
        <f t="shared" si="21"/>
        <v>2.2986497087294244E-9</v>
      </c>
      <c r="P81" s="56">
        <f t="shared" si="38"/>
        <v>9.5543670580714617E-4</v>
      </c>
      <c r="Q81" s="56">
        <f t="shared" si="39"/>
        <v>1.0007158861415283E-3</v>
      </c>
      <c r="R81" s="9">
        <f t="shared" si="12"/>
        <v>1.4999999999999999E-4</v>
      </c>
      <c r="S81" s="9">
        <f t="shared" si="13"/>
        <v>4.9092624272569901E-5</v>
      </c>
      <c r="T81" s="9">
        <f t="shared" si="10"/>
        <v>3.4289390717353948E-7</v>
      </c>
      <c r="U81" s="9">
        <f t="shared" si="11"/>
        <v>1.0090737572743009E-4</v>
      </c>
      <c r="V81" s="100">
        <f t="shared" si="14"/>
        <v>3.3981054873507047E-3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138</v>
      </c>
      <c r="C82" s="46" t="s">
        <v>139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5.2887765986811166</v>
      </c>
      <c r="K82" s="55">
        <f t="shared" si="35"/>
        <v>4.2259348556480227E-3</v>
      </c>
      <c r="L82" s="55">
        <f t="shared" si="36"/>
        <v>0.28302627060704222</v>
      </c>
      <c r="M82" s="55">
        <f t="shared" si="19"/>
        <v>0.71697372939295778</v>
      </c>
      <c r="N82" s="55">
        <f t="shared" si="37"/>
        <v>0.28223056860843437</v>
      </c>
      <c r="O82" s="56">
        <f t="shared" si="21"/>
        <v>4.2493948077627681E-9</v>
      </c>
      <c r="P82" s="56">
        <f t="shared" si="38"/>
        <v>8.2623517784757925E-4</v>
      </c>
      <c r="Q82" s="56">
        <f t="shared" si="39"/>
        <v>8.6454595446065524E-4</v>
      </c>
      <c r="R82" s="9">
        <f t="shared" si="12"/>
        <v>1.4999999999999999E-4</v>
      </c>
      <c r="S82" s="9">
        <f t="shared" si="13"/>
        <v>4.2453940591056331E-5</v>
      </c>
      <c r="T82" s="9">
        <f t="shared" si="10"/>
        <v>6.3389022834720336E-7</v>
      </c>
      <c r="U82" s="9">
        <f t="shared" si="11"/>
        <v>1.0754605940894366E-4</v>
      </c>
      <c r="V82" s="100">
        <f t="shared" si="14"/>
        <v>5.8941278911655622E-3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84</v>
      </c>
      <c r="C83" s="46" t="s">
        <v>85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0.70532975413914467</v>
      </c>
      <c r="J83" s="54">
        <f t="shared" si="34"/>
        <v>3.5069752121358908</v>
      </c>
      <c r="K83" s="55">
        <f t="shared" si="35"/>
        <v>0.16110681324004753</v>
      </c>
      <c r="L83" s="55">
        <f t="shared" si="36"/>
        <v>0.17832674049173763</v>
      </c>
      <c r="M83" s="55">
        <f t="shared" si="19"/>
        <v>0.82167325950826231</v>
      </c>
      <c r="N83" s="55">
        <f t="shared" si="37"/>
        <v>0.17738551777411052</v>
      </c>
      <c r="O83" s="56">
        <f t="shared" si="21"/>
        <v>1.6200118531464765E-7</v>
      </c>
      <c r="P83" s="56">
        <f t="shared" si="38"/>
        <v>5.2058710249458984E-4</v>
      </c>
      <c r="Q83" s="56">
        <f t="shared" si="39"/>
        <v>5.4337817667186893E-4</v>
      </c>
      <c r="R83" s="9">
        <f t="shared" si="12"/>
        <v>1.4999999999999999E-4</v>
      </c>
      <c r="S83" s="9">
        <f t="shared" si="13"/>
        <v>2.6749011073760643E-5</v>
      </c>
      <c r="T83" s="9">
        <f t="shared" si="10"/>
        <v>2.4166021986007126E-5</v>
      </c>
      <c r="U83" s="9">
        <f t="shared" si="11"/>
        <v>1.2325098892623933E-4</v>
      </c>
      <c r="V83" s="100">
        <f t="shared" si="14"/>
        <v>0.19607162746961407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140</v>
      </c>
      <c r="C84" s="46" t="s">
        <v>141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5.2478046732163026</v>
      </c>
      <c r="K84" s="55">
        <f t="shared" si="35"/>
        <v>3.6429739791075458E-3</v>
      </c>
      <c r="L84" s="55">
        <f t="shared" si="36"/>
        <v>0.22201795320103057</v>
      </c>
      <c r="M84" s="55">
        <f t="shared" si="19"/>
        <v>0.77798204679896943</v>
      </c>
      <c r="N84" s="55">
        <f t="shared" si="37"/>
        <v>0.22094710828363048</v>
      </c>
      <c r="O84" s="56">
        <f t="shared" si="21"/>
        <v>3.6631976687820106E-9</v>
      </c>
      <c r="P84" s="56">
        <f t="shared" si="38"/>
        <v>6.4813433274220073E-4</v>
      </c>
      <c r="Q84" s="56">
        <f t="shared" si="39"/>
        <v>6.7681870733645442E-4</v>
      </c>
      <c r="R84" s="9">
        <f t="shared" si="12"/>
        <v>1.4999999999999999E-4</v>
      </c>
      <c r="S84" s="9">
        <f t="shared" si="13"/>
        <v>3.3302692980154584E-5</v>
      </c>
      <c r="T84" s="9">
        <f t="shared" si="10"/>
        <v>5.4644609686613185E-7</v>
      </c>
      <c r="U84" s="9">
        <f t="shared" si="11"/>
        <v>1.166973070198454E-4</v>
      </c>
      <c r="V84" s="100">
        <f t="shared" si="14"/>
        <v>4.6825938903046309E-3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86</v>
      </c>
      <c r="C85" s="46" t="s">
        <v>87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3.4129584322588506</v>
      </c>
      <c r="K85" s="55">
        <f t="shared" si="35"/>
        <v>0.18776078862845527</v>
      </c>
      <c r="L85" s="55">
        <f t="shared" si="36"/>
        <v>0.16737503664482029</v>
      </c>
      <c r="M85" s="55">
        <f t="shared" si="19"/>
        <v>0.83262496335517966</v>
      </c>
      <c r="N85" s="55">
        <f t="shared" si="37"/>
        <v>0.16643978782279881</v>
      </c>
      <c r="O85" s="56">
        <f t="shared" si="21"/>
        <v>1.8880312819608097E-7</v>
      </c>
      <c r="P85" s="56">
        <f t="shared" si="38"/>
        <v>4.8861592555654837E-4</v>
      </c>
      <c r="Q85" s="56">
        <f t="shared" si="39"/>
        <v>5.0984854664389565E-4</v>
      </c>
      <c r="R85" s="9">
        <f t="shared" si="12"/>
        <v>1.4999999999999999E-4</v>
      </c>
      <c r="S85" s="9">
        <f t="shared" si="13"/>
        <v>2.5106255496723042E-5</v>
      </c>
      <c r="T85" s="9">
        <f t="shared" si="10"/>
        <v>2.8164118294268288E-5</v>
      </c>
      <c r="U85" s="9">
        <f t="shared" si="11"/>
        <v>1.2489374450327692E-4</v>
      </c>
      <c r="V85" s="100">
        <f t="shared" si="14"/>
        <v>0.22550463521036734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142</v>
      </c>
      <c r="C86" s="46" t="s">
        <v>143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4.2457183871894006</v>
      </c>
      <c r="K86" s="55">
        <f t="shared" si="35"/>
        <v>2.0432616876001959E-2</v>
      </c>
      <c r="L86" s="55">
        <f t="shared" si="36"/>
        <v>0.12392808280595566</v>
      </c>
      <c r="M86" s="55">
        <f t="shared" si="19"/>
        <v>0.87607191719404431</v>
      </c>
      <c r="N86" s="55">
        <f t="shared" si="37"/>
        <v>0.12245153808565851</v>
      </c>
      <c r="O86" s="56">
        <f t="shared" si="21"/>
        <v>2.0546046976054093E-8</v>
      </c>
      <c r="P86" s="56">
        <f t="shared" si="38"/>
        <v>3.6178175728306583E-4</v>
      </c>
      <c r="Q86" s="56">
        <f t="shared" si="39"/>
        <v>3.7510104731538693E-4</v>
      </c>
      <c r="R86" s="9">
        <f t="shared" si="12"/>
        <v>1.4999999999999999E-4</v>
      </c>
      <c r="S86" s="9">
        <f t="shared" si="13"/>
        <v>1.8589212420893346E-5</v>
      </c>
      <c r="T86" s="9">
        <f t="shared" si="10"/>
        <v>3.0648925314002936E-6</v>
      </c>
      <c r="U86" s="9">
        <f t="shared" si="11"/>
        <v>1.3141078757910663E-4</v>
      </c>
      <c r="V86" s="100">
        <f t="shared" si="14"/>
        <v>2.3322990356140209E-2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280</v>
      </c>
      <c r="C87" s="46" t="s">
        <v>281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3.0764394251822496</v>
      </c>
      <c r="K87" s="55">
        <f t="shared" si="35"/>
        <v>0.28999845822635517</v>
      </c>
      <c r="L87" s="55">
        <f t="shared" si="36"/>
        <v>0.11911390599427837</v>
      </c>
      <c r="M87" s="55">
        <f t="shared" si="19"/>
        <v>0.8808860940057216</v>
      </c>
      <c r="N87" s="55">
        <f t="shared" si="37"/>
        <v>0.1181734933594291</v>
      </c>
      <c r="O87" s="56">
        <f t="shared" si="21"/>
        <v>2.9160836234833842E-7</v>
      </c>
      <c r="P87" s="56">
        <f t="shared" si="38"/>
        <v>3.4772778898657316E-4</v>
      </c>
      <c r="Q87" s="56">
        <f t="shared" si="39"/>
        <v>3.6199627883017462E-4</v>
      </c>
      <c r="R87" s="9">
        <f t="shared" si="12"/>
        <v>1.4999999999999999E-4</v>
      </c>
      <c r="S87" s="9">
        <f t="shared" si="13"/>
        <v>1.7867085899141753E-5</v>
      </c>
      <c r="T87" s="9">
        <f t="shared" si="10"/>
        <v>4.3499768733953275E-5</v>
      </c>
      <c r="U87" s="9">
        <f t="shared" si="11"/>
        <v>1.3213291410085824E-4</v>
      </c>
      <c r="V87" s="100">
        <f t="shared" si="14"/>
        <v>0.32921221052272798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282</v>
      </c>
      <c r="C88" s="46" t="s">
        <v>283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1.2885466241289183</v>
      </c>
      <c r="K88" s="55">
        <f t="shared" si="35"/>
        <v>0.70216828871552195</v>
      </c>
      <c r="L88" s="55">
        <f t="shared" si="36"/>
        <v>4.700187555060702E-3</v>
      </c>
      <c r="M88" s="55">
        <f t="shared" si="19"/>
        <v>0.99529981244493926</v>
      </c>
      <c r="N88" s="55">
        <f t="shared" si="37"/>
        <v>4.0988447094461051E-3</v>
      </c>
      <c r="O88" s="56">
        <f t="shared" si="21"/>
        <v>7.0606632193005268E-7</v>
      </c>
      <c r="P88" s="56">
        <f t="shared" si="38"/>
        <v>1.3721200834619363E-5</v>
      </c>
      <c r="Q88" s="56">
        <f t="shared" si="39"/>
        <v>1.2555832024101269E-5</v>
      </c>
      <c r="R88" s="9">
        <f t="shared" si="12"/>
        <v>1.4999999999999999E-4</v>
      </c>
      <c r="S88" s="9">
        <f t="shared" si="13"/>
        <v>7.0502813325910527E-7</v>
      </c>
      <c r="T88" s="9">
        <f t="shared" si="10"/>
        <v>1.0532524330732828E-4</v>
      </c>
      <c r="U88" s="9">
        <f t="shared" si="11"/>
        <v>1.4929497186674088E-4</v>
      </c>
      <c r="V88" s="100">
        <f t="shared" si="14"/>
        <v>0.70548419675741314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284</v>
      </c>
      <c r="C89" s="46" t="s">
        <v>285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1.3044081322612702</v>
      </c>
      <c r="K89" s="55">
        <f t="shared" si="35"/>
        <v>0.90711983052009337</v>
      </c>
      <c r="L89" s="55">
        <f t="shared" si="36"/>
        <v>6.2979635899241904E-3</v>
      </c>
      <c r="M89" s="55">
        <f t="shared" si="19"/>
        <v>0.99370203641007582</v>
      </c>
      <c r="N89" s="55">
        <f t="shared" si="37"/>
        <v>6.1278524832553329E-3</v>
      </c>
      <c r="O89" s="56">
        <f t="shared" si="21"/>
        <v>9.1215563644547245E-7</v>
      </c>
      <c r="P89" s="56">
        <f t="shared" si="38"/>
        <v>1.838556914041149E-5</v>
      </c>
      <c r="Q89" s="56">
        <f t="shared" si="39"/>
        <v>1.8771212842221357E-5</v>
      </c>
      <c r="R89" s="9">
        <f t="shared" si="12"/>
        <v>1.4999999999999999E-4</v>
      </c>
      <c r="S89" s="9">
        <f t="shared" si="13"/>
        <v>9.4469453848862845E-7</v>
      </c>
      <c r="T89" s="9">
        <f t="shared" si="10"/>
        <v>1.3606797457801399E-4</v>
      </c>
      <c r="U89" s="9">
        <f t="shared" si="11"/>
        <v>1.4905530546151135E-4</v>
      </c>
      <c r="V89" s="100">
        <f t="shared" si="14"/>
        <v>0.91286904653755574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286</v>
      </c>
      <c r="C90" s="46" t="s">
        <v>287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-0.14856791126729224</v>
      </c>
      <c r="K90" s="55">
        <f t="shared" si="35"/>
        <v>0.9916287778678744</v>
      </c>
      <c r="L90" s="55">
        <f t="shared" si="36"/>
        <v>2.4260992452615037E-4</v>
      </c>
      <c r="M90" s="55">
        <f t="shared" si="19"/>
        <v>0.99975739007547382</v>
      </c>
      <c r="N90" s="55">
        <f t="shared" si="37"/>
        <v>2.2016361241443709E-4</v>
      </c>
      <c r="O90" s="56">
        <f t="shared" si="21"/>
        <v>9.9713372871047737E-7</v>
      </c>
      <c r="P90" s="56">
        <f t="shared" si="38"/>
        <v>7.0824822624597676E-7</v>
      </c>
      <c r="Q90" s="56">
        <f t="shared" si="39"/>
        <v>6.7441865482836642E-7</v>
      </c>
      <c r="R90" s="9">
        <f t="shared" si="12"/>
        <v>1.4999999999999999E-4</v>
      </c>
      <c r="S90" s="9">
        <f t="shared" si="13"/>
        <v>3.6391488678922551E-8</v>
      </c>
      <c r="T90" s="9">
        <f t="shared" si="10"/>
        <v>1.4874431668018115E-4</v>
      </c>
      <c r="U90" s="9">
        <f t="shared" si="11"/>
        <v>1.4996360851132106E-4</v>
      </c>
      <c r="V90" s="100">
        <f t="shared" si="14"/>
        <v>0.99186941523184358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288</v>
      </c>
      <c r="C91" s="46" t="s">
        <v>289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-0.4708912582913774</v>
      </c>
      <c r="K91" s="55">
        <f t="shared" si="35"/>
        <v>0.99523073729273615</v>
      </c>
      <c r="L91" s="55">
        <f t="shared" si="36"/>
        <v>1.1592040089287643E-4</v>
      </c>
      <c r="M91" s="55">
        <f t="shared" si="19"/>
        <v>0.99988407959910708</v>
      </c>
      <c r="N91" s="55">
        <f t="shared" si="37"/>
        <v>1.0035791124499861E-4</v>
      </c>
      <c r="O91" s="56">
        <f t="shared" si="21"/>
        <v>1.0007556841358721E-6</v>
      </c>
      <c r="P91" s="56">
        <f t="shared" si="38"/>
        <v>3.3840502806492909E-7</v>
      </c>
      <c r="Q91" s="56">
        <f t="shared" si="39"/>
        <v>3.0742249711922993E-7</v>
      </c>
      <c r="R91" s="9">
        <f t="shared" si="12"/>
        <v>1.4999999999999999E-4</v>
      </c>
      <c r="S91" s="9">
        <f t="shared" si="13"/>
        <v>1.7388060133931462E-8</v>
      </c>
      <c r="T91" s="9">
        <f t="shared" si="10"/>
        <v>1.4928461059391041E-4</v>
      </c>
      <c r="U91" s="9">
        <f t="shared" si="11"/>
        <v>1.4998261193986605E-4</v>
      </c>
      <c r="V91" s="100">
        <f t="shared" si="14"/>
        <v>0.99534611821378671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290</v>
      </c>
      <c r="C92" s="46" t="s">
        <v>291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1.4446125395169127</v>
      </c>
      <c r="K92" s="55">
        <f t="shared" si="35"/>
        <v>0.88450285331256318</v>
      </c>
      <c r="L92" s="55">
        <f t="shared" si="36"/>
        <v>8.480845077780361E-3</v>
      </c>
      <c r="M92" s="55">
        <f t="shared" si="19"/>
        <v>0.99151915492221965</v>
      </c>
      <c r="N92" s="55">
        <f t="shared" si="37"/>
        <v>8.2737395134324567E-3</v>
      </c>
      <c r="O92" s="56">
        <f t="shared" si="21"/>
        <v>8.8941310282962229E-7</v>
      </c>
      <c r="P92" s="56">
        <f t="shared" si="38"/>
        <v>2.4758028737432927E-5</v>
      </c>
      <c r="Q92" s="56">
        <f t="shared" si="39"/>
        <v>2.534462535319264E-5</v>
      </c>
      <c r="R92" s="9">
        <f t="shared" si="12"/>
        <v>1.4999999999999999E-4</v>
      </c>
      <c r="S92" s="9">
        <f t="shared" si="13"/>
        <v>1.272126761667054E-6</v>
      </c>
      <c r="T92" s="9">
        <f t="shared" ref="T92:T143" si="40">R92*K92</f>
        <v>1.3267542799688447E-4</v>
      </c>
      <c r="U92" s="9">
        <f t="shared" ref="U92:U143" si="41">$R92*M92</f>
        <v>1.4872787323833294E-4</v>
      </c>
      <c r="V92" s="100">
        <f t="shared" si="14"/>
        <v>0.89206834676022828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292</v>
      </c>
      <c r="C93" s="46" t="s">
        <v>293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-0.45433038653479663</v>
      </c>
      <c r="K93" s="55">
        <f t="shared" si="35"/>
        <v>0.99508844714955447</v>
      </c>
      <c r="L93" s="55">
        <f t="shared" si="36"/>
        <v>1.204089168757901E-4</v>
      </c>
      <c r="M93" s="55">
        <f t="shared" ref="M93:M127" si="42">IF(D93=0,"",1-L93)</f>
        <v>0.99987959108312419</v>
      </c>
      <c r="N93" s="55">
        <f t="shared" si="37"/>
        <v>1.0457217420544412E-4</v>
      </c>
      <c r="O93" s="56">
        <f t="shared" ref="O93:O127" si="43">IF(D93=0,"",F93*K93*$J$7/$J$14)</f>
        <v>1.0006126040799116E-6</v>
      </c>
      <c r="P93" s="56">
        <f t="shared" si="38"/>
        <v>3.5150829863221657E-7</v>
      </c>
      <c r="Q93" s="56">
        <f t="shared" si="39"/>
        <v>3.2033188539510245E-7</v>
      </c>
      <c r="R93" s="9">
        <f t="shared" ref="R93:R143" si="44">F93*$C$14</f>
        <v>1.4999999999999999E-4</v>
      </c>
      <c r="S93" s="9">
        <f t="shared" ref="S93:S143" si="45">$R93*L93</f>
        <v>1.8061337531368514E-8</v>
      </c>
      <c r="T93" s="9">
        <f t="shared" si="40"/>
        <v>1.4926326707243316E-4</v>
      </c>
      <c r="U93" s="9">
        <f t="shared" si="41"/>
        <v>1.4998193866246862E-4</v>
      </c>
      <c r="V93" s="100">
        <f t="shared" ref="V93:V143" si="46">K93/M93</f>
        <v>0.9952082791005068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294</v>
      </c>
      <c r="C94" s="46" t="s">
        <v>295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-1.1134154401597203</v>
      </c>
      <c r="K94" s="55">
        <f t="shared" si="35"/>
        <v>0.99862056439029145</v>
      </c>
      <c r="L94" s="55">
        <f t="shared" si="36"/>
        <v>2.6491857916038247E-5</v>
      </c>
      <c r="M94" s="55">
        <f t="shared" si="42"/>
        <v>0.99997350814208397</v>
      </c>
      <c r="N94" s="55">
        <f t="shared" si="37"/>
        <v>1.7541583300820223E-5</v>
      </c>
      <c r="O94" s="56">
        <f t="shared" si="43"/>
        <v>1.0041643295976717E-6</v>
      </c>
      <c r="P94" s="56">
        <f t="shared" si="38"/>
        <v>7.7337361262696918E-8</v>
      </c>
      <c r="Q94" s="56">
        <f t="shared" si="39"/>
        <v>5.3734451772299956E-8</v>
      </c>
      <c r="R94" s="9">
        <f t="shared" si="44"/>
        <v>1.4999999999999999E-4</v>
      </c>
      <c r="S94" s="9">
        <f t="shared" si="45"/>
        <v>3.9737786874057363E-9</v>
      </c>
      <c r="T94" s="9">
        <f t="shared" si="40"/>
        <v>1.4979308465854369E-4</v>
      </c>
      <c r="U94" s="9">
        <f t="shared" si="41"/>
        <v>1.4999602622131259E-4</v>
      </c>
      <c r="V94" s="100">
        <f t="shared" si="46"/>
        <v>0.99864702040526432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296</v>
      </c>
      <c r="C95" s="46" t="s">
        <v>297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5.0257698077891471</v>
      </c>
      <c r="K95" s="55">
        <f t="shared" si="35"/>
        <v>8.5600939467170775E-3</v>
      </c>
      <c r="L95" s="55">
        <f t="shared" si="36"/>
        <v>0.31287847848667527</v>
      </c>
      <c r="M95" s="55">
        <f t="shared" si="42"/>
        <v>0.68712152151332473</v>
      </c>
      <c r="N95" s="55">
        <f t="shared" si="37"/>
        <v>0.31222578514131039</v>
      </c>
      <c r="O95" s="56">
        <f t="shared" si="43"/>
        <v>8.6076146494603561E-9</v>
      </c>
      <c r="P95" s="56">
        <f t="shared" si="38"/>
        <v>9.133823682255937E-4</v>
      </c>
      <c r="Q95" s="56">
        <f t="shared" si="39"/>
        <v>9.5642913789656305E-4</v>
      </c>
      <c r="R95" s="9">
        <f t="shared" si="44"/>
        <v>1.4999999999999999E-4</v>
      </c>
      <c r="S95" s="9">
        <f t="shared" si="45"/>
        <v>4.6931771773001289E-5</v>
      </c>
      <c r="T95" s="9">
        <f t="shared" si="40"/>
        <v>1.2840140920075615E-6</v>
      </c>
      <c r="U95" s="9">
        <f t="shared" si="41"/>
        <v>1.030682282269987E-4</v>
      </c>
      <c r="V95" s="100">
        <f t="shared" si="46"/>
        <v>1.2457903993261953E-2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298</v>
      </c>
      <c r="C96" s="46" t="s">
        <v>211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-1.7447264159650488</v>
      </c>
      <c r="K96" s="55">
        <f t="shared" si="35"/>
        <v>0.99999379273624178</v>
      </c>
      <c r="L96" s="55">
        <f t="shared" si="36"/>
        <v>6.2000935213207898E-6</v>
      </c>
      <c r="M96" s="55">
        <f t="shared" si="42"/>
        <v>0.99999379990647863</v>
      </c>
      <c r="N96" s="55">
        <f t="shared" si="37"/>
        <v>5.6003807863019481E-13</v>
      </c>
      <c r="O96" s="56">
        <f t="shared" si="43"/>
        <v>1.0055451813150982E-6</v>
      </c>
      <c r="P96" s="56">
        <f t="shared" si="38"/>
        <v>1.8099858229671489E-8</v>
      </c>
      <c r="Q96" s="56">
        <f t="shared" si="39"/>
        <v>1.7155429251017841E-15</v>
      </c>
      <c r="R96" s="9">
        <f t="shared" si="44"/>
        <v>1.4999999999999999E-4</v>
      </c>
      <c r="S96" s="9">
        <f t="shared" si="45"/>
        <v>9.3001402819811839E-10</v>
      </c>
      <c r="T96" s="9">
        <f t="shared" si="40"/>
        <v>1.4999906891043625E-4</v>
      </c>
      <c r="U96" s="9">
        <f t="shared" si="41"/>
        <v>1.4999906998597177E-4</v>
      </c>
      <c r="V96" s="100">
        <f t="shared" si="46"/>
        <v>0.99999999282971874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299</v>
      </c>
      <c r="C97" s="46" t="s">
        <v>212</v>
      </c>
      <c r="D97" s="47" t="s">
        <v>300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1.4999999999999999E-4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301</v>
      </c>
      <c r="C98" s="46" t="s">
        <v>213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4.2541263298804033</v>
      </c>
      <c r="K98" s="55">
        <f t="shared" si="35"/>
        <v>5.5164279457257321E-3</v>
      </c>
      <c r="L98" s="55">
        <f t="shared" si="36"/>
        <v>3.4112349444686184E-2</v>
      </c>
      <c r="M98" s="55">
        <f t="shared" si="42"/>
        <v>0.96588765055531378</v>
      </c>
      <c r="N98" s="55">
        <f t="shared" si="37"/>
        <v>3.2201655733757016E-2</v>
      </c>
      <c r="O98" s="56">
        <f t="shared" si="43"/>
        <v>5.5470519709111193E-9</v>
      </c>
      <c r="P98" s="56">
        <f t="shared" si="38"/>
        <v>9.9583770261953096E-5</v>
      </c>
      <c r="Q98" s="56">
        <f t="shared" si="39"/>
        <v>9.8642083062870623E-5</v>
      </c>
      <c r="R98" s="9">
        <f t="shared" si="44"/>
        <v>1.4999999999999999E-4</v>
      </c>
      <c r="S98" s="9">
        <f t="shared" si="45"/>
        <v>5.1168524167029275E-6</v>
      </c>
      <c r="T98" s="9">
        <f t="shared" si="40"/>
        <v>8.2746419185885979E-7</v>
      </c>
      <c r="U98" s="9">
        <f t="shared" si="41"/>
        <v>1.4488314758329707E-4</v>
      </c>
      <c r="V98" s="100">
        <f t="shared" si="46"/>
        <v>5.7112521757102857E-3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302</v>
      </c>
      <c r="C99" s="46" t="s">
        <v>214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2.3399169453539823</v>
      </c>
      <c r="K99" s="55">
        <f t="shared" si="35"/>
        <v>0.22638540806215091</v>
      </c>
      <c r="L99" s="55">
        <f t="shared" si="36"/>
        <v>1.7056610335259501E-2</v>
      </c>
      <c r="M99" s="55">
        <f t="shared" si="42"/>
        <v>0.98294338966474049</v>
      </c>
      <c r="N99" s="55">
        <f t="shared" si="37"/>
        <v>1.5526325378041092E-2</v>
      </c>
      <c r="O99" s="56">
        <f t="shared" si="43"/>
        <v>2.2764216923193496E-7</v>
      </c>
      <c r="P99" s="56">
        <f t="shared" si="38"/>
        <v>4.9793156810508896E-5</v>
      </c>
      <c r="Q99" s="56">
        <f t="shared" si="39"/>
        <v>4.7561190339550207E-5</v>
      </c>
      <c r="R99" s="9">
        <f t="shared" si="44"/>
        <v>1.4999999999999999E-4</v>
      </c>
      <c r="S99" s="9">
        <f t="shared" si="45"/>
        <v>2.5584915502889248E-6</v>
      </c>
      <c r="T99" s="9">
        <f t="shared" si="40"/>
        <v>3.395781120932263E-5</v>
      </c>
      <c r="U99" s="9">
        <f t="shared" si="41"/>
        <v>1.4744150844971107E-4</v>
      </c>
      <c r="V99" s="100">
        <f t="shared" si="46"/>
        <v>0.23031378047047632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303</v>
      </c>
      <c r="C100" s="46" t="s">
        <v>215</v>
      </c>
      <c r="D100" s="47" t="s">
        <v>300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1.4999999999999999E-4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304</v>
      </c>
      <c r="C101" s="46" t="s">
        <v>216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3.5581463368984303</v>
      </c>
      <c r="K101" s="55">
        <f t="shared" si="35"/>
        <v>1.2502947208806934E-2</v>
      </c>
      <c r="L101" s="55">
        <f t="shared" si="36"/>
        <v>1.5569909437416299E-2</v>
      </c>
      <c r="M101" s="55">
        <f t="shared" si="42"/>
        <v>0.98443009056258368</v>
      </c>
      <c r="N101" s="55">
        <f t="shared" si="37"/>
        <v>1.3590412859109686E-2</v>
      </c>
      <c r="O101" s="56">
        <f t="shared" si="43"/>
        <v>1.2572356357984844E-8</v>
      </c>
      <c r="P101" s="56">
        <f t="shared" si="38"/>
        <v>4.5453048812403284E-5</v>
      </c>
      <c r="Q101" s="56">
        <f t="shared" si="39"/>
        <v>4.1630984604983062E-5</v>
      </c>
      <c r="R101" s="9">
        <f t="shared" si="44"/>
        <v>1.4999999999999999E-4</v>
      </c>
      <c r="S101" s="9">
        <f t="shared" si="45"/>
        <v>2.3354864156124445E-6</v>
      </c>
      <c r="T101" s="9">
        <f t="shared" si="40"/>
        <v>1.8754420813210398E-6</v>
      </c>
      <c r="U101" s="9">
        <f t="shared" si="41"/>
        <v>1.4766451358438754E-4</v>
      </c>
      <c r="V101" s="100">
        <f t="shared" si="46"/>
        <v>1.270069589366344E-2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305</v>
      </c>
      <c r="C102" s="46" t="s">
        <v>217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1.902501802940779</v>
      </c>
      <c r="K102" s="55">
        <f t="shared" si="35"/>
        <v>6.9848719545099774E-2</v>
      </c>
      <c r="L102" s="55">
        <f t="shared" si="36"/>
        <v>1.9221514527092425E-3</v>
      </c>
      <c r="M102" s="55">
        <f t="shared" si="42"/>
        <v>0.99807784854729076</v>
      </c>
      <c r="N102" s="55">
        <f t="shared" si="37"/>
        <v>2.6307420293868076E-8</v>
      </c>
      <c r="O102" s="56">
        <f t="shared" si="43"/>
        <v>7.0236479335957485E-8</v>
      </c>
      <c r="P102" s="56">
        <f t="shared" si="38"/>
        <v>5.6113135504096431E-6</v>
      </c>
      <c r="Q102" s="56">
        <f t="shared" si="39"/>
        <v>8.0586500248719315E-11</v>
      </c>
      <c r="R102" s="9">
        <f t="shared" si="44"/>
        <v>1.4999999999999999E-4</v>
      </c>
      <c r="S102" s="9">
        <f t="shared" si="45"/>
        <v>2.8832271790638633E-7</v>
      </c>
      <c r="T102" s="9">
        <f t="shared" si="40"/>
        <v>1.0477307931764964E-5</v>
      </c>
      <c r="U102" s="9">
        <f t="shared" si="41"/>
        <v>1.497116772820936E-4</v>
      </c>
      <c r="V102" s="100">
        <f t="shared" si="46"/>
        <v>6.9983237927547501E-2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306</v>
      </c>
      <c r="C103" s="46" t="s">
        <v>218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2.952415556871657</v>
      </c>
      <c r="K103" s="55">
        <f t="shared" si="35"/>
        <v>6.6482614213679422E-3</v>
      </c>
      <c r="L103" s="55">
        <f t="shared" si="36"/>
        <v>2.0523479757576847E-3</v>
      </c>
      <c r="M103" s="55">
        <f t="shared" si="42"/>
        <v>0.99794765202424229</v>
      </c>
      <c r="N103" s="55">
        <f t="shared" si="37"/>
        <v>4.1756866633601693E-8</v>
      </c>
      <c r="O103" s="56">
        <f t="shared" si="43"/>
        <v>6.6851687329851942E-9</v>
      </c>
      <c r="P103" s="56">
        <f t="shared" si="38"/>
        <v>5.9913946896810641E-6</v>
      </c>
      <c r="Q103" s="56">
        <f t="shared" si="39"/>
        <v>1.2791219001198798E-10</v>
      </c>
      <c r="R103" s="9">
        <f t="shared" si="44"/>
        <v>1.4999999999999999E-4</v>
      </c>
      <c r="S103" s="9">
        <f t="shared" si="45"/>
        <v>3.0785219636365265E-7</v>
      </c>
      <c r="T103" s="9">
        <f t="shared" si="40"/>
        <v>9.972392132051912E-7</v>
      </c>
      <c r="U103" s="9">
        <f t="shared" si="41"/>
        <v>1.4969214780363634E-4</v>
      </c>
      <c r="V103" s="100">
        <f t="shared" si="46"/>
        <v>6.66193402818532E-3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307</v>
      </c>
      <c r="C104" s="46" t="s">
        <v>219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4.5720981736720114</v>
      </c>
      <c r="K104" s="55">
        <f t="shared" si="35"/>
        <v>1.3499412447280004E-3</v>
      </c>
      <c r="L104" s="55">
        <f t="shared" si="36"/>
        <v>1.7359627117174075E-2</v>
      </c>
      <c r="M104" s="55">
        <f t="shared" si="42"/>
        <v>0.98264037288282591</v>
      </c>
      <c r="N104" s="55">
        <f t="shared" si="37"/>
        <v>1.5365090384204919E-2</v>
      </c>
      <c r="O104" s="56">
        <f t="shared" si="43"/>
        <v>1.3574353396539342E-9</v>
      </c>
      <c r="P104" s="56">
        <f t="shared" si="38"/>
        <v>5.0677750046885917E-5</v>
      </c>
      <c r="Q104" s="56">
        <f t="shared" si="39"/>
        <v>4.7067285436456774E-5</v>
      </c>
      <c r="R104" s="9">
        <f t="shared" si="44"/>
        <v>1.4999999999999999E-4</v>
      </c>
      <c r="S104" s="9">
        <f t="shared" si="45"/>
        <v>2.6039440675761112E-6</v>
      </c>
      <c r="T104" s="9">
        <f t="shared" si="40"/>
        <v>2.0249118670920004E-7</v>
      </c>
      <c r="U104" s="9">
        <f t="shared" si="41"/>
        <v>1.4739605593242386E-4</v>
      </c>
      <c r="V104" s="100">
        <f t="shared" si="46"/>
        <v>1.3737897220400213E-3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308</v>
      </c>
      <c r="C105" s="46" t="s">
        <v>220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4.8787810541389218</v>
      </c>
      <c r="K105" s="55">
        <f t="shared" si="35"/>
        <v>2.9908204308800391E-3</v>
      </c>
      <c r="L105" s="55">
        <f t="shared" si="36"/>
        <v>7.79289357050576E-2</v>
      </c>
      <c r="M105" s="55">
        <f t="shared" si="42"/>
        <v>0.92207106429494234</v>
      </c>
      <c r="N105" s="55">
        <f t="shared" si="37"/>
        <v>7.6209759572444982E-2</v>
      </c>
      <c r="O105" s="56">
        <f t="shared" si="43"/>
        <v>3.0074237403225579E-9</v>
      </c>
      <c r="P105" s="56">
        <f t="shared" si="38"/>
        <v>2.2749700200493946E-4</v>
      </c>
      <c r="Q105" s="56">
        <f t="shared" si="39"/>
        <v>2.3345040069060573E-4</v>
      </c>
      <c r="R105" s="9">
        <f t="shared" si="44"/>
        <v>1.4999999999999999E-4</v>
      </c>
      <c r="S105" s="9">
        <f t="shared" si="45"/>
        <v>1.1689340355758638E-5</v>
      </c>
      <c r="T105" s="9">
        <f t="shared" si="40"/>
        <v>4.486230646320058E-7</v>
      </c>
      <c r="U105" s="9">
        <f t="shared" si="41"/>
        <v>1.3831065964424135E-4</v>
      </c>
      <c r="V105" s="100">
        <f t="shared" si="46"/>
        <v>3.2435899430017976E-3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309</v>
      </c>
      <c r="C106" s="46" t="s">
        <v>221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3.0092279600983791</v>
      </c>
      <c r="K106" s="55">
        <f t="shared" si="35"/>
        <v>2.3402933054252624E-2</v>
      </c>
      <c r="L106" s="55">
        <f t="shared" si="36"/>
        <v>8.2342794650337274E-3</v>
      </c>
      <c r="M106" s="55">
        <f t="shared" si="42"/>
        <v>0.99176572053496626</v>
      </c>
      <c r="N106" s="55">
        <f t="shared" si="37"/>
        <v>6.2443975271306868E-3</v>
      </c>
      <c r="O106" s="56">
        <f t="shared" si="43"/>
        <v>2.3532852635966851E-8</v>
      </c>
      <c r="P106" s="56">
        <f t="shared" si="38"/>
        <v>2.403823271827941E-5</v>
      </c>
      <c r="Q106" s="56">
        <f t="shared" si="39"/>
        <v>1.9128220754906634E-5</v>
      </c>
      <c r="R106" s="9">
        <f t="shared" si="44"/>
        <v>1.4999999999999999E-4</v>
      </c>
      <c r="S106" s="9">
        <f t="shared" si="45"/>
        <v>1.2351419197550591E-6</v>
      </c>
      <c r="T106" s="9">
        <f t="shared" si="40"/>
        <v>3.5104399581378934E-6</v>
      </c>
      <c r="U106" s="9">
        <f t="shared" si="41"/>
        <v>1.4876485808024492E-4</v>
      </c>
      <c r="V106" s="100">
        <f t="shared" si="46"/>
        <v>2.3597239317395338E-2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310</v>
      </c>
      <c r="C107" s="46" t="s">
        <v>222</v>
      </c>
      <c r="D107" s="47" t="s">
        <v>300</v>
      </c>
      <c r="E107" s="47" t="s">
        <v>311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1.4999999999999999E-4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312</v>
      </c>
      <c r="C108" s="46" t="s">
        <v>223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4.1472754470371651</v>
      </c>
      <c r="K108" s="55">
        <f t="shared" si="35"/>
        <v>4.8181500459885188E-3</v>
      </c>
      <c r="L108" s="55">
        <f t="shared" si="36"/>
        <v>2.3296094523036433E-2</v>
      </c>
      <c r="M108" s="55">
        <f t="shared" si="42"/>
        <v>0.97670390547696362</v>
      </c>
      <c r="N108" s="55">
        <f t="shared" si="37"/>
        <v>2.1335389382126878E-2</v>
      </c>
      <c r="O108" s="56">
        <f t="shared" si="43"/>
        <v>4.8448976351543771E-9</v>
      </c>
      <c r="P108" s="56">
        <f t="shared" si="38"/>
        <v>6.8008007737625472E-5</v>
      </c>
      <c r="Q108" s="56">
        <f t="shared" si="39"/>
        <v>6.5355870797793438E-5</v>
      </c>
      <c r="R108" s="9">
        <f t="shared" si="44"/>
        <v>1.4999999999999999E-4</v>
      </c>
      <c r="S108" s="9">
        <f t="shared" si="45"/>
        <v>3.4944141784554648E-6</v>
      </c>
      <c r="T108" s="9">
        <f t="shared" si="40"/>
        <v>7.2272250689827779E-7</v>
      </c>
      <c r="U108" s="9">
        <f t="shared" si="41"/>
        <v>1.4650558582154452E-4</v>
      </c>
      <c r="V108" s="100">
        <f t="shared" si="46"/>
        <v>4.9330713422668492E-3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313</v>
      </c>
      <c r="C109" s="46" t="s">
        <v>224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4.8118195685069374</v>
      </c>
      <c r="K109" s="55">
        <f t="shared" si="35"/>
        <v>2.7770232353260208E-3</v>
      </c>
      <c r="L109" s="55">
        <f t="shared" si="36"/>
        <v>6.2019239167661951E-2</v>
      </c>
      <c r="M109" s="55">
        <f t="shared" si="42"/>
        <v>0.93798076083233806</v>
      </c>
      <c r="N109" s="55">
        <f t="shared" si="37"/>
        <v>6.0228183688841481E-2</v>
      </c>
      <c r="O109" s="56">
        <f t="shared" si="43"/>
        <v>2.7924396660916807E-9</v>
      </c>
      <c r="P109" s="56">
        <f t="shared" si="38"/>
        <v>1.8105201681016555E-4</v>
      </c>
      <c r="Q109" s="56">
        <f t="shared" si="39"/>
        <v>1.8449465913432958E-4</v>
      </c>
      <c r="R109" s="9">
        <f t="shared" si="44"/>
        <v>1.4999999999999999E-4</v>
      </c>
      <c r="S109" s="9">
        <f t="shared" si="45"/>
        <v>9.3028858751492921E-6</v>
      </c>
      <c r="T109" s="9">
        <f t="shared" si="40"/>
        <v>4.165534852989031E-7</v>
      </c>
      <c r="U109" s="9">
        <f t="shared" si="41"/>
        <v>1.4069711412485069E-4</v>
      </c>
      <c r="V109" s="100">
        <f t="shared" si="46"/>
        <v>2.9606398673484172E-3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203</v>
      </c>
      <c r="C110" s="46" t="s">
        <v>204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1.838042440311523</v>
      </c>
      <c r="K110" s="55">
        <f t="shared" si="35"/>
        <v>0.11755926354046921</v>
      </c>
      <c r="L110" s="55">
        <f t="shared" si="36"/>
        <v>2.7888595879542832E-3</v>
      </c>
      <c r="M110" s="55">
        <f t="shared" si="42"/>
        <v>0.99721114041204573</v>
      </c>
      <c r="N110" s="55">
        <f t="shared" si="37"/>
        <v>9.6934217654735767E-4</v>
      </c>
      <c r="O110" s="56">
        <f t="shared" si="43"/>
        <v>1.1821188474441848E-7</v>
      </c>
      <c r="P110" s="56">
        <f t="shared" si="38"/>
        <v>8.1414841551743822E-6</v>
      </c>
      <c r="Q110" s="56">
        <f t="shared" si="39"/>
        <v>2.9693482933267911E-6</v>
      </c>
      <c r="R110" s="9">
        <f t="shared" si="44"/>
        <v>1.4999999999999999E-4</v>
      </c>
      <c r="S110" s="9">
        <f t="shared" si="45"/>
        <v>4.1832893819314244E-7</v>
      </c>
      <c r="T110" s="9">
        <f t="shared" si="40"/>
        <v>1.763388953107038E-5</v>
      </c>
      <c r="U110" s="9">
        <f t="shared" si="41"/>
        <v>1.4958167106180685E-4</v>
      </c>
      <c r="V110" s="100">
        <f t="shared" si="46"/>
        <v>0.11788803672198643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205</v>
      </c>
      <c r="C111" s="46" t="s">
        <v>206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3.5413316815104214</v>
      </c>
      <c r="K111" s="55">
        <f t="shared" si="35"/>
        <v>0.14478006182478412</v>
      </c>
      <c r="L111" s="55">
        <f t="shared" si="36"/>
        <v>0.17344739892208855</v>
      </c>
      <c r="M111" s="55">
        <f t="shared" si="42"/>
        <v>0.8265526010779114</v>
      </c>
      <c r="N111" s="55">
        <f t="shared" si="37"/>
        <v>0.17245048614625497</v>
      </c>
      <c r="O111" s="56">
        <f t="shared" si="43"/>
        <v>1.4558379719544178E-7</v>
      </c>
      <c r="P111" s="56">
        <f t="shared" si="38"/>
        <v>5.0634289950618428E-4</v>
      </c>
      <c r="Q111" s="56">
        <f t="shared" si="39"/>
        <v>5.2826088569224688E-4</v>
      </c>
      <c r="R111" s="9">
        <f t="shared" si="44"/>
        <v>1.4999999999999999E-4</v>
      </c>
      <c r="S111" s="9">
        <f t="shared" si="45"/>
        <v>2.6017109838313278E-5</v>
      </c>
      <c r="T111" s="9">
        <f t="shared" si="40"/>
        <v>2.1717009273717616E-5</v>
      </c>
      <c r="U111" s="9">
        <f t="shared" si="41"/>
        <v>1.2398289016168671E-4</v>
      </c>
      <c r="V111" s="100">
        <f t="shared" si="46"/>
        <v>0.17516134077368545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207</v>
      </c>
      <c r="C112" s="46" t="s">
        <v>208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6.7130505038246406</v>
      </c>
      <c r="K112" s="55">
        <f t="shared" si="35"/>
        <v>1.9555455896134386E-4</v>
      </c>
      <c r="L112" s="55">
        <f t="shared" si="36"/>
        <v>0.34789308870096586</v>
      </c>
      <c r="M112" s="55">
        <f t="shared" si="42"/>
        <v>0.65210691129903409</v>
      </c>
      <c r="N112" s="55">
        <f t="shared" si="37"/>
        <v>0.3473803095935738</v>
      </c>
      <c r="O112" s="56">
        <f t="shared" si="43"/>
        <v>1.9664016504514844E-10</v>
      </c>
      <c r="P112" s="56">
        <f t="shared" si="38"/>
        <v>1.0156000974689517E-3</v>
      </c>
      <c r="Q112" s="56">
        <f t="shared" si="39"/>
        <v>1.0641166291773506E-3</v>
      </c>
      <c r="R112" s="9">
        <f t="shared" si="44"/>
        <v>1.4999999999999999E-4</v>
      </c>
      <c r="S112" s="9">
        <f t="shared" si="45"/>
        <v>5.2183963305144872E-5</v>
      </c>
      <c r="T112" s="9">
        <f t="shared" si="40"/>
        <v>2.9333183844201578E-8</v>
      </c>
      <c r="U112" s="9">
        <f t="shared" si="41"/>
        <v>9.7816036694855108E-5</v>
      </c>
      <c r="V112" s="100">
        <f t="shared" si="46"/>
        <v>2.9988113233118176E-4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209</v>
      </c>
      <c r="C113" s="46" t="s">
        <v>210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7.099350372052486</v>
      </c>
      <c r="K113" s="55">
        <f t="shared" si="35"/>
        <v>8.5292842649085988E-5</v>
      </c>
      <c r="L113" s="55">
        <f t="shared" si="36"/>
        <v>0.36930935850474533</v>
      </c>
      <c r="M113" s="55">
        <f t="shared" si="42"/>
        <v>0.63069064149525467</v>
      </c>
      <c r="N113" s="55">
        <f t="shared" si="37"/>
        <v>0.36889251360715464</v>
      </c>
      <c r="O113" s="56">
        <f t="shared" si="43"/>
        <v>8.5766339300744923E-11</v>
      </c>
      <c r="P113" s="56">
        <f t="shared" si="38"/>
        <v>1.0781203555785793E-3</v>
      </c>
      <c r="Q113" s="56">
        <f t="shared" si="39"/>
        <v>1.1300141293778933E-3</v>
      </c>
      <c r="R113" s="9">
        <f t="shared" si="44"/>
        <v>1.4999999999999999E-4</v>
      </c>
      <c r="S113" s="9">
        <f t="shared" si="45"/>
        <v>5.5396403775711796E-5</v>
      </c>
      <c r="T113" s="9">
        <f t="shared" si="40"/>
        <v>1.2793926397362897E-8</v>
      </c>
      <c r="U113" s="9">
        <f t="shared" si="41"/>
        <v>9.4603596224288191E-5</v>
      </c>
      <c r="V113" s="100">
        <f t="shared" si="46"/>
        <v>1.3523720987340467E-4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106</v>
      </c>
      <c r="C114" s="46" t="s">
        <v>107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7.534683341589246</v>
      </c>
      <c r="K114" s="55">
        <f t="shared" si="35"/>
        <v>3.2879461386137915E-5</v>
      </c>
      <c r="L114" s="55">
        <f t="shared" si="36"/>
        <v>0.38791394149041819</v>
      </c>
      <c r="M114" s="55">
        <f t="shared" si="42"/>
        <v>0.61208605850958175</v>
      </c>
      <c r="N114" s="55">
        <f t="shared" si="37"/>
        <v>0.38758052558779726</v>
      </c>
      <c r="O114" s="56">
        <f t="shared" si="43"/>
        <v>3.3061989185554064E-11</v>
      </c>
      <c r="P114" s="56">
        <f t="shared" si="38"/>
        <v>1.1324324902753959E-3</v>
      </c>
      <c r="Q114" s="56">
        <f t="shared" si="39"/>
        <v>1.1872603916606743E-3</v>
      </c>
      <c r="R114" s="9">
        <f t="shared" si="44"/>
        <v>1.4999999999999999E-4</v>
      </c>
      <c r="S114" s="9">
        <f t="shared" si="45"/>
        <v>5.8187091223562724E-5</v>
      </c>
      <c r="T114" s="9">
        <f t="shared" si="40"/>
        <v>4.9319192079206868E-9</v>
      </c>
      <c r="U114" s="9">
        <f t="shared" si="41"/>
        <v>9.1812908776437249E-5</v>
      </c>
      <c r="V114" s="100">
        <f t="shared" si="46"/>
        <v>5.3717056497249418E-5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108</v>
      </c>
      <c r="C115" s="46" t="s">
        <v>109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6.1183405809307043</v>
      </c>
      <c r="K115" s="55">
        <f t="shared" si="35"/>
        <v>8.3665646365451124E-4</v>
      </c>
      <c r="L115" s="55">
        <f t="shared" si="36"/>
        <v>0.37845574620758077</v>
      </c>
      <c r="M115" s="55">
        <f t="shared" si="42"/>
        <v>0.62154425379241918</v>
      </c>
      <c r="N115" s="55">
        <f t="shared" si="37"/>
        <v>0.37808152461676209</v>
      </c>
      <c r="O115" s="56">
        <f t="shared" si="43"/>
        <v>8.4130109762173737E-10</v>
      </c>
      <c r="P115" s="56">
        <f t="shared" si="38"/>
        <v>1.1048212948733891E-3</v>
      </c>
      <c r="Q115" s="56">
        <f t="shared" si="39"/>
        <v>1.1581624704063681E-3</v>
      </c>
      <c r="R115" s="9">
        <f t="shared" si="44"/>
        <v>1.4999999999999999E-4</v>
      </c>
      <c r="S115" s="9">
        <f t="shared" si="45"/>
        <v>5.6768361931137109E-5</v>
      </c>
      <c r="T115" s="9">
        <f t="shared" si="40"/>
        <v>1.2549846954817668E-7</v>
      </c>
      <c r="U115" s="9">
        <f t="shared" si="41"/>
        <v>9.3231638068862871E-5</v>
      </c>
      <c r="V115" s="100">
        <f t="shared" si="46"/>
        <v>1.3460931519349776E-3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225</v>
      </c>
      <c r="C116" s="46" t="s">
        <v>226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-0.59777522240342218</v>
      </c>
      <c r="K116" s="55">
        <f t="shared" si="35"/>
        <v>0.99620203135491092</v>
      </c>
      <c r="L116" s="55">
        <f t="shared" si="36"/>
        <v>8.6636231420161939E-5</v>
      </c>
      <c r="M116" s="55">
        <f t="shared" si="42"/>
        <v>0.99991336376857987</v>
      </c>
      <c r="N116" s="55">
        <f t="shared" si="37"/>
        <v>7.2951919128128777E-5</v>
      </c>
      <c r="O116" s="56">
        <f t="shared" si="43"/>
        <v>1.0017323702622801E-6</v>
      </c>
      <c r="P116" s="56">
        <f t="shared" si="38"/>
        <v>2.5291610535640629E-7</v>
      </c>
      <c r="Q116" s="56">
        <f t="shared" si="39"/>
        <v>2.2347078441339251E-7</v>
      </c>
      <c r="R116" s="9">
        <f t="shared" si="44"/>
        <v>1.4999999999999999E-4</v>
      </c>
      <c r="S116" s="9">
        <f t="shared" si="45"/>
        <v>1.2995434713024289E-8</v>
      </c>
      <c r="T116" s="9">
        <f t="shared" si="40"/>
        <v>1.4943030470323664E-4</v>
      </c>
      <c r="U116" s="9">
        <f t="shared" si="41"/>
        <v>1.4998700456528698E-4</v>
      </c>
      <c r="V116" s="100">
        <f t="shared" si="46"/>
        <v>0.99628834602261807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227</v>
      </c>
      <c r="C117" s="46" t="s">
        <v>228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2.0658109944425873</v>
      </c>
      <c r="K117" s="55">
        <f t="shared" si="35"/>
        <v>0.70988790428975868</v>
      </c>
      <c r="L117" s="55">
        <f t="shared" si="36"/>
        <v>2.8453003868522109E-2</v>
      </c>
      <c r="M117" s="55">
        <f t="shared" si="42"/>
        <v>0.97154699613147788</v>
      </c>
      <c r="N117" s="55">
        <f t="shared" si="37"/>
        <v>2.7974287188988801E-2</v>
      </c>
      <c r="O117" s="56">
        <f t="shared" si="43"/>
        <v>7.1382879235603282E-7</v>
      </c>
      <c r="P117" s="56">
        <f t="shared" si="38"/>
        <v>8.3062510985936939E-5</v>
      </c>
      <c r="Q117" s="56">
        <f t="shared" si="39"/>
        <v>8.5692548958844574E-5</v>
      </c>
      <c r="R117" s="9">
        <f t="shared" si="44"/>
        <v>1.4999999999999999E-4</v>
      </c>
      <c r="S117" s="9">
        <f t="shared" si="45"/>
        <v>4.2679505802783159E-6</v>
      </c>
      <c r="T117" s="9">
        <f t="shared" si="40"/>
        <v>1.0648318564346379E-4</v>
      </c>
      <c r="U117" s="9">
        <f t="shared" si="41"/>
        <v>1.4573204941972166E-4</v>
      </c>
      <c r="V117" s="100">
        <f t="shared" si="46"/>
        <v>0.73067788497767194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229</v>
      </c>
      <c r="C118" s="46" t="s">
        <v>230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3.5557716269260013</v>
      </c>
      <c r="K118" s="55">
        <f t="shared" si="35"/>
        <v>0.14137891492467297</v>
      </c>
      <c r="L118" s="55">
        <f t="shared" si="36"/>
        <v>0.1750989828262213</v>
      </c>
      <c r="M118" s="55">
        <f t="shared" si="42"/>
        <v>0.82490101717377873</v>
      </c>
      <c r="N118" s="55">
        <f t="shared" si="37"/>
        <v>0.17410244873202285</v>
      </c>
      <c r="O118" s="56">
        <f t="shared" si="43"/>
        <v>1.4216376909007371E-7</v>
      </c>
      <c r="P118" s="56">
        <f t="shared" si="38"/>
        <v>5.1116434847568986E-4</v>
      </c>
      <c r="Q118" s="56">
        <f t="shared" si="39"/>
        <v>5.3332127860959764E-4</v>
      </c>
      <c r="R118" s="9">
        <f t="shared" si="44"/>
        <v>1.4999999999999999E-4</v>
      </c>
      <c r="S118" s="9">
        <f t="shared" si="45"/>
        <v>2.6264847423933192E-5</v>
      </c>
      <c r="T118" s="9">
        <f t="shared" si="40"/>
        <v>2.1206837238700945E-5</v>
      </c>
      <c r="U118" s="9">
        <f t="shared" si="41"/>
        <v>1.2373515257606681E-4</v>
      </c>
      <c r="V118" s="100">
        <f t="shared" si="46"/>
        <v>0.17138894483250372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231</v>
      </c>
      <c r="C119" s="46" t="s">
        <v>232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-1.4766922735183099</v>
      </c>
      <c r="K119" s="55">
        <f t="shared" si="35"/>
        <v>0.99949001922568559</v>
      </c>
      <c r="L119" s="55">
        <f t="shared" si="36"/>
        <v>1.1487183013417104E-5</v>
      </c>
      <c r="M119" s="55">
        <f t="shared" si="42"/>
        <v>0.99998851281698653</v>
      </c>
      <c r="N119" s="55">
        <f t="shared" si="37"/>
        <v>4.2684911928406896E-6</v>
      </c>
      <c r="O119" s="56">
        <f t="shared" si="43"/>
        <v>1.0050386111446697E-6</v>
      </c>
      <c r="P119" s="56">
        <f t="shared" si="38"/>
        <v>3.3534394809717024E-8</v>
      </c>
      <c r="Q119" s="56">
        <f t="shared" si="39"/>
        <v>1.3075503516918015E-8</v>
      </c>
      <c r="R119" s="9">
        <f t="shared" si="44"/>
        <v>1.4999999999999999E-4</v>
      </c>
      <c r="S119" s="9">
        <f t="shared" si="45"/>
        <v>1.7230774520125656E-9</v>
      </c>
      <c r="T119" s="9">
        <f t="shared" si="40"/>
        <v>1.4992350288385283E-4</v>
      </c>
      <c r="U119" s="9">
        <f t="shared" si="41"/>
        <v>1.4999827692254797E-4</v>
      </c>
      <c r="V119" s="100">
        <f t="shared" si="46"/>
        <v>0.99950150068234611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233</v>
      </c>
      <c r="C120" s="46" t="s">
        <v>234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-1.7447274539989919</v>
      </c>
      <c r="K120" s="55">
        <f t="shared" si="35"/>
        <v>0.9999937996419016</v>
      </c>
      <c r="L120" s="55">
        <f t="shared" si="36"/>
        <v>6.2000787449296755E-6</v>
      </c>
      <c r="M120" s="55">
        <f t="shared" si="42"/>
        <v>0.99999379992125503</v>
      </c>
      <c r="N120" s="55">
        <f t="shared" si="37"/>
        <v>5.5381862871988055E-15</v>
      </c>
      <c r="O120" s="56">
        <f t="shared" si="43"/>
        <v>1.005545188259094E-6</v>
      </c>
      <c r="P120" s="56">
        <f t="shared" si="38"/>
        <v>1.8099815093131141E-8</v>
      </c>
      <c r="Q120" s="56">
        <f t="shared" si="39"/>
        <v>1.696491125413874E-17</v>
      </c>
      <c r="R120" s="9">
        <f t="shared" si="44"/>
        <v>1.4999999999999999E-4</v>
      </c>
      <c r="S120" s="9">
        <f t="shared" si="45"/>
        <v>9.300118117394512E-10</v>
      </c>
      <c r="T120" s="9">
        <f t="shared" si="40"/>
        <v>1.4999906994628523E-4</v>
      </c>
      <c r="U120" s="9">
        <f t="shared" si="41"/>
        <v>1.4999906998818823E-4</v>
      </c>
      <c r="V120" s="100">
        <f t="shared" si="46"/>
        <v>0.99999999972064479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235</v>
      </c>
      <c r="C121" s="46" t="s">
        <v>236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0.79708962782648318</v>
      </c>
      <c r="K121" s="55">
        <f t="shared" si="35"/>
        <v>0.95899850794851993</v>
      </c>
      <c r="L121" s="55">
        <f t="shared" si="36"/>
        <v>2.0703077670271037E-3</v>
      </c>
      <c r="M121" s="55">
        <f t="shared" si="42"/>
        <v>0.9979296922329729</v>
      </c>
      <c r="N121" s="55">
        <f t="shared" si="37"/>
        <v>1.9885540430042412E-3</v>
      </c>
      <c r="O121" s="56">
        <f t="shared" si="43"/>
        <v>9.6432231435895612E-7</v>
      </c>
      <c r="P121" s="56">
        <f t="shared" si="38"/>
        <v>6.0438244916982623E-6</v>
      </c>
      <c r="Q121" s="56">
        <f t="shared" si="39"/>
        <v>6.0914604735495661E-6</v>
      </c>
      <c r="R121" s="9">
        <f t="shared" si="44"/>
        <v>1.4999999999999999E-4</v>
      </c>
      <c r="S121" s="9">
        <f t="shared" si="45"/>
        <v>3.1054616505406553E-7</v>
      </c>
      <c r="T121" s="9">
        <f t="shared" si="40"/>
        <v>1.4384977619227797E-4</v>
      </c>
      <c r="U121" s="9">
        <f t="shared" si="41"/>
        <v>1.4968945383494591E-4</v>
      </c>
      <c r="V121" s="100">
        <f t="shared" si="46"/>
        <v>0.96098804897032342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237</v>
      </c>
      <c r="C122" s="46" t="s">
        <v>238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6.785565125303024</v>
      </c>
      <c r="K122" s="55">
        <f t="shared" si="35"/>
        <v>1.928857465560782E-4</v>
      </c>
      <c r="L122" s="55">
        <f t="shared" si="36"/>
        <v>0.40550163882140966</v>
      </c>
      <c r="M122" s="55">
        <f t="shared" si="42"/>
        <v>0.59449836117859034</v>
      </c>
      <c r="N122" s="55">
        <f t="shared" si="37"/>
        <v>0.40524752545012593</v>
      </c>
      <c r="O122" s="56">
        <f t="shared" si="43"/>
        <v>1.939565369332121E-10</v>
      </c>
      <c r="P122" s="56">
        <f t="shared" si="38"/>
        <v>1.183776042946438E-3</v>
      </c>
      <c r="Q122" s="56">
        <f t="shared" si="39"/>
        <v>1.2413790271215419E-3</v>
      </c>
      <c r="R122" s="9">
        <f t="shared" si="44"/>
        <v>1.4999999999999999E-4</v>
      </c>
      <c r="S122" s="9">
        <f t="shared" si="45"/>
        <v>6.0825245823211445E-5</v>
      </c>
      <c r="T122" s="9">
        <f t="shared" si="40"/>
        <v>2.8932861983411727E-8</v>
      </c>
      <c r="U122" s="9">
        <f t="shared" si="41"/>
        <v>8.9174754176788549E-5</v>
      </c>
      <c r="V122" s="100">
        <f t="shared" si="46"/>
        <v>3.2445126707108672E-4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239</v>
      </c>
      <c r="C123" s="46" t="s">
        <v>240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1.9552901171232637</v>
      </c>
      <c r="K123" s="55">
        <f t="shared" ref="K123:K127" si="49">IF(D123=0,"",1/(1+10^D123*$J$15/$J$14+10^E123*$J$16/$J$14+10^J123*$J$19/$J$14))</f>
        <v>0.78197569988355564</v>
      </c>
      <c r="L123" s="55">
        <f t="shared" ref="L123:L127" si="50">IF(D123=0,"",1/(1+10^I123/10^J123*$J$13/$J$19))</f>
        <v>2.4300249165190586E-2</v>
      </c>
      <c r="M123" s="55">
        <f t="shared" si="42"/>
        <v>0.97569975083480942</v>
      </c>
      <c r="N123" s="55">
        <f t="shared" ref="N123:N127" si="51">IF(D123=0,"",1/(1/10^E123*$J$20/$J$22+10^D123/10^E123*$J$21/$J$22+10^I123/10^E123*$J$13/$J$22+1))</f>
        <v>2.3952040107425982E-2</v>
      </c>
      <c r="O123" s="56">
        <f t="shared" si="43"/>
        <v>7.8631677779904808E-7</v>
      </c>
      <c r="P123" s="56">
        <f t="shared" ref="P123:P127" si="52">IF(D123=0,"",O123*10^J123)</f>
        <v>7.0939424272094907E-5</v>
      </c>
      <c r="Q123" s="56">
        <f t="shared" ref="Q123:Q127" si="53">IF(D123=0,"",F123*N123*$J$7/$J$22)</f>
        <v>7.3371355477386973E-5</v>
      </c>
      <c r="R123" s="9">
        <f t="shared" si="44"/>
        <v>1.4999999999999999E-4</v>
      </c>
      <c r="S123" s="9">
        <f t="shared" si="45"/>
        <v>3.6450373747785877E-6</v>
      </c>
      <c r="T123" s="9">
        <f t="shared" si="40"/>
        <v>1.1729635498253334E-4</v>
      </c>
      <c r="U123" s="9">
        <f t="shared" si="41"/>
        <v>1.4635496262522141E-4</v>
      </c>
      <c r="V123" s="100">
        <f t="shared" si="46"/>
        <v>0.8014511628341574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241</v>
      </c>
      <c r="C124" s="46" t="s">
        <v>242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0.17110445915344094</v>
      </c>
      <c r="J124" s="54">
        <f t="shared" si="48"/>
        <v>1.7297361884216989</v>
      </c>
      <c r="K124" s="55">
        <f t="shared" si="49"/>
        <v>0.66265412975524696</v>
      </c>
      <c r="L124" s="55">
        <f t="shared" si="50"/>
        <v>1.2250405075787653E-2</v>
      </c>
      <c r="M124" s="55">
        <f t="shared" si="42"/>
        <v>0.98774959492421233</v>
      </c>
      <c r="N124" s="55">
        <f t="shared" si="51"/>
        <v>1.1601206618228336E-2</v>
      </c>
      <c r="O124" s="56">
        <f t="shared" si="43"/>
        <v>6.6633280315739838E-7</v>
      </c>
      <c r="P124" s="56">
        <f t="shared" si="52"/>
        <v>3.5762459770214848E-5</v>
      </c>
      <c r="Q124" s="56">
        <f t="shared" si="53"/>
        <v>3.5537526278972145E-5</v>
      </c>
      <c r="R124" s="9">
        <f t="shared" si="44"/>
        <v>1.4999999999999999E-4</v>
      </c>
      <c r="S124" s="9">
        <f t="shared" si="45"/>
        <v>1.8375607613681477E-6</v>
      </c>
      <c r="T124" s="9">
        <f t="shared" si="40"/>
        <v>9.939811946328704E-5</v>
      </c>
      <c r="U124" s="9">
        <f t="shared" si="41"/>
        <v>1.4816243923863184E-4</v>
      </c>
      <c r="V124" s="100">
        <f t="shared" si="46"/>
        <v>0.67087259074613015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243</v>
      </c>
      <c r="C125" s="46" t="s">
        <v>244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0.15519220542192749</v>
      </c>
      <c r="K125" s="55">
        <f t="shared" si="49"/>
        <v>0.9811340058993443</v>
      </c>
      <c r="L125" s="55">
        <f t="shared" si="50"/>
        <v>4.8311206790660846E-4</v>
      </c>
      <c r="M125" s="55">
        <f t="shared" si="42"/>
        <v>0.99951688793209337</v>
      </c>
      <c r="N125" s="55">
        <f t="shared" si="51"/>
        <v>4.4003131194338E-4</v>
      </c>
      <c r="O125" s="56">
        <f t="shared" si="43"/>
        <v>9.8658069582306251E-7</v>
      </c>
      <c r="P125" s="56">
        <f t="shared" si="52"/>
        <v>1.4103432324179313E-6</v>
      </c>
      <c r="Q125" s="56">
        <f t="shared" si="53"/>
        <v>1.3479308511916268E-6</v>
      </c>
      <c r="R125" s="9">
        <f t="shared" si="44"/>
        <v>1.4999999999999999E-4</v>
      </c>
      <c r="S125" s="9">
        <f t="shared" si="45"/>
        <v>7.2466810185991265E-8</v>
      </c>
      <c r="T125" s="9">
        <f t="shared" si="40"/>
        <v>1.4717010088490163E-4</v>
      </c>
      <c r="U125" s="9">
        <f t="shared" si="41"/>
        <v>1.49927533189814E-4</v>
      </c>
      <c r="V125" s="100">
        <f t="shared" si="46"/>
        <v>0.98160823268250974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245</v>
      </c>
      <c r="C126" s="46" t="s">
        <v>246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5.6647787636009141</v>
      </c>
      <c r="K126" s="55">
        <f t="shared" si="49"/>
        <v>2.2280195880669544E-3</v>
      </c>
      <c r="L126" s="55">
        <f t="shared" si="50"/>
        <v>0.35467054349074695</v>
      </c>
      <c r="M126" s="55">
        <f t="shared" si="42"/>
        <v>0.64532945650925311</v>
      </c>
      <c r="N126" s="55">
        <f t="shared" si="51"/>
        <v>0.35419240149512382</v>
      </c>
      <c r="O126" s="56">
        <f t="shared" si="43"/>
        <v>2.240388267337272E-9</v>
      </c>
      <c r="P126" s="56">
        <f t="shared" si="52"/>
        <v>1.0353854394853596E-3</v>
      </c>
      <c r="Q126" s="56">
        <f t="shared" si="53"/>
        <v>1.0849838460912991E-3</v>
      </c>
      <c r="R126" s="9">
        <f t="shared" si="44"/>
        <v>1.4999999999999999E-4</v>
      </c>
      <c r="S126" s="9">
        <f t="shared" si="45"/>
        <v>5.3200581523612039E-5</v>
      </c>
      <c r="T126" s="9">
        <f t="shared" si="40"/>
        <v>3.3420293821004313E-7</v>
      </c>
      <c r="U126" s="9">
        <f t="shared" si="41"/>
        <v>9.6799418476387961E-5</v>
      </c>
      <c r="V126" s="100">
        <f t="shared" si="46"/>
        <v>3.4525304332439191E-3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247</v>
      </c>
      <c r="C127" s="46" t="s">
        <v>248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3.3642190440491762</v>
      </c>
      <c r="K127" s="55">
        <f t="shared" si="49"/>
        <v>0.19188736850826435</v>
      </c>
      <c r="L127" s="55">
        <f t="shared" si="50"/>
        <v>0.15289482397892015</v>
      </c>
      <c r="M127" s="55">
        <f t="shared" si="42"/>
        <v>0.84710517602107982</v>
      </c>
      <c r="N127" s="55">
        <f t="shared" si="51"/>
        <v>0.15190309492326409</v>
      </c>
      <c r="O127" s="56">
        <f t="shared" si="43"/>
        <v>1.9295261646650298E-7</v>
      </c>
      <c r="P127" s="56">
        <f t="shared" si="52"/>
        <v>4.4634401538502994E-4</v>
      </c>
      <c r="Q127" s="56">
        <f t="shared" si="53"/>
        <v>4.6531885909270072E-4</v>
      </c>
      <c r="R127" s="9">
        <f t="shared" si="44"/>
        <v>1.4999999999999999E-4</v>
      </c>
      <c r="S127" s="9">
        <f t="shared" si="45"/>
        <v>2.293422359683802E-5</v>
      </c>
      <c r="T127" s="9">
        <f t="shared" si="40"/>
        <v>2.8783105276239649E-5</v>
      </c>
      <c r="U127" s="9">
        <f t="shared" si="41"/>
        <v>1.2706577640316197E-4</v>
      </c>
      <c r="V127" s="100">
        <f t="shared" si="46"/>
        <v>0.22652130330447812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249</v>
      </c>
      <c r="C128" s="46" t="s">
        <v>250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4.2948093083985448</v>
      </c>
      <c r="K128" s="55">
        <f t="shared" ref="K128:K134" si="56">IF(D128=0,"",1/(1+10^D128*$J$15/$J$14+10^E128*$J$16/$J$14+10^J128*$J$19/$J$14))</f>
        <v>2.873674965933724E-2</v>
      </c>
      <c r="L128" s="55">
        <f t="shared" ref="L128:L134" si="57">IF(D128=0,"",1/(1+10^I128/10^J128*$J$13/$J$19))</f>
        <v>0.19515258357449014</v>
      </c>
      <c r="M128" s="55">
        <f t="shared" ref="M128:M134" si="58">IF(D128=0,"",1-L128)</f>
        <v>0.80484741642550983</v>
      </c>
      <c r="N128" s="55">
        <f t="shared" ref="N128:N134" si="59">IF(D128=0,"",1/(1/10^E128*$J$20/$J$22+10^D128/10^E128*$J$21/$J$22+10^I128/10^E128*$J$13/$J$22+1))</f>
        <v>0.19401302959349589</v>
      </c>
      <c r="O128" s="56">
        <f t="shared" ref="O128:O134" si="60">IF(D128=0,"",F128*K128*$J$7/$J$14)</f>
        <v>2.8896279513433421E-8</v>
      </c>
      <c r="P128" s="56">
        <f t="shared" ref="P128:P134" si="61">IF(D128=0,"",O128*10^J128)</f>
        <v>5.6970658324842916E-4</v>
      </c>
      <c r="Q128" s="56">
        <f t="shared" ref="Q128:Q134" si="62">IF(D128=0,"",F128*N128*$J$7/$J$22)</f>
        <v>5.9431258872749758E-4</v>
      </c>
      <c r="R128" s="9">
        <f t="shared" si="44"/>
        <v>1.4999999999999999E-4</v>
      </c>
      <c r="S128" s="9">
        <f t="shared" si="45"/>
        <v>2.9272887536173519E-5</v>
      </c>
      <c r="T128" s="9">
        <f t="shared" si="40"/>
        <v>4.3105124489005857E-6</v>
      </c>
      <c r="U128" s="9">
        <f t="shared" si="41"/>
        <v>1.2072711246382646E-4</v>
      </c>
      <c r="V128" s="100">
        <f t="shared" si="46"/>
        <v>3.5704593284231388E-2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251</v>
      </c>
      <c r="C129" s="46" t="s">
        <v>252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-1.6080414735763353</v>
      </c>
      <c r="K129" s="55">
        <f t="shared" si="56"/>
        <v>0.99972604539828003</v>
      </c>
      <c r="L129" s="55">
        <f t="shared" si="57"/>
        <v>8.4911572796887477E-6</v>
      </c>
      <c r="M129" s="55">
        <f t="shared" si="58"/>
        <v>0.99999150884272026</v>
      </c>
      <c r="N129" s="55">
        <f t="shared" si="59"/>
        <v>1.7473656634904863E-6</v>
      </c>
      <c r="O129" s="56">
        <f t="shared" si="60"/>
        <v>1.0052759475983962E-6</v>
      </c>
      <c r="P129" s="56">
        <f t="shared" si="61"/>
        <v>2.4788133024075644E-8</v>
      </c>
      <c r="Q129" s="56">
        <f t="shared" si="62"/>
        <v>5.3526374651148003E-9</v>
      </c>
      <c r="R129" s="9">
        <f t="shared" si="44"/>
        <v>1.4999999999999999E-4</v>
      </c>
      <c r="S129" s="9">
        <f t="shared" si="45"/>
        <v>1.273673591953312E-9</v>
      </c>
      <c r="T129" s="9">
        <f t="shared" si="40"/>
        <v>1.4995890680974199E-4</v>
      </c>
      <c r="U129" s="9">
        <f t="shared" si="41"/>
        <v>1.4999872632640802E-4</v>
      </c>
      <c r="V129" s="100">
        <f t="shared" si="46"/>
        <v>0.99973453430144876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253</v>
      </c>
      <c r="C130" s="46" t="s">
        <v>254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2.5767035240547713</v>
      </c>
      <c r="K130" s="55">
        <f t="shared" si="56"/>
        <v>0.50653977129701222</v>
      </c>
      <c r="L130" s="55">
        <f t="shared" si="57"/>
        <v>6.5833118216112402E-2</v>
      </c>
      <c r="M130" s="55">
        <f t="shared" si="58"/>
        <v>0.93416688178388763</v>
      </c>
      <c r="N130" s="55">
        <f t="shared" si="59"/>
        <v>6.5101504078026021E-2</v>
      </c>
      <c r="O130" s="56">
        <f t="shared" si="60"/>
        <v>5.0935178785305542E-7</v>
      </c>
      <c r="P130" s="56">
        <f t="shared" si="61"/>
        <v>1.921858279123185E-4</v>
      </c>
      <c r="Q130" s="56">
        <f t="shared" si="62"/>
        <v>1.99422912470011E-4</v>
      </c>
      <c r="R130" s="9">
        <f t="shared" si="44"/>
        <v>1.4999999999999999E-4</v>
      </c>
      <c r="S130" s="9">
        <f t="shared" si="45"/>
        <v>9.8749677324168594E-6</v>
      </c>
      <c r="T130" s="9">
        <f t="shared" si="40"/>
        <v>7.5980965694551832E-5</v>
      </c>
      <c r="U130" s="9">
        <f t="shared" si="41"/>
        <v>1.4012503226758314E-4</v>
      </c>
      <c r="V130" s="100">
        <f t="shared" si="46"/>
        <v>0.54223691845050481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255</v>
      </c>
      <c r="C131" s="46" t="s">
        <v>256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0.25818722147322465</v>
      </c>
      <c r="K131" s="55">
        <f t="shared" si="56"/>
        <v>0.98328246057496793</v>
      </c>
      <c r="L131" s="55">
        <f t="shared" si="57"/>
        <v>6.1375192328207194E-4</v>
      </c>
      <c r="M131" s="55">
        <f t="shared" si="58"/>
        <v>0.99938624807671794</v>
      </c>
      <c r="N131" s="55">
        <f t="shared" si="59"/>
        <v>5.7570304663897036E-4</v>
      </c>
      <c r="O131" s="56">
        <f t="shared" si="60"/>
        <v>9.8874107747946849E-7</v>
      </c>
      <c r="P131" s="56">
        <f t="shared" si="61"/>
        <v>1.7917185864040366E-6</v>
      </c>
      <c r="Q131" s="56">
        <f t="shared" si="62"/>
        <v>1.7635288140347866E-6</v>
      </c>
      <c r="R131" s="9">
        <f t="shared" si="44"/>
        <v>1.4999999999999999E-4</v>
      </c>
      <c r="S131" s="9">
        <f t="shared" si="45"/>
        <v>9.2062788492310789E-8</v>
      </c>
      <c r="T131" s="9">
        <f t="shared" si="40"/>
        <v>1.4749236908624517E-4</v>
      </c>
      <c r="U131" s="9">
        <f t="shared" si="41"/>
        <v>1.4990793721150769E-4</v>
      </c>
      <c r="V131" s="100">
        <f t="shared" si="46"/>
        <v>0.98388632269781462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257</v>
      </c>
      <c r="C132" s="46" t="s">
        <v>258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0.83124855585318191</v>
      </c>
      <c r="K132" s="55">
        <f t="shared" si="56"/>
        <v>0.95663330555256409</v>
      </c>
      <c r="L132" s="55">
        <f t="shared" si="57"/>
        <v>2.2341966943977228E-3</v>
      </c>
      <c r="M132" s="55">
        <f t="shared" si="58"/>
        <v>0.99776580330560227</v>
      </c>
      <c r="N132" s="55">
        <f t="shared" si="59"/>
        <v>2.1482851061225801E-3</v>
      </c>
      <c r="O132" s="56">
        <f t="shared" si="60"/>
        <v>9.6194398172393009E-7</v>
      </c>
      <c r="P132" s="56">
        <f t="shared" si="61"/>
        <v>6.5222634605009804E-6</v>
      </c>
      <c r="Q132" s="56">
        <f t="shared" si="62"/>
        <v>6.580758444005245E-6</v>
      </c>
      <c r="R132" s="9">
        <f t="shared" si="44"/>
        <v>1.4999999999999999E-4</v>
      </c>
      <c r="S132" s="9">
        <f t="shared" si="45"/>
        <v>3.3512950415965842E-7</v>
      </c>
      <c r="T132" s="9">
        <f t="shared" si="40"/>
        <v>1.4349499583288461E-4</v>
      </c>
      <c r="U132" s="9">
        <f t="shared" si="41"/>
        <v>1.4966487049584032E-4</v>
      </c>
      <c r="V132" s="100">
        <f t="shared" si="46"/>
        <v>0.95877539837829073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259</v>
      </c>
      <c r="C133" s="46" t="s">
        <v>260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3.6224301301033548</v>
      </c>
      <c r="K133" s="55">
        <f t="shared" si="56"/>
        <v>0.12650159294703656</v>
      </c>
      <c r="L133" s="55">
        <f t="shared" si="57"/>
        <v>0.18266421572710226</v>
      </c>
      <c r="M133" s="55">
        <f t="shared" si="58"/>
        <v>0.81733578427289777</v>
      </c>
      <c r="N133" s="55">
        <f t="shared" si="59"/>
        <v>0.18167086858932774</v>
      </c>
      <c r="O133" s="56">
        <f t="shared" si="60"/>
        <v>1.2720385680446685E-7</v>
      </c>
      <c r="P133" s="56">
        <f t="shared" si="61"/>
        <v>5.3324944162944966E-4</v>
      </c>
      <c r="Q133" s="56">
        <f t="shared" si="62"/>
        <v>5.5650532561610992E-4</v>
      </c>
      <c r="R133" s="9">
        <f t="shared" si="44"/>
        <v>1.4999999999999999E-4</v>
      </c>
      <c r="S133" s="9">
        <f t="shared" si="45"/>
        <v>2.7399632359065335E-5</v>
      </c>
      <c r="T133" s="9">
        <f t="shared" si="40"/>
        <v>1.8975238942055483E-5</v>
      </c>
      <c r="U133" s="9">
        <f t="shared" si="41"/>
        <v>1.2260036764093465E-4</v>
      </c>
      <c r="V133" s="100">
        <f t="shared" si="46"/>
        <v>0.15477309984607174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261</v>
      </c>
      <c r="C134" s="46" t="s">
        <v>262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-1.710142246478803</v>
      </c>
      <c r="K134" s="55">
        <f t="shared" si="56"/>
        <v>0.99990936450115031</v>
      </c>
      <c r="L134" s="55">
        <f t="shared" si="57"/>
        <v>6.7134497313785916E-6</v>
      </c>
      <c r="M134" s="55">
        <f t="shared" si="58"/>
        <v>0.99999328655026865</v>
      </c>
      <c r="N134" s="55">
        <f t="shared" si="59"/>
        <v>3.4097455252856117E-7</v>
      </c>
      <c r="O134" s="56">
        <f t="shared" si="60"/>
        <v>1.0054602843831573E-6</v>
      </c>
      <c r="P134" s="56">
        <f t="shared" si="61"/>
        <v>1.9598492821458782E-8</v>
      </c>
      <c r="Q134" s="56">
        <f t="shared" si="62"/>
        <v>1.0444941220084056E-9</v>
      </c>
      <c r="R134" s="9">
        <f t="shared" si="44"/>
        <v>1.4999999999999999E-4</v>
      </c>
      <c r="S134" s="9">
        <f t="shared" si="45"/>
        <v>1.0070174597067886E-9</v>
      </c>
      <c r="T134" s="9">
        <f t="shared" si="40"/>
        <v>1.4998640467517253E-4</v>
      </c>
      <c r="U134" s="9">
        <f t="shared" si="41"/>
        <v>1.4999899298254028E-4</v>
      </c>
      <c r="V134" s="100">
        <f t="shared" si="46"/>
        <v>0.99991607738747146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263</v>
      </c>
      <c r="C135" s="46" t="s">
        <v>264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1.13192536142415</v>
      </c>
      <c r="K135" s="55">
        <f t="shared" ref="K135:K143" si="65">IF(D135=0,"",1/(1+10^D135*$J$15/$J$14+10^E135*$J$16/$J$14+10^J135*$J$19/$J$14))</f>
        <v>0.92936098184833826</v>
      </c>
      <c r="L135" s="55">
        <f t="shared" ref="L135:L143" si="66">IF(D135=0,"",1/(1+10^I135/10^J135*$J$13/$J$19))</f>
        <v>4.3374766387253468E-3</v>
      </c>
      <c r="M135" s="55">
        <f t="shared" ref="M135:M143" si="67">IF(D135=0,"",1-L135)</f>
        <v>0.9956625233612747</v>
      </c>
      <c r="N135" s="55">
        <f t="shared" ref="N135:N143" si="68">IF(D135=0,"",1/(1/10^E135*$J$20/$J$22+10^D135/10^E135*$J$21/$J$22+10^I135/10^E135*$J$13/$J$22+1))</f>
        <v>4.2045809683361616E-3</v>
      </c>
      <c r="O135" s="56">
        <f t="shared" ref="O135:O143" si="69">IF(D135=0,"",F135*K135*$J$7/$J$14)</f>
        <v>9.3452025781359242E-7</v>
      </c>
      <c r="P135" s="56">
        <f t="shared" ref="P135:P143" si="70">IF(D135=0,"",O135*10^J135)</f>
        <v>1.2662343231673784E-5</v>
      </c>
      <c r="Q135" s="56">
        <f t="shared" ref="Q135:Q143" si="71">IF(D135=0,"",F135*N135*$J$7/$J$22)</f>
        <v>1.2879729804961533E-5</v>
      </c>
      <c r="R135" s="9">
        <f t="shared" si="44"/>
        <v>1.4999999999999999E-4</v>
      </c>
      <c r="S135" s="9">
        <f t="shared" si="45"/>
        <v>6.5062149580880191E-7</v>
      </c>
      <c r="T135" s="9">
        <f t="shared" si="40"/>
        <v>1.3940414727725073E-4</v>
      </c>
      <c r="U135" s="9">
        <f t="shared" si="41"/>
        <v>1.4934937850419119E-4</v>
      </c>
      <c r="V135" s="100">
        <f t="shared" si="46"/>
        <v>0.93340962428804908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265</v>
      </c>
      <c r="C136" s="46" t="s">
        <v>266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-0.6521994207584626</v>
      </c>
      <c r="K136" s="55">
        <f t="shared" si="65"/>
        <v>0.99656093633086684</v>
      </c>
      <c r="L136" s="55">
        <f t="shared" si="66"/>
        <v>7.6459559366152675E-5</v>
      </c>
      <c r="M136" s="55">
        <f t="shared" si="67"/>
        <v>0.99992354044063381</v>
      </c>
      <c r="N136" s="55">
        <f t="shared" si="68"/>
        <v>6.3472148952752305E-5</v>
      </c>
      <c r="O136" s="56">
        <f t="shared" si="69"/>
        <v>1.0020932676715882E-6</v>
      </c>
      <c r="P136" s="56">
        <f t="shared" si="70"/>
        <v>2.2320746938276887E-7</v>
      </c>
      <c r="Q136" s="56">
        <f t="shared" si="71"/>
        <v>1.9443177210955812E-7</v>
      </c>
      <c r="R136" s="9">
        <f t="shared" si="44"/>
        <v>1.4999999999999999E-4</v>
      </c>
      <c r="S136" s="9">
        <f t="shared" si="45"/>
        <v>1.14689339049229E-8</v>
      </c>
      <c r="T136" s="9">
        <f t="shared" si="40"/>
        <v>1.4948414044963E-4</v>
      </c>
      <c r="U136" s="9">
        <f t="shared" si="41"/>
        <v>1.4998853106609506E-4</v>
      </c>
      <c r="V136" s="100">
        <f t="shared" si="46"/>
        <v>0.99663713876734494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267</v>
      </c>
      <c r="C137" s="46" t="s">
        <v>268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-1.742402163853854</v>
      </c>
      <c r="K137" s="55">
        <f t="shared" si="65"/>
        <v>0.99998467575012928</v>
      </c>
      <c r="L137" s="55">
        <f t="shared" si="66"/>
        <v>6.2333072282389993E-6</v>
      </c>
      <c r="M137" s="55">
        <f t="shared" si="67"/>
        <v>0.99999376669277174</v>
      </c>
      <c r="N137" s="55">
        <f t="shared" si="68"/>
        <v>1.4499790687178509E-8</v>
      </c>
      <c r="O137" s="56">
        <f t="shared" si="69"/>
        <v>1.005536013716739E-6</v>
      </c>
      <c r="P137" s="56">
        <f t="shared" si="70"/>
        <v>1.8196818603645556E-8</v>
      </c>
      <c r="Q137" s="56">
        <f t="shared" si="71"/>
        <v>4.4416646435342361E-11</v>
      </c>
      <c r="R137" s="9">
        <f t="shared" si="44"/>
        <v>1.4999999999999999E-4</v>
      </c>
      <c r="S137" s="9">
        <f t="shared" si="45"/>
        <v>9.3499608423584973E-10</v>
      </c>
      <c r="T137" s="9">
        <f t="shared" si="40"/>
        <v>1.4999770136251938E-4</v>
      </c>
      <c r="U137" s="9">
        <f t="shared" si="41"/>
        <v>1.4999906500391574E-4</v>
      </c>
      <c r="V137" s="100">
        <f t="shared" si="46"/>
        <v>0.99999090900069054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269</v>
      </c>
      <c r="C138" s="46" t="s">
        <v>270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-0.71582896186790201</v>
      </c>
      <c r="K138" s="55">
        <f t="shared" si="65"/>
        <v>0.9969423264855849</v>
      </c>
      <c r="L138" s="55">
        <f t="shared" si="66"/>
        <v>6.6064541491507608E-5</v>
      </c>
      <c r="M138" s="55">
        <f t="shared" si="67"/>
        <v>0.9999339354585085</v>
      </c>
      <c r="N138" s="55">
        <f t="shared" si="68"/>
        <v>5.3819575782801789E-5</v>
      </c>
      <c r="O138" s="56">
        <f t="shared" si="69"/>
        <v>1.0024767750843978E-6</v>
      </c>
      <c r="P138" s="56">
        <f t="shared" si="70"/>
        <v>1.9286141908869269E-7</v>
      </c>
      <c r="Q138" s="56">
        <f t="shared" si="71"/>
        <v>1.6486341909463674E-7</v>
      </c>
      <c r="R138" s="9">
        <f t="shared" si="44"/>
        <v>1.4999999999999999E-4</v>
      </c>
      <c r="S138" s="9">
        <f t="shared" si="45"/>
        <v>9.9096812237261406E-9</v>
      </c>
      <c r="T138" s="9">
        <f t="shared" si="40"/>
        <v>1.4954134897283771E-4</v>
      </c>
      <c r="U138" s="9">
        <f t="shared" si="41"/>
        <v>1.4999009031877627E-4</v>
      </c>
      <c r="V138" s="100">
        <f t="shared" si="46"/>
        <v>0.99700819337474345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271</v>
      </c>
      <c r="C139" s="46" t="s">
        <v>272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0.78412765153631614</v>
      </c>
      <c r="K139" s="55">
        <f t="shared" si="65"/>
        <v>0.94676945942701085</v>
      </c>
      <c r="L139" s="55">
        <f t="shared" si="66"/>
        <v>1.9838062027380822E-3</v>
      </c>
      <c r="M139" s="55">
        <f t="shared" si="67"/>
        <v>0.99801619379726192</v>
      </c>
      <c r="N139" s="55">
        <f t="shared" si="68"/>
        <v>1.8763614118980539E-3</v>
      </c>
      <c r="O139" s="56">
        <f t="shared" si="69"/>
        <v>9.520253772157521E-7</v>
      </c>
      <c r="P139" s="56">
        <f t="shared" si="70"/>
        <v>5.7913015184734064E-6</v>
      </c>
      <c r="Q139" s="56">
        <f t="shared" si="71"/>
        <v>5.7477851380910505E-6</v>
      </c>
      <c r="R139" s="9">
        <f t="shared" si="44"/>
        <v>1.4999999999999999E-4</v>
      </c>
      <c r="S139" s="9">
        <f t="shared" si="45"/>
        <v>2.9757093041071232E-7</v>
      </c>
      <c r="T139" s="9">
        <f t="shared" si="40"/>
        <v>1.4201541891405162E-4</v>
      </c>
      <c r="U139" s="9">
        <f t="shared" si="41"/>
        <v>1.4970242906958928E-4</v>
      </c>
      <c r="V139" s="100">
        <f t="shared" si="46"/>
        <v>0.94865139995848469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273</v>
      </c>
      <c r="C140" s="46" t="s">
        <v>274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-1.7177929468599609</v>
      </c>
      <c r="K140" s="55">
        <f t="shared" si="65"/>
        <v>0.99992491719360688</v>
      </c>
      <c r="L140" s="55">
        <f t="shared" si="66"/>
        <v>6.5963212161729469E-6</v>
      </c>
      <c r="M140" s="55">
        <f t="shared" si="67"/>
        <v>0.99999340367878387</v>
      </c>
      <c r="N140" s="55">
        <f t="shared" si="68"/>
        <v>2.5549959961761281E-7</v>
      </c>
      <c r="O140" s="56">
        <f t="shared" si="69"/>
        <v>1.005475923415189E-6</v>
      </c>
      <c r="P140" s="56">
        <f t="shared" si="70"/>
        <v>1.9256560959853167E-8</v>
      </c>
      <c r="Q140" s="56">
        <f t="shared" si="71"/>
        <v>7.8266201391596197E-10</v>
      </c>
      <c r="R140" s="9">
        <f t="shared" si="44"/>
        <v>1.4999999999999999E-4</v>
      </c>
      <c r="S140" s="9">
        <f t="shared" si="45"/>
        <v>9.8944818242594195E-10</v>
      </c>
      <c r="T140" s="9">
        <f t="shared" si="40"/>
        <v>1.4998873757904102E-4</v>
      </c>
      <c r="U140" s="9">
        <f t="shared" si="41"/>
        <v>1.4999901055181756E-4</v>
      </c>
      <c r="V140" s="100">
        <f t="shared" si="46"/>
        <v>0.99993151306306116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275</v>
      </c>
      <c r="C141" s="46" t="s">
        <v>276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-1.6630084738032638</v>
      </c>
      <c r="K141" s="55">
        <f t="shared" si="65"/>
        <v>0.99982200054533044</v>
      </c>
      <c r="L141" s="55">
        <f t="shared" si="66"/>
        <v>7.4824111287278786E-6</v>
      </c>
      <c r="M141" s="55">
        <f t="shared" si="67"/>
        <v>0.99999251758887131</v>
      </c>
      <c r="N141" s="55">
        <f t="shared" si="68"/>
        <v>9.3262725029332945E-7</v>
      </c>
      <c r="O141" s="56">
        <f t="shared" si="69"/>
        <v>1.0053724354330604E-6</v>
      </c>
      <c r="P141" s="56">
        <f t="shared" si="70"/>
        <v>2.1843312553330711E-8</v>
      </c>
      <c r="Q141" s="56">
        <f t="shared" si="71"/>
        <v>2.8568808837270897E-9</v>
      </c>
      <c r="R141" s="9">
        <f t="shared" si="44"/>
        <v>1.4999999999999999E-4</v>
      </c>
      <c r="S141" s="9">
        <f t="shared" si="45"/>
        <v>1.1223616693091816E-9</v>
      </c>
      <c r="T141" s="9">
        <f t="shared" si="40"/>
        <v>1.4997330008179955E-4</v>
      </c>
      <c r="U141" s="9">
        <f t="shared" si="41"/>
        <v>1.4999887763833067E-4</v>
      </c>
      <c r="V141" s="100">
        <f t="shared" si="46"/>
        <v>0.99982948168057095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277</v>
      </c>
      <c r="C142" s="46" t="s">
        <v>278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2.8031484090593466</v>
      </c>
      <c r="K142" s="55">
        <f t="shared" si="65"/>
        <v>0.40411075567383126</v>
      </c>
      <c r="L142" s="55">
        <f t="shared" si="66"/>
        <v>8.8465955141960942E-2</v>
      </c>
      <c r="M142" s="55">
        <f t="shared" si="67"/>
        <v>0.91153404485803902</v>
      </c>
      <c r="N142" s="55">
        <f t="shared" si="68"/>
        <v>8.7624033925952236E-2</v>
      </c>
      <c r="O142" s="56">
        <f t="shared" si="69"/>
        <v>4.0635414543278395E-7</v>
      </c>
      <c r="P142" s="56">
        <f t="shared" si="70"/>
        <v>2.5825759574685676E-4</v>
      </c>
      <c r="Q142" s="56">
        <f t="shared" si="71"/>
        <v>2.684153046132555E-4</v>
      </c>
      <c r="R142" s="9">
        <f t="shared" si="44"/>
        <v>1.4999999999999999E-4</v>
      </c>
      <c r="S142" s="9">
        <f t="shared" si="45"/>
        <v>1.326989327129414E-5</v>
      </c>
      <c r="T142" s="9">
        <f t="shared" si="40"/>
        <v>6.0616613351074686E-5</v>
      </c>
      <c r="U142" s="9">
        <f t="shared" si="41"/>
        <v>1.3673010672870584E-4</v>
      </c>
      <c r="V142" s="100">
        <f t="shared" si="46"/>
        <v>0.44333040323992162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96</v>
      </c>
      <c r="C143" s="46" t="s">
        <v>279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2.6860520244668198</v>
      </c>
      <c r="K143" s="55">
        <f t="shared" si="65"/>
        <v>6.5601232039544349E-2</v>
      </c>
      <c r="L143" s="55">
        <f t="shared" si="66"/>
        <v>1.0967089115178066E-2</v>
      </c>
      <c r="M143" s="55">
        <f t="shared" si="67"/>
        <v>0.98903291088482193</v>
      </c>
      <c r="N143" s="55">
        <f t="shared" si="68"/>
        <v>9.0767888166833448E-3</v>
      </c>
      <c r="O143" s="56">
        <f t="shared" si="69"/>
        <v>6.5965412230410082E-8</v>
      </c>
      <c r="P143" s="56">
        <f t="shared" si="70"/>
        <v>3.2016090966093978E-5</v>
      </c>
      <c r="Q143" s="56">
        <f t="shared" si="71"/>
        <v>2.7804575137445939E-5</v>
      </c>
      <c r="R143" s="9">
        <f t="shared" si="44"/>
        <v>1.4999999999999999E-4</v>
      </c>
      <c r="S143" s="9">
        <f t="shared" si="45"/>
        <v>1.6450633672767097E-6</v>
      </c>
      <c r="T143" s="9">
        <f t="shared" si="40"/>
        <v>9.8401848059316516E-6</v>
      </c>
      <c r="U143" s="9">
        <f t="shared" si="41"/>
        <v>1.4835493663272327E-4</v>
      </c>
      <c r="V143" s="100">
        <f t="shared" si="46"/>
        <v>6.6328664413053046E-2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2025-02-02T14:48:49Z</dcterms:modified>
</cp:coreProperties>
</file>