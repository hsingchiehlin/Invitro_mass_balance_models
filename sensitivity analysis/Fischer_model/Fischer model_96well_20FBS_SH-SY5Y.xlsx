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6E0B798D-E114-4F95-8A89-4FF9E7AD3347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T143" i="4"/>
  <c r="S143" i="4"/>
  <c r="R143" i="4"/>
  <c r="U143" i="4" s="1"/>
  <c r="V142" i="4"/>
  <c r="R142" i="4"/>
  <c r="V141" i="4"/>
  <c r="U141" i="4"/>
  <c r="T141" i="4"/>
  <c r="R141" i="4"/>
  <c r="S141" i="4" s="1"/>
  <c r="V140" i="4"/>
  <c r="R140" i="4"/>
  <c r="U140" i="4" s="1"/>
  <c r="V139" i="4"/>
  <c r="U139" i="4"/>
  <c r="T139" i="4"/>
  <c r="S139" i="4"/>
  <c r="R139" i="4"/>
  <c r="V138" i="4"/>
  <c r="T138" i="4"/>
  <c r="R138" i="4"/>
  <c r="U138" i="4" s="1"/>
  <c r="V137" i="4"/>
  <c r="T137" i="4"/>
  <c r="S137" i="4"/>
  <c r="R137" i="4"/>
  <c r="U137" i="4" s="1"/>
  <c r="V136" i="4"/>
  <c r="R136" i="4"/>
  <c r="U136" i="4" s="1"/>
  <c r="V135" i="4"/>
  <c r="R135" i="4"/>
  <c r="V134" i="4"/>
  <c r="U134" i="4"/>
  <c r="T134" i="4"/>
  <c r="S134" i="4"/>
  <c r="R134" i="4"/>
  <c r="V133" i="4"/>
  <c r="R133" i="4"/>
  <c r="U133" i="4" s="1"/>
  <c r="V132" i="4"/>
  <c r="R132" i="4"/>
  <c r="U132" i="4" s="1"/>
  <c r="V131" i="4"/>
  <c r="T131" i="4"/>
  <c r="S131" i="4"/>
  <c r="R131" i="4"/>
  <c r="U131" i="4" s="1"/>
  <c r="V130" i="4"/>
  <c r="R130" i="4"/>
  <c r="V129" i="4"/>
  <c r="U129" i="4"/>
  <c r="T129" i="4"/>
  <c r="R129" i="4"/>
  <c r="S129" i="4" s="1"/>
  <c r="V128" i="4"/>
  <c r="R128" i="4"/>
  <c r="U128" i="4" s="1"/>
  <c r="V127" i="4"/>
  <c r="U127" i="4"/>
  <c r="T127" i="4"/>
  <c r="S127" i="4"/>
  <c r="R127" i="4"/>
  <c r="V126" i="4"/>
  <c r="T126" i="4"/>
  <c r="R126" i="4"/>
  <c r="U126" i="4" s="1"/>
  <c r="V125" i="4"/>
  <c r="R125" i="4"/>
  <c r="U125" i="4" s="1"/>
  <c r="V124" i="4"/>
  <c r="R124" i="4"/>
  <c r="U124" i="4" s="1"/>
  <c r="V123" i="4"/>
  <c r="R123" i="4"/>
  <c r="V122" i="4"/>
  <c r="U122" i="4"/>
  <c r="T122" i="4"/>
  <c r="S122" i="4"/>
  <c r="R122" i="4"/>
  <c r="V121" i="4"/>
  <c r="R121" i="4"/>
  <c r="U121" i="4" s="1"/>
  <c r="V120" i="4"/>
  <c r="R120" i="4"/>
  <c r="U120" i="4" s="1"/>
  <c r="V119" i="4"/>
  <c r="T119" i="4"/>
  <c r="S119" i="4"/>
  <c r="R119" i="4"/>
  <c r="U119" i="4" s="1"/>
  <c r="V118" i="4"/>
  <c r="R118" i="4"/>
  <c r="V117" i="4"/>
  <c r="U117" i="4"/>
  <c r="T117" i="4"/>
  <c r="R117" i="4"/>
  <c r="S117" i="4" s="1"/>
  <c r="V116" i="4"/>
  <c r="R116" i="4"/>
  <c r="U116" i="4" s="1"/>
  <c r="V115" i="4"/>
  <c r="U115" i="4"/>
  <c r="T115" i="4"/>
  <c r="S115" i="4"/>
  <c r="R115" i="4"/>
  <c r="V114" i="4"/>
  <c r="T114" i="4"/>
  <c r="R114" i="4"/>
  <c r="U114" i="4" s="1"/>
  <c r="V113" i="4"/>
  <c r="R113" i="4"/>
  <c r="U113" i="4" s="1"/>
  <c r="V112" i="4"/>
  <c r="R112" i="4"/>
  <c r="U112" i="4" s="1"/>
  <c r="V111" i="4"/>
  <c r="R111" i="4"/>
  <c r="V110" i="4"/>
  <c r="U110" i="4"/>
  <c r="T110" i="4"/>
  <c r="S110" i="4"/>
  <c r="R110" i="4"/>
  <c r="V109" i="4"/>
  <c r="R109" i="4"/>
  <c r="U109" i="4" s="1"/>
  <c r="V108" i="4"/>
  <c r="U108" i="4"/>
  <c r="T108" i="4"/>
  <c r="S108" i="4"/>
  <c r="R108" i="4"/>
  <c r="R107" i="4"/>
  <c r="V106" i="4"/>
  <c r="T106" i="4"/>
  <c r="R106" i="4"/>
  <c r="U106" i="4" s="1"/>
  <c r="V105" i="4"/>
  <c r="R105" i="4"/>
  <c r="U105" i="4" s="1"/>
  <c r="V104" i="4"/>
  <c r="R104" i="4"/>
  <c r="U104" i="4" s="1"/>
  <c r="V103" i="4"/>
  <c r="R103" i="4"/>
  <c r="V102" i="4"/>
  <c r="U102" i="4"/>
  <c r="T102" i="4"/>
  <c r="S102" i="4"/>
  <c r="R102" i="4"/>
  <c r="V101" i="4"/>
  <c r="R101" i="4"/>
  <c r="U101" i="4" s="1"/>
  <c r="R100" i="4"/>
  <c r="V99" i="4"/>
  <c r="U99" i="4"/>
  <c r="T99" i="4"/>
  <c r="S99" i="4"/>
  <c r="R99" i="4"/>
  <c r="V98" i="4"/>
  <c r="T98" i="4"/>
  <c r="R98" i="4"/>
  <c r="U98" i="4" s="1"/>
  <c r="R97" i="4"/>
  <c r="V96" i="4"/>
  <c r="U96" i="4"/>
  <c r="T96" i="4"/>
  <c r="S96" i="4"/>
  <c r="R96" i="4"/>
  <c r="V95" i="4"/>
  <c r="T95" i="4"/>
  <c r="S95" i="4"/>
  <c r="R95" i="4"/>
  <c r="U95" i="4" s="1"/>
  <c r="V94" i="4"/>
  <c r="R94" i="4"/>
  <c r="V93" i="4"/>
  <c r="U93" i="4"/>
  <c r="T93" i="4"/>
  <c r="R93" i="4"/>
  <c r="S93" i="4" s="1"/>
  <c r="V92" i="4"/>
  <c r="R92" i="4"/>
  <c r="U92" i="4" s="1"/>
  <c r="V91" i="4"/>
  <c r="U91" i="4"/>
  <c r="T91" i="4"/>
  <c r="S91" i="4"/>
  <c r="R91" i="4"/>
  <c r="V90" i="4"/>
  <c r="T90" i="4"/>
  <c r="R90" i="4"/>
  <c r="U90" i="4" s="1"/>
  <c r="V89" i="4"/>
  <c r="T89" i="4"/>
  <c r="R89" i="4"/>
  <c r="U89" i="4" s="1"/>
  <c r="V88" i="4"/>
  <c r="R88" i="4"/>
  <c r="U88" i="4" s="1"/>
  <c r="V87" i="4"/>
  <c r="R87" i="4"/>
  <c r="V86" i="4"/>
  <c r="U86" i="4"/>
  <c r="T86" i="4"/>
  <c r="S86" i="4"/>
  <c r="R86" i="4"/>
  <c r="V85" i="4"/>
  <c r="R85" i="4"/>
  <c r="U85" i="4" s="1"/>
  <c r="V84" i="4"/>
  <c r="R84" i="4"/>
  <c r="U84" i="4" s="1"/>
  <c r="V83" i="4"/>
  <c r="T83" i="4"/>
  <c r="S83" i="4"/>
  <c r="R83" i="4"/>
  <c r="U83" i="4" s="1"/>
  <c r="V82" i="4"/>
  <c r="S82" i="4"/>
  <c r="R82" i="4"/>
  <c r="V81" i="4"/>
  <c r="U81" i="4"/>
  <c r="T81" i="4"/>
  <c r="R81" i="4"/>
  <c r="S81" i="4" s="1"/>
  <c r="V80" i="4"/>
  <c r="R80" i="4"/>
  <c r="U80" i="4" s="1"/>
  <c r="V79" i="4"/>
  <c r="U79" i="4"/>
  <c r="T79" i="4"/>
  <c r="S79" i="4"/>
  <c r="R79" i="4"/>
  <c r="V78" i="4"/>
  <c r="T78" i="4"/>
  <c r="R78" i="4"/>
  <c r="U78" i="4" s="1"/>
  <c r="V77" i="4"/>
  <c r="R77" i="4"/>
  <c r="U77" i="4" s="1"/>
  <c r="V76" i="4"/>
  <c r="R76" i="4"/>
  <c r="U76" i="4" s="1"/>
  <c r="V75" i="4"/>
  <c r="R75" i="4"/>
  <c r="V74" i="4"/>
  <c r="U74" i="4"/>
  <c r="T74" i="4"/>
  <c r="S74" i="4"/>
  <c r="R74" i="4"/>
  <c r="V73" i="4"/>
  <c r="R73" i="4"/>
  <c r="U73" i="4" s="1"/>
  <c r="V72" i="4"/>
  <c r="R72" i="4"/>
  <c r="U72" i="4" s="1"/>
  <c r="V71" i="4"/>
  <c r="T71" i="4"/>
  <c r="S71" i="4"/>
  <c r="R71" i="4"/>
  <c r="U71" i="4" s="1"/>
  <c r="V70" i="4"/>
  <c r="R70" i="4"/>
  <c r="V69" i="4"/>
  <c r="U69" i="4"/>
  <c r="T69" i="4"/>
  <c r="R69" i="4"/>
  <c r="S69" i="4" s="1"/>
  <c r="V68" i="4"/>
  <c r="R68" i="4"/>
  <c r="U68" i="4" s="1"/>
  <c r="V67" i="4"/>
  <c r="U67" i="4"/>
  <c r="T67" i="4"/>
  <c r="S67" i="4"/>
  <c r="R67" i="4"/>
  <c r="V66" i="4"/>
  <c r="T66" i="4"/>
  <c r="R66" i="4"/>
  <c r="U66" i="4" s="1"/>
  <c r="V65" i="4"/>
  <c r="R65" i="4"/>
  <c r="U65" i="4" s="1"/>
  <c r="V64" i="4"/>
  <c r="R64" i="4"/>
  <c r="U64" i="4" s="1"/>
  <c r="V63" i="4"/>
  <c r="R63" i="4"/>
  <c r="V62" i="4"/>
  <c r="U62" i="4"/>
  <c r="T62" i="4"/>
  <c r="S62" i="4"/>
  <c r="R62" i="4"/>
  <c r="V61" i="4"/>
  <c r="R61" i="4"/>
  <c r="U61" i="4" s="1"/>
  <c r="V60" i="4"/>
  <c r="U60" i="4"/>
  <c r="T60" i="4"/>
  <c r="R60" i="4"/>
  <c r="S60" i="4" s="1"/>
  <c r="V59" i="4"/>
  <c r="T59" i="4"/>
  <c r="S59" i="4"/>
  <c r="R59" i="4"/>
  <c r="U59" i="4" s="1"/>
  <c r="V58" i="4"/>
  <c r="R58" i="4"/>
  <c r="S58" i="4" s="1"/>
  <c r="V57" i="4"/>
  <c r="U57" i="4"/>
  <c r="T57" i="4"/>
  <c r="R57" i="4"/>
  <c r="S57" i="4" s="1"/>
  <c r="V56" i="4"/>
  <c r="R56" i="4"/>
  <c r="S56" i="4" s="1"/>
  <c r="V55" i="4"/>
  <c r="U55" i="4"/>
  <c r="T55" i="4"/>
  <c r="S55" i="4"/>
  <c r="R55" i="4"/>
  <c r="V54" i="4"/>
  <c r="T54" i="4"/>
  <c r="R54" i="4"/>
  <c r="U54" i="4" s="1"/>
  <c r="V53" i="4"/>
  <c r="R53" i="4"/>
  <c r="U53" i="4" s="1"/>
  <c r="V52" i="4"/>
  <c r="R52" i="4"/>
  <c r="U52" i="4" s="1"/>
  <c r="V51" i="4"/>
  <c r="R51" i="4"/>
  <c r="V50" i="4"/>
  <c r="U50" i="4"/>
  <c r="T50" i="4"/>
  <c r="S50" i="4"/>
  <c r="R50" i="4"/>
  <c r="V49" i="4"/>
  <c r="R49" i="4"/>
  <c r="U49" i="4" s="1"/>
  <c r="V48" i="4"/>
  <c r="R48" i="4"/>
  <c r="U48" i="4" s="1"/>
  <c r="V47" i="4"/>
  <c r="T47" i="4"/>
  <c r="S47" i="4"/>
  <c r="R47" i="4"/>
  <c r="U47" i="4" s="1"/>
  <c r="V46" i="4"/>
  <c r="R46" i="4"/>
  <c r="V45" i="4"/>
  <c r="U45" i="4"/>
  <c r="T45" i="4"/>
  <c r="R45" i="4"/>
  <c r="S45" i="4" s="1"/>
  <c r="V44" i="4"/>
  <c r="R44" i="4"/>
  <c r="V43" i="4"/>
  <c r="U43" i="4"/>
  <c r="T43" i="4"/>
  <c r="S43" i="4"/>
  <c r="R43" i="4"/>
  <c r="V42" i="4"/>
  <c r="T42" i="4"/>
  <c r="R42" i="4"/>
  <c r="U42" i="4" s="1"/>
  <c r="V41" i="4"/>
  <c r="R41" i="4"/>
  <c r="U41" i="4" s="1"/>
  <c r="V40" i="4"/>
  <c r="R40" i="4"/>
  <c r="U40" i="4" s="1"/>
  <c r="V39" i="4"/>
  <c r="R39" i="4"/>
  <c r="V38" i="4"/>
  <c r="U38" i="4"/>
  <c r="T38" i="4"/>
  <c r="S38" i="4"/>
  <c r="R38" i="4"/>
  <c r="V37" i="4"/>
  <c r="R37" i="4"/>
  <c r="U37" i="4" s="1"/>
  <c r="V36" i="4"/>
  <c r="U36" i="4"/>
  <c r="T36" i="4"/>
  <c r="R36" i="4"/>
  <c r="S36" i="4" s="1"/>
  <c r="V35" i="4"/>
  <c r="T35" i="4"/>
  <c r="S35" i="4"/>
  <c r="R35" i="4"/>
  <c r="U35" i="4" s="1"/>
  <c r="V34" i="4"/>
  <c r="R34" i="4"/>
  <c r="U34" i="4" s="1"/>
  <c r="V33" i="4"/>
  <c r="U33" i="4"/>
  <c r="T33" i="4"/>
  <c r="R33" i="4"/>
  <c r="S33" i="4" s="1"/>
  <c r="V32" i="4"/>
  <c r="R32" i="4"/>
  <c r="V31" i="4"/>
  <c r="U31" i="4"/>
  <c r="T31" i="4"/>
  <c r="S31" i="4"/>
  <c r="R31" i="4"/>
  <c r="V30" i="4"/>
  <c r="T30" i="4"/>
  <c r="R30" i="4"/>
  <c r="U30" i="4" s="1"/>
  <c r="V29" i="4"/>
  <c r="U29" i="4"/>
  <c r="R29" i="4"/>
  <c r="T29" i="4" s="1"/>
  <c r="V28" i="4"/>
  <c r="R28" i="4"/>
  <c r="U28" i="4" s="1"/>
  <c r="I135" i="4"/>
  <c r="L135" i="4" s="1"/>
  <c r="M135" i="4" s="1"/>
  <c r="J135" i="4"/>
  <c r="K135" i="4" s="1"/>
  <c r="O135" i="4" s="1"/>
  <c r="P135" i="4" s="1"/>
  <c r="I136" i="4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L138" i="4" s="1"/>
  <c r="M138" i="4" s="1"/>
  <c r="J138" i="4"/>
  <c r="K138" i="4" s="1"/>
  <c r="O138" i="4" s="1"/>
  <c r="P138" i="4" s="1"/>
  <c r="N138" i="4"/>
  <c r="Q138" i="4"/>
  <c r="I139" i="4"/>
  <c r="N139" i="4" s="1"/>
  <c r="Q139" i="4" s="1"/>
  <c r="J139" i="4"/>
  <c r="K139" i="4" s="1"/>
  <c r="O139" i="4" s="1"/>
  <c r="P139" i="4" s="1"/>
  <c r="L139" i="4"/>
  <c r="M139" i="4" s="1"/>
  <c r="I140" i="4"/>
  <c r="J140" i="4"/>
  <c r="K140" i="4"/>
  <c r="O140" i="4" s="1"/>
  <c r="P140" i="4" s="1"/>
  <c r="I141" i="4"/>
  <c r="L141" i="4" s="1"/>
  <c r="M141" i="4" s="1"/>
  <c r="J141" i="4"/>
  <c r="K141" i="4" s="1"/>
  <c r="O141" i="4" s="1"/>
  <c r="P141" i="4" s="1"/>
  <c r="N141" i="4"/>
  <c r="Q141" i="4" s="1"/>
  <c r="I142" i="4"/>
  <c r="J142" i="4"/>
  <c r="K142" i="4" s="1"/>
  <c r="O142" i="4" s="1"/>
  <c r="P142" i="4" s="1"/>
  <c r="L142" i="4"/>
  <c r="M142" i="4"/>
  <c r="N142" i="4"/>
  <c r="Q142" i="4"/>
  <c r="I143" i="4"/>
  <c r="N143" i="4" s="1"/>
  <c r="Q143" i="4" s="1"/>
  <c r="J143" i="4"/>
  <c r="K143" i="4" s="1"/>
  <c r="O143" i="4" s="1"/>
  <c r="P143" i="4" s="1"/>
  <c r="I128" i="4"/>
  <c r="N128" i="4" s="1"/>
  <c r="Q128" i="4" s="1"/>
  <c r="J128" i="4"/>
  <c r="K128" i="4" s="1"/>
  <c r="O128" i="4" s="1"/>
  <c r="P128" i="4" s="1"/>
  <c r="I129" i="4"/>
  <c r="J129" i="4"/>
  <c r="K129" i="4" s="1"/>
  <c r="O129" i="4" s="1"/>
  <c r="P129" i="4" s="1"/>
  <c r="I130" i="4"/>
  <c r="N130" i="4" s="1"/>
  <c r="Q130" i="4" s="1"/>
  <c r="J130" i="4"/>
  <c r="K130" i="4" s="1"/>
  <c r="I131" i="4"/>
  <c r="N131" i="4" s="1"/>
  <c r="Q131" i="4" s="1"/>
  <c r="J131" i="4"/>
  <c r="K131" i="4"/>
  <c r="L131" i="4"/>
  <c r="M131" i="4"/>
  <c r="I132" i="4"/>
  <c r="J132" i="4"/>
  <c r="K132" i="4"/>
  <c r="O132" i="4" s="1"/>
  <c r="P132" i="4" s="1"/>
  <c r="I133" i="4"/>
  <c r="J133" i="4"/>
  <c r="K133" i="4"/>
  <c r="O133" i="4" s="1"/>
  <c r="P133" i="4" s="1"/>
  <c r="L133" i="4"/>
  <c r="M133" i="4" s="1"/>
  <c r="N133" i="4"/>
  <c r="Q133" i="4" s="1"/>
  <c r="I134" i="4"/>
  <c r="N134" i="4" s="1"/>
  <c r="Q134" i="4" s="1"/>
  <c r="J134" i="4"/>
  <c r="K134" i="4"/>
  <c r="O134" i="4" s="1"/>
  <c r="P134" i="4" s="1"/>
  <c r="L134" i="4"/>
  <c r="M134" i="4" s="1"/>
  <c r="T130" i="4" l="1"/>
  <c r="U130" i="4"/>
  <c r="S65" i="4"/>
  <c r="S130" i="4"/>
  <c r="U44" i="4"/>
  <c r="T44" i="4"/>
  <c r="S44" i="4"/>
  <c r="T65" i="4"/>
  <c r="S72" i="4"/>
  <c r="S105" i="4"/>
  <c r="S113" i="4"/>
  <c r="S123" i="4"/>
  <c r="U123" i="4"/>
  <c r="T123" i="4"/>
  <c r="S34" i="4"/>
  <c r="S41" i="4"/>
  <c r="U51" i="4"/>
  <c r="T51" i="4"/>
  <c r="S51" i="4"/>
  <c r="T72" i="4"/>
  <c r="T105" i="4"/>
  <c r="T113" i="4"/>
  <c r="S120" i="4"/>
  <c r="T34" i="4"/>
  <c r="S48" i="4"/>
  <c r="T94" i="4"/>
  <c r="U94" i="4"/>
  <c r="T120" i="4"/>
  <c r="T48" i="4"/>
  <c r="S94" i="4"/>
  <c r="T142" i="4"/>
  <c r="U142" i="4"/>
  <c r="T70" i="4"/>
  <c r="U70" i="4"/>
  <c r="S77" i="4"/>
  <c r="S87" i="4"/>
  <c r="U87" i="4"/>
  <c r="T87" i="4"/>
  <c r="S142" i="4"/>
  <c r="S70" i="4"/>
  <c r="T77" i="4"/>
  <c r="S84" i="4"/>
  <c r="T118" i="4"/>
  <c r="U118" i="4"/>
  <c r="S125" i="4"/>
  <c r="S135" i="4"/>
  <c r="U135" i="4"/>
  <c r="T135" i="4"/>
  <c r="S29" i="4"/>
  <c r="U32" i="4"/>
  <c r="T32" i="4"/>
  <c r="S32" i="4"/>
  <c r="T46" i="4"/>
  <c r="U46" i="4"/>
  <c r="S53" i="4"/>
  <c r="U63" i="4"/>
  <c r="T63" i="4"/>
  <c r="S63" i="4"/>
  <c r="T84" i="4"/>
  <c r="S118" i="4"/>
  <c r="T125" i="4"/>
  <c r="S132" i="4"/>
  <c r="S46" i="4"/>
  <c r="T53" i="4"/>
  <c r="S103" i="4"/>
  <c r="U103" i="4"/>
  <c r="T103" i="4"/>
  <c r="S111" i="4"/>
  <c r="U111" i="4"/>
  <c r="T111" i="4"/>
  <c r="T132" i="4"/>
  <c r="U75" i="4"/>
  <c r="T75" i="4"/>
  <c r="S75" i="4"/>
  <c r="S39" i="4"/>
  <c r="U39" i="4"/>
  <c r="T39" i="4"/>
  <c r="T58" i="4"/>
  <c r="U58" i="4"/>
  <c r="T41" i="4"/>
  <c r="T82" i="4"/>
  <c r="U82" i="4"/>
  <c r="S89" i="4"/>
  <c r="S68" i="4"/>
  <c r="S80" i="4"/>
  <c r="S92" i="4"/>
  <c r="S116" i="4"/>
  <c r="S128" i="4"/>
  <c r="S140" i="4"/>
  <c r="S37" i="4"/>
  <c r="S49" i="4"/>
  <c r="T56" i="4"/>
  <c r="S61" i="4"/>
  <c r="T68" i="4"/>
  <c r="S73" i="4"/>
  <c r="T80" i="4"/>
  <c r="S85" i="4"/>
  <c r="T92" i="4"/>
  <c r="S101" i="4"/>
  <c r="S109" i="4"/>
  <c r="T116" i="4"/>
  <c r="S121" i="4"/>
  <c r="T128" i="4"/>
  <c r="S133" i="4"/>
  <c r="T140" i="4"/>
  <c r="S30" i="4"/>
  <c r="T37" i="4"/>
  <c r="S42" i="4"/>
  <c r="T49" i="4"/>
  <c r="S54" i="4"/>
  <c r="U56" i="4"/>
  <c r="T61" i="4"/>
  <c r="S66" i="4"/>
  <c r="T73" i="4"/>
  <c r="S78" i="4"/>
  <c r="T85" i="4"/>
  <c r="S90" i="4"/>
  <c r="S98" i="4"/>
  <c r="T101" i="4"/>
  <c r="S106" i="4"/>
  <c r="T109" i="4"/>
  <c r="S114" i="4"/>
  <c r="T121" i="4"/>
  <c r="S126" i="4"/>
  <c r="T133" i="4"/>
  <c r="S138" i="4"/>
  <c r="S28" i="4"/>
  <c r="S40" i="4"/>
  <c r="S52" i="4"/>
  <c r="S64" i="4"/>
  <c r="S76" i="4"/>
  <c r="S88" i="4"/>
  <c r="S104" i="4"/>
  <c r="S112" i="4"/>
  <c r="S124" i="4"/>
  <c r="S136" i="4"/>
  <c r="T28" i="4"/>
  <c r="T40" i="4"/>
  <c r="T52" i="4"/>
  <c r="T64" i="4"/>
  <c r="T76" i="4"/>
  <c r="T88" i="4"/>
  <c r="T104" i="4"/>
  <c r="T112" i="4"/>
  <c r="T124" i="4"/>
  <c r="T136" i="4"/>
  <c r="L130" i="4"/>
  <c r="M130" i="4" s="1"/>
  <c r="L140" i="4"/>
  <c r="M140" i="4" s="1"/>
  <c r="O131" i="4"/>
  <c r="P131" i="4" s="1"/>
  <c r="L136" i="4"/>
  <c r="M136" i="4" s="1"/>
  <c r="L143" i="4"/>
  <c r="M143" i="4" s="1"/>
  <c r="N135" i="4"/>
  <c r="Q135" i="4" s="1"/>
  <c r="N140" i="4"/>
  <c r="Q140" i="4" s="1"/>
  <c r="N136" i="4"/>
  <c r="Q136" i="4" s="1"/>
  <c r="O130" i="4"/>
  <c r="P130" i="4" s="1"/>
  <c r="L129" i="4"/>
  <c r="M129" i="4" s="1"/>
  <c r="N129" i="4"/>
  <c r="Q129" i="4" s="1"/>
  <c r="L132" i="4"/>
  <c r="M132" i="4" s="1"/>
  <c r="N132" i="4"/>
  <c r="Q132" i="4" s="1"/>
  <c r="L128" i="4"/>
  <c r="M128" i="4" s="1"/>
  <c r="O15" i="1" l="1"/>
  <c r="L15" i="1"/>
  <c r="N15" i="1"/>
  <c r="J16" i="4"/>
  <c r="J15" i="4"/>
  <c r="J87" i="4"/>
  <c r="K87" i="4" s="1"/>
  <c r="O87" i="4" s="1"/>
  <c r="P87" i="4" s="1"/>
  <c r="J122" i="4"/>
  <c r="K122" i="4"/>
  <c r="J117" i="4"/>
  <c r="K117" i="4" s="1"/>
  <c r="O117" i="4" s="1"/>
  <c r="P117" i="4" s="1"/>
  <c r="J120" i="4"/>
  <c r="J101" i="4"/>
  <c r="K101" i="4"/>
  <c r="O101" i="4" s="1"/>
  <c r="P101" i="4" s="1"/>
  <c r="J86" i="4"/>
  <c r="K86" i="4" s="1"/>
  <c r="J85" i="4"/>
  <c r="K85" i="4" s="1"/>
  <c r="J88" i="4"/>
  <c r="K88" i="4" s="1"/>
  <c r="J119" i="4"/>
  <c r="K119" i="4"/>
  <c r="O119" i="4" s="1"/>
  <c r="P119" i="4" s="1"/>
  <c r="J72" i="4"/>
  <c r="K72" i="4" s="1"/>
  <c r="J103" i="4"/>
  <c r="J118" i="4"/>
  <c r="K118" i="4" s="1"/>
  <c r="O118" i="4" s="1"/>
  <c r="P118" i="4" s="1"/>
  <c r="J104" i="4"/>
  <c r="K104" i="4"/>
  <c r="O104" i="4" s="1"/>
  <c r="P104" i="4" s="1"/>
  <c r="J90" i="4"/>
  <c r="K90" i="4" s="1"/>
  <c r="J71" i="4"/>
  <c r="K71" i="4" s="1"/>
  <c r="J110" i="4"/>
  <c r="K110" i="4" s="1"/>
  <c r="O110" i="4" s="1"/>
  <c r="P110" i="4" s="1"/>
  <c r="J82" i="4"/>
  <c r="K82" i="4" s="1"/>
  <c r="J113" i="4"/>
  <c r="K113" i="4"/>
  <c r="O113" i="4" s="1"/>
  <c r="P113" i="4" s="1"/>
  <c r="J97" i="4"/>
  <c r="K97" i="4"/>
  <c r="J81" i="4"/>
  <c r="K81" i="4" s="1"/>
  <c r="J116" i="4"/>
  <c r="K116" i="4"/>
  <c r="J100" i="4"/>
  <c r="K100" i="4" s="1"/>
  <c r="O100" i="4" s="1"/>
  <c r="P100" i="4" s="1"/>
  <c r="J84" i="4"/>
  <c r="K84" i="4"/>
  <c r="J114" i="4"/>
  <c r="K114" i="4"/>
  <c r="J78" i="4"/>
  <c r="K78" i="4" s="1"/>
  <c r="J115" i="4"/>
  <c r="K115" i="4" s="1"/>
  <c r="J99" i="4"/>
  <c r="K99" i="4"/>
  <c r="J83" i="4"/>
  <c r="K83" i="4" s="1"/>
  <c r="J102" i="4"/>
  <c r="K102" i="4"/>
  <c r="O102" i="4" s="1"/>
  <c r="P102" i="4" s="1"/>
  <c r="J74" i="4"/>
  <c r="K74" i="4"/>
  <c r="J125" i="4"/>
  <c r="K125" i="4" s="1"/>
  <c r="O125" i="4" s="1"/>
  <c r="P125" i="4" s="1"/>
  <c r="J109" i="4"/>
  <c r="K109" i="4" s="1"/>
  <c r="O109" i="4" s="1"/>
  <c r="P109" i="4" s="1"/>
  <c r="J93" i="4"/>
  <c r="K93" i="4" s="1"/>
  <c r="J77" i="4"/>
  <c r="K77" i="4" s="1"/>
  <c r="J112" i="4"/>
  <c r="K112" i="4" s="1"/>
  <c r="O112" i="4" s="1"/>
  <c r="P112" i="4" s="1"/>
  <c r="J96" i="4"/>
  <c r="K96" i="4"/>
  <c r="O96" i="4" s="1"/>
  <c r="P96" i="4" s="1"/>
  <c r="J80" i="4"/>
  <c r="K80" i="4" s="1"/>
  <c r="J106" i="4"/>
  <c r="K106" i="4"/>
  <c r="O106" i="4" s="1"/>
  <c r="P106" i="4" s="1"/>
  <c r="J127" i="4"/>
  <c r="K127" i="4"/>
  <c r="J111" i="4"/>
  <c r="K111" i="4"/>
  <c r="O111" i="4" s="1"/>
  <c r="P111" i="4" s="1"/>
  <c r="J95" i="4"/>
  <c r="K95" i="4" s="1"/>
  <c r="O95" i="4" s="1"/>
  <c r="P95" i="4" s="1"/>
  <c r="J79" i="4"/>
  <c r="K79" i="4" s="1"/>
  <c r="J126" i="4"/>
  <c r="K126" i="4" s="1"/>
  <c r="J94" i="4"/>
  <c r="K94" i="4" s="1"/>
  <c r="O94" i="4" s="1"/>
  <c r="P94" i="4" s="1"/>
  <c r="J121" i="4"/>
  <c r="K121" i="4"/>
  <c r="J105" i="4"/>
  <c r="K105" i="4"/>
  <c r="J89" i="4"/>
  <c r="K89" i="4" s="1"/>
  <c r="J73" i="4"/>
  <c r="K73" i="4" s="1"/>
  <c r="J124" i="4"/>
  <c r="K124" i="4"/>
  <c r="O124" i="4" s="1"/>
  <c r="P124" i="4" s="1"/>
  <c r="J108" i="4"/>
  <c r="K108" i="4"/>
  <c r="J92" i="4"/>
  <c r="K92" i="4" s="1"/>
  <c r="J76" i="4"/>
  <c r="K76" i="4"/>
  <c r="J98" i="4"/>
  <c r="L98" i="4" s="1"/>
  <c r="M98" i="4" s="1"/>
  <c r="J123" i="4"/>
  <c r="K123" i="4" s="1"/>
  <c r="O123" i="4" s="1"/>
  <c r="P123" i="4" s="1"/>
  <c r="J107" i="4"/>
  <c r="K107" i="4" s="1"/>
  <c r="J91" i="4"/>
  <c r="K91" i="4"/>
  <c r="O91" i="4" s="1"/>
  <c r="P91" i="4" s="1"/>
  <c r="J75" i="4"/>
  <c r="K75" i="4" s="1"/>
  <c r="O83" i="4"/>
  <c r="P83" i="4" s="1"/>
  <c r="O105" i="4"/>
  <c r="P105" i="4" s="1"/>
  <c r="O76" i="4"/>
  <c r="P76" i="4" s="1"/>
  <c r="O71" i="4"/>
  <c r="P71" i="4"/>
  <c r="O122" i="4"/>
  <c r="P122" i="4" s="1"/>
  <c r="O99" i="4"/>
  <c r="P99" i="4" s="1"/>
  <c r="I76" i="4"/>
  <c r="N76" i="4" s="1"/>
  <c r="Q76" i="4" s="1"/>
  <c r="I77" i="4"/>
  <c r="N77" i="4" s="1"/>
  <c r="Q77" i="4" s="1"/>
  <c r="I81" i="4"/>
  <c r="L81" i="4" s="1"/>
  <c r="I89" i="4"/>
  <c r="N89" i="4" s="1"/>
  <c r="Q89" i="4" s="1"/>
  <c r="I90" i="4"/>
  <c r="N90" i="4" s="1"/>
  <c r="Q90" i="4" s="1"/>
  <c r="I96" i="4"/>
  <c r="I99" i="4"/>
  <c r="L99" i="4" s="1"/>
  <c r="M99" i="4" s="1"/>
  <c r="I102" i="4"/>
  <c r="N102" i="4" s="1"/>
  <c r="Q102" i="4" s="1"/>
  <c r="I104" i="4"/>
  <c r="L104" i="4" s="1"/>
  <c r="M104" i="4" s="1"/>
  <c r="I108" i="4"/>
  <c r="I111" i="4"/>
  <c r="N111" i="4" s="1"/>
  <c r="Q111" i="4" s="1"/>
  <c r="I113" i="4"/>
  <c r="I115" i="4"/>
  <c r="I119" i="4"/>
  <c r="I120" i="4"/>
  <c r="N120" i="4" s="1"/>
  <c r="Q120" i="4" s="1"/>
  <c r="I123" i="4"/>
  <c r="I125" i="4"/>
  <c r="I79" i="4"/>
  <c r="I92" i="4"/>
  <c r="L92" i="4" s="1"/>
  <c r="I100" i="4"/>
  <c r="L100" i="4" s="1"/>
  <c r="M100" i="4" s="1"/>
  <c r="I103" i="4"/>
  <c r="N103" i="4" s="1"/>
  <c r="Q103" i="4" s="1"/>
  <c r="I107" i="4"/>
  <c r="N107" i="4" s="1"/>
  <c r="Q107" i="4" s="1"/>
  <c r="I109" i="4"/>
  <c r="I110" i="4"/>
  <c r="N110" i="4" s="1"/>
  <c r="Q110" i="4" s="1"/>
  <c r="I117" i="4"/>
  <c r="N117" i="4" s="1"/>
  <c r="Q117" i="4" s="1"/>
  <c r="I124" i="4"/>
  <c r="I72" i="4"/>
  <c r="N72" i="4" s="1"/>
  <c r="Q72" i="4" s="1"/>
  <c r="I106" i="4"/>
  <c r="L106" i="4" s="1"/>
  <c r="M106" i="4" s="1"/>
  <c r="I71" i="4"/>
  <c r="L71" i="4" s="1"/>
  <c r="I75" i="4"/>
  <c r="N75" i="4" s="1"/>
  <c r="Q75" i="4" s="1"/>
  <c r="I80" i="4"/>
  <c r="N80" i="4" s="1"/>
  <c r="Q80" i="4" s="1"/>
  <c r="I83" i="4"/>
  <c r="N83" i="4" s="1"/>
  <c r="Q83" i="4" s="1"/>
  <c r="I86" i="4"/>
  <c r="N86" i="4" s="1"/>
  <c r="Q86" i="4" s="1"/>
  <c r="I88" i="4"/>
  <c r="N88" i="4" s="1"/>
  <c r="Q88" i="4" s="1"/>
  <c r="I94" i="4"/>
  <c r="L94" i="4" s="1"/>
  <c r="M94" i="4" s="1"/>
  <c r="I95" i="4"/>
  <c r="N95" i="4" s="1"/>
  <c r="Q95" i="4" s="1"/>
  <c r="I98" i="4"/>
  <c r="N98" i="4" s="1"/>
  <c r="Q98" i="4" s="1"/>
  <c r="I101" i="4"/>
  <c r="I118" i="4"/>
  <c r="N118" i="4" s="1"/>
  <c r="Q118" i="4" s="1"/>
  <c r="I127" i="4"/>
  <c r="N127" i="4" s="1"/>
  <c r="Q127" i="4" s="1"/>
  <c r="I73" i="4"/>
  <c r="I74" i="4"/>
  <c r="I78" i="4"/>
  <c r="N78" i="4" s="1"/>
  <c r="Q78" i="4" s="1"/>
  <c r="I82" i="4"/>
  <c r="N82" i="4" s="1"/>
  <c r="Q82" i="4" s="1"/>
  <c r="I85" i="4"/>
  <c r="I93" i="4"/>
  <c r="I112" i="4"/>
  <c r="I114" i="4"/>
  <c r="N114" i="4" s="1"/>
  <c r="Q114" i="4" s="1"/>
  <c r="I121" i="4"/>
  <c r="I122" i="4"/>
  <c r="L122" i="4" s="1"/>
  <c r="M122" i="4" s="1"/>
  <c r="I84" i="4"/>
  <c r="N84" i="4" s="1"/>
  <c r="Q84" i="4" s="1"/>
  <c r="I87" i="4"/>
  <c r="N87" i="4" s="1"/>
  <c r="Q87" i="4" s="1"/>
  <c r="I91" i="4"/>
  <c r="N91" i="4" s="1"/>
  <c r="Q91" i="4" s="1"/>
  <c r="I97" i="4"/>
  <c r="L97" i="4" s="1"/>
  <c r="I105" i="4"/>
  <c r="N105" i="4" s="1"/>
  <c r="Q105" i="4" s="1"/>
  <c r="I116" i="4"/>
  <c r="N116" i="4" s="1"/>
  <c r="Q116" i="4" s="1"/>
  <c r="I126" i="4"/>
  <c r="L105" i="4"/>
  <c r="M105" i="4" s="1"/>
  <c r="N106" i="4"/>
  <c r="Q106" i="4" s="1"/>
  <c r="N79" i="4"/>
  <c r="Q79" i="4" s="1"/>
  <c r="L96" i="4"/>
  <c r="M96" i="4" s="1"/>
  <c r="N96" i="4"/>
  <c r="Q96" i="4" s="1"/>
  <c r="N125" i="4"/>
  <c r="Q125" i="4"/>
  <c r="N112" i="4"/>
  <c r="Q112" i="4" s="1"/>
  <c r="N123" i="4"/>
  <c r="Q123" i="4"/>
  <c r="N113" i="4"/>
  <c r="Q113" i="4" s="1"/>
  <c r="L113" i="4"/>
  <c r="M113" i="4" s="1"/>
  <c r="N122" i="4"/>
  <c r="Q122" i="4"/>
  <c r="N74" i="4"/>
  <c r="Q74" i="4" s="1"/>
  <c r="N94" i="4"/>
  <c r="Q94" i="4" s="1"/>
  <c r="N109" i="4"/>
  <c r="Q109" i="4"/>
  <c r="L109" i="4"/>
  <c r="M109" i="4" s="1"/>
  <c r="N81" i="4"/>
  <c r="Q81" i="4" s="1"/>
  <c r="N104" i="4" l="1"/>
  <c r="Q104" i="4" s="1"/>
  <c r="L79" i="4"/>
  <c r="L87" i="4"/>
  <c r="M87" i="4" s="1"/>
  <c r="L101" i="4"/>
  <c r="M101" i="4" s="1"/>
  <c r="N92" i="4"/>
  <c r="Q92" i="4" s="1"/>
  <c r="N101" i="4"/>
  <c r="Q101" i="4" s="1"/>
  <c r="N100" i="4"/>
  <c r="Q100" i="4" s="1"/>
  <c r="L125" i="4"/>
  <c r="M125" i="4" s="1"/>
  <c r="N99" i="4"/>
  <c r="Q99" i="4" s="1"/>
  <c r="L95" i="4"/>
  <c r="M95" i="4" s="1"/>
  <c r="N71" i="4"/>
  <c r="Q71" i="4" s="1"/>
  <c r="L124" i="4"/>
  <c r="L119" i="4"/>
  <c r="L102" i="4"/>
  <c r="M102" i="4" s="1"/>
  <c r="N97" i="4"/>
  <c r="Q97" i="4" s="1"/>
  <c r="L103" i="4"/>
  <c r="M103" i="4" s="1"/>
  <c r="L107" i="4"/>
  <c r="L74" i="4"/>
  <c r="L112" i="4"/>
  <c r="M112" i="4" s="1"/>
  <c r="M81" i="4"/>
  <c r="O115" i="4"/>
  <c r="P115" i="4" s="1"/>
  <c r="O79" i="4"/>
  <c r="P79" i="4" s="1"/>
  <c r="M74" i="4"/>
  <c r="O127" i="4"/>
  <c r="P127" i="4" s="1"/>
  <c r="L120" i="4"/>
  <c r="N119" i="4"/>
  <c r="Q119" i="4" s="1"/>
  <c r="K98" i="4"/>
  <c r="O98" i="4" s="1"/>
  <c r="P98" i="4" s="1"/>
  <c r="L127" i="4"/>
  <c r="O78" i="4"/>
  <c r="P78" i="4" s="1"/>
  <c r="K103" i="4"/>
  <c r="O103" i="4" s="1"/>
  <c r="P103" i="4" s="1"/>
  <c r="O74" i="4"/>
  <c r="P74" i="4" s="1"/>
  <c r="M107" i="4"/>
  <c r="O84" i="4"/>
  <c r="P84" i="4" s="1"/>
  <c r="O88" i="4"/>
  <c r="P88" i="4" s="1"/>
  <c r="N124" i="4"/>
  <c r="Q124" i="4" s="1"/>
  <c r="O75" i="4"/>
  <c r="P75" i="4" s="1"/>
  <c r="O72" i="4"/>
  <c r="P72" i="4" s="1"/>
  <c r="L114" i="4"/>
  <c r="O92" i="4"/>
  <c r="P92" i="4" s="1"/>
  <c r="O108" i="4"/>
  <c r="P108" i="4" s="1"/>
  <c r="L126" i="4"/>
  <c r="M71" i="4"/>
  <c r="M92" i="4"/>
  <c r="M79" i="4"/>
  <c r="O80" i="4"/>
  <c r="P80" i="4" s="1"/>
  <c r="L111" i="4"/>
  <c r="M111" i="4" s="1"/>
  <c r="L118" i="4"/>
  <c r="M118" i="4" s="1"/>
  <c r="L91" i="4"/>
  <c r="L110" i="4"/>
  <c r="M110" i="4" s="1"/>
  <c r="N126" i="4"/>
  <c r="Q126" i="4" s="1"/>
  <c r="L117" i="4"/>
  <c r="M117" i="4" s="1"/>
  <c r="O77" i="4"/>
  <c r="P77" i="4" s="1"/>
  <c r="O116" i="4"/>
  <c r="P116" i="4" s="1"/>
  <c r="O114" i="4"/>
  <c r="P114" i="4" s="1"/>
  <c r="M119" i="4"/>
  <c r="O107" i="4"/>
  <c r="P107" i="4" s="1"/>
  <c r="L116" i="4"/>
  <c r="O82" i="4"/>
  <c r="P82" i="4" s="1"/>
  <c r="L123" i="4"/>
  <c r="M123" i="4" s="1"/>
  <c r="L76" i="4"/>
  <c r="O126" i="4"/>
  <c r="P126" i="4" s="1"/>
  <c r="L75" i="4"/>
  <c r="O121" i="4"/>
  <c r="P121" i="4" s="1"/>
  <c r="O89" i="4"/>
  <c r="P89" i="4" s="1"/>
  <c r="O81" i="4"/>
  <c r="P81" i="4" s="1"/>
  <c r="K120" i="4"/>
  <c r="O85" i="4"/>
  <c r="P85" i="4" s="1"/>
  <c r="O93" i="4"/>
  <c r="P93" i="4" s="1"/>
  <c r="O97" i="4"/>
  <c r="P97" i="4" s="1"/>
  <c r="O86" i="4"/>
  <c r="P86" i="4" s="1"/>
  <c r="N85" i="4"/>
  <c r="Q85" i="4" s="1"/>
  <c r="L85" i="4"/>
  <c r="N121" i="4"/>
  <c r="Q121" i="4" s="1"/>
  <c r="L121" i="4"/>
  <c r="N108" i="4"/>
  <c r="Q108" i="4" s="1"/>
  <c r="L108" i="4"/>
  <c r="L89" i="4"/>
  <c r="L86" i="4"/>
  <c r="L88" i="4"/>
  <c r="O90" i="4"/>
  <c r="P90" i="4" s="1"/>
  <c r="N115" i="4"/>
  <c r="Q115" i="4" s="1"/>
  <c r="L115" i="4"/>
  <c r="O73" i="4"/>
  <c r="P73" i="4" s="1"/>
  <c r="L90" i="4"/>
  <c r="M97" i="4"/>
  <c r="N93" i="4"/>
  <c r="Q93" i="4" s="1"/>
  <c r="L93" i="4"/>
  <c r="L80" i="4"/>
  <c r="L82" i="4"/>
  <c r="L72" i="4"/>
  <c r="L84" i="4"/>
  <c r="L83" i="4"/>
  <c r="L73" i="4"/>
  <c r="L78" i="4"/>
  <c r="N73" i="4"/>
  <c r="Q73" i="4" s="1"/>
  <c r="L77" i="4"/>
  <c r="J14" i="4"/>
  <c r="J13" i="4" s="1"/>
  <c r="K16" i="4" s="1"/>
  <c r="M124" i="4" l="1"/>
  <c r="M88" i="4"/>
  <c r="M80" i="4"/>
  <c r="M93" i="4"/>
  <c r="M91" i="4"/>
  <c r="M121" i="4"/>
  <c r="M127" i="4"/>
  <c r="M116" i="4"/>
  <c r="M114" i="4"/>
  <c r="M72" i="4"/>
  <c r="M90" i="4"/>
  <c r="M108" i="4"/>
  <c r="M77" i="4"/>
  <c r="M85" i="4"/>
  <c r="M120" i="4"/>
  <c r="M75" i="4"/>
  <c r="M86" i="4"/>
  <c r="M82" i="4"/>
  <c r="M84" i="4"/>
  <c r="O120" i="4"/>
  <c r="P120" i="4" s="1"/>
  <c r="M89" i="4"/>
  <c r="M78" i="4"/>
  <c r="M115" i="4"/>
  <c r="M73" i="4"/>
  <c r="M83" i="4"/>
  <c r="M76" i="4"/>
  <c r="M126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0" i="4" l="1"/>
  <c r="P60" i="4" s="1"/>
  <c r="O62" i="4"/>
  <c r="P62" i="4" s="1"/>
  <c r="O61" i="4"/>
  <c r="P61" i="4" s="1"/>
  <c r="O58" i="4"/>
  <c r="P58" i="4" s="1"/>
  <c r="O57" i="4"/>
  <c r="P57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0" i="4" l="1"/>
  <c r="M62" i="4"/>
  <c r="M61" i="4"/>
  <c r="M70" i="4"/>
  <c r="M63" i="4"/>
  <c r="O65" i="4"/>
  <c r="P65" i="4" s="1"/>
  <c r="M65" i="4"/>
  <c r="M64" i="4"/>
  <c r="O64" i="4"/>
  <c r="P64" i="4" s="1"/>
  <c r="M69" i="4"/>
  <c r="M58" i="4"/>
  <c r="O68" i="4"/>
  <c r="P68" i="4" s="1"/>
  <c r="O69" i="4"/>
  <c r="P69" i="4" s="1"/>
  <c r="M57" i="4"/>
  <c r="O66" i="4"/>
  <c r="P66" i="4" s="1"/>
  <c r="M66" i="4"/>
  <c r="O67" i="4"/>
  <c r="P67" i="4" s="1"/>
  <c r="M67" i="4"/>
  <c r="M68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J30" i="4"/>
  <c r="J43" i="4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30" i="4"/>
  <c r="L30" i="4"/>
  <c r="M48" i="4" l="1"/>
  <c r="O49" i="4"/>
  <c r="P49" i="4" s="1"/>
  <c r="O48" i="4"/>
  <c r="P48" i="4" s="1"/>
  <c r="M49" i="4"/>
  <c r="M35" i="4"/>
  <c r="O45" i="4"/>
  <c r="P45" i="4" s="1"/>
  <c r="O30" i="4"/>
  <c r="P30" i="4" s="1"/>
  <c r="O46" i="4"/>
  <c r="P46" i="4" s="1"/>
  <c r="M44" i="4"/>
  <c r="M45" i="4"/>
  <c r="M31" i="4"/>
  <c r="O31" i="4"/>
  <c r="P31" i="4" s="1"/>
  <c r="O28" i="4"/>
  <c r="P28" i="4" s="1"/>
  <c r="M47" i="4"/>
  <c r="O47" i="4"/>
  <c r="P47" i="4" s="1"/>
  <c r="O33" i="4"/>
  <c r="P33" i="4" s="1"/>
  <c r="K35" i="4"/>
  <c r="O43" i="4"/>
  <c r="P43" i="4" s="1"/>
  <c r="M43" i="4"/>
  <c r="O39" i="4"/>
  <c r="P39" i="4" s="1"/>
  <c r="O41" i="4"/>
  <c r="P41" i="4" s="1"/>
  <c r="M39" i="4"/>
  <c r="K36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41" i="4" l="1"/>
  <c r="M46" i="4"/>
  <c r="O35" i="4"/>
  <c r="P35" i="4" s="1"/>
  <c r="O29" i="4"/>
  <c r="P29" i="4" s="1"/>
  <c r="O32" i="4"/>
  <c r="P32" i="4" s="1"/>
  <c r="O38" i="4"/>
  <c r="P38" i="4" s="1"/>
  <c r="O40" i="4"/>
  <c r="P40" i="4" s="1"/>
  <c r="M33" i="4"/>
  <c r="O37" i="4"/>
  <c r="P37" i="4" s="1"/>
  <c r="O44" i="4"/>
  <c r="P44" i="4" s="1"/>
  <c r="O36" i="4"/>
  <c r="P36" i="4" s="1"/>
  <c r="O34" i="4"/>
  <c r="P34" i="4" s="1"/>
  <c r="O42" i="4"/>
  <c r="P42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<sst xmlns="http://schemas.openxmlformats.org/spreadsheetml/2006/main" count="340" uniqueCount="315">
  <si>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</si>
  <si>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</si>
  <si>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</si>
  <si>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</si>
  <si>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</si>
  <si>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</si>
  <si>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</si>
  <si>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</si>
  <si>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</si>
  <si>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</si>
  <si>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</si>
  <si>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</si>
  <si>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</si>
  <si>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</si>
  <si>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</si>
  <si>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</si>
  <si>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</si>
  <si>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</si>
  <si>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</si>
  <si>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</si>
  <si>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</si>
  <si>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</si>
  <si>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</si>
  <si>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</si>
  <si>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</si>
  <si>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</si>
  <si>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</si>
  <si>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</si>
  <si>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</si>
  <si>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</si>
  <si>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</si>
  <si>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</si>
  <si>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</si>
  <si>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</si>
  <si>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</si>
  <si>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</si>
  <si>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</si>
  <si>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</si>
  <si>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</si>
  <si>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</si>
  <si>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</si>
  <si>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</si>
  <si>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</si>
  <si>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</si>
  <si>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</si>
  <si>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</si>
  <si>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</si>
  <si>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</si>
  <si>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</si>
  <si>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</si>
  <si>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</si>
  <si>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</si>
  <si>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</si>
  <si>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</si>
  <si>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</si>
  <si>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</si>
  <si>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</si>
  <si>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</si>
  <si>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</si>
  <si>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</si>
  <si>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</si>
  <si>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</si>
  <si>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</si>
  <si>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</si>
  <si>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</si>
  <si>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</si>
  <si>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</si>
  <si>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</si>
  <si>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</si>
  <si>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</si>
  <si>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</si>
  <si>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</si>
  <si>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</si>
  <si>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</si>
  <si>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</si>
  <si>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</si>
  <si>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</si>
  <si>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</si>
  <si>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</si>
  <si>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</si>
  <si>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</si>
  <si>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</si>
  <si>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</si>
  <si>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</si>
  <si>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</si>
  <si>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</si>
  <si>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</si>
  <si>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</si>
  <si>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</si>
  <si>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</si>
  <si>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</si>
  <si>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</si>
  <si>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</si>
  <si>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</si>
  <si>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</si>
  <si>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</si>
  <si>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</si>
  <si>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</si>
  <si>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</si>
  <si>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</si>
  <si>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</si>
  <si>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</si>
  <si>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</si>
  <si>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</si>
  <si>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</si>
  <si>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</si>
  <si>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</si>
  <si>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</si>
  <si>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</si>
  <si>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</si>
  <si>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</si>
  <si>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</si>
  <si>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SH-SY5Y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</si>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</sst>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112</v>
      </c>
      <c r="K17" s="31" t="s">
        <v>80</v>
      </c>
      <c r="L17" s="80">
        <v>1.8482799999999999E-3</v>
      </c>
      <c r="M17" s="80">
        <v>9.2119999999999992E-5</v>
      </c>
      <c r="N17" s="80">
        <v>1.9599999999999999E-5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04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150.03919999999999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149.25996560000002</v>
      </c>
      <c r="K8" s="39">
        <f>J8/J7</f>
        <v>0.99480646124479488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0.72184240000000011</v>
      </c>
      <c r="K9" s="39">
        <f>J9/J7</f>
        <v>4.8110253853659588E-3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5.7391999999999999E-2</v>
      </c>
      <c r="K10" s="39">
        <f>J10/J7</f>
        <v>3.8251336983934867E-4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3.9199999999999999E-2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3.6965599999999994E-2</v>
      </c>
      <c r="K20" s="39">
        <f>J20/J19</f>
        <v>0.94299999999999984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1.8423999999999999E-3</v>
      </c>
      <c r="K21" s="39">
        <f>J21/J19</f>
        <v>4.7E-2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3.9199999999999999E-4</v>
      </c>
      <c r="K22" s="39">
        <f>J22/J19</f>
        <v>0.01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89</v>
      </c>
      <c r="C28" s="46" t="s">
        <v>90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3.7217650281818146E-4</v>
      </c>
      <c r="J28" s="92">
        <f t="shared" ref="J28:J47" si="2">IF(D28=0,"",LOG($K$21*10^D28+$K$22*10^E28+$K$20))</f>
        <v>4.1938241790910741E-3</v>
      </c>
      <c r="K28" s="93">
        <f t="shared" ref="K28:K47" si="3">IF(D28=0,"",1/(1+10^D28*$J$15/$J$14+10^E28*$J$16/$J$14+10^J28*$J$19/$J$14))</f>
        <v>0.99370585249873222</v>
      </c>
      <c r="L28" s="93">
        <f t="shared" ref="L28:L47" si="4">IF(D28=0,"",1/(1+10^I28/10^J28*$J$13/$J$19))</f>
        <v>2.6357363858833013E-4</v>
      </c>
      <c r="M28" s="93">
        <f t="shared" ref="M28:M47" si="5">IF(D28=0,"",1-L28)</f>
        <v>0.99973642636141169</v>
      </c>
      <c r="N28" s="93">
        <f t="shared" ref="N28:N47" si="6">IF(D28=0,"",1/(1/10^E28*$J$20/$J$22+10^D28/10^E28*$J$21/$J$22+10^I28/10^E28*$J$13/$J$22+1))</f>
        <v>3.1544536305267446E-6</v>
      </c>
      <c r="O28" s="40">
        <f t="shared" ref="O28:O47" si="7">IF(D28=0,"",F28*K28*$J$7/$J$14)</f>
        <v>9.9914109181713096E-7</v>
      </c>
      <c r="P28" s="40">
        <f t="shared" ref="P28:P47" si="8">IF(D28=0,"",O28*10^J28)</f>
        <v>1.0088361702776067E-6</v>
      </c>
      <c r="Q28" s="40">
        <f t="shared" ref="Q28:Q47" si="9">IF(D28=0,"",F28*N28*$J$7/$J$22)</f>
        <v>1.2073767835748173E-6</v>
      </c>
      <c r="R28" s="9">
        <f>F28*$C$14</f>
        <v>1.4999999999999999E-4</v>
      </c>
      <c r="S28" s="9">
        <f>$R28*L28</f>
        <v>3.9536045788249518E-8</v>
      </c>
      <c r="T28" s="9">
        <f t="shared" ref="T28:T91" si="10">R28*K28</f>
        <v>1.4905587787480981E-4</v>
      </c>
      <c r="U28" s="9">
        <f t="shared" ref="U28:U91" si="11">$R28*M28</f>
        <v>1.4996046395421175E-4</v>
      </c>
      <c r="V28" s="100">
        <f>K28/M28</f>
        <v>0.99396783621796392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163</v>
      </c>
      <c r="C29" s="46" t="s">
        <v>164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0.32619780382173885</v>
      </c>
      <c r="J29" s="92">
        <f t="shared" si="2"/>
        <v>1.1565813225528148</v>
      </c>
      <c r="K29" s="93">
        <f t="shared" si="3"/>
        <v>0.46857528686914096</v>
      </c>
      <c r="L29" s="93">
        <f t="shared" si="4"/>
        <v>1.7652694383717554E-3</v>
      </c>
      <c r="M29" s="93">
        <f t="shared" si="5"/>
        <v>0.99823473056162826</v>
      </c>
      <c r="N29" s="93">
        <f t="shared" si="6"/>
        <v>4.6798257195365987E-4</v>
      </c>
      <c r="O29" s="40">
        <f t="shared" si="7"/>
        <v>4.7113823727988582E-7</v>
      </c>
      <c r="P29" s="40">
        <f t="shared" si="8"/>
        <v>6.7566228142282506E-6</v>
      </c>
      <c r="Q29" s="40">
        <f t="shared" si="9"/>
        <v>1.7912176201497336E-4</v>
      </c>
      <c r="R29" s="9">
        <f t="shared" ref="R29:R92" si="12">F29*$C$14</f>
        <v>1.4999999999999999E-4</v>
      </c>
      <c r="S29" s="9">
        <f t="shared" ref="S29:S92" si="13">$R29*L29</f>
        <v>2.6479041575576329E-7</v>
      </c>
      <c r="T29" s="9">
        <f t="shared" si="10"/>
        <v>7.0286293030371138E-5</v>
      </c>
      <c r="U29" s="9">
        <f t="shared" si="11"/>
        <v>1.4973520958424424E-4</v>
      </c>
      <c r="V29" s="100">
        <f t="shared" ref="V29:V92" si="14">K29/M29</f>
        <v>0.46940391124791908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165</v>
      </c>
      <c r="C30" s="46" t="s">
        <v>166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2.0854020627961285</v>
      </c>
      <c r="J30" s="92">
        <f t="shared" si="2"/>
        <v>3.0740461578301499</v>
      </c>
      <c r="K30" s="93">
        <f t="shared" si="3"/>
        <v>8.1515122578207679E-3</v>
      </c>
      <c r="L30" s="93">
        <f t="shared" si="4"/>
        <v>2.5394206330082545E-3</v>
      </c>
      <c r="M30" s="93">
        <f t="shared" si="5"/>
        <v>0.99746057936699173</v>
      </c>
      <c r="N30" s="93">
        <f t="shared" si="6"/>
        <v>9.3473496018543396E-6</v>
      </c>
      <c r="O30" s="40">
        <f t="shared" si="7"/>
        <v>8.1960983089310733E-9</v>
      </c>
      <c r="P30" s="40">
        <f t="shared" si="8"/>
        <v>9.7197102102054172E-6</v>
      </c>
      <c r="Q30" s="40">
        <f t="shared" si="9"/>
        <v>3.5777266744452641E-6</v>
      </c>
      <c r="R30" s="9">
        <f t="shared" si="12"/>
        <v>1.4999999999999999E-4</v>
      </c>
      <c r="S30" s="9">
        <f t="shared" si="13"/>
        <v>3.8091309495123816E-7</v>
      </c>
      <c r="T30" s="9">
        <f t="shared" si="10"/>
        <v>1.2227268386731152E-6</v>
      </c>
      <c r="U30" s="9">
        <f t="shared" si="11"/>
        <v>1.4961908690504876E-4</v>
      </c>
      <c r="V30" s="100">
        <f t="shared" si="14"/>
        <v>8.1722650763741255E-3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91</v>
      </c>
      <c r="C31" s="46" t="s">
        <v>92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-2.0020416091501053E-3</v>
      </c>
      <c r="J31" s="92">
        <f t="shared" si="2"/>
        <v>-2.2830594724809087E-2</v>
      </c>
      <c r="K31" s="93">
        <f t="shared" si="3"/>
        <v>0.99916769032072938</v>
      </c>
      <c r="L31" s="93">
        <f t="shared" si="4"/>
        <v>2.4903368067560373E-4</v>
      </c>
      <c r="M31" s="93">
        <f t="shared" si="5"/>
        <v>0.99975096631932436</v>
      </c>
      <c r="N31" s="93">
        <f t="shared" si="6"/>
        <v>4.2675628934297198E-8</v>
      </c>
      <c r="O31" s="40">
        <f t="shared" si="7"/>
        <v>1.0046328040688763E-6</v>
      </c>
      <c r="P31" s="40">
        <f t="shared" si="8"/>
        <v>9.5318403626589396E-7</v>
      </c>
      <c r="Q31" s="40">
        <f t="shared" si="9"/>
        <v>1.6334227614282662E-8</v>
      </c>
      <c r="R31" s="9">
        <f t="shared" si="12"/>
        <v>1.4999999999999999E-4</v>
      </c>
      <c r="S31" s="9">
        <f t="shared" si="13"/>
        <v>3.7355052101340553E-8</v>
      </c>
      <c r="T31" s="9">
        <f t="shared" si="10"/>
        <v>1.4987515354810939E-4</v>
      </c>
      <c r="U31" s="9">
        <f t="shared" si="11"/>
        <v>1.4996264494789865E-4</v>
      </c>
      <c r="V31" s="100">
        <f t="shared" si="14"/>
        <v>0.99941657870985379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93</v>
      </c>
      <c r="C32" s="46" t="s">
        <v>94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5.4008424806920542E-3</v>
      </c>
      <c r="J32" s="92">
        <f t="shared" si="2"/>
        <v>5.2623632451242651E-2</v>
      </c>
      <c r="K32" s="93">
        <f t="shared" si="3"/>
        <v>0.98223894891812313</v>
      </c>
      <c r="L32" s="93">
        <f t="shared" si="4"/>
        <v>2.9126686670160918E-4</v>
      </c>
      <c r="M32" s="93">
        <f t="shared" si="5"/>
        <v>0.99970873313329844</v>
      </c>
      <c r="N32" s="93">
        <f t="shared" si="6"/>
        <v>5.1645089360390995E-6</v>
      </c>
      <c r="O32" s="40">
        <f t="shared" si="7"/>
        <v>9.8761146810153952E-7</v>
      </c>
      <c r="P32" s="40">
        <f t="shared" si="8"/>
        <v>1.1148328486330632E-6</v>
      </c>
      <c r="Q32" s="40">
        <f t="shared" si="9"/>
        <v>1.976731604990198E-6</v>
      </c>
      <c r="R32" s="9">
        <f t="shared" si="12"/>
        <v>1.4999999999999999E-4</v>
      </c>
      <c r="S32" s="9">
        <f t="shared" si="13"/>
        <v>4.3690030005241373E-8</v>
      </c>
      <c r="T32" s="9">
        <f t="shared" si="10"/>
        <v>1.4733584233771847E-4</v>
      </c>
      <c r="U32" s="9">
        <f t="shared" si="11"/>
        <v>1.4995630996999477E-4</v>
      </c>
      <c r="V32" s="100">
        <f t="shared" si="14"/>
        <v>0.98252512593300922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167</v>
      </c>
      <c r="C33" s="94" t="s">
        <v>111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9.1527063522880606E-2</v>
      </c>
      <c r="J33" s="92">
        <f t="shared" si="2"/>
        <v>0.57389670394462478</v>
      </c>
      <c r="K33" s="93">
        <f t="shared" si="3"/>
        <v>0.80514287558687991</v>
      </c>
      <c r="L33" s="93">
        <f t="shared" si="4"/>
        <v>7.9290281275866284E-4</v>
      </c>
      <c r="M33" s="93">
        <f t="shared" si="5"/>
        <v>0.99920709718724132</v>
      </c>
      <c r="N33" s="93">
        <f t="shared" si="6"/>
        <v>1.5426189675786216E-4</v>
      </c>
      <c r="O33" s="40">
        <f t="shared" si="7"/>
        <v>8.0954673836308731E-7</v>
      </c>
      <c r="P33" s="40">
        <f t="shared" si="8"/>
        <v>3.0348597883688674E-6</v>
      </c>
      <c r="Q33" s="40">
        <f t="shared" si="9"/>
        <v>5.9044213214367934E-5</v>
      </c>
      <c r="R33" s="9">
        <f t="shared" si="12"/>
        <v>1.4999999999999999E-4</v>
      </c>
      <c r="S33" s="9">
        <f t="shared" si="13"/>
        <v>1.1893542191379941E-7</v>
      </c>
      <c r="T33" s="9">
        <f t="shared" si="10"/>
        <v>1.2077143133803198E-4</v>
      </c>
      <c r="U33" s="9">
        <f t="shared" si="11"/>
        <v>1.4988106457808619E-4</v>
      </c>
      <c r="V33" s="100">
        <f t="shared" si="14"/>
        <v>0.80578178222847863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95</v>
      </c>
      <c r="C34" s="46" t="s">
        <v>96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3.1608226539332684E-3</v>
      </c>
      <c r="J34" s="92">
        <f t="shared" si="2"/>
        <v>3.0584256456650125E-2</v>
      </c>
      <c r="K34" s="93">
        <f t="shared" si="3"/>
        <v>0.9873310806438319</v>
      </c>
      <c r="L34" s="93">
        <f t="shared" si="4"/>
        <v>2.7828984903802373E-4</v>
      </c>
      <c r="M34" s="93">
        <f t="shared" si="5"/>
        <v>0.99972171015096201</v>
      </c>
      <c r="N34" s="93">
        <f t="shared" si="6"/>
        <v>3.1874143151638125E-6</v>
      </c>
      <c r="O34" s="40">
        <f t="shared" si="7"/>
        <v>9.9273145208805606E-7</v>
      </c>
      <c r="P34" s="40">
        <f t="shared" si="8"/>
        <v>1.0651629162700472E-6</v>
      </c>
      <c r="Q34" s="40">
        <f t="shared" si="9"/>
        <v>1.2199925865197099E-6</v>
      </c>
      <c r="R34" s="9">
        <f t="shared" si="12"/>
        <v>1.4999999999999999E-4</v>
      </c>
      <c r="S34" s="9">
        <f t="shared" si="13"/>
        <v>4.1743477355703554E-8</v>
      </c>
      <c r="T34" s="9">
        <f t="shared" si="10"/>
        <v>1.4809966209657478E-4</v>
      </c>
      <c r="U34" s="9">
        <f t="shared" si="11"/>
        <v>1.4995825652264428E-4</v>
      </c>
      <c r="V34" s="100">
        <f t="shared" si="14"/>
        <v>0.98760592134659253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97</v>
      </c>
      <c r="C35" s="46" t="s">
        <v>98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1.8333114105419375E-3</v>
      </c>
      <c r="J35" s="92">
        <f t="shared" si="2"/>
        <v>1.7172996903480509E-2</v>
      </c>
      <c r="K35" s="93">
        <f t="shared" si="3"/>
        <v>0.99036124307287987</v>
      </c>
      <c r="L35" s="93">
        <f t="shared" si="4"/>
        <v>2.7065554767953748E-4</v>
      </c>
      <c r="M35" s="93">
        <f t="shared" si="5"/>
        <v>0.99972934445232042</v>
      </c>
      <c r="N35" s="93">
        <f t="shared" si="6"/>
        <v>2.1512558876628459E-6</v>
      </c>
      <c r="O35" s="40">
        <f t="shared" si="7"/>
        <v>9.9577818849413565E-7</v>
      </c>
      <c r="P35" s="40">
        <f t="shared" si="8"/>
        <v>1.0359423941173379E-6</v>
      </c>
      <c r="Q35" s="40">
        <f t="shared" si="9"/>
        <v>8.2339977648016144E-7</v>
      </c>
      <c r="R35" s="9">
        <f t="shared" si="12"/>
        <v>1.4999999999999999E-4</v>
      </c>
      <c r="S35" s="9">
        <f t="shared" si="13"/>
        <v>4.0598332151930616E-8</v>
      </c>
      <c r="T35" s="9">
        <f t="shared" si="10"/>
        <v>1.4855418646093197E-4</v>
      </c>
      <c r="U35" s="9">
        <f t="shared" si="11"/>
        <v>1.4995940166784806E-4</v>
      </c>
      <c r="V35" s="100">
        <f t="shared" si="14"/>
        <v>0.99062936240550925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168</v>
      </c>
      <c r="C36" s="46" t="s">
        <v>169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1.2834731216469764</v>
      </c>
      <c r="J36" s="92">
        <f t="shared" si="2"/>
        <v>2.4171487022124163</v>
      </c>
      <c r="K36" s="93">
        <f t="shared" si="3"/>
        <v>5.1609553055382375E-2</v>
      </c>
      <c r="L36" s="93">
        <f t="shared" si="4"/>
        <v>3.5426569546299878E-3</v>
      </c>
      <c r="M36" s="93">
        <f t="shared" si="5"/>
        <v>0.99645734304537004</v>
      </c>
      <c r="N36" s="93">
        <f t="shared" si="6"/>
        <v>1.7711135196097538E-3</v>
      </c>
      <c r="O36" s="40">
        <f t="shared" si="7"/>
        <v>5.1891840083546944E-8</v>
      </c>
      <c r="P36" s="40">
        <f t="shared" si="8"/>
        <v>1.3559627942528575E-5</v>
      </c>
      <c r="Q36" s="40">
        <f t="shared" si="9"/>
        <v>6.7789912140671371E-4</v>
      </c>
      <c r="R36" s="9">
        <f t="shared" si="12"/>
        <v>1.4999999999999999E-4</v>
      </c>
      <c r="S36" s="9">
        <f t="shared" si="13"/>
        <v>5.3139854319449816E-7</v>
      </c>
      <c r="T36" s="9">
        <f t="shared" si="10"/>
        <v>7.7414329583073548E-6</v>
      </c>
      <c r="U36" s="9">
        <f t="shared" si="11"/>
        <v>1.4946860145680549E-4</v>
      </c>
      <c r="V36" s="100">
        <f t="shared" si="14"/>
        <v>5.1793038021731477E-2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170</v>
      </c>
      <c r="C37" s="94" t="s">
        <v>171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3.1977472098667894</v>
      </c>
      <c r="J37" s="92">
        <f t="shared" si="2"/>
        <v>4.5456726093926623</v>
      </c>
      <c r="K37" s="93">
        <f t="shared" si="3"/>
        <v>6.2730086945622589E-4</v>
      </c>
      <c r="L37" s="93">
        <f t="shared" si="4"/>
        <v>5.7889366773719933E-3</v>
      </c>
      <c r="M37" s="93">
        <f t="shared" si="5"/>
        <v>0.99421106332262799</v>
      </c>
      <c r="N37" s="93">
        <f t="shared" si="6"/>
        <v>5.1699708010336191E-3</v>
      </c>
      <c r="O37" s="40">
        <f t="shared" si="7"/>
        <v>6.3073199582180068E-10</v>
      </c>
      <c r="P37" s="40">
        <f t="shared" si="8"/>
        <v>2.2157332344988601E-5</v>
      </c>
      <c r="Q37" s="40">
        <f t="shared" si="9"/>
        <v>1.9788221505368454E-3</v>
      </c>
      <c r="R37" s="9">
        <f t="shared" si="12"/>
        <v>1.4999999999999999E-4</v>
      </c>
      <c r="S37" s="9">
        <f t="shared" si="13"/>
        <v>8.6834050160579889E-7</v>
      </c>
      <c r="T37" s="9">
        <f t="shared" si="10"/>
        <v>9.4095130418433871E-8</v>
      </c>
      <c r="U37" s="9">
        <f t="shared" si="11"/>
        <v>1.4913165949839417E-4</v>
      </c>
      <c r="V37" s="100">
        <f t="shared" si="14"/>
        <v>6.309534188442868E-4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172</v>
      </c>
      <c r="C38" s="46" t="s">
        <v>173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-1.5996885357091404E-3</v>
      </c>
      <c r="J38" s="92">
        <f t="shared" si="2"/>
        <v>-1.858350994860922E-2</v>
      </c>
      <c r="K38" s="93">
        <f t="shared" si="3"/>
        <v>0.99824022735260864</v>
      </c>
      <c r="L38" s="93">
        <f t="shared" si="4"/>
        <v>2.5124756267852591E-4</v>
      </c>
      <c r="M38" s="93">
        <f t="shared" si="5"/>
        <v>0.99974875243732142</v>
      </c>
      <c r="N38" s="93">
        <f t="shared" si="6"/>
        <v>1.6374903728048278E-7</v>
      </c>
      <c r="O38" s="40">
        <f t="shared" si="7"/>
        <v>1.0037002681879032E-6</v>
      </c>
      <c r="P38" s="40">
        <f t="shared" si="8"/>
        <v>9.6165773740397642E-7</v>
      </c>
      <c r="Q38" s="40">
        <f t="shared" si="9"/>
        <v>6.2675445291667891E-8</v>
      </c>
      <c r="R38" s="9">
        <f t="shared" si="12"/>
        <v>1.4999999999999999E-4</v>
      </c>
      <c r="S38" s="9">
        <f t="shared" si="13"/>
        <v>3.7687134401778883E-8</v>
      </c>
      <c r="T38" s="9">
        <f t="shared" si="10"/>
        <v>1.4973603410289128E-4</v>
      </c>
      <c r="U38" s="9">
        <f t="shared" si="11"/>
        <v>1.4996231286559819E-4</v>
      </c>
      <c r="V38" s="100">
        <f t="shared" si="14"/>
        <v>0.99849109580678641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99</v>
      </c>
      <c r="C39" s="46" t="s">
        <v>100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0.33491051106253611</v>
      </c>
      <c r="J39" s="92">
        <f t="shared" si="2"/>
        <v>1.1540090280827044</v>
      </c>
      <c r="K39" s="93">
        <f t="shared" si="3"/>
        <v>0.4592893101319801</v>
      </c>
      <c r="L39" s="93">
        <f t="shared" si="4"/>
        <v>1.7200681953061367E-3</v>
      </c>
      <c r="M39" s="93">
        <f t="shared" si="5"/>
        <v>0.99827993180469388</v>
      </c>
      <c r="N39" s="93">
        <f t="shared" si="6"/>
        <v>3.6163348579959943E-4</v>
      </c>
      <c r="O39" s="40">
        <f t="shared" si="7"/>
        <v>4.618014693495921E-7</v>
      </c>
      <c r="P39" s="40">
        <f t="shared" si="8"/>
        <v>6.583613672683074E-6</v>
      </c>
      <c r="Q39" s="40">
        <f t="shared" si="9"/>
        <v>1.3841632373107974E-4</v>
      </c>
      <c r="R39" s="9">
        <f t="shared" si="12"/>
        <v>1.4999999999999999E-4</v>
      </c>
      <c r="S39" s="9">
        <f t="shared" si="13"/>
        <v>2.5801022929592049E-7</v>
      </c>
      <c r="T39" s="9">
        <f t="shared" si="10"/>
        <v>6.889339651979701E-5</v>
      </c>
      <c r="U39" s="9">
        <f t="shared" si="11"/>
        <v>1.4974198977070406E-4</v>
      </c>
      <c r="V39" s="100">
        <f t="shared" si="14"/>
        <v>0.46008068027740007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174</v>
      </c>
      <c r="C40" s="46" t="s">
        <v>175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0.37071855582347524</v>
      </c>
      <c r="J40" s="92">
        <f t="shared" si="2"/>
        <v>1.2741658230618662</v>
      </c>
      <c r="K40" s="93">
        <f t="shared" si="3"/>
        <v>0.422783655135821</v>
      </c>
      <c r="L40" s="93">
        <f t="shared" si="4"/>
        <v>2.088018356155128E-3</v>
      </c>
      <c r="M40" s="93">
        <f t="shared" si="5"/>
        <v>0.99791198164384487</v>
      </c>
      <c r="N40" s="93">
        <f t="shared" si="6"/>
        <v>8.1475251357033727E-4</v>
      </c>
      <c r="O40" s="40">
        <f t="shared" si="7"/>
        <v>4.250961406060357E-7</v>
      </c>
      <c r="P40" s="40">
        <f t="shared" si="8"/>
        <v>7.9919541771130221E-6</v>
      </c>
      <c r="Q40" s="40">
        <f t="shared" si="9"/>
        <v>3.1184901870939422E-4</v>
      </c>
      <c r="R40" s="9">
        <f t="shared" si="12"/>
        <v>1.4999999999999999E-4</v>
      </c>
      <c r="S40" s="9">
        <f t="shared" si="13"/>
        <v>3.132027534232692E-7</v>
      </c>
      <c r="T40" s="9">
        <f t="shared" si="10"/>
        <v>6.3417548270373146E-5</v>
      </c>
      <c r="U40" s="9">
        <f t="shared" si="11"/>
        <v>1.4968679724657673E-4</v>
      </c>
      <c r="V40" s="100">
        <f t="shared" si="14"/>
        <v>0.42366828228615522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176</v>
      </c>
      <c r="C41" s="94" t="s">
        <v>177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6.2122287627494992E-2</v>
      </c>
      <c r="J41" s="92">
        <f t="shared" si="2"/>
        <v>0.43147013822686364</v>
      </c>
      <c r="K41" s="93">
        <f t="shared" si="3"/>
        <v>0.86170108722678129</v>
      </c>
      <c r="L41" s="93">
        <f t="shared" si="4"/>
        <v>6.11331929459591E-4</v>
      </c>
      <c r="M41" s="93">
        <f t="shared" si="5"/>
        <v>0.99938866807054039</v>
      </c>
      <c r="N41" s="93">
        <f t="shared" si="6"/>
        <v>7.2531380088875427E-5</v>
      </c>
      <c r="O41" s="40">
        <f t="shared" si="7"/>
        <v>8.6641430454176956E-7</v>
      </c>
      <c r="P41" s="40">
        <f t="shared" si="8"/>
        <v>2.3398916742493228E-6</v>
      </c>
      <c r="Q41" s="40">
        <f t="shared" si="9"/>
        <v>2.7761607763854079E-5</v>
      </c>
      <c r="R41" s="9">
        <f t="shared" si="12"/>
        <v>1.4999999999999999E-4</v>
      </c>
      <c r="S41" s="9">
        <f t="shared" si="13"/>
        <v>9.1699789418938641E-8</v>
      </c>
      <c r="T41" s="9">
        <f t="shared" si="10"/>
        <v>1.2925516308401718E-4</v>
      </c>
      <c r="U41" s="9">
        <f t="shared" si="11"/>
        <v>1.4990830021058103E-4</v>
      </c>
      <c r="V41" s="100">
        <f t="shared" si="14"/>
        <v>0.86222819485277513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178</v>
      </c>
      <c r="C42" s="46" t="s">
        <v>179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0.22542744412672311</v>
      </c>
      <c r="J42" s="92">
        <f t="shared" si="2"/>
        <v>0.97961580067951626</v>
      </c>
      <c r="K42" s="93">
        <f t="shared" si="3"/>
        <v>0.59111655646026739</v>
      </c>
      <c r="L42" s="93">
        <f t="shared" si="4"/>
        <v>1.4816281625790752E-3</v>
      </c>
      <c r="M42" s="93">
        <f t="shared" si="5"/>
        <v>0.99851837183742087</v>
      </c>
      <c r="N42" s="93">
        <f t="shared" si="6"/>
        <v>4.6614542238652902E-4</v>
      </c>
      <c r="O42" s="40">
        <f t="shared" si="7"/>
        <v>5.9434976671192333E-7</v>
      </c>
      <c r="P42" s="40">
        <f t="shared" si="8"/>
        <v>5.670977148235571E-6</v>
      </c>
      <c r="Q42" s="40">
        <f t="shared" si="9"/>
        <v>1.7841858739422678E-4</v>
      </c>
      <c r="R42" s="9">
        <f t="shared" si="12"/>
        <v>1.4999999999999999E-4</v>
      </c>
      <c r="S42" s="9">
        <f t="shared" si="13"/>
        <v>2.2224422438686126E-7</v>
      </c>
      <c r="T42" s="9">
        <f t="shared" si="10"/>
        <v>8.8667483469040108E-5</v>
      </c>
      <c r="U42" s="9">
        <f t="shared" si="11"/>
        <v>1.4977775577561313E-4</v>
      </c>
      <c r="V42" s="100">
        <f t="shared" si="14"/>
        <v>0.59199367095522326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180</v>
      </c>
      <c r="C43" s="46" t="s">
        <v>181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0.32073739190116707</v>
      </c>
      <c r="J43" s="92">
        <f t="shared" si="2"/>
        <v>1.1375458252816428</v>
      </c>
      <c r="K43" s="93">
        <f t="shared" si="3"/>
        <v>0.47452968466831486</v>
      </c>
      <c r="L43" s="93">
        <f t="shared" si="4"/>
        <v>1.7110374326318122E-3</v>
      </c>
      <c r="M43" s="93">
        <f t="shared" si="5"/>
        <v>0.99828896256736821</v>
      </c>
      <c r="N43" s="93">
        <f t="shared" si="6"/>
        <v>4.0330971684873632E-4</v>
      </c>
      <c r="O43" s="40">
        <f t="shared" si="7"/>
        <v>4.771252036474687E-7</v>
      </c>
      <c r="P43" s="40">
        <f t="shared" si="8"/>
        <v>6.5490481520951816E-6</v>
      </c>
      <c r="Q43" s="40">
        <f t="shared" si="9"/>
        <v>1.5436802874543601E-4</v>
      </c>
      <c r="R43" s="9">
        <f t="shared" si="12"/>
        <v>1.4999999999999999E-4</v>
      </c>
      <c r="S43" s="9">
        <f t="shared" si="13"/>
        <v>2.5665561489477182E-7</v>
      </c>
      <c r="T43" s="9">
        <f t="shared" si="10"/>
        <v>7.117945270024722E-5</v>
      </c>
      <c r="U43" s="9">
        <f t="shared" si="11"/>
        <v>1.4974334438510521E-4</v>
      </c>
      <c r="V43" s="100">
        <f t="shared" si="14"/>
        <v>0.47534301435922349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182</v>
      </c>
      <c r="C44" s="46" t="s">
        <v>183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3.8293839195374848</v>
      </c>
      <c r="J44" s="92">
        <f t="shared" si="2"/>
        <v>5.1461538106089488</v>
      </c>
      <c r="K44" s="93">
        <f t="shared" si="3"/>
        <v>1.465592570158011E-4</v>
      </c>
      <c r="L44" s="93">
        <f t="shared" si="4"/>
        <v>5.3903549675169199E-3</v>
      </c>
      <c r="M44" s="93">
        <f t="shared" si="5"/>
        <v>0.99460964503248306</v>
      </c>
      <c r="N44" s="93">
        <f t="shared" si="6"/>
        <v>4.5318085539690399E-3</v>
      </c>
      <c r="O44" s="40">
        <f t="shared" si="7"/>
        <v>1.4736088723082356E-10</v>
      </c>
      <c r="P44" s="40">
        <f t="shared" si="8"/>
        <v>2.0631748649037368E-5</v>
      </c>
      <c r="Q44" s="40">
        <f t="shared" si="9"/>
        <v>1.7345635969149783E-3</v>
      </c>
      <c r="R44" s="9">
        <f t="shared" si="12"/>
        <v>1.4999999999999999E-4</v>
      </c>
      <c r="S44" s="9">
        <f t="shared" si="13"/>
        <v>8.0855324512753795E-7</v>
      </c>
      <c r="T44" s="9">
        <f t="shared" si="10"/>
        <v>2.1983888552370164E-8</v>
      </c>
      <c r="U44" s="9">
        <f t="shared" si="11"/>
        <v>1.4919144675487245E-4</v>
      </c>
      <c r="V44" s="100">
        <f t="shared" si="14"/>
        <v>1.4735354492868868E-4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184</v>
      </c>
      <c r="C45" s="46" t="s">
        <v>185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3.8037572032670899E-2</v>
      </c>
      <c r="J45" s="92">
        <f t="shared" si="2"/>
        <v>0.31070489262972556</v>
      </c>
      <c r="K45" s="93">
        <f t="shared" si="3"/>
        <v>0.91094959498340144</v>
      </c>
      <c r="L45" s="93">
        <f t="shared" si="4"/>
        <v>4.8938374479758735E-4</v>
      </c>
      <c r="M45" s="93">
        <f t="shared" si="5"/>
        <v>0.99951061625520243</v>
      </c>
      <c r="N45" s="93">
        <f t="shared" si="6"/>
        <v>5.9092266427450153E-5</v>
      </c>
      <c r="O45" s="40">
        <f t="shared" si="7"/>
        <v>9.1593218519687678E-7</v>
      </c>
      <c r="P45" s="40">
        <f t="shared" si="8"/>
        <v>1.8731312643478102E-6</v>
      </c>
      <c r="Q45" s="40">
        <f t="shared" si="9"/>
        <v>2.2617745869799687E-5</v>
      </c>
      <c r="R45" s="9">
        <f t="shared" si="12"/>
        <v>1.4999999999999999E-4</v>
      </c>
      <c r="S45" s="9">
        <f t="shared" si="13"/>
        <v>7.3407561719638094E-8</v>
      </c>
      <c r="T45" s="9">
        <f t="shared" si="10"/>
        <v>1.3664243924751021E-4</v>
      </c>
      <c r="U45" s="9">
        <f t="shared" si="11"/>
        <v>1.4992659243828036E-4</v>
      </c>
      <c r="V45" s="100">
        <f t="shared" si="14"/>
        <v>0.91139561718353079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186</v>
      </c>
      <c r="C46" s="46" t="s">
        <v>187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4.0258976380178252E-2</v>
      </c>
      <c r="J46" s="92">
        <f t="shared" si="2"/>
        <v>0.32070219402122674</v>
      </c>
      <c r="K46" s="93">
        <f t="shared" si="3"/>
        <v>0.90629399639880526</v>
      </c>
      <c r="L46" s="93">
        <f t="shared" si="4"/>
        <v>4.9822050462416576E-4</v>
      </c>
      <c r="M46" s="93">
        <f t="shared" si="5"/>
        <v>0.99950177949537589</v>
      </c>
      <c r="N46" s="93">
        <f t="shared" si="6"/>
        <v>5.6065590837508929E-5</v>
      </c>
      <c r="O46" s="40">
        <f t="shared" si="7"/>
        <v>9.1125112204204174E-7</v>
      </c>
      <c r="P46" s="40">
        <f t="shared" si="8"/>
        <v>1.9069542330970952E-6</v>
      </c>
      <c r="Q46" s="40">
        <f t="shared" si="9"/>
        <v>2.1459276522416248E-5</v>
      </c>
      <c r="R46" s="9">
        <f t="shared" si="12"/>
        <v>1.4999999999999999E-4</v>
      </c>
      <c r="S46" s="9">
        <f t="shared" si="13"/>
        <v>7.4733075693624857E-8</v>
      </c>
      <c r="T46" s="9">
        <f t="shared" si="10"/>
        <v>1.3594409945982079E-4</v>
      </c>
      <c r="U46" s="9">
        <f t="shared" si="11"/>
        <v>1.4992526692430636E-4</v>
      </c>
      <c r="V46" s="100">
        <f t="shared" si="14"/>
        <v>0.90674575572678928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188</v>
      </c>
      <c r="C47" s="46" t="s">
        <v>189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0.50587648659747519</v>
      </c>
      <c r="J47" s="92">
        <f t="shared" si="2"/>
        <v>1.4956502827878047</v>
      </c>
      <c r="K47" s="93">
        <f t="shared" si="3"/>
        <v>0.30957144164207506</v>
      </c>
      <c r="L47" s="93">
        <f t="shared" si="4"/>
        <v>2.5460180167728749E-3</v>
      </c>
      <c r="M47" s="93">
        <f t="shared" si="5"/>
        <v>0.9974539819832271</v>
      </c>
      <c r="N47" s="93">
        <f t="shared" si="6"/>
        <v>1.1293151859559458E-3</v>
      </c>
      <c r="O47" s="40">
        <f t="shared" si="7"/>
        <v>3.1126469409423223E-7</v>
      </c>
      <c r="P47" s="40">
        <f t="shared" si="8"/>
        <v>9.7449618985252192E-6</v>
      </c>
      <c r="Q47" s="40">
        <f t="shared" si="9"/>
        <v>4.3224884451194219E-4</v>
      </c>
      <c r="R47" s="9">
        <f t="shared" si="12"/>
        <v>1.4999999999999999E-4</v>
      </c>
      <c r="S47" s="9">
        <f t="shared" si="13"/>
        <v>3.8190270251593122E-7</v>
      </c>
      <c r="T47" s="9">
        <f t="shared" si="10"/>
        <v>4.6435716246311256E-5</v>
      </c>
      <c r="U47" s="9">
        <f t="shared" si="11"/>
        <v>1.4961809729748405E-4</v>
      </c>
      <c r="V47" s="100">
        <f t="shared" si="14"/>
        <v>0.31036162793852151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101</v>
      </c>
      <c r="C48" s="46" t="s">
        <v>102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2.0958974367173925E-3</v>
      </c>
      <c r="J48" s="92">
        <f t="shared" ref="J48:J50" si="16">IF(D48=0,"",LOG($K$21*10^D48+$K$22*10^E48+$K$20))</f>
        <v>2.1447334021721123E-2</v>
      </c>
      <c r="K48" s="93">
        <f t="shared" ref="K48:K50" si="17">IF(D48=0,"",1/(1+10^D48*$J$15/$J$14+10^E48*$J$16/$J$14+10^J48*$J$19/$J$14))</f>
        <v>0.98976013922491801</v>
      </c>
      <c r="L48" s="93">
        <f t="shared" ref="L48:L50" si="18">IF(D48=0,"",1/(1+10^I48/10^J48*$J$13/$J$19))</f>
        <v>2.7316659773597506E-4</v>
      </c>
      <c r="M48" s="93">
        <f t="shared" ref="M48:M92" si="19">IF(D48=0,"",1-L48)</f>
        <v>0.99972683340226398</v>
      </c>
      <c r="N48" s="93">
        <f t="shared" ref="N48:N50" si="20">IF(D48=0,"",1/(1/10^E48*$J$20/$J$22+10^D48/10^E48*$J$21/$J$22+10^I48/10^E48*$J$13/$J$22+1))</f>
        <v>3.9480283225929995E-6</v>
      </c>
      <c r="O48" s="40">
        <f t="shared" ref="O48:O92" si="21">IF(D48=0,"",F48*K48*$J$7/$J$14)</f>
        <v>9.9517379680877124E-7</v>
      </c>
      <c r="P48" s="40">
        <f t="shared" ref="P48:P50" si="22">IF(D48=0,"",O48*10^J48)</f>
        <v>1.0455535150772321E-6</v>
      </c>
      <c r="Q48" s="40">
        <f t="shared" ref="Q48:Q50" si="23">IF(D48=0,"",F48*N48*$J$7/$J$22)</f>
        <v>1.5111199262734581E-6</v>
      </c>
      <c r="R48" s="9">
        <f t="shared" si="12"/>
        <v>1.4999999999999999E-4</v>
      </c>
      <c r="S48" s="9">
        <f t="shared" si="13"/>
        <v>4.0974989660396253E-8</v>
      </c>
      <c r="T48" s="9">
        <f t="shared" si="10"/>
        <v>1.484640208837377E-4</v>
      </c>
      <c r="U48" s="9">
        <f t="shared" si="11"/>
        <v>1.4995902501033958E-4</v>
      </c>
      <c r="V48" s="100">
        <f t="shared" si="14"/>
        <v>0.99003058251079712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190</v>
      </c>
      <c r="C49" s="46" t="s">
        <v>191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8.7763082204907472E-2</v>
      </c>
      <c r="J49" s="92">
        <f t="shared" si="16"/>
        <v>0.56646209105716006</v>
      </c>
      <c r="K49" s="93">
        <f t="shared" si="17"/>
        <v>0.81215670459243972</v>
      </c>
      <c r="L49" s="93">
        <f t="shared" si="18"/>
        <v>7.8623473235645187E-4</v>
      </c>
      <c r="M49" s="93">
        <f t="shared" si="19"/>
        <v>0.99921376526764349</v>
      </c>
      <c r="N49" s="93">
        <f t="shared" si="20"/>
        <v>1.694311014140702E-4</v>
      </c>
      <c r="O49" s="40">
        <f t="shared" si="21"/>
        <v>8.1659893067212136E-7</v>
      </c>
      <c r="P49" s="40">
        <f t="shared" si="22"/>
        <v>3.0093375065044937E-6</v>
      </c>
      <c r="Q49" s="40">
        <f t="shared" si="23"/>
        <v>6.4850272732872342E-5</v>
      </c>
      <c r="R49" s="9">
        <f t="shared" si="12"/>
        <v>1.4999999999999999E-4</v>
      </c>
      <c r="S49" s="9">
        <f t="shared" si="13"/>
        <v>1.1793520985346777E-7</v>
      </c>
      <c r="T49" s="9">
        <f t="shared" si="10"/>
        <v>1.2182350568886595E-4</v>
      </c>
      <c r="U49" s="9">
        <f t="shared" si="11"/>
        <v>1.498820647901465E-4</v>
      </c>
      <c r="V49" s="100">
        <f t="shared" si="14"/>
        <v>0.81279575284363725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192</v>
      </c>
      <c r="C50" s="46" t="s">
        <v>193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0.50667591684415281</v>
      </c>
      <c r="J50" s="92">
        <f t="shared" si="16"/>
        <v>1.4536912879965904</v>
      </c>
      <c r="K50" s="93">
        <f t="shared" si="17"/>
        <v>0.30907590391211465</v>
      </c>
      <c r="L50" s="93">
        <f t="shared" si="18"/>
        <v>2.3078455256534498E-3</v>
      </c>
      <c r="M50" s="93">
        <f t="shared" si="19"/>
        <v>0.99769215447434656</v>
      </c>
      <c r="N50" s="93">
        <f t="shared" si="20"/>
        <v>7.472147705321439E-4</v>
      </c>
      <c r="O50" s="40">
        <f t="shared" si="21"/>
        <v>3.1076644593829735E-7</v>
      </c>
      <c r="P50" s="40">
        <f t="shared" si="22"/>
        <v>8.8333493977709966E-6</v>
      </c>
      <c r="Q50" s="40">
        <f t="shared" si="23"/>
        <v>2.8599874081333275E-4</v>
      </c>
      <c r="R50" s="9">
        <f t="shared" si="12"/>
        <v>1.4999999999999999E-4</v>
      </c>
      <c r="S50" s="9">
        <f t="shared" si="13"/>
        <v>3.4617682884801744E-7</v>
      </c>
      <c r="T50" s="9">
        <f t="shared" si="10"/>
        <v>4.6361385586817194E-5</v>
      </c>
      <c r="U50" s="9">
        <f t="shared" si="11"/>
        <v>1.4965382317115198E-4</v>
      </c>
      <c r="V50" s="100">
        <f t="shared" si="14"/>
        <v>0.30979085334689965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194</v>
      </c>
      <c r="C51" s="46" t="s">
        <v>195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2.9778200964006376</v>
      </c>
      <c r="J51" s="92">
        <f t="shared" ref="J51:J70" si="25">IF(D51=0,"",LOG($K$21*10^D51+$K$22*10^E51+$K$20))</f>
        <v>4.2069917533022263</v>
      </c>
      <c r="K51" s="93">
        <f t="shared" ref="K51:K70" si="26">IF(D51=0,"",1/(1+10^D51*$J$15/$J$14+10^E51*$J$16/$J$14+10^J51*$J$19/$J$14))</f>
        <v>1.0423291898890325E-3</v>
      </c>
      <c r="L51" s="93">
        <f t="shared" ref="L51:L70" si="27">IF(D51=0,"",1/(1+10^I51/10^J51*$J$13/$J$19))</f>
        <v>4.4100849334950988E-3</v>
      </c>
      <c r="M51" s="93">
        <f t="shared" ref="M51:M70" si="28">IF(D51=0,"",1-L51)</f>
        <v>0.99558991506650485</v>
      </c>
      <c r="N51" s="93">
        <f t="shared" ref="N51:N70" si="29">IF(D51=0,"",1/(1/10^E51*$J$20/$J$22+10^D51/10^E51*$J$21/$J$22+10^I51/10^E51*$J$13/$J$22+1))</f>
        <v>2.9699641038184398E-3</v>
      </c>
      <c r="O51" s="40">
        <f t="shared" ref="O51:O70" si="30">IF(D51=0,"",F51*K51*$J$7/$J$14)</f>
        <v>1.048030382632694E-9</v>
      </c>
      <c r="P51" s="40">
        <f t="shared" ref="P51:P70" si="31">IF(D51=0,"",O51*10^J51)</f>
        <v>1.6879735085552492E-5</v>
      </c>
      <c r="Q51" s="40">
        <f t="shared" ref="Q51:Q70" si="32">IF(D51=0,"",F51*N51*$J$7/$J$22)</f>
        <v>1.1367628524633563E-3</v>
      </c>
      <c r="R51" s="9">
        <f t="shared" si="12"/>
        <v>1.4999999999999999E-4</v>
      </c>
      <c r="S51" s="9">
        <f t="shared" si="13"/>
        <v>6.6151274002426473E-7</v>
      </c>
      <c r="T51" s="9">
        <f t="shared" si="10"/>
        <v>1.5634937848335487E-7</v>
      </c>
      <c r="U51" s="9">
        <f t="shared" si="11"/>
        <v>1.4933848725997572E-4</v>
      </c>
      <c r="V51" s="100">
        <f t="shared" si="14"/>
        <v>1.0469463120459648E-3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196</v>
      </c>
      <c r="C52" s="46" t="s">
        <v>197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0.64393554165863076</v>
      </c>
      <c r="J52" s="92">
        <f t="shared" si="25"/>
        <v>1.6793358904404492</v>
      </c>
      <c r="K52" s="93">
        <f t="shared" si="26"/>
        <v>0.22520569266645907</v>
      </c>
      <c r="L52" s="93">
        <f t="shared" si="27"/>
        <v>2.8272587371615146E-3</v>
      </c>
      <c r="M52" s="93">
        <f t="shared" si="28"/>
        <v>0.9971727412628385</v>
      </c>
      <c r="N52" s="93">
        <f t="shared" si="29"/>
        <v>1.267831869438799E-3</v>
      </c>
      <c r="O52" s="40">
        <f t="shared" si="30"/>
        <v>2.264374926326463E-7</v>
      </c>
      <c r="P52" s="40">
        <f t="shared" si="31"/>
        <v>1.0821419365222551E-5</v>
      </c>
      <c r="Q52" s="40">
        <f t="shared" si="32"/>
        <v>4.8526652914566797E-4</v>
      </c>
      <c r="R52" s="9">
        <f t="shared" si="12"/>
        <v>1.4999999999999999E-4</v>
      </c>
      <c r="S52" s="9">
        <f t="shared" si="13"/>
        <v>4.2408881057422715E-7</v>
      </c>
      <c r="T52" s="9">
        <f t="shared" si="10"/>
        <v>3.3780853899968859E-5</v>
      </c>
      <c r="U52" s="9">
        <f t="shared" si="11"/>
        <v>1.4957591118942577E-4</v>
      </c>
      <c r="V52" s="100">
        <f t="shared" si="14"/>
        <v>0.2258442126900243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198</v>
      </c>
      <c r="C53" s="46" t="s">
        <v>199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1.3135143326183101</v>
      </c>
      <c r="J53" s="92">
        <f t="shared" si="25"/>
        <v>2.4736918816104327</v>
      </c>
      <c r="K53" s="93">
        <f t="shared" si="26"/>
        <v>4.8149533818771149E-2</v>
      </c>
      <c r="L53" s="93">
        <f t="shared" si="27"/>
        <v>3.7647337590740095E-3</v>
      </c>
      <c r="M53" s="93">
        <f t="shared" si="28"/>
        <v>0.99623526624092595</v>
      </c>
      <c r="N53" s="93">
        <f t="shared" si="29"/>
        <v>2.1129556759185383E-3</v>
      </c>
      <c r="O53" s="40">
        <f t="shared" si="30"/>
        <v>4.8412895696651096E-8</v>
      </c>
      <c r="P53" s="40">
        <f t="shared" si="31"/>
        <v>1.4409633709807583E-5</v>
      </c>
      <c r="Q53" s="40">
        <f t="shared" si="32"/>
        <v>8.0874025318948149E-4</v>
      </c>
      <c r="R53" s="9">
        <f t="shared" si="12"/>
        <v>1.4999999999999999E-4</v>
      </c>
      <c r="S53" s="9">
        <f t="shared" si="13"/>
        <v>5.6471006386110137E-7</v>
      </c>
      <c r="T53" s="9">
        <f t="shared" si="10"/>
        <v>7.2224300728156719E-6</v>
      </c>
      <c r="U53" s="9">
        <f t="shared" si="11"/>
        <v>1.4943528993613888E-4</v>
      </c>
      <c r="V53" s="100">
        <f t="shared" si="14"/>
        <v>4.8331489007062356E-2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200</v>
      </c>
      <c r="C54" s="46" t="s">
        <v>201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0.78379345695532832</v>
      </c>
      <c r="J54" s="92">
        <f t="shared" si="25"/>
        <v>1.8576970931564492</v>
      </c>
      <c r="K54" s="93">
        <f t="shared" si="26"/>
        <v>0.16315772224507122</v>
      </c>
      <c r="L54" s="93">
        <f t="shared" si="27"/>
        <v>3.0885527778958407E-3</v>
      </c>
      <c r="M54" s="93">
        <f t="shared" si="28"/>
        <v>0.99691144722210412</v>
      </c>
      <c r="N54" s="93">
        <f t="shared" si="29"/>
        <v>1.4566457092442748E-3</v>
      </c>
      <c r="O54" s="40">
        <f t="shared" si="30"/>
        <v>1.6405014052440095E-7</v>
      </c>
      <c r="P54" s="40">
        <f t="shared" si="31"/>
        <v>1.1821530304930349E-5</v>
      </c>
      <c r="Q54" s="40">
        <f t="shared" si="32"/>
        <v>5.5753560433276412E-4</v>
      </c>
      <c r="R54" s="9">
        <f t="shared" si="12"/>
        <v>1.4999999999999999E-4</v>
      </c>
      <c r="S54" s="9">
        <f t="shared" si="13"/>
        <v>4.6328291668437604E-7</v>
      </c>
      <c r="T54" s="9">
        <f t="shared" si="10"/>
        <v>2.447365833676068E-5</v>
      </c>
      <c r="U54" s="9">
        <f t="shared" si="11"/>
        <v>1.495367170833156E-4</v>
      </c>
      <c r="V54" s="100">
        <f t="shared" si="14"/>
        <v>0.16366320469055759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103</v>
      </c>
      <c r="C55" s="46" t="s">
        <v>104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5.6400487609719711E-2</v>
      </c>
      <c r="J55" s="54">
        <f t="shared" si="25"/>
        <v>0.41912406778565536</v>
      </c>
      <c r="K55" s="55">
        <f t="shared" si="26"/>
        <v>0.87313713589756503</v>
      </c>
      <c r="L55" s="55">
        <f t="shared" si="27"/>
        <v>6.0208364166835268E-4</v>
      </c>
      <c r="M55" s="55">
        <f t="shared" si="28"/>
        <v>0.99939791635833164</v>
      </c>
      <c r="N55" s="55">
        <f t="shared" si="29"/>
        <v>9.9857746256672305E-5</v>
      </c>
      <c r="O55" s="56">
        <f t="shared" si="30"/>
        <v>8.7791290458147817E-7</v>
      </c>
      <c r="P55" s="56">
        <f t="shared" si="31"/>
        <v>2.3044935696175073E-6</v>
      </c>
      <c r="Q55" s="56">
        <f t="shared" si="32"/>
        <v>3.8220858066719664E-5</v>
      </c>
      <c r="R55" s="9">
        <f t="shared" si="12"/>
        <v>1.4999999999999999E-4</v>
      </c>
      <c r="S55" s="9">
        <f t="shared" si="13"/>
        <v>9.0312546250252897E-8</v>
      </c>
      <c r="T55" s="9">
        <f t="shared" si="10"/>
        <v>1.3097057038463473E-4</v>
      </c>
      <c r="U55" s="9">
        <f t="shared" si="11"/>
        <v>1.4990968745374973E-4</v>
      </c>
      <c r="V55" s="100">
        <f t="shared" si="14"/>
        <v>0.8736631541910318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202</v>
      </c>
      <c r="C56" s="46" t="s">
        <v>203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0.61860589125383414</v>
      </c>
      <c r="J56" s="54">
        <f t="shared" si="25"/>
        <v>1.6547513221475207</v>
      </c>
      <c r="K56" s="55">
        <f t="shared" si="26"/>
        <v>0.23872994957829266</v>
      </c>
      <c r="L56" s="55">
        <f t="shared" si="27"/>
        <v>2.8320996388683829E-3</v>
      </c>
      <c r="M56" s="55">
        <f t="shared" si="28"/>
        <v>0.99716790036113157</v>
      </c>
      <c r="N56" s="55">
        <f t="shared" si="29"/>
        <v>1.3253396975698949E-3</v>
      </c>
      <c r="O56" s="56">
        <f t="shared" si="30"/>
        <v>2.4003572271544841E-7</v>
      </c>
      <c r="P56" s="56">
        <f t="shared" si="31"/>
        <v>1.0839948064696455E-5</v>
      </c>
      <c r="Q56" s="56">
        <f t="shared" si="32"/>
        <v>5.0727782640721674E-4</v>
      </c>
      <c r="R56" s="9">
        <f t="shared" si="12"/>
        <v>1.4999999999999999E-4</v>
      </c>
      <c r="S56" s="9">
        <f t="shared" si="13"/>
        <v>4.248149458302574E-7</v>
      </c>
      <c r="T56" s="9">
        <f t="shared" si="10"/>
        <v>3.5809492436743897E-5</v>
      </c>
      <c r="U56" s="9">
        <f t="shared" si="11"/>
        <v>1.4957518505416973E-4</v>
      </c>
      <c r="V56" s="100">
        <f t="shared" si="14"/>
        <v>0.23940797682299528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105</v>
      </c>
      <c r="C57" s="87" t="s">
        <v>106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0.26171036693668792</v>
      </c>
      <c r="J57" s="54">
        <f t="shared" si="25"/>
        <v>1.0664462987751342</v>
      </c>
      <c r="K57" s="55">
        <f t="shared" si="26"/>
        <v>0.54363922266011622</v>
      </c>
      <c r="L57" s="55">
        <f t="shared" si="27"/>
        <v>1.6642071430775192E-3</v>
      </c>
      <c r="M57" s="55">
        <f t="shared" si="28"/>
        <v>0.99833579285692253</v>
      </c>
      <c r="N57" s="55">
        <f t="shared" si="29"/>
        <v>5.8290943243049489E-4</v>
      </c>
      <c r="O57" s="56">
        <f t="shared" si="30"/>
        <v>5.4661274774361664E-7</v>
      </c>
      <c r="P57" s="56">
        <f t="shared" si="31"/>
        <v>6.369803785245831E-6</v>
      </c>
      <c r="Q57" s="56">
        <f t="shared" si="32"/>
        <v>2.2311036967940181E-4</v>
      </c>
      <c r="R57" s="9">
        <f t="shared" si="12"/>
        <v>1.4999999999999999E-4</v>
      </c>
      <c r="S57" s="9">
        <f t="shared" si="13"/>
        <v>2.4963107146162789E-7</v>
      </c>
      <c r="T57" s="9">
        <f t="shared" si="10"/>
        <v>8.1545883399017423E-5</v>
      </c>
      <c r="U57" s="9">
        <f t="shared" si="11"/>
        <v>1.4975036892853836E-4</v>
      </c>
      <c r="V57" s="100">
        <f t="shared" si="14"/>
        <v>0.54454545910288565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145</v>
      </c>
      <c r="C58" s="46" t="s">
        <v>146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0.19893820408979257</v>
      </c>
      <c r="J58" s="54">
        <f t="shared" si="25"/>
        <v>0.90809484007231756</v>
      </c>
      <c r="K58" s="55">
        <f t="shared" si="26"/>
        <v>0.62838490793096546</v>
      </c>
      <c r="L58" s="55">
        <f t="shared" si="27"/>
        <v>1.3358905760927622E-3</v>
      </c>
      <c r="M58" s="55">
        <f t="shared" si="28"/>
        <v>0.99866410942390726</v>
      </c>
      <c r="N58" s="55">
        <f t="shared" si="29"/>
        <v>3.7062784642132132E-4</v>
      </c>
      <c r="O58" s="56">
        <f t="shared" si="30"/>
        <v>6.3182196362514957E-7</v>
      </c>
      <c r="P58" s="56">
        <f t="shared" si="31"/>
        <v>5.1131620746045197E-6</v>
      </c>
      <c r="Q58" s="56">
        <f t="shared" si="32"/>
        <v>1.418589427928008E-4</v>
      </c>
      <c r="R58" s="9">
        <f t="shared" si="12"/>
        <v>1.4999999999999999E-4</v>
      </c>
      <c r="S58" s="9">
        <f t="shared" si="13"/>
        <v>2.0038358641391431E-7</v>
      </c>
      <c r="T58" s="9">
        <f t="shared" si="10"/>
        <v>9.4257736189644811E-5</v>
      </c>
      <c r="U58" s="9">
        <f t="shared" si="11"/>
        <v>1.4979961641358607E-4</v>
      </c>
      <c r="V58" s="100">
        <f t="shared" si="14"/>
        <v>0.62922548432571357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147</v>
      </c>
      <c r="C59" s="46" t="s">
        <v>148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6.5352597387686409E-2</v>
      </c>
      <c r="J59" s="54">
        <f t="shared" si="25"/>
        <v>0.48153000113979566</v>
      </c>
      <c r="K59" s="55">
        <f t="shared" si="26"/>
        <v>0.85525594814226102</v>
      </c>
      <c r="L59" s="55">
        <f t="shared" si="27"/>
        <v>6.808891356925574E-4</v>
      </c>
      <c r="M59" s="55">
        <f t="shared" si="28"/>
        <v>0.99931911086430747</v>
      </c>
      <c r="N59" s="55">
        <f t="shared" si="29"/>
        <v>1.5986684474134091E-4</v>
      </c>
      <c r="O59" s="56">
        <f t="shared" si="30"/>
        <v>8.5993391269781677E-7</v>
      </c>
      <c r="P59" s="56">
        <f t="shared" si="31"/>
        <v>2.6061240104082339E-6</v>
      </c>
      <c r="Q59" s="56">
        <f t="shared" si="32"/>
        <v>6.1189524213048458E-5</v>
      </c>
      <c r="R59" s="9">
        <f t="shared" si="12"/>
        <v>1.4999999999999999E-4</v>
      </c>
      <c r="S59" s="9">
        <f t="shared" si="13"/>
        <v>1.021333703538836E-7</v>
      </c>
      <c r="T59" s="9">
        <f t="shared" si="10"/>
        <v>1.2828839222133915E-4</v>
      </c>
      <c r="U59" s="9">
        <f t="shared" si="11"/>
        <v>1.498978666296461E-4</v>
      </c>
      <c r="V59" s="100">
        <f t="shared" si="14"/>
        <v>0.85583867940097058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149</v>
      </c>
      <c r="C60" s="46" t="s">
        <v>150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0.6487673116742505</v>
      </c>
      <c r="J60" s="54">
        <f t="shared" si="25"/>
        <v>1.701695703106914</v>
      </c>
      <c r="K60" s="55">
        <f t="shared" si="26"/>
        <v>0.22268810892174709</v>
      </c>
      <c r="L60" s="55">
        <f t="shared" si="27"/>
        <v>2.9433576072582521E-3</v>
      </c>
      <c r="M60" s="55">
        <f t="shared" si="28"/>
        <v>0.99705664239274172</v>
      </c>
      <c r="N60" s="55">
        <f t="shared" si="29"/>
        <v>1.4439338908899574E-3</v>
      </c>
      <c r="O60" s="56">
        <f t="shared" si="30"/>
        <v>2.2390613854520945E-7</v>
      </c>
      <c r="P60" s="56">
        <f t="shared" si="31"/>
        <v>1.1265791344564855E-5</v>
      </c>
      <c r="Q60" s="56">
        <f t="shared" si="32"/>
        <v>5.5267011694391961E-4</v>
      </c>
      <c r="R60" s="9">
        <f t="shared" si="12"/>
        <v>1.4999999999999999E-4</v>
      </c>
      <c r="S60" s="9">
        <f t="shared" si="13"/>
        <v>4.4150364108873777E-7</v>
      </c>
      <c r="T60" s="9">
        <f t="shared" si="10"/>
        <v>3.3403216338262061E-5</v>
      </c>
      <c r="U60" s="9">
        <f t="shared" si="11"/>
        <v>1.4955849635891124E-4</v>
      </c>
      <c r="V60" s="100">
        <f t="shared" si="14"/>
        <v>0.22334549458227268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151</v>
      </c>
      <c r="C61" s="46" t="s">
        <v>152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1.4117733403846819</v>
      </c>
      <c r="J61" s="54">
        <f t="shared" si="25"/>
        <v>2.6253876426038136</v>
      </c>
      <c r="K61" s="55">
        <f t="shared" si="26"/>
        <v>3.8381244837232237E-2</v>
      </c>
      <c r="L61" s="55">
        <f t="shared" si="27"/>
        <v>4.25556275320457E-3</v>
      </c>
      <c r="M61" s="55">
        <f t="shared" si="28"/>
        <v>0.9957444372467954</v>
      </c>
      <c r="N61" s="55">
        <f t="shared" si="29"/>
        <v>2.8606803907686097E-3</v>
      </c>
      <c r="O61" s="56">
        <f t="shared" si="30"/>
        <v>3.8591177434996309E-8</v>
      </c>
      <c r="P61" s="56">
        <f t="shared" si="31"/>
        <v>1.6288296710219681E-5</v>
      </c>
      <c r="Q61" s="56">
        <f t="shared" si="32"/>
        <v>1.0949341767515549E-3</v>
      </c>
      <c r="R61" s="9">
        <f t="shared" si="12"/>
        <v>1.4999999999999999E-4</v>
      </c>
      <c r="S61" s="9">
        <f t="shared" si="13"/>
        <v>6.3833441298068542E-7</v>
      </c>
      <c r="T61" s="9">
        <f t="shared" si="10"/>
        <v>5.7571867255848353E-6</v>
      </c>
      <c r="U61" s="9">
        <f t="shared" si="11"/>
        <v>1.4936166558701929E-4</v>
      </c>
      <c r="V61" s="100">
        <f t="shared" si="14"/>
        <v>3.8545276680987811E-2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153</v>
      </c>
      <c r="C62" s="46" t="s">
        <v>154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2.2542758302531842</v>
      </c>
      <c r="J62" s="54">
        <f t="shared" si="25"/>
        <v>3.547875334829623</v>
      </c>
      <c r="K62" s="55">
        <f t="shared" si="26"/>
        <v>5.511159551888945E-3</v>
      </c>
      <c r="L62" s="55">
        <f t="shared" si="27"/>
        <v>5.1117383906237133E-3</v>
      </c>
      <c r="M62" s="55">
        <f t="shared" si="28"/>
        <v>0.99488826160937627</v>
      </c>
      <c r="N62" s="55">
        <f t="shared" si="29"/>
        <v>4.1067027311053163E-3</v>
      </c>
      <c r="O62" s="56">
        <f t="shared" si="30"/>
        <v>5.5413037550362584E-9</v>
      </c>
      <c r="P62" s="56">
        <f t="shared" si="31"/>
        <v>1.9565335171899742E-5</v>
      </c>
      <c r="Q62" s="56">
        <f t="shared" si="32"/>
        <v>1.5718530418695324E-3</v>
      </c>
      <c r="R62" s="9">
        <f t="shared" si="12"/>
        <v>1.4999999999999999E-4</v>
      </c>
      <c r="S62" s="9">
        <f t="shared" si="13"/>
        <v>7.6676075859355692E-7</v>
      </c>
      <c r="T62" s="9">
        <f t="shared" si="10"/>
        <v>8.2667393278334163E-7</v>
      </c>
      <c r="U62" s="9">
        <f t="shared" si="11"/>
        <v>1.4923323924140642E-4</v>
      </c>
      <c r="V62" s="100">
        <f t="shared" si="14"/>
        <v>5.539475903528949E-3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155</v>
      </c>
      <c r="C63" s="46" t="s">
        <v>156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3.3259932392561606</v>
      </c>
      <c r="J63" s="54">
        <f t="shared" si="25"/>
        <v>4.6794078075147496</v>
      </c>
      <c r="K63" s="55">
        <f t="shared" si="26"/>
        <v>4.6687205875141266E-4</v>
      </c>
      <c r="L63" s="55">
        <f t="shared" si="27"/>
        <v>5.862137364601447E-3</v>
      </c>
      <c r="M63" s="55">
        <f t="shared" si="28"/>
        <v>0.99413786263539861</v>
      </c>
      <c r="N63" s="55">
        <f t="shared" si="29"/>
        <v>5.2862556928655723E-3</v>
      </c>
      <c r="O63" s="56">
        <f t="shared" si="30"/>
        <v>4.6942569307288378E-10</v>
      </c>
      <c r="P63" s="56">
        <f t="shared" si="31"/>
        <v>2.2437510216196687E-5</v>
      </c>
      <c r="Q63" s="56">
        <f t="shared" si="32"/>
        <v>2.0233305488596841E-3</v>
      </c>
      <c r="R63" s="9">
        <f t="shared" si="12"/>
        <v>1.4999999999999999E-4</v>
      </c>
      <c r="S63" s="9">
        <f t="shared" si="13"/>
        <v>8.7932060469021696E-7</v>
      </c>
      <c r="T63" s="9">
        <f t="shared" si="10"/>
        <v>7.0030808812711892E-8</v>
      </c>
      <c r="U63" s="9">
        <f t="shared" si="11"/>
        <v>1.4912067939530977E-4</v>
      </c>
      <c r="V63" s="100">
        <f t="shared" si="14"/>
        <v>4.6962506539461582E-4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157</v>
      </c>
      <c r="C64" s="46" t="s">
        <v>158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2.6313958666363746</v>
      </c>
      <c r="J64" s="54">
        <f t="shared" si="25"/>
        <v>3.9499760608789174</v>
      </c>
      <c r="K64" s="55">
        <f t="shared" si="26"/>
        <v>2.3120196940558469E-3</v>
      </c>
      <c r="L64" s="55">
        <f t="shared" si="27"/>
        <v>5.4127490214737027E-3</v>
      </c>
      <c r="M64" s="55">
        <f t="shared" si="28"/>
        <v>0.99458725097852629</v>
      </c>
      <c r="N64" s="55">
        <f t="shared" si="29"/>
        <v>4.5755342630703806E-3</v>
      </c>
      <c r="O64" s="56">
        <f t="shared" si="30"/>
        <v>2.3246656700400338E-9</v>
      </c>
      <c r="P64" s="56">
        <f t="shared" si="31"/>
        <v>2.0717462576089244E-5</v>
      </c>
      <c r="Q64" s="56">
        <f t="shared" si="32"/>
        <v>1.751299745927728E-3</v>
      </c>
      <c r="R64" s="9">
        <f t="shared" si="12"/>
        <v>1.4999999999999999E-4</v>
      </c>
      <c r="S64" s="9">
        <f t="shared" si="13"/>
        <v>8.119123532210553E-7</v>
      </c>
      <c r="T64" s="9">
        <f t="shared" si="10"/>
        <v>3.46802954108377E-7</v>
      </c>
      <c r="U64" s="9">
        <f t="shared" si="11"/>
        <v>1.4918808764677894E-4</v>
      </c>
      <c r="V64" s="100">
        <f t="shared" si="14"/>
        <v>2.3246021822430989E-3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159</v>
      </c>
      <c r="C65" s="46" t="s">
        <v>160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2.3610319672695166</v>
      </c>
      <c r="J65" s="54">
        <f t="shared" si="25"/>
        <v>3.6622096755613032</v>
      </c>
      <c r="K65" s="55">
        <f t="shared" si="26"/>
        <v>4.3097072593577569E-3</v>
      </c>
      <c r="L65" s="55">
        <f t="shared" si="27"/>
        <v>5.201250218590768E-3</v>
      </c>
      <c r="M65" s="55">
        <f t="shared" si="28"/>
        <v>0.99479874978140925</v>
      </c>
      <c r="N65" s="55">
        <f t="shared" si="29"/>
        <v>4.2451990075655201E-3</v>
      </c>
      <c r="O65" s="56">
        <f t="shared" si="30"/>
        <v>4.3332799195045687E-9</v>
      </c>
      <c r="P65" s="56">
        <f t="shared" si="31"/>
        <v>1.9907944433601654E-5</v>
      </c>
      <c r="Q65" s="56">
        <f t="shared" si="32"/>
        <v>1.624862915652869E-3</v>
      </c>
      <c r="R65" s="9">
        <f t="shared" si="12"/>
        <v>1.4999999999999999E-4</v>
      </c>
      <c r="S65" s="9">
        <f t="shared" si="13"/>
        <v>7.8018753278861514E-7</v>
      </c>
      <c r="T65" s="9">
        <f t="shared" si="10"/>
        <v>6.4645608890366348E-7</v>
      </c>
      <c r="U65" s="9">
        <f t="shared" si="11"/>
        <v>1.4921981246721137E-4</v>
      </c>
      <c r="V65" s="100">
        <f t="shared" si="14"/>
        <v>4.3322403252966943E-3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161</v>
      </c>
      <c r="C66" s="46" t="s">
        <v>162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2.6313958666363746</v>
      </c>
      <c r="J66" s="54">
        <f t="shared" si="25"/>
        <v>3.9499760608789174</v>
      </c>
      <c r="K66" s="55">
        <f t="shared" si="26"/>
        <v>2.3120196940558469E-3</v>
      </c>
      <c r="L66" s="55">
        <f t="shared" si="27"/>
        <v>5.4127490214737027E-3</v>
      </c>
      <c r="M66" s="55">
        <f t="shared" si="28"/>
        <v>0.99458725097852629</v>
      </c>
      <c r="N66" s="55">
        <f t="shared" si="29"/>
        <v>4.5755342630703806E-3</v>
      </c>
      <c r="O66" s="56">
        <f t="shared" si="30"/>
        <v>2.3246656700400338E-9</v>
      </c>
      <c r="P66" s="56">
        <f t="shared" si="31"/>
        <v>2.0717462576089244E-5</v>
      </c>
      <c r="Q66" s="56">
        <f t="shared" si="32"/>
        <v>1.751299745927728E-3</v>
      </c>
      <c r="R66" s="9">
        <f t="shared" si="12"/>
        <v>1.4999999999999999E-4</v>
      </c>
      <c r="S66" s="9">
        <f t="shared" si="13"/>
        <v>8.119123532210553E-7</v>
      </c>
      <c r="T66" s="9">
        <f t="shared" si="10"/>
        <v>3.46802954108377E-7</v>
      </c>
      <c r="U66" s="9">
        <f t="shared" si="11"/>
        <v>1.4918808764677894E-4</v>
      </c>
      <c r="V66" s="100">
        <f t="shared" si="14"/>
        <v>2.3246021822430989E-3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115</v>
      </c>
      <c r="C67" s="46" t="s">
        <v>116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-1.8671766444063711E-3</v>
      </c>
      <c r="J67" s="54">
        <f t="shared" si="25"/>
        <v>-2.1408506520216686E-2</v>
      </c>
      <c r="K67" s="55">
        <f t="shared" si="26"/>
        <v>0.99885672052802654</v>
      </c>
      <c r="L67" s="55">
        <f t="shared" si="27"/>
        <v>2.4977271214225298E-4</v>
      </c>
      <c r="M67" s="55">
        <f t="shared" si="28"/>
        <v>0.99975022728785778</v>
      </c>
      <c r="N67" s="55">
        <f t="shared" si="29"/>
        <v>7.8060928325159316E-8</v>
      </c>
      <c r="O67" s="56">
        <f t="shared" si="30"/>
        <v>1.004320133375208E-6</v>
      </c>
      <c r="P67" s="56">
        <f t="shared" si="31"/>
        <v>9.5601270182790615E-7</v>
      </c>
      <c r="Q67" s="56">
        <f t="shared" si="32"/>
        <v>2.9878059278480207E-8</v>
      </c>
      <c r="R67" s="9">
        <f t="shared" si="12"/>
        <v>1.4999999999999999E-4</v>
      </c>
      <c r="S67" s="9">
        <f t="shared" si="13"/>
        <v>3.7465906821337947E-8</v>
      </c>
      <c r="T67" s="9">
        <f t="shared" si="10"/>
        <v>1.4982850807920397E-4</v>
      </c>
      <c r="U67" s="9">
        <f t="shared" si="11"/>
        <v>1.4996253409317866E-4</v>
      </c>
      <c r="V67" s="100">
        <f t="shared" si="14"/>
        <v>0.99910627001080543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117</v>
      </c>
      <c r="C68" s="46" t="s">
        <v>118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2.7194923137791687</v>
      </c>
      <c r="J68" s="54">
        <f t="shared" si="25"/>
        <v>3.9742395242673396</v>
      </c>
      <c r="K68" s="55">
        <f t="shared" si="26"/>
        <v>1.8889328555066773E-3</v>
      </c>
      <c r="L68" s="55">
        <f t="shared" si="27"/>
        <v>4.6763428581941295E-3</v>
      </c>
      <c r="M68" s="55">
        <f t="shared" si="28"/>
        <v>0.99532365714180582</v>
      </c>
      <c r="N68" s="55">
        <f t="shared" si="29"/>
        <v>3.3981991022295319E-3</v>
      </c>
      <c r="O68" s="56">
        <f t="shared" si="30"/>
        <v>1.8992646877085798E-9</v>
      </c>
      <c r="P68" s="56">
        <f t="shared" si="31"/>
        <v>1.7898845443090841E-5</v>
      </c>
      <c r="Q68" s="56">
        <f t="shared" si="32"/>
        <v>1.3006711090286661E-3</v>
      </c>
      <c r="R68" s="9">
        <f t="shared" si="12"/>
        <v>1.4999999999999999E-4</v>
      </c>
      <c r="S68" s="9">
        <f t="shared" si="13"/>
        <v>7.0145142872911936E-7</v>
      </c>
      <c r="T68" s="9">
        <f t="shared" si="10"/>
        <v>2.8333992832600159E-7</v>
      </c>
      <c r="U68" s="9">
        <f t="shared" si="11"/>
        <v>1.4929854857127087E-4</v>
      </c>
      <c r="V68" s="100">
        <f t="shared" si="14"/>
        <v>1.8978076547793309E-3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119</v>
      </c>
      <c r="C69" s="46" t="s">
        <v>120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0.38500856866688477</v>
      </c>
      <c r="J69" s="54">
        <f t="shared" si="25"/>
        <v>1.2993366457192814</v>
      </c>
      <c r="K69" s="55">
        <f t="shared" si="26"/>
        <v>0.40907710188978558</v>
      </c>
      <c r="L69" s="55">
        <f t="shared" si="27"/>
        <v>2.1408789715997084E-3</v>
      </c>
      <c r="M69" s="55">
        <f t="shared" si="28"/>
        <v>0.99785912102840024</v>
      </c>
      <c r="N69" s="55">
        <f t="shared" si="29"/>
        <v>8.4870244480574725E-4</v>
      </c>
      <c r="O69" s="56">
        <f t="shared" si="30"/>
        <v>4.1131461708893339E-7</v>
      </c>
      <c r="P69" s="56">
        <f t="shared" si="31"/>
        <v>8.1942798009092586E-6</v>
      </c>
      <c r="Q69" s="56">
        <f t="shared" si="32"/>
        <v>3.2484345881810835E-4</v>
      </c>
      <c r="R69" s="9">
        <f t="shared" si="12"/>
        <v>1.4999999999999999E-4</v>
      </c>
      <c r="S69" s="9">
        <f t="shared" si="13"/>
        <v>3.2113184573995622E-7</v>
      </c>
      <c r="T69" s="9">
        <f t="shared" si="10"/>
        <v>6.1361565283467832E-5</v>
      </c>
      <c r="U69" s="9">
        <f t="shared" si="11"/>
        <v>1.4967886815426003E-4</v>
      </c>
      <c r="V69" s="100">
        <f t="shared" si="14"/>
        <v>0.40995476542639403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113</v>
      </c>
      <c r="C70" s="46" t="s">
        <v>114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1.2852308448323728</v>
      </c>
      <c r="J70" s="54">
        <f t="shared" si="25"/>
        <v>2.4832149549104936</v>
      </c>
      <c r="K70" s="55">
        <f t="shared" si="26"/>
        <v>5.137204914298734E-2</v>
      </c>
      <c r="L70" s="55">
        <f t="shared" si="27"/>
        <v>4.1057466235612577E-3</v>
      </c>
      <c r="M70" s="55">
        <f t="shared" si="28"/>
        <v>0.99589425337643878</v>
      </c>
      <c r="N70" s="55">
        <f t="shared" si="29"/>
        <v>2.6692926431135227E-3</v>
      </c>
      <c r="O70" s="56">
        <f t="shared" si="30"/>
        <v>5.1653037104028902E-8</v>
      </c>
      <c r="P70" s="56">
        <f t="shared" si="31"/>
        <v>1.5714870887801851E-5</v>
      </c>
      <c r="Q70" s="56">
        <f t="shared" si="32"/>
        <v>1.0216799304557103E-3</v>
      </c>
      <c r="R70" s="9">
        <f t="shared" si="12"/>
        <v>1.4999999999999999E-4</v>
      </c>
      <c r="S70" s="9">
        <f t="shared" si="13"/>
        <v>6.1586199353418862E-7</v>
      </c>
      <c r="T70" s="9">
        <f t="shared" si="10"/>
        <v>7.7058073714481005E-6</v>
      </c>
      <c r="U70" s="9">
        <f t="shared" si="11"/>
        <v>1.4938413800646581E-4</v>
      </c>
      <c r="V70" s="100">
        <f t="shared" si="14"/>
        <v>5.1583839317093823E-2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121</v>
      </c>
      <c r="C71" s="46" t="s">
        <v>122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3.9109447814528924</v>
      </c>
      <c r="J71" s="54">
        <f t="shared" ref="J71:J122" si="34">IF(D71=0,"",LOG($K$21*10^D71+$K$22*10^E71+$K$20))</f>
        <v>5.1720950211816961</v>
      </c>
      <c r="K71" s="55">
        <f t="shared" ref="K71:K122" si="35">IF(D71=0,"",1/(1+10^D71*$J$15/$J$14+10^E71*$J$16/$J$14+10^J71*$J$19/$J$14))</f>
        <v>1.2154410204333664E-4</v>
      </c>
      <c r="L71" s="55">
        <f t="shared" ref="L71:L122" si="36">IF(D71=0,"",1/(1+10^I71/10^J71*$J$13/$J$19))</f>
        <v>4.7454697659485229E-3</v>
      </c>
      <c r="M71" s="55">
        <f t="shared" si="19"/>
        <v>0.99525453023405153</v>
      </c>
      <c r="N71" s="55">
        <f t="shared" ref="N71:N122" si="37">IF(D71=0,"",1/(1/10^E71*$J$20/$J$22+10^D71/10^E71*$J$21/$J$22+10^I71/10^E71*$J$13/$J$22+1))</f>
        <v>3.5020648957658691E-3</v>
      </c>
      <c r="O71" s="56">
        <f t="shared" si="21"/>
        <v>1.2220890771061159E-10</v>
      </c>
      <c r="P71" s="56">
        <f t="shared" ref="P71:P122" si="38">IF(D71=0,"",O71*10^J71)</f>
        <v>1.8163430798650603E-5</v>
      </c>
      <c r="Q71" s="56">
        <f t="shared" ref="Q71:Q122" si="39">IF(D71=0,"",F71*N71*$J$7/$J$22)</f>
        <v>1.3404260594612103E-3</v>
      </c>
      <c r="R71" s="9">
        <f t="shared" si="12"/>
        <v>1.4999999999999999E-4</v>
      </c>
      <c r="S71" s="9">
        <f t="shared" si="13"/>
        <v>7.118204648922784E-7</v>
      </c>
      <c r="T71" s="9">
        <f t="shared" si="10"/>
        <v>1.8231615306500494E-8</v>
      </c>
      <c r="U71" s="9">
        <f t="shared" si="11"/>
        <v>1.4928817953510773E-4</v>
      </c>
      <c r="V71" s="100">
        <f t="shared" si="14"/>
        <v>1.2212363606599552E-4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123</v>
      </c>
      <c r="C72" s="46" t="s">
        <v>124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3.4646398062685488</v>
      </c>
      <c r="J72" s="54">
        <f t="shared" si="34"/>
        <v>4.6975737297600579</v>
      </c>
      <c r="K72" s="55">
        <f t="shared" si="35"/>
        <v>3.3975708866907788E-4</v>
      </c>
      <c r="L72" s="55">
        <f t="shared" si="36"/>
        <v>4.4482845079230832E-3</v>
      </c>
      <c r="M72" s="55">
        <f t="shared" si="19"/>
        <v>0.99555171549207688</v>
      </c>
      <c r="N72" s="55">
        <f t="shared" si="37"/>
        <v>3.0283692432711089E-3</v>
      </c>
      <c r="O72" s="56">
        <f t="shared" si="21"/>
        <v>3.4161544653463276E-10</v>
      </c>
      <c r="P72" s="56">
        <f t="shared" si="38"/>
        <v>1.702594512605034E-5</v>
      </c>
      <c r="Q72" s="56">
        <f t="shared" si="39"/>
        <v>1.1591175983801086E-3</v>
      </c>
      <c r="R72" s="9">
        <f t="shared" si="12"/>
        <v>1.4999999999999999E-4</v>
      </c>
      <c r="S72" s="9">
        <f t="shared" si="13"/>
        <v>6.6724267618846245E-7</v>
      </c>
      <c r="T72" s="9">
        <f t="shared" si="10"/>
        <v>5.0963563300361677E-8</v>
      </c>
      <c r="U72" s="9">
        <f t="shared" si="11"/>
        <v>1.4933275732381153E-4</v>
      </c>
      <c r="V72" s="100">
        <f t="shared" si="14"/>
        <v>3.4127517775522513E-4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125</v>
      </c>
      <c r="C73" s="46" t="s">
        <v>126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3.4579829545014036</v>
      </c>
      <c r="J73" s="54">
        <f t="shared" si="34"/>
        <v>4.7102525015633843</v>
      </c>
      <c r="K73" s="55">
        <f t="shared" si="35"/>
        <v>3.4493513480995464E-4</v>
      </c>
      <c r="L73" s="55">
        <f t="shared" si="36"/>
        <v>4.6498638337021869E-3</v>
      </c>
      <c r="M73" s="55">
        <f t="shared" si="19"/>
        <v>0.99535013616629786</v>
      </c>
      <c r="N73" s="55">
        <f t="shared" si="37"/>
        <v>3.3502385659718329E-3</v>
      </c>
      <c r="O73" s="56">
        <f t="shared" si="21"/>
        <v>3.4682181485949041E-10</v>
      </c>
      <c r="P73" s="56">
        <f t="shared" si="38"/>
        <v>1.7797496166265553E-5</v>
      </c>
      <c r="Q73" s="56">
        <f t="shared" si="39"/>
        <v>1.282314066958064E-3</v>
      </c>
      <c r="R73" s="9">
        <f t="shared" si="12"/>
        <v>1.4999999999999999E-4</v>
      </c>
      <c r="S73" s="9">
        <f t="shared" si="13"/>
        <v>6.97479575055328E-7</v>
      </c>
      <c r="T73" s="9">
        <f t="shared" si="10"/>
        <v>5.1740270221493192E-8</v>
      </c>
      <c r="U73" s="9">
        <f t="shared" si="11"/>
        <v>1.4930252042494468E-4</v>
      </c>
      <c r="V73" s="100">
        <f t="shared" si="14"/>
        <v>3.4654652898176197E-4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127</v>
      </c>
      <c r="C74" s="46" t="s">
        <v>128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0.62193942428688143</v>
      </c>
      <c r="J74" s="54">
        <f t="shared" si="34"/>
        <v>1.6372026725125763</v>
      </c>
      <c r="K74" s="55">
        <f t="shared" si="35"/>
        <v>0.23693603595205776</v>
      </c>
      <c r="L74" s="55">
        <f t="shared" si="36"/>
        <v>2.6995047184632365E-3</v>
      </c>
      <c r="M74" s="55">
        <f t="shared" si="19"/>
        <v>0.99730049528153675</v>
      </c>
      <c r="N74" s="55">
        <f t="shared" si="37"/>
        <v>1.107030071834494E-3</v>
      </c>
      <c r="O74" s="56">
        <f t="shared" si="21"/>
        <v>2.3823199698047872E-7</v>
      </c>
      <c r="P74" s="56">
        <f t="shared" si="38"/>
        <v>1.0332436947817582E-5</v>
      </c>
      <c r="Q74" s="56">
        <f t="shared" si="39"/>
        <v>4.2371914886221945E-4</v>
      </c>
      <c r="R74" s="9">
        <f t="shared" si="12"/>
        <v>1.4999999999999999E-4</v>
      </c>
      <c r="S74" s="9">
        <f t="shared" si="13"/>
        <v>4.0492570776948544E-7</v>
      </c>
      <c r="T74" s="9">
        <f t="shared" si="10"/>
        <v>3.5540405392808659E-5</v>
      </c>
      <c r="U74" s="9">
        <f t="shared" si="11"/>
        <v>1.495950742922305E-4</v>
      </c>
      <c r="V74" s="100">
        <f t="shared" si="14"/>
        <v>0.23757737720281688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81</v>
      </c>
      <c r="C75" s="46" t="s">
        <v>82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2.0259693417507676</v>
      </c>
      <c r="J75" s="54">
        <f t="shared" si="34"/>
        <v>3.3018286380002788</v>
      </c>
      <c r="K75" s="55">
        <f t="shared" si="35"/>
        <v>9.3247744989618641E-3</v>
      </c>
      <c r="L75" s="55">
        <f t="shared" si="36"/>
        <v>4.9081437764763244E-3</v>
      </c>
      <c r="M75" s="55">
        <f t="shared" si="19"/>
        <v>0.9950918562235237</v>
      </c>
      <c r="N75" s="55">
        <f t="shared" si="37"/>
        <v>3.7956715158249383E-3</v>
      </c>
      <c r="O75" s="56">
        <f t="shared" si="21"/>
        <v>9.3757779029012858E-9</v>
      </c>
      <c r="P75" s="56">
        <f t="shared" si="38"/>
        <v>1.8786070553762423E-5</v>
      </c>
      <c r="Q75" s="56">
        <f t="shared" si="39"/>
        <v>1.4528048920845944E-3</v>
      </c>
      <c r="R75" s="9">
        <f t="shared" si="12"/>
        <v>1.4999999999999999E-4</v>
      </c>
      <c r="S75" s="9">
        <f t="shared" si="13"/>
        <v>7.3622156647144861E-7</v>
      </c>
      <c r="T75" s="9">
        <f t="shared" si="10"/>
        <v>1.3987161748442795E-6</v>
      </c>
      <c r="U75" s="9">
        <f t="shared" si="11"/>
        <v>1.4926377843352853E-4</v>
      </c>
      <c r="V75" s="100">
        <f t="shared" si="14"/>
        <v>9.3707675735085864E-3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129</v>
      </c>
      <c r="C76" s="46" t="s">
        <v>130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2.0466328175843658</v>
      </c>
      <c r="J76" s="54">
        <f t="shared" si="34"/>
        <v>3.2768864285866712</v>
      </c>
      <c r="K76" s="55">
        <f t="shared" si="35"/>
        <v>8.8958489798853443E-3</v>
      </c>
      <c r="L76" s="55">
        <f t="shared" si="36"/>
        <v>4.4210368034998697E-3</v>
      </c>
      <c r="M76" s="55">
        <f t="shared" si="19"/>
        <v>0.99557896319650008</v>
      </c>
      <c r="N76" s="55">
        <f t="shared" si="37"/>
        <v>3.016356726674818E-3</v>
      </c>
      <c r="O76" s="56">
        <f t="shared" si="21"/>
        <v>8.9445063044089238E-9</v>
      </c>
      <c r="P76" s="56">
        <f t="shared" si="38"/>
        <v>1.6921653703257106E-5</v>
      </c>
      <c r="Q76" s="56">
        <f t="shared" si="39"/>
        <v>1.1545197708798681E-3</v>
      </c>
      <c r="R76" s="9">
        <f t="shared" si="12"/>
        <v>1.4999999999999999E-4</v>
      </c>
      <c r="S76" s="9">
        <f t="shared" si="13"/>
        <v>6.631555205249804E-7</v>
      </c>
      <c r="T76" s="9">
        <f t="shared" si="10"/>
        <v>1.3343773469828016E-6</v>
      </c>
      <c r="U76" s="9">
        <f t="shared" si="11"/>
        <v>1.49336844479475E-4</v>
      </c>
      <c r="V76" s="100">
        <f t="shared" si="14"/>
        <v>8.9353525021495933E-3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131</v>
      </c>
      <c r="C77" s="46" t="s">
        <v>132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0.75425121724867172</v>
      </c>
      <c r="J77" s="54">
        <f t="shared" si="34"/>
        <v>1.849020080439971</v>
      </c>
      <c r="K77" s="55">
        <f t="shared" si="35"/>
        <v>0.17461593025106648</v>
      </c>
      <c r="L77" s="55">
        <f t="shared" si="36"/>
        <v>3.2400688775843915E-3</v>
      </c>
      <c r="M77" s="55">
        <f t="shared" si="19"/>
        <v>0.99675993112241557</v>
      </c>
      <c r="N77" s="55">
        <f t="shared" si="37"/>
        <v>1.7407370064896474E-3</v>
      </c>
      <c r="O77" s="56">
        <f t="shared" si="21"/>
        <v>1.755710211034881E-7</v>
      </c>
      <c r="P77" s="56">
        <f t="shared" si="38"/>
        <v>1.2401462814736222E-5</v>
      </c>
      <c r="Q77" s="56">
        <f t="shared" si="39"/>
        <v>6.66272418020667E-4</v>
      </c>
      <c r="R77" s="9">
        <f t="shared" si="12"/>
        <v>1.4999999999999999E-4</v>
      </c>
      <c r="S77" s="9">
        <f t="shared" si="13"/>
        <v>4.8601033163765866E-7</v>
      </c>
      <c r="T77" s="9">
        <f t="shared" si="10"/>
        <v>2.6192389537659971E-5</v>
      </c>
      <c r="U77" s="9">
        <f t="shared" si="11"/>
        <v>1.4951398966836233E-4</v>
      </c>
      <c r="V77" s="100">
        <f t="shared" si="14"/>
        <v>0.1751835369770911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83</v>
      </c>
      <c r="C78" s="46" t="s">
        <v>84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0.98244102051051041</v>
      </c>
      <c r="J78" s="54">
        <f t="shared" si="34"/>
        <v>2.1538315996948265</v>
      </c>
      <c r="K78" s="55">
        <f t="shared" si="35"/>
        <v>0.10318644186641952</v>
      </c>
      <c r="L78" s="55">
        <f t="shared" si="36"/>
        <v>3.8628205839461543E-3</v>
      </c>
      <c r="M78" s="55">
        <f t="shared" si="19"/>
        <v>0.99613717941605384</v>
      </c>
      <c r="N78" s="55">
        <f t="shared" si="37"/>
        <v>2.4721392918680965E-3</v>
      </c>
      <c r="O78" s="56">
        <f t="shared" si="21"/>
        <v>1.0375083726023529E-7</v>
      </c>
      <c r="P78" s="56">
        <f t="shared" si="38"/>
        <v>1.4785064034663626E-5</v>
      </c>
      <c r="Q78" s="56">
        <f t="shared" si="39"/>
        <v>9.4621888173585639E-4</v>
      </c>
      <c r="R78" s="9">
        <f t="shared" si="12"/>
        <v>1.4999999999999999E-4</v>
      </c>
      <c r="S78" s="9">
        <f t="shared" si="13"/>
        <v>5.7942308759192315E-7</v>
      </c>
      <c r="T78" s="9">
        <f t="shared" si="10"/>
        <v>1.5477966279962926E-5</v>
      </c>
      <c r="U78" s="9">
        <f t="shared" si="11"/>
        <v>1.4942057691240805E-4</v>
      </c>
      <c r="V78" s="100">
        <f t="shared" si="14"/>
        <v>0.10358657823303866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133</v>
      </c>
      <c r="C79" s="46" t="s">
        <v>134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1.0570731161685156</v>
      </c>
      <c r="J79" s="54">
        <f t="shared" si="34"/>
        <v>2.1415977618226001</v>
      </c>
      <c r="K79" s="55">
        <f t="shared" si="35"/>
        <v>8.6955041729188193E-2</v>
      </c>
      <c r="L79" s="55">
        <f t="shared" si="36"/>
        <v>3.1647749313988638E-3</v>
      </c>
      <c r="M79" s="55">
        <f t="shared" si="19"/>
        <v>0.99683522506860112</v>
      </c>
      <c r="N79" s="55">
        <f t="shared" si="37"/>
        <v>1.2978666352528299E-3</v>
      </c>
      <c r="O79" s="56">
        <f t="shared" si="21"/>
        <v>8.7430656782225338E-8</v>
      </c>
      <c r="P79" s="56">
        <f t="shared" si="38"/>
        <v>1.2113272930794404E-5</v>
      </c>
      <c r="Q79" s="56">
        <f t="shared" si="39"/>
        <v>4.9676242770414888E-4</v>
      </c>
      <c r="R79" s="9">
        <f t="shared" si="12"/>
        <v>1.4999999999999999E-4</v>
      </c>
      <c r="S79" s="9">
        <f t="shared" si="13"/>
        <v>4.7471623970982951E-7</v>
      </c>
      <c r="T79" s="9">
        <f t="shared" si="10"/>
        <v>1.3043256259378228E-5</v>
      </c>
      <c r="U79" s="9">
        <f t="shared" si="11"/>
        <v>1.4952528376029016E-4</v>
      </c>
      <c r="V79" s="100">
        <f t="shared" si="14"/>
        <v>8.7231108554780501E-2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135</v>
      </c>
      <c r="C80" s="46" t="s">
        <v>136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1.1393826628828596</v>
      </c>
      <c r="J80" s="54">
        <f t="shared" si="34"/>
        <v>2.2248030285357943</v>
      </c>
      <c r="K80" s="55">
        <f t="shared" si="35"/>
        <v>7.1941979516630478E-2</v>
      </c>
      <c r="L80" s="55">
        <f t="shared" si="36"/>
        <v>3.1712882041462442E-3</v>
      </c>
      <c r="M80" s="55">
        <f t="shared" si="19"/>
        <v>0.99682871179585375</v>
      </c>
      <c r="N80" s="55">
        <f t="shared" si="37"/>
        <v>1.2530075378159164E-3</v>
      </c>
      <c r="O80" s="56">
        <f t="shared" si="21"/>
        <v>7.2335478130660966E-8</v>
      </c>
      <c r="P80" s="56">
        <f t="shared" si="38"/>
        <v>1.2138202681620901E-5</v>
      </c>
      <c r="Q80" s="56">
        <f t="shared" si="39"/>
        <v>4.7959247083640257E-4</v>
      </c>
      <c r="R80" s="9">
        <f t="shared" si="12"/>
        <v>1.4999999999999999E-4</v>
      </c>
      <c r="S80" s="9">
        <f t="shared" si="13"/>
        <v>4.756932306219366E-7</v>
      </c>
      <c r="T80" s="9">
        <f t="shared" si="10"/>
        <v>1.0791296927494571E-5</v>
      </c>
      <c r="U80" s="9">
        <f t="shared" si="11"/>
        <v>1.4952430676937805E-4</v>
      </c>
      <c r="V80" s="100">
        <f t="shared" si="14"/>
        <v>7.2170854094904813E-2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137</v>
      </c>
      <c r="C81" s="46" t="s">
        <v>138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2.466507651261447</v>
      </c>
      <c r="J81" s="54">
        <f t="shared" si="34"/>
        <v>3.7475217398878207</v>
      </c>
      <c r="K81" s="55">
        <f t="shared" si="35"/>
        <v>3.3812289449571698E-3</v>
      </c>
      <c r="L81" s="55">
        <f t="shared" si="36"/>
        <v>4.966456296414944E-3</v>
      </c>
      <c r="M81" s="55">
        <f t="shared" si="19"/>
        <v>0.9950335437035851</v>
      </c>
      <c r="N81" s="55">
        <f t="shared" si="37"/>
        <v>3.8668994400422457E-3</v>
      </c>
      <c r="O81" s="56">
        <f t="shared" si="21"/>
        <v>3.399723138646306E-9</v>
      </c>
      <c r="P81" s="56">
        <f t="shared" si="38"/>
        <v>1.9009263508904625E-5</v>
      </c>
      <c r="Q81" s="56">
        <f t="shared" si="39"/>
        <v>1.480067598123435E-3</v>
      </c>
      <c r="R81" s="9">
        <f t="shared" si="12"/>
        <v>1.4999999999999999E-4</v>
      </c>
      <c r="S81" s="9">
        <f t="shared" si="13"/>
        <v>7.449684444622415E-7</v>
      </c>
      <c r="T81" s="9">
        <f t="shared" si="10"/>
        <v>5.0718434174357543E-7</v>
      </c>
      <c r="U81" s="9">
        <f t="shared" si="11"/>
        <v>1.4925503155553774E-4</v>
      </c>
      <c r="V81" s="100">
        <f t="shared" si="14"/>
        <v>3.3981054873507047E-3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139</v>
      </c>
      <c r="C82" s="46" t="s">
        <v>140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2.2273249528367836</v>
      </c>
      <c r="J82" s="54">
        <f t="shared" si="34"/>
        <v>3.4655852041320223</v>
      </c>
      <c r="K82" s="55">
        <f t="shared" si="35"/>
        <v>5.8675870550064391E-3</v>
      </c>
      <c r="L82" s="55">
        <f t="shared" si="36"/>
        <v>4.5029284483131642E-3</v>
      </c>
      <c r="M82" s="55">
        <f t="shared" si="19"/>
        <v>0.99549707155168687</v>
      </c>
      <c r="N82" s="55">
        <f t="shared" si="37"/>
        <v>3.1359623642757831E-3</v>
      </c>
      <c r="O82" s="56">
        <f t="shared" si="21"/>
        <v>5.8996807976218267E-9</v>
      </c>
      <c r="P82" s="56">
        <f t="shared" si="38"/>
        <v>1.7235096480667073E-5</v>
      </c>
      <c r="Q82" s="56">
        <f t="shared" si="39"/>
        <v>1.2002991948113443E-3</v>
      </c>
      <c r="R82" s="9">
        <f t="shared" si="12"/>
        <v>1.4999999999999999E-4</v>
      </c>
      <c r="S82" s="9">
        <f t="shared" si="13"/>
        <v>6.7543926724697454E-7</v>
      </c>
      <c r="T82" s="9">
        <f t="shared" si="10"/>
        <v>8.8013805825096584E-7</v>
      </c>
      <c r="U82" s="9">
        <f t="shared" si="11"/>
        <v>1.4932456073275303E-4</v>
      </c>
      <c r="V82" s="100">
        <f t="shared" si="14"/>
        <v>5.8941278911655648E-3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85</v>
      </c>
      <c r="C83" s="46" t="s">
        <v>86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0.70532975413914467</v>
      </c>
      <c r="J83" s="54">
        <f t="shared" si="34"/>
        <v>1.7919988422958726</v>
      </c>
      <c r="K83" s="55">
        <f t="shared" si="35"/>
        <v>0.19544804309756961</v>
      </c>
      <c r="L83" s="55">
        <f t="shared" si="36"/>
        <v>3.1803906566800887E-3</v>
      </c>
      <c r="M83" s="55">
        <f t="shared" si="19"/>
        <v>0.99681960934331992</v>
      </c>
      <c r="N83" s="55">
        <f t="shared" si="37"/>
        <v>1.7221287877389347E-3</v>
      </c>
      <c r="O83" s="56">
        <f t="shared" si="21"/>
        <v>1.9651707865359135E-7</v>
      </c>
      <c r="P83" s="56">
        <f t="shared" si="38"/>
        <v>1.2173042597340691E-5</v>
      </c>
      <c r="Q83" s="56">
        <f t="shared" si="39"/>
        <v>6.5915006532989682E-4</v>
      </c>
      <c r="R83" s="9">
        <f t="shared" si="12"/>
        <v>1.4999999999999999E-4</v>
      </c>
      <c r="S83" s="9">
        <f t="shared" si="13"/>
        <v>4.7705859850201325E-7</v>
      </c>
      <c r="T83" s="9">
        <f t="shared" si="10"/>
        <v>2.9317206464635438E-5</v>
      </c>
      <c r="U83" s="9">
        <f t="shared" si="11"/>
        <v>1.4952294140149798E-4</v>
      </c>
      <c r="V83" s="100">
        <f t="shared" si="14"/>
        <v>0.19607162746961401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141</v>
      </c>
      <c r="C84" s="46" t="s">
        <v>142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2.3272580136650043</v>
      </c>
      <c r="J84" s="54">
        <f t="shared" si="34"/>
        <v>3.5094172504294607</v>
      </c>
      <c r="K84" s="55">
        <f t="shared" si="35"/>
        <v>4.6640535554618705E-3</v>
      </c>
      <c r="L84" s="55">
        <f t="shared" si="36"/>
        <v>3.9594155028367124E-3</v>
      </c>
      <c r="M84" s="55">
        <f t="shared" si="19"/>
        <v>0.99604058449716326</v>
      </c>
      <c r="N84" s="55">
        <f t="shared" si="37"/>
        <v>2.2637362675084227E-3</v>
      </c>
      <c r="O84" s="56">
        <f t="shared" si="21"/>
        <v>4.689564371569092E-9</v>
      </c>
      <c r="P84" s="56">
        <f t="shared" si="38"/>
        <v>1.5154784043704539E-5</v>
      </c>
      <c r="Q84" s="56">
        <f t="shared" si="39"/>
        <v>8.6645198619374924E-4</v>
      </c>
      <c r="R84" s="9">
        <f t="shared" si="12"/>
        <v>1.4999999999999999E-4</v>
      </c>
      <c r="S84" s="9">
        <f t="shared" si="13"/>
        <v>5.9391232542550676E-7</v>
      </c>
      <c r="T84" s="9">
        <f t="shared" si="10"/>
        <v>6.9960803331928056E-7</v>
      </c>
      <c r="U84" s="9">
        <f t="shared" si="11"/>
        <v>1.4940608767457448E-4</v>
      </c>
      <c r="V84" s="100">
        <f t="shared" si="14"/>
        <v>4.6825938903046309E-3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87</v>
      </c>
      <c r="C85" s="46" t="s">
        <v>88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0.64458903464573347</v>
      </c>
      <c r="J85" s="54">
        <f t="shared" si="34"/>
        <v>1.7105800211348248</v>
      </c>
      <c r="K85" s="55">
        <f t="shared" si="35"/>
        <v>0.22482068880945605</v>
      </c>
      <c r="L85" s="55">
        <f t="shared" si="36"/>
        <v>3.032959390272625E-3</v>
      </c>
      <c r="M85" s="55">
        <f t="shared" si="19"/>
        <v>0.99696704060972741</v>
      </c>
      <c r="N85" s="55">
        <f t="shared" si="37"/>
        <v>1.5948453417564089E-3</v>
      </c>
      <c r="O85" s="56">
        <f t="shared" si="21"/>
        <v>2.2605038293305811E-7</v>
      </c>
      <c r="P85" s="56">
        <f t="shared" si="38"/>
        <v>1.1608744911964094E-5</v>
      </c>
      <c r="Q85" s="56">
        <f t="shared" si="39"/>
        <v>6.1043193673688309E-4</v>
      </c>
      <c r="R85" s="9">
        <f t="shared" si="12"/>
        <v>1.4999999999999999E-4</v>
      </c>
      <c r="S85" s="9">
        <f t="shared" si="13"/>
        <v>4.549439085408937E-7</v>
      </c>
      <c r="T85" s="9">
        <f t="shared" si="10"/>
        <v>3.3723103321418406E-5</v>
      </c>
      <c r="U85" s="9">
        <f t="shared" si="11"/>
        <v>1.4954505609145909E-4</v>
      </c>
      <c r="V85" s="100">
        <f t="shared" si="14"/>
        <v>0.22550463521036732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143</v>
      </c>
      <c r="C86" s="46" t="s">
        <v>144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1.6299602750984028</v>
      </c>
      <c r="J86" s="54">
        <f t="shared" si="34"/>
        <v>2.7189105100885862</v>
      </c>
      <c r="K86" s="55">
        <f t="shared" si="35"/>
        <v>2.324842474623523E-2</v>
      </c>
      <c r="L86" s="55">
        <f t="shared" si="36"/>
        <v>3.1970861697565691E-3</v>
      </c>
      <c r="M86" s="55">
        <f t="shared" si="19"/>
        <v>0.99680291383024344</v>
      </c>
      <c r="N86" s="55">
        <f t="shared" si="37"/>
        <v>1.1149716675452434E-3</v>
      </c>
      <c r="O86" s="56">
        <f t="shared" si="21"/>
        <v>2.3375585869372257E-8</v>
      </c>
      <c r="P86" s="56">
        <f t="shared" si="38"/>
        <v>1.2236945184728063E-5</v>
      </c>
      <c r="Q86" s="56">
        <f t="shared" si="39"/>
        <v>4.2675881893151603E-4</v>
      </c>
      <c r="R86" s="9">
        <f t="shared" si="12"/>
        <v>1.4999999999999999E-4</v>
      </c>
      <c r="S86" s="9">
        <f t="shared" si="13"/>
        <v>4.7956292546348532E-7</v>
      </c>
      <c r="T86" s="9">
        <f t="shared" si="10"/>
        <v>3.4872637119352843E-6</v>
      </c>
      <c r="U86" s="9">
        <f t="shared" si="11"/>
        <v>1.4952043707453649E-4</v>
      </c>
      <c r="V86" s="100">
        <f t="shared" si="14"/>
        <v>2.3322990356140213E-2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281</v>
      </c>
      <c r="C87" s="46" t="s">
        <v>282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0.48026857292599601</v>
      </c>
      <c r="J87" s="54">
        <f t="shared" si="34"/>
        <v>1.4561462187091176</v>
      </c>
      <c r="K87" s="55">
        <f t="shared" si="35"/>
        <v>0.32840035999322748</v>
      </c>
      <c r="L87" s="55">
        <f t="shared" si="36"/>
        <v>2.4660401514618249E-3</v>
      </c>
      <c r="M87" s="55">
        <f t="shared" si="19"/>
        <v>0.99753395984853821</v>
      </c>
      <c r="N87" s="55">
        <f t="shared" si="37"/>
        <v>1.0709225339986092E-3</v>
      </c>
      <c r="O87" s="56">
        <f t="shared" si="21"/>
        <v>3.30196600343753E-7</v>
      </c>
      <c r="P87" s="56">
        <f t="shared" si="38"/>
        <v>9.4388441707451816E-6</v>
      </c>
      <c r="Q87" s="56">
        <f t="shared" si="39"/>
        <v>4.0989887822225545E-4</v>
      </c>
      <c r="R87" s="9">
        <f t="shared" si="12"/>
        <v>1.4999999999999999E-4</v>
      </c>
      <c r="S87" s="9">
        <f t="shared" si="13"/>
        <v>3.6990602271927373E-7</v>
      </c>
      <c r="T87" s="9">
        <f t="shared" si="10"/>
        <v>4.9260053998984117E-5</v>
      </c>
      <c r="U87" s="9">
        <f t="shared" si="11"/>
        <v>1.4963009397728073E-4</v>
      </c>
      <c r="V87" s="100">
        <f t="shared" si="14"/>
        <v>0.32921221052272803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283</v>
      </c>
      <c r="C88" s="46" t="s">
        <v>284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0.14925721804369038</v>
      </c>
      <c r="J88" s="54">
        <f t="shared" si="34"/>
        <v>0.70936976264120555</v>
      </c>
      <c r="K88" s="55">
        <f t="shared" si="35"/>
        <v>0.70481526370802294</v>
      </c>
      <c r="L88" s="55">
        <f t="shared" si="36"/>
        <v>9.4818998421893064E-4</v>
      </c>
      <c r="M88" s="55">
        <f t="shared" si="19"/>
        <v>0.99905181001578103</v>
      </c>
      <c r="N88" s="55">
        <f t="shared" si="37"/>
        <v>3.2924986145740769E-5</v>
      </c>
      <c r="O88" s="56">
        <f t="shared" si="21"/>
        <v>7.0867036793618122E-7</v>
      </c>
      <c r="P88" s="56">
        <f t="shared" si="38"/>
        <v>3.6292261908219623E-6</v>
      </c>
      <c r="Q88" s="56">
        <f t="shared" si="39"/>
        <v>1.2602139238056195E-5</v>
      </c>
      <c r="R88" s="9">
        <f t="shared" si="12"/>
        <v>1.4999999999999999E-4</v>
      </c>
      <c r="S88" s="9">
        <f t="shared" si="13"/>
        <v>1.4222849763283959E-7</v>
      </c>
      <c r="T88" s="9">
        <f t="shared" si="10"/>
        <v>1.0572228955620344E-4</v>
      </c>
      <c r="U88" s="9">
        <f t="shared" si="11"/>
        <v>1.4985777150236713E-4</v>
      </c>
      <c r="V88" s="100">
        <f t="shared" si="14"/>
        <v>0.70548419675741314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285</v>
      </c>
      <c r="C89" s="46" t="s">
        <v>286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3.7336026484154294E-2</v>
      </c>
      <c r="J89" s="54">
        <f t="shared" si="34"/>
        <v>0.30145678662482972</v>
      </c>
      <c r="K89" s="55">
        <f t="shared" si="35"/>
        <v>0.91243100468961813</v>
      </c>
      <c r="L89" s="55">
        <f t="shared" si="36"/>
        <v>4.7985179210442849E-4</v>
      </c>
      <c r="M89" s="55">
        <f t="shared" si="19"/>
        <v>0.99952014820789559</v>
      </c>
      <c r="N89" s="55">
        <f t="shared" si="37"/>
        <v>4.9325752842843078E-5</v>
      </c>
      <c r="O89" s="56">
        <f t="shared" si="21"/>
        <v>9.1742169771969831E-7</v>
      </c>
      <c r="P89" s="56">
        <f t="shared" si="38"/>
        <v>1.8366474236202747E-6</v>
      </c>
      <c r="Q89" s="56">
        <f t="shared" si="39"/>
        <v>1.8879582897800767E-5</v>
      </c>
      <c r="R89" s="9">
        <f t="shared" si="12"/>
        <v>1.4999999999999999E-4</v>
      </c>
      <c r="S89" s="9">
        <f t="shared" si="13"/>
        <v>7.1977768815664263E-8</v>
      </c>
      <c r="T89" s="9">
        <f t="shared" si="10"/>
        <v>1.368646507034427E-4</v>
      </c>
      <c r="U89" s="9">
        <f t="shared" si="11"/>
        <v>1.4992802223118433E-4</v>
      </c>
      <c r="V89" s="100">
        <f t="shared" si="14"/>
        <v>0.91286904653755585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287</v>
      </c>
      <c r="C90" s="46" t="s">
        <v>288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1.290009012521746E-3</v>
      </c>
      <c r="J90" s="54">
        <f t="shared" si="34"/>
        <v>1.1610937813436995E-2</v>
      </c>
      <c r="K90" s="55">
        <f t="shared" si="35"/>
        <v>0.99160404388662238</v>
      </c>
      <c r="L90" s="55">
        <f t="shared" si="36"/>
        <v>2.6754665598698307E-4</v>
      </c>
      <c r="M90" s="55">
        <f t="shared" si="19"/>
        <v>0.99973245334401306</v>
      </c>
      <c r="N90" s="55">
        <f t="shared" si="37"/>
        <v>1.7618330686453247E-6</v>
      </c>
      <c r="O90" s="56">
        <f t="shared" si="21"/>
        <v>9.9702778701348778E-7</v>
      </c>
      <c r="P90" s="56">
        <f t="shared" si="38"/>
        <v>1.0240430159939323E-6</v>
      </c>
      <c r="Q90" s="56">
        <f t="shared" si="39"/>
        <v>6.7434700039053457E-7</v>
      </c>
      <c r="R90" s="9">
        <f t="shared" si="12"/>
        <v>1.4999999999999999E-4</v>
      </c>
      <c r="S90" s="9">
        <f t="shared" si="13"/>
        <v>4.0131998398047455E-8</v>
      </c>
      <c r="T90" s="9">
        <f t="shared" si="10"/>
        <v>1.4874060658299335E-4</v>
      </c>
      <c r="U90" s="9">
        <f t="shared" si="11"/>
        <v>1.4995986800160196E-4</v>
      </c>
      <c r="V90" s="100">
        <f t="shared" si="14"/>
        <v>0.99186941523184335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289</v>
      </c>
      <c r="C91" s="46" t="s">
        <v>290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-2.2961926676165657E-4</v>
      </c>
      <c r="J91" s="54">
        <f t="shared" si="34"/>
        <v>-4.1568887929674669E-3</v>
      </c>
      <c r="K91" s="55">
        <f t="shared" si="35"/>
        <v>0.99508840943903132</v>
      </c>
      <c r="L91" s="55">
        <f t="shared" si="36"/>
        <v>2.5891372864133655E-4</v>
      </c>
      <c r="M91" s="55">
        <f t="shared" si="19"/>
        <v>0.99974108627135871</v>
      </c>
      <c r="N91" s="55">
        <f t="shared" si="37"/>
        <v>8.0300740147396103E-7</v>
      </c>
      <c r="O91" s="56">
        <f t="shared" si="21"/>
        <v>1.0005312108824022E-6</v>
      </c>
      <c r="P91" s="56">
        <f t="shared" si="38"/>
        <v>9.9100022230518457E-7</v>
      </c>
      <c r="Q91" s="56">
        <f t="shared" si="39"/>
        <v>3.0735354110008143E-7</v>
      </c>
      <c r="R91" s="9">
        <f t="shared" si="12"/>
        <v>1.4999999999999999E-4</v>
      </c>
      <c r="S91" s="9">
        <f t="shared" si="13"/>
        <v>3.8837059296200481E-8</v>
      </c>
      <c r="T91" s="9">
        <f t="shared" si="10"/>
        <v>1.4926326141585469E-4</v>
      </c>
      <c r="U91" s="9">
        <f t="shared" si="11"/>
        <v>1.4996116294070379E-4</v>
      </c>
      <c r="V91" s="100">
        <f t="shared" si="14"/>
        <v>0.99534611821378671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291</v>
      </c>
      <c r="C92" s="46" t="s">
        <v>292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4.7346378220411142E-2</v>
      </c>
      <c r="J92" s="54">
        <f t="shared" si="34"/>
        <v>0.36182051032433649</v>
      </c>
      <c r="K92" s="55">
        <f t="shared" si="35"/>
        <v>0.89158769226890566</v>
      </c>
      <c r="L92" s="55">
        <f t="shared" si="36"/>
        <v>5.3880904200683465E-4</v>
      </c>
      <c r="M92" s="55">
        <f t="shared" si="19"/>
        <v>0.99946119095799313</v>
      </c>
      <c r="N92" s="55">
        <f t="shared" si="37"/>
        <v>6.6741615938863271E-5</v>
      </c>
      <c r="O92" s="56">
        <f t="shared" si="21"/>
        <v>8.9646437933745324E-7</v>
      </c>
      <c r="P92" s="56">
        <f t="shared" si="38"/>
        <v>2.0623081024355067E-6</v>
      </c>
      <c r="Q92" s="56">
        <f t="shared" si="39"/>
        <v>2.5545557811669119E-5</v>
      </c>
      <c r="R92" s="9">
        <f t="shared" si="12"/>
        <v>1.4999999999999999E-4</v>
      </c>
      <c r="S92" s="9">
        <f t="shared" si="13"/>
        <v>8.0821356301025187E-8</v>
      </c>
      <c r="T92" s="9">
        <f t="shared" ref="T92:T143" si="40">R92*K92</f>
        <v>1.3373815384033584E-4</v>
      </c>
      <c r="U92" s="9">
        <f t="shared" ref="U92:U143" si="41">$R92*M92</f>
        <v>1.4991917864369897E-4</v>
      </c>
      <c r="V92" s="100">
        <f t="shared" si="14"/>
        <v>0.89206834676022817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293</v>
      </c>
      <c r="C93" s="46" t="s">
        <v>294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-1.6947243885858597E-4</v>
      </c>
      <c r="J93" s="54">
        <f t="shared" si="34"/>
        <v>-3.5273748198146339E-3</v>
      </c>
      <c r="K93" s="55">
        <f t="shared" si="35"/>
        <v>0.99495026806667408</v>
      </c>
      <c r="L93" s="55">
        <f t="shared" si="36"/>
        <v>2.5925330330451196E-4</v>
      </c>
      <c r="M93" s="55">
        <f t="shared" ref="M93:M127" si="42">IF(D93=0,"",1-L93)</f>
        <v>0.99974074669669544</v>
      </c>
      <c r="N93" s="55">
        <f t="shared" si="37"/>
        <v>8.3673102864734204E-7</v>
      </c>
      <c r="O93" s="56">
        <f t="shared" ref="O93:O127" si="43">IF(D93=0,"",F93*K93*$J$7/$J$14)</f>
        <v>1.0003923139228489E-6</v>
      </c>
      <c r="P93" s="56">
        <f t="shared" si="38"/>
        <v>9.9229995472363089E-7</v>
      </c>
      <c r="Q93" s="56">
        <f t="shared" si="39"/>
        <v>3.2026136263628639E-7</v>
      </c>
      <c r="R93" s="9">
        <f t="shared" ref="R93:R143" si="44">F93*$C$14</f>
        <v>1.4999999999999999E-4</v>
      </c>
      <c r="S93" s="9">
        <f t="shared" ref="S93:S143" si="45">$R93*L93</f>
        <v>3.8887995495676791E-8</v>
      </c>
      <c r="T93" s="9">
        <f t="shared" si="40"/>
        <v>1.4924254021000109E-4</v>
      </c>
      <c r="U93" s="9">
        <f t="shared" si="41"/>
        <v>1.499611120045043E-4</v>
      </c>
      <c r="V93" s="100">
        <f t="shared" ref="V93:V143" si="46">K93/M93</f>
        <v>0.99520827910050691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295</v>
      </c>
      <c r="C94" s="46" t="s">
        <v>296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-1.6675027667828724E-3</v>
      </c>
      <c r="J94" s="54">
        <f t="shared" si="34"/>
        <v>-1.9299967589831716E-2</v>
      </c>
      <c r="K94" s="55">
        <f t="shared" si="35"/>
        <v>0.99839648714651452</v>
      </c>
      <c r="L94" s="55">
        <f t="shared" si="36"/>
        <v>2.5087268437254937E-4</v>
      </c>
      <c r="M94" s="55">
        <f t="shared" si="42"/>
        <v>0.99974912731562748</v>
      </c>
      <c r="N94" s="55">
        <f t="shared" si="37"/>
        <v>1.4034643217654267E-7</v>
      </c>
      <c r="O94" s="56">
        <f t="shared" si="43"/>
        <v>1.0038573826707231E-6</v>
      </c>
      <c r="P94" s="56">
        <f t="shared" si="38"/>
        <v>9.6022287921198505E-7</v>
      </c>
      <c r="Q94" s="56">
        <f t="shared" si="39"/>
        <v>5.3718026547506937E-8</v>
      </c>
      <c r="R94" s="9">
        <f t="shared" si="44"/>
        <v>1.4999999999999999E-4</v>
      </c>
      <c r="S94" s="9">
        <f t="shared" si="45"/>
        <v>3.7630902655882403E-8</v>
      </c>
      <c r="T94" s="9">
        <f t="shared" si="40"/>
        <v>1.4975947307197717E-4</v>
      </c>
      <c r="U94" s="9">
        <f t="shared" si="41"/>
        <v>1.4996236909734412E-4</v>
      </c>
      <c r="V94" s="100">
        <f t="shared" si="46"/>
        <v>0.99864702040526421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297</v>
      </c>
      <c r="C95" s="46" t="s">
        <v>298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1.9022995281384409</v>
      </c>
      <c r="J95" s="54">
        <f t="shared" si="34"/>
        <v>3.167558402824401</v>
      </c>
      <c r="K95" s="55">
        <f t="shared" si="35"/>
        <v>1.2398226133998691E-2</v>
      </c>
      <c r="L95" s="55">
        <f t="shared" si="36"/>
        <v>4.7903611470710619E-3</v>
      </c>
      <c r="M95" s="55">
        <f t="shared" si="42"/>
        <v>0.9952096388529289</v>
      </c>
      <c r="N95" s="55">
        <f t="shared" si="37"/>
        <v>3.6189271104386631E-3</v>
      </c>
      <c r="O95" s="56">
        <f t="shared" si="43"/>
        <v>1.2466040292476736E-8</v>
      </c>
      <c r="P95" s="56">
        <f t="shared" si="38"/>
        <v>1.8335253934123074E-5</v>
      </c>
      <c r="Q95" s="56">
        <f t="shared" si="39"/>
        <v>1.3851554298686954E-3</v>
      </c>
      <c r="R95" s="9">
        <f t="shared" si="44"/>
        <v>1.4999999999999999E-4</v>
      </c>
      <c r="S95" s="9">
        <f t="shared" si="45"/>
        <v>7.1855417206065918E-7</v>
      </c>
      <c r="T95" s="9">
        <f t="shared" si="40"/>
        <v>1.8597339200998035E-6</v>
      </c>
      <c r="U95" s="9">
        <f t="shared" si="41"/>
        <v>1.4928144582793931E-4</v>
      </c>
      <c r="V95" s="100">
        <f t="shared" si="46"/>
        <v>1.2457903993261955E-2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299</v>
      </c>
      <c r="C96" s="46" t="s">
        <v>212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-2.2554890834977572E-3</v>
      </c>
      <c r="J96" s="54">
        <f t="shared" si="34"/>
        <v>-2.5488275090784298E-2</v>
      </c>
      <c r="K96" s="55">
        <f t="shared" si="35"/>
        <v>0.99975233363953286</v>
      </c>
      <c r="L96" s="55">
        <f t="shared" si="36"/>
        <v>2.4765919196145309E-4</v>
      </c>
      <c r="M96" s="55">
        <f t="shared" si="42"/>
        <v>0.99975234080803854</v>
      </c>
      <c r="N96" s="55">
        <f t="shared" si="37"/>
        <v>4.4806675987128211E-15</v>
      </c>
      <c r="O96" s="56">
        <f t="shared" si="43"/>
        <v>1.0052206451914823E-6</v>
      </c>
      <c r="P96" s="56">
        <f t="shared" si="38"/>
        <v>9.4792313863629711E-7</v>
      </c>
      <c r="Q96" s="56">
        <f t="shared" si="39"/>
        <v>1.7149892397367161E-15</v>
      </c>
      <c r="R96" s="9">
        <f t="shared" si="44"/>
        <v>1.4999999999999999E-4</v>
      </c>
      <c r="S96" s="9">
        <f t="shared" si="45"/>
        <v>3.714887879421796E-8</v>
      </c>
      <c r="T96" s="9">
        <f t="shared" si="40"/>
        <v>1.4996285004592992E-4</v>
      </c>
      <c r="U96" s="9">
        <f t="shared" si="41"/>
        <v>1.4996285112120578E-4</v>
      </c>
      <c r="V96" s="100">
        <f t="shared" si="46"/>
        <v>0.99999999282971852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300</v>
      </c>
      <c r="C97" s="46" t="s">
        <v>213</v>
      </c>
      <c r="D97" s="47" t="s">
        <v>301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302</v>
      </c>
      <c r="C98" s="46" t="s">
        <v>214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2.2410131712935462</v>
      </c>
      <c r="J98" s="54">
        <f t="shared" si="34"/>
        <v>3.2573026966933165</v>
      </c>
      <c r="K98" s="55">
        <f t="shared" si="35"/>
        <v>5.695798246060777E-3</v>
      </c>
      <c r="L98" s="55">
        <f t="shared" si="36"/>
        <v>2.705874154048684E-3</v>
      </c>
      <c r="M98" s="55">
        <f t="shared" si="42"/>
        <v>0.99729412584595134</v>
      </c>
      <c r="N98" s="55">
        <f t="shared" si="37"/>
        <v>2.6607550658575604E-4</v>
      </c>
      <c r="O98" s="56">
        <f t="shared" si="43"/>
        <v>5.7269523612336035E-9</v>
      </c>
      <c r="P98" s="56">
        <f t="shared" si="38"/>
        <v>1.0356816157503616E-5</v>
      </c>
      <c r="Q98" s="56">
        <f t="shared" si="39"/>
        <v>1.01841214662555E-4</v>
      </c>
      <c r="R98" s="9">
        <f t="shared" si="44"/>
        <v>1.4999999999999999E-4</v>
      </c>
      <c r="S98" s="9">
        <f t="shared" si="45"/>
        <v>4.0588112310730259E-7</v>
      </c>
      <c r="T98" s="9">
        <f t="shared" si="40"/>
        <v>8.5436973690911648E-7</v>
      </c>
      <c r="U98" s="9">
        <f t="shared" si="41"/>
        <v>1.495941188768927E-4</v>
      </c>
      <c r="V98" s="100">
        <f t="shared" si="46"/>
        <v>5.7112521757102857E-3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303</v>
      </c>
      <c r="C99" s="46" t="s">
        <v>215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0.63542458371912058</v>
      </c>
      <c r="J99" s="54">
        <f t="shared" si="34"/>
        <v>1.5416815154210541</v>
      </c>
      <c r="K99" s="55">
        <f t="shared" si="35"/>
        <v>0.22982976636844762</v>
      </c>
      <c r="L99" s="55">
        <f t="shared" si="36"/>
        <v>2.1015420833265012E-3</v>
      </c>
      <c r="M99" s="55">
        <f t="shared" si="42"/>
        <v>0.99789845791667353</v>
      </c>
      <c r="N99" s="55">
        <f t="shared" si="37"/>
        <v>1.2614108891956645E-4</v>
      </c>
      <c r="O99" s="56">
        <f t="shared" si="43"/>
        <v>2.3108685847428871E-7</v>
      </c>
      <c r="P99" s="56">
        <f t="shared" si="38"/>
        <v>8.0437166568531045E-6</v>
      </c>
      <c r="Q99" s="56">
        <f t="shared" si="39"/>
        <v>4.8280887930154626E-5</v>
      </c>
      <c r="R99" s="9">
        <f t="shared" si="44"/>
        <v>1.4999999999999999E-4</v>
      </c>
      <c r="S99" s="9">
        <f t="shared" si="45"/>
        <v>3.1523131249897514E-7</v>
      </c>
      <c r="T99" s="9">
        <f t="shared" si="40"/>
        <v>3.4474464955267141E-5</v>
      </c>
      <c r="U99" s="9">
        <f t="shared" si="41"/>
        <v>1.4968476868750102E-4</v>
      </c>
      <c r="V99" s="100">
        <f t="shared" si="46"/>
        <v>0.23031378047047635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304</v>
      </c>
      <c r="C100" s="46" t="s">
        <v>216</v>
      </c>
      <c r="D100" s="47" t="s">
        <v>301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305</v>
      </c>
      <c r="C101" s="46" t="s">
        <v>217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1.8939169904293498</v>
      </c>
      <c r="J101" s="54">
        <f t="shared" si="34"/>
        <v>2.8915128781421329</v>
      </c>
      <c r="K101" s="55">
        <f t="shared" si="35"/>
        <v>1.2667773531631661E-2</v>
      </c>
      <c r="L101" s="55">
        <f t="shared" si="36"/>
        <v>2.5921699336336314E-3</v>
      </c>
      <c r="M101" s="55">
        <f t="shared" si="42"/>
        <v>0.99740783006636635</v>
      </c>
      <c r="N101" s="55">
        <f t="shared" si="37"/>
        <v>1.1019213325271146E-4</v>
      </c>
      <c r="O101" s="56">
        <f t="shared" si="43"/>
        <v>1.2737062024400988E-8</v>
      </c>
      <c r="P101" s="56">
        <f t="shared" si="38"/>
        <v>9.9216097731235522E-6</v>
      </c>
      <c r="Q101" s="56">
        <f t="shared" si="39"/>
        <v>4.2176376325332202E-5</v>
      </c>
      <c r="R101" s="9">
        <f t="shared" si="44"/>
        <v>1.4999999999999999E-4</v>
      </c>
      <c r="S101" s="9">
        <f t="shared" si="45"/>
        <v>3.888254900450447E-7</v>
      </c>
      <c r="T101" s="9">
        <f t="shared" si="40"/>
        <v>1.900166029744749E-6</v>
      </c>
      <c r="U101" s="9">
        <f t="shared" si="41"/>
        <v>1.4961117450995495E-4</v>
      </c>
      <c r="V101" s="100">
        <f t="shared" si="46"/>
        <v>1.270069589366344E-2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306</v>
      </c>
      <c r="C102" s="46" t="s">
        <v>218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1.1527504756067957</v>
      </c>
      <c r="J102" s="54">
        <f t="shared" si="34"/>
        <v>2.1152501491474514</v>
      </c>
      <c r="K102" s="55">
        <f t="shared" si="35"/>
        <v>6.9815879073972645E-2</v>
      </c>
      <c r="L102" s="55">
        <f t="shared" si="36"/>
        <v>2.39141340885261E-3</v>
      </c>
      <c r="M102" s="55">
        <f t="shared" si="42"/>
        <v>0.99760858659114737</v>
      </c>
      <c r="N102" s="55">
        <f t="shared" si="37"/>
        <v>2.1042826395950302E-10</v>
      </c>
      <c r="O102" s="56">
        <f t="shared" si="43"/>
        <v>7.019774862826504E-8</v>
      </c>
      <c r="P102" s="56">
        <f t="shared" si="38"/>
        <v>9.1532080289162895E-6</v>
      </c>
      <c r="Q102" s="56">
        <f t="shared" si="39"/>
        <v>8.0542062198654754E-11</v>
      </c>
      <c r="R102" s="9">
        <f t="shared" si="44"/>
        <v>1.4999999999999999E-4</v>
      </c>
      <c r="S102" s="9">
        <f t="shared" si="45"/>
        <v>3.5871201132789149E-7</v>
      </c>
      <c r="T102" s="9">
        <f t="shared" si="40"/>
        <v>1.0472381861095896E-5</v>
      </c>
      <c r="U102" s="9">
        <f t="shared" si="41"/>
        <v>1.4964128798867208E-4</v>
      </c>
      <c r="V102" s="100">
        <f t="shared" si="46"/>
        <v>6.9983237927547501E-2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307</v>
      </c>
      <c r="C103" s="46" t="s">
        <v>219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2.1741441801583692</v>
      </c>
      <c r="J103" s="54">
        <f t="shared" si="34"/>
        <v>3.1623797905268387</v>
      </c>
      <c r="K103" s="55">
        <f t="shared" si="35"/>
        <v>6.6450324396873806E-3</v>
      </c>
      <c r="L103" s="55">
        <f t="shared" si="36"/>
        <v>2.5370393081696877E-3</v>
      </c>
      <c r="M103" s="55">
        <f t="shared" si="42"/>
        <v>0.99746296069183027</v>
      </c>
      <c r="N103" s="55">
        <f t="shared" si="37"/>
        <v>3.3400038463510384E-10</v>
      </c>
      <c r="O103" s="56">
        <f t="shared" si="43"/>
        <v>6.6813785490490247E-9</v>
      </c>
      <c r="P103" s="56">
        <f t="shared" si="38"/>
        <v>9.7105956164880968E-6</v>
      </c>
      <c r="Q103" s="56">
        <f t="shared" si="39"/>
        <v>1.2783966966924304E-10</v>
      </c>
      <c r="R103" s="9">
        <f t="shared" si="44"/>
        <v>1.4999999999999999E-4</v>
      </c>
      <c r="S103" s="9">
        <f t="shared" si="45"/>
        <v>3.8055589622545312E-7</v>
      </c>
      <c r="T103" s="9">
        <f t="shared" si="40"/>
        <v>9.9675486595310709E-7</v>
      </c>
      <c r="U103" s="9">
        <f t="shared" si="41"/>
        <v>1.4961944410377454E-4</v>
      </c>
      <c r="V103" s="100">
        <f t="shared" si="46"/>
        <v>6.66193402818532E-3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308</v>
      </c>
      <c r="C104" s="46" t="s">
        <v>220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2.8598242449089666</v>
      </c>
      <c r="J104" s="54">
        <f t="shared" si="34"/>
        <v>3.8632924747948705</v>
      </c>
      <c r="K104" s="55">
        <f t="shared" si="35"/>
        <v>1.3701802743779268E-3</v>
      </c>
      <c r="L104" s="55">
        <f t="shared" si="36"/>
        <v>2.627365457891823E-3</v>
      </c>
      <c r="M104" s="55">
        <f t="shared" si="42"/>
        <v>0.99737263454210823</v>
      </c>
      <c r="N104" s="55">
        <f t="shared" si="37"/>
        <v>1.2480385812701475E-4</v>
      </c>
      <c r="O104" s="56">
        <f t="shared" si="43"/>
        <v>1.377674703118451E-9</v>
      </c>
      <c r="P104" s="56">
        <f t="shared" si="38"/>
        <v>1.0056321719635798E-5</v>
      </c>
      <c r="Q104" s="56">
        <f t="shared" si="39"/>
        <v>4.776905875074181E-5</v>
      </c>
      <c r="R104" s="9">
        <f t="shared" si="44"/>
        <v>1.4999999999999999E-4</v>
      </c>
      <c r="S104" s="9">
        <f t="shared" si="45"/>
        <v>3.941048186837734E-7</v>
      </c>
      <c r="T104" s="9">
        <f t="shared" si="40"/>
        <v>2.05527041156689E-7</v>
      </c>
      <c r="U104" s="9">
        <f t="shared" si="41"/>
        <v>1.4960589518131623E-4</v>
      </c>
      <c r="V104" s="100">
        <f t="shared" si="46"/>
        <v>1.3737897220400216E-3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309</v>
      </c>
      <c r="C105" s="46" t="s">
        <v>221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2.4867185626172419</v>
      </c>
      <c r="J105" s="54">
        <f t="shared" si="34"/>
        <v>3.5417985599526003</v>
      </c>
      <c r="K105" s="55">
        <f t="shared" si="35"/>
        <v>3.2339956222604406E-3</v>
      </c>
      <c r="L105" s="55">
        <f t="shared" si="36"/>
        <v>2.9579326949319695E-3</v>
      </c>
      <c r="M105" s="55">
        <f t="shared" si="42"/>
        <v>0.99704206730506806</v>
      </c>
      <c r="N105" s="55">
        <f t="shared" si="37"/>
        <v>6.5946192783420397E-4</v>
      </c>
      <c r="O105" s="56">
        <f t="shared" si="43"/>
        <v>3.2516844988202794E-9</v>
      </c>
      <c r="P105" s="56">
        <f t="shared" si="38"/>
        <v>1.1321577938812171E-5</v>
      </c>
      <c r="Q105" s="56">
        <f t="shared" si="39"/>
        <v>2.5241107163954512E-4</v>
      </c>
      <c r="R105" s="9">
        <f t="shared" si="44"/>
        <v>1.4999999999999999E-4</v>
      </c>
      <c r="S105" s="9">
        <f t="shared" si="45"/>
        <v>4.4368990423979539E-7</v>
      </c>
      <c r="T105" s="9">
        <f t="shared" si="40"/>
        <v>4.8509934333906609E-7</v>
      </c>
      <c r="U105" s="9">
        <f t="shared" si="41"/>
        <v>1.495563100957602E-4</v>
      </c>
      <c r="V105" s="100">
        <f t="shared" si="46"/>
        <v>3.243589943001798E-3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310</v>
      </c>
      <c r="C106" s="46" t="s">
        <v>222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1.6248833107371423</v>
      </c>
      <c r="J106" s="54">
        <f t="shared" si="34"/>
        <v>2.6118360433536578</v>
      </c>
      <c r="K106" s="55">
        <f t="shared" si="35"/>
        <v>2.3537548329671754E-2</v>
      </c>
      <c r="L106" s="55">
        <f t="shared" si="36"/>
        <v>2.5295750456529324E-3</v>
      </c>
      <c r="M106" s="55">
        <f t="shared" si="42"/>
        <v>0.99747042495434701</v>
      </c>
      <c r="N106" s="55">
        <f t="shared" si="37"/>
        <v>5.0258731715308345E-5</v>
      </c>
      <c r="O106" s="56">
        <f t="shared" si="43"/>
        <v>2.3666290862301962E-8</v>
      </c>
      <c r="P106" s="56">
        <f t="shared" si="38"/>
        <v>9.6820259232073807E-6</v>
      </c>
      <c r="Q106" s="56">
        <f t="shared" si="39"/>
        <v>1.9236683417294622E-5</v>
      </c>
      <c r="R106" s="9">
        <f t="shared" si="44"/>
        <v>1.4999999999999999E-4</v>
      </c>
      <c r="S106" s="9">
        <f t="shared" si="45"/>
        <v>3.7943625684793984E-7</v>
      </c>
      <c r="T106" s="9">
        <f t="shared" si="40"/>
        <v>3.5306322494507627E-6</v>
      </c>
      <c r="U106" s="9">
        <f t="shared" si="41"/>
        <v>1.4962056374315203E-4</v>
      </c>
      <c r="V106" s="100">
        <f t="shared" si="46"/>
        <v>2.3597239317395338E-2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311</v>
      </c>
      <c r="C107" s="46" t="s">
        <v>223</v>
      </c>
      <c r="D107" s="47" t="s">
        <v>301</v>
      </c>
      <c r="E107" s="47" t="s">
        <v>312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313</v>
      </c>
      <c r="C108" s="46" t="s">
        <v>224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2.3046271115114854</v>
      </c>
      <c r="J108" s="54">
        <f t="shared" si="34"/>
        <v>3.3118654061647601</v>
      </c>
      <c r="K108" s="55">
        <f t="shared" si="35"/>
        <v>4.9199976578129115E-3</v>
      </c>
      <c r="L108" s="55">
        <f t="shared" si="36"/>
        <v>2.6502119160374208E-3</v>
      </c>
      <c r="M108" s="55">
        <f t="shared" si="42"/>
        <v>0.99734978808396257</v>
      </c>
      <c r="N108" s="55">
        <f t="shared" si="37"/>
        <v>1.7434728797493547E-4</v>
      </c>
      <c r="O108" s="56">
        <f t="shared" si="43"/>
        <v>4.946908402726945E-9</v>
      </c>
      <c r="P108" s="56">
        <f t="shared" si="38"/>
        <v>1.0143767237569434E-5</v>
      </c>
      <c r="Q108" s="56">
        <f t="shared" si="39"/>
        <v>6.6731958188594219E-5</v>
      </c>
      <c r="R108" s="9">
        <f t="shared" si="44"/>
        <v>1.4999999999999999E-4</v>
      </c>
      <c r="S108" s="9">
        <f t="shared" si="45"/>
        <v>3.9753178740561307E-7</v>
      </c>
      <c r="T108" s="9">
        <f t="shared" si="40"/>
        <v>7.3799964867193669E-7</v>
      </c>
      <c r="U108" s="9">
        <f t="shared" si="41"/>
        <v>1.4960246821259438E-4</v>
      </c>
      <c r="V108" s="100">
        <f t="shared" si="46"/>
        <v>4.9330713422668501E-3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314</v>
      </c>
      <c r="C109" s="46" t="s">
        <v>225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2.5263589248425813</v>
      </c>
      <c r="J109" s="54">
        <f t="shared" si="34"/>
        <v>3.5677567932915144</v>
      </c>
      <c r="K109" s="55">
        <f t="shared" si="35"/>
        <v>2.9521533093489491E-3</v>
      </c>
      <c r="L109" s="55">
        <f t="shared" si="36"/>
        <v>2.8664607583862595E-3</v>
      </c>
      <c r="M109" s="55">
        <f t="shared" si="42"/>
        <v>0.99713353924161374</v>
      </c>
      <c r="N109" s="55">
        <f t="shared" si="37"/>
        <v>5.1237650550405229E-4</v>
      </c>
      <c r="O109" s="56">
        <f t="shared" si="43"/>
        <v>2.9683006025349227E-9</v>
      </c>
      <c r="P109" s="56">
        <f t="shared" si="38"/>
        <v>1.0971466301522135E-5</v>
      </c>
      <c r="Q109" s="56">
        <f t="shared" si="39"/>
        <v>1.9611367598118266E-4</v>
      </c>
      <c r="R109" s="9">
        <f t="shared" si="44"/>
        <v>1.4999999999999999E-4</v>
      </c>
      <c r="S109" s="9">
        <f t="shared" si="45"/>
        <v>4.2996911375793889E-7</v>
      </c>
      <c r="T109" s="9">
        <f t="shared" si="40"/>
        <v>4.4282299640234235E-7</v>
      </c>
      <c r="U109" s="9">
        <f t="shared" si="41"/>
        <v>1.4957003088624204E-4</v>
      </c>
      <c r="V109" s="100">
        <f t="shared" si="46"/>
        <v>2.9606398673484172E-3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204</v>
      </c>
      <c r="C110" s="46" t="s">
        <v>205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0.92627477267552383</v>
      </c>
      <c r="J110" s="54">
        <f t="shared" si="34"/>
        <v>1.86916463208601</v>
      </c>
      <c r="K110" s="55">
        <f t="shared" si="35"/>
        <v>0.11761853568807343</v>
      </c>
      <c r="L110" s="55">
        <f t="shared" si="36"/>
        <v>2.2860761906532993E-3</v>
      </c>
      <c r="M110" s="55">
        <f t="shared" si="42"/>
        <v>0.99771392380934665</v>
      </c>
      <c r="N110" s="55">
        <f t="shared" si="37"/>
        <v>7.7611498444909692E-6</v>
      </c>
      <c r="O110" s="56">
        <f t="shared" si="43"/>
        <v>1.1826186981772236E-7</v>
      </c>
      <c r="P110" s="56">
        <f t="shared" si="38"/>
        <v>8.7500266016497051E-6</v>
      </c>
      <c r="Q110" s="56">
        <f t="shared" si="39"/>
        <v>2.9706038616008906E-6</v>
      </c>
      <c r="R110" s="9">
        <f t="shared" si="44"/>
        <v>1.4999999999999999E-4</v>
      </c>
      <c r="S110" s="9">
        <f t="shared" si="45"/>
        <v>3.4291142859799487E-7</v>
      </c>
      <c r="T110" s="9">
        <f t="shared" si="40"/>
        <v>1.7642780353211013E-5</v>
      </c>
      <c r="U110" s="9">
        <f t="shared" si="41"/>
        <v>1.4965708857140198E-4</v>
      </c>
      <c r="V110" s="100">
        <f t="shared" si="46"/>
        <v>0.11788803672198643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206</v>
      </c>
      <c r="C111" s="46" t="s">
        <v>207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0.75430624695958448</v>
      </c>
      <c r="J111" s="54">
        <f t="shared" si="34"/>
        <v>1.84259502512759</v>
      </c>
      <c r="K111" s="55">
        <f t="shared" si="35"/>
        <v>0.17460218442669834</v>
      </c>
      <c r="L111" s="55">
        <f t="shared" si="36"/>
        <v>3.1922360523006814E-3</v>
      </c>
      <c r="M111" s="55">
        <f t="shared" si="42"/>
        <v>0.99680776394769932</v>
      </c>
      <c r="N111" s="55">
        <f t="shared" si="37"/>
        <v>1.6643144561248018E-3</v>
      </c>
      <c r="O111" s="56">
        <f t="shared" si="43"/>
        <v>1.7555720009404898E-7</v>
      </c>
      <c r="P111" s="56">
        <f t="shared" si="38"/>
        <v>1.2218381211692662E-5</v>
      </c>
      <c r="Q111" s="56">
        <f t="shared" si="39"/>
        <v>6.3702145292193974E-4</v>
      </c>
      <c r="R111" s="9">
        <f t="shared" si="44"/>
        <v>1.4999999999999999E-4</v>
      </c>
      <c r="S111" s="9">
        <f t="shared" si="45"/>
        <v>4.7883540784510212E-7</v>
      </c>
      <c r="T111" s="9">
        <f t="shared" si="40"/>
        <v>2.6190327664004749E-5</v>
      </c>
      <c r="U111" s="9">
        <f t="shared" si="41"/>
        <v>1.4952116459215488E-4</v>
      </c>
      <c r="V111" s="100">
        <f t="shared" si="46"/>
        <v>0.17516134077368542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208</v>
      </c>
      <c r="C112" s="46" t="s">
        <v>209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3.5207953657582807</v>
      </c>
      <c r="J112" s="54">
        <f t="shared" si="34"/>
        <v>4.8225181897123042</v>
      </c>
      <c r="K112" s="55">
        <f t="shared" si="35"/>
        <v>2.9831942673081693E-4</v>
      </c>
      <c r="L112" s="55">
        <f t="shared" si="36"/>
        <v>5.2077487777396052E-3</v>
      </c>
      <c r="M112" s="55">
        <f t="shared" si="42"/>
        <v>0.99479225122226045</v>
      </c>
      <c r="N112" s="55">
        <f t="shared" si="37"/>
        <v>4.2408102016011657E-3</v>
      </c>
      <c r="O112" s="56">
        <f t="shared" si="43"/>
        <v>2.9995113441728406E-10</v>
      </c>
      <c r="P112" s="56">
        <f t="shared" si="38"/>
        <v>1.9932817867679307E-5</v>
      </c>
      <c r="Q112" s="56">
        <f t="shared" si="39"/>
        <v>1.6231830867348917E-3</v>
      </c>
      <c r="R112" s="9">
        <f t="shared" si="44"/>
        <v>1.4999999999999999E-4</v>
      </c>
      <c r="S112" s="9">
        <f t="shared" si="45"/>
        <v>7.8116231666094068E-7</v>
      </c>
      <c r="T112" s="9">
        <f t="shared" si="40"/>
        <v>4.4747914009622536E-8</v>
      </c>
      <c r="U112" s="9">
        <f t="shared" si="41"/>
        <v>1.4921883768333904E-4</v>
      </c>
      <c r="V112" s="100">
        <f t="shared" si="46"/>
        <v>2.9988113233118182E-4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210</v>
      </c>
      <c r="C113" s="46" t="s">
        <v>211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3.8666483056990257</v>
      </c>
      <c r="J113" s="54">
        <f t="shared" si="34"/>
        <v>5.1896332804405967</v>
      </c>
      <c r="K113" s="55">
        <f t="shared" si="35"/>
        <v>1.3449778354513464E-4</v>
      </c>
      <c r="L113" s="55">
        <f t="shared" si="36"/>
        <v>5.4676248420257745E-3</v>
      </c>
      <c r="M113" s="55">
        <f t="shared" si="42"/>
        <v>0.99453237515797421</v>
      </c>
      <c r="N113" s="55">
        <f t="shared" si="37"/>
        <v>4.6551365806757903E-3</v>
      </c>
      <c r="O113" s="56">
        <f t="shared" si="43"/>
        <v>1.3523344152634086E-10</v>
      </c>
      <c r="P113" s="56">
        <f t="shared" si="38"/>
        <v>2.0927501459124345E-5</v>
      </c>
      <c r="Q113" s="56">
        <f t="shared" si="39"/>
        <v>1.7817677766717628E-3</v>
      </c>
      <c r="R113" s="9">
        <f t="shared" si="44"/>
        <v>1.4999999999999999E-4</v>
      </c>
      <c r="S113" s="9">
        <f t="shared" si="45"/>
        <v>8.2014372630386608E-7</v>
      </c>
      <c r="T113" s="9">
        <f t="shared" si="40"/>
        <v>2.0174667531770196E-8</v>
      </c>
      <c r="U113" s="9">
        <f t="shared" si="41"/>
        <v>1.4917985627369612E-4</v>
      </c>
      <c r="V113" s="100">
        <f t="shared" si="46"/>
        <v>1.3523720987340473E-4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107</v>
      </c>
      <c r="C114" s="46" t="s">
        <v>108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4.2676323009395754</v>
      </c>
      <c r="J114" s="54">
        <f t="shared" si="34"/>
        <v>5.609396901026626</v>
      </c>
      <c r="K114" s="55">
        <f t="shared" si="35"/>
        <v>5.3410446987586069E-5</v>
      </c>
      <c r="L114" s="55">
        <f t="shared" si="36"/>
        <v>5.7078613322575165E-3</v>
      </c>
      <c r="M114" s="55">
        <f t="shared" si="42"/>
        <v>0.99429213866774246</v>
      </c>
      <c r="N114" s="55">
        <f t="shared" si="37"/>
        <v>5.0384100865503425E-3</v>
      </c>
      <c r="O114" s="56">
        <f t="shared" si="43"/>
        <v>5.3702584304429095E-11</v>
      </c>
      <c r="P114" s="56">
        <f t="shared" si="38"/>
        <v>2.18470139796646E-5</v>
      </c>
      <c r="Q114" s="56">
        <f t="shared" si="39"/>
        <v>1.9284668843314902E-3</v>
      </c>
      <c r="R114" s="9">
        <f t="shared" si="44"/>
        <v>1.4999999999999999E-4</v>
      </c>
      <c r="S114" s="9">
        <f t="shared" si="45"/>
        <v>8.561791998386274E-7</v>
      </c>
      <c r="T114" s="9">
        <f t="shared" si="40"/>
        <v>8.0115670481379099E-9</v>
      </c>
      <c r="U114" s="9">
        <f t="shared" si="41"/>
        <v>1.4914382080016136E-4</v>
      </c>
      <c r="V114" s="100">
        <f t="shared" si="46"/>
        <v>5.3717056497249412E-5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109</v>
      </c>
      <c r="C115" s="46" t="s">
        <v>110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2.8686693929579801</v>
      </c>
      <c r="J115" s="54">
        <f t="shared" si="34"/>
        <v>4.2006252163899038</v>
      </c>
      <c r="K115" s="55">
        <f t="shared" si="35"/>
        <v>1.3385804680518761E-3</v>
      </c>
      <c r="L115" s="55">
        <f t="shared" si="36"/>
        <v>5.5811025205069554E-3</v>
      </c>
      <c r="M115" s="55">
        <f t="shared" si="42"/>
        <v>0.99441889747949308</v>
      </c>
      <c r="N115" s="55">
        <f t="shared" si="37"/>
        <v>4.8407518051890247E-3</v>
      </c>
      <c r="O115" s="56">
        <f t="shared" si="43"/>
        <v>1.3459020563996771E-9</v>
      </c>
      <c r="P115" s="56">
        <f t="shared" si="38"/>
        <v>2.136184074731753E-5</v>
      </c>
      <c r="Q115" s="56">
        <f t="shared" si="39"/>
        <v>1.8528125720640742E-3</v>
      </c>
      <c r="R115" s="9">
        <f t="shared" si="44"/>
        <v>1.4999999999999999E-4</v>
      </c>
      <c r="S115" s="9">
        <f t="shared" si="45"/>
        <v>8.3716537807604322E-7</v>
      </c>
      <c r="T115" s="9">
        <f t="shared" si="40"/>
        <v>2.0078707020778142E-7</v>
      </c>
      <c r="U115" s="9">
        <f t="shared" si="41"/>
        <v>1.4916283462192395E-4</v>
      </c>
      <c r="V115" s="100">
        <f t="shared" si="46"/>
        <v>1.3460931519349776E-3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226</v>
      </c>
      <c r="C116" s="46" t="s">
        <v>227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-6.405424315775722E-4</v>
      </c>
      <c r="J116" s="54">
        <f t="shared" si="34"/>
        <v>-8.4680322282971732E-3</v>
      </c>
      <c r="K116" s="55">
        <f t="shared" si="35"/>
        <v>0.99603269889684554</v>
      </c>
      <c r="L116" s="55">
        <f t="shared" si="36"/>
        <v>2.5659953445553879E-4</v>
      </c>
      <c r="M116" s="55">
        <f t="shared" si="42"/>
        <v>0.99974340046554444</v>
      </c>
      <c r="N116" s="55">
        <f t="shared" si="37"/>
        <v>5.8370436611469586E-7</v>
      </c>
      <c r="O116" s="56">
        <f t="shared" si="43"/>
        <v>1.0014806652883507E-6</v>
      </c>
      <c r="P116" s="56">
        <f t="shared" si="38"/>
        <v>9.8214257321636445E-7</v>
      </c>
      <c r="Q116" s="56">
        <f t="shared" si="39"/>
        <v>2.2341463298050017E-7</v>
      </c>
      <c r="R116" s="9">
        <f t="shared" si="44"/>
        <v>1.4999999999999999E-4</v>
      </c>
      <c r="S116" s="9">
        <f t="shared" si="45"/>
        <v>3.8489930168330811E-8</v>
      </c>
      <c r="T116" s="9">
        <f t="shared" si="40"/>
        <v>1.4940490483452681E-4</v>
      </c>
      <c r="U116" s="9">
        <f t="shared" si="41"/>
        <v>1.4996151006983166E-4</v>
      </c>
      <c r="V116" s="100">
        <f t="shared" si="46"/>
        <v>0.9962883460226184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228</v>
      </c>
      <c r="C117" s="46" t="s">
        <v>229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0.13401854480859055</v>
      </c>
      <c r="J117" s="54">
        <f t="shared" si="34"/>
        <v>0.72322796015768975</v>
      </c>
      <c r="K117" s="55">
        <f t="shared" si="35"/>
        <v>0.72993710426955771</v>
      </c>
      <c r="L117" s="55">
        <f t="shared" si="36"/>
        <v>1.0138266441947687E-3</v>
      </c>
      <c r="M117" s="55">
        <f t="shared" si="42"/>
        <v>0.9989861733558052</v>
      </c>
      <c r="N117" s="55">
        <f t="shared" si="37"/>
        <v>2.301890923611325E-4</v>
      </c>
      <c r="O117" s="56">
        <f t="shared" si="43"/>
        <v>7.339296165800246E-7</v>
      </c>
      <c r="P117" s="56">
        <f t="shared" si="38"/>
        <v>3.8804525161649949E-6</v>
      </c>
      <c r="Q117" s="56">
        <f t="shared" si="39"/>
        <v>8.8105579761710276E-5</v>
      </c>
      <c r="R117" s="9">
        <f t="shared" si="44"/>
        <v>1.4999999999999999E-4</v>
      </c>
      <c r="S117" s="9">
        <f t="shared" si="45"/>
        <v>1.520739966292153E-7</v>
      </c>
      <c r="T117" s="9">
        <f t="shared" si="40"/>
        <v>1.0949056564043365E-4</v>
      </c>
      <c r="U117" s="9">
        <f t="shared" si="41"/>
        <v>1.4984792600337076E-4</v>
      </c>
      <c r="V117" s="100">
        <f t="shared" si="46"/>
        <v>0.73067788497767194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230</v>
      </c>
      <c r="C118" s="46" t="s">
        <v>231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0.76376170277705713</v>
      </c>
      <c r="J118" s="54">
        <f t="shared" si="34"/>
        <v>1.8548729892070779</v>
      </c>
      <c r="K118" s="55">
        <f t="shared" si="35"/>
        <v>0.1708382750165264</v>
      </c>
      <c r="L118" s="55">
        <f t="shared" si="36"/>
        <v>3.2129832908153128E-3</v>
      </c>
      <c r="M118" s="55">
        <f t="shared" si="42"/>
        <v>0.99678701670918468</v>
      </c>
      <c r="N118" s="55">
        <f t="shared" si="37"/>
        <v>1.6835865995226212E-3</v>
      </c>
      <c r="O118" s="56">
        <f t="shared" si="43"/>
        <v>1.717727033557803E-7</v>
      </c>
      <c r="P118" s="56">
        <f t="shared" si="38"/>
        <v>1.2297791902226959E-5</v>
      </c>
      <c r="Q118" s="56">
        <f t="shared" si="39"/>
        <v>6.4439792480381242E-4</v>
      </c>
      <c r="R118" s="9">
        <f t="shared" si="44"/>
        <v>1.4999999999999999E-4</v>
      </c>
      <c r="S118" s="9">
        <f t="shared" si="45"/>
        <v>4.819474936222969E-7</v>
      </c>
      <c r="T118" s="9">
        <f t="shared" si="40"/>
        <v>2.5625741252478959E-5</v>
      </c>
      <c r="U118" s="9">
        <f t="shared" si="41"/>
        <v>1.4951805250637768E-4</v>
      </c>
      <c r="V118" s="100">
        <f t="shared" si="46"/>
        <v>0.17138894483250369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232</v>
      </c>
      <c r="C119" s="46" t="s">
        <v>233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-2.0389427152517209E-3</v>
      </c>
      <c r="J119" s="54">
        <f t="shared" si="34"/>
        <v>-2.3219165023637418E-2</v>
      </c>
      <c r="K119" s="55">
        <f t="shared" si="35"/>
        <v>0.99925279256713573</v>
      </c>
      <c r="L119" s="55">
        <f t="shared" si="36"/>
        <v>2.4883215787129242E-4</v>
      </c>
      <c r="M119" s="55">
        <f t="shared" si="42"/>
        <v>0.9997511678421287</v>
      </c>
      <c r="N119" s="55">
        <f t="shared" si="37"/>
        <v>3.4150836512529584E-8</v>
      </c>
      <c r="O119" s="56">
        <f t="shared" si="43"/>
        <v>1.0047183717961639E-6</v>
      </c>
      <c r="P119" s="56">
        <f t="shared" si="38"/>
        <v>9.5241270156332667E-7</v>
      </c>
      <c r="Q119" s="56">
        <f t="shared" si="39"/>
        <v>1.3071337218547777E-8</v>
      </c>
      <c r="R119" s="9">
        <f t="shared" si="44"/>
        <v>1.4999999999999999E-4</v>
      </c>
      <c r="S119" s="9">
        <f t="shared" si="45"/>
        <v>3.7324823680693859E-8</v>
      </c>
      <c r="T119" s="9">
        <f t="shared" si="40"/>
        <v>1.4988791888507035E-4</v>
      </c>
      <c r="U119" s="9">
        <f t="shared" si="41"/>
        <v>1.499626751763193E-4</v>
      </c>
      <c r="V119" s="100">
        <f t="shared" si="46"/>
        <v>0.99950150068234611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234</v>
      </c>
      <c r="C120" s="46" t="s">
        <v>235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-2.255492076189E-3</v>
      </c>
      <c r="J120" s="54">
        <f t="shared" si="34"/>
        <v>-2.5488306009393738E-2</v>
      </c>
      <c r="K120" s="55">
        <f t="shared" si="35"/>
        <v>0.99975234054467355</v>
      </c>
      <c r="L120" s="55">
        <f t="shared" si="36"/>
        <v>2.4765917604046498E-4</v>
      </c>
      <c r="M120" s="55">
        <f t="shared" si="42"/>
        <v>0.99975234082395958</v>
      </c>
      <c r="N120" s="55">
        <f t="shared" si="37"/>
        <v>4.4309079685100438E-17</v>
      </c>
      <c r="O120" s="56">
        <f t="shared" si="43"/>
        <v>1.005220652134392E-6</v>
      </c>
      <c r="P120" s="56">
        <f t="shared" si="38"/>
        <v>9.4792307769822813E-7</v>
      </c>
      <c r="Q120" s="56">
        <f t="shared" si="39"/>
        <v>1.6959435889512043E-17</v>
      </c>
      <c r="R120" s="9">
        <f t="shared" si="44"/>
        <v>1.4999999999999999E-4</v>
      </c>
      <c r="S120" s="9">
        <f t="shared" si="45"/>
        <v>3.7148876406069743E-8</v>
      </c>
      <c r="T120" s="9">
        <f t="shared" si="40"/>
        <v>1.4996285108170103E-4</v>
      </c>
      <c r="U120" s="9">
        <f t="shared" si="41"/>
        <v>1.4996285112359392E-4</v>
      </c>
      <c r="V120" s="100">
        <f t="shared" si="46"/>
        <v>0.99999999972064479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236</v>
      </c>
      <c r="C121" s="46" t="s">
        <v>237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1.502652106892244E-2</v>
      </c>
      <c r="J121" s="54">
        <f t="shared" si="34"/>
        <v>0.13928219055833857</v>
      </c>
      <c r="K121" s="55">
        <f t="shared" si="35"/>
        <v>0.96065384053990499</v>
      </c>
      <c r="L121" s="55">
        <f t="shared" si="36"/>
        <v>3.4777584463879693E-4</v>
      </c>
      <c r="M121" s="55">
        <f t="shared" si="42"/>
        <v>0.99965222415536126</v>
      </c>
      <c r="N121" s="55">
        <f t="shared" si="37"/>
        <v>1.5941032146021124E-5</v>
      </c>
      <c r="O121" s="56">
        <f t="shared" si="43"/>
        <v>9.6590829638550964E-7</v>
      </c>
      <c r="P121" s="56">
        <f t="shared" si="38"/>
        <v>1.3311226915543209E-6</v>
      </c>
      <c r="Q121" s="56">
        <f t="shared" si="39"/>
        <v>6.1014788529675834E-6</v>
      </c>
      <c r="R121" s="9">
        <f t="shared" si="44"/>
        <v>1.4999999999999999E-4</v>
      </c>
      <c r="S121" s="9">
        <f t="shared" si="45"/>
        <v>5.2166376695819533E-8</v>
      </c>
      <c r="T121" s="9">
        <f t="shared" si="40"/>
        <v>1.4409807608098572E-4</v>
      </c>
      <c r="U121" s="9">
        <f t="shared" si="41"/>
        <v>1.4994783362330417E-4</v>
      </c>
      <c r="V121" s="100">
        <f t="shared" si="46"/>
        <v>0.96098804897032342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238</v>
      </c>
      <c r="C122" s="46" t="s">
        <v>239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3.4865950332654698</v>
      </c>
      <c r="J122" s="54">
        <f t="shared" si="34"/>
        <v>4.8463529002714498</v>
      </c>
      <c r="K122" s="55">
        <f t="shared" si="35"/>
        <v>3.2252147149023291E-4</v>
      </c>
      <c r="L122" s="55">
        <f t="shared" si="36"/>
        <v>5.9478750022300009E-3</v>
      </c>
      <c r="M122" s="55">
        <f t="shared" si="42"/>
        <v>0.99405212499776996</v>
      </c>
      <c r="N122" s="55">
        <f t="shared" si="37"/>
        <v>5.4226168005598319E-3</v>
      </c>
      <c r="O122" s="56">
        <f t="shared" si="43"/>
        <v>3.2428555628299489E-10</v>
      </c>
      <c r="P122" s="56">
        <f t="shared" si="38"/>
        <v>2.276567364884155E-5</v>
      </c>
      <c r="Q122" s="56">
        <f t="shared" si="39"/>
        <v>2.0755231802616243E-3</v>
      </c>
      <c r="R122" s="9">
        <f t="shared" si="44"/>
        <v>1.4999999999999999E-4</v>
      </c>
      <c r="S122" s="9">
        <f t="shared" si="45"/>
        <v>8.9218125033450005E-7</v>
      </c>
      <c r="T122" s="9">
        <f t="shared" si="40"/>
        <v>4.837822072353493E-8</v>
      </c>
      <c r="U122" s="9">
        <f t="shared" si="41"/>
        <v>1.4910781874966547E-4</v>
      </c>
      <c r="V122" s="100">
        <f t="shared" si="46"/>
        <v>3.2445126707108689E-4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240</v>
      </c>
      <c r="C123" s="46" t="s">
        <v>241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9.3867444440884892E-2</v>
      </c>
      <c r="J123" s="54">
        <f t="shared" ref="J123:J127" si="48">IF(D123=0,"",LOG($K$21*10^D123+$K$22*10^E123+$K$20))</f>
        <v>0.5957275880920595</v>
      </c>
      <c r="K123" s="55">
        <f t="shared" ref="K123:K127" si="49">IF(D123=0,"",1/(1+10^D123*$J$15/$J$14+10^E123*$J$16/$J$14+10^J123*$J$19/$J$14))</f>
        <v>0.80078654541559424</v>
      </c>
      <c r="L123" s="55">
        <f t="shared" ref="L123:L127" si="50">IF(D123=0,"",1/(1+10^I123/10^J123*$J$13/$J$19))</f>
        <v>8.2926752044741082E-4</v>
      </c>
      <c r="M123" s="55">
        <f t="shared" si="42"/>
        <v>0.99917073247955257</v>
      </c>
      <c r="N123" s="55">
        <f t="shared" ref="N123:N127" si="51">IF(D123=0,"",1/(1/10^E123*$J$20/$J$22+10^D123/10^E123*$J$21/$J$22+10^I123/10^E123*$J$13/$J$22+1))</f>
        <v>1.9628904759559895E-4</v>
      </c>
      <c r="O123" s="56">
        <f t="shared" si="43"/>
        <v>8.0516658051988906E-7</v>
      </c>
      <c r="P123" s="56">
        <f t="shared" ref="P123:P127" si="52">IF(D123=0,"",O123*10^J123)</f>
        <v>3.1740468202528864E-6</v>
      </c>
      <c r="Q123" s="56">
        <f t="shared" ref="Q123:Q127" si="53">IF(D123=0,"",F123*N123*$J$7/$J$22)</f>
        <v>7.5130233852055078E-5</v>
      </c>
      <c r="R123" s="9">
        <f t="shared" si="44"/>
        <v>1.4999999999999999E-4</v>
      </c>
      <c r="S123" s="9">
        <f t="shared" si="45"/>
        <v>1.2439012806711162E-7</v>
      </c>
      <c r="T123" s="9">
        <f t="shared" si="40"/>
        <v>1.2011798181233913E-4</v>
      </c>
      <c r="U123" s="9">
        <f t="shared" si="41"/>
        <v>1.4987560987193287E-4</v>
      </c>
      <c r="V123" s="100">
        <f t="shared" si="46"/>
        <v>0.8014511628341574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242</v>
      </c>
      <c r="C124" s="46" t="s">
        <v>243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0.17110445915344094</v>
      </c>
      <c r="J124" s="54">
        <f t="shared" si="48"/>
        <v>0.78224006697670034</v>
      </c>
      <c r="K124" s="55">
        <f t="shared" si="49"/>
        <v>0.67015725958798211</v>
      </c>
      <c r="L124" s="55">
        <f t="shared" si="50"/>
        <v>1.0662697627167809E-3</v>
      </c>
      <c r="M124" s="55">
        <f t="shared" si="42"/>
        <v>0.99893373023728327</v>
      </c>
      <c r="N124" s="55">
        <f t="shared" si="51"/>
        <v>9.3890797228992929E-5</v>
      </c>
      <c r="O124" s="56">
        <f t="shared" si="43"/>
        <v>6.7382279610229756E-7</v>
      </c>
      <c r="P124" s="56">
        <f t="shared" si="52"/>
        <v>4.0811801577095814E-6</v>
      </c>
      <c r="Q124" s="56">
        <f t="shared" si="53"/>
        <v>3.5936990060204884E-5</v>
      </c>
      <c r="R124" s="9">
        <f t="shared" si="44"/>
        <v>1.4999999999999999E-4</v>
      </c>
      <c r="S124" s="9">
        <f t="shared" si="45"/>
        <v>1.5994046440751711E-7</v>
      </c>
      <c r="T124" s="9">
        <f t="shared" si="40"/>
        <v>1.0052358893819731E-4</v>
      </c>
      <c r="U124" s="9">
        <f t="shared" si="41"/>
        <v>1.4984005953559248E-4</v>
      </c>
      <c r="V124" s="100">
        <f t="shared" si="46"/>
        <v>0.67087259074613015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244</v>
      </c>
      <c r="C125" s="46" t="s">
        <v>245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5.8063156695311677E-3</v>
      </c>
      <c r="J125" s="54">
        <f t="shared" si="48"/>
        <v>5.4647098001601571E-2</v>
      </c>
      <c r="K125" s="55">
        <f t="shared" si="49"/>
        <v>0.98132125587743368</v>
      </c>
      <c r="L125" s="55">
        <f t="shared" si="50"/>
        <v>2.9235370641882E-4</v>
      </c>
      <c r="M125" s="55">
        <f t="shared" si="42"/>
        <v>0.99970764629358122</v>
      </c>
      <c r="N125" s="55">
        <f t="shared" si="51"/>
        <v>3.5220580213535225E-6</v>
      </c>
      <c r="O125" s="56">
        <f t="shared" si="43"/>
        <v>9.8668875558623932E-7</v>
      </c>
      <c r="P125" s="56">
        <f t="shared" si="52"/>
        <v>1.1189927609212911E-6</v>
      </c>
      <c r="Q125" s="56">
        <f t="shared" si="53"/>
        <v>1.34807848948333E-6</v>
      </c>
      <c r="R125" s="9">
        <f t="shared" si="44"/>
        <v>1.4999999999999999E-4</v>
      </c>
      <c r="S125" s="9">
        <f t="shared" si="45"/>
        <v>4.3853055962822996E-8</v>
      </c>
      <c r="T125" s="9">
        <f t="shared" si="40"/>
        <v>1.4719818838161504E-4</v>
      </c>
      <c r="U125" s="9">
        <f t="shared" si="41"/>
        <v>1.4995614694403718E-4</v>
      </c>
      <c r="V125" s="100">
        <f t="shared" si="46"/>
        <v>0.98160823268250963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246</v>
      </c>
      <c r="C126" s="46" t="s">
        <v>247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2.4596069923312118</v>
      </c>
      <c r="J126" s="54">
        <f t="shared" si="48"/>
        <v>3.7674151938527967</v>
      </c>
      <c r="K126" s="55">
        <f t="shared" si="49"/>
        <v>3.4342981522432008E-3</v>
      </c>
      <c r="L126" s="55">
        <f t="shared" si="50"/>
        <v>5.2808458471976065E-3</v>
      </c>
      <c r="M126" s="55">
        <f t="shared" si="42"/>
        <v>0.99471915415280243</v>
      </c>
      <c r="N126" s="55">
        <f t="shared" si="51"/>
        <v>4.369062716353676E-3</v>
      </c>
      <c r="O126" s="56">
        <f t="shared" si="43"/>
        <v>3.453082616781917E-9</v>
      </c>
      <c r="P126" s="56">
        <f t="shared" si="52"/>
        <v>2.0212599138695198E-5</v>
      </c>
      <c r="Q126" s="56">
        <f t="shared" si="53"/>
        <v>1.6722721293661543E-3</v>
      </c>
      <c r="R126" s="9">
        <f t="shared" si="44"/>
        <v>1.4999999999999999E-4</v>
      </c>
      <c r="S126" s="9">
        <f t="shared" si="45"/>
        <v>7.9212687707964088E-7</v>
      </c>
      <c r="T126" s="9">
        <f t="shared" si="40"/>
        <v>5.1514472283648005E-7</v>
      </c>
      <c r="U126" s="9">
        <f t="shared" si="41"/>
        <v>1.4920787312292034E-4</v>
      </c>
      <c r="V126" s="100">
        <f t="shared" si="46"/>
        <v>3.45253043324392E-3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248</v>
      </c>
      <c r="C127" s="46" t="s">
        <v>249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0.64263545610035988</v>
      </c>
      <c r="J127" s="54">
        <f t="shared" si="48"/>
        <v>1.6932611669613753</v>
      </c>
      <c r="K127" s="55">
        <f t="shared" si="49"/>
        <v>0.22585808552325315</v>
      </c>
      <c r="L127" s="55">
        <f t="shared" si="50"/>
        <v>2.9278384485256844E-3</v>
      </c>
      <c r="M127" s="55">
        <f t="shared" si="42"/>
        <v>0.99707216155147427</v>
      </c>
      <c r="N127" s="55">
        <f t="shared" si="51"/>
        <v>1.4308230414112699E-3</v>
      </c>
      <c r="O127" s="56">
        <f t="shared" si="43"/>
        <v>2.270934538606011E-7</v>
      </c>
      <c r="P127" s="56">
        <f t="shared" si="52"/>
        <v>1.1206391289439666E-5</v>
      </c>
      <c r="Q127" s="56">
        <f t="shared" si="53"/>
        <v>5.4765189917069853E-4</v>
      </c>
      <c r="R127" s="9">
        <f t="shared" si="44"/>
        <v>1.4999999999999999E-4</v>
      </c>
      <c r="S127" s="9">
        <f t="shared" si="45"/>
        <v>4.3917576727885261E-7</v>
      </c>
      <c r="T127" s="9">
        <f t="shared" si="40"/>
        <v>3.3878712828487972E-5</v>
      </c>
      <c r="U127" s="9">
        <f t="shared" si="41"/>
        <v>1.4956082423272114E-4</v>
      </c>
      <c r="V127" s="100">
        <f t="shared" si="46"/>
        <v>0.22652130330447817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250</v>
      </c>
      <c r="C128" s="46" t="s">
        <v>251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1.4450204174697026</v>
      </c>
      <c r="J128" s="54">
        <f t="shared" ref="J128:J134" si="55">IF(D128=0,"",LOG($K$21*10^D128+$K$22*10^E128+$K$20))</f>
        <v>2.594576847430778</v>
      </c>
      <c r="K128" s="55">
        <f t="shared" ref="K128:K134" si="56">IF(D128=0,"",1/(1+10^D128*$J$15/$J$14+10^E128*$J$16/$J$14+10^J128*$J$19/$J$14))</f>
        <v>3.5573410530785644E-2</v>
      </c>
      <c r="L128" s="55">
        <f t="shared" ref="L128:L134" si="57">IF(D128=0,"",1/(1+10^I128/10^J128*$J$13/$J$19))</f>
        <v>3.6741142071398873E-3</v>
      </c>
      <c r="M128" s="55">
        <f t="shared" ref="M128:M134" si="58">IF(D128=0,"",1-L128)</f>
        <v>0.99632588579286008</v>
      </c>
      <c r="N128" s="55">
        <f t="shared" ref="N128:N134" si="59">IF(D128=0,"",1/(1/10^E128*$J$20/$J$22+10^D128/10^E128*$J$21/$J$22+10^I128/10^E128*$J$13/$J$22+1))</f>
        <v>1.9219797360528696E-3</v>
      </c>
      <c r="O128" s="56">
        <f t="shared" ref="O128:O134" si="60">IF(D128=0,"",F128*K128*$J$7/$J$14)</f>
        <v>3.5767985212136548E-8</v>
      </c>
      <c r="P128" s="56">
        <f t="shared" ref="P128:P134" si="61">IF(D128=0,"",O128*10^J128)</f>
        <v>1.4062784600711815E-5</v>
      </c>
      <c r="Q128" s="56">
        <f t="shared" ref="Q128:Q134" si="62">IF(D128=0,"",F128*N128*$J$7/$J$22)</f>
        <v>7.3564362758567268E-4</v>
      </c>
      <c r="R128" s="9">
        <f t="shared" si="44"/>
        <v>1.4999999999999999E-4</v>
      </c>
      <c r="S128" s="9">
        <f t="shared" si="45"/>
        <v>5.5111713107098305E-7</v>
      </c>
      <c r="T128" s="9">
        <f t="shared" si="40"/>
        <v>5.3360115796178462E-6</v>
      </c>
      <c r="U128" s="9">
        <f t="shared" si="41"/>
        <v>1.49448882868929E-4</v>
      </c>
      <c r="V128" s="100">
        <f t="shared" si="46"/>
        <v>3.5704593284231388E-2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252</v>
      </c>
      <c r="C129" s="46" t="s">
        <v>253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-2.1401866039787642E-3</v>
      </c>
      <c r="J129" s="54">
        <f t="shared" si="55"/>
        <v>-2.4283347601120955E-2</v>
      </c>
      <c r="K129" s="55">
        <f t="shared" si="56"/>
        <v>0.99948631902835483</v>
      </c>
      <c r="L129" s="55">
        <f t="shared" si="57"/>
        <v>2.4828118323154847E-4</v>
      </c>
      <c r="M129" s="55">
        <f t="shared" si="58"/>
        <v>0.9997517188167685</v>
      </c>
      <c r="N129" s="55">
        <f t="shared" si="59"/>
        <v>1.3980081135495617E-8</v>
      </c>
      <c r="O129" s="56">
        <f t="shared" si="60"/>
        <v>1.0049531755691758E-6</v>
      </c>
      <c r="P129" s="56">
        <f t="shared" si="61"/>
        <v>9.5030382926313645E-7</v>
      </c>
      <c r="Q129" s="56">
        <f t="shared" si="62"/>
        <v>5.3509188507776888E-9</v>
      </c>
      <c r="R129" s="9">
        <f t="shared" si="44"/>
        <v>1.4999999999999999E-4</v>
      </c>
      <c r="S129" s="9">
        <f t="shared" si="45"/>
        <v>3.724217748473227E-8</v>
      </c>
      <c r="T129" s="9">
        <f t="shared" si="40"/>
        <v>1.4992294785425321E-4</v>
      </c>
      <c r="U129" s="9">
        <f t="shared" si="41"/>
        <v>1.4996275782251526E-4</v>
      </c>
      <c r="V129" s="100">
        <f t="shared" si="46"/>
        <v>0.99973453430144854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254</v>
      </c>
      <c r="C130" s="46" t="s">
        <v>255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0.26355542441139918</v>
      </c>
      <c r="J130" s="54">
        <f t="shared" si="55"/>
        <v>1.0653878888077168</v>
      </c>
      <c r="K130" s="55">
        <f t="shared" si="56"/>
        <v>0.54134052677737843</v>
      </c>
      <c r="L130" s="55">
        <f t="shared" si="57"/>
        <v>1.6531365582555986E-3</v>
      </c>
      <c r="M130" s="55">
        <f t="shared" si="58"/>
        <v>0.99834686344174439</v>
      </c>
      <c r="N130" s="55">
        <f t="shared" si="59"/>
        <v>5.5677286480853021E-4</v>
      </c>
      <c r="O130" s="56">
        <f t="shared" si="60"/>
        <v>5.443014787616951E-7</v>
      </c>
      <c r="P130" s="56">
        <f t="shared" si="61"/>
        <v>6.3274307829444754E-6</v>
      </c>
      <c r="Q130" s="56">
        <f t="shared" si="62"/>
        <v>2.1310651841219397E-4</v>
      </c>
      <c r="R130" s="9">
        <f t="shared" si="44"/>
        <v>1.4999999999999999E-4</v>
      </c>
      <c r="S130" s="9">
        <f t="shared" si="45"/>
        <v>2.4797048373833974E-7</v>
      </c>
      <c r="T130" s="9">
        <f t="shared" si="40"/>
        <v>8.1201079016606759E-5</v>
      </c>
      <c r="U130" s="9">
        <f t="shared" si="41"/>
        <v>1.4975202951626165E-4</v>
      </c>
      <c r="V130" s="100">
        <f t="shared" si="46"/>
        <v>0.54223691845050481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256</v>
      </c>
      <c r="C131" s="46" t="s">
        <v>257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4.79958444939446E-3</v>
      </c>
      <c r="J131" s="54">
        <f t="shared" si="55"/>
        <v>4.6780974817077756E-2</v>
      </c>
      <c r="K131" s="55">
        <f t="shared" si="56"/>
        <v>0.98360318602444641</v>
      </c>
      <c r="L131" s="55">
        <f t="shared" si="57"/>
        <v>2.8777376698552003E-4</v>
      </c>
      <c r="M131" s="55">
        <f t="shared" si="58"/>
        <v>0.99971222623301448</v>
      </c>
      <c r="N131" s="55">
        <f t="shared" si="59"/>
        <v>4.6086126705183137E-6</v>
      </c>
      <c r="O131" s="56">
        <f t="shared" si="60"/>
        <v>9.8898316712945777E-7</v>
      </c>
      <c r="P131" s="56">
        <f t="shared" si="61"/>
        <v>1.1014629025381078E-6</v>
      </c>
      <c r="Q131" s="56">
        <f t="shared" si="62"/>
        <v>1.7639606076388554E-6</v>
      </c>
      <c r="R131" s="9">
        <f t="shared" si="44"/>
        <v>1.4999999999999999E-4</v>
      </c>
      <c r="S131" s="9">
        <f t="shared" si="45"/>
        <v>4.3166065047828002E-8</v>
      </c>
      <c r="T131" s="9">
        <f t="shared" si="40"/>
        <v>1.4754047790366696E-4</v>
      </c>
      <c r="U131" s="9">
        <f t="shared" si="41"/>
        <v>1.4995683393495215E-4</v>
      </c>
      <c r="V131" s="100">
        <f t="shared" si="46"/>
        <v>0.98388632269781473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258</v>
      </c>
      <c r="C132" s="46" t="s">
        <v>259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1.6027626042906213E-2</v>
      </c>
      <c r="J132" s="54">
        <f t="shared" si="55"/>
        <v>0.14761117753551767</v>
      </c>
      <c r="K132" s="55">
        <f t="shared" si="56"/>
        <v>0.95843628758896104</v>
      </c>
      <c r="L132" s="55">
        <f t="shared" si="57"/>
        <v>3.5369158397605826E-4</v>
      </c>
      <c r="M132" s="55">
        <f t="shared" si="58"/>
        <v>0.99964630841602398</v>
      </c>
      <c r="N132" s="55">
        <f t="shared" si="59"/>
        <v>1.7224226040497534E-5</v>
      </c>
      <c r="O132" s="56">
        <f t="shared" si="60"/>
        <v>9.636786141601336E-7</v>
      </c>
      <c r="P132" s="56">
        <f t="shared" si="61"/>
        <v>1.3537653649617496E-6</v>
      </c>
      <c r="Q132" s="56">
        <f t="shared" si="62"/>
        <v>6.5926252442230042E-6</v>
      </c>
      <c r="R132" s="9">
        <f t="shared" si="44"/>
        <v>1.4999999999999999E-4</v>
      </c>
      <c r="S132" s="9">
        <f t="shared" si="45"/>
        <v>5.3053737596408735E-8</v>
      </c>
      <c r="T132" s="9">
        <f t="shared" si="40"/>
        <v>1.4376544313834415E-4</v>
      </c>
      <c r="U132" s="9">
        <f t="shared" si="41"/>
        <v>1.4994694626240359E-4</v>
      </c>
      <c r="V132" s="100">
        <f t="shared" si="46"/>
        <v>0.95877539837829073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260</v>
      </c>
      <c r="C133" s="46" t="s">
        <v>261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0.80804902693102654</v>
      </c>
      <c r="J133" s="54">
        <f t="shared" si="55"/>
        <v>1.9117422164117917</v>
      </c>
      <c r="K133" s="55">
        <f t="shared" si="56"/>
        <v>0.15426124733744412</v>
      </c>
      <c r="L133" s="55">
        <f t="shared" si="57"/>
        <v>3.3071154427784517E-3</v>
      </c>
      <c r="M133" s="55">
        <f t="shared" si="58"/>
        <v>0.9966928845572216</v>
      </c>
      <c r="N133" s="55">
        <f t="shared" si="59"/>
        <v>1.7728671151205886E-3</v>
      </c>
      <c r="O133" s="56">
        <f t="shared" si="60"/>
        <v>1.5510500486863446E-7</v>
      </c>
      <c r="P133" s="56">
        <f t="shared" si="61"/>
        <v>1.2658085595462365E-5</v>
      </c>
      <c r="Q133" s="56">
        <f t="shared" si="62"/>
        <v>6.7857031545663529E-4</v>
      </c>
      <c r="R133" s="9">
        <f t="shared" si="44"/>
        <v>1.4999999999999999E-4</v>
      </c>
      <c r="S133" s="9">
        <f t="shared" si="45"/>
        <v>4.9606731641676776E-7</v>
      </c>
      <c r="T133" s="9">
        <f t="shared" si="40"/>
        <v>2.3139187100616616E-5</v>
      </c>
      <c r="U133" s="9">
        <f t="shared" si="41"/>
        <v>1.4950393268358322E-4</v>
      </c>
      <c r="V133" s="100">
        <f t="shared" si="46"/>
        <v>0.15477309984607174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262</v>
      </c>
      <c r="C134" s="46" t="s">
        <v>263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-2.2190435405287081E-3</v>
      </c>
      <c r="J134" s="54">
        <f t="shared" si="55"/>
        <v>-2.5108947899438419E-2</v>
      </c>
      <c r="K134" s="55">
        <f t="shared" si="56"/>
        <v>0.99966824343696115</v>
      </c>
      <c r="L134" s="55">
        <f t="shared" si="57"/>
        <v>2.478547511284454E-4</v>
      </c>
      <c r="M134" s="55">
        <f t="shared" si="58"/>
        <v>0.99975214524887157</v>
      </c>
      <c r="N134" s="55">
        <f t="shared" si="59"/>
        <v>2.7280182781438324E-9</v>
      </c>
      <c r="O134" s="56">
        <f t="shared" si="60"/>
        <v>1.0051360950435715E-6</v>
      </c>
      <c r="P134" s="56">
        <f t="shared" si="61"/>
        <v>9.4867164733446512E-7</v>
      </c>
      <c r="Q134" s="56">
        <f t="shared" si="62"/>
        <v>1.0441573470359135E-9</v>
      </c>
      <c r="R134" s="9">
        <f t="shared" si="44"/>
        <v>1.4999999999999999E-4</v>
      </c>
      <c r="S134" s="9">
        <f t="shared" si="45"/>
        <v>3.717821266926681E-8</v>
      </c>
      <c r="T134" s="9">
        <f t="shared" si="40"/>
        <v>1.4995023651554417E-4</v>
      </c>
      <c r="U134" s="9">
        <f t="shared" si="41"/>
        <v>1.4996282178733072E-4</v>
      </c>
      <c r="V134" s="100">
        <f t="shared" si="46"/>
        <v>0.99991607738747135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264</v>
      </c>
      <c r="C135" s="46" t="s">
        <v>265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2.7672233265732864E-2</v>
      </c>
      <c r="J135" s="54">
        <f t="shared" ref="J135:J143" si="64">IF(D135=0,"",LOG($K$21*10^D135+$K$22*10^E135+$K$20))</f>
        <v>0.23665550289826484</v>
      </c>
      <c r="K135" s="55">
        <f t="shared" ref="K135:K143" si="65">IF(D135=0,"",1/(1+10^D135*$J$15/$J$14+10^E135*$J$16/$J$14+10^J135*$J$19/$J$14))</f>
        <v>0.93301510635145002</v>
      </c>
      <c r="L135" s="55">
        <f t="shared" ref="L135:L143" si="66">IF(D135=0,"",1/(1+10^I135/10^J135*$J$13/$J$19))</f>
        <v>4.2266324058951829E-4</v>
      </c>
      <c r="M135" s="55">
        <f t="shared" ref="M135:M143" si="67">IF(D135=0,"",1-L135)</f>
        <v>0.99957733675941052</v>
      </c>
      <c r="N135" s="55">
        <f t="shared" ref="N135:N143" si="68">IF(D135=0,"",1/(1/10^E135*$J$20/$J$22+10^D135/10^E135*$J$21/$J$22+10^I135/10^E135*$J$13/$J$22+1))</f>
        <v>3.3779794858668566E-5</v>
      </c>
      <c r="O135" s="56">
        <f t="shared" ref="O135:O143" si="69">IF(D135=0,"",F135*K135*$J$7/$J$14)</f>
        <v>9.3811838754673527E-7</v>
      </c>
      <c r="P135" s="56">
        <f t="shared" ref="P135:P143" si="70">IF(D135=0,"",O135*10^J135)</f>
        <v>1.617756492027012E-6</v>
      </c>
      <c r="Q135" s="56">
        <f t="shared" ref="Q135:Q143" si="71">IF(D135=0,"",F135*N135*$J$7/$J$22)</f>
        <v>1.2929319889690675E-5</v>
      </c>
      <c r="R135" s="9">
        <f t="shared" si="44"/>
        <v>1.4999999999999999E-4</v>
      </c>
      <c r="S135" s="9">
        <f t="shared" si="45"/>
        <v>6.3399486088427739E-8</v>
      </c>
      <c r="T135" s="9">
        <f t="shared" si="40"/>
        <v>1.3995226595271749E-4</v>
      </c>
      <c r="U135" s="9">
        <f t="shared" si="41"/>
        <v>1.4993660051391156E-4</v>
      </c>
      <c r="V135" s="100">
        <f t="shared" si="46"/>
        <v>0.93340962428804897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266</v>
      </c>
      <c r="C136" s="46" t="s">
        <v>267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-7.9255891896301502E-4</v>
      </c>
      <c r="J136" s="54">
        <f t="shared" si="64"/>
        <v>-1.0067076570108876E-2</v>
      </c>
      <c r="K136" s="55">
        <f t="shared" si="65"/>
        <v>0.99638225259607638</v>
      </c>
      <c r="L136" s="55">
        <f t="shared" si="66"/>
        <v>2.5574621028452796E-4</v>
      </c>
      <c r="M136" s="55">
        <f t="shared" si="67"/>
        <v>0.99974425378971543</v>
      </c>
      <c r="N136" s="55">
        <f t="shared" si="68"/>
        <v>5.0784990267158945E-7</v>
      </c>
      <c r="O136" s="56">
        <f t="shared" si="69"/>
        <v>1.0018321309296368E-6</v>
      </c>
      <c r="P136" s="56">
        <f t="shared" si="70"/>
        <v>9.7887644882965159E-7</v>
      </c>
      <c r="Q136" s="56">
        <f t="shared" si="71"/>
        <v>1.9438110489011006E-7</v>
      </c>
      <c r="R136" s="9">
        <f t="shared" si="44"/>
        <v>1.4999999999999999E-4</v>
      </c>
      <c r="S136" s="9">
        <f t="shared" si="45"/>
        <v>3.836193154267919E-8</v>
      </c>
      <c r="T136" s="9">
        <f t="shared" si="40"/>
        <v>1.4945733788941144E-4</v>
      </c>
      <c r="U136" s="9">
        <f t="shared" si="41"/>
        <v>1.4996163806845731E-4</v>
      </c>
      <c r="V136" s="100">
        <f t="shared" si="46"/>
        <v>0.99663713876734494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268</v>
      </c>
      <c r="C137" s="46" t="s">
        <v>269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-2.2515440087297459E-3</v>
      </c>
      <c r="J137" s="54">
        <f t="shared" si="64"/>
        <v>-2.5447397497553387E-2</v>
      </c>
      <c r="K137" s="55">
        <f t="shared" si="65"/>
        <v>0.99974323100370743</v>
      </c>
      <c r="L137" s="55">
        <f t="shared" si="66"/>
        <v>2.4768024864405425E-4</v>
      </c>
      <c r="M137" s="55">
        <f t="shared" si="67"/>
        <v>0.99975231975135592</v>
      </c>
      <c r="N137" s="55">
        <f t="shared" si="68"/>
        <v>1.1600772445432236E-10</v>
      </c>
      <c r="O137" s="56">
        <f t="shared" si="69"/>
        <v>1.0052114927672775E-6</v>
      </c>
      <c r="P137" s="56">
        <f t="shared" si="70"/>
        <v>9.4800373373354573E-7</v>
      </c>
      <c r="Q137" s="56">
        <f t="shared" si="71"/>
        <v>4.4402311660578986E-11</v>
      </c>
      <c r="R137" s="9">
        <f t="shared" si="44"/>
        <v>1.4999999999999999E-4</v>
      </c>
      <c r="S137" s="9">
        <f t="shared" si="45"/>
        <v>3.7152037296608137E-8</v>
      </c>
      <c r="T137" s="9">
        <f t="shared" si="40"/>
        <v>1.4996148465055609E-4</v>
      </c>
      <c r="U137" s="9">
        <f t="shared" si="41"/>
        <v>1.4996284796270338E-4</v>
      </c>
      <c r="V137" s="100">
        <f t="shared" si="46"/>
        <v>0.99999090900069054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270</v>
      </c>
      <c r="C138" s="46" t="s">
        <v>271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-9.5421953907495261E-4</v>
      </c>
      <c r="J138" s="54">
        <f t="shared" si="64"/>
        <v>-1.176973065570699E-2</v>
      </c>
      <c r="K138" s="55">
        <f t="shared" si="65"/>
        <v>0.99675411521558255</v>
      </c>
      <c r="L138" s="55">
        <f t="shared" si="66"/>
        <v>2.5484059293524229E-4</v>
      </c>
      <c r="M138" s="55">
        <f t="shared" si="67"/>
        <v>0.99974515940706477</v>
      </c>
      <c r="N138" s="55">
        <f t="shared" si="68"/>
        <v>4.3061417321711293E-7</v>
      </c>
      <c r="O138" s="56">
        <f t="shared" si="69"/>
        <v>1.0022060275135456E-6</v>
      </c>
      <c r="P138" s="56">
        <f t="shared" si="70"/>
        <v>9.7541017070228058E-7</v>
      </c>
      <c r="Q138" s="56">
        <f t="shared" si="71"/>
        <v>1.6481889300550267E-7</v>
      </c>
      <c r="R138" s="9">
        <f t="shared" si="44"/>
        <v>1.4999999999999999E-4</v>
      </c>
      <c r="S138" s="9">
        <f t="shared" si="45"/>
        <v>3.8226088940286341E-8</v>
      </c>
      <c r="T138" s="9">
        <f t="shared" si="40"/>
        <v>1.4951311728233737E-4</v>
      </c>
      <c r="U138" s="9">
        <f t="shared" si="41"/>
        <v>1.4996177391105969E-4</v>
      </c>
      <c r="V138" s="100">
        <f t="shared" si="46"/>
        <v>0.99700819337474345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272</v>
      </c>
      <c r="C139" s="46" t="s">
        <v>273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2.0637855846763784E-2</v>
      </c>
      <c r="J139" s="54">
        <f t="shared" si="64"/>
        <v>0.17844969461457041</v>
      </c>
      <c r="K139" s="55">
        <f t="shared" si="65"/>
        <v>0.94829498977632976</v>
      </c>
      <c r="L139" s="55">
        <f t="shared" si="66"/>
        <v>3.7570195139163966E-4</v>
      </c>
      <c r="M139" s="55">
        <f t="shared" si="67"/>
        <v>0.99962429804860831</v>
      </c>
      <c r="N139" s="55">
        <f t="shared" si="68"/>
        <v>1.503992796515896E-5</v>
      </c>
      <c r="O139" s="56">
        <f t="shared" si="69"/>
        <v>9.5348184683358912E-7</v>
      </c>
      <c r="P139" s="56">
        <f t="shared" si="70"/>
        <v>1.4380107200316453E-6</v>
      </c>
      <c r="Q139" s="56">
        <f t="shared" si="71"/>
        <v>5.7565784692604031E-6</v>
      </c>
      <c r="R139" s="9">
        <f t="shared" si="44"/>
        <v>1.4999999999999999E-4</v>
      </c>
      <c r="S139" s="9">
        <f t="shared" si="45"/>
        <v>5.6355292708745942E-8</v>
      </c>
      <c r="T139" s="9">
        <f t="shared" si="40"/>
        <v>1.4224424846644946E-4</v>
      </c>
      <c r="U139" s="9">
        <f t="shared" si="41"/>
        <v>1.4994364470729123E-4</v>
      </c>
      <c r="V139" s="100">
        <f t="shared" si="46"/>
        <v>0.94865139995848458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274</v>
      </c>
      <c r="C140" s="46" t="s">
        <v>275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-2.2257476801494347E-3</v>
      </c>
      <c r="J140" s="54">
        <f t="shared" si="64"/>
        <v>-2.5178902809730494E-2</v>
      </c>
      <c r="K140" s="55">
        <f t="shared" si="65"/>
        <v>0.9996837113703364</v>
      </c>
      <c r="L140" s="55">
        <f t="shared" si="66"/>
        <v>2.4781866506620211E-4</v>
      </c>
      <c r="M140" s="55">
        <f t="shared" si="67"/>
        <v>0.99975218133493382</v>
      </c>
      <c r="N140" s="55">
        <f t="shared" si="68"/>
        <v>2.044162874223247E-9</v>
      </c>
      <c r="O140" s="56">
        <f t="shared" si="69"/>
        <v>1.0051516475813792E-6</v>
      </c>
      <c r="P140" s="56">
        <f t="shared" si="70"/>
        <v>9.4853352682655356E-7</v>
      </c>
      <c r="Q140" s="56">
        <f t="shared" si="71"/>
        <v>7.8240959775039947E-10</v>
      </c>
      <c r="R140" s="9">
        <f t="shared" si="44"/>
        <v>1.4999999999999999E-4</v>
      </c>
      <c r="S140" s="9">
        <f t="shared" si="45"/>
        <v>3.7172799759930309E-8</v>
      </c>
      <c r="T140" s="9">
        <f t="shared" si="40"/>
        <v>1.4995255670555044E-4</v>
      </c>
      <c r="U140" s="9">
        <f t="shared" si="41"/>
        <v>1.4996282720024007E-4</v>
      </c>
      <c r="V140" s="100">
        <f t="shared" si="46"/>
        <v>0.99993151306306127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276</v>
      </c>
      <c r="C141" s="46" t="s">
        <v>277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-2.1814307177209532E-3</v>
      </c>
      <c r="J141" s="54">
        <f t="shared" si="64"/>
        <v>-2.4715676297558508E-2</v>
      </c>
      <c r="K141" s="55">
        <f t="shared" si="65"/>
        <v>0.99958146621823818</v>
      </c>
      <c r="L141" s="55">
        <f t="shared" si="66"/>
        <v>2.4805776072510117E-4</v>
      </c>
      <c r="M141" s="55">
        <f t="shared" si="67"/>
        <v>0.99975194223927488</v>
      </c>
      <c r="N141" s="55">
        <f t="shared" si="68"/>
        <v>7.4616290465739793E-9</v>
      </c>
      <c r="O141" s="56">
        <f t="shared" si="69"/>
        <v>1.005048843182428E-6</v>
      </c>
      <c r="P141" s="56">
        <f t="shared" si="70"/>
        <v>9.4944867278024463E-7</v>
      </c>
      <c r="Q141" s="56">
        <f t="shared" si="71"/>
        <v>2.8559613592977617E-9</v>
      </c>
      <c r="R141" s="9">
        <f t="shared" si="44"/>
        <v>1.4999999999999999E-4</v>
      </c>
      <c r="S141" s="9">
        <f t="shared" si="45"/>
        <v>3.7208664108765169E-8</v>
      </c>
      <c r="T141" s="9">
        <f t="shared" si="40"/>
        <v>1.499372199327357E-4</v>
      </c>
      <c r="U141" s="9">
        <f t="shared" si="41"/>
        <v>1.4996279133589122E-4</v>
      </c>
      <c r="V141" s="100">
        <f t="shared" si="46"/>
        <v>0.99982948168057084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278</v>
      </c>
      <c r="C142" s="46" t="s">
        <v>279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0.35101699191808489</v>
      </c>
      <c r="J142" s="54">
        <f t="shared" si="64"/>
        <v>1.2385963152013792</v>
      </c>
      <c r="K142" s="55">
        <f t="shared" si="65"/>
        <v>0.44243786584685857</v>
      </c>
      <c r="L142" s="55">
        <f t="shared" si="66"/>
        <v>2.0132555460671293E-3</v>
      </c>
      <c r="M142" s="55">
        <f t="shared" si="67"/>
        <v>0.99798674445393287</v>
      </c>
      <c r="N142" s="55">
        <f t="shared" si="68"/>
        <v>7.6772409183861593E-4</v>
      </c>
      <c r="O142" s="56">
        <f t="shared" si="69"/>
        <v>4.4485785328917098E-7</v>
      </c>
      <c r="P142" s="56">
        <f t="shared" si="70"/>
        <v>7.7057972328437516E-6</v>
      </c>
      <c r="Q142" s="56">
        <f t="shared" si="71"/>
        <v>2.938487463270216E-4</v>
      </c>
      <c r="R142" s="9">
        <f t="shared" si="44"/>
        <v>1.4999999999999999E-4</v>
      </c>
      <c r="S142" s="9">
        <f t="shared" si="45"/>
        <v>3.0198833191006935E-7</v>
      </c>
      <c r="T142" s="9">
        <f t="shared" si="40"/>
        <v>6.6365679877028786E-5</v>
      </c>
      <c r="U142" s="9">
        <f t="shared" si="41"/>
        <v>1.4969801166808992E-4</v>
      </c>
      <c r="V142" s="100">
        <f t="shared" si="46"/>
        <v>0.44333040323992151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97</v>
      </c>
      <c r="C143" s="46" t="s">
        <v>280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1.1760432553236648</v>
      </c>
      <c r="J143" s="54">
        <f t="shared" si="64"/>
        <v>2.1483172591113218</v>
      </c>
      <c r="K143" s="55">
        <f t="shared" si="65"/>
        <v>6.6166443588732679E-2</v>
      </c>
      <c r="L143" s="55">
        <f t="shared" si="66"/>
        <v>2.4457122083772595E-3</v>
      </c>
      <c r="M143" s="55">
        <f t="shared" si="67"/>
        <v>0.9975542877916227</v>
      </c>
      <c r="N143" s="55">
        <f t="shared" si="68"/>
        <v>7.3263569603775896E-5</v>
      </c>
      <c r="O143" s="56">
        <f t="shared" si="69"/>
        <v>6.65283519490868E-8</v>
      </c>
      <c r="P143" s="56">
        <f t="shared" si="70"/>
        <v>9.3610383463050358E-6</v>
      </c>
      <c r="Q143" s="56">
        <f t="shared" si="71"/>
        <v>2.8041855542078701E-5</v>
      </c>
      <c r="R143" s="9">
        <f t="shared" si="44"/>
        <v>1.4999999999999999E-4</v>
      </c>
      <c r="S143" s="9">
        <f t="shared" si="45"/>
        <v>3.6685683125658892E-7</v>
      </c>
      <c r="T143" s="9">
        <f t="shared" si="40"/>
        <v>9.9249665383099016E-6</v>
      </c>
      <c r="U143" s="9">
        <f t="shared" si="41"/>
        <v>1.4963314316874339E-4</v>
      </c>
      <c r="V143" s="100">
        <f t="shared" si="46"/>
        <v>6.6328664413053046E-2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2025-02-02T14:48:28Z</dcterms:modified>
</cp:coreProperties>
</file>