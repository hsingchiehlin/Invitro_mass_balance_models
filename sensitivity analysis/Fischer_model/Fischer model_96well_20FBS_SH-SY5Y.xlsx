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E2A96C0A-7576-46AE-99B5-7E594B1568AA}" xr6:coauthVersionLast="47" xr6:coauthVersionMax="47" xr10:uidLastSave="{00000000-0000-0000-0000-000000000000}"/>
  <bookViews>
    <workbookView minimized="1" xWindow="5153" yWindow="3780" windowWidth="16200" windowHeight="9983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S131" i="4"/>
  <c r="R131" i="4"/>
  <c r="V130" i="4"/>
  <c r="R130" i="4"/>
  <c r="U130" i="4" s="1"/>
  <c r="V127" i="4"/>
  <c r="U127" i="4"/>
  <c r="T127" i="4"/>
  <c r="R127" i="4"/>
  <c r="S127" i="4" s="1"/>
  <c r="V126" i="4"/>
  <c r="R126" i="4"/>
  <c r="U126" i="4" s="1"/>
  <c r="V124" i="4"/>
  <c r="U124" i="4"/>
  <c r="T124" i="4"/>
  <c r="S124" i="4"/>
  <c r="R124" i="4"/>
  <c r="V121" i="4"/>
  <c r="U121" i="4"/>
  <c r="R121" i="4"/>
  <c r="T121" i="4" s="1"/>
  <c r="V120" i="4"/>
  <c r="R120" i="4"/>
  <c r="V119" i="4"/>
  <c r="U119" i="4"/>
  <c r="R119" i="4"/>
  <c r="T119" i="4" s="1"/>
  <c r="V116" i="4"/>
  <c r="R116" i="4"/>
  <c r="U116" i="4" s="1"/>
  <c r="V115" i="4"/>
  <c r="U115" i="4"/>
  <c r="T115" i="4"/>
  <c r="S115" i="4"/>
  <c r="R115" i="4"/>
  <c r="V114" i="4"/>
  <c r="U114" i="4"/>
  <c r="R114" i="4"/>
  <c r="T114" i="4" s="1"/>
  <c r="V108" i="4"/>
  <c r="R108" i="4"/>
  <c r="V107" i="4"/>
  <c r="U107" i="4"/>
  <c r="T107" i="4"/>
  <c r="S107" i="4"/>
  <c r="R107" i="4"/>
  <c r="V93" i="4"/>
  <c r="R93" i="4"/>
  <c r="V92" i="4"/>
  <c r="U92" i="4"/>
  <c r="T92" i="4"/>
  <c r="R92" i="4"/>
  <c r="S92" i="4" s="1"/>
  <c r="V91" i="4"/>
  <c r="R91" i="4"/>
  <c r="U91" i="4" s="1"/>
  <c r="V90" i="4"/>
  <c r="R90" i="4"/>
  <c r="U90" i="4" s="1"/>
  <c r="V89" i="4"/>
  <c r="U89" i="4"/>
  <c r="T89" i="4"/>
  <c r="R89" i="4"/>
  <c r="S89" i="4" s="1"/>
  <c r="V88" i="4"/>
  <c r="R88" i="4"/>
  <c r="V86" i="4"/>
  <c r="U86" i="4"/>
  <c r="R86" i="4"/>
  <c r="T86" i="4" s="1"/>
  <c r="V85" i="4"/>
  <c r="R85" i="4"/>
  <c r="U85" i="4" s="1"/>
  <c r="V84" i="4"/>
  <c r="U84" i="4"/>
  <c r="T84" i="4"/>
  <c r="S84" i="4"/>
  <c r="R84" i="4"/>
  <c r="V83" i="4"/>
  <c r="U83" i="4"/>
  <c r="R83" i="4"/>
  <c r="T83" i="4" s="1"/>
  <c r="V82" i="4"/>
  <c r="R82" i="4"/>
  <c r="U82" i="4" s="1"/>
  <c r="V81" i="4"/>
  <c r="U81" i="4"/>
  <c r="T81" i="4"/>
  <c r="S81" i="4"/>
  <c r="R81" i="4"/>
  <c r="V80" i="4"/>
  <c r="R80" i="4"/>
  <c r="V79" i="4"/>
  <c r="U79" i="4"/>
  <c r="T79" i="4"/>
  <c r="R79" i="4"/>
  <c r="S79" i="4" s="1"/>
  <c r="V78" i="4"/>
  <c r="R78" i="4"/>
  <c r="U78" i="4" s="1"/>
  <c r="V77" i="4"/>
  <c r="R77" i="4"/>
  <c r="S77" i="4" s="1"/>
  <c r="V76" i="4"/>
  <c r="U76" i="4"/>
  <c r="T76" i="4"/>
  <c r="R76" i="4"/>
  <c r="S76" i="4" s="1"/>
  <c r="V75" i="4"/>
  <c r="R75" i="4"/>
  <c r="V74" i="4"/>
  <c r="U74" i="4"/>
  <c r="R74" i="4"/>
  <c r="T74" i="4" s="1"/>
  <c r="V73" i="4"/>
  <c r="R73" i="4"/>
  <c r="U73" i="4" s="1"/>
  <c r="V72" i="4"/>
  <c r="U72" i="4"/>
  <c r="T72" i="4"/>
  <c r="S72" i="4"/>
  <c r="R72" i="4"/>
  <c r="V71" i="4"/>
  <c r="U71" i="4"/>
  <c r="R71" i="4"/>
  <c r="T71" i="4" s="1"/>
  <c r="V70" i="4"/>
  <c r="R70" i="4"/>
  <c r="U70" i="4" s="1"/>
  <c r="V69" i="4"/>
  <c r="U69" i="4"/>
  <c r="T69" i="4"/>
  <c r="S69" i="4"/>
  <c r="R69" i="4"/>
  <c r="V68" i="4"/>
  <c r="R68" i="4"/>
  <c r="V65" i="4"/>
  <c r="U65" i="4"/>
  <c r="T65" i="4"/>
  <c r="R65" i="4"/>
  <c r="S65" i="4" s="1"/>
  <c r="V64" i="4"/>
  <c r="R64" i="4"/>
  <c r="U64" i="4" s="1"/>
  <c r="V63" i="4"/>
  <c r="R63" i="4"/>
  <c r="U63" i="4" s="1"/>
  <c r="V62" i="4"/>
  <c r="U62" i="4"/>
  <c r="T62" i="4"/>
  <c r="R62" i="4"/>
  <c r="S62" i="4" s="1"/>
  <c r="V61" i="4"/>
  <c r="R61" i="4"/>
  <c r="S61" i="4" s="1"/>
  <c r="V60" i="4"/>
  <c r="U60" i="4"/>
  <c r="R60" i="4"/>
  <c r="T60" i="4" s="1"/>
  <c r="V58" i="4"/>
  <c r="R58" i="4"/>
  <c r="U58" i="4" s="1"/>
  <c r="V57" i="4"/>
  <c r="U57" i="4"/>
  <c r="T57" i="4"/>
  <c r="S57" i="4"/>
  <c r="R57" i="4"/>
  <c r="V49" i="4"/>
  <c r="U49" i="4"/>
  <c r="R49" i="4"/>
  <c r="T49" i="4" s="1"/>
  <c r="V48" i="4"/>
  <c r="R48" i="4"/>
  <c r="U48" i="4" s="1"/>
  <c r="V47" i="4"/>
  <c r="U47" i="4"/>
  <c r="T47" i="4"/>
  <c r="S47" i="4"/>
  <c r="R47" i="4"/>
  <c r="V46" i="4"/>
  <c r="R46" i="4"/>
  <c r="V45" i="4"/>
  <c r="U45" i="4"/>
  <c r="T45" i="4"/>
  <c r="R45" i="4"/>
  <c r="S45" i="4" s="1"/>
  <c r="V44" i="4"/>
  <c r="R44" i="4"/>
  <c r="U44" i="4" s="1"/>
  <c r="V43" i="4"/>
  <c r="R43" i="4"/>
  <c r="S43" i="4" s="1"/>
  <c r="V42" i="4"/>
  <c r="U42" i="4"/>
  <c r="T42" i="4"/>
  <c r="R42" i="4"/>
  <c r="S42" i="4" s="1"/>
  <c r="V41" i="4"/>
  <c r="R41" i="4"/>
  <c r="V40" i="4"/>
  <c r="U40" i="4"/>
  <c r="R40" i="4"/>
  <c r="T40" i="4" s="1"/>
  <c r="V39" i="4"/>
  <c r="R39" i="4"/>
  <c r="U39" i="4" s="1"/>
  <c r="V38" i="4"/>
  <c r="U38" i="4"/>
  <c r="T38" i="4"/>
  <c r="S38" i="4"/>
  <c r="R38" i="4"/>
  <c r="V37" i="4"/>
  <c r="U37" i="4"/>
  <c r="R37" i="4"/>
  <c r="T37" i="4" s="1"/>
  <c r="V36" i="4"/>
  <c r="R36" i="4"/>
  <c r="U36" i="4" s="1"/>
  <c r="V35" i="4"/>
  <c r="U35" i="4"/>
  <c r="T35" i="4"/>
  <c r="S35" i="4"/>
  <c r="R35" i="4"/>
  <c r="V34" i="4"/>
  <c r="R34" i="4"/>
  <c r="V33" i="4"/>
  <c r="U33" i="4"/>
  <c r="T33" i="4"/>
  <c r="R33" i="4"/>
  <c r="S33" i="4" s="1"/>
  <c r="V32" i="4"/>
  <c r="R32" i="4"/>
  <c r="U32" i="4" s="1"/>
  <c r="V31" i="4"/>
  <c r="R31" i="4"/>
  <c r="U31" i="4" s="1"/>
  <c r="V30" i="4"/>
  <c r="U30" i="4"/>
  <c r="T30" i="4"/>
  <c r="R30" i="4"/>
  <c r="S30" i="4" s="1"/>
  <c r="V29" i="4"/>
  <c r="R29" i="4"/>
  <c r="S29" i="4" s="1"/>
  <c r="V28" i="4"/>
  <c r="U28" i="4"/>
  <c r="R28" i="4"/>
  <c r="T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Q130" i="4" s="1"/>
  <c r="O130" i="4"/>
  <c r="P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46" i="4" l="1"/>
  <c r="T46" i="4"/>
  <c r="S46" i="4"/>
  <c r="U80" i="4"/>
  <c r="T80" i="4"/>
  <c r="S80" i="4"/>
  <c r="U88" i="4"/>
  <c r="T88" i="4"/>
  <c r="T36" i="4"/>
  <c r="T43" i="4"/>
  <c r="T70" i="4"/>
  <c r="T77" i="4"/>
  <c r="U43" i="4"/>
  <c r="U77" i="4"/>
  <c r="T120" i="4"/>
  <c r="U120" i="4"/>
  <c r="S120" i="4"/>
  <c r="U34" i="4"/>
  <c r="T34" i="4"/>
  <c r="S34" i="4"/>
  <c r="U41" i="4"/>
  <c r="T41" i="4"/>
  <c r="U68" i="4"/>
  <c r="T68" i="4"/>
  <c r="S68" i="4"/>
  <c r="U75" i="4"/>
  <c r="T75" i="4"/>
  <c r="U93" i="4"/>
  <c r="T93" i="4"/>
  <c r="S93" i="4"/>
  <c r="S41" i="4"/>
  <c r="S75" i="4"/>
  <c r="S31" i="4"/>
  <c r="S48" i="4"/>
  <c r="S63" i="4"/>
  <c r="S82" i="4"/>
  <c r="S90" i="4"/>
  <c r="T31" i="4"/>
  <c r="T48" i="4"/>
  <c r="T63" i="4"/>
  <c r="T82" i="4"/>
  <c r="T90" i="4"/>
  <c r="S88" i="4"/>
  <c r="U108" i="4"/>
  <c r="T108" i="4"/>
  <c r="U61" i="4"/>
  <c r="T61" i="4"/>
  <c r="S36" i="4"/>
  <c r="S70" i="4"/>
  <c r="S108" i="4"/>
  <c r="U29" i="4"/>
  <c r="T29" i="4"/>
  <c r="S130" i="4"/>
  <c r="S39" i="4"/>
  <c r="S58" i="4"/>
  <c r="S73" i="4"/>
  <c r="S85" i="4"/>
  <c r="S116" i="4"/>
  <c r="T130" i="4"/>
  <c r="S32" i="4"/>
  <c r="T39" i="4"/>
  <c r="S44" i="4"/>
  <c r="T58" i="4"/>
  <c r="S64" i="4"/>
  <c r="T73" i="4"/>
  <c r="S78" i="4"/>
  <c r="T85" i="4"/>
  <c r="S91" i="4"/>
  <c r="T116" i="4"/>
  <c r="S126" i="4"/>
  <c r="T32" i="4"/>
  <c r="S37" i="4"/>
  <c r="T44" i="4"/>
  <c r="S49" i="4"/>
  <c r="T64" i="4"/>
  <c r="S71" i="4"/>
  <c r="T78" i="4"/>
  <c r="S83" i="4"/>
  <c r="T91" i="4"/>
  <c r="S114" i="4"/>
  <c r="T126" i="4"/>
  <c r="S121" i="4"/>
  <c r="S28" i="4"/>
  <c r="S40" i="4"/>
  <c r="S60" i="4"/>
  <c r="S74" i="4"/>
  <c r="S86" i="4"/>
  <c r="S119" i="4"/>
  <c r="O15" i="1" l="1"/>
  <c r="L15" i="1"/>
  <c r="N15" i="1"/>
  <c r="M71" i="4"/>
  <c r="M95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4" i="4"/>
  <c r="M117" i="4"/>
  <c r="M118" i="4"/>
  <c r="M122" i="4"/>
  <c r="M123" i="4"/>
  <c r="M124" i="4"/>
  <c r="M125" i="4"/>
  <c r="M126" i="4"/>
  <c r="J16" i="4"/>
  <c r="J15" i="4"/>
  <c r="J87" i="4"/>
  <c r="K87" i="4"/>
  <c r="O87" i="4" s="1"/>
  <c r="P87" i="4" s="1"/>
  <c r="J122" i="4"/>
  <c r="K122" i="4"/>
  <c r="J117" i="4"/>
  <c r="K117" i="4"/>
  <c r="J120" i="4"/>
  <c r="L120" i="4" s="1"/>
  <c r="M120" i="4" s="1"/>
  <c r="K120" i="4"/>
  <c r="O120" i="4" s="1"/>
  <c r="P120" i="4" s="1"/>
  <c r="J101" i="4"/>
  <c r="K101" i="4"/>
  <c r="J86" i="4"/>
  <c r="K86" i="4" s="1"/>
  <c r="J85" i="4"/>
  <c r="K85" i="4" s="1"/>
  <c r="J88" i="4"/>
  <c r="K88" i="4" s="1"/>
  <c r="O88" i="4" s="1"/>
  <c r="P88" i="4" s="1"/>
  <c r="J119" i="4"/>
  <c r="K119" i="4"/>
  <c r="J72" i="4"/>
  <c r="K72" i="4" s="1"/>
  <c r="O72" i="4" s="1"/>
  <c r="P72" i="4" s="1"/>
  <c r="J103" i="4"/>
  <c r="K103" i="4"/>
  <c r="J118" i="4"/>
  <c r="K118" i="4"/>
  <c r="J104" i="4"/>
  <c r="K104" i="4"/>
  <c r="J90" i="4"/>
  <c r="K90" i="4" s="1"/>
  <c r="J71" i="4"/>
  <c r="K71" i="4" s="1"/>
  <c r="J110" i="4"/>
  <c r="K110" i="4"/>
  <c r="J82" i="4"/>
  <c r="K82" i="4" s="1"/>
  <c r="O82" i="4" s="1"/>
  <c r="P82" i="4" s="1"/>
  <c r="J113" i="4"/>
  <c r="K113" i="4"/>
  <c r="J97" i="4"/>
  <c r="K97" i="4"/>
  <c r="J81" i="4"/>
  <c r="K81" i="4" s="1"/>
  <c r="O81" i="4" s="1"/>
  <c r="P81" i="4" s="1"/>
  <c r="J116" i="4"/>
  <c r="L116" i="4" s="1"/>
  <c r="M116" i="4" s="1"/>
  <c r="K116" i="4"/>
  <c r="O116" i="4" s="1"/>
  <c r="P116" i="4" s="1"/>
  <c r="J100" i="4"/>
  <c r="K100" i="4"/>
  <c r="O100" i="4"/>
  <c r="J84" i="4"/>
  <c r="K84" i="4"/>
  <c r="J114" i="4"/>
  <c r="K114" i="4"/>
  <c r="O114" i="4" s="1"/>
  <c r="P114" i="4" s="1"/>
  <c r="J78" i="4"/>
  <c r="K78" i="4" s="1"/>
  <c r="O78" i="4" s="1"/>
  <c r="P78" i="4" s="1"/>
  <c r="J115" i="4"/>
  <c r="K115" i="4"/>
  <c r="O115" i="4"/>
  <c r="P115" i="4" s="1"/>
  <c r="J99" i="4"/>
  <c r="K99" i="4"/>
  <c r="J83" i="4"/>
  <c r="K83" i="4" s="1"/>
  <c r="J102" i="4"/>
  <c r="K102" i="4"/>
  <c r="J74" i="4"/>
  <c r="K74" i="4"/>
  <c r="O74" i="4" s="1"/>
  <c r="P74" i="4" s="1"/>
  <c r="J125" i="4"/>
  <c r="K125" i="4"/>
  <c r="J109" i="4"/>
  <c r="K109" i="4"/>
  <c r="J93" i="4"/>
  <c r="K93" i="4" s="1"/>
  <c r="J77" i="4"/>
  <c r="K77" i="4" s="1"/>
  <c r="O77" i="4" s="1"/>
  <c r="P77" i="4" s="1"/>
  <c r="J112" i="4"/>
  <c r="K112" i="4"/>
  <c r="J96" i="4"/>
  <c r="K96" i="4"/>
  <c r="O96" i="4" s="1"/>
  <c r="P96" i="4" s="1"/>
  <c r="J80" i="4"/>
  <c r="K80" i="4" s="1"/>
  <c r="O80" i="4" s="1"/>
  <c r="P80" i="4" s="1"/>
  <c r="J106" i="4"/>
  <c r="K106" i="4"/>
  <c r="J127" i="4"/>
  <c r="L127" i="4" s="1"/>
  <c r="M127" i="4" s="1"/>
  <c r="K127" i="4"/>
  <c r="O127" i="4" s="1"/>
  <c r="P127" i="4" s="1"/>
  <c r="J111" i="4"/>
  <c r="K111" i="4"/>
  <c r="J95" i="4"/>
  <c r="K95" i="4" s="1"/>
  <c r="O95" i="4" s="1"/>
  <c r="P95" i="4" s="1"/>
  <c r="J79" i="4"/>
  <c r="K79" i="4"/>
  <c r="O79" i="4" s="1"/>
  <c r="P79" i="4" s="1"/>
  <c r="J126" i="4"/>
  <c r="K126" i="4"/>
  <c r="J94" i="4"/>
  <c r="K94" i="4" s="1"/>
  <c r="O94" i="4" s="1"/>
  <c r="P94" i="4" s="1"/>
  <c r="J121" i="4"/>
  <c r="K121" i="4"/>
  <c r="J105" i="4"/>
  <c r="K105" i="4"/>
  <c r="J89" i="4"/>
  <c r="K89" i="4" s="1"/>
  <c r="O89" i="4" s="1"/>
  <c r="P89" i="4" s="1"/>
  <c r="J73" i="4"/>
  <c r="K73" i="4" s="1"/>
  <c r="J124" i="4"/>
  <c r="K124" i="4"/>
  <c r="J108" i="4"/>
  <c r="K108" i="4"/>
  <c r="O108" i="4" s="1"/>
  <c r="P108" i="4" s="1"/>
  <c r="J92" i="4"/>
  <c r="K92" i="4" s="1"/>
  <c r="O92" i="4" s="1"/>
  <c r="P92" i="4" s="1"/>
  <c r="J76" i="4"/>
  <c r="K76" i="4"/>
  <c r="J98" i="4"/>
  <c r="K98" i="4"/>
  <c r="J123" i="4"/>
  <c r="K123" i="4"/>
  <c r="J107" i="4"/>
  <c r="K107" i="4" s="1"/>
  <c r="O107" i="4" s="1"/>
  <c r="P107" i="4" s="1"/>
  <c r="J91" i="4"/>
  <c r="K91" i="4"/>
  <c r="J75" i="4"/>
  <c r="K75" i="4" s="1"/>
  <c r="O75" i="4" s="1"/>
  <c r="P75" i="4" s="1"/>
  <c r="P100" i="4"/>
  <c r="O112" i="4"/>
  <c r="P112" i="4"/>
  <c r="O83" i="4"/>
  <c r="P83" i="4" s="1"/>
  <c r="O98" i="4"/>
  <c r="P98" i="4"/>
  <c r="O105" i="4"/>
  <c r="P105" i="4"/>
  <c r="O126" i="4"/>
  <c r="P126" i="4"/>
  <c r="O111" i="4"/>
  <c r="P111" i="4"/>
  <c r="O84" i="4"/>
  <c r="P84" i="4" s="1"/>
  <c r="O104" i="4"/>
  <c r="P104" i="4"/>
  <c r="O91" i="4"/>
  <c r="P91" i="4"/>
  <c r="O124" i="4"/>
  <c r="P124" i="4"/>
  <c r="O121" i="4"/>
  <c r="P121" i="4" s="1"/>
  <c r="O102" i="4"/>
  <c r="P102" i="4"/>
  <c r="O110" i="4"/>
  <c r="P110" i="4"/>
  <c r="O118" i="4"/>
  <c r="P118" i="4"/>
  <c r="O117" i="4"/>
  <c r="P117" i="4"/>
  <c r="O76" i="4"/>
  <c r="P76" i="4" s="1"/>
  <c r="O106" i="4"/>
  <c r="P106" i="4"/>
  <c r="O109" i="4"/>
  <c r="P109" i="4"/>
  <c r="O113" i="4"/>
  <c r="P113" i="4"/>
  <c r="O71" i="4"/>
  <c r="P71" i="4"/>
  <c r="O103" i="4"/>
  <c r="P103" i="4"/>
  <c r="O119" i="4"/>
  <c r="P119" i="4" s="1"/>
  <c r="O122" i="4"/>
  <c r="P122" i="4"/>
  <c r="O123" i="4"/>
  <c r="P123" i="4"/>
  <c r="O125" i="4"/>
  <c r="P125" i="4"/>
  <c r="O99" i="4"/>
  <c r="P99" i="4"/>
  <c r="O101" i="4"/>
  <c r="P101" i="4"/>
  <c r="I76" i="4"/>
  <c r="N76" i="4" s="1"/>
  <c r="Q76" i="4" s="1"/>
  <c r="I77" i="4"/>
  <c r="N77" i="4" s="1"/>
  <c r="Q77" i="4" s="1"/>
  <c r="I81" i="4"/>
  <c r="I89" i="4"/>
  <c r="I90" i="4"/>
  <c r="I96" i="4"/>
  <c r="I99" i="4"/>
  <c r="I102" i="4"/>
  <c r="I104" i="4"/>
  <c r="I108" i="4"/>
  <c r="I111" i="4"/>
  <c r="I113" i="4"/>
  <c r="I115" i="4"/>
  <c r="I119" i="4"/>
  <c r="L119" i="4" s="1"/>
  <c r="M119" i="4" s="1"/>
  <c r="I120" i="4"/>
  <c r="I123" i="4"/>
  <c r="I125" i="4"/>
  <c r="I79" i="4"/>
  <c r="I92" i="4"/>
  <c r="I100" i="4"/>
  <c r="I103" i="4"/>
  <c r="I107" i="4"/>
  <c r="N107" i="4" s="1"/>
  <c r="I109" i="4"/>
  <c r="I110" i="4"/>
  <c r="I117" i="4"/>
  <c r="I124" i="4"/>
  <c r="I72" i="4"/>
  <c r="I106" i="4"/>
  <c r="I71" i="4"/>
  <c r="L71" i="4" s="1"/>
  <c r="I75" i="4"/>
  <c r="L75" i="4" s="1"/>
  <c r="M75" i="4" s="1"/>
  <c r="I80" i="4"/>
  <c r="N80" i="4" s="1"/>
  <c r="Q80" i="4" s="1"/>
  <c r="I83" i="4"/>
  <c r="N83" i="4" s="1"/>
  <c r="Q83" i="4" s="1"/>
  <c r="I86" i="4"/>
  <c r="N86" i="4" s="1"/>
  <c r="Q86" i="4" s="1"/>
  <c r="I88" i="4"/>
  <c r="N88" i="4" s="1"/>
  <c r="Q88" i="4" s="1"/>
  <c r="I94" i="4"/>
  <c r="I95" i="4"/>
  <c r="I98" i="4"/>
  <c r="I101" i="4"/>
  <c r="I118" i="4"/>
  <c r="I127" i="4"/>
  <c r="I73" i="4"/>
  <c r="I74" i="4"/>
  <c r="I78" i="4"/>
  <c r="I82" i="4"/>
  <c r="N82" i="4" s="1"/>
  <c r="Q82" i="4" s="1"/>
  <c r="I85" i="4"/>
  <c r="I93" i="4"/>
  <c r="I112" i="4"/>
  <c r="I114" i="4"/>
  <c r="L114" i="4" s="1"/>
  <c r="I121" i="4"/>
  <c r="I122" i="4"/>
  <c r="I84" i="4"/>
  <c r="I87" i="4"/>
  <c r="I91" i="4"/>
  <c r="N91" i="4" s="1"/>
  <c r="Q91" i="4" s="1"/>
  <c r="I97" i="4"/>
  <c r="I105" i="4"/>
  <c r="I116" i="4"/>
  <c r="I126" i="4"/>
  <c r="L126" i="4" s="1"/>
  <c r="L105" i="4"/>
  <c r="N105" i="4"/>
  <c r="Q105" i="4"/>
  <c r="N84" i="4"/>
  <c r="Q84" i="4" s="1"/>
  <c r="N101" i="4"/>
  <c r="Q101" i="4"/>
  <c r="L101" i="4"/>
  <c r="N75" i="4"/>
  <c r="Q75" i="4" s="1"/>
  <c r="L106" i="4"/>
  <c r="N106" i="4"/>
  <c r="Q106" i="4"/>
  <c r="L124" i="4"/>
  <c r="N124" i="4"/>
  <c r="Q124" i="4"/>
  <c r="Q107" i="4"/>
  <c r="L107" i="4"/>
  <c r="M107" i="4" s="1"/>
  <c r="N79" i="4"/>
  <c r="Q79" i="4" s="1"/>
  <c r="L79" i="4"/>
  <c r="M79" i="4" s="1"/>
  <c r="N119" i="4"/>
  <c r="Q119" i="4" s="1"/>
  <c r="L96" i="4"/>
  <c r="M96" i="4" s="1"/>
  <c r="N96" i="4"/>
  <c r="Q96" i="4"/>
  <c r="L97" i="4"/>
  <c r="N97" i="4"/>
  <c r="Q97" i="4"/>
  <c r="N114" i="4"/>
  <c r="Q114" i="4" s="1"/>
  <c r="N98" i="4"/>
  <c r="Q98" i="4"/>
  <c r="L98" i="4"/>
  <c r="N71" i="4"/>
  <c r="Q71" i="4"/>
  <c r="N72" i="4"/>
  <c r="Q72" i="4" s="1"/>
  <c r="N117" i="4"/>
  <c r="Q117" i="4"/>
  <c r="L117" i="4"/>
  <c r="N103" i="4"/>
  <c r="Q103" i="4"/>
  <c r="L103" i="4"/>
  <c r="L125" i="4"/>
  <c r="N125" i="4"/>
  <c r="Q125" i="4"/>
  <c r="L104" i="4"/>
  <c r="N104" i="4"/>
  <c r="Q104" i="4"/>
  <c r="N90" i="4"/>
  <c r="Q90" i="4" s="1"/>
  <c r="L76" i="4"/>
  <c r="M76" i="4" s="1"/>
  <c r="N126" i="4"/>
  <c r="Q126" i="4" s="1"/>
  <c r="L91" i="4"/>
  <c r="M91" i="4" s="1"/>
  <c r="L112" i="4"/>
  <c r="N112" i="4"/>
  <c r="Q112" i="4"/>
  <c r="N78" i="4"/>
  <c r="Q78" i="4" s="1"/>
  <c r="N127" i="4"/>
  <c r="Q127" i="4"/>
  <c r="N95" i="4"/>
  <c r="Q95" i="4" s="1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N116" i="4"/>
  <c r="Q116" i="4"/>
  <c r="N87" i="4"/>
  <c r="Q87" i="4" s="1"/>
  <c r="L87" i="4"/>
  <c r="M87" i="4" s="1"/>
  <c r="N122" i="4"/>
  <c r="Q122" i="4"/>
  <c r="L122" i="4"/>
  <c r="N74" i="4"/>
  <c r="Q74" i="4" s="1"/>
  <c r="L74" i="4"/>
  <c r="M74" i="4" s="1"/>
  <c r="N118" i="4"/>
  <c r="Q118" i="4"/>
  <c r="L118" i="4"/>
  <c r="L94" i="4"/>
  <c r="M94" i="4" s="1"/>
  <c r="N94" i="4"/>
  <c r="Q94" i="4" s="1"/>
  <c r="N109" i="4"/>
  <c r="Q109" i="4"/>
  <c r="L109" i="4"/>
  <c r="L92" i="4"/>
  <c r="M92" i="4" s="1"/>
  <c r="N92" i="4"/>
  <c r="Q92" i="4"/>
  <c r="N120" i="4"/>
  <c r="Q120" i="4"/>
  <c r="N111" i="4"/>
  <c r="Q111" i="4"/>
  <c r="L111" i="4"/>
  <c r="N99" i="4"/>
  <c r="Q99" i="4"/>
  <c r="L99" i="4"/>
  <c r="L81" i="4"/>
  <c r="M81" i="4" s="1"/>
  <c r="N81" i="4"/>
  <c r="Q81" i="4"/>
  <c r="O85" i="4" l="1"/>
  <c r="P85" i="4" s="1"/>
  <c r="O93" i="4"/>
  <c r="P93" i="4" s="1"/>
  <c r="O97" i="4"/>
  <c r="P97" i="4" s="1"/>
  <c r="O86" i="4"/>
  <c r="P86" i="4" s="1"/>
  <c r="N85" i="4"/>
  <c r="Q85" i="4" s="1"/>
  <c r="L85" i="4"/>
  <c r="M85" i="4" s="1"/>
  <c r="N121" i="4"/>
  <c r="Q121" i="4" s="1"/>
  <c r="L121" i="4"/>
  <c r="M121" i="4" s="1"/>
  <c r="N108" i="4"/>
  <c r="Q108" i="4" s="1"/>
  <c r="L108" i="4"/>
  <c r="M108" i="4" s="1"/>
  <c r="L89" i="4"/>
  <c r="M89" i="4" s="1"/>
  <c r="L86" i="4"/>
  <c r="M86" i="4" s="1"/>
  <c r="L88" i="4"/>
  <c r="M88" i="4" s="1"/>
  <c r="O90" i="4"/>
  <c r="P90" i="4" s="1"/>
  <c r="N115" i="4"/>
  <c r="Q115" i="4" s="1"/>
  <c r="L115" i="4"/>
  <c r="M115" i="4" s="1"/>
  <c r="O73" i="4"/>
  <c r="P73" i="4" s="1"/>
  <c r="L90" i="4"/>
  <c r="M90" i="4" s="1"/>
  <c r="M97" i="4"/>
  <c r="N93" i="4"/>
  <c r="Q93" i="4" s="1"/>
  <c r="L93" i="4"/>
  <c r="M93" i="4" s="1"/>
  <c r="L80" i="4"/>
  <c r="M80" i="4" s="1"/>
  <c r="L82" i="4"/>
  <c r="M82" i="4" s="1"/>
  <c r="L72" i="4"/>
  <c r="M72" i="4" s="1"/>
  <c r="L84" i="4"/>
  <c r="M84" i="4" s="1"/>
  <c r="L83" i="4"/>
  <c r="M83" i="4" s="1"/>
  <c r="L73" i="4"/>
  <c r="M73" i="4" s="1"/>
  <c r="L78" i="4"/>
  <c r="M78" i="4" s="1"/>
  <c r="N73" i="4"/>
  <c r="Q73" i="4" s="1"/>
  <c r="L77" i="4"/>
  <c r="M77" i="4" s="1"/>
  <c r="J14" i="4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8" i="4" l="1"/>
  <c r="P58" i="4" s="1"/>
  <c r="O57" i="4"/>
  <c r="P57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5" i="4" l="1"/>
  <c r="P65" i="4" s="1"/>
  <c r="M65" i="4"/>
  <c r="M64" i="4"/>
  <c r="O64" i="4"/>
  <c r="P64" i="4" s="1"/>
  <c r="M69" i="4"/>
  <c r="M58" i="4"/>
  <c r="O68" i="4"/>
  <c r="P68" i="4" s="1"/>
  <c r="O69" i="4"/>
  <c r="P69" i="4" s="1"/>
  <c r="M57" i="4"/>
  <c r="O66" i="4"/>
  <c r="P66" i="4" s="1"/>
  <c r="M66" i="4"/>
  <c r="O67" i="4"/>
  <c r="P67" i="4" s="1"/>
  <c r="M67" i="4"/>
  <c r="M68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J30" i="4"/>
  <c r="J43" i="4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0" i="4"/>
  <c r="M48" i="4" l="1"/>
  <c r="O49" i="4"/>
  <c r="P49" i="4" s="1"/>
  <c r="O48" i="4"/>
  <c r="P48" i="4" s="1"/>
  <c r="M49" i="4"/>
  <c r="M35" i="4"/>
  <c r="O45" i="4"/>
  <c r="P45" i="4" s="1"/>
  <c r="O30" i="4"/>
  <c r="P30" i="4" s="1"/>
  <c r="O46" i="4"/>
  <c r="P46" i="4" s="1"/>
  <c r="M44" i="4"/>
  <c r="M45" i="4"/>
  <c r="M31" i="4"/>
  <c r="O31" i="4"/>
  <c r="P31" i="4" s="1"/>
  <c r="O28" i="4"/>
  <c r="P28" i="4" s="1"/>
  <c r="M47" i="4"/>
  <c r="O47" i="4"/>
  <c r="P47" i="4" s="1"/>
  <c r="O33" i="4"/>
  <c r="P33" i="4" s="1"/>
  <c r="K35" i="4"/>
  <c r="O43" i="4"/>
  <c r="P43" i="4" s="1"/>
  <c r="M43" i="4"/>
  <c r="O39" i="4"/>
  <c r="P39" i="4" s="1"/>
  <c r="O41" i="4"/>
  <c r="P41" i="4" s="1"/>
  <c r="M39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M41" i="4" l="1"/>
  <c r="M46" i="4"/>
  <c r="O35" i="4"/>
  <c r="P35" i="4" s="1"/>
  <c r="O29" i="4"/>
  <c r="P29" i="4" s="1"/>
  <c r="O32" i="4"/>
  <c r="P32" i="4" s="1"/>
  <c r="O38" i="4"/>
  <c r="P38" i="4" s="1"/>
  <c r="O40" i="4"/>
  <c r="P40" i="4" s="1"/>
  <c r="M33" i="4"/>
  <c r="O37" i="4"/>
  <c r="P37" i="4" s="1"/>
  <c r="O44" i="4"/>
  <c r="P44" i="4" s="1"/>
  <c r="O36" i="4"/>
  <c r="P36" i="4" s="1"/>
  <c r="O34" i="4"/>
  <c r="P34" i="4" s="1"/>
  <c r="O42" i="4"/>
  <c r="P42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<sst xmlns="http://schemas.openxmlformats.org/spreadsheetml/2006/main" count="318" uniqueCount="295">
  <si>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</si>
  <si>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</si>
  <si>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</si>
  <si>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</si>
  <si>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</si>
  <si>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</si>
  <si>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</si>
  <si>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</si>
  <si>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</si>
  <si>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</si>
  <si>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</si>
  <si>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</si>
  <si>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</si>
  <si>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</si>
  <si>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</si>
  <si>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</si>
  <si>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</si>
  <si>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</si>
  <si>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</si>
  <si>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</si>
  <si>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</si>
  <si>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</si>
  <si>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</si>
  <si>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</si>
  <si>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</si>
  <si>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</si>
  <si>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</si>
  <si>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</si>
  <si>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</si>
  <si>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</si>
  <si>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</si>
  <si>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</si>
  <si>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</si>
  <si>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</si>
  <si>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</si>
  <si>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</si>
  <si>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</si>
  <si>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</si>
  <si>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</si>
  <si>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</si>
  <si>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</si>
  <si>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</si>
  <si>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</si>
  <si>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</si>
  <si>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</si>
  <si>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</si>
  <si>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</si>
  <si>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</si>
  <si>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</si>
  <si>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</si>
  <si>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</si>
  <si>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</si>
  <si>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</si>
  <si>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</si>
  <si>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</si>
  <si>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</si>
  <si>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</si>
  <si>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</si>
  <si>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</si>
  <si>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</si>
  <si>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</si>
  <si>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</si>
  <si>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</si>
  <si>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</si>
  <si>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</si>
  <si>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</si>
  <si>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</si>
  <si>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</si>
  <si>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</si>
  <si>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</si>
  <si>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</si>
  <si>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</si>
  <si>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</si>
  <si>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</si>
  <si>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</si>
  <si>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</si>
  <si>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</si>
  <si>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</si>
  <si>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</si>
  <si>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</si>
  <si>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</si>
  <si>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</si>
  <si>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</si>
  <si>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</si>
  <si>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</si>
  <si>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</si>
  <si>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</si>
  <si>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</si>
  <si>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</si>
  <si>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</si>
  <si>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</si>
  <si>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</si>
  <si>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</si>
  <si>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</si>
  <si>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</si>
  <si>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</si>
  <si>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</si>
  <si>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</si>
  <si>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</si>
  <si>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</si>
  <si>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</si>
  <si>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</si>
  <si>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</si>
  <si>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</si>
  <si>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</si>
  <si>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</si>
  <si>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</si>
  <si>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</si>
  <si>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</si>
  <si>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</si>
  <si>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</si>
  <si>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</si>
  <si>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SH-SY5Y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</si>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</sst>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112</v>
      </c>
      <c r="K17" s="31" t="s">
        <v>80</v>
      </c>
      <c r="L17" s="81">
        <v>1.8482799999999999E-3</v>
      </c>
      <c r="M17" s="81">
        <v>9.2119999999999992E-5</v>
      </c>
      <c r="N17" s="81">
        <v>1.9599999999999999E-5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4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0"/>
      <c r="H1" s="14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0"/>
      <c r="H2" s="140"/>
      <c r="I2" s="153" t="s">
        <v>19</v>
      </c>
      <c r="J2" s="154"/>
      <c r="K2" s="154"/>
      <c r="L2" s="154"/>
      <c r="M2" s="154"/>
      <c r="N2" s="154"/>
      <c r="O2" s="154"/>
      <c r="P2" s="154"/>
      <c r="Q2" s="15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0"/>
      <c r="H3" s="140"/>
      <c r="I3" s="156"/>
      <c r="J3" s="157"/>
      <c r="K3" s="157"/>
      <c r="L3" s="157"/>
      <c r="M3" s="157"/>
      <c r="N3" s="157"/>
      <c r="O3" s="157"/>
      <c r="P3" s="157"/>
      <c r="Q3" s="15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0"/>
      <c r="H4" s="140"/>
      <c r="I4" s="159"/>
      <c r="J4" s="160"/>
      <c r="K4" s="160"/>
      <c r="L4" s="160"/>
      <c r="M4" s="160"/>
      <c r="N4" s="160"/>
      <c r="O4" s="160"/>
      <c r="P4" s="160"/>
      <c r="Q4" s="16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0"/>
      <c r="H5" s="140"/>
      <c r="I5" s="162" t="s">
        <v>38</v>
      </c>
      <c r="J5" s="163"/>
      <c r="K5" s="163"/>
      <c r="L5" s="163"/>
      <c r="M5" s="163"/>
      <c r="N5" s="163"/>
      <c r="O5" s="163"/>
      <c r="P5" s="163"/>
      <c r="Q5" s="16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0"/>
      <c r="H6" s="140"/>
      <c r="I6" s="49" t="s">
        <v>49</v>
      </c>
      <c r="J6" s="49" t="s">
        <v>50</v>
      </c>
      <c r="K6" s="49" t="s">
        <v>46</v>
      </c>
      <c r="L6" s="132" t="s">
        <v>39</v>
      </c>
      <c r="M6" s="133"/>
      <c r="N6" s="133"/>
      <c r="O6" s="133"/>
      <c r="P6" s="133"/>
      <c r="Q6" s="134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0"/>
      <c r="H7" s="140"/>
      <c r="I7" s="50" t="s">
        <v>20</v>
      </c>
      <c r="J7" s="37">
        <f>SUM(J13,J19)</f>
        <v>150.03919999999999</v>
      </c>
      <c r="K7" s="38">
        <f>J7/J7</f>
        <v>1</v>
      </c>
      <c r="L7" s="115" t="s">
        <v>68</v>
      </c>
      <c r="M7" s="116"/>
      <c r="N7" s="116"/>
      <c r="O7" s="116"/>
      <c r="P7" s="116"/>
      <c r="Q7" s="11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8" t="s">
        <v>3</v>
      </c>
      <c r="C8" s="179"/>
      <c r="D8" s="179"/>
      <c r="E8" s="179"/>
      <c r="F8" s="180"/>
      <c r="G8" s="140"/>
      <c r="H8" s="140"/>
      <c r="I8" s="51" t="s">
        <v>6</v>
      </c>
      <c r="J8" s="37">
        <f>SUM(J14,J20)</f>
        <v>149.25996560000002</v>
      </c>
      <c r="K8" s="39">
        <f>J8/J7</f>
        <v>0.99480646124479488</v>
      </c>
      <c r="L8" s="115" t="s">
        <v>69</v>
      </c>
      <c r="M8" s="116"/>
      <c r="N8" s="116"/>
      <c r="O8" s="116"/>
      <c r="P8" s="116"/>
      <c r="Q8" s="11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1"/>
      <c r="C9" s="182"/>
      <c r="D9" s="182"/>
      <c r="E9" s="182"/>
      <c r="F9" s="183"/>
      <c r="G9" s="140"/>
      <c r="H9" s="140"/>
      <c r="I9" s="50" t="s">
        <v>8</v>
      </c>
      <c r="J9" s="40">
        <f t="shared" ref="J9:J10" si="0">SUM(J15,J21)</f>
        <v>0.72184240000000011</v>
      </c>
      <c r="K9" s="39">
        <f>J9/J7</f>
        <v>4.8110253853659588E-3</v>
      </c>
      <c r="L9" s="115" t="s">
        <v>69</v>
      </c>
      <c r="M9" s="116"/>
      <c r="N9" s="116"/>
      <c r="O9" s="116"/>
      <c r="P9" s="116"/>
      <c r="Q9" s="11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4"/>
      <c r="C10" s="185"/>
      <c r="D10" s="185"/>
      <c r="E10" s="185"/>
      <c r="F10" s="186"/>
      <c r="G10" s="140"/>
      <c r="H10" s="140"/>
      <c r="I10" s="51" t="s">
        <v>9</v>
      </c>
      <c r="J10" s="40">
        <f t="shared" si="0"/>
        <v>5.7391999999999999E-2</v>
      </c>
      <c r="K10" s="39">
        <f>J10/J7</f>
        <v>3.8251336983934867E-4</v>
      </c>
      <c r="L10" s="115" t="s">
        <v>69</v>
      </c>
      <c r="M10" s="116"/>
      <c r="N10" s="116"/>
      <c r="O10" s="116"/>
      <c r="P10" s="116"/>
      <c r="Q10" s="11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3" t="s">
        <v>36</v>
      </c>
      <c r="C11" s="144"/>
      <c r="D11" s="144"/>
      <c r="E11" s="144"/>
      <c r="F11" s="145"/>
      <c r="G11" s="140"/>
      <c r="H11" s="140"/>
      <c r="I11" s="131"/>
      <c r="J11" s="131"/>
      <c r="K11" s="131"/>
      <c r="L11" s="131"/>
      <c r="M11" s="131"/>
      <c r="N11" s="131"/>
      <c r="O11" s="131"/>
      <c r="P11" s="131"/>
      <c r="Q11" s="13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6"/>
      <c r="C12" s="147"/>
      <c r="D12" s="147"/>
      <c r="E12" s="147"/>
      <c r="F12" s="148"/>
      <c r="G12" s="140"/>
      <c r="H12" s="140"/>
      <c r="I12" s="49" t="s">
        <v>51</v>
      </c>
      <c r="J12" s="49" t="s">
        <v>50</v>
      </c>
      <c r="K12" s="49" t="s">
        <v>46</v>
      </c>
      <c r="L12" s="132" t="s">
        <v>39</v>
      </c>
      <c r="M12" s="133"/>
      <c r="N12" s="133"/>
      <c r="O12" s="133"/>
      <c r="P12" s="133"/>
      <c r="Q12" s="13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5" t="s">
        <v>4</v>
      </c>
      <c r="C13" s="136"/>
      <c r="D13" s="168" t="s">
        <v>39</v>
      </c>
      <c r="E13" s="168"/>
      <c r="F13" s="168"/>
      <c r="G13" s="140"/>
      <c r="H13" s="140"/>
      <c r="I13" s="50" t="s">
        <v>5</v>
      </c>
      <c r="J13" s="41">
        <f>SUM(J14:J16)</f>
        <v>150</v>
      </c>
      <c r="K13" s="38">
        <f>J13/J13</f>
        <v>1</v>
      </c>
      <c r="L13" s="115" t="s">
        <v>71</v>
      </c>
      <c r="M13" s="116"/>
      <c r="N13" s="116"/>
      <c r="O13" s="116"/>
      <c r="P13" s="116"/>
      <c r="Q13" s="11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69" t="s">
        <v>17</v>
      </c>
      <c r="E14" s="169"/>
      <c r="F14" s="169"/>
      <c r="G14" s="140"/>
      <c r="H14" s="140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37" t="s">
        <v>70</v>
      </c>
      <c r="M14" s="138"/>
      <c r="N14" s="138"/>
      <c r="O14" s="138"/>
      <c r="P14" s="138"/>
      <c r="Q14" s="13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70" t="s">
        <v>60</v>
      </c>
      <c r="E15" s="170"/>
      <c r="F15" s="170"/>
      <c r="G15" s="140"/>
      <c r="H15" s="14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15" t="s">
        <v>69</v>
      </c>
      <c r="M15" s="116"/>
      <c r="N15" s="116"/>
      <c r="O15" s="116"/>
      <c r="P15" s="116"/>
      <c r="Q15" s="11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71" t="s">
        <v>40</v>
      </c>
      <c r="E16" s="172"/>
      <c r="F16" s="173"/>
      <c r="G16" s="140"/>
      <c r="H16" s="14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15" t="s">
        <v>69</v>
      </c>
      <c r="M16" s="116"/>
      <c r="N16" s="116"/>
      <c r="O16" s="116"/>
      <c r="P16" s="116"/>
      <c r="Q16" s="1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4" t="s">
        <v>61</v>
      </c>
      <c r="E17" s="175"/>
      <c r="F17" s="176"/>
      <c r="G17" s="140"/>
      <c r="H17" s="140"/>
      <c r="I17" s="137"/>
      <c r="J17" s="138"/>
      <c r="K17" s="138"/>
      <c r="L17" s="138"/>
      <c r="M17" s="138"/>
      <c r="N17" s="138"/>
      <c r="O17" s="138"/>
      <c r="P17" s="138"/>
      <c r="Q17" s="13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71" t="s">
        <v>41</v>
      </c>
      <c r="E18" s="172"/>
      <c r="F18" s="173"/>
      <c r="G18" s="140"/>
      <c r="H18" s="140"/>
      <c r="I18" s="49" t="s">
        <v>29</v>
      </c>
      <c r="J18" s="49" t="s">
        <v>50</v>
      </c>
      <c r="K18" s="49" t="s">
        <v>46</v>
      </c>
      <c r="L18" s="132" t="s">
        <v>39</v>
      </c>
      <c r="M18" s="133"/>
      <c r="N18" s="133"/>
      <c r="O18" s="133"/>
      <c r="P18" s="133"/>
      <c r="Q18" s="13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0"/>
      <c r="C19" s="170"/>
      <c r="D19" s="170"/>
      <c r="E19" s="170"/>
      <c r="F19" s="170"/>
      <c r="G19" s="140"/>
      <c r="H19" s="140"/>
      <c r="I19" s="50" t="s">
        <v>5</v>
      </c>
      <c r="J19" s="41">
        <f>SUM(J20:J22)</f>
        <v>3.9199999999999999E-2</v>
      </c>
      <c r="K19" s="38">
        <f>J19/J19</f>
        <v>1</v>
      </c>
      <c r="L19" s="115" t="s">
        <v>55</v>
      </c>
      <c r="M19" s="116"/>
      <c r="N19" s="116"/>
      <c r="O19" s="116"/>
      <c r="P19" s="116"/>
      <c r="Q19" s="11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5" t="s">
        <v>7</v>
      </c>
      <c r="C20" s="136"/>
      <c r="D20" s="168" t="s">
        <v>39</v>
      </c>
      <c r="E20" s="168"/>
      <c r="F20" s="168"/>
      <c r="G20" s="140"/>
      <c r="H20" s="14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3.6965599999999994E-2</v>
      </c>
      <c r="K20" s="39">
        <f>J20/J19</f>
        <v>0.94299999999999984</v>
      </c>
      <c r="L20" s="115" t="s">
        <v>69</v>
      </c>
      <c r="M20" s="116"/>
      <c r="N20" s="116"/>
      <c r="O20" s="116"/>
      <c r="P20" s="116"/>
      <c r="Q20" s="11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4" t="s">
        <v>61</v>
      </c>
      <c r="E21" s="175"/>
      <c r="F21" s="176"/>
      <c r="G21" s="140"/>
      <c r="H21" s="14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1.8423999999999999E-3</v>
      </c>
      <c r="K21" s="39">
        <f>J21/J19</f>
        <v>4.7E-2</v>
      </c>
      <c r="L21" s="115" t="s">
        <v>69</v>
      </c>
      <c r="M21" s="116"/>
      <c r="N21" s="116"/>
      <c r="O21" s="116"/>
      <c r="P21" s="116"/>
      <c r="Q21" s="11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77" t="s">
        <v>67</v>
      </c>
      <c r="E22" s="177"/>
      <c r="F22" s="177"/>
      <c r="G22" s="140"/>
      <c r="H22" s="14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3.9199999999999999E-4</v>
      </c>
      <c r="K22" s="39">
        <f>J22/J19</f>
        <v>0.01</v>
      </c>
      <c r="L22" s="115" t="s">
        <v>69</v>
      </c>
      <c r="M22" s="116"/>
      <c r="N22" s="116"/>
      <c r="O22" s="116"/>
      <c r="P22" s="116"/>
      <c r="Q22" s="11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5"/>
      <c r="C23" s="166"/>
      <c r="D23" s="166"/>
      <c r="E23" s="166"/>
      <c r="F23" s="167"/>
      <c r="G23" s="140"/>
      <c r="H23" s="140"/>
      <c r="I23" s="126"/>
      <c r="J23" s="127"/>
      <c r="K23" s="127"/>
      <c r="L23" s="127"/>
      <c r="M23" s="127"/>
      <c r="N23" s="127"/>
      <c r="O23" s="127"/>
      <c r="P23" s="127"/>
      <c r="Q23" s="12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3" t="s">
        <v>37</v>
      </c>
      <c r="C24" s="144"/>
      <c r="D24" s="144"/>
      <c r="E24" s="144"/>
      <c r="F24" s="145"/>
      <c r="G24" s="140"/>
      <c r="H24" s="140"/>
      <c r="I24" s="120" t="s">
        <v>42</v>
      </c>
      <c r="J24" s="121"/>
      <c r="K24" s="121"/>
      <c r="L24" s="121"/>
      <c r="M24" s="121"/>
      <c r="N24" s="121"/>
      <c r="O24" s="121"/>
      <c r="P24" s="121"/>
      <c r="Q24" s="12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6"/>
      <c r="C25" s="147"/>
      <c r="D25" s="147"/>
      <c r="E25" s="147"/>
      <c r="F25" s="148"/>
      <c r="G25" s="140"/>
      <c r="H25" s="140"/>
      <c r="I25" s="123"/>
      <c r="J25" s="124"/>
      <c r="K25" s="124"/>
      <c r="L25" s="124"/>
      <c r="M25" s="124"/>
      <c r="N25" s="124"/>
      <c r="O25" s="124"/>
      <c r="P25" s="124"/>
      <c r="Q25" s="125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1" t="s">
        <v>11</v>
      </c>
      <c r="C26" s="141" t="s">
        <v>12</v>
      </c>
      <c r="D26" s="149" t="s">
        <v>47</v>
      </c>
      <c r="E26" s="149" t="s">
        <v>48</v>
      </c>
      <c r="F26" s="151" t="s">
        <v>66</v>
      </c>
      <c r="G26" s="140"/>
      <c r="H26" s="140"/>
      <c r="I26" s="129" t="s">
        <v>53</v>
      </c>
      <c r="J26" s="129" t="s">
        <v>54</v>
      </c>
      <c r="K26" s="118" t="s">
        <v>73</v>
      </c>
      <c r="L26" s="118" t="s">
        <v>52</v>
      </c>
      <c r="M26" s="118" t="s">
        <v>59</v>
      </c>
      <c r="N26" s="118" t="s">
        <v>62</v>
      </c>
      <c r="O26" s="118" t="s">
        <v>72</v>
      </c>
      <c r="P26" s="118" t="s">
        <v>64</v>
      </c>
      <c r="Q26" s="118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2"/>
      <c r="C27" s="142"/>
      <c r="D27" s="150"/>
      <c r="E27" s="150"/>
      <c r="F27" s="152"/>
      <c r="G27" s="140"/>
      <c r="H27" s="140"/>
      <c r="I27" s="130"/>
      <c r="J27" s="130"/>
      <c r="K27" s="119"/>
      <c r="L27" s="119"/>
      <c r="M27" s="119"/>
      <c r="N27" s="119"/>
      <c r="O27" s="119"/>
      <c r="P27" s="119"/>
      <c r="Q27" s="119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115</v>
      </c>
      <c r="C28" s="46" t="s">
        <v>116</v>
      </c>
      <c r="D28" s="47">
        <v>1.6437199999999998</v>
      </c>
      <c r="E28" s="47">
        <v>1.9024449999999995</v>
      </c>
      <c r="F28" s="98">
        <v>9.9999999999999995E-7</v>
      </c>
      <c r="G28" s="140"/>
      <c r="H28" s="14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0.58104875936134615</v>
      </c>
      <c r="K28" s="95">
        <f t="shared" ref="K28:K47" si="3">IF(D28=0,"",1/(1+10^D28*$J$15/$J$14+10^E28*$J$16/$J$14+10^J28*$J$19/$J$14))</f>
        <v>0.80389437120930685</v>
      </c>
      <c r="L28" s="95">
        <f t="shared" ref="L28:L47" si="4">IF(D28=0,"",1/(1+10^I28/10^J28*$J$13/$J$19))</f>
        <v>8.0481867892396935E-4</v>
      </c>
      <c r="M28" s="95">
        <f t="shared" ref="M28:M47" si="5">IF(D28=0,"",1-L28)</f>
        <v>0.99919518132107599</v>
      </c>
      <c r="N28" s="95">
        <f t="shared" ref="N28:N47" si="6">IF(D28=0,"",1/(1/10^E28*$J$20/$J$22+10^D28/10^E28*$J$21/$J$22+10^I28/10^E28*$J$13/$J$22+1))</f>
        <v>1.6869192259574012E-4</v>
      </c>
      <c r="O28" s="40">
        <f t="shared" ref="O28:O47" si="7">IF(D28=0,"",F28*K28*$J$7/$J$14)</f>
        <v>8.0829140508331427E-7</v>
      </c>
      <c r="P28" s="40">
        <f t="shared" ref="P28:P47" si="8">IF(D28=0,"",O28*10^J28)</f>
        <v>3.0804681308879893E-6</v>
      </c>
      <c r="Q28" s="40">
        <f t="shared" ref="Q28:Q47" si="9">IF(D28=0,"",F28*N28*$J$7/$J$22)</f>
        <v>6.4567349777364198E-5</v>
      </c>
      <c r="R28" s="9">
        <f>F28*$C$14</f>
        <v>1.4999999999999999E-4</v>
      </c>
      <c r="S28" s="9">
        <f>$R28*L28</f>
        <v>1.207228018385954E-7</v>
      </c>
      <c r="T28" s="9">
        <f t="shared" ref="T28:T49" si="10">R28*K28</f>
        <v>1.2058415568139602E-4</v>
      </c>
      <c r="U28" s="9">
        <f t="shared" ref="U28:U49" si="11">$R28*M28</f>
        <v>1.4987927719816138E-4</v>
      </c>
      <c r="V28" s="102">
        <f>K28/M28</f>
        <v>0.80454188154354978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117</v>
      </c>
      <c r="C29" s="46" t="s">
        <v>118</v>
      </c>
      <c r="D29" s="47">
        <v>4.7386560000000006</v>
      </c>
      <c r="E29" s="47">
        <v>5.8355820000000005</v>
      </c>
      <c r="F29" s="98">
        <v>9.9999999999999995E-7</v>
      </c>
      <c r="G29" s="140"/>
      <c r="H29" s="140"/>
      <c r="I29" s="94">
        <f t="shared" si="1"/>
        <v>2.7194923137791687</v>
      </c>
      <c r="J29" s="94">
        <f t="shared" si="2"/>
        <v>3.9742395242673396</v>
      </c>
      <c r="K29" s="95">
        <f t="shared" si="3"/>
        <v>1.8889328555066773E-3</v>
      </c>
      <c r="L29" s="95">
        <f t="shared" si="4"/>
        <v>4.6763428581941295E-3</v>
      </c>
      <c r="M29" s="95">
        <f t="shared" si="5"/>
        <v>0.99532365714180582</v>
      </c>
      <c r="N29" s="95">
        <f t="shared" si="6"/>
        <v>3.3981991022295319E-3</v>
      </c>
      <c r="O29" s="40">
        <f t="shared" si="7"/>
        <v>1.8992646877085798E-9</v>
      </c>
      <c r="P29" s="40">
        <f t="shared" si="8"/>
        <v>1.7898845443090841E-5</v>
      </c>
      <c r="Q29" s="40">
        <f t="shared" si="9"/>
        <v>1.3006711090286661E-3</v>
      </c>
      <c r="R29" s="9">
        <f>F29*$C$14</f>
        <v>1.4999999999999999E-4</v>
      </c>
      <c r="S29" s="9">
        <f t="shared" ref="S29:S49" si="12">$R29*L29</f>
        <v>7.0145142872911936E-7</v>
      </c>
      <c r="T29" s="9">
        <f t="shared" si="10"/>
        <v>2.8333992832600159E-7</v>
      </c>
      <c r="U29" s="9">
        <f t="shared" si="11"/>
        <v>1.4929854857127087E-4</v>
      </c>
      <c r="V29" s="102">
        <f t="shared" ref="V29:V49" si="13">K29/M29</f>
        <v>1.8978076547793309E-3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119</v>
      </c>
      <c r="C30" s="46" t="s">
        <v>120</v>
      </c>
      <c r="D30" s="91">
        <v>7.1429999999999998</v>
      </c>
      <c r="E30" s="91">
        <v>9.299925</v>
      </c>
      <c r="F30" s="98">
        <v>9.9999999999999995E-7</v>
      </c>
      <c r="G30" s="140"/>
      <c r="H30" s="140"/>
      <c r="I30" s="94">
        <f t="shared" si="1"/>
        <v>5.9163420575972845</v>
      </c>
      <c r="J30" s="94">
        <f t="shared" si="2"/>
        <v>7.3139190043882349</v>
      </c>
      <c r="K30" s="95">
        <f t="shared" si="3"/>
        <v>1.1983305847106098E-6</v>
      </c>
      <c r="L30" s="95">
        <f t="shared" si="4"/>
        <v>6.4855371057041984E-3</v>
      </c>
      <c r="M30" s="95">
        <f t="shared" si="5"/>
        <v>0.99351446289429579</v>
      </c>
      <c r="N30" s="95">
        <f t="shared" si="6"/>
        <v>6.2798886612299449E-3</v>
      </c>
      <c r="O30" s="40">
        <f t="shared" si="7"/>
        <v>1.2048850530113461E-12</v>
      </c>
      <c r="P30" s="40">
        <f t="shared" si="8"/>
        <v>2.4823591808933066E-5</v>
      </c>
      <c r="Q30" s="40">
        <f t="shared" si="9"/>
        <v>2.4036466092347245E-3</v>
      </c>
      <c r="R30" s="9">
        <f t="shared" ref="R30:R49" si="14">F30*$C$14</f>
        <v>1.4999999999999999E-4</v>
      </c>
      <c r="S30" s="9">
        <f t="shared" si="12"/>
        <v>9.7283056585562974E-7</v>
      </c>
      <c r="T30" s="9">
        <f t="shared" si="10"/>
        <v>1.7974958770659146E-10</v>
      </c>
      <c r="U30" s="9">
        <f t="shared" si="11"/>
        <v>1.4902716943414435E-4</v>
      </c>
      <c r="V30" s="102">
        <f t="shared" si="13"/>
        <v>1.2061531356268795E-6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113</v>
      </c>
      <c r="C31" s="46" t="s">
        <v>114</v>
      </c>
      <c r="D31" s="47">
        <v>3.3511520000000004</v>
      </c>
      <c r="E31" s="47">
        <v>4.2962190000000007</v>
      </c>
      <c r="F31" s="98">
        <v>9.9999999999999995E-7</v>
      </c>
      <c r="G31" s="140"/>
      <c r="H31" s="140"/>
      <c r="I31" s="94">
        <f t="shared" si="1"/>
        <v>1.2852308448323728</v>
      </c>
      <c r="J31" s="94">
        <f t="shared" si="2"/>
        <v>2.4832149549104936</v>
      </c>
      <c r="K31" s="95">
        <f t="shared" si="3"/>
        <v>5.137204914298734E-2</v>
      </c>
      <c r="L31" s="95">
        <f t="shared" si="4"/>
        <v>4.1057466235612577E-3</v>
      </c>
      <c r="M31" s="95">
        <f t="shared" si="5"/>
        <v>0.99589425337643878</v>
      </c>
      <c r="N31" s="95">
        <f t="shared" si="6"/>
        <v>2.6692926431135227E-3</v>
      </c>
      <c r="O31" s="40">
        <f t="shared" si="7"/>
        <v>5.1653037104028902E-8</v>
      </c>
      <c r="P31" s="40">
        <f t="shared" si="8"/>
        <v>1.5714870887801851E-5</v>
      </c>
      <c r="Q31" s="40">
        <f t="shared" si="9"/>
        <v>1.0216799304557103E-3</v>
      </c>
      <c r="R31" s="9">
        <f t="shared" si="14"/>
        <v>1.4999999999999999E-4</v>
      </c>
      <c r="S31" s="9">
        <f t="shared" si="12"/>
        <v>6.1586199353418862E-7</v>
      </c>
      <c r="T31" s="9">
        <f t="shared" si="10"/>
        <v>7.7058073714481005E-6</v>
      </c>
      <c r="U31" s="9">
        <f t="shared" si="11"/>
        <v>1.4938413800646581E-4</v>
      </c>
      <c r="V31" s="102">
        <f t="shared" si="13"/>
        <v>5.1583839317093823E-2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121</v>
      </c>
      <c r="C32" s="46" t="s">
        <v>122</v>
      </c>
      <c r="D32" s="47">
        <v>5.9183200000000005</v>
      </c>
      <c r="E32" s="47">
        <v>7.0401399999999992</v>
      </c>
      <c r="F32" s="98">
        <v>9.9999999999999995E-7</v>
      </c>
      <c r="G32" s="140"/>
      <c r="H32" s="140"/>
      <c r="I32" s="94">
        <f t="shared" si="1"/>
        <v>3.9109447814528924</v>
      </c>
      <c r="J32" s="94">
        <f t="shared" si="2"/>
        <v>5.1720950211816961</v>
      </c>
      <c r="K32" s="95">
        <f t="shared" si="3"/>
        <v>1.2154410204333664E-4</v>
      </c>
      <c r="L32" s="95">
        <f t="shared" si="4"/>
        <v>4.7454697659485229E-3</v>
      </c>
      <c r="M32" s="95">
        <f t="shared" si="5"/>
        <v>0.99525453023405153</v>
      </c>
      <c r="N32" s="95">
        <f t="shared" si="6"/>
        <v>3.5020648957658691E-3</v>
      </c>
      <c r="O32" s="40">
        <f t="shared" si="7"/>
        <v>1.2220890771061159E-10</v>
      </c>
      <c r="P32" s="40">
        <f t="shared" si="8"/>
        <v>1.8163430798650603E-5</v>
      </c>
      <c r="Q32" s="40">
        <f t="shared" si="9"/>
        <v>1.3404260594612103E-3</v>
      </c>
      <c r="R32" s="9">
        <f t="shared" si="14"/>
        <v>1.4999999999999999E-4</v>
      </c>
      <c r="S32" s="9">
        <f t="shared" si="12"/>
        <v>7.118204648922784E-7</v>
      </c>
      <c r="T32" s="9">
        <f t="shared" si="10"/>
        <v>1.8231615306500494E-8</v>
      </c>
      <c r="U32" s="9">
        <f t="shared" si="11"/>
        <v>1.4928817953510773E-4</v>
      </c>
      <c r="V32" s="102">
        <f t="shared" si="13"/>
        <v>1.2212363606599552E-4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123</v>
      </c>
      <c r="C33" s="96" t="s">
        <v>124</v>
      </c>
      <c r="D33" s="97">
        <v>5.5295200000000007</v>
      </c>
      <c r="E33" s="97">
        <v>6.5305900000000001</v>
      </c>
      <c r="F33" s="98">
        <v>9.9999999999999995E-7</v>
      </c>
      <c r="G33" s="140"/>
      <c r="H33" s="140"/>
      <c r="I33" s="94">
        <f t="shared" si="1"/>
        <v>3.4646398062685488</v>
      </c>
      <c r="J33" s="94">
        <f t="shared" si="2"/>
        <v>4.6975737297600579</v>
      </c>
      <c r="K33" s="95">
        <f t="shared" si="3"/>
        <v>3.3975708866907788E-4</v>
      </c>
      <c r="L33" s="95">
        <f t="shared" si="4"/>
        <v>4.4482845079230832E-3</v>
      </c>
      <c r="M33" s="95">
        <f t="shared" si="5"/>
        <v>0.99555171549207688</v>
      </c>
      <c r="N33" s="95">
        <f t="shared" si="6"/>
        <v>3.0283692432711089E-3</v>
      </c>
      <c r="O33" s="40">
        <f t="shared" si="7"/>
        <v>3.4161544653463276E-10</v>
      </c>
      <c r="P33" s="40">
        <f t="shared" si="8"/>
        <v>1.702594512605034E-5</v>
      </c>
      <c r="Q33" s="40">
        <f t="shared" si="9"/>
        <v>1.1591175983801086E-3</v>
      </c>
      <c r="R33" s="9">
        <f t="shared" si="14"/>
        <v>1.4999999999999999E-4</v>
      </c>
      <c r="S33" s="9">
        <f t="shared" si="12"/>
        <v>6.6724267618846245E-7</v>
      </c>
      <c r="T33" s="9">
        <f t="shared" si="10"/>
        <v>5.0963563300361677E-8</v>
      </c>
      <c r="U33" s="9">
        <f t="shared" si="11"/>
        <v>1.4933275732381153E-4</v>
      </c>
      <c r="V33" s="102">
        <f t="shared" si="13"/>
        <v>3.4127517775522513E-4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125</v>
      </c>
      <c r="C34" s="46" t="s">
        <v>126</v>
      </c>
      <c r="D34" s="91">
        <v>5.4845040000000003</v>
      </c>
      <c r="E34" s="91">
        <v>6.5678879999999999</v>
      </c>
      <c r="F34" s="98">
        <v>9.9999999999999995E-7</v>
      </c>
      <c r="G34" s="140"/>
      <c r="H34" s="140"/>
      <c r="I34" s="94">
        <f t="shared" si="1"/>
        <v>3.4579829545014036</v>
      </c>
      <c r="J34" s="94">
        <f t="shared" si="2"/>
        <v>4.7102525015633843</v>
      </c>
      <c r="K34" s="95">
        <f t="shared" si="3"/>
        <v>3.4493513480995464E-4</v>
      </c>
      <c r="L34" s="95">
        <f t="shared" si="4"/>
        <v>4.6498638337021869E-3</v>
      </c>
      <c r="M34" s="95">
        <f t="shared" si="5"/>
        <v>0.99535013616629786</v>
      </c>
      <c r="N34" s="95">
        <f t="shared" si="6"/>
        <v>3.3502385659718329E-3</v>
      </c>
      <c r="O34" s="40">
        <f t="shared" si="7"/>
        <v>3.4682181485949041E-10</v>
      </c>
      <c r="P34" s="40">
        <f t="shared" si="8"/>
        <v>1.7797496166265553E-5</v>
      </c>
      <c r="Q34" s="40">
        <f t="shared" si="9"/>
        <v>1.282314066958064E-3</v>
      </c>
      <c r="R34" s="9">
        <f t="shared" si="14"/>
        <v>1.4999999999999999E-4</v>
      </c>
      <c r="S34" s="9">
        <f t="shared" si="12"/>
        <v>6.97479575055328E-7</v>
      </c>
      <c r="T34" s="9">
        <f t="shared" si="10"/>
        <v>5.1740270221493192E-8</v>
      </c>
      <c r="U34" s="9">
        <f t="shared" si="11"/>
        <v>1.4930252042494468E-4</v>
      </c>
      <c r="V34" s="102">
        <f t="shared" si="13"/>
        <v>3.4654652898176197E-4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127</v>
      </c>
      <c r="C35" s="46" t="s">
        <v>128</v>
      </c>
      <c r="D35" s="91">
        <v>2.7195840000000011</v>
      </c>
      <c r="E35" s="91">
        <v>3.2500779999999994</v>
      </c>
      <c r="F35" s="98">
        <v>9.9999999999999995E-7</v>
      </c>
      <c r="G35" s="140"/>
      <c r="H35" s="140"/>
      <c r="I35" s="94">
        <f t="shared" si="1"/>
        <v>0.62193942428688143</v>
      </c>
      <c r="J35" s="94">
        <f t="shared" si="2"/>
        <v>1.6372026725125763</v>
      </c>
      <c r="K35" s="95">
        <f t="shared" si="3"/>
        <v>0.23693603595205776</v>
      </c>
      <c r="L35" s="95">
        <f t="shared" si="4"/>
        <v>2.6995047184632365E-3</v>
      </c>
      <c r="M35" s="95">
        <f t="shared" si="5"/>
        <v>0.99730049528153675</v>
      </c>
      <c r="N35" s="95">
        <f t="shared" si="6"/>
        <v>1.107030071834494E-3</v>
      </c>
      <c r="O35" s="40">
        <f t="shared" si="7"/>
        <v>2.3823199698047872E-7</v>
      </c>
      <c r="P35" s="40">
        <f t="shared" si="8"/>
        <v>1.0332436947817582E-5</v>
      </c>
      <c r="Q35" s="40">
        <f t="shared" si="9"/>
        <v>4.2371914886221945E-4</v>
      </c>
      <c r="R35" s="9">
        <f t="shared" si="14"/>
        <v>1.4999999999999999E-4</v>
      </c>
      <c r="S35" s="9">
        <f t="shared" si="12"/>
        <v>4.0492570776948544E-7</v>
      </c>
      <c r="T35" s="9">
        <f t="shared" si="10"/>
        <v>3.5540405392808659E-5</v>
      </c>
      <c r="U35" s="9">
        <f t="shared" si="11"/>
        <v>1.495950742922305E-4</v>
      </c>
      <c r="V35" s="102">
        <f t="shared" si="13"/>
        <v>0.23757737720281688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40"/>
      <c r="H36" s="140"/>
      <c r="I36" s="94">
        <f t="shared" si="1"/>
        <v>6.3597288158186656</v>
      </c>
      <c r="J36" s="94">
        <f t="shared" si="2"/>
        <v>7.7589368452238956</v>
      </c>
      <c r="K36" s="95">
        <f t="shared" si="3"/>
        <v>4.3169725527437279E-7</v>
      </c>
      <c r="L36" s="95">
        <f t="shared" si="4"/>
        <v>6.5097818153677257E-3</v>
      </c>
      <c r="M36" s="95">
        <f t="shared" si="5"/>
        <v>0.99349021818463223</v>
      </c>
      <c r="N36" s="95">
        <f t="shared" si="6"/>
        <v>6.3185959908060455E-3</v>
      </c>
      <c r="O36" s="40">
        <f t="shared" si="7"/>
        <v>4.3405849516202372E-13</v>
      </c>
      <c r="P36" s="40">
        <f t="shared" si="8"/>
        <v>2.4916389177355174E-5</v>
      </c>
      <c r="Q36" s="40">
        <f t="shared" si="9"/>
        <v>2.4184619581218022E-3</v>
      </c>
      <c r="R36" s="9">
        <f t="shared" si="14"/>
        <v>1.4999999999999999E-4</v>
      </c>
      <c r="S36" s="9">
        <f t="shared" si="12"/>
        <v>9.7646727230515882E-7</v>
      </c>
      <c r="T36" s="9">
        <f t="shared" si="10"/>
        <v>6.4754588291155913E-11</v>
      </c>
      <c r="U36" s="9">
        <f t="shared" si="11"/>
        <v>1.4902353272769483E-4</v>
      </c>
      <c r="V36" s="102">
        <f t="shared" si="13"/>
        <v>4.3452592423425882E-7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129</v>
      </c>
      <c r="C37" s="96" t="s">
        <v>130</v>
      </c>
      <c r="D37" s="97">
        <v>4.10616</v>
      </c>
      <c r="E37" s="97">
        <v>5.1108449999999994</v>
      </c>
      <c r="F37" s="98">
        <v>9.9999999999999995E-7</v>
      </c>
      <c r="G37" s="140"/>
      <c r="H37" s="140"/>
      <c r="I37" s="94">
        <f t="shared" si="1"/>
        <v>2.0466328175843658</v>
      </c>
      <c r="J37" s="94">
        <f t="shared" si="2"/>
        <v>3.2768864285866712</v>
      </c>
      <c r="K37" s="95">
        <f t="shared" si="3"/>
        <v>8.8958489798853443E-3</v>
      </c>
      <c r="L37" s="95">
        <f t="shared" si="4"/>
        <v>4.4210368034998697E-3</v>
      </c>
      <c r="M37" s="95">
        <f t="shared" si="5"/>
        <v>0.99557896319650008</v>
      </c>
      <c r="N37" s="95">
        <f t="shared" si="6"/>
        <v>3.016356726674818E-3</v>
      </c>
      <c r="O37" s="40">
        <f t="shared" si="7"/>
        <v>8.9445063044089238E-9</v>
      </c>
      <c r="P37" s="40">
        <f t="shared" si="8"/>
        <v>1.6921653703257106E-5</v>
      </c>
      <c r="Q37" s="40">
        <f t="shared" si="9"/>
        <v>1.1545197708798681E-3</v>
      </c>
      <c r="R37" s="9">
        <f t="shared" si="14"/>
        <v>1.4999999999999999E-4</v>
      </c>
      <c r="S37" s="9">
        <f t="shared" si="12"/>
        <v>6.631555205249804E-7</v>
      </c>
      <c r="T37" s="9">
        <f t="shared" si="10"/>
        <v>1.3343773469828016E-6</v>
      </c>
      <c r="U37" s="9">
        <f t="shared" si="11"/>
        <v>1.49336844479475E-4</v>
      </c>
      <c r="V37" s="102">
        <f t="shared" si="13"/>
        <v>8.9353525021495933E-3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131</v>
      </c>
      <c r="C38" s="46" t="s">
        <v>132</v>
      </c>
      <c r="D38" s="91">
        <v>2.8295519999999996</v>
      </c>
      <c r="E38" s="91">
        <v>3.5791989999999991</v>
      </c>
      <c r="F38" s="98">
        <v>9.9999999999999995E-7</v>
      </c>
      <c r="G38" s="140"/>
      <c r="H38" s="140"/>
      <c r="I38" s="94">
        <f t="shared" si="1"/>
        <v>0.75425121724867172</v>
      </c>
      <c r="J38" s="94">
        <f t="shared" si="2"/>
        <v>1.849020080439971</v>
      </c>
      <c r="K38" s="95">
        <f t="shared" si="3"/>
        <v>0.17461593025106648</v>
      </c>
      <c r="L38" s="95">
        <f t="shared" si="4"/>
        <v>3.2400688775843915E-3</v>
      </c>
      <c r="M38" s="95">
        <f t="shared" si="5"/>
        <v>0.99675993112241557</v>
      </c>
      <c r="N38" s="95">
        <f t="shared" si="6"/>
        <v>1.7407370064896474E-3</v>
      </c>
      <c r="O38" s="40">
        <f t="shared" si="7"/>
        <v>1.755710211034881E-7</v>
      </c>
      <c r="P38" s="40">
        <f t="shared" si="8"/>
        <v>1.2401462814736222E-5</v>
      </c>
      <c r="Q38" s="40">
        <f t="shared" si="9"/>
        <v>6.66272418020667E-4</v>
      </c>
      <c r="R38" s="9">
        <f t="shared" si="14"/>
        <v>1.4999999999999999E-4</v>
      </c>
      <c r="S38" s="9">
        <f t="shared" si="12"/>
        <v>4.8601033163765866E-7</v>
      </c>
      <c r="T38" s="9">
        <f t="shared" si="10"/>
        <v>2.6192389537659971E-5</v>
      </c>
      <c r="U38" s="9">
        <f t="shared" si="11"/>
        <v>1.4951398966836233E-4</v>
      </c>
      <c r="V38" s="102">
        <f t="shared" si="13"/>
        <v>0.1751835369770911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40"/>
      <c r="H39" s="140"/>
      <c r="I39" s="94">
        <f t="shared" si="1"/>
        <v>-1.6810051832329899E-4</v>
      </c>
      <c r="J39" s="94">
        <f t="shared" si="2"/>
        <v>-4.2614210599769727E-3</v>
      </c>
      <c r="K39" s="95">
        <f t="shared" si="3"/>
        <v>0.99494756148202379</v>
      </c>
      <c r="L39" s="95">
        <f t="shared" si="4"/>
        <v>2.5881477839851145E-4</v>
      </c>
      <c r="M39" s="95">
        <f t="shared" si="5"/>
        <v>0.99974118522160149</v>
      </c>
      <c r="N39" s="95">
        <f t="shared" si="6"/>
        <v>1.26601103774809E-7</v>
      </c>
      <c r="O39" s="40">
        <f t="shared" si="7"/>
        <v>1.0003895925340843E-6</v>
      </c>
      <c r="P39" s="40">
        <f t="shared" si="8"/>
        <v>9.9062148722168208E-7</v>
      </c>
      <c r="Q39" s="40">
        <f t="shared" si="9"/>
        <v>4.8456960024207456E-8</v>
      </c>
      <c r="R39" s="9">
        <f t="shared" si="14"/>
        <v>1.4999999999999999E-4</v>
      </c>
      <c r="S39" s="9">
        <f t="shared" si="12"/>
        <v>3.8822216759776713E-8</v>
      </c>
      <c r="T39" s="9">
        <f t="shared" si="10"/>
        <v>1.4924213422230355E-4</v>
      </c>
      <c r="U39" s="9">
        <f t="shared" si="11"/>
        <v>1.4996117778324022E-4</v>
      </c>
      <c r="V39" s="102">
        <f t="shared" si="13"/>
        <v>0.99520513527857202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133</v>
      </c>
      <c r="C40" s="46" t="s">
        <v>134</v>
      </c>
      <c r="D40" s="47">
        <v>3.2352399999999997</v>
      </c>
      <c r="E40" s="47">
        <v>3.7544849999999994</v>
      </c>
      <c r="F40" s="98">
        <v>9.9999999999999995E-7</v>
      </c>
      <c r="G40" s="140"/>
      <c r="H40" s="140"/>
      <c r="I40" s="94">
        <f t="shared" si="1"/>
        <v>1.0570731161685156</v>
      </c>
      <c r="J40" s="94">
        <f t="shared" si="2"/>
        <v>2.1415977618226001</v>
      </c>
      <c r="K40" s="95">
        <f t="shared" si="3"/>
        <v>8.6955041729188193E-2</v>
      </c>
      <c r="L40" s="95">
        <f t="shared" si="4"/>
        <v>3.1647749313988638E-3</v>
      </c>
      <c r="M40" s="95">
        <f t="shared" si="5"/>
        <v>0.99683522506860112</v>
      </c>
      <c r="N40" s="95">
        <f t="shared" si="6"/>
        <v>1.2978666352528299E-3</v>
      </c>
      <c r="O40" s="40">
        <f t="shared" si="7"/>
        <v>8.7430656782225338E-8</v>
      </c>
      <c r="P40" s="40">
        <f t="shared" si="8"/>
        <v>1.2113272930794404E-5</v>
      </c>
      <c r="Q40" s="40">
        <f t="shared" si="9"/>
        <v>4.9676242770414888E-4</v>
      </c>
      <c r="R40" s="9">
        <f t="shared" si="14"/>
        <v>1.4999999999999999E-4</v>
      </c>
      <c r="S40" s="9">
        <f t="shared" si="12"/>
        <v>4.7471623970982951E-7</v>
      </c>
      <c r="T40" s="9">
        <f t="shared" si="10"/>
        <v>1.3043256259378228E-5</v>
      </c>
      <c r="U40" s="9">
        <f t="shared" si="11"/>
        <v>1.4952528376029016E-4</v>
      </c>
      <c r="V40" s="102">
        <f t="shared" si="13"/>
        <v>8.7231108554780501E-2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135</v>
      </c>
      <c r="C41" s="96" t="s">
        <v>136</v>
      </c>
      <c r="D41" s="97">
        <v>3.3303280000000011</v>
      </c>
      <c r="E41" s="97">
        <v>3.8215209999999997</v>
      </c>
      <c r="F41" s="98">
        <v>9.9999999999999995E-7</v>
      </c>
      <c r="G41" s="140"/>
      <c r="H41" s="140"/>
      <c r="I41" s="94">
        <f t="shared" si="1"/>
        <v>1.1393826628828596</v>
      </c>
      <c r="J41" s="94">
        <f t="shared" si="2"/>
        <v>2.2248030285357943</v>
      </c>
      <c r="K41" s="95">
        <f t="shared" si="3"/>
        <v>7.1941979516630478E-2</v>
      </c>
      <c r="L41" s="95">
        <f t="shared" si="4"/>
        <v>3.1712882041462442E-3</v>
      </c>
      <c r="M41" s="95">
        <f t="shared" si="5"/>
        <v>0.99682871179585375</v>
      </c>
      <c r="N41" s="95">
        <f t="shared" si="6"/>
        <v>1.2530075378159164E-3</v>
      </c>
      <c r="O41" s="40">
        <f t="shared" si="7"/>
        <v>7.2335478130660966E-8</v>
      </c>
      <c r="P41" s="40">
        <f t="shared" si="8"/>
        <v>1.2138202681620901E-5</v>
      </c>
      <c r="Q41" s="40">
        <f t="shared" si="9"/>
        <v>4.7959247083640257E-4</v>
      </c>
      <c r="R41" s="9">
        <f t="shared" si="14"/>
        <v>1.4999999999999999E-4</v>
      </c>
      <c r="S41" s="9">
        <f t="shared" si="12"/>
        <v>4.756932306219366E-7</v>
      </c>
      <c r="T41" s="9">
        <f t="shared" si="10"/>
        <v>1.0791296927494571E-5</v>
      </c>
      <c r="U41" s="9">
        <f t="shared" si="11"/>
        <v>1.4952430676937805E-4</v>
      </c>
      <c r="V41" s="102">
        <f t="shared" si="13"/>
        <v>7.2170854094904813E-2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137</v>
      </c>
      <c r="C42" s="46" t="s">
        <v>138</v>
      </c>
      <c r="D42" s="91">
        <v>4.4202640000000004</v>
      </c>
      <c r="E42" s="91">
        <v>5.6388380000000007</v>
      </c>
      <c r="F42" s="98">
        <v>9.9999999999999995E-7</v>
      </c>
      <c r="G42" s="140"/>
      <c r="H42" s="140"/>
      <c r="I42" s="94">
        <f t="shared" si="1"/>
        <v>2.466507651261447</v>
      </c>
      <c r="J42" s="94">
        <f t="shared" si="2"/>
        <v>3.7475217398878207</v>
      </c>
      <c r="K42" s="95">
        <f t="shared" si="3"/>
        <v>3.3812289449571698E-3</v>
      </c>
      <c r="L42" s="95">
        <f t="shared" si="4"/>
        <v>4.966456296414944E-3</v>
      </c>
      <c r="M42" s="95">
        <f t="shared" si="5"/>
        <v>0.9950335437035851</v>
      </c>
      <c r="N42" s="95">
        <f t="shared" si="6"/>
        <v>3.8668994400422457E-3</v>
      </c>
      <c r="O42" s="40">
        <f t="shared" si="7"/>
        <v>3.399723138646306E-9</v>
      </c>
      <c r="P42" s="40">
        <f t="shared" si="8"/>
        <v>1.9009263508904625E-5</v>
      </c>
      <c r="Q42" s="40">
        <f t="shared" si="9"/>
        <v>1.480067598123435E-3</v>
      </c>
      <c r="R42" s="9">
        <f t="shared" si="14"/>
        <v>1.4999999999999999E-4</v>
      </c>
      <c r="S42" s="9">
        <f t="shared" si="12"/>
        <v>7.449684444622415E-7</v>
      </c>
      <c r="T42" s="9">
        <f t="shared" si="10"/>
        <v>5.0718434174357543E-7</v>
      </c>
      <c r="U42" s="9">
        <f t="shared" si="11"/>
        <v>1.4925503155553774E-4</v>
      </c>
      <c r="V42" s="102">
        <f t="shared" si="13"/>
        <v>3.3981054873507047E-3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139</v>
      </c>
      <c r="C43" s="46" t="s">
        <v>140</v>
      </c>
      <c r="D43" s="91">
        <v>4.2752879999999998</v>
      </c>
      <c r="E43" s="91">
        <v>5.3084609999999994</v>
      </c>
      <c r="F43" s="98">
        <v>9.9999999999999995E-7</v>
      </c>
      <c r="G43" s="140"/>
      <c r="H43" s="140"/>
      <c r="I43" s="94">
        <f t="shared" si="1"/>
        <v>2.2273249528367836</v>
      </c>
      <c r="J43" s="94">
        <f t="shared" si="2"/>
        <v>3.4655852041320223</v>
      </c>
      <c r="K43" s="95">
        <f t="shared" si="3"/>
        <v>5.8675870550064391E-3</v>
      </c>
      <c r="L43" s="95">
        <f t="shared" si="4"/>
        <v>4.5029284483131642E-3</v>
      </c>
      <c r="M43" s="95">
        <f t="shared" si="5"/>
        <v>0.99549707155168687</v>
      </c>
      <c r="N43" s="95">
        <f t="shared" si="6"/>
        <v>3.1359623642757831E-3</v>
      </c>
      <c r="O43" s="40">
        <f t="shared" si="7"/>
        <v>5.8996807976218267E-9</v>
      </c>
      <c r="P43" s="40">
        <f t="shared" si="8"/>
        <v>1.7235096480667073E-5</v>
      </c>
      <c r="Q43" s="40">
        <f t="shared" si="9"/>
        <v>1.2002991948113443E-3</v>
      </c>
      <c r="R43" s="9">
        <f t="shared" si="14"/>
        <v>1.4999999999999999E-4</v>
      </c>
      <c r="S43" s="9">
        <f t="shared" si="12"/>
        <v>6.7543926724697454E-7</v>
      </c>
      <c r="T43" s="9">
        <f t="shared" si="10"/>
        <v>8.8013805825096584E-7</v>
      </c>
      <c r="U43" s="9">
        <f t="shared" si="11"/>
        <v>1.4932456073275303E-4</v>
      </c>
      <c r="V43" s="102">
        <f t="shared" si="13"/>
        <v>5.8941278911655648E-3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40"/>
      <c r="H44" s="140"/>
      <c r="I44" s="94">
        <f t="shared" si="1"/>
        <v>0.70532975413914467</v>
      </c>
      <c r="J44" s="94">
        <f t="shared" si="2"/>
        <v>1.7919988422958726</v>
      </c>
      <c r="K44" s="95">
        <f t="shared" si="3"/>
        <v>0.19544804309756961</v>
      </c>
      <c r="L44" s="95">
        <f t="shared" si="4"/>
        <v>3.1803906566800887E-3</v>
      </c>
      <c r="M44" s="95">
        <f t="shared" si="5"/>
        <v>0.99681960934331992</v>
      </c>
      <c r="N44" s="95">
        <f t="shared" si="6"/>
        <v>1.7221287877389347E-3</v>
      </c>
      <c r="O44" s="40">
        <f t="shared" si="7"/>
        <v>1.9651707865359135E-7</v>
      </c>
      <c r="P44" s="40">
        <f t="shared" si="8"/>
        <v>1.2173042597340691E-5</v>
      </c>
      <c r="Q44" s="40">
        <f t="shared" si="9"/>
        <v>6.5915006532989682E-4</v>
      </c>
      <c r="R44" s="9">
        <f t="shared" si="14"/>
        <v>1.4999999999999999E-4</v>
      </c>
      <c r="S44" s="9">
        <f t="shared" si="12"/>
        <v>4.7705859850201325E-7</v>
      </c>
      <c r="T44" s="9">
        <f t="shared" si="10"/>
        <v>2.9317206464635438E-5</v>
      </c>
      <c r="U44" s="9">
        <f t="shared" si="11"/>
        <v>1.4952294140149798E-4</v>
      </c>
      <c r="V44" s="102">
        <f t="shared" si="13"/>
        <v>0.19607162746961401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141</v>
      </c>
      <c r="C45" s="46" t="s">
        <v>142</v>
      </c>
      <c r="D45" s="91">
        <v>4.4687359999999998</v>
      </c>
      <c r="E45" s="91">
        <v>5.2666120000000003</v>
      </c>
      <c r="F45" s="98">
        <v>9.9999999999999995E-7</v>
      </c>
      <c r="G45" s="140"/>
      <c r="H45" s="140"/>
      <c r="I45" s="94">
        <f t="shared" si="1"/>
        <v>2.3272580136650043</v>
      </c>
      <c r="J45" s="94">
        <f t="shared" si="2"/>
        <v>3.5094172504294607</v>
      </c>
      <c r="K45" s="95">
        <f t="shared" si="3"/>
        <v>4.6640535554618705E-3</v>
      </c>
      <c r="L45" s="95">
        <f t="shared" si="4"/>
        <v>3.9594155028367124E-3</v>
      </c>
      <c r="M45" s="95">
        <f t="shared" si="5"/>
        <v>0.99604058449716326</v>
      </c>
      <c r="N45" s="95">
        <f t="shared" si="6"/>
        <v>2.2637362675084227E-3</v>
      </c>
      <c r="O45" s="40">
        <f t="shared" si="7"/>
        <v>4.689564371569092E-9</v>
      </c>
      <c r="P45" s="40">
        <f t="shared" si="8"/>
        <v>1.5154784043704539E-5</v>
      </c>
      <c r="Q45" s="40">
        <f t="shared" si="9"/>
        <v>8.6645198619374924E-4</v>
      </c>
      <c r="R45" s="9">
        <f t="shared" si="14"/>
        <v>1.4999999999999999E-4</v>
      </c>
      <c r="S45" s="9">
        <f t="shared" si="12"/>
        <v>5.9391232542550676E-7</v>
      </c>
      <c r="T45" s="9">
        <f t="shared" si="10"/>
        <v>6.9960803331928056E-7</v>
      </c>
      <c r="U45" s="9">
        <f t="shared" si="11"/>
        <v>1.4940608767457448E-4</v>
      </c>
      <c r="V45" s="102">
        <f t="shared" si="13"/>
        <v>4.6825938903046309E-3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40"/>
      <c r="H46" s="140"/>
      <c r="I46" s="94">
        <f t="shared" si="1"/>
        <v>0.64458903464573347</v>
      </c>
      <c r="J46" s="94">
        <f t="shared" si="2"/>
        <v>1.7105800211348248</v>
      </c>
      <c r="K46" s="95">
        <f t="shared" si="3"/>
        <v>0.22482068880945605</v>
      </c>
      <c r="L46" s="95">
        <f t="shared" si="4"/>
        <v>3.032959390272625E-3</v>
      </c>
      <c r="M46" s="95">
        <f t="shared" si="5"/>
        <v>0.99696704060972741</v>
      </c>
      <c r="N46" s="95">
        <f t="shared" si="6"/>
        <v>1.5948453417564089E-3</v>
      </c>
      <c r="O46" s="40">
        <f t="shared" si="7"/>
        <v>2.2605038293305811E-7</v>
      </c>
      <c r="P46" s="40">
        <f t="shared" si="8"/>
        <v>1.1608744911964094E-5</v>
      </c>
      <c r="Q46" s="40">
        <f t="shared" si="9"/>
        <v>6.1043193673688309E-4</v>
      </c>
      <c r="R46" s="9">
        <f t="shared" si="14"/>
        <v>1.4999999999999999E-4</v>
      </c>
      <c r="S46" s="9">
        <f t="shared" si="12"/>
        <v>4.549439085408937E-7</v>
      </c>
      <c r="T46" s="9">
        <f t="shared" si="10"/>
        <v>3.3723103321418406E-5</v>
      </c>
      <c r="U46" s="9">
        <f t="shared" si="11"/>
        <v>1.4954505609145909E-4</v>
      </c>
      <c r="V46" s="102">
        <f t="shared" si="13"/>
        <v>0.22550463521036732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143</v>
      </c>
      <c r="C47" s="46" t="s">
        <v>144</v>
      </c>
      <c r="D47" s="91">
        <v>3.859360000000001</v>
      </c>
      <c r="E47" s="91">
        <v>4.2614199999999993</v>
      </c>
      <c r="F47" s="98">
        <v>9.9999999999999995E-7</v>
      </c>
      <c r="G47" s="140"/>
      <c r="H47" s="140"/>
      <c r="I47" s="94">
        <f t="shared" si="1"/>
        <v>1.6299602750984028</v>
      </c>
      <c r="J47" s="94">
        <f t="shared" si="2"/>
        <v>2.7189105100885862</v>
      </c>
      <c r="K47" s="95">
        <f t="shared" si="3"/>
        <v>2.324842474623523E-2</v>
      </c>
      <c r="L47" s="95">
        <f t="shared" si="4"/>
        <v>3.1970861697565691E-3</v>
      </c>
      <c r="M47" s="95">
        <f t="shared" si="5"/>
        <v>0.99680291383024344</v>
      </c>
      <c r="N47" s="95">
        <f t="shared" si="6"/>
        <v>1.1149716675452434E-3</v>
      </c>
      <c r="O47" s="40">
        <f t="shared" si="7"/>
        <v>2.3375585869372257E-8</v>
      </c>
      <c r="P47" s="40">
        <f t="shared" si="8"/>
        <v>1.2236945184728063E-5</v>
      </c>
      <c r="Q47" s="40">
        <f t="shared" si="9"/>
        <v>4.2675881893151603E-4</v>
      </c>
      <c r="R47" s="9">
        <f t="shared" si="14"/>
        <v>1.4999999999999999E-4</v>
      </c>
      <c r="S47" s="9">
        <f t="shared" si="12"/>
        <v>4.7956292546348532E-7</v>
      </c>
      <c r="T47" s="9">
        <f t="shared" si="10"/>
        <v>3.4872637119352843E-6</v>
      </c>
      <c r="U47" s="9">
        <f t="shared" si="11"/>
        <v>1.4952043707453649E-4</v>
      </c>
      <c r="V47" s="102">
        <f t="shared" si="13"/>
        <v>2.3322990356140213E-2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145</v>
      </c>
      <c r="C48" s="46" t="s">
        <v>146</v>
      </c>
      <c r="D48" s="91">
        <v>2.0184960000000003</v>
      </c>
      <c r="E48" s="91">
        <v>2.3512620000000002</v>
      </c>
      <c r="F48" s="98">
        <v>9.9999999999999995E-7</v>
      </c>
      <c r="G48" s="140"/>
      <c r="H48" s="14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0.90809484007231756</v>
      </c>
      <c r="K48" s="95">
        <f t="shared" ref="K48:K50" si="17">IF(D48=0,"",1/(1+10^D48*$J$15/$J$14+10^E48*$J$16/$J$14+10^J48*$J$19/$J$14))</f>
        <v>0.62838490793096546</v>
      </c>
      <c r="L48" s="95">
        <f t="shared" ref="L48:L50" si="18">IF(D48=0,"",1/(1+10^I48/10^J48*$J$13/$J$19))</f>
        <v>1.3358905760927622E-3</v>
      </c>
      <c r="M48" s="95">
        <f t="shared" ref="M48:M92" si="19">IF(D48=0,"",1-L48)</f>
        <v>0.99866410942390726</v>
      </c>
      <c r="N48" s="95">
        <f t="shared" ref="N48:N50" si="20">IF(D48=0,"",1/(1/10^E48*$J$20/$J$22+10^D48/10^E48*$J$21/$J$22+10^I48/10^E48*$J$13/$J$22+1))</f>
        <v>3.7062784642132132E-4</v>
      </c>
      <c r="O48" s="40">
        <f t="shared" ref="O48:O92" si="21">IF(D48=0,"",F48*K48*$J$7/$J$14)</f>
        <v>6.3182196362514957E-7</v>
      </c>
      <c r="P48" s="40">
        <f t="shared" ref="P48:P50" si="22">IF(D48=0,"",O48*10^J48)</f>
        <v>5.1131620746045197E-6</v>
      </c>
      <c r="Q48" s="40">
        <f t="shared" ref="Q48:Q50" si="23">IF(D48=0,"",F48*N48*$J$7/$J$22)</f>
        <v>1.418589427928008E-4</v>
      </c>
      <c r="R48" s="9">
        <f t="shared" si="14"/>
        <v>1.4999999999999999E-4</v>
      </c>
      <c r="S48" s="9">
        <f t="shared" si="12"/>
        <v>2.0038358641391431E-7</v>
      </c>
      <c r="T48" s="9">
        <f t="shared" si="10"/>
        <v>9.4257736189644811E-5</v>
      </c>
      <c r="U48" s="9">
        <f t="shared" si="11"/>
        <v>1.4979961641358607E-4</v>
      </c>
      <c r="V48" s="102">
        <f t="shared" si="13"/>
        <v>0.62922548432571357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147</v>
      </c>
      <c r="C49" s="46" t="s">
        <v>148</v>
      </c>
      <c r="D49" s="91">
        <v>1.4665360000000003</v>
      </c>
      <c r="E49" s="91">
        <v>1.8522119999999997</v>
      </c>
      <c r="F49" s="98">
        <v>9.9999999999999995E-7</v>
      </c>
      <c r="G49" s="140"/>
      <c r="H49" s="140"/>
      <c r="I49" s="94">
        <f t="shared" si="15"/>
        <v>6.5352597387686409E-2</v>
      </c>
      <c r="J49" s="94">
        <f t="shared" si="16"/>
        <v>0.48153000113979566</v>
      </c>
      <c r="K49" s="95">
        <f t="shared" si="17"/>
        <v>0.85525594814226102</v>
      </c>
      <c r="L49" s="95">
        <f t="shared" si="18"/>
        <v>6.808891356925574E-4</v>
      </c>
      <c r="M49" s="95">
        <f t="shared" si="19"/>
        <v>0.99931911086430747</v>
      </c>
      <c r="N49" s="95">
        <f t="shared" si="20"/>
        <v>1.5986684474134091E-4</v>
      </c>
      <c r="O49" s="40">
        <f t="shared" si="21"/>
        <v>8.5993391269781677E-7</v>
      </c>
      <c r="P49" s="40">
        <f t="shared" si="22"/>
        <v>2.6061240104082339E-6</v>
      </c>
      <c r="Q49" s="40">
        <f t="shared" si="23"/>
        <v>6.1189524213048458E-5</v>
      </c>
      <c r="R49" s="9">
        <f t="shared" si="14"/>
        <v>1.4999999999999999E-4</v>
      </c>
      <c r="S49" s="9">
        <f t="shared" si="12"/>
        <v>1.021333703538836E-7</v>
      </c>
      <c r="T49" s="9">
        <f t="shared" si="10"/>
        <v>1.2828839222133915E-4</v>
      </c>
      <c r="U49" s="9">
        <f t="shared" si="11"/>
        <v>1.498978666296461E-4</v>
      </c>
      <c r="V49" s="102">
        <f t="shared" si="13"/>
        <v>0.85583867940097058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149</v>
      </c>
      <c r="C50" s="46" t="s">
        <v>150</v>
      </c>
      <c r="D50" s="91"/>
      <c r="E50" s="91"/>
      <c r="F50" s="92"/>
      <c r="G50" s="140"/>
      <c r="H50" s="14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151</v>
      </c>
      <c r="C51" s="46" t="s">
        <v>152</v>
      </c>
      <c r="D51" s="91"/>
      <c r="E51" s="91"/>
      <c r="F51" s="92"/>
      <c r="G51" s="140"/>
      <c r="H51" s="14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153</v>
      </c>
      <c r="C52" s="46" t="s">
        <v>154</v>
      </c>
      <c r="D52" s="47"/>
      <c r="E52" s="47"/>
      <c r="F52" s="92"/>
      <c r="G52" s="140"/>
      <c r="H52" s="14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155</v>
      </c>
      <c r="C53" s="46" t="s">
        <v>156</v>
      </c>
      <c r="D53" s="47"/>
      <c r="E53" s="47"/>
      <c r="F53" s="92"/>
      <c r="G53" s="140"/>
      <c r="H53" s="14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157</v>
      </c>
      <c r="C54" s="46" t="s">
        <v>158</v>
      </c>
      <c r="D54" s="47"/>
      <c r="E54" s="47"/>
      <c r="F54" s="92"/>
      <c r="G54" s="140"/>
      <c r="H54" s="14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159</v>
      </c>
      <c r="C55" s="46" t="s">
        <v>160</v>
      </c>
      <c r="D55" s="47"/>
      <c r="E55" s="47"/>
      <c r="F55" s="57"/>
      <c r="G55" s="140"/>
      <c r="H55" s="14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161</v>
      </c>
      <c r="C56" s="46" t="s">
        <v>162</v>
      </c>
      <c r="D56" s="47"/>
      <c r="E56" s="47"/>
      <c r="F56" s="57"/>
      <c r="G56" s="140"/>
      <c r="H56" s="14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40"/>
      <c r="H57" s="140"/>
      <c r="I57" s="54">
        <f t="shared" si="24"/>
        <v>3.7217650281818146E-4</v>
      </c>
      <c r="J57" s="54">
        <f t="shared" si="25"/>
        <v>4.1938241790910741E-3</v>
      </c>
      <c r="K57" s="55">
        <f t="shared" si="26"/>
        <v>0.99370585249873222</v>
      </c>
      <c r="L57" s="55">
        <f t="shared" si="27"/>
        <v>2.6357363858833013E-4</v>
      </c>
      <c r="M57" s="55">
        <f t="shared" si="28"/>
        <v>0.99973642636141169</v>
      </c>
      <c r="N57" s="55">
        <f t="shared" si="29"/>
        <v>3.1544536305267446E-6</v>
      </c>
      <c r="O57" s="56">
        <f t="shared" si="30"/>
        <v>9.9914109181713096E-7</v>
      </c>
      <c r="P57" s="56">
        <f t="shared" si="31"/>
        <v>1.0088361702776067E-6</v>
      </c>
      <c r="Q57" s="56">
        <f t="shared" si="32"/>
        <v>1.2073767835748173E-6</v>
      </c>
      <c r="R57" s="9">
        <f t="shared" ref="R57:R58" si="33">F57*$C$14</f>
        <v>1.4999999999999999E-4</v>
      </c>
      <c r="S57" s="9">
        <f t="shared" ref="S57:S58" si="34">$R57*L57</f>
        <v>3.9536045788249518E-8</v>
      </c>
      <c r="T57" s="9">
        <f t="shared" ref="T57:T58" si="35">R57*K57</f>
        <v>1.4905587787480981E-4</v>
      </c>
      <c r="U57" s="9">
        <f t="shared" ref="U57:U58" si="36">$R57*M57</f>
        <v>1.4996046395421175E-4</v>
      </c>
      <c r="V57" s="102">
        <f t="shared" ref="V57:V58" si="37">K57/M57</f>
        <v>0.99396783621796392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163</v>
      </c>
      <c r="C58" s="46" t="s">
        <v>164</v>
      </c>
      <c r="D58" s="47">
        <v>2.1823520000000003</v>
      </c>
      <c r="E58" s="47">
        <v>2.5882690000000008</v>
      </c>
      <c r="F58" s="98">
        <v>9.9999999999999995E-7</v>
      </c>
      <c r="G58" s="140"/>
      <c r="H58" s="140"/>
      <c r="I58" s="54">
        <f t="shared" si="24"/>
        <v>0.27242732253974722</v>
      </c>
      <c r="J58" s="54">
        <f t="shared" si="25"/>
        <v>1.0781066295666415</v>
      </c>
      <c r="K58" s="55">
        <f t="shared" si="26"/>
        <v>0.53038624860603578</v>
      </c>
      <c r="L58" s="55">
        <f t="shared" si="27"/>
        <v>1.667820029953276E-3</v>
      </c>
      <c r="M58" s="55">
        <f t="shared" si="28"/>
        <v>0.99833217997004675</v>
      </c>
      <c r="N58" s="55">
        <f t="shared" si="29"/>
        <v>5.3989779739289424E-4</v>
      </c>
      <c r="O58" s="56">
        <f t="shared" si="30"/>
        <v>5.3328728434524647E-7</v>
      </c>
      <c r="P58" s="56">
        <f t="shared" si="31"/>
        <v>6.3836322203613643E-6</v>
      </c>
      <c r="Q58" s="56">
        <f t="shared" si="32"/>
        <v>2.066475347004896E-4</v>
      </c>
      <c r="R58" s="9">
        <f t="shared" si="33"/>
        <v>1.4999999999999999E-4</v>
      </c>
      <c r="S58" s="9">
        <f t="shared" si="34"/>
        <v>2.5017300449299135E-7</v>
      </c>
      <c r="T58" s="9">
        <f t="shared" si="35"/>
        <v>7.9557937290905355E-5</v>
      </c>
      <c r="U58" s="9">
        <f t="shared" si="36"/>
        <v>1.4974982699550701E-4</v>
      </c>
      <c r="V58" s="102">
        <f t="shared" si="37"/>
        <v>0.53127231521471052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165</v>
      </c>
      <c r="C59" s="46" t="s">
        <v>166</v>
      </c>
      <c r="D59" s="47"/>
      <c r="E59" s="47"/>
      <c r="F59" s="57"/>
      <c r="G59" s="140"/>
      <c r="H59" s="14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40"/>
      <c r="H60" s="140"/>
      <c r="I60" s="54">
        <f t="shared" si="24"/>
        <v>0.35062624883359406</v>
      </c>
      <c r="J60" s="54">
        <f t="shared" si="25"/>
        <v>1.1895891343934544</v>
      </c>
      <c r="K60" s="55">
        <f t="shared" si="26"/>
        <v>0.44293055392951358</v>
      </c>
      <c r="L60" s="55">
        <f t="shared" si="27"/>
        <v>1.8004251630208627E-3</v>
      </c>
      <c r="M60" s="55">
        <f t="shared" si="28"/>
        <v>0.99819957483697919</v>
      </c>
      <c r="N60" s="55">
        <f t="shared" si="29"/>
        <v>4.2972333711147341E-4</v>
      </c>
      <c r="O60" s="56">
        <f t="shared" si="30"/>
        <v>4.4535323621118102E-7</v>
      </c>
      <c r="P60" s="56">
        <f t="shared" si="31"/>
        <v>6.8911824265183636E-6</v>
      </c>
      <c r="Q60" s="56">
        <f t="shared" si="32"/>
        <v>1.6447792275901983E-4</v>
      </c>
      <c r="R60" s="9">
        <f t="shared" ref="R60:R65" si="38">F60*$C$14</f>
        <v>1.4999999999999999E-4</v>
      </c>
      <c r="S60" s="9">
        <f t="shared" ref="S60:S93" si="39">$R60*L60</f>
        <v>2.7006377445312938E-7</v>
      </c>
      <c r="T60" s="9">
        <f t="shared" ref="T60:T93" si="40">R60*K60</f>
        <v>6.6439583089427035E-5</v>
      </c>
      <c r="U60" s="9">
        <f t="shared" ref="U60:U93" si="41">$R60*M60</f>
        <v>1.4972993622554685E-4</v>
      </c>
      <c r="V60" s="102">
        <f t="shared" ref="V60:V93" si="42">K60/M60</f>
        <v>0.44372945560696186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40"/>
      <c r="H61" s="140"/>
      <c r="I61" s="54">
        <f t="shared" si="24"/>
        <v>1.0599296125914559</v>
      </c>
      <c r="J61" s="54">
        <f t="shared" si="25"/>
        <v>2.1143052627716603</v>
      </c>
      <c r="K61" s="55">
        <f t="shared" si="26"/>
        <v>8.6403325791531649E-2</v>
      </c>
      <c r="L61" s="55">
        <f t="shared" si="27"/>
        <v>2.9531535062191244E-3</v>
      </c>
      <c r="M61" s="55">
        <f t="shared" si="28"/>
        <v>0.99704684649378084</v>
      </c>
      <c r="N61" s="55">
        <f t="shared" si="29"/>
        <v>9.5795202453396978E-4</v>
      </c>
      <c r="O61" s="56">
        <f t="shared" si="30"/>
        <v>8.687592314255022E-8</v>
      </c>
      <c r="P61" s="56">
        <f t="shared" si="31"/>
        <v>1.1303285447712052E-5</v>
      </c>
      <c r="Q61" s="56">
        <f t="shared" si="32"/>
        <v>3.6665906989657445E-4</v>
      </c>
      <c r="R61" s="9">
        <f t="shared" si="38"/>
        <v>1.4999999999999999E-4</v>
      </c>
      <c r="S61" s="9">
        <f t="shared" si="39"/>
        <v>4.4297302593286864E-7</v>
      </c>
      <c r="T61" s="9">
        <f t="shared" si="40"/>
        <v>1.2960498868729746E-5</v>
      </c>
      <c r="U61" s="9">
        <f t="shared" si="41"/>
        <v>1.4955702697406711E-4</v>
      </c>
      <c r="V61" s="102">
        <f t="shared" si="42"/>
        <v>8.6659243841327963E-2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167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40"/>
      <c r="H62" s="140"/>
      <c r="I62" s="54">
        <f t="shared" si="24"/>
        <v>0.76837016932652724</v>
      </c>
      <c r="J62" s="54">
        <f t="shared" si="25"/>
        <v>1.8115258470571185</v>
      </c>
      <c r="K62" s="55">
        <f t="shared" si="26"/>
        <v>0.16909182593562941</v>
      </c>
      <c r="L62" s="55">
        <f t="shared" si="27"/>
        <v>2.8780528263632355E-3</v>
      </c>
      <c r="M62" s="55">
        <f t="shared" si="28"/>
        <v>0.99712194717363678</v>
      </c>
      <c r="N62" s="55">
        <f t="shared" si="29"/>
        <v>1.142394001524141E-3</v>
      </c>
      <c r="O62" s="56">
        <f t="shared" si="30"/>
        <v>1.7001670178136805E-7</v>
      </c>
      <c r="P62" s="56">
        <f t="shared" si="31"/>
        <v>1.1015835296563239E-5</v>
      </c>
      <c r="Q62" s="56">
        <f t="shared" si="32"/>
        <v>4.3725480120785943E-4</v>
      </c>
      <c r="R62" s="9">
        <f t="shared" si="38"/>
        <v>1.4999999999999999E-4</v>
      </c>
      <c r="S62" s="9">
        <f t="shared" si="39"/>
        <v>4.317079239544853E-7</v>
      </c>
      <c r="T62" s="9">
        <f t="shared" si="40"/>
        <v>2.536377389034441E-5</v>
      </c>
      <c r="U62" s="9">
        <f t="shared" si="41"/>
        <v>1.4956829207604549E-4</v>
      </c>
      <c r="V62" s="102">
        <f t="shared" si="42"/>
        <v>0.16957988580526562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40"/>
      <c r="H63" s="140"/>
      <c r="I63" s="54">
        <f t="shared" si="24"/>
        <v>0.7211484450377651</v>
      </c>
      <c r="J63" s="54">
        <f t="shared" si="25"/>
        <v>1.749094784631535</v>
      </c>
      <c r="K63" s="55">
        <f t="shared" si="26"/>
        <v>0.18853299033832283</v>
      </c>
      <c r="L63" s="55">
        <f t="shared" si="27"/>
        <v>2.7792808866887162E-3</v>
      </c>
      <c r="M63" s="55">
        <f t="shared" si="28"/>
        <v>0.99722071911331134</v>
      </c>
      <c r="N63" s="55">
        <f t="shared" si="29"/>
        <v>1.0562474077910366E-3</v>
      </c>
      <c r="O63" s="56">
        <f t="shared" si="30"/>
        <v>1.8956420286396657E-7</v>
      </c>
      <c r="P63" s="56">
        <f t="shared" si="31"/>
        <v>1.063778267382821E-5</v>
      </c>
      <c r="Q63" s="56">
        <f t="shared" si="32"/>
        <v>4.042819287424512E-4</v>
      </c>
      <c r="R63" s="9">
        <f t="shared" si="38"/>
        <v>1.4999999999999999E-4</v>
      </c>
      <c r="S63" s="9">
        <f t="shared" si="39"/>
        <v>4.1689213300330738E-7</v>
      </c>
      <c r="T63" s="9">
        <f t="shared" si="40"/>
        <v>2.827994855074842E-5</v>
      </c>
      <c r="U63" s="9">
        <f t="shared" si="41"/>
        <v>1.495831078669967E-4</v>
      </c>
      <c r="V63" s="102">
        <f t="shared" si="42"/>
        <v>0.18905843683829474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40"/>
      <c r="H64" s="140"/>
      <c r="I64" s="54">
        <f t="shared" si="24"/>
        <v>0.2338148544799136</v>
      </c>
      <c r="J64" s="54">
        <f t="shared" si="25"/>
        <v>1.0148712383242999</v>
      </c>
      <c r="K64" s="55">
        <f t="shared" si="26"/>
        <v>0.57975519588167757</v>
      </c>
      <c r="L64" s="55">
        <f t="shared" si="27"/>
        <v>1.576036198051227E-3</v>
      </c>
      <c r="M64" s="55">
        <f t="shared" si="28"/>
        <v>0.99842396380194876</v>
      </c>
      <c r="N64" s="55">
        <f t="shared" si="29"/>
        <v>5.7506369393948628E-4</v>
      </c>
      <c r="O64" s="56">
        <f t="shared" si="30"/>
        <v>5.829262632833423E-7</v>
      </c>
      <c r="P64" s="56">
        <f t="shared" si="31"/>
        <v>6.0323267940471342E-6</v>
      </c>
      <c r="Q64" s="56">
        <f t="shared" si="32"/>
        <v>2.2010738925440143E-4</v>
      </c>
      <c r="R64" s="9">
        <f t="shared" si="38"/>
        <v>1.4999999999999999E-4</v>
      </c>
      <c r="S64" s="9">
        <f t="shared" si="39"/>
        <v>2.3640542970768401E-7</v>
      </c>
      <c r="T64" s="9">
        <f t="shared" si="40"/>
        <v>8.6963279382251628E-5</v>
      </c>
      <c r="U64" s="9">
        <f t="shared" si="41"/>
        <v>1.497635945702923E-4</v>
      </c>
      <c r="V64" s="102">
        <f t="shared" si="42"/>
        <v>0.58067035337773609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168</v>
      </c>
      <c r="C65" s="46" t="s">
        <v>169</v>
      </c>
      <c r="D65" s="47">
        <v>3.4409280000000009</v>
      </c>
      <c r="E65" s="47">
        <v>4.1160660000000009</v>
      </c>
      <c r="F65" s="98">
        <v>9.9999999999999995E-7</v>
      </c>
      <c r="G65" s="140"/>
      <c r="H65" s="140"/>
      <c r="I65" s="54">
        <f t="shared" si="24"/>
        <v>1.2834731216469764</v>
      </c>
      <c r="J65" s="54">
        <f t="shared" si="25"/>
        <v>2.4171487022124163</v>
      </c>
      <c r="K65" s="55">
        <f t="shared" si="26"/>
        <v>5.1609553055382375E-2</v>
      </c>
      <c r="L65" s="55">
        <f t="shared" si="27"/>
        <v>3.5426569546299878E-3</v>
      </c>
      <c r="M65" s="55">
        <f t="shared" si="28"/>
        <v>0.99645734304537004</v>
      </c>
      <c r="N65" s="55">
        <f t="shared" si="29"/>
        <v>1.7711135196097538E-3</v>
      </c>
      <c r="O65" s="56">
        <f t="shared" si="30"/>
        <v>5.1891840083546944E-8</v>
      </c>
      <c r="P65" s="56">
        <f t="shared" si="31"/>
        <v>1.3559627942528575E-5</v>
      </c>
      <c r="Q65" s="56">
        <f t="shared" si="32"/>
        <v>6.7789912140671371E-4</v>
      </c>
      <c r="R65" s="9">
        <f t="shared" si="38"/>
        <v>1.4999999999999999E-4</v>
      </c>
      <c r="S65" s="9">
        <f t="shared" si="39"/>
        <v>5.3139854319449816E-7</v>
      </c>
      <c r="T65" s="9">
        <f t="shared" si="40"/>
        <v>7.7414329583073548E-6</v>
      </c>
      <c r="U65" s="9">
        <f t="shared" si="41"/>
        <v>1.4946860145680549E-4</v>
      </c>
      <c r="V65" s="102">
        <f t="shared" si="42"/>
        <v>5.1793038021731477E-2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170</v>
      </c>
      <c r="C66" s="46" t="s">
        <v>171</v>
      </c>
      <c r="D66" s="47"/>
      <c r="E66" s="47"/>
      <c r="F66" s="57"/>
      <c r="G66" s="140"/>
      <c r="H66" s="14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172</v>
      </c>
      <c r="C67" s="46" t="s">
        <v>173</v>
      </c>
      <c r="D67" s="47"/>
      <c r="E67" s="47"/>
      <c r="F67" s="57"/>
      <c r="G67" s="140"/>
      <c r="H67" s="14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40"/>
      <c r="H68" s="140"/>
      <c r="I68" s="54">
        <f t="shared" si="24"/>
        <v>0.33491051106253611</v>
      </c>
      <c r="J68" s="54">
        <f t="shared" si="25"/>
        <v>1.1540090280827044</v>
      </c>
      <c r="K68" s="55">
        <f t="shared" si="26"/>
        <v>0.4592893101319801</v>
      </c>
      <c r="L68" s="55">
        <f t="shared" si="27"/>
        <v>1.7200681953061367E-3</v>
      </c>
      <c r="M68" s="55">
        <f t="shared" si="28"/>
        <v>0.99827993180469388</v>
      </c>
      <c r="N68" s="55">
        <f t="shared" si="29"/>
        <v>3.6163348579959943E-4</v>
      </c>
      <c r="O68" s="56">
        <f t="shared" si="30"/>
        <v>4.618014693495921E-7</v>
      </c>
      <c r="P68" s="56">
        <f t="shared" si="31"/>
        <v>6.583613672683074E-6</v>
      </c>
      <c r="Q68" s="56">
        <f t="shared" si="32"/>
        <v>1.3841632373107974E-4</v>
      </c>
      <c r="R68" s="9">
        <f>F68*$C$14</f>
        <v>1.4999999999999999E-4</v>
      </c>
      <c r="S68" s="9">
        <f t="shared" si="39"/>
        <v>2.5801022929592049E-7</v>
      </c>
      <c r="T68" s="9">
        <f t="shared" si="40"/>
        <v>6.889339651979701E-5</v>
      </c>
      <c r="U68" s="9">
        <f t="shared" si="41"/>
        <v>1.4974198977070406E-4</v>
      </c>
      <c r="V68" s="102">
        <f t="shared" si="42"/>
        <v>0.46008068027740007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174</v>
      </c>
      <c r="C69" s="46" t="s">
        <v>175</v>
      </c>
      <c r="D69" s="47">
        <v>4.3302640000000006</v>
      </c>
      <c r="E69" s="47">
        <v>5.074033</v>
      </c>
      <c r="F69" s="98">
        <v>9.9999999999999995E-7</v>
      </c>
      <c r="G69" s="140"/>
      <c r="H69" s="140"/>
      <c r="I69" s="54">
        <f t="shared" si="24"/>
        <v>2.1724337273682748</v>
      </c>
      <c r="J69" s="54">
        <f t="shared" si="25"/>
        <v>3.3408910784414916</v>
      </c>
      <c r="K69" s="55">
        <f t="shared" si="26"/>
        <v>6.6625613754274391E-3</v>
      </c>
      <c r="L69" s="55">
        <f t="shared" si="27"/>
        <v>3.8369187378890861E-3</v>
      </c>
      <c r="M69" s="55">
        <f t="shared" si="28"/>
        <v>0.99616308126211095</v>
      </c>
      <c r="N69" s="55">
        <f t="shared" si="29"/>
        <v>2.0755085315914534E-3</v>
      </c>
      <c r="O69" s="56">
        <f t="shared" si="30"/>
        <v>6.6990033622164985E-9</v>
      </c>
      <c r="P69" s="56">
        <f t="shared" si="31"/>
        <v>1.4685923925966542E-5</v>
      </c>
      <c r="Q69" s="56">
        <f t="shared" si="32"/>
        <v>7.9440724406417448E-4</v>
      </c>
      <c r="R69" s="9">
        <f>F69*$C$14</f>
        <v>1.4999999999999999E-4</v>
      </c>
      <c r="S69" s="9">
        <f t="shared" si="39"/>
        <v>5.7553781068336286E-7</v>
      </c>
      <c r="T69" s="9">
        <f t="shared" si="40"/>
        <v>9.9938420631411582E-7</v>
      </c>
      <c r="U69" s="9">
        <f t="shared" si="41"/>
        <v>1.4942446218931663E-4</v>
      </c>
      <c r="V69" s="102">
        <f t="shared" si="42"/>
        <v>6.6882235456730225E-3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176</v>
      </c>
      <c r="C70" s="46" t="s">
        <v>177</v>
      </c>
      <c r="D70" s="47">
        <v>1.4854320000000003</v>
      </c>
      <c r="E70" s="47">
        <v>1.5057189999999996</v>
      </c>
      <c r="F70" s="98">
        <v>9.9999999999999995E-7</v>
      </c>
      <c r="G70" s="140"/>
      <c r="H70" s="140"/>
      <c r="I70" s="54">
        <f t="shared" si="24"/>
        <v>6.2122287627494992E-2</v>
      </c>
      <c r="J70" s="54">
        <f t="shared" si="25"/>
        <v>0.43147013822686364</v>
      </c>
      <c r="K70" s="55">
        <f t="shared" si="26"/>
        <v>0.86170108722678129</v>
      </c>
      <c r="L70" s="55">
        <f t="shared" si="27"/>
        <v>6.11331929459591E-4</v>
      </c>
      <c r="M70" s="55">
        <f t="shared" si="28"/>
        <v>0.99938866807054039</v>
      </c>
      <c r="N70" s="55">
        <f t="shared" si="29"/>
        <v>7.2531380088875427E-5</v>
      </c>
      <c r="O70" s="56">
        <f t="shared" si="30"/>
        <v>8.6641430454176956E-7</v>
      </c>
      <c r="P70" s="56">
        <f t="shared" si="31"/>
        <v>2.3398916742493228E-6</v>
      </c>
      <c r="Q70" s="56">
        <f t="shared" si="32"/>
        <v>2.7761607763854079E-5</v>
      </c>
      <c r="R70" s="9">
        <f t="shared" ref="R70:R86" si="43">F70*$C$14</f>
        <v>1.4999999999999999E-4</v>
      </c>
      <c r="S70" s="9">
        <f t="shared" si="39"/>
        <v>9.1699789418938641E-8</v>
      </c>
      <c r="T70" s="9">
        <f t="shared" si="40"/>
        <v>1.2925516308401718E-4</v>
      </c>
      <c r="U70" s="9">
        <f t="shared" si="41"/>
        <v>1.4990830021058103E-4</v>
      </c>
      <c r="V70" s="102">
        <f t="shared" si="42"/>
        <v>0.86222819485277513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178</v>
      </c>
      <c r="C71" s="46" t="s">
        <v>179</v>
      </c>
      <c r="D71" s="47">
        <v>2.0758240000000003</v>
      </c>
      <c r="E71" s="47">
        <v>2.477398</v>
      </c>
      <c r="F71" s="98">
        <v>9.9999999999999995E-7</v>
      </c>
      <c r="G71" s="140"/>
      <c r="H71" s="14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0.97961580067951626</v>
      </c>
      <c r="K71" s="55">
        <f t="shared" ref="K71:K122" si="46">IF(D71=0,"",1/(1+10^D71*$J$15/$J$14+10^E71*$J$16/$J$14+10^J71*$J$19/$J$14))</f>
        <v>0.59111655646026739</v>
      </c>
      <c r="L71" s="55">
        <f t="shared" ref="L71:L122" si="47">IF(D71=0,"",1/(1+10^I71/10^J71*$J$13/$J$19))</f>
        <v>1.4816281625790752E-3</v>
      </c>
      <c r="M71" s="55">
        <f t="shared" si="19"/>
        <v>0.99851837183742087</v>
      </c>
      <c r="N71" s="55">
        <f t="shared" ref="N71:N122" si="48">IF(D71=0,"",1/(1/10^E71*$J$20/$J$22+10^D71/10^E71*$J$21/$J$22+10^I71/10^E71*$J$13/$J$22+1))</f>
        <v>4.6614542238652902E-4</v>
      </c>
      <c r="O71" s="56">
        <f t="shared" si="21"/>
        <v>5.9434976671192333E-7</v>
      </c>
      <c r="P71" s="56">
        <f t="shared" ref="P71:P122" si="49">IF(D71=0,"",O71*10^J71)</f>
        <v>5.670977148235571E-6</v>
      </c>
      <c r="Q71" s="56">
        <f t="shared" ref="Q71:Q122" si="50">IF(D71=0,"",F71*N71*$J$7/$J$22)</f>
        <v>1.7841858739422678E-4</v>
      </c>
      <c r="R71" s="9">
        <f t="shared" si="43"/>
        <v>1.4999999999999999E-4</v>
      </c>
      <c r="S71" s="9">
        <f t="shared" si="39"/>
        <v>2.2224422438686126E-7</v>
      </c>
      <c r="T71" s="9">
        <f t="shared" si="40"/>
        <v>8.8667483469040108E-5</v>
      </c>
      <c r="U71" s="9">
        <f t="shared" si="41"/>
        <v>1.4977775577561313E-4</v>
      </c>
      <c r="V71" s="102">
        <f t="shared" si="42"/>
        <v>0.59199367095522326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180</v>
      </c>
      <c r="C72" s="46" t="s">
        <v>181</v>
      </c>
      <c r="D72" s="47">
        <v>2.3078000000000003</v>
      </c>
      <c r="E72" s="47">
        <v>2.5099249999999995</v>
      </c>
      <c r="F72" s="98">
        <v>9.9999999999999995E-7</v>
      </c>
      <c r="G72" s="140"/>
      <c r="H72" s="140"/>
      <c r="I72" s="54">
        <f t="shared" si="44"/>
        <v>0.32073739190116707</v>
      </c>
      <c r="J72" s="54">
        <f t="shared" si="45"/>
        <v>1.1375458252816428</v>
      </c>
      <c r="K72" s="55">
        <f t="shared" si="46"/>
        <v>0.47452968466831486</v>
      </c>
      <c r="L72" s="55">
        <f t="shared" si="47"/>
        <v>1.7110374326318122E-3</v>
      </c>
      <c r="M72" s="55">
        <f t="shared" si="19"/>
        <v>0.99828896256736821</v>
      </c>
      <c r="N72" s="55">
        <f t="shared" si="48"/>
        <v>4.0330971684873632E-4</v>
      </c>
      <c r="O72" s="56">
        <f t="shared" si="21"/>
        <v>4.771252036474687E-7</v>
      </c>
      <c r="P72" s="56">
        <f t="shared" si="49"/>
        <v>6.5490481520951816E-6</v>
      </c>
      <c r="Q72" s="56">
        <f t="shared" si="50"/>
        <v>1.5436802874543601E-4</v>
      </c>
      <c r="R72" s="9">
        <f t="shared" si="43"/>
        <v>1.4999999999999999E-4</v>
      </c>
      <c r="S72" s="9">
        <f t="shared" si="39"/>
        <v>2.5665561489477182E-7</v>
      </c>
      <c r="T72" s="9">
        <f t="shared" si="40"/>
        <v>7.117945270024722E-5</v>
      </c>
      <c r="U72" s="9">
        <f t="shared" si="41"/>
        <v>1.4974334438510521E-4</v>
      </c>
      <c r="V72" s="102">
        <f t="shared" si="42"/>
        <v>0.47534301435922349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182</v>
      </c>
      <c r="C73" s="46" t="s">
        <v>183</v>
      </c>
      <c r="D73" s="47">
        <v>5.676184000000001</v>
      </c>
      <c r="E73" s="47">
        <v>7.0708080000000004</v>
      </c>
      <c r="F73" s="98">
        <v>9.9999999999999995E-7</v>
      </c>
      <c r="G73" s="140"/>
      <c r="H73" s="140"/>
      <c r="I73" s="54">
        <f t="shared" si="44"/>
        <v>3.8293839195374848</v>
      </c>
      <c r="J73" s="54">
        <f t="shared" si="45"/>
        <v>5.1461538106089488</v>
      </c>
      <c r="K73" s="55">
        <f t="shared" si="46"/>
        <v>1.465592570158011E-4</v>
      </c>
      <c r="L73" s="55">
        <f t="shared" si="47"/>
        <v>5.3903549675169199E-3</v>
      </c>
      <c r="M73" s="55">
        <f t="shared" si="19"/>
        <v>0.99460964503248306</v>
      </c>
      <c r="N73" s="55">
        <f t="shared" si="48"/>
        <v>4.5318085539690399E-3</v>
      </c>
      <c r="O73" s="56">
        <f t="shared" si="21"/>
        <v>1.4736088723082356E-10</v>
      </c>
      <c r="P73" s="56">
        <f t="shared" si="49"/>
        <v>2.0631748649037368E-5</v>
      </c>
      <c r="Q73" s="56">
        <f t="shared" si="50"/>
        <v>1.7345635969149783E-3</v>
      </c>
      <c r="R73" s="9">
        <f t="shared" si="43"/>
        <v>1.4999999999999999E-4</v>
      </c>
      <c r="S73" s="9">
        <f t="shared" si="39"/>
        <v>8.0855324512753795E-7</v>
      </c>
      <c r="T73" s="9">
        <f t="shared" si="40"/>
        <v>2.1983888552370164E-8</v>
      </c>
      <c r="U73" s="9">
        <f t="shared" si="41"/>
        <v>1.4919144675487245E-4</v>
      </c>
      <c r="V73" s="102">
        <f t="shared" si="42"/>
        <v>1.4735354492868868E-4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184</v>
      </c>
      <c r="C74" s="46" t="s">
        <v>185</v>
      </c>
      <c r="D74" s="47">
        <v>1.2599279999999999</v>
      </c>
      <c r="E74" s="47">
        <v>1.3925860000000003</v>
      </c>
      <c r="F74" s="98">
        <v>9.9999999999999995E-7</v>
      </c>
      <c r="G74" s="140"/>
      <c r="H74" s="140"/>
      <c r="I74" s="54">
        <f t="shared" si="44"/>
        <v>3.8037572032670899E-2</v>
      </c>
      <c r="J74" s="54">
        <f t="shared" si="45"/>
        <v>0.31070489262972556</v>
      </c>
      <c r="K74" s="55">
        <f t="shared" si="46"/>
        <v>0.91094959498340144</v>
      </c>
      <c r="L74" s="55">
        <f t="shared" si="47"/>
        <v>4.8938374479758735E-4</v>
      </c>
      <c r="M74" s="55">
        <f t="shared" si="19"/>
        <v>0.99951061625520243</v>
      </c>
      <c r="N74" s="55">
        <f t="shared" si="48"/>
        <v>5.9092266427450153E-5</v>
      </c>
      <c r="O74" s="56">
        <f t="shared" si="21"/>
        <v>9.1593218519687678E-7</v>
      </c>
      <c r="P74" s="56">
        <f t="shared" si="49"/>
        <v>1.8731312643478102E-6</v>
      </c>
      <c r="Q74" s="56">
        <f t="shared" si="50"/>
        <v>2.2617745869799687E-5</v>
      </c>
      <c r="R74" s="9">
        <f t="shared" si="43"/>
        <v>1.4999999999999999E-4</v>
      </c>
      <c r="S74" s="9">
        <f t="shared" si="39"/>
        <v>7.3407561719638094E-8</v>
      </c>
      <c r="T74" s="9">
        <f t="shared" si="40"/>
        <v>1.3664243924751021E-4</v>
      </c>
      <c r="U74" s="9">
        <f t="shared" si="41"/>
        <v>1.4992659243828036E-4</v>
      </c>
      <c r="V74" s="102">
        <f t="shared" si="42"/>
        <v>0.91139561718353079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186</v>
      </c>
      <c r="C75" s="46" t="s">
        <v>187</v>
      </c>
      <c r="D75" s="47">
        <v>1.2889359999999999</v>
      </c>
      <c r="E75" s="47">
        <v>1.371977</v>
      </c>
      <c r="F75" s="98">
        <v>9.9999999999999995E-7</v>
      </c>
      <c r="G75" s="140"/>
      <c r="H75" s="140"/>
      <c r="I75" s="54">
        <f t="shared" si="44"/>
        <v>4.0258976380178252E-2</v>
      </c>
      <c r="J75" s="54">
        <f t="shared" si="45"/>
        <v>0.32070219402122674</v>
      </c>
      <c r="K75" s="55">
        <f t="shared" si="46"/>
        <v>0.90629399639880526</v>
      </c>
      <c r="L75" s="55">
        <f t="shared" si="47"/>
        <v>4.9822050462416576E-4</v>
      </c>
      <c r="M75" s="55">
        <f t="shared" si="19"/>
        <v>0.99950177949537589</v>
      </c>
      <c r="N75" s="55">
        <f t="shared" si="48"/>
        <v>5.6065590837508929E-5</v>
      </c>
      <c r="O75" s="56">
        <f t="shared" si="21"/>
        <v>9.1125112204204174E-7</v>
      </c>
      <c r="P75" s="56">
        <f t="shared" si="49"/>
        <v>1.9069542330970952E-6</v>
      </c>
      <c r="Q75" s="56">
        <f t="shared" si="50"/>
        <v>2.1459276522416248E-5</v>
      </c>
      <c r="R75" s="9">
        <f t="shared" si="43"/>
        <v>1.4999999999999999E-4</v>
      </c>
      <c r="S75" s="9">
        <f t="shared" si="39"/>
        <v>7.4733075693624857E-8</v>
      </c>
      <c r="T75" s="9">
        <f t="shared" si="40"/>
        <v>1.3594409945982079E-4</v>
      </c>
      <c r="U75" s="9">
        <f t="shared" si="41"/>
        <v>1.4992526692430636E-4</v>
      </c>
      <c r="V75" s="102">
        <f t="shared" si="42"/>
        <v>0.90674575572678928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188</v>
      </c>
      <c r="C76" s="46" t="s">
        <v>189</v>
      </c>
      <c r="D76" s="47">
        <v>3.3144320000000005</v>
      </c>
      <c r="E76" s="47">
        <v>3.8699789999999998</v>
      </c>
      <c r="F76" s="98">
        <v>9.9999999999999995E-7</v>
      </c>
      <c r="G76" s="140"/>
      <c r="H76" s="140"/>
      <c r="I76" s="54">
        <f t="shared" si="44"/>
        <v>1.137117589232139</v>
      </c>
      <c r="J76" s="54">
        <f t="shared" si="45"/>
        <v>2.235569933795444</v>
      </c>
      <c r="K76" s="55">
        <f t="shared" si="46"/>
        <v>7.2311189338798432E-2</v>
      </c>
      <c r="L76" s="55">
        <f t="shared" si="47"/>
        <v>3.2675763089274291E-3</v>
      </c>
      <c r="M76" s="55">
        <f t="shared" si="19"/>
        <v>0.99673242369107262</v>
      </c>
      <c r="N76" s="55">
        <f t="shared" si="48"/>
        <v>1.4081042354717034E-3</v>
      </c>
      <c r="O76" s="56">
        <f t="shared" si="21"/>
        <v>7.2706707407315526E-8</v>
      </c>
      <c r="P76" s="56">
        <f t="shared" si="49"/>
        <v>1.250674835026593E-5</v>
      </c>
      <c r="Q76" s="56">
        <f t="shared" si="50"/>
        <v>5.3895620664996433E-4</v>
      </c>
      <c r="R76" s="9">
        <f t="shared" si="43"/>
        <v>1.4999999999999999E-4</v>
      </c>
      <c r="S76" s="9">
        <f t="shared" si="39"/>
        <v>4.9013644633911434E-7</v>
      </c>
      <c r="T76" s="9">
        <f t="shared" si="40"/>
        <v>1.0846678400819764E-5</v>
      </c>
      <c r="U76" s="9">
        <f t="shared" si="41"/>
        <v>1.4950986355366088E-4</v>
      </c>
      <c r="V76" s="102">
        <f t="shared" si="42"/>
        <v>7.2548246269563091E-2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40"/>
      <c r="H77" s="140"/>
      <c r="I77" s="54">
        <f t="shared" si="44"/>
        <v>2.0958974367173925E-3</v>
      </c>
      <c r="J77" s="54">
        <f t="shared" si="45"/>
        <v>2.1447334021721123E-2</v>
      </c>
      <c r="K77" s="55">
        <f t="shared" si="46"/>
        <v>0.98976013922491801</v>
      </c>
      <c r="L77" s="55">
        <f t="shared" si="47"/>
        <v>2.7316659773597506E-4</v>
      </c>
      <c r="M77" s="55">
        <f t="shared" si="19"/>
        <v>0.99972683340226398</v>
      </c>
      <c r="N77" s="55">
        <f t="shared" si="48"/>
        <v>3.9480283225929995E-6</v>
      </c>
      <c r="O77" s="56">
        <f t="shared" si="21"/>
        <v>9.9517379680877124E-7</v>
      </c>
      <c r="P77" s="56">
        <f t="shared" si="49"/>
        <v>1.0455535150772321E-6</v>
      </c>
      <c r="Q77" s="56">
        <f t="shared" si="50"/>
        <v>1.5111199262734581E-6</v>
      </c>
      <c r="R77" s="9">
        <f t="shared" si="43"/>
        <v>1.4999999999999999E-4</v>
      </c>
      <c r="S77" s="9">
        <f t="shared" si="39"/>
        <v>4.0974989660396253E-8</v>
      </c>
      <c r="T77" s="9">
        <f t="shared" si="40"/>
        <v>1.484640208837377E-4</v>
      </c>
      <c r="U77" s="9">
        <f t="shared" si="41"/>
        <v>1.4995902501033958E-4</v>
      </c>
      <c r="V77" s="102">
        <f t="shared" si="42"/>
        <v>0.99003058251079712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190</v>
      </c>
      <c r="C78" s="46" t="s">
        <v>191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0.56646209105716006</v>
      </c>
      <c r="K78" s="55">
        <f t="shared" si="46"/>
        <v>0.81215670459243972</v>
      </c>
      <c r="L78" s="55">
        <f t="shared" si="47"/>
        <v>7.8623473235645187E-4</v>
      </c>
      <c r="M78" s="55">
        <f t="shared" si="19"/>
        <v>0.99921376526764349</v>
      </c>
      <c r="N78" s="55">
        <f t="shared" si="48"/>
        <v>1.694311014140702E-4</v>
      </c>
      <c r="O78" s="56">
        <f t="shared" si="21"/>
        <v>8.1659893067212136E-7</v>
      </c>
      <c r="P78" s="56">
        <f t="shared" si="49"/>
        <v>3.0093375065044937E-6</v>
      </c>
      <c r="Q78" s="56">
        <f t="shared" si="50"/>
        <v>6.4850272732872342E-5</v>
      </c>
      <c r="R78" s="9">
        <f t="shared" si="43"/>
        <v>1.4999999999999999E-4</v>
      </c>
      <c r="S78" s="9">
        <f t="shared" si="39"/>
        <v>1.1793520985346777E-7</v>
      </c>
      <c r="T78" s="9">
        <f t="shared" si="40"/>
        <v>1.2182350568886595E-4</v>
      </c>
      <c r="U78" s="9">
        <f t="shared" si="41"/>
        <v>1.498820647901465E-4</v>
      </c>
      <c r="V78" s="102">
        <f t="shared" si="42"/>
        <v>0.81279575284363725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192</v>
      </c>
      <c r="C79" s="46" t="s">
        <v>193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1.4536912879965904</v>
      </c>
      <c r="K79" s="55">
        <f t="shared" si="46"/>
        <v>0.30907590391211465</v>
      </c>
      <c r="L79" s="55">
        <f t="shared" si="47"/>
        <v>2.3078455256534498E-3</v>
      </c>
      <c r="M79" s="55">
        <f t="shared" si="19"/>
        <v>0.99769215447434656</v>
      </c>
      <c r="N79" s="55">
        <f t="shared" si="48"/>
        <v>7.472147705321439E-4</v>
      </c>
      <c r="O79" s="56">
        <f t="shared" si="21"/>
        <v>3.1076644593829735E-7</v>
      </c>
      <c r="P79" s="56">
        <f t="shared" si="49"/>
        <v>8.8333493977709966E-6</v>
      </c>
      <c r="Q79" s="56">
        <f t="shared" si="50"/>
        <v>2.8599874081333275E-4</v>
      </c>
      <c r="R79" s="9">
        <f t="shared" si="43"/>
        <v>1.4999999999999999E-4</v>
      </c>
      <c r="S79" s="9">
        <f t="shared" si="39"/>
        <v>3.4617682884801744E-7</v>
      </c>
      <c r="T79" s="9">
        <f t="shared" si="40"/>
        <v>4.6361385586817194E-5</v>
      </c>
      <c r="U79" s="9">
        <f t="shared" si="41"/>
        <v>1.4965382317115198E-4</v>
      </c>
      <c r="V79" s="102">
        <f t="shared" si="42"/>
        <v>0.30979085334689965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194</v>
      </c>
      <c r="C80" s="46" t="s">
        <v>195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4.2069917533022263</v>
      </c>
      <c r="K80" s="55">
        <f t="shared" si="46"/>
        <v>1.0423291898890325E-3</v>
      </c>
      <c r="L80" s="55">
        <f t="shared" si="47"/>
        <v>4.4100849334950988E-3</v>
      </c>
      <c r="M80" s="55">
        <f t="shared" si="19"/>
        <v>0.99558991506650485</v>
      </c>
      <c r="N80" s="55">
        <f t="shared" si="48"/>
        <v>2.9699641038184398E-3</v>
      </c>
      <c r="O80" s="56">
        <f t="shared" si="21"/>
        <v>1.048030382632694E-9</v>
      </c>
      <c r="P80" s="56">
        <f t="shared" si="49"/>
        <v>1.6879735085552492E-5</v>
      </c>
      <c r="Q80" s="56">
        <f t="shared" si="50"/>
        <v>1.1367628524633563E-3</v>
      </c>
      <c r="R80" s="9">
        <f t="shared" si="43"/>
        <v>1.4999999999999999E-4</v>
      </c>
      <c r="S80" s="9">
        <f t="shared" si="39"/>
        <v>6.6151274002426473E-7</v>
      </c>
      <c r="T80" s="9">
        <f t="shared" si="40"/>
        <v>1.5634937848335487E-7</v>
      </c>
      <c r="U80" s="9">
        <f t="shared" si="41"/>
        <v>1.4933848725997572E-4</v>
      </c>
      <c r="V80" s="102">
        <f t="shared" si="42"/>
        <v>1.0469463120459648E-3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196</v>
      </c>
      <c r="C81" s="46" t="s">
        <v>197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1.6793358904404492</v>
      </c>
      <c r="K81" s="55">
        <f t="shared" si="46"/>
        <v>0.22520569266645907</v>
      </c>
      <c r="L81" s="55">
        <f t="shared" si="47"/>
        <v>2.8272587371615146E-3</v>
      </c>
      <c r="M81" s="55">
        <f t="shared" si="19"/>
        <v>0.9971727412628385</v>
      </c>
      <c r="N81" s="55">
        <f t="shared" si="48"/>
        <v>1.267831869438799E-3</v>
      </c>
      <c r="O81" s="56">
        <f t="shared" si="21"/>
        <v>2.264374926326463E-7</v>
      </c>
      <c r="P81" s="56">
        <f t="shared" si="49"/>
        <v>1.0821419365222551E-5</v>
      </c>
      <c r="Q81" s="56">
        <f t="shared" si="50"/>
        <v>4.8526652914566797E-4</v>
      </c>
      <c r="R81" s="9">
        <f t="shared" si="43"/>
        <v>1.4999999999999999E-4</v>
      </c>
      <c r="S81" s="9">
        <f t="shared" si="39"/>
        <v>4.2408881057422715E-7</v>
      </c>
      <c r="T81" s="9">
        <f t="shared" si="40"/>
        <v>3.3780853899968859E-5</v>
      </c>
      <c r="U81" s="9">
        <f t="shared" si="41"/>
        <v>1.4957591118942577E-4</v>
      </c>
      <c r="V81" s="102">
        <f t="shared" si="42"/>
        <v>0.2258442126900243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198</v>
      </c>
      <c r="C82" s="46" t="s">
        <v>199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2.4736918816104327</v>
      </c>
      <c r="K82" s="55">
        <f t="shared" si="46"/>
        <v>4.8149533818771149E-2</v>
      </c>
      <c r="L82" s="55">
        <f t="shared" si="47"/>
        <v>3.7647337590740095E-3</v>
      </c>
      <c r="M82" s="55">
        <f t="shared" si="19"/>
        <v>0.99623526624092595</v>
      </c>
      <c r="N82" s="55">
        <f t="shared" si="48"/>
        <v>2.1129556759185383E-3</v>
      </c>
      <c r="O82" s="56">
        <f t="shared" si="21"/>
        <v>4.8412895696651096E-8</v>
      </c>
      <c r="P82" s="56">
        <f t="shared" si="49"/>
        <v>1.4409633709807583E-5</v>
      </c>
      <c r="Q82" s="56">
        <f t="shared" si="50"/>
        <v>8.0874025318948149E-4</v>
      </c>
      <c r="R82" s="9">
        <f t="shared" si="43"/>
        <v>1.4999999999999999E-4</v>
      </c>
      <c r="S82" s="9">
        <f t="shared" si="39"/>
        <v>5.6471006386110137E-7</v>
      </c>
      <c r="T82" s="9">
        <f t="shared" si="40"/>
        <v>7.2224300728156719E-6</v>
      </c>
      <c r="U82" s="9">
        <f t="shared" si="41"/>
        <v>1.4943528993613888E-4</v>
      </c>
      <c r="V82" s="102">
        <f t="shared" si="42"/>
        <v>4.8331489007062356E-2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200</v>
      </c>
      <c r="C83" s="46" t="s">
        <v>201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1.8576970931564492</v>
      </c>
      <c r="K83" s="55">
        <f t="shared" si="46"/>
        <v>0.16315772224507122</v>
      </c>
      <c r="L83" s="55">
        <f t="shared" si="47"/>
        <v>3.0885527778958407E-3</v>
      </c>
      <c r="M83" s="55">
        <f t="shared" si="19"/>
        <v>0.99691144722210412</v>
      </c>
      <c r="N83" s="55">
        <f t="shared" si="48"/>
        <v>1.4566457092442748E-3</v>
      </c>
      <c r="O83" s="56">
        <f t="shared" si="21"/>
        <v>1.6405014052440095E-7</v>
      </c>
      <c r="P83" s="56">
        <f t="shared" si="49"/>
        <v>1.1821530304930349E-5</v>
      </c>
      <c r="Q83" s="56">
        <f t="shared" si="50"/>
        <v>5.5753560433276412E-4</v>
      </c>
      <c r="R83" s="9">
        <f t="shared" si="43"/>
        <v>1.4999999999999999E-4</v>
      </c>
      <c r="S83" s="9">
        <f t="shared" si="39"/>
        <v>4.6328291668437604E-7</v>
      </c>
      <c r="T83" s="9">
        <f t="shared" si="40"/>
        <v>2.447365833676068E-5</v>
      </c>
      <c r="U83" s="9">
        <f t="shared" si="41"/>
        <v>1.495367170833156E-4</v>
      </c>
      <c r="V83" s="102">
        <f t="shared" si="42"/>
        <v>0.16366320469055759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0.41912406778565536</v>
      </c>
      <c r="K84" s="55">
        <f t="shared" si="46"/>
        <v>0.87313713589756503</v>
      </c>
      <c r="L84" s="55">
        <f t="shared" si="47"/>
        <v>6.0208364166835268E-4</v>
      </c>
      <c r="M84" s="55">
        <f t="shared" si="19"/>
        <v>0.99939791635833164</v>
      </c>
      <c r="N84" s="55">
        <f t="shared" si="48"/>
        <v>9.9857746256672305E-5</v>
      </c>
      <c r="O84" s="56">
        <f t="shared" si="21"/>
        <v>8.7791290458147817E-7</v>
      </c>
      <c r="P84" s="56">
        <f t="shared" si="49"/>
        <v>2.3044935696175073E-6</v>
      </c>
      <c r="Q84" s="56">
        <f t="shared" si="50"/>
        <v>3.8220858066719664E-5</v>
      </c>
      <c r="R84" s="9">
        <f t="shared" si="43"/>
        <v>1.4999999999999999E-4</v>
      </c>
      <c r="S84" s="9">
        <f t="shared" si="39"/>
        <v>9.0312546250252897E-8</v>
      </c>
      <c r="T84" s="9">
        <f t="shared" si="40"/>
        <v>1.3097057038463473E-4</v>
      </c>
      <c r="U84" s="9">
        <f t="shared" si="41"/>
        <v>1.4990968745374973E-4</v>
      </c>
      <c r="V84" s="102">
        <f t="shared" si="42"/>
        <v>0.8736631541910318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202</v>
      </c>
      <c r="C85" s="46" t="s">
        <v>203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0.61860589125383414</v>
      </c>
      <c r="J85" s="54">
        <f t="shared" si="45"/>
        <v>1.6547513221475207</v>
      </c>
      <c r="K85" s="55">
        <f t="shared" si="46"/>
        <v>0.23872994957829266</v>
      </c>
      <c r="L85" s="55">
        <f t="shared" si="47"/>
        <v>2.8320996388683829E-3</v>
      </c>
      <c r="M85" s="55">
        <f t="shared" si="19"/>
        <v>0.99716790036113157</v>
      </c>
      <c r="N85" s="55">
        <f t="shared" si="48"/>
        <v>1.3253396975698949E-3</v>
      </c>
      <c r="O85" s="56">
        <f t="shared" si="21"/>
        <v>2.4003572271544841E-7</v>
      </c>
      <c r="P85" s="56">
        <f t="shared" si="49"/>
        <v>1.0839948064696455E-5</v>
      </c>
      <c r="Q85" s="56">
        <f t="shared" si="50"/>
        <v>5.0727782640721674E-4</v>
      </c>
      <c r="R85" s="9">
        <f t="shared" si="43"/>
        <v>1.4999999999999999E-4</v>
      </c>
      <c r="S85" s="9">
        <f t="shared" si="39"/>
        <v>4.248149458302574E-7</v>
      </c>
      <c r="T85" s="9">
        <f t="shared" si="40"/>
        <v>3.5809492436743897E-5</v>
      </c>
      <c r="U85" s="9">
        <f t="shared" si="41"/>
        <v>1.4957518505416973E-4</v>
      </c>
      <c r="V85" s="102">
        <f t="shared" si="42"/>
        <v>0.23940797682299528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1.0664462987751342</v>
      </c>
      <c r="K86" s="55">
        <f t="shared" si="46"/>
        <v>0.54363922266011622</v>
      </c>
      <c r="L86" s="55">
        <f t="shared" si="47"/>
        <v>1.6642071430775192E-3</v>
      </c>
      <c r="M86" s="55">
        <f t="shared" si="19"/>
        <v>0.99833579285692253</v>
      </c>
      <c r="N86" s="55">
        <f t="shared" si="48"/>
        <v>5.8290943243049489E-4</v>
      </c>
      <c r="O86" s="56">
        <f t="shared" si="21"/>
        <v>5.4661274774361664E-7</v>
      </c>
      <c r="P86" s="56">
        <f t="shared" si="49"/>
        <v>6.369803785245831E-6</v>
      </c>
      <c r="Q86" s="56">
        <f t="shared" si="50"/>
        <v>2.2311036967940181E-4</v>
      </c>
      <c r="R86" s="9">
        <f t="shared" si="43"/>
        <v>1.4999999999999999E-4</v>
      </c>
      <c r="S86" s="9">
        <f t="shared" si="39"/>
        <v>2.4963107146162789E-7</v>
      </c>
      <c r="T86" s="9">
        <f t="shared" si="40"/>
        <v>8.1545883399017423E-5</v>
      </c>
      <c r="U86" s="9">
        <f t="shared" si="41"/>
        <v>1.4975036892853836E-4</v>
      </c>
      <c r="V86" s="102">
        <f t="shared" si="42"/>
        <v>0.54454545910288565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204</v>
      </c>
      <c r="C87" s="46" t="s">
        <v>205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206</v>
      </c>
      <c r="C88" s="46" t="s">
        <v>207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3.3868764044282145</v>
      </c>
      <c r="K88" s="55">
        <f t="shared" si="46"/>
        <v>7.2338851324848302E-3</v>
      </c>
      <c r="L88" s="55">
        <f t="shared" si="47"/>
        <v>4.6312509335789797E-3</v>
      </c>
      <c r="M88" s="55">
        <f t="shared" si="19"/>
        <v>0.99536874906642103</v>
      </c>
      <c r="N88" s="55">
        <f t="shared" si="48"/>
        <v>3.3458765139330647E-3</v>
      </c>
      <c r="O88" s="56">
        <f t="shared" si="21"/>
        <v>7.2734520695195634E-9</v>
      </c>
      <c r="P88" s="56">
        <f t="shared" si="49"/>
        <v>1.7726254721261312E-5</v>
      </c>
      <c r="Q88" s="56">
        <f t="shared" si="50"/>
        <v>1.2806444781870048E-3</v>
      </c>
      <c r="R88" s="9">
        <f>F88*$C$14</f>
        <v>1.4999999999999999E-4</v>
      </c>
      <c r="S88" s="9">
        <f t="shared" si="39"/>
        <v>6.9468764003684694E-7</v>
      </c>
      <c r="T88" s="9">
        <f t="shared" si="40"/>
        <v>1.0850827698727244E-6</v>
      </c>
      <c r="U88" s="9">
        <f t="shared" si="41"/>
        <v>1.4930531235996314E-4</v>
      </c>
      <c r="V88" s="102">
        <f t="shared" si="42"/>
        <v>7.2675429475454753E-3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208</v>
      </c>
      <c r="C89" s="46" t="s">
        <v>209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4.8225181897123042</v>
      </c>
      <c r="K89" s="55">
        <f t="shared" si="46"/>
        <v>2.9831942673081693E-4</v>
      </c>
      <c r="L89" s="55">
        <f t="shared" si="47"/>
        <v>5.2077487777396052E-3</v>
      </c>
      <c r="M89" s="55">
        <f t="shared" si="19"/>
        <v>0.99479225122226045</v>
      </c>
      <c r="N89" s="55">
        <f t="shared" si="48"/>
        <v>4.2408102016011657E-3</v>
      </c>
      <c r="O89" s="56">
        <f t="shared" si="21"/>
        <v>2.9995113441728406E-10</v>
      </c>
      <c r="P89" s="56">
        <f t="shared" si="49"/>
        <v>1.9932817867679307E-5</v>
      </c>
      <c r="Q89" s="56">
        <f t="shared" si="50"/>
        <v>1.6231830867348917E-3</v>
      </c>
      <c r="R89" s="9">
        <f>F89*$C$14</f>
        <v>1.4999999999999999E-4</v>
      </c>
      <c r="S89" s="9">
        <f t="shared" si="39"/>
        <v>7.8116231666094068E-7</v>
      </c>
      <c r="T89" s="9">
        <f t="shared" si="40"/>
        <v>4.4747914009622536E-8</v>
      </c>
      <c r="U89" s="9">
        <f t="shared" si="41"/>
        <v>1.4921883768333904E-4</v>
      </c>
      <c r="V89" s="102">
        <f t="shared" si="42"/>
        <v>2.9988113233118182E-4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210</v>
      </c>
      <c r="C90" s="46" t="s">
        <v>211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5.1896332804405967</v>
      </c>
      <c r="K90" s="55">
        <f t="shared" si="46"/>
        <v>1.3449778354513464E-4</v>
      </c>
      <c r="L90" s="55">
        <f t="shared" si="47"/>
        <v>5.4676248420257745E-3</v>
      </c>
      <c r="M90" s="55">
        <f t="shared" si="19"/>
        <v>0.99453237515797421</v>
      </c>
      <c r="N90" s="55">
        <f t="shared" si="48"/>
        <v>4.6551365806757903E-3</v>
      </c>
      <c r="O90" s="56">
        <f t="shared" si="21"/>
        <v>1.3523344152634086E-10</v>
      </c>
      <c r="P90" s="56">
        <f t="shared" si="49"/>
        <v>2.0927501459124345E-5</v>
      </c>
      <c r="Q90" s="56">
        <f t="shared" si="50"/>
        <v>1.7817677766717628E-3</v>
      </c>
      <c r="R90" s="9">
        <f>F90*$C$14</f>
        <v>1.4999999999999999E-4</v>
      </c>
      <c r="S90" s="9">
        <f t="shared" si="39"/>
        <v>8.2014372630386608E-7</v>
      </c>
      <c r="T90" s="9">
        <f t="shared" si="40"/>
        <v>2.0174667531770196E-8</v>
      </c>
      <c r="U90" s="9">
        <f t="shared" si="41"/>
        <v>1.4917985627369612E-4</v>
      </c>
      <c r="V90" s="102">
        <f t="shared" si="42"/>
        <v>1.3523720987340473E-4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5.609396901026626</v>
      </c>
      <c r="K91" s="55">
        <f t="shared" si="46"/>
        <v>5.3410446987586069E-5</v>
      </c>
      <c r="L91" s="55">
        <f t="shared" si="47"/>
        <v>5.7078613322575165E-3</v>
      </c>
      <c r="M91" s="55">
        <f t="shared" si="19"/>
        <v>0.99429213866774246</v>
      </c>
      <c r="N91" s="55">
        <f t="shared" si="48"/>
        <v>5.0384100865503425E-3</v>
      </c>
      <c r="O91" s="56">
        <f t="shared" si="21"/>
        <v>5.3702584304429095E-11</v>
      </c>
      <c r="P91" s="56">
        <f t="shared" si="49"/>
        <v>2.18470139796646E-5</v>
      </c>
      <c r="Q91" s="56">
        <f t="shared" si="50"/>
        <v>1.9284668843314902E-3</v>
      </c>
      <c r="R91" s="9">
        <f t="shared" ref="R91:R92" si="51">F91*$C$14</f>
        <v>1.4999999999999999E-4</v>
      </c>
      <c r="S91" s="9">
        <f t="shared" si="39"/>
        <v>8.561791998386274E-7</v>
      </c>
      <c r="T91" s="9">
        <f t="shared" si="40"/>
        <v>8.0115670481379099E-9</v>
      </c>
      <c r="U91" s="9">
        <f t="shared" si="41"/>
        <v>1.4914382080016136E-4</v>
      </c>
      <c r="V91" s="102">
        <f t="shared" si="42"/>
        <v>5.3717056497249412E-5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6.8585088282696232</v>
      </c>
      <c r="K92" s="55">
        <f t="shared" si="46"/>
        <v>3.2143518481373505E-6</v>
      </c>
      <c r="L92" s="55">
        <f t="shared" si="47"/>
        <v>6.0961064500376482E-3</v>
      </c>
      <c r="M92" s="55">
        <f t="shared" si="19"/>
        <v>0.99390389354996234</v>
      </c>
      <c r="N92" s="55">
        <f t="shared" si="48"/>
        <v>5.6581142653497705E-3</v>
      </c>
      <c r="O92" s="56">
        <f t="shared" si="21"/>
        <v>3.2319332798097441E-12</v>
      </c>
      <c r="P92" s="56">
        <f t="shared" si="49"/>
        <v>2.3333034053022705E-5</v>
      </c>
      <c r="Q92" s="56">
        <f t="shared" si="50"/>
        <v>2.1656605558205795E-3</v>
      </c>
      <c r="R92" s="9">
        <f t="shared" si="51"/>
        <v>1.4999999999999999E-4</v>
      </c>
      <c r="S92" s="9">
        <f t="shared" si="39"/>
        <v>9.144159675056471E-7</v>
      </c>
      <c r="T92" s="9">
        <f t="shared" si="40"/>
        <v>4.8215277722060253E-10</v>
      </c>
      <c r="U92" s="9">
        <f t="shared" si="41"/>
        <v>1.4908558403249435E-4</v>
      </c>
      <c r="V92" s="102">
        <f t="shared" si="42"/>
        <v>3.2340670652335752E-6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212</v>
      </c>
      <c r="C93" s="46" t="s">
        <v>213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0.98556517620768624</v>
      </c>
      <c r="K93" s="55">
        <f t="shared" si="46"/>
        <v>0.56049527173894154</v>
      </c>
      <c r="L93" s="55">
        <f t="shared" si="47"/>
        <v>1.4242539404012297E-3</v>
      </c>
      <c r="M93" s="55">
        <f t="shared" ref="M93:M127" si="52">IF(D93=0,"",1-L93)</f>
        <v>0.99857574605959876</v>
      </c>
      <c r="N93" s="55">
        <f t="shared" si="48"/>
        <v>2.6183171686251604E-4</v>
      </c>
      <c r="O93" s="56">
        <f t="shared" ref="O93:O127" si="53">IF(D93=0,"",F93*K93*$J$7/$J$14)</f>
        <v>5.6356099378442594E-7</v>
      </c>
      <c r="P93" s="56">
        <f t="shared" si="49"/>
        <v>5.4513755564961274E-6</v>
      </c>
      <c r="Q93" s="56">
        <f t="shared" si="50"/>
        <v>1.0021689115479186E-4</v>
      </c>
      <c r="R93" s="9">
        <f>F93*$C$14</f>
        <v>1.4999999999999999E-4</v>
      </c>
      <c r="S93" s="9">
        <f t="shared" si="39"/>
        <v>2.1363809106018443E-7</v>
      </c>
      <c r="T93" s="9">
        <f t="shared" si="40"/>
        <v>8.4074290760841221E-5</v>
      </c>
      <c r="U93" s="9">
        <f t="shared" si="41"/>
        <v>1.4978636190893981E-4</v>
      </c>
      <c r="V93" s="102">
        <f t="shared" si="42"/>
        <v>0.5612946979241864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214</v>
      </c>
      <c r="C94" s="46" t="s">
        <v>215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216</v>
      </c>
      <c r="C95" s="46" t="s">
        <v>217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218</v>
      </c>
      <c r="C96" s="46" t="s">
        <v>219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220</v>
      </c>
      <c r="C97" s="46" t="s">
        <v>221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222</v>
      </c>
      <c r="C98" s="46" t="s">
        <v>223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224</v>
      </c>
      <c r="C99" s="46" t="s">
        <v>225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226</v>
      </c>
      <c r="C100" s="46" t="s">
        <v>227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228</v>
      </c>
      <c r="C101" s="46" t="s">
        <v>229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230</v>
      </c>
      <c r="C102" s="46" t="s">
        <v>231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232</v>
      </c>
      <c r="C103" s="46" t="s">
        <v>233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234</v>
      </c>
      <c r="C104" s="46" t="s">
        <v>235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236</v>
      </c>
      <c r="C105" s="46" t="s">
        <v>237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238</v>
      </c>
      <c r="C106" s="46" t="s">
        <v>239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240</v>
      </c>
      <c r="C107" s="46" t="s">
        <v>241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0.1779757021952241</v>
      </c>
      <c r="K107" s="55">
        <f t="shared" si="46"/>
        <v>0.95173319350914187</v>
      </c>
      <c r="L107" s="55">
        <f t="shared" si="47"/>
        <v>3.7665281604261716E-4</v>
      </c>
      <c r="M107" s="55">
        <f t="shared" si="52"/>
        <v>0.9996233471839574</v>
      </c>
      <c r="N107" s="55">
        <f t="shared" si="48"/>
        <v>2.92130913386297E-5</v>
      </c>
      <c r="O107" s="56">
        <f t="shared" si="53"/>
        <v>9.5693885639316201E-7</v>
      </c>
      <c r="P107" s="56">
        <f t="shared" si="49"/>
        <v>1.441650183591363E-6</v>
      </c>
      <c r="Q107" s="56">
        <f t="shared" si="50"/>
        <v>1.1181400137691144E-5</v>
      </c>
      <c r="R107" s="9">
        <f>F107*$C$14</f>
        <v>1.4999999999999999E-4</v>
      </c>
      <c r="S107" s="9">
        <f t="shared" ref="S107:S108" si="54">$R107*L107</f>
        <v>5.6497922406392567E-8</v>
      </c>
      <c r="T107" s="9">
        <f t="shared" ref="T107:T108" si="55">R107*K107</f>
        <v>1.4275997902637126E-4</v>
      </c>
      <c r="U107" s="9">
        <f t="shared" ref="U107:U108" si="56">$R107*M107</f>
        <v>1.499435020775936E-4</v>
      </c>
      <c r="V107" s="102">
        <f t="shared" ref="V107:V108" si="57">K107/M107</f>
        <v>0.95209180156733331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242</v>
      </c>
      <c r="C108" s="46" t="s">
        <v>243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0.72322796015768975</v>
      </c>
      <c r="K108" s="55">
        <f t="shared" si="46"/>
        <v>0.72993710426955771</v>
      </c>
      <c r="L108" s="55">
        <f t="shared" si="47"/>
        <v>1.0138266441947687E-3</v>
      </c>
      <c r="M108" s="55">
        <f t="shared" si="52"/>
        <v>0.9989861733558052</v>
      </c>
      <c r="N108" s="55">
        <f t="shared" si="48"/>
        <v>2.301890923611325E-4</v>
      </c>
      <c r="O108" s="56">
        <f t="shared" si="53"/>
        <v>7.339296165800246E-7</v>
      </c>
      <c r="P108" s="56">
        <f t="shared" si="49"/>
        <v>3.8804525161649949E-6</v>
      </c>
      <c r="Q108" s="56">
        <f t="shared" si="50"/>
        <v>8.8105579761710276E-5</v>
      </c>
      <c r="R108" s="9">
        <f>F108*$C$14</f>
        <v>1.4999999999999999E-4</v>
      </c>
      <c r="S108" s="9">
        <f t="shared" si="54"/>
        <v>1.520739966292153E-7</v>
      </c>
      <c r="T108" s="9">
        <f t="shared" si="55"/>
        <v>1.0949056564043365E-4</v>
      </c>
      <c r="U108" s="9">
        <f t="shared" si="56"/>
        <v>1.4984792600337076E-4</v>
      </c>
      <c r="V108" s="102">
        <f t="shared" si="57"/>
        <v>0.73067788497767194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244</v>
      </c>
      <c r="C109" s="46" t="s">
        <v>245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246</v>
      </c>
      <c r="C110" s="46" t="s">
        <v>247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248</v>
      </c>
      <c r="C111" s="46" t="s">
        <v>249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250</v>
      </c>
      <c r="C112" s="46" t="s">
        <v>251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252</v>
      </c>
      <c r="C113" s="46" t="s">
        <v>253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254</v>
      </c>
      <c r="C114" s="46" t="s">
        <v>255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0.5957275880920595</v>
      </c>
      <c r="K114" s="55">
        <f t="shared" si="46"/>
        <v>0.80078654541559424</v>
      </c>
      <c r="L114" s="55">
        <f t="shared" si="47"/>
        <v>8.2926752044741082E-4</v>
      </c>
      <c r="M114" s="55">
        <f t="shared" si="52"/>
        <v>0.99917073247955257</v>
      </c>
      <c r="N114" s="55">
        <f t="shared" si="48"/>
        <v>1.9628904759559895E-4</v>
      </c>
      <c r="O114" s="56">
        <f t="shared" si="53"/>
        <v>8.0516658051988906E-7</v>
      </c>
      <c r="P114" s="56">
        <f t="shared" si="49"/>
        <v>3.1740468202528864E-6</v>
      </c>
      <c r="Q114" s="56">
        <f t="shared" si="50"/>
        <v>7.5130233852055078E-5</v>
      </c>
      <c r="R114" s="9">
        <f>F114*$C$14</f>
        <v>1.4999999999999999E-4</v>
      </c>
      <c r="S114" s="9">
        <f t="shared" ref="S114:S116" si="58">$R114*L114</f>
        <v>1.2439012806711162E-7</v>
      </c>
      <c r="T114" s="9">
        <f t="shared" ref="T114:T116" si="59">R114*K114</f>
        <v>1.2011798181233913E-4</v>
      </c>
      <c r="U114" s="9">
        <f t="shared" ref="U114:U116" si="60">$R114*M114</f>
        <v>1.4987560987193287E-4</v>
      </c>
      <c r="V114" s="102">
        <f t="shared" ref="V114:V116" si="61">K114/M114</f>
        <v>0.8014511628341574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256</v>
      </c>
      <c r="C115" s="46" t="s">
        <v>257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0.17110445915344094</v>
      </c>
      <c r="J115" s="54">
        <f t="shared" si="45"/>
        <v>0.78224006697670034</v>
      </c>
      <c r="K115" s="55">
        <f t="shared" si="46"/>
        <v>0.67015725958798211</v>
      </c>
      <c r="L115" s="55">
        <f t="shared" si="47"/>
        <v>1.0662697627167809E-3</v>
      </c>
      <c r="M115" s="55">
        <f t="shared" si="52"/>
        <v>0.99893373023728327</v>
      </c>
      <c r="N115" s="55">
        <f t="shared" si="48"/>
        <v>9.3890797228992929E-5</v>
      </c>
      <c r="O115" s="56">
        <f t="shared" si="53"/>
        <v>6.7382279610229756E-7</v>
      </c>
      <c r="P115" s="56">
        <f t="shared" si="49"/>
        <v>4.0811801577095814E-6</v>
      </c>
      <c r="Q115" s="56">
        <f t="shared" si="50"/>
        <v>3.5936990060204884E-5</v>
      </c>
      <c r="R115" s="9">
        <f>F115*$C$14</f>
        <v>1.4999999999999999E-4</v>
      </c>
      <c r="S115" s="9">
        <f t="shared" si="58"/>
        <v>1.5994046440751711E-7</v>
      </c>
      <c r="T115" s="9">
        <f t="shared" si="59"/>
        <v>1.0052358893819731E-4</v>
      </c>
      <c r="U115" s="9">
        <f t="shared" si="60"/>
        <v>1.4984005953559248E-4</v>
      </c>
      <c r="V115" s="102">
        <f t="shared" si="61"/>
        <v>0.67087259074613015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258</v>
      </c>
      <c r="C116" s="46" t="s">
        <v>259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5.4647098001601571E-2</v>
      </c>
      <c r="K116" s="55">
        <f t="shared" si="46"/>
        <v>0.98132125587743368</v>
      </c>
      <c r="L116" s="55">
        <f t="shared" si="47"/>
        <v>2.9235370641882E-4</v>
      </c>
      <c r="M116" s="55">
        <f t="shared" si="52"/>
        <v>0.99970764629358122</v>
      </c>
      <c r="N116" s="55">
        <f t="shared" si="48"/>
        <v>3.5220580213535225E-6</v>
      </c>
      <c r="O116" s="56">
        <f t="shared" si="53"/>
        <v>9.8668875558623932E-7</v>
      </c>
      <c r="P116" s="56">
        <f t="shared" si="49"/>
        <v>1.1189927609212911E-6</v>
      </c>
      <c r="Q116" s="56">
        <f t="shared" si="50"/>
        <v>1.34807848948333E-6</v>
      </c>
      <c r="R116" s="9">
        <f>F116*$C$14</f>
        <v>1.4999999999999999E-4</v>
      </c>
      <c r="S116" s="9">
        <f t="shared" si="58"/>
        <v>4.3853055962822996E-8</v>
      </c>
      <c r="T116" s="9">
        <f t="shared" si="59"/>
        <v>1.4719818838161504E-4</v>
      </c>
      <c r="U116" s="9">
        <f t="shared" si="60"/>
        <v>1.4995614694403718E-4</v>
      </c>
      <c r="V116" s="102">
        <f t="shared" si="61"/>
        <v>0.98160823268250963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260</v>
      </c>
      <c r="C117" s="46" t="s">
        <v>261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262</v>
      </c>
      <c r="C118" s="46" t="s">
        <v>263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264</v>
      </c>
      <c r="C119" s="46" t="s">
        <v>265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2.594576847430778</v>
      </c>
      <c r="K119" s="55">
        <f t="shared" si="46"/>
        <v>3.5573410530785644E-2</v>
      </c>
      <c r="L119" s="55">
        <f t="shared" si="47"/>
        <v>3.6741142071398873E-3</v>
      </c>
      <c r="M119" s="55">
        <f t="shared" si="52"/>
        <v>0.99632588579286008</v>
      </c>
      <c r="N119" s="55">
        <f t="shared" si="48"/>
        <v>1.9219797360528696E-3</v>
      </c>
      <c r="O119" s="56">
        <f t="shared" si="53"/>
        <v>3.5767985212136548E-8</v>
      </c>
      <c r="P119" s="56">
        <f t="shared" si="49"/>
        <v>1.4062784600711815E-5</v>
      </c>
      <c r="Q119" s="56">
        <f t="shared" si="50"/>
        <v>7.3564362758567268E-4</v>
      </c>
      <c r="R119" s="9">
        <f>F119*$C$14</f>
        <v>1.4999999999999999E-4</v>
      </c>
      <c r="S119" s="9">
        <f t="shared" ref="S119:S121" si="62">$R119*L119</f>
        <v>5.5111713107098305E-7</v>
      </c>
      <c r="T119" s="9">
        <f t="shared" ref="T119:T121" si="63">R119*K119</f>
        <v>5.3360115796178462E-6</v>
      </c>
      <c r="U119" s="9">
        <f t="shared" ref="U119:U121" si="64">$R119*M119</f>
        <v>1.49448882868929E-4</v>
      </c>
      <c r="V119" s="102">
        <f t="shared" ref="V119:V121" si="65">K119/M119</f>
        <v>3.5704593284231388E-2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266</v>
      </c>
      <c r="C120" s="46" t="s">
        <v>267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0.87356769077484919</v>
      </c>
      <c r="K120" s="55">
        <f t="shared" si="46"/>
        <v>0.63839593203027245</v>
      </c>
      <c r="L120" s="55">
        <f t="shared" si="47"/>
        <v>1.2534531378945637E-3</v>
      </c>
      <c r="M120" s="55">
        <f t="shared" si="52"/>
        <v>0.9987465468621054</v>
      </c>
      <c r="N120" s="55">
        <f t="shared" si="48"/>
        <v>2.7585217407474517E-4</v>
      </c>
      <c r="O120" s="56">
        <f t="shared" si="53"/>
        <v>6.418877446846426E-7</v>
      </c>
      <c r="P120" s="56">
        <f t="shared" si="49"/>
        <v>4.7976302563058671E-6</v>
      </c>
      <c r="Q120" s="56">
        <f t="shared" si="50"/>
        <v>1.0558326407253955E-4</v>
      </c>
      <c r="R120" s="9">
        <f>F120*$C$14</f>
        <v>1.4999999999999999E-4</v>
      </c>
      <c r="S120" s="9">
        <f t="shared" si="62"/>
        <v>1.8801797068418454E-7</v>
      </c>
      <c r="T120" s="9">
        <f t="shared" si="63"/>
        <v>9.5759389804540862E-5</v>
      </c>
      <c r="U120" s="9">
        <f t="shared" si="64"/>
        <v>1.498119820293158E-4</v>
      </c>
      <c r="V120" s="102">
        <f t="shared" si="65"/>
        <v>0.639197135685731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268</v>
      </c>
      <c r="C121" s="46" t="s">
        <v>269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3.1059362408784228</v>
      </c>
      <c r="K121" s="55">
        <f t="shared" si="46"/>
        <v>1.0044517946388692E-2</v>
      </c>
      <c r="L121" s="55">
        <f t="shared" si="47"/>
        <v>3.3675623089918232E-3</v>
      </c>
      <c r="M121" s="55">
        <f t="shared" si="52"/>
        <v>0.99663243769100818</v>
      </c>
      <c r="N121" s="55">
        <f t="shared" si="48"/>
        <v>1.3385617146325253E-3</v>
      </c>
      <c r="O121" s="56">
        <f t="shared" si="53"/>
        <v>1.0099458106738252E-8</v>
      </c>
      <c r="P121" s="56">
        <f t="shared" si="49"/>
        <v>1.2889447826308322E-5</v>
      </c>
      <c r="Q121" s="56">
        <f t="shared" si="50"/>
        <v>5.1233859391350094E-4</v>
      </c>
      <c r="R121" s="9">
        <f>F121*$C$14</f>
        <v>1.4999999999999999E-4</v>
      </c>
      <c r="S121" s="9">
        <f t="shared" si="62"/>
        <v>5.0513434634877345E-7</v>
      </c>
      <c r="T121" s="9">
        <f t="shared" si="63"/>
        <v>1.5066776919583038E-6</v>
      </c>
      <c r="U121" s="9">
        <f t="shared" si="64"/>
        <v>1.4949486565365121E-4</v>
      </c>
      <c r="V121" s="102">
        <f t="shared" si="65"/>
        <v>1.0078457780944567E-2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270</v>
      </c>
      <c r="C122" s="46" t="s">
        <v>271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272</v>
      </c>
      <c r="C123" s="46" t="s">
        <v>273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274</v>
      </c>
      <c r="C124" s="46" t="s">
        <v>275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1.7480313432951757</v>
      </c>
      <c r="K124" s="55">
        <f t="shared" si="68"/>
        <v>0.20671589101445823</v>
      </c>
      <c r="L124" s="55">
        <f t="shared" si="69"/>
        <v>3.0398734702552109E-3</v>
      </c>
      <c r="M124" s="55">
        <f t="shared" si="52"/>
        <v>0.99696012652974475</v>
      </c>
      <c r="N124" s="55">
        <f t="shared" si="70"/>
        <v>1.5392464615310705E-3</v>
      </c>
      <c r="O124" s="56">
        <f t="shared" si="53"/>
        <v>2.0784655793742584E-7</v>
      </c>
      <c r="P124" s="56">
        <f t="shared" si="71"/>
        <v>1.1635208764752951E-5</v>
      </c>
      <c r="Q124" s="56">
        <f t="shared" si="72"/>
        <v>5.89151295129981E-4</v>
      </c>
      <c r="R124" s="9">
        <f>F124*$C$14</f>
        <v>1.4999999999999999E-4</v>
      </c>
      <c r="S124" s="9">
        <f t="shared" ref="S124:S127" si="73">$R124*L124</f>
        <v>4.5598102053828158E-7</v>
      </c>
      <c r="T124" s="9">
        <f t="shared" ref="T124:T127" si="74">R124*K124</f>
        <v>3.1007383652168733E-5</v>
      </c>
      <c r="U124" s="9">
        <f t="shared" ref="U124:U127" si="75">$R124*M124</f>
        <v>1.4954401897946171E-4</v>
      </c>
      <c r="V124" s="102">
        <f t="shared" ref="V124:V127" si="76">K124/M124</f>
        <v>0.2073461972185412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276</v>
      </c>
      <c r="C125" s="46" t="s">
        <v>277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278</v>
      </c>
      <c r="C126" s="46" t="s">
        <v>279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1.1902304989634933</v>
      </c>
      <c r="K126" s="55">
        <f t="shared" si="68"/>
        <v>0.4508593666008282</v>
      </c>
      <c r="L126" s="55">
        <f t="shared" si="69"/>
        <v>1.8353626762778494E-3</v>
      </c>
      <c r="M126" s="55">
        <f t="shared" si="52"/>
        <v>0.99816463732372218</v>
      </c>
      <c r="N126" s="55">
        <f t="shared" si="70"/>
        <v>5.1468960462373024E-4</v>
      </c>
      <c r="O126" s="56">
        <f t="shared" si="53"/>
        <v>4.5332541684120392E-7</v>
      </c>
      <c r="P126" s="56">
        <f t="shared" si="71"/>
        <v>7.0249068280251934E-6</v>
      </c>
      <c r="Q126" s="56">
        <f t="shared" si="72"/>
        <v>1.9699902175015506E-4</v>
      </c>
      <c r="R126" s="9">
        <f>F126*$C$14</f>
        <v>1.4999999999999999E-4</v>
      </c>
      <c r="S126" s="9">
        <f t="shared" si="73"/>
        <v>2.753044014416774E-7</v>
      </c>
      <c r="T126" s="9">
        <f t="shared" si="74"/>
        <v>6.7628904990124219E-5</v>
      </c>
      <c r="U126" s="9">
        <f t="shared" si="75"/>
        <v>1.4972469559855831E-4</v>
      </c>
      <c r="V126" s="102">
        <f t="shared" si="76"/>
        <v>0.45168837859220479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280</v>
      </c>
      <c r="C127" s="46" t="s">
        <v>281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5.8210314832370788E-3</v>
      </c>
      <c r="K127" s="55">
        <f t="shared" si="68"/>
        <v>0.9933080616322546</v>
      </c>
      <c r="L127" s="55">
        <f t="shared" si="69"/>
        <v>2.6445713691861523E-4</v>
      </c>
      <c r="M127" s="55">
        <f t="shared" si="52"/>
        <v>0.99973554286308142</v>
      </c>
      <c r="N127" s="55">
        <f t="shared" si="70"/>
        <v>3.1009392659243673E-6</v>
      </c>
      <c r="O127" s="56">
        <f t="shared" si="53"/>
        <v>9.9874112516739474E-7</v>
      </c>
      <c r="P127" s="56">
        <f t="shared" si="71"/>
        <v>1.0122177871826403E-6</v>
      </c>
      <c r="Q127" s="56">
        <f t="shared" si="72"/>
        <v>1.1868939967037739E-6</v>
      </c>
      <c r="R127" s="9">
        <f>F127*$C$14</f>
        <v>1.4999999999999999E-4</v>
      </c>
      <c r="S127" s="9">
        <f t="shared" si="73"/>
        <v>3.9668570537792281E-8</v>
      </c>
      <c r="T127" s="9">
        <f t="shared" si="74"/>
        <v>1.4899620924483818E-4</v>
      </c>
      <c r="U127" s="9">
        <f t="shared" si="75"/>
        <v>1.499603314294622E-4</v>
      </c>
      <c r="V127" s="102">
        <f t="shared" si="76"/>
        <v>0.99357081852624796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282</v>
      </c>
      <c r="C128" s="46" t="s">
        <v>283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284</v>
      </c>
      <c r="C129" s="46" t="s">
        <v>285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286</v>
      </c>
      <c r="C130" s="46" t="s">
        <v>287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0.17844969461457041</v>
      </c>
      <c r="K130" s="55">
        <f t="shared" si="79"/>
        <v>0.94829498977632976</v>
      </c>
      <c r="L130" s="55">
        <f t="shared" si="80"/>
        <v>3.7570195139163966E-4</v>
      </c>
      <c r="M130" s="55">
        <f t="shared" si="81"/>
        <v>0.99962429804860831</v>
      </c>
      <c r="N130" s="55">
        <f t="shared" si="82"/>
        <v>1.503992796515896E-5</v>
      </c>
      <c r="O130" s="56">
        <f t="shared" si="83"/>
        <v>9.5348184683358912E-7</v>
      </c>
      <c r="P130" s="56">
        <f t="shared" si="84"/>
        <v>1.4380107200316453E-6</v>
      </c>
      <c r="Q130" s="56">
        <f t="shared" si="85"/>
        <v>5.7565784692604031E-6</v>
      </c>
      <c r="R130" s="9">
        <f>F130*$C$14</f>
        <v>1.4999999999999999E-4</v>
      </c>
      <c r="S130" s="9">
        <f t="shared" ref="S130:S131" si="86">$R130*L130</f>
        <v>5.6355292708745942E-8</v>
      </c>
      <c r="T130" s="9">
        <f t="shared" ref="T130:T131" si="87">R130*K130</f>
        <v>1.4224424846644946E-4</v>
      </c>
      <c r="U130" s="9">
        <f t="shared" ref="U130:U131" si="88">$R130*M130</f>
        <v>1.4994364470729123E-4</v>
      </c>
      <c r="V130" s="102">
        <f t="shared" ref="V130:V131" si="89">K130/M130</f>
        <v>0.94865139995848458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288</v>
      </c>
      <c r="C131" s="46" t="s">
        <v>289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-6.9344795452376167E-3</v>
      </c>
      <c r="K131" s="55">
        <f t="shared" si="79"/>
        <v>0.99590075069623507</v>
      </c>
      <c r="L131" s="55">
        <f t="shared" si="80"/>
        <v>2.574731108858679E-4</v>
      </c>
      <c r="M131" s="55">
        <f t="shared" si="81"/>
        <v>0.99974252688911414</v>
      </c>
      <c r="N131" s="55">
        <f t="shared" si="82"/>
        <v>1.4928334573116948E-6</v>
      </c>
      <c r="O131" s="56">
        <f t="shared" si="83"/>
        <v>1.0013479953751267E-6</v>
      </c>
      <c r="P131" s="56">
        <f t="shared" si="84"/>
        <v>9.8548621374558423E-7</v>
      </c>
      <c r="Q131" s="56">
        <f t="shared" si="85"/>
        <v>5.7138657568438986E-7</v>
      </c>
      <c r="R131" s="9">
        <f>F131*$C$14</f>
        <v>1.4999999999999999E-4</v>
      </c>
      <c r="S131" s="9">
        <f t="shared" si="86"/>
        <v>3.8620966632880183E-8</v>
      </c>
      <c r="T131" s="9">
        <f t="shared" si="87"/>
        <v>1.4938511260443525E-4</v>
      </c>
      <c r="U131" s="9">
        <f t="shared" si="88"/>
        <v>1.4996137903336711E-4</v>
      </c>
      <c r="V131" s="102">
        <f t="shared" si="89"/>
        <v>0.99615723439830706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290</v>
      </c>
      <c r="C132" s="46" t="s">
        <v>291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292</v>
      </c>
      <c r="C133" s="46" t="s">
        <v>293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294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2024-10-28T22:40:41Z</dcterms:modified>
</cp:coreProperties>
</file>