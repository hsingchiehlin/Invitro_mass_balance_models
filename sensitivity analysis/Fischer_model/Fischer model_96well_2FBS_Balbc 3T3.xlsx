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5EAFD0D9-E224-4F2B-A55E-702C0A9D13D3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3" i="4" l="1"/>
  <c r="R142" i="4"/>
  <c r="R141" i="4"/>
  <c r="T141" i="4" s="1"/>
  <c r="R140" i="4"/>
  <c r="R139" i="4"/>
  <c r="R138" i="4"/>
  <c r="S138" i="4" s="1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I135" i="4"/>
  <c r="J135" i="4"/>
  <c r="K135" i="4" s="1"/>
  <c r="O135" i="4" s="1"/>
  <c r="P135" i="4" s="1"/>
  <c r="N135" i="4"/>
  <c r="Q135" i="4"/>
  <c r="I136" i="4"/>
  <c r="J136" i="4"/>
  <c r="K136" i="4"/>
  <c r="O136" i="4" s="1"/>
  <c r="P136" i="4" s="1"/>
  <c r="I137" i="4"/>
  <c r="J137" i="4"/>
  <c r="K137" i="4" s="1"/>
  <c r="I138" i="4"/>
  <c r="J138" i="4"/>
  <c r="K138" i="4"/>
  <c r="L138" i="4"/>
  <c r="M138" i="4"/>
  <c r="V138" i="4" s="1"/>
  <c r="N138" i="4"/>
  <c r="Q138" i="4" s="1"/>
  <c r="O138" i="4"/>
  <c r="P138" i="4" s="1"/>
  <c r="I139" i="4"/>
  <c r="N139" i="4" s="1"/>
  <c r="Q139" i="4" s="1"/>
  <c r="J139" i="4"/>
  <c r="K139" i="4" s="1"/>
  <c r="I140" i="4"/>
  <c r="J140" i="4"/>
  <c r="K140" i="4" s="1"/>
  <c r="I141" i="4"/>
  <c r="N141" i="4" s="1"/>
  <c r="Q141" i="4" s="1"/>
  <c r="J141" i="4"/>
  <c r="K141" i="4"/>
  <c r="O141" i="4" s="1"/>
  <c r="P141" i="4" s="1"/>
  <c r="L141" i="4"/>
  <c r="M141" i="4" s="1"/>
  <c r="V141" i="4" s="1"/>
  <c r="I142" i="4"/>
  <c r="L142" i="4" s="1"/>
  <c r="M142" i="4" s="1"/>
  <c r="J142" i="4"/>
  <c r="K142" i="4"/>
  <c r="I143" i="4"/>
  <c r="J143" i="4"/>
  <c r="K143" i="4" s="1"/>
  <c r="O143" i="4" s="1"/>
  <c r="P143" i="4" s="1"/>
  <c r="N143" i="4"/>
  <c r="Q143" i="4"/>
  <c r="N137" i="4" l="1"/>
  <c r="Q137" i="4" s="1"/>
  <c r="L137" i="4"/>
  <c r="M137" i="4" s="1"/>
  <c r="U137" i="4" s="1"/>
  <c r="O137" i="4"/>
  <c r="P137" i="4" s="1"/>
  <c r="O139" i="4"/>
  <c r="P139" i="4" s="1"/>
  <c r="U143" i="4"/>
  <c r="O142" i="4"/>
  <c r="P142" i="4" s="1"/>
  <c r="V142" i="4"/>
  <c r="O140" i="4"/>
  <c r="P140" i="4" s="1"/>
  <c r="V140" i="4"/>
  <c r="L136" i="4"/>
  <c r="M136" i="4" s="1"/>
  <c r="U136" i="4" s="1"/>
  <c r="S139" i="4"/>
  <c r="U141" i="4"/>
  <c r="T138" i="4"/>
  <c r="T139" i="4"/>
  <c r="T143" i="4"/>
  <c r="V135" i="4"/>
  <c r="U138" i="4"/>
  <c r="L140" i="4"/>
  <c r="M140" i="4" s="1"/>
  <c r="N142" i="4"/>
  <c r="Q142" i="4" s="1"/>
  <c r="U140" i="4"/>
  <c r="S137" i="4"/>
  <c r="T137" i="4"/>
  <c r="U142" i="4"/>
  <c r="T142" i="4"/>
  <c r="U135" i="4"/>
  <c r="T135" i="4"/>
  <c r="S142" i="4"/>
  <c r="S135" i="4"/>
  <c r="S140" i="4"/>
  <c r="T140" i="4"/>
  <c r="T136" i="4"/>
  <c r="S141" i="4"/>
  <c r="L143" i="4"/>
  <c r="M143" i="4" s="1"/>
  <c r="V143" i="4" s="1"/>
  <c r="L139" i="4"/>
  <c r="M139" i="4" s="1"/>
  <c r="U139" i="4" s="1"/>
  <c r="L135" i="4"/>
  <c r="M135" i="4" s="1"/>
  <c r="N140" i="4"/>
  <c r="Q140" i="4" s="1"/>
  <c r="N136" i="4"/>
  <c r="Q136" i="4" s="1"/>
  <c r="V136" i="4" l="1"/>
  <c r="V137" i="4"/>
  <c r="S136" i="4"/>
  <c r="S143" i="4"/>
  <c r="V139" i="4"/>
  <c r="I128" i="4"/>
  <c r="J128" i="4"/>
  <c r="K128" i="4" s="1"/>
  <c r="I129" i="4"/>
  <c r="N129" i="4" s="1"/>
  <c r="Q129" i="4" s="1"/>
  <c r="J129" i="4"/>
  <c r="K129" i="4"/>
  <c r="I130" i="4"/>
  <c r="L130" i="4" s="1"/>
  <c r="J130" i="4"/>
  <c r="K130" i="4" s="1"/>
  <c r="I131" i="4"/>
  <c r="J131" i="4"/>
  <c r="K131" i="4" s="1"/>
  <c r="I132" i="4"/>
  <c r="N132" i="4" s="1"/>
  <c r="Q132" i="4" s="1"/>
  <c r="J132" i="4"/>
  <c r="K132" i="4" s="1"/>
  <c r="I133" i="4"/>
  <c r="L133" i="4" s="1"/>
  <c r="J133" i="4"/>
  <c r="K133" i="4"/>
  <c r="I134" i="4"/>
  <c r="J134" i="4"/>
  <c r="K134" i="4" s="1"/>
  <c r="N134" i="4"/>
  <c r="Q134" i="4" s="1"/>
  <c r="O130" i="4" l="1"/>
  <c r="P130" i="4" s="1"/>
  <c r="T130" i="4"/>
  <c r="S133" i="4"/>
  <c r="M133" i="4"/>
  <c r="U133" i="4" s="1"/>
  <c r="S130" i="4"/>
  <c r="M130" i="4"/>
  <c r="U130" i="4" s="1"/>
  <c r="O132" i="4"/>
  <c r="P132" i="4" s="1"/>
  <c r="T132" i="4"/>
  <c r="O129" i="4"/>
  <c r="P129" i="4" s="1"/>
  <c r="T129" i="4"/>
  <c r="O128" i="4"/>
  <c r="P128" i="4" s="1"/>
  <c r="T128" i="4"/>
  <c r="L128" i="4"/>
  <c r="L131" i="4"/>
  <c r="O134" i="4"/>
  <c r="P134" i="4" s="1"/>
  <c r="T134" i="4"/>
  <c r="N130" i="4"/>
  <c r="Q130" i="4" s="1"/>
  <c r="O133" i="4"/>
  <c r="P133" i="4" s="1"/>
  <c r="V133" i="4"/>
  <c r="T133" i="4"/>
  <c r="N133" i="4"/>
  <c r="Q133" i="4" s="1"/>
  <c r="L134" i="4"/>
  <c r="T131" i="4"/>
  <c r="O131" i="4"/>
  <c r="P131" i="4" s="1"/>
  <c r="L132" i="4"/>
  <c r="L129" i="4"/>
  <c r="N131" i="4"/>
  <c r="Q131" i="4" s="1"/>
  <c r="N128" i="4"/>
  <c r="Q128" i="4" s="1"/>
  <c r="M129" i="4" l="1"/>
  <c r="S129" i="4"/>
  <c r="M128" i="4"/>
  <c r="S128" i="4"/>
  <c r="M134" i="4"/>
  <c r="S134" i="4"/>
  <c r="M132" i="4"/>
  <c r="S132" i="4"/>
  <c r="V130" i="4"/>
  <c r="M131" i="4"/>
  <c r="S131" i="4"/>
  <c r="O15" i="1"/>
  <c r="L15" i="1"/>
  <c r="N15" i="1"/>
  <c r="J16" i="4"/>
  <c r="J15" i="4"/>
  <c r="J87" i="4"/>
  <c r="K87" i="4" s="1"/>
  <c r="J122" i="4"/>
  <c r="L122" i="4" s="1"/>
  <c r="K122" i="4"/>
  <c r="J117" i="4"/>
  <c r="K117" i="4" s="1"/>
  <c r="J120" i="4"/>
  <c r="K120" i="4" s="1"/>
  <c r="J101" i="4"/>
  <c r="L101" i="4" s="1"/>
  <c r="K101" i="4"/>
  <c r="J86" i="4"/>
  <c r="K86" i="4" s="1"/>
  <c r="J85" i="4"/>
  <c r="K85" i="4" s="1"/>
  <c r="J88" i="4"/>
  <c r="K88" i="4" s="1"/>
  <c r="J119" i="4"/>
  <c r="K119" i="4" s="1"/>
  <c r="J72" i="4"/>
  <c r="K72" i="4" s="1"/>
  <c r="J103" i="4"/>
  <c r="K103" i="4"/>
  <c r="O103" i="4" s="1"/>
  <c r="P103" i="4" s="1"/>
  <c r="J118" i="4"/>
  <c r="K118" i="4"/>
  <c r="J104" i="4"/>
  <c r="K104" i="4" s="1"/>
  <c r="J90" i="4"/>
  <c r="K90" i="4" s="1"/>
  <c r="J71" i="4"/>
  <c r="K71" i="4" s="1"/>
  <c r="J110" i="4"/>
  <c r="K110" i="4" s="1"/>
  <c r="J82" i="4"/>
  <c r="K82" i="4"/>
  <c r="J113" i="4"/>
  <c r="K113" i="4" s="1"/>
  <c r="J97" i="4"/>
  <c r="K97" i="4"/>
  <c r="J81" i="4"/>
  <c r="K81" i="4" s="1"/>
  <c r="J116" i="4"/>
  <c r="K116" i="4" s="1"/>
  <c r="J100" i="4"/>
  <c r="K100" i="4"/>
  <c r="O100" i="4" s="1"/>
  <c r="P100" i="4" s="1"/>
  <c r="J84" i="4"/>
  <c r="K84" i="4" s="1"/>
  <c r="J114" i="4"/>
  <c r="K114" i="4" s="1"/>
  <c r="J78" i="4"/>
  <c r="K78" i="4" s="1"/>
  <c r="J115" i="4"/>
  <c r="K115" i="4" s="1"/>
  <c r="J99" i="4"/>
  <c r="K99" i="4"/>
  <c r="J83" i="4"/>
  <c r="K83" i="4" s="1"/>
  <c r="J102" i="4"/>
  <c r="K102" i="4" s="1"/>
  <c r="J74" i="4"/>
  <c r="L74" i="4" s="1"/>
  <c r="S74" i="4" s="1"/>
  <c r="J125" i="4"/>
  <c r="K125" i="4" s="1"/>
  <c r="J109" i="4"/>
  <c r="K109" i="4"/>
  <c r="J93" i="4"/>
  <c r="K93" i="4" s="1"/>
  <c r="J77" i="4"/>
  <c r="K77" i="4" s="1"/>
  <c r="J112" i="4"/>
  <c r="K112" i="4"/>
  <c r="J96" i="4"/>
  <c r="K96" i="4"/>
  <c r="J80" i="4"/>
  <c r="K80" i="4" s="1"/>
  <c r="J106" i="4"/>
  <c r="K106" i="4" s="1"/>
  <c r="J127" i="4"/>
  <c r="K127" i="4" s="1"/>
  <c r="J111" i="4"/>
  <c r="K111" i="4"/>
  <c r="J95" i="4"/>
  <c r="K95" i="4" s="1"/>
  <c r="J79" i="4"/>
  <c r="K79" i="4"/>
  <c r="J126" i="4"/>
  <c r="K126" i="4"/>
  <c r="J94" i="4"/>
  <c r="K94" i="4" s="1"/>
  <c r="J121" i="4"/>
  <c r="K121" i="4" s="1"/>
  <c r="J105" i="4"/>
  <c r="K105" i="4" s="1"/>
  <c r="J89" i="4"/>
  <c r="K89" i="4" s="1"/>
  <c r="J73" i="4"/>
  <c r="K73" i="4" s="1"/>
  <c r="J124" i="4"/>
  <c r="K124" i="4" s="1"/>
  <c r="J108" i="4"/>
  <c r="K108" i="4"/>
  <c r="J92" i="4"/>
  <c r="K92" i="4"/>
  <c r="J76" i="4"/>
  <c r="L76" i="4" s="1"/>
  <c r="S76" i="4" s="1"/>
  <c r="K76" i="4"/>
  <c r="J98" i="4"/>
  <c r="K98" i="4" s="1"/>
  <c r="J123" i="4"/>
  <c r="K123" i="4" s="1"/>
  <c r="J107" i="4"/>
  <c r="K107" i="4" s="1"/>
  <c r="J91" i="4"/>
  <c r="K91" i="4" s="1"/>
  <c r="J75" i="4"/>
  <c r="K75" i="4"/>
  <c r="O111" i="4"/>
  <c r="P111" i="4"/>
  <c r="O96" i="4"/>
  <c r="P96" i="4" s="1"/>
  <c r="O109" i="4"/>
  <c r="P109" i="4"/>
  <c r="O122" i="4"/>
  <c r="P122" i="4"/>
  <c r="O99" i="4"/>
  <c r="P99" i="4" s="1"/>
  <c r="I76" i="4"/>
  <c r="N76" i="4" s="1"/>
  <c r="Q76" i="4" s="1"/>
  <c r="I77" i="4"/>
  <c r="I81" i="4"/>
  <c r="I89" i="4"/>
  <c r="L89" i="4" s="1"/>
  <c r="S89" i="4" s="1"/>
  <c r="I90" i="4"/>
  <c r="N90" i="4" s="1"/>
  <c r="Q90" i="4" s="1"/>
  <c r="I96" i="4"/>
  <c r="N96" i="4" s="1"/>
  <c r="Q96" i="4" s="1"/>
  <c r="I99" i="4"/>
  <c r="N99" i="4" s="1"/>
  <c r="Q99" i="4" s="1"/>
  <c r="I102" i="4"/>
  <c r="N102" i="4" s="1"/>
  <c r="Q102" i="4" s="1"/>
  <c r="I104" i="4"/>
  <c r="I108" i="4"/>
  <c r="N108" i="4" s="1"/>
  <c r="Q108" i="4" s="1"/>
  <c r="I111" i="4"/>
  <c r="L111" i="4" s="1"/>
  <c r="I113" i="4"/>
  <c r="N113" i="4" s="1"/>
  <c r="Q113" i="4" s="1"/>
  <c r="I115" i="4"/>
  <c r="I119" i="4"/>
  <c r="I120" i="4"/>
  <c r="I123" i="4"/>
  <c r="I125" i="4"/>
  <c r="I79" i="4"/>
  <c r="N79" i="4" s="1"/>
  <c r="Q79" i="4" s="1"/>
  <c r="I92" i="4"/>
  <c r="L92" i="4" s="1"/>
  <c r="S92" i="4" s="1"/>
  <c r="I100" i="4"/>
  <c r="N100" i="4" s="1"/>
  <c r="Q100" i="4" s="1"/>
  <c r="I103" i="4"/>
  <c r="L103" i="4" s="1"/>
  <c r="I107" i="4"/>
  <c r="N107" i="4" s="1"/>
  <c r="Q107" i="4" s="1"/>
  <c r="I109" i="4"/>
  <c r="I110" i="4"/>
  <c r="N110" i="4" s="1"/>
  <c r="Q110" i="4" s="1"/>
  <c r="I117" i="4"/>
  <c r="I124" i="4"/>
  <c r="L124" i="4" s="1"/>
  <c r="S124" i="4" s="1"/>
  <c r="I72" i="4"/>
  <c r="L72" i="4" s="1"/>
  <c r="S72" i="4" s="1"/>
  <c r="I106" i="4"/>
  <c r="N106" i="4" s="1"/>
  <c r="Q106" i="4" s="1"/>
  <c r="I71" i="4"/>
  <c r="N71" i="4" s="1"/>
  <c r="Q71" i="4" s="1"/>
  <c r="I75" i="4"/>
  <c r="L75" i="4" s="1"/>
  <c r="S75" i="4" s="1"/>
  <c r="I80" i="4"/>
  <c r="I83" i="4"/>
  <c r="I86" i="4"/>
  <c r="L86" i="4" s="1"/>
  <c r="S86" i="4" s="1"/>
  <c r="I88" i="4"/>
  <c r="N88" i="4" s="1"/>
  <c r="Q88" i="4" s="1"/>
  <c r="I94" i="4"/>
  <c r="I95" i="4"/>
  <c r="L95" i="4" s="1"/>
  <c r="S95" i="4" s="1"/>
  <c r="I98" i="4"/>
  <c r="N98" i="4" s="1"/>
  <c r="Q98" i="4" s="1"/>
  <c r="I101" i="4"/>
  <c r="I118" i="4"/>
  <c r="I127" i="4"/>
  <c r="N127" i="4" s="1"/>
  <c r="Q127" i="4" s="1"/>
  <c r="I73" i="4"/>
  <c r="N73" i="4" s="1"/>
  <c r="Q73" i="4" s="1"/>
  <c r="I74" i="4"/>
  <c r="N74" i="4" s="1"/>
  <c r="Q74" i="4" s="1"/>
  <c r="I78" i="4"/>
  <c r="N78" i="4" s="1"/>
  <c r="Q78" i="4" s="1"/>
  <c r="I82" i="4"/>
  <c r="L82" i="4" s="1"/>
  <c r="S82" i="4" s="1"/>
  <c r="I85" i="4"/>
  <c r="N85" i="4" s="1"/>
  <c r="Q85" i="4" s="1"/>
  <c r="I93" i="4"/>
  <c r="N93" i="4" s="1"/>
  <c r="Q93" i="4" s="1"/>
  <c r="I112" i="4"/>
  <c r="L112" i="4" s="1"/>
  <c r="I114" i="4"/>
  <c r="N114" i="4" s="1"/>
  <c r="Q114" i="4" s="1"/>
  <c r="I121" i="4"/>
  <c r="I122" i="4"/>
  <c r="I84" i="4"/>
  <c r="L84" i="4" s="1"/>
  <c r="S84" i="4" s="1"/>
  <c r="I87" i="4"/>
  <c r="I91" i="4"/>
  <c r="N91" i="4" s="1"/>
  <c r="Q91" i="4" s="1"/>
  <c r="I97" i="4"/>
  <c r="I105" i="4"/>
  <c r="L105" i="4" s="1"/>
  <c r="I116" i="4"/>
  <c r="N116" i="4" s="1"/>
  <c r="Q116" i="4" s="1"/>
  <c r="I126" i="4"/>
  <c r="L126" i="4" s="1"/>
  <c r="S126" i="4" s="1"/>
  <c r="N121" i="4"/>
  <c r="Q121" i="4" s="1"/>
  <c r="N101" i="4"/>
  <c r="Q101" i="4" s="1"/>
  <c r="L79" i="4"/>
  <c r="S79" i="4" s="1"/>
  <c r="N119" i="4"/>
  <c r="Q119" i="4"/>
  <c r="L119" i="4"/>
  <c r="S119" i="4" s="1"/>
  <c r="N77" i="4"/>
  <c r="Q77" i="4" s="1"/>
  <c r="N117" i="4"/>
  <c r="Q117" i="4"/>
  <c r="L117" i="4"/>
  <c r="L125" i="4"/>
  <c r="N125" i="4"/>
  <c r="Q125" i="4"/>
  <c r="N115" i="4"/>
  <c r="Q115" i="4" s="1"/>
  <c r="L113" i="4"/>
  <c r="N89" i="4"/>
  <c r="Q89" i="4" s="1"/>
  <c r="N122" i="4"/>
  <c r="Q122" i="4"/>
  <c r="N118" i="4"/>
  <c r="Q118" i="4"/>
  <c r="L118" i="4"/>
  <c r="N94" i="4"/>
  <c r="Q94" i="4" s="1"/>
  <c r="N109" i="4"/>
  <c r="Q109" i="4" s="1"/>
  <c r="L109" i="4"/>
  <c r="N120" i="4"/>
  <c r="Q120" i="4" s="1"/>
  <c r="N81" i="4"/>
  <c r="Q81" i="4" s="1"/>
  <c r="O71" i="4" l="1"/>
  <c r="P71" i="4" s="1"/>
  <c r="T71" i="4"/>
  <c r="M101" i="4"/>
  <c r="U101" i="4" s="1"/>
  <c r="S101" i="4"/>
  <c r="T104" i="4"/>
  <c r="O104" i="4"/>
  <c r="P104" i="4" s="1"/>
  <c r="S122" i="4"/>
  <c r="M122" i="4"/>
  <c r="U122" i="4" s="1"/>
  <c r="V114" i="4"/>
  <c r="T114" i="4"/>
  <c r="O114" i="4"/>
  <c r="P114" i="4" s="1"/>
  <c r="T91" i="4"/>
  <c r="T102" i="4"/>
  <c r="O102" i="4"/>
  <c r="P102" i="4" s="1"/>
  <c r="T123" i="4"/>
  <c r="O123" i="4"/>
  <c r="P123" i="4" s="1"/>
  <c r="M112" i="4"/>
  <c r="U112" i="4" s="1"/>
  <c r="S112" i="4"/>
  <c r="M111" i="4"/>
  <c r="U111" i="4" s="1"/>
  <c r="S111" i="4"/>
  <c r="T89" i="4"/>
  <c r="O106" i="4"/>
  <c r="P106" i="4" s="1"/>
  <c r="T106" i="4"/>
  <c r="T90" i="4"/>
  <c r="O101" i="4"/>
  <c r="P101" i="4" s="1"/>
  <c r="V101" i="4"/>
  <c r="T101" i="4"/>
  <c r="O105" i="4"/>
  <c r="P105" i="4" s="1"/>
  <c r="T105" i="4"/>
  <c r="T80" i="4"/>
  <c r="L104" i="4"/>
  <c r="T83" i="4"/>
  <c r="T112" i="4"/>
  <c r="L97" i="4"/>
  <c r="M97" i="4" s="1"/>
  <c r="T115" i="4"/>
  <c r="N95" i="4"/>
  <c r="Q95" i="4" s="1"/>
  <c r="T93" i="4"/>
  <c r="T78" i="4"/>
  <c r="T82" i="4"/>
  <c r="V72" i="4"/>
  <c r="T72" i="4"/>
  <c r="U134" i="4"/>
  <c r="V134" i="4"/>
  <c r="M113" i="4"/>
  <c r="U113" i="4" s="1"/>
  <c r="S113" i="4"/>
  <c r="M125" i="4"/>
  <c r="U125" i="4" s="1"/>
  <c r="S125" i="4"/>
  <c r="T116" i="4"/>
  <c r="T103" i="4"/>
  <c r="L107" i="4"/>
  <c r="T92" i="4"/>
  <c r="T79" i="4"/>
  <c r="O113" i="4"/>
  <c r="P113" i="4" s="1"/>
  <c r="T113" i="4"/>
  <c r="T75" i="4"/>
  <c r="T108" i="4"/>
  <c r="V95" i="4"/>
  <c r="T95" i="4"/>
  <c r="V109" i="4"/>
  <c r="T109" i="4"/>
  <c r="V119" i="4"/>
  <c r="T119" i="4"/>
  <c r="O117" i="4"/>
  <c r="P117" i="4" s="1"/>
  <c r="T117" i="4"/>
  <c r="M118" i="4"/>
  <c r="U118" i="4" s="1"/>
  <c r="S118" i="4"/>
  <c r="L83" i="4"/>
  <c r="S83" i="4" s="1"/>
  <c r="T76" i="4"/>
  <c r="V122" i="4"/>
  <c r="T122" i="4"/>
  <c r="N86" i="4"/>
  <c r="Q86" i="4" s="1"/>
  <c r="T77" i="4"/>
  <c r="T87" i="4"/>
  <c r="N112" i="4"/>
  <c r="Q112" i="4" s="1"/>
  <c r="L120" i="4"/>
  <c r="S120" i="4" s="1"/>
  <c r="O110" i="4"/>
  <c r="P110" i="4" s="1"/>
  <c r="T110" i="4"/>
  <c r="U128" i="4"/>
  <c r="V128" i="4"/>
  <c r="T121" i="4"/>
  <c r="T120" i="4"/>
  <c r="M117" i="4"/>
  <c r="U117" i="4" s="1"/>
  <c r="S117" i="4"/>
  <c r="M103" i="4"/>
  <c r="U103" i="4" s="1"/>
  <c r="S103" i="4"/>
  <c r="O98" i="4"/>
  <c r="P98" i="4" s="1"/>
  <c r="T98" i="4"/>
  <c r="T94" i="4"/>
  <c r="T81" i="4"/>
  <c r="T118" i="4"/>
  <c r="V126" i="4"/>
  <c r="T126" i="4"/>
  <c r="T99" i="4"/>
  <c r="M105" i="4"/>
  <c r="U105" i="4" s="1"/>
  <c r="S105" i="4"/>
  <c r="O112" i="4"/>
  <c r="P112" i="4" s="1"/>
  <c r="N111" i="4"/>
  <c r="Q111" i="4" s="1"/>
  <c r="L106" i="4"/>
  <c r="L87" i="4"/>
  <c r="S87" i="4" s="1"/>
  <c r="L123" i="4"/>
  <c r="L114" i="4"/>
  <c r="S114" i="4" s="1"/>
  <c r="N75" i="4"/>
  <c r="Q75" i="4" s="1"/>
  <c r="L81" i="4"/>
  <c r="S81" i="4" s="1"/>
  <c r="L108" i="4"/>
  <c r="S108" i="4" s="1"/>
  <c r="T111" i="4"/>
  <c r="T88" i="4"/>
  <c r="V124" i="4"/>
  <c r="T124" i="4"/>
  <c r="O125" i="4"/>
  <c r="P125" i="4" s="1"/>
  <c r="V125" i="4"/>
  <c r="T125" i="4"/>
  <c r="T84" i="4"/>
  <c r="T85" i="4"/>
  <c r="M109" i="4"/>
  <c r="U109" i="4" s="1"/>
  <c r="S109" i="4"/>
  <c r="T96" i="4"/>
  <c r="U131" i="4"/>
  <c r="V131" i="4"/>
  <c r="U132" i="4"/>
  <c r="V132" i="4"/>
  <c r="L77" i="4"/>
  <c r="S77" i="4" s="1"/>
  <c r="O118" i="4"/>
  <c r="P118" i="4" s="1"/>
  <c r="T73" i="4"/>
  <c r="T127" i="4"/>
  <c r="K74" i="4"/>
  <c r="V86" i="4"/>
  <c r="T86" i="4"/>
  <c r="U129" i="4"/>
  <c r="V129" i="4"/>
  <c r="M126" i="4"/>
  <c r="U126" i="4" s="1"/>
  <c r="O124" i="4"/>
  <c r="P124" i="4" s="1"/>
  <c r="M124" i="4"/>
  <c r="U124" i="4" s="1"/>
  <c r="O107" i="4"/>
  <c r="P107" i="4" s="1"/>
  <c r="L100" i="4"/>
  <c r="M100" i="4" s="1"/>
  <c r="O119" i="4"/>
  <c r="P119" i="4" s="1"/>
  <c r="L110" i="4"/>
  <c r="L80" i="4"/>
  <c r="S80" i="4" s="1"/>
  <c r="N126" i="4"/>
  <c r="Q126" i="4" s="1"/>
  <c r="O116" i="4"/>
  <c r="P116" i="4" s="1"/>
  <c r="O120" i="4"/>
  <c r="P120" i="4" s="1"/>
  <c r="L102" i="4"/>
  <c r="N103" i="4"/>
  <c r="Q103" i="4" s="1"/>
  <c r="L85" i="4"/>
  <c r="S85" i="4" s="1"/>
  <c r="O115" i="4"/>
  <c r="P115" i="4" s="1"/>
  <c r="O91" i="4"/>
  <c r="P91" i="4" s="1"/>
  <c r="N83" i="4"/>
  <c r="Q83" i="4" s="1"/>
  <c r="M114" i="4"/>
  <c r="U114" i="4" s="1"/>
  <c r="M107" i="4"/>
  <c r="O108" i="4"/>
  <c r="P108" i="4" s="1"/>
  <c r="N92" i="4"/>
  <c r="Q92" i="4" s="1"/>
  <c r="N123" i="4"/>
  <c r="Q123" i="4" s="1"/>
  <c r="N124" i="4"/>
  <c r="Q124" i="4" s="1"/>
  <c r="L99" i="4"/>
  <c r="L116" i="4"/>
  <c r="S116" i="4" s="1"/>
  <c r="L127" i="4"/>
  <c r="S127" i="4" s="1"/>
  <c r="N104" i="4"/>
  <c r="Q104" i="4" s="1"/>
  <c r="N72" i="4"/>
  <c r="Q72" i="4" s="1"/>
  <c r="L96" i="4"/>
  <c r="S96" i="4" s="1"/>
  <c r="M119" i="4"/>
  <c r="U119" i="4" s="1"/>
  <c r="O121" i="4"/>
  <c r="P121" i="4" s="1"/>
  <c r="O126" i="4"/>
  <c r="P126" i="4" s="1"/>
  <c r="L90" i="4"/>
  <c r="S90" i="4" s="1"/>
  <c r="N87" i="4"/>
  <c r="Q87" i="4" s="1"/>
  <c r="L78" i="4"/>
  <c r="S78" i="4" s="1"/>
  <c r="N105" i="4"/>
  <c r="Q105" i="4" s="1"/>
  <c r="O127" i="4"/>
  <c r="P127" i="4" s="1"/>
  <c r="L98" i="4"/>
  <c r="M120" i="4"/>
  <c r="U120" i="4" s="1"/>
  <c r="L94" i="4"/>
  <c r="S94" i="4" s="1"/>
  <c r="M92" i="4"/>
  <c r="U92" i="4" s="1"/>
  <c r="O83" i="4"/>
  <c r="P83" i="4" s="1"/>
  <c r="M75" i="4"/>
  <c r="U75" i="4" s="1"/>
  <c r="O93" i="4"/>
  <c r="P93" i="4" s="1"/>
  <c r="O73" i="4"/>
  <c r="P73" i="4" s="1"/>
  <c r="O77" i="4"/>
  <c r="P77" i="4" s="1"/>
  <c r="O94" i="4"/>
  <c r="P94" i="4" s="1"/>
  <c r="O80" i="4"/>
  <c r="P80" i="4" s="1"/>
  <c r="O78" i="4"/>
  <c r="P78" i="4" s="1"/>
  <c r="L121" i="4"/>
  <c r="S121" i="4" s="1"/>
  <c r="M87" i="4"/>
  <c r="U87" i="4" s="1"/>
  <c r="O82" i="4"/>
  <c r="P82" i="4" s="1"/>
  <c r="M78" i="4"/>
  <c r="U78" i="4" s="1"/>
  <c r="L91" i="4"/>
  <c r="S91" i="4" s="1"/>
  <c r="M84" i="4"/>
  <c r="U84" i="4" s="1"/>
  <c r="O79" i="4"/>
  <c r="P79" i="4" s="1"/>
  <c r="O84" i="4"/>
  <c r="P84" i="4" s="1"/>
  <c r="O72" i="4"/>
  <c r="P72" i="4" s="1"/>
  <c r="O92" i="4"/>
  <c r="P92" i="4" s="1"/>
  <c r="N80" i="4"/>
  <c r="Q80" i="4" s="1"/>
  <c r="M95" i="4"/>
  <c r="U95" i="4" s="1"/>
  <c r="M89" i="4"/>
  <c r="U89" i="4" s="1"/>
  <c r="L115" i="4"/>
  <c r="S115" i="4" s="1"/>
  <c r="N84" i="4"/>
  <c r="Q84" i="4" s="1"/>
  <c r="O95" i="4"/>
  <c r="P95" i="4" s="1"/>
  <c r="M79" i="4"/>
  <c r="U79" i="4" s="1"/>
  <c r="M81" i="4"/>
  <c r="U81" i="4" s="1"/>
  <c r="M72" i="4"/>
  <c r="U72" i="4" s="1"/>
  <c r="O87" i="4"/>
  <c r="P87" i="4" s="1"/>
  <c r="O75" i="4"/>
  <c r="P75" i="4" s="1"/>
  <c r="L71" i="4"/>
  <c r="S71" i="4" s="1"/>
  <c r="O89" i="4"/>
  <c r="P89" i="4" s="1"/>
  <c r="O88" i="4"/>
  <c r="P88" i="4" s="1"/>
  <c r="O90" i="4"/>
  <c r="P90" i="4" s="1"/>
  <c r="O85" i="4"/>
  <c r="P85" i="4" s="1"/>
  <c r="M76" i="4"/>
  <c r="U76" i="4" s="1"/>
  <c r="O76" i="4"/>
  <c r="P76" i="4" s="1"/>
  <c r="O81" i="4"/>
  <c r="P81" i="4" s="1"/>
  <c r="O86" i="4"/>
  <c r="P86" i="4" s="1"/>
  <c r="M74" i="4"/>
  <c r="U74" i="4" s="1"/>
  <c r="M86" i="4"/>
  <c r="U86" i="4" s="1"/>
  <c r="L73" i="4"/>
  <c r="S73" i="4" s="1"/>
  <c r="M82" i="4"/>
  <c r="U82" i="4" s="1"/>
  <c r="M83" i="4"/>
  <c r="U83" i="4" s="1"/>
  <c r="O97" i="4"/>
  <c r="P97" i="4" s="1"/>
  <c r="N97" i="4"/>
  <c r="Q97" i="4" s="1"/>
  <c r="L93" i="4"/>
  <c r="S93" i="4" s="1"/>
  <c r="L88" i="4"/>
  <c r="S88" i="4" s="1"/>
  <c r="N82" i="4"/>
  <c r="Q82" i="4" s="1"/>
  <c r="J14" i="4"/>
  <c r="J13" i="4" s="1"/>
  <c r="K16" i="4" s="1"/>
  <c r="V111" i="4" l="1"/>
  <c r="V103" i="4"/>
  <c r="V82" i="4"/>
  <c r="V83" i="4"/>
  <c r="V74" i="4"/>
  <c r="T74" i="4"/>
  <c r="M96" i="4"/>
  <c r="M104" i="4"/>
  <c r="S104" i="4"/>
  <c r="V76" i="4"/>
  <c r="M99" i="4"/>
  <c r="S99" i="4"/>
  <c r="M102" i="4"/>
  <c r="S102" i="4"/>
  <c r="V75" i="4"/>
  <c r="V78" i="4"/>
  <c r="V92" i="4"/>
  <c r="M94" i="4"/>
  <c r="M123" i="4"/>
  <c r="S123" i="4"/>
  <c r="V118" i="4"/>
  <c r="V87" i="4"/>
  <c r="V117" i="4"/>
  <c r="M98" i="4"/>
  <c r="S98" i="4"/>
  <c r="V113" i="4"/>
  <c r="V89" i="4"/>
  <c r="M110" i="4"/>
  <c r="S110" i="4"/>
  <c r="V79" i="4"/>
  <c r="V112" i="4"/>
  <c r="M108" i="4"/>
  <c r="V84" i="4"/>
  <c r="M77" i="4"/>
  <c r="O74" i="4"/>
  <c r="P74" i="4" s="1"/>
  <c r="V120" i="4"/>
  <c r="M106" i="4"/>
  <c r="S106" i="4"/>
  <c r="V81" i="4"/>
  <c r="V105" i="4"/>
  <c r="M91" i="4"/>
  <c r="M71" i="4"/>
  <c r="M121" i="4"/>
  <c r="M85" i="4"/>
  <c r="M127" i="4"/>
  <c r="M115" i="4"/>
  <c r="M116" i="4"/>
  <c r="M90" i="4"/>
  <c r="M80" i="4"/>
  <c r="M73" i="4"/>
  <c r="M93" i="4"/>
  <c r="M88" i="4"/>
  <c r="K14" i="4"/>
  <c r="K13" i="4"/>
  <c r="K15" i="4"/>
  <c r="U90" i="4" l="1"/>
  <c r="V90" i="4"/>
  <c r="U98" i="4"/>
  <c r="V98" i="4"/>
  <c r="U116" i="4"/>
  <c r="V116" i="4"/>
  <c r="U99" i="4"/>
  <c r="V99" i="4"/>
  <c r="U115" i="4"/>
  <c r="V115" i="4"/>
  <c r="U77" i="4"/>
  <c r="V77" i="4"/>
  <c r="U127" i="4"/>
  <c r="V127" i="4"/>
  <c r="U85" i="4"/>
  <c r="V85" i="4"/>
  <c r="U108" i="4"/>
  <c r="V108" i="4"/>
  <c r="U104" i="4"/>
  <c r="V104" i="4"/>
  <c r="U121" i="4"/>
  <c r="V121" i="4"/>
  <c r="U123" i="4"/>
  <c r="V123" i="4"/>
  <c r="U96" i="4"/>
  <c r="V96" i="4"/>
  <c r="U71" i="4"/>
  <c r="V71" i="4"/>
  <c r="U94" i="4"/>
  <c r="V94" i="4"/>
  <c r="U91" i="4"/>
  <c r="V91" i="4"/>
  <c r="U88" i="4"/>
  <c r="V88" i="4"/>
  <c r="U110" i="4"/>
  <c r="V110" i="4"/>
  <c r="U93" i="4"/>
  <c r="V93" i="4"/>
  <c r="U73" i="4"/>
  <c r="V73" i="4"/>
  <c r="U80" i="4"/>
  <c r="V80" i="4"/>
  <c r="U106" i="4"/>
  <c r="V106" i="4"/>
  <c r="U102" i="4"/>
  <c r="V102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9" i="4" l="1"/>
  <c r="P59" i="4" s="1"/>
  <c r="T59" i="4"/>
  <c r="T57" i="4"/>
  <c r="T61" i="4"/>
  <c r="O55" i="4"/>
  <c r="P55" i="4" s="1"/>
  <c r="T55" i="4"/>
  <c r="T63" i="4"/>
  <c r="T58" i="4"/>
  <c r="O56" i="4"/>
  <c r="P56" i="4" s="1"/>
  <c r="T56" i="4"/>
  <c r="T60" i="4"/>
  <c r="T62" i="4"/>
  <c r="O61" i="4"/>
  <c r="P61" i="4" s="1"/>
  <c r="O60" i="4"/>
  <c r="P60" i="4" s="1"/>
  <c r="O62" i="4"/>
  <c r="P62" i="4" s="1"/>
  <c r="O57" i="4"/>
  <c r="P57" i="4" s="1"/>
  <c r="O58" i="4"/>
  <c r="P58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T68" i="4" l="1"/>
  <c r="M55" i="4"/>
  <c r="S55" i="4"/>
  <c r="V64" i="4"/>
  <c r="T64" i="4"/>
  <c r="T69" i="4"/>
  <c r="T70" i="4"/>
  <c r="M56" i="4"/>
  <c r="S56" i="4"/>
  <c r="T66" i="4"/>
  <c r="T67" i="4"/>
  <c r="T65" i="4"/>
  <c r="M59" i="4"/>
  <c r="S59" i="4"/>
  <c r="M61" i="4"/>
  <c r="M62" i="4"/>
  <c r="M60" i="4"/>
  <c r="M70" i="4"/>
  <c r="U70" i="4" s="1"/>
  <c r="M63" i="4"/>
  <c r="M64" i="4"/>
  <c r="U64" i="4" s="1"/>
  <c r="M58" i="4"/>
  <c r="O65" i="4"/>
  <c r="P65" i="4" s="1"/>
  <c r="O64" i="4"/>
  <c r="P64" i="4" s="1"/>
  <c r="M65" i="4"/>
  <c r="U65" i="4" s="1"/>
  <c r="O69" i="4"/>
  <c r="P69" i="4" s="1"/>
  <c r="M66" i="4"/>
  <c r="U66" i="4" s="1"/>
  <c r="O67" i="4"/>
  <c r="P67" i="4" s="1"/>
  <c r="M67" i="4"/>
  <c r="U67" i="4" s="1"/>
  <c r="M68" i="4"/>
  <c r="U68" i="4" s="1"/>
  <c r="M69" i="4"/>
  <c r="U69" i="4" s="1"/>
  <c r="M57" i="4"/>
  <c r="O68" i="4"/>
  <c r="P68" i="4" s="1"/>
  <c r="O66" i="4"/>
  <c r="P66" i="4" s="1"/>
  <c r="O70" i="4"/>
  <c r="P70" i="4" s="1"/>
  <c r="U60" i="4" l="1"/>
  <c r="V60" i="4"/>
  <c r="V70" i="4"/>
  <c r="U59" i="4"/>
  <c r="V59" i="4"/>
  <c r="V69" i="4"/>
  <c r="V65" i="4"/>
  <c r="U58" i="4"/>
  <c r="V58" i="4"/>
  <c r="U55" i="4"/>
  <c r="V55" i="4"/>
  <c r="U62" i="4"/>
  <c r="V62" i="4"/>
  <c r="U56" i="4"/>
  <c r="V56" i="4"/>
  <c r="U61" i="4"/>
  <c r="V61" i="4"/>
  <c r="V67" i="4"/>
  <c r="U57" i="4"/>
  <c r="V57" i="4"/>
  <c r="U63" i="4"/>
  <c r="V63" i="4"/>
  <c r="V66" i="4"/>
  <c r="V68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J39" i="4" s="1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J30" i="4"/>
  <c r="J43" i="4"/>
  <c r="J31" i="4"/>
  <c r="J44" i="4"/>
  <c r="L44" i="4" s="1"/>
  <c r="S44" i="4" s="1"/>
  <c r="J36" i="4"/>
  <c r="L36" i="4" s="1"/>
  <c r="S36" i="4" s="1"/>
  <c r="J46" i="4"/>
  <c r="K46" i="4" s="1"/>
  <c r="J35" i="4"/>
  <c r="L35" i="4" s="1"/>
  <c r="S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S31" i="4" s="1"/>
  <c r="L45" i="4"/>
  <c r="S45" i="4" s="1"/>
  <c r="K45" i="4"/>
  <c r="K52" i="4"/>
  <c r="L52" i="4"/>
  <c r="L43" i="4"/>
  <c r="S43" i="4" s="1"/>
  <c r="K43" i="4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K30" i="4"/>
  <c r="L30" i="4"/>
  <c r="S30" i="4" s="1"/>
  <c r="O52" i="4" l="1"/>
  <c r="P52" i="4" s="1"/>
  <c r="T52" i="4"/>
  <c r="T48" i="4"/>
  <c r="T45" i="4"/>
  <c r="T47" i="4"/>
  <c r="M53" i="4"/>
  <c r="U53" i="4" s="1"/>
  <c r="S53" i="4"/>
  <c r="T28" i="4"/>
  <c r="T30" i="4"/>
  <c r="M51" i="4"/>
  <c r="U51" i="4" s="1"/>
  <c r="S51" i="4"/>
  <c r="T49" i="4"/>
  <c r="O54" i="4"/>
  <c r="P54" i="4" s="1"/>
  <c r="V54" i="4"/>
  <c r="T54" i="4"/>
  <c r="V31" i="4"/>
  <c r="T31" i="4"/>
  <c r="M54" i="4"/>
  <c r="U54" i="4" s="1"/>
  <c r="S54" i="4"/>
  <c r="O53" i="4"/>
  <c r="P53" i="4" s="1"/>
  <c r="T53" i="4"/>
  <c r="O50" i="4"/>
  <c r="P50" i="4" s="1"/>
  <c r="V50" i="4"/>
  <c r="T50" i="4"/>
  <c r="T43" i="4"/>
  <c r="T46" i="4"/>
  <c r="M50" i="4"/>
  <c r="U50" i="4" s="1"/>
  <c r="S50" i="4"/>
  <c r="T41" i="4"/>
  <c r="T33" i="4"/>
  <c r="O51" i="4"/>
  <c r="P51" i="4" s="1"/>
  <c r="V51" i="4"/>
  <c r="T51" i="4"/>
  <c r="V39" i="4"/>
  <c r="T39" i="4"/>
  <c r="M52" i="4"/>
  <c r="U52" i="4" s="1"/>
  <c r="S52" i="4"/>
  <c r="L47" i="4"/>
  <c r="S47" i="4" s="1"/>
  <c r="O48" i="4"/>
  <c r="P48" i="4" s="1"/>
  <c r="M48" i="4"/>
  <c r="U48" i="4" s="1"/>
  <c r="O49" i="4"/>
  <c r="P49" i="4" s="1"/>
  <c r="M49" i="4"/>
  <c r="U49" i="4" s="1"/>
  <c r="K35" i="4"/>
  <c r="K44" i="4"/>
  <c r="M45" i="4"/>
  <c r="U45" i="4" s="1"/>
  <c r="O43" i="4"/>
  <c r="P43" i="4" s="1"/>
  <c r="O39" i="4"/>
  <c r="P39" i="4" s="1"/>
  <c r="M44" i="4"/>
  <c r="U44" i="4" s="1"/>
  <c r="O30" i="4"/>
  <c r="P30" i="4" s="1"/>
  <c r="O45" i="4"/>
  <c r="P45" i="4" s="1"/>
  <c r="M31" i="4"/>
  <c r="U31" i="4" s="1"/>
  <c r="M35" i="4"/>
  <c r="U35" i="4" s="1"/>
  <c r="O33" i="4"/>
  <c r="P33" i="4" s="1"/>
  <c r="M39" i="4"/>
  <c r="U39" i="4" s="1"/>
  <c r="O47" i="4"/>
  <c r="P47" i="4" s="1"/>
  <c r="K36" i="4"/>
  <c r="O28" i="4"/>
  <c r="P28" i="4" s="1"/>
  <c r="M43" i="4"/>
  <c r="U43" i="4" s="1"/>
  <c r="O41" i="4"/>
  <c r="P41" i="4" s="1"/>
  <c r="M47" i="4"/>
  <c r="U47" i="4" s="1"/>
  <c r="O31" i="4"/>
  <c r="P31" i="4" s="1"/>
  <c r="O46" i="4"/>
  <c r="P46" i="4" s="1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0" i="4"/>
  <c r="U30" i="4" s="1"/>
  <c r="M36" i="4"/>
  <c r="U36" i="4" s="1"/>
  <c r="K40" i="4"/>
  <c r="K32" i="4"/>
  <c r="L28" i="4"/>
  <c r="S28" i="4" s="1"/>
  <c r="V40" i="4" l="1"/>
  <c r="T40" i="4"/>
  <c r="V36" i="4"/>
  <c r="T36" i="4"/>
  <c r="V47" i="4"/>
  <c r="V49" i="4"/>
  <c r="V45" i="4"/>
  <c r="V38" i="4"/>
  <c r="T38" i="4"/>
  <c r="V29" i="4"/>
  <c r="T29" i="4"/>
  <c r="V43" i="4"/>
  <c r="V34" i="4"/>
  <c r="T34" i="4"/>
  <c r="V48" i="4"/>
  <c r="V32" i="4"/>
  <c r="T32" i="4"/>
  <c r="V44" i="4"/>
  <c r="T44" i="4"/>
  <c r="V35" i="4"/>
  <c r="T35" i="4"/>
  <c r="V42" i="4"/>
  <c r="T42" i="4"/>
  <c r="V37" i="4"/>
  <c r="T37" i="4"/>
  <c r="V53" i="4"/>
  <c r="V30" i="4"/>
  <c r="V52" i="4"/>
  <c r="O44" i="4"/>
  <c r="P44" i="4" s="1"/>
  <c r="O35" i="4"/>
  <c r="P35" i="4" s="1"/>
  <c r="O29" i="4"/>
  <c r="P29" i="4" s="1"/>
  <c r="M33" i="4"/>
  <c r="O37" i="4"/>
  <c r="P37" i="4" s="1"/>
  <c r="O36" i="4"/>
  <c r="P36" i="4" s="1"/>
  <c r="O40" i="4"/>
  <c r="P40" i="4" s="1"/>
  <c r="M41" i="4"/>
  <c r="O32" i="4"/>
  <c r="P32" i="4" s="1"/>
  <c r="M46" i="4"/>
  <c r="O38" i="4"/>
  <c r="P38" i="4" s="1"/>
  <c r="O34" i="4"/>
  <c r="P34" i="4" s="1"/>
  <c r="O42" i="4"/>
  <c r="P42" i="4" s="1"/>
  <c r="M28" i="4"/>
  <c r="U28" i="4" l="1"/>
  <c r="V28" i="4"/>
  <c r="U33" i="4"/>
  <c r="V33" i="4"/>
  <c r="U41" i="4"/>
  <c r="V41" i="4"/>
  <c r="U46" i="4"/>
  <c r="V4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<sst xmlns="http://schemas.openxmlformats.org/spreadsheetml/2006/main" count="340" uniqueCount="315">
  <si>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</si>
  <si>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</si>
  <si>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</si>
  <si>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</si>
  <si>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</si>
  <si>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</si>
  <si>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</si>
  <si>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</si>
  <si>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</si>
  <si>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</si>
  <si>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</si>
  <si>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</si>
  <si>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</si>
  <si>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</si>
  <si>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</si>
  <si>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</si>
  <si>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</si>
  <si>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</si>
  <si>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</si>
  <si>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</si>
  <si>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</si>
  <si>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</si>
  <si>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</si>
  <si>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</si>
  <si>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</si>
  <si>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</si>
  <si>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</si>
  <si>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</si>
  <si>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</si>
  <si>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</si>
  <si>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</si>
  <si>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</si>
  <si>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</si>
  <si>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</si>
  <si>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</si>
  <si>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</si>
  <si>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</si>
  <si>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</si>
  <si>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</si>
  <si>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</si>
  <si>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</si>
  <si>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</si>
  <si>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</si>
  <si>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</si>
  <si>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</si>
  <si>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</si>
  <si>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</si>
  <si>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</si>
  <si>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</si>
  <si>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</si>
  <si>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</si>
  <si>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</si>
  <si>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</si>
  <si>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</si>
  <si>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</si>
  <si>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</si>
  <si>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</si>
  <si>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</si>
  <si>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</si>
  <si>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</si>
  <si>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</si>
  <si>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</si>
  <si>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</si>
  <si>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</si>
  <si>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</si>
  <si>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</si>
  <si>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</si>
  <si>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</si>
  <si>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</si>
  <si>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</si>
  <si>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</si>
  <si>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</si>
  <si>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</si>
  <si>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</si>
  <si>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</si>
  <si>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</si>
  <si>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</si>
  <si>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</si>
  <si>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</si>
  <si>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</si>
  <si>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</si>
  <si>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</si>
  <si>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</si>
  <si>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</si>
  <si>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</si>
  <si>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</si>
  <si>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</si>
  <si>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</si>
  <si>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</si>
  <si>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</si>
  <si>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</si>
  <si>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</si>
  <si>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</si>
  <si>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</si>
  <si>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</si>
  <si>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</si>
  <si>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</si>
  <si>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</si>
  <si>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</si>
  <si>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</si>
  <si>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</si>
  <si>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</si>
  <si>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</si>
  <si>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</si>
  <si>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</si>
  <si>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</si>
  <si>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</si>
  <si>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</si>
  <si>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</si>
  <si>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</si>
  <si>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</si>
  <si>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</si>
  <si>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Balb/c 3T3</t>
    <phoneticPr fontId="22" type="noConversion"/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</si>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</sst>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3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  <font>
      <sz val="9"/>
      <name val="新細明體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112</v>
      </c>
      <c r="K17" s="31" t="s">
        <v>80</v>
      </c>
      <c r="L17" s="80">
        <v>1.4831999999999998E-3</v>
      </c>
      <c r="M17" s="80">
        <v>5.7599999999999991E-4</v>
      </c>
      <c r="N17" s="80">
        <v>3.4079999999999994E-4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8" zoomScale="70" zoomScaleNormal="70" workbookViewId="0">
      <selection activeCell="B28" sqref="B28:F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150.048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149.951964</v>
      </c>
      <c r="K8" s="39">
        <f>J8/J7</f>
        <v>0.99935996481126044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8.3519999999999997E-2</v>
      </c>
      <c r="K9" s="39">
        <f>J9/J7</f>
        <v>5.5662188099808057E-4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1.2515999999999999E-2</v>
      </c>
      <c r="K10" s="39">
        <f>J10/J7</f>
        <v>8.3413307741522704E-5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150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4.8000000000000001E-2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2.9663999999999996E-2</v>
      </c>
      <c r="K20" s="39">
        <f>J20/J19</f>
        <v>0.61799999999999988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1.1519999999999999E-2</v>
      </c>
      <c r="K21" s="39">
        <f>J21/J19</f>
        <v>0.23999999999999996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6.8159999999999991E-3</v>
      </c>
      <c r="K22" s="39">
        <f>J22/J19</f>
        <v>0.14199999999999999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3.7232006014196545E-5</v>
      </c>
      <c r="J28" s="92">
        <f t="shared" ref="J28:J47" si="2">IF(D28=0,"",LOG($K$21*10^D28+$K$22*10^E28+$K$20))</f>
        <v>2.8775248633271713E-2</v>
      </c>
      <c r="K28" s="93">
        <f t="shared" ref="K28:K47" si="3">IF(D28=0,"",1/(1+10^D28*$J$15/$J$14+10^E28*$J$16/$J$14+10^J28*$J$19/$J$14))</f>
        <v>0.99905475013450973</v>
      </c>
      <c r="L28" s="93">
        <f t="shared" ref="L28:L47" si="4">IF(D28=0,"",1/(1+10^I28/10^J28*$J$13/$J$19))</f>
        <v>3.4177440730742052E-4</v>
      </c>
      <c r="M28" s="93">
        <f t="shared" ref="M28:M47" si="5">IF(D28=0,"",1-L28)</f>
        <v>0.99965822559269257</v>
      </c>
      <c r="N28" s="93">
        <f t="shared" ref="N28:N47" si="6">IF(D28=0,"",1/(1/10^E28*$J$20/$J$22+10^D28/10^E28*$J$21/$J$22+10^I28/10^E28*$J$13/$J$22+1))</f>
        <v>5.4886891402164338E-5</v>
      </c>
      <c r="O28" s="40">
        <f t="shared" ref="O28:O47" si="7">IF(D28=0,"",F28*K28*$J$7/$J$14)</f>
        <v>9.9989239191356398E-7</v>
      </c>
      <c r="P28" s="40">
        <f t="shared" ref="P28:P47" si="8">IF(D28=0,"",O28*10^J28)</f>
        <v>1.0683867972429967E-6</v>
      </c>
      <c r="Q28" s="40">
        <f t="shared" ref="Q28:Q47" si="9">IF(D28=0,"",F28*N28*$J$7/$J$22)</f>
        <v>1.2082846656560968E-6</v>
      </c>
      <c r="R28" s="9">
        <f>F28*$C$14</f>
        <v>1.4999999999999999E-4</v>
      </c>
      <c r="S28" s="9">
        <f>$R28*L28</f>
        <v>5.1266161096113072E-8</v>
      </c>
      <c r="T28" s="9">
        <f t="shared" ref="T28:T91" si="10">R28*K28</f>
        <v>1.4985821252017645E-4</v>
      </c>
      <c r="U28" s="9">
        <f t="shared" ref="U28:U91" si="11">$R28*M28</f>
        <v>1.4994873383890388E-4</v>
      </c>
      <c r="V28" s="100">
        <f>K28/M28</f>
        <v>0.99939631821883423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163</v>
      </c>
      <c r="C29" s="46" t="s">
        <v>164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4.6078470391874224E-2</v>
      </c>
      <c r="J29" s="92">
        <f t="shared" si="2"/>
        <v>2.015387442684542</v>
      </c>
      <c r="K29" s="93">
        <f t="shared" si="3"/>
        <v>0.87284392708369163</v>
      </c>
      <c r="L29" s="93">
        <f t="shared" si="4"/>
        <v>2.8953364542355316E-2</v>
      </c>
      <c r="M29" s="93">
        <f t="shared" si="5"/>
        <v>0.97104663545764469</v>
      </c>
      <c r="N29" s="93">
        <f t="shared" si="6"/>
        <v>1.5086897512829215E-2</v>
      </c>
      <c r="O29" s="40">
        <f t="shared" si="7"/>
        <v>8.7357574937853627E-7</v>
      </c>
      <c r="P29" s="40">
        <f t="shared" si="8"/>
        <v>9.0508217559402698E-5</v>
      </c>
      <c r="Q29" s="40">
        <f t="shared" si="9"/>
        <v>3.3212423679650796E-4</v>
      </c>
      <c r="R29" s="9">
        <f t="shared" ref="R29:R92" si="12">F29*$C$14</f>
        <v>1.4999999999999999E-4</v>
      </c>
      <c r="S29" s="9">
        <f t="shared" ref="S29:S92" si="13">$R29*L29</f>
        <v>4.3430046813532967E-6</v>
      </c>
      <c r="T29" s="9">
        <f t="shared" si="10"/>
        <v>1.3092658906255374E-4</v>
      </c>
      <c r="U29" s="9">
        <f t="shared" si="11"/>
        <v>1.4565699531864668E-4</v>
      </c>
      <c r="V29" s="100">
        <f t="shared" ref="V29:V92" si="14">K29/M29</f>
        <v>0.89886921514570606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165</v>
      </c>
      <c r="C30" s="46" t="s">
        <v>166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1.116379396238508</v>
      </c>
      <c r="J30" s="92">
        <f t="shared" si="2"/>
        <v>3.7846979172891171</v>
      </c>
      <c r="K30" s="93">
        <f t="shared" si="3"/>
        <v>6.6533281325696636E-2</v>
      </c>
      <c r="L30" s="93">
        <f t="shared" si="4"/>
        <v>0.12975134283620421</v>
      </c>
      <c r="M30" s="93">
        <f t="shared" si="5"/>
        <v>0.87024865716379574</v>
      </c>
      <c r="N30" s="93">
        <f t="shared" si="6"/>
        <v>1.3203901877418551E-3</v>
      </c>
      <c r="O30" s="40">
        <f t="shared" si="7"/>
        <v>6.6589065111448571E-8</v>
      </c>
      <c r="P30" s="40">
        <f t="shared" si="8"/>
        <v>4.0560269770597435E-4</v>
      </c>
      <c r="Q30" s="40">
        <f t="shared" si="9"/>
        <v>2.9067181175218587E-5</v>
      </c>
      <c r="R30" s="9">
        <f t="shared" si="12"/>
        <v>1.4999999999999999E-4</v>
      </c>
      <c r="S30" s="9">
        <f t="shared" si="13"/>
        <v>1.9462701425430631E-5</v>
      </c>
      <c r="T30" s="9">
        <f t="shared" si="10"/>
        <v>9.9799921988544953E-6</v>
      </c>
      <c r="U30" s="9">
        <f t="shared" si="11"/>
        <v>1.3053729857456935E-4</v>
      </c>
      <c r="V30" s="100">
        <f t="shared" si="14"/>
        <v>7.6453184705315702E-2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-1.9978935919434454E-4</v>
      </c>
      <c r="J31" s="92">
        <f t="shared" si="2"/>
        <v>-0.18773071557122362</v>
      </c>
      <c r="K31" s="93">
        <f t="shared" si="3"/>
        <v>0.99973416739142507</v>
      </c>
      <c r="L31" s="93">
        <f t="shared" si="4"/>
        <v>2.0774415839038449E-4</v>
      </c>
      <c r="M31" s="93">
        <f t="shared" si="5"/>
        <v>0.99979225584160958</v>
      </c>
      <c r="N31" s="93">
        <f t="shared" si="6"/>
        <v>7.3899096496841306E-7</v>
      </c>
      <c r="O31" s="40">
        <f t="shared" si="7"/>
        <v>1.0005723788172176E-6</v>
      </c>
      <c r="P31" s="40">
        <f t="shared" si="8"/>
        <v>6.4940823912834202E-7</v>
      </c>
      <c r="Q31" s="40">
        <f t="shared" si="9"/>
        <v>1.6268209552755349E-8</v>
      </c>
      <c r="R31" s="9">
        <f t="shared" si="12"/>
        <v>1.4999999999999999E-4</v>
      </c>
      <c r="S31" s="9">
        <f t="shared" si="13"/>
        <v>3.116162375855767E-8</v>
      </c>
      <c r="T31" s="9">
        <f t="shared" si="10"/>
        <v>1.4996012510871373E-4</v>
      </c>
      <c r="U31" s="9">
        <f t="shared" si="11"/>
        <v>1.4996883837624142E-4</v>
      </c>
      <c r="V31" s="100">
        <f t="shared" si="14"/>
        <v>0.99994189947977186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5.4311668398331027E-4</v>
      </c>
      <c r="J32" s="92">
        <f t="shared" si="2"/>
        <v>0.24275634342667582</v>
      </c>
      <c r="K32" s="93">
        <f t="shared" si="3"/>
        <v>0.99767521861383202</v>
      </c>
      <c r="L32" s="93">
        <f t="shared" si="4"/>
        <v>5.5862520806919511E-4</v>
      </c>
      <c r="M32" s="93">
        <f t="shared" si="5"/>
        <v>0.99944137479193085</v>
      </c>
      <c r="N32" s="93">
        <f t="shared" si="6"/>
        <v>9.0785002972472887E-5</v>
      </c>
      <c r="O32" s="40">
        <f t="shared" si="7"/>
        <v>9.9851170374632883E-7</v>
      </c>
      <c r="P32" s="40">
        <f t="shared" si="8"/>
        <v>1.7462624004243037E-6</v>
      </c>
      <c r="Q32" s="40">
        <f t="shared" si="9"/>
        <v>1.9985487274081007E-6</v>
      </c>
      <c r="R32" s="9">
        <f t="shared" si="12"/>
        <v>1.4999999999999999E-4</v>
      </c>
      <c r="S32" s="9">
        <f t="shared" si="13"/>
        <v>8.3793781210379256E-8</v>
      </c>
      <c r="T32" s="9">
        <f t="shared" si="10"/>
        <v>1.496512827920748E-4</v>
      </c>
      <c r="U32" s="9">
        <f t="shared" si="11"/>
        <v>1.4991620621878962E-4</v>
      </c>
      <c r="V32" s="100">
        <f t="shared" si="14"/>
        <v>0.99823285665108019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167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1.0070969156464394E-2</v>
      </c>
      <c r="J33" s="92">
        <f t="shared" si="2"/>
        <v>1.3340133129861464</v>
      </c>
      <c r="K33" s="93">
        <f t="shared" si="3"/>
        <v>0.97002692050482309</v>
      </c>
      <c r="L33" s="93">
        <f t="shared" si="4"/>
        <v>6.7015012240224364E-3</v>
      </c>
      <c r="M33" s="93">
        <f t="shared" si="5"/>
        <v>0.99329849877597753</v>
      </c>
      <c r="N33" s="93">
        <f t="shared" si="6"/>
        <v>3.2164925151624119E-3</v>
      </c>
      <c r="O33" s="40">
        <f t="shared" si="7"/>
        <v>9.7084022435560084E-7</v>
      </c>
      <c r="P33" s="40">
        <f t="shared" si="8"/>
        <v>2.0948892826294142E-5</v>
      </c>
      <c r="Q33" s="40">
        <f t="shared" si="9"/>
        <v>7.0808138045054219E-5</v>
      </c>
      <c r="R33" s="9">
        <f t="shared" si="12"/>
        <v>1.4999999999999999E-4</v>
      </c>
      <c r="S33" s="9">
        <f t="shared" si="13"/>
        <v>1.0052251836033654E-6</v>
      </c>
      <c r="T33" s="9">
        <f t="shared" si="10"/>
        <v>1.4550403807572345E-4</v>
      </c>
      <c r="U33" s="9">
        <f t="shared" si="11"/>
        <v>1.4899477481639662E-4</v>
      </c>
      <c r="V33" s="100">
        <f t="shared" si="14"/>
        <v>0.9765714150380459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3.1711948665398576E-4</v>
      </c>
      <c r="J34" s="92">
        <f t="shared" si="2"/>
        <v>0.14407219555289491</v>
      </c>
      <c r="K34" s="93">
        <f t="shared" si="3"/>
        <v>0.99830764524136417</v>
      </c>
      <c r="L34" s="93">
        <f t="shared" si="4"/>
        <v>4.4536039526305976E-4</v>
      </c>
      <c r="M34" s="93">
        <f t="shared" si="5"/>
        <v>0.99955463960473689</v>
      </c>
      <c r="N34" s="93">
        <f t="shared" si="6"/>
        <v>5.5776743247489849E-5</v>
      </c>
      <c r="O34" s="40">
        <f t="shared" si="7"/>
        <v>9.9914466062204353E-7</v>
      </c>
      <c r="P34" s="40">
        <f t="shared" si="8"/>
        <v>1.3921965955923244E-6</v>
      </c>
      <c r="Q34" s="40">
        <f t="shared" si="9"/>
        <v>1.2278739393778402E-6</v>
      </c>
      <c r="R34" s="9">
        <f t="shared" si="12"/>
        <v>1.4999999999999999E-4</v>
      </c>
      <c r="S34" s="9">
        <f t="shared" si="13"/>
        <v>6.6804059289458961E-8</v>
      </c>
      <c r="T34" s="9">
        <f t="shared" si="10"/>
        <v>1.4974614678620461E-4</v>
      </c>
      <c r="U34" s="9">
        <f t="shared" si="11"/>
        <v>1.4993319594071053E-4</v>
      </c>
      <c r="V34" s="100">
        <f t="shared" si="14"/>
        <v>0.9987524500272783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1.8367979099029661E-4</v>
      </c>
      <c r="J35" s="92">
        <f t="shared" si="2"/>
        <v>7.5627777349989003E-2</v>
      </c>
      <c r="K35" s="93">
        <f t="shared" si="3"/>
        <v>0.99867916315133365</v>
      </c>
      <c r="L35" s="93">
        <f t="shared" si="4"/>
        <v>3.8056493235516314E-4</v>
      </c>
      <c r="M35" s="93">
        <f t="shared" si="5"/>
        <v>0.99961943506764483</v>
      </c>
      <c r="N35" s="93">
        <f t="shared" si="6"/>
        <v>3.7543734475321243E-5</v>
      </c>
      <c r="O35" s="40">
        <f t="shared" si="7"/>
        <v>9.9951649002537522E-7</v>
      </c>
      <c r="P35" s="40">
        <f t="shared" si="8"/>
        <v>1.1896459785422404E-6</v>
      </c>
      <c r="Q35" s="40">
        <f t="shared" si="9"/>
        <v>8.2649094344967763E-7</v>
      </c>
      <c r="R35" s="9">
        <f t="shared" si="12"/>
        <v>1.4999999999999999E-4</v>
      </c>
      <c r="S35" s="9">
        <f t="shared" si="13"/>
        <v>5.7084739853274466E-8</v>
      </c>
      <c r="T35" s="9">
        <f t="shared" si="10"/>
        <v>1.4980187447270003E-4</v>
      </c>
      <c r="U35" s="9">
        <f t="shared" si="11"/>
        <v>1.4994291526014672E-4</v>
      </c>
      <c r="V35" s="100">
        <f t="shared" si="14"/>
        <v>0.99905937011293944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168</v>
      </c>
      <c r="C36" s="46" t="s">
        <v>169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0.45036614920415591</v>
      </c>
      <c r="J36" s="92">
        <f t="shared" si="2"/>
        <v>3.4010714909731083</v>
      </c>
      <c r="K36" s="93">
        <f t="shared" si="3"/>
        <v>0.27560137977474036</v>
      </c>
      <c r="L36" s="93">
        <f t="shared" si="4"/>
        <v>0.22219172447521571</v>
      </c>
      <c r="M36" s="93">
        <f t="shared" si="5"/>
        <v>0.77780827552478427</v>
      </c>
      <c r="N36" s="93">
        <f t="shared" si="6"/>
        <v>0.16368569737435545</v>
      </c>
      <c r="O36" s="40">
        <f t="shared" si="7"/>
        <v>2.7583245342714353E-7</v>
      </c>
      <c r="P36" s="40">
        <f t="shared" si="8"/>
        <v>6.945713307095246E-4</v>
      </c>
      <c r="Q36" s="40">
        <f t="shared" si="9"/>
        <v>3.6033907745932053E-3</v>
      </c>
      <c r="R36" s="9">
        <f t="shared" si="12"/>
        <v>1.4999999999999999E-4</v>
      </c>
      <c r="S36" s="9">
        <f t="shared" si="13"/>
        <v>3.3328758671282356E-5</v>
      </c>
      <c r="T36" s="9">
        <f t="shared" si="10"/>
        <v>4.134020696621105E-5</v>
      </c>
      <c r="U36" s="9">
        <f t="shared" si="11"/>
        <v>1.1667124132871762E-4</v>
      </c>
      <c r="V36" s="100">
        <f t="shared" si="14"/>
        <v>0.35433073733857251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170</v>
      </c>
      <c r="C37" s="94" t="s">
        <v>171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2.2002191789801899</v>
      </c>
      <c r="J37" s="92">
        <f t="shared" si="2"/>
        <v>5.6671527084817406</v>
      </c>
      <c r="K37" s="93">
        <f t="shared" si="3"/>
        <v>3.2528180998067681E-3</v>
      </c>
      <c r="L37" s="93">
        <f t="shared" si="4"/>
        <v>0.4839355063827524</v>
      </c>
      <c r="M37" s="93">
        <f t="shared" si="5"/>
        <v>0.5160644936172476</v>
      </c>
      <c r="N37" s="93">
        <f t="shared" si="6"/>
        <v>0.46396479061687346</v>
      </c>
      <c r="O37" s="40">
        <f t="shared" si="7"/>
        <v>3.255545374102491E-9</v>
      </c>
      <c r="P37" s="40">
        <f t="shared" si="8"/>
        <v>1.5127823929524835E-3</v>
      </c>
      <c r="Q37" s="40">
        <f t="shared" si="9"/>
        <v>1.0213760108932018E-2</v>
      </c>
      <c r="R37" s="9">
        <f t="shared" si="12"/>
        <v>1.4999999999999999E-4</v>
      </c>
      <c r="S37" s="9">
        <f t="shared" si="13"/>
        <v>7.2590325957412857E-5</v>
      </c>
      <c r="T37" s="9">
        <f t="shared" si="10"/>
        <v>4.8792271497101521E-7</v>
      </c>
      <c r="U37" s="9">
        <f t="shared" si="11"/>
        <v>7.740967404258713E-5</v>
      </c>
      <c r="V37" s="100">
        <f t="shared" si="14"/>
        <v>6.3031232337005224E-3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172</v>
      </c>
      <c r="C38" s="46" t="s">
        <v>173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-1.5970395933982679E-4</v>
      </c>
      <c r="J38" s="92">
        <f t="shared" si="2"/>
        <v>-0.15437586186998237</v>
      </c>
      <c r="K38" s="93">
        <f t="shared" si="3"/>
        <v>0.99962533911245877</v>
      </c>
      <c r="L38" s="93">
        <f t="shared" si="4"/>
        <v>2.2430367835402437E-4</v>
      </c>
      <c r="M38" s="93">
        <f t="shared" si="5"/>
        <v>0.99977569632164598</v>
      </c>
      <c r="N38" s="93">
        <f t="shared" si="6"/>
        <v>2.8378797552568169E-6</v>
      </c>
      <c r="O38" s="40">
        <f t="shared" si="7"/>
        <v>1.0004634592928884E-6</v>
      </c>
      <c r="P38" s="40">
        <f t="shared" si="8"/>
        <v>7.011732985346801E-7</v>
      </c>
      <c r="Q38" s="40">
        <f t="shared" si="9"/>
        <v>6.2473324753047962E-8</v>
      </c>
      <c r="R38" s="9">
        <f t="shared" si="12"/>
        <v>1.4999999999999999E-4</v>
      </c>
      <c r="S38" s="9">
        <f t="shared" si="13"/>
        <v>3.3645551753103652E-8</v>
      </c>
      <c r="T38" s="9">
        <f t="shared" si="10"/>
        <v>1.4994380086686879E-4</v>
      </c>
      <c r="U38" s="9">
        <f t="shared" si="11"/>
        <v>1.499663544482469E-4</v>
      </c>
      <c r="V38" s="100">
        <f t="shared" si="14"/>
        <v>0.99984960905757125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4.7752637245013392E-2</v>
      </c>
      <c r="J39" s="92">
        <f t="shared" si="2"/>
        <v>1.9816264972737885</v>
      </c>
      <c r="K39" s="93">
        <f t="shared" si="3"/>
        <v>0.87146263855805717</v>
      </c>
      <c r="L39" s="93">
        <f t="shared" si="4"/>
        <v>2.6745472276165663E-2</v>
      </c>
      <c r="M39" s="93">
        <f t="shared" si="5"/>
        <v>0.97325452772383436</v>
      </c>
      <c r="N39" s="93">
        <f t="shared" si="6"/>
        <v>1.1875287105901841E-2</v>
      </c>
      <c r="O39" s="40">
        <f t="shared" si="7"/>
        <v>8.7219330273321156E-7</v>
      </c>
      <c r="P39" s="40">
        <f t="shared" si="8"/>
        <v>8.3606346335293857E-5</v>
      </c>
      <c r="Q39" s="40">
        <f t="shared" si="9"/>
        <v>2.614235738947124E-4</v>
      </c>
      <c r="R39" s="9">
        <f t="shared" si="12"/>
        <v>1.4999999999999999E-4</v>
      </c>
      <c r="S39" s="9">
        <f t="shared" si="13"/>
        <v>4.0118208414248488E-6</v>
      </c>
      <c r="T39" s="9">
        <f t="shared" si="10"/>
        <v>1.3071939578370857E-4</v>
      </c>
      <c r="U39" s="9">
        <f t="shared" si="11"/>
        <v>1.4598817915857515E-4</v>
      </c>
      <c r="V39" s="100">
        <f t="shared" si="14"/>
        <v>0.89541082392512528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174</v>
      </c>
      <c r="C40" s="46" t="s">
        <v>175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5.4923561227077443E-2</v>
      </c>
      <c r="J40" s="92">
        <f t="shared" si="2"/>
        <v>2.2000700770906532</v>
      </c>
      <c r="K40" s="93">
        <f t="shared" si="3"/>
        <v>0.84306351161136106</v>
      </c>
      <c r="L40" s="93">
        <f t="shared" si="4"/>
        <v>4.2786362996616811E-2</v>
      </c>
      <c r="M40" s="93">
        <f t="shared" si="5"/>
        <v>0.95721363700338324</v>
      </c>
      <c r="N40" s="93">
        <f t="shared" si="6"/>
        <v>2.8117768980494593E-2</v>
      </c>
      <c r="O40" s="40">
        <f t="shared" si="7"/>
        <v>8.437703649841384E-7</v>
      </c>
      <c r="P40" s="40">
        <f t="shared" si="8"/>
        <v>1.3375017072742417E-4</v>
      </c>
      <c r="Q40" s="40">
        <f t="shared" si="9"/>
        <v>6.1898694248609934E-4</v>
      </c>
      <c r="R40" s="9">
        <f t="shared" si="12"/>
        <v>1.4999999999999999E-4</v>
      </c>
      <c r="S40" s="9">
        <f t="shared" si="13"/>
        <v>6.4179544494925213E-6</v>
      </c>
      <c r="T40" s="9">
        <f t="shared" si="10"/>
        <v>1.2645952674170414E-4</v>
      </c>
      <c r="U40" s="9">
        <f t="shared" si="11"/>
        <v>1.4358204555050747E-4</v>
      </c>
      <c r="V40" s="100">
        <f t="shared" si="14"/>
        <v>0.8807474935800369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176</v>
      </c>
      <c r="C41" s="94" t="s">
        <v>177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6.6276677113325539E-3</v>
      </c>
      <c r="J41" s="92">
        <f t="shared" si="2"/>
        <v>1.0971554041516225</v>
      </c>
      <c r="K41" s="93">
        <f t="shared" si="3"/>
        <v>0.980480224808016</v>
      </c>
      <c r="L41" s="93">
        <f t="shared" si="4"/>
        <v>3.9261713007574441E-3</v>
      </c>
      <c r="M41" s="93">
        <f t="shared" si="5"/>
        <v>0.99607382869924255</v>
      </c>
      <c r="N41" s="93">
        <f t="shared" si="6"/>
        <v>1.4283057494391847E-3</v>
      </c>
      <c r="O41" s="40">
        <f t="shared" si="7"/>
        <v>9.8130229306776347E-7</v>
      </c>
      <c r="P41" s="40">
        <f t="shared" si="8"/>
        <v>1.2273211486167768E-5</v>
      </c>
      <c r="Q41" s="40">
        <f t="shared" si="9"/>
        <v>3.1442843470048534E-5</v>
      </c>
      <c r="R41" s="9">
        <f t="shared" si="12"/>
        <v>1.4999999999999999E-4</v>
      </c>
      <c r="S41" s="9">
        <f t="shared" si="13"/>
        <v>5.8892569511361657E-7</v>
      </c>
      <c r="T41" s="9">
        <f t="shared" si="10"/>
        <v>1.4707203372120239E-4</v>
      </c>
      <c r="U41" s="9">
        <f t="shared" si="11"/>
        <v>1.4941107430488636E-4</v>
      </c>
      <c r="V41" s="100">
        <f t="shared" si="14"/>
        <v>0.98434493162862235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178</v>
      </c>
      <c r="C42" s="46" t="s">
        <v>179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2.8589842167479149E-2</v>
      </c>
      <c r="J42" s="92">
        <f t="shared" si="2"/>
        <v>1.8562658331213004</v>
      </c>
      <c r="K42" s="93">
        <f t="shared" si="3"/>
        <v>0.91609097442901177</v>
      </c>
      <c r="L42" s="93">
        <f t="shared" si="4"/>
        <v>2.1065871885562679E-2</v>
      </c>
      <c r="M42" s="93">
        <f t="shared" si="5"/>
        <v>0.97893412811443736</v>
      </c>
      <c r="N42" s="93">
        <f t="shared" si="6"/>
        <v>1.2502588860135059E-2</v>
      </c>
      <c r="O42" s="40">
        <f t="shared" si="7"/>
        <v>9.1685905653211264E-7</v>
      </c>
      <c r="P42" s="40">
        <f t="shared" si="8"/>
        <v>6.5851915514268932E-5</v>
      </c>
      <c r="Q42" s="40">
        <f t="shared" si="9"/>
        <v>2.7523304772381828E-4</v>
      </c>
      <c r="R42" s="9">
        <f t="shared" si="12"/>
        <v>1.4999999999999999E-4</v>
      </c>
      <c r="S42" s="9">
        <f t="shared" si="13"/>
        <v>3.1598807828344015E-6</v>
      </c>
      <c r="T42" s="9">
        <f t="shared" si="10"/>
        <v>1.3741364616435176E-4</v>
      </c>
      <c r="U42" s="9">
        <f t="shared" si="11"/>
        <v>1.468401192171656E-4</v>
      </c>
      <c r="V42" s="100">
        <f t="shared" si="14"/>
        <v>0.9358045123971005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180</v>
      </c>
      <c r="C43" s="46" t="s">
        <v>181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4.5043006346732313E-2</v>
      </c>
      <c r="J43" s="92">
        <f t="shared" si="2"/>
        <v>1.9791588629447154</v>
      </c>
      <c r="K43" s="93">
        <f t="shared" si="3"/>
        <v>0.87690375454806846</v>
      </c>
      <c r="L43" s="93">
        <f t="shared" si="4"/>
        <v>2.6759980562944437E-2</v>
      </c>
      <c r="M43" s="93">
        <f t="shared" si="5"/>
        <v>0.97324001943705551</v>
      </c>
      <c r="N43" s="93">
        <f t="shared" si="6"/>
        <v>1.289853169222261E-2</v>
      </c>
      <c r="O43" s="40">
        <f t="shared" si="7"/>
        <v>8.7763898074154793E-7</v>
      </c>
      <c r="P43" s="40">
        <f t="shared" si="8"/>
        <v>8.3651699239764292E-5</v>
      </c>
      <c r="Q43" s="40">
        <f t="shared" si="9"/>
        <v>2.8394936668935128E-4</v>
      </c>
      <c r="R43" s="9">
        <f t="shared" si="12"/>
        <v>1.4999999999999999E-4</v>
      </c>
      <c r="S43" s="9">
        <f t="shared" si="13"/>
        <v>4.013997084441665E-6</v>
      </c>
      <c r="T43" s="9">
        <f t="shared" si="10"/>
        <v>1.3153556318221027E-4</v>
      </c>
      <c r="U43" s="9">
        <f t="shared" si="11"/>
        <v>1.4598600291555831E-4</v>
      </c>
      <c r="V43" s="100">
        <f t="shared" si="14"/>
        <v>0.90101489564238202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182</v>
      </c>
      <c r="C44" s="46" t="s">
        <v>183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2.829962486439805</v>
      </c>
      <c r="J44" s="92">
        <f t="shared" si="2"/>
        <v>6.2517180889118604</v>
      </c>
      <c r="K44" s="93">
        <f t="shared" si="3"/>
        <v>8.01297405432748E-4</v>
      </c>
      <c r="L44" s="93">
        <f t="shared" si="4"/>
        <v>0.45802251441474728</v>
      </c>
      <c r="M44" s="93">
        <f t="shared" si="5"/>
        <v>0.54197748558525272</v>
      </c>
      <c r="N44" s="93">
        <f t="shared" si="6"/>
        <v>0.42881017510420216</v>
      </c>
      <c r="O44" s="40">
        <f t="shared" si="7"/>
        <v>8.0196924066915313E-10</v>
      </c>
      <c r="P44" s="40">
        <f t="shared" si="8"/>
        <v>1.4317783800605003E-3</v>
      </c>
      <c r="Q44" s="40">
        <f t="shared" si="9"/>
        <v>9.4398634322234946E-3</v>
      </c>
      <c r="R44" s="9">
        <f t="shared" si="12"/>
        <v>1.4999999999999999E-4</v>
      </c>
      <c r="S44" s="9">
        <f t="shared" si="13"/>
        <v>6.8703377162212089E-5</v>
      </c>
      <c r="T44" s="9">
        <f t="shared" si="10"/>
        <v>1.201946108149122E-7</v>
      </c>
      <c r="U44" s="9">
        <f t="shared" si="11"/>
        <v>8.1296622837787898E-5</v>
      </c>
      <c r="V44" s="100">
        <f t="shared" si="14"/>
        <v>1.4784699120249792E-3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184</v>
      </c>
      <c r="C45" s="46" t="s">
        <v>185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3.957220636313619E-3</v>
      </c>
      <c r="J45" s="92">
        <f t="shared" si="2"/>
        <v>0.92896201878272155</v>
      </c>
      <c r="K45" s="93">
        <f t="shared" si="3"/>
        <v>0.98775671899907747</v>
      </c>
      <c r="L45" s="93">
        <f t="shared" si="4"/>
        <v>2.685264142025945E-3</v>
      </c>
      <c r="M45" s="93">
        <f t="shared" si="5"/>
        <v>0.99731473585797403</v>
      </c>
      <c r="N45" s="93">
        <f t="shared" si="6"/>
        <v>1.1089177576100247E-3</v>
      </c>
      <c r="O45" s="40">
        <f t="shared" si="7"/>
        <v>9.8858488812120403E-7</v>
      </c>
      <c r="P45" s="40">
        <f t="shared" si="8"/>
        <v>8.3941357079731026E-6</v>
      </c>
      <c r="Q45" s="40">
        <f t="shared" si="9"/>
        <v>2.4411809227386883E-5</v>
      </c>
      <c r="R45" s="9">
        <f t="shared" si="12"/>
        <v>1.4999999999999999E-4</v>
      </c>
      <c r="S45" s="9">
        <f t="shared" si="13"/>
        <v>4.0278962130389173E-7</v>
      </c>
      <c r="T45" s="9">
        <f t="shared" si="10"/>
        <v>1.4816350784986159E-4</v>
      </c>
      <c r="U45" s="9">
        <f t="shared" si="11"/>
        <v>1.4959721037869608E-4</v>
      </c>
      <c r="V45" s="100">
        <f t="shared" si="14"/>
        <v>0.99041624823614582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186</v>
      </c>
      <c r="C46" s="46" t="s">
        <v>187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4.1980440605165602E-3</v>
      </c>
      <c r="J46" s="92">
        <f t="shared" si="2"/>
        <v>0.93601930537447953</v>
      </c>
      <c r="K46" s="93">
        <f t="shared" si="3"/>
        <v>0.98716720961166537</v>
      </c>
      <c r="L46" s="93">
        <f t="shared" si="4"/>
        <v>2.7276272945084188E-3</v>
      </c>
      <c r="M46" s="93">
        <f t="shared" si="5"/>
        <v>0.99727237270549163</v>
      </c>
      <c r="N46" s="93">
        <f t="shared" si="6"/>
        <v>1.0568931098869883E-3</v>
      </c>
      <c r="O46" s="40">
        <f t="shared" si="7"/>
        <v>9.8799488446889603E-7</v>
      </c>
      <c r="P46" s="40">
        <f t="shared" si="8"/>
        <v>8.5265629226333178E-6</v>
      </c>
      <c r="Q46" s="40">
        <f t="shared" si="9"/>
        <v>2.3266534235962858E-5</v>
      </c>
      <c r="R46" s="9">
        <f t="shared" si="12"/>
        <v>1.4999999999999999E-4</v>
      </c>
      <c r="S46" s="9">
        <f t="shared" si="13"/>
        <v>4.0914409417626279E-7</v>
      </c>
      <c r="T46" s="9">
        <f t="shared" si="10"/>
        <v>1.4807508144174978E-4</v>
      </c>
      <c r="U46" s="9">
        <f t="shared" si="11"/>
        <v>1.4959085590582374E-4</v>
      </c>
      <c r="V46" s="100">
        <f t="shared" si="14"/>
        <v>0.98986719839995962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188</v>
      </c>
      <c r="C47" s="46" t="s">
        <v>189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8.655050783580702E-2</v>
      </c>
      <c r="J47" s="92">
        <f t="shared" si="2"/>
        <v>2.4501770687994897</v>
      </c>
      <c r="K47" s="93">
        <f t="shared" si="3"/>
        <v>0.76252051970863033</v>
      </c>
      <c r="L47" s="93">
        <f t="shared" si="4"/>
        <v>6.8834094725840261E-2</v>
      </c>
      <c r="M47" s="93">
        <f t="shared" si="5"/>
        <v>0.93116590527415977</v>
      </c>
      <c r="N47" s="93">
        <f t="shared" si="6"/>
        <v>4.8141415878733489E-2</v>
      </c>
      <c r="O47" s="40">
        <f t="shared" si="7"/>
        <v>7.6315984307364917E-7</v>
      </c>
      <c r="P47" s="40">
        <f t="shared" si="8"/>
        <v>2.1517538011297667E-4</v>
      </c>
      <c r="Q47" s="40">
        <f t="shared" si="9"/>
        <v>1.0597891974431048E-3</v>
      </c>
      <c r="R47" s="9">
        <f t="shared" si="12"/>
        <v>1.4999999999999999E-4</v>
      </c>
      <c r="S47" s="9">
        <f t="shared" si="13"/>
        <v>1.0325114208876038E-5</v>
      </c>
      <c r="T47" s="9">
        <f t="shared" si="10"/>
        <v>1.1437807795629454E-4</v>
      </c>
      <c r="U47" s="9">
        <f t="shared" si="11"/>
        <v>1.3967488579112394E-4</v>
      </c>
      <c r="V47" s="100">
        <f t="shared" si="14"/>
        <v>0.81888792898202623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2.1004549420906745E-4</v>
      </c>
      <c r="J48" s="92">
        <f t="shared" ref="J48:J50" si="16">IF(D48=0,"",LOG($K$21*10^D48+$K$22*10^E48+$K$20))</f>
        <v>0.11582725100744901</v>
      </c>
      <c r="K48" s="93">
        <f t="shared" ref="K48:K50" si="17">IF(D48=0,"",1/(1+10^D48*$J$15/$J$14+10^E48*$J$16/$J$14+10^J48*$J$19/$J$14))</f>
        <v>0.99858170563601856</v>
      </c>
      <c r="L48" s="93">
        <f t="shared" ref="L48:L50" si="18">IF(D48=0,"",1/(1+10^I48/10^J48*$J$13/$J$19))</f>
        <v>4.1743211423652342E-4</v>
      </c>
      <c r="M48" s="93">
        <f t="shared" ref="M48:M92" si="19">IF(D48=0,"",1-L48)</f>
        <v>0.9995825678857635</v>
      </c>
      <c r="N48" s="93">
        <f t="shared" ref="N48:N50" si="20">IF(D48=0,"",1/(1/10^E48*$J$20/$J$22+10^D48/10^E48*$J$21/$J$22+10^I48/10^E48*$J$13/$J$22+1))</f>
        <v>6.8936138248354041E-5</v>
      </c>
      <c r="O48" s="40">
        <f t="shared" ref="O48:O92" si="21">IF(D48=0,"",F48*K48*$J$7/$J$14)</f>
        <v>9.9941895079833537E-7</v>
      </c>
      <c r="P48" s="40">
        <f t="shared" ref="P48:P50" si="22">IF(D48=0,"",O48*10^J48)</f>
        <v>1.3048927891033717E-6</v>
      </c>
      <c r="Q48" s="40">
        <f t="shared" ref="Q48:Q50" si="23">IF(D48=0,"",F48*N48*$J$7/$J$22)</f>
        <v>1.5175659729884139E-6</v>
      </c>
      <c r="R48" s="9">
        <f t="shared" si="12"/>
        <v>1.4999999999999999E-4</v>
      </c>
      <c r="S48" s="9">
        <f t="shared" si="13"/>
        <v>6.2614817135478506E-8</v>
      </c>
      <c r="T48" s="9">
        <f t="shared" si="10"/>
        <v>1.4978725584540277E-4</v>
      </c>
      <c r="U48" s="9">
        <f t="shared" si="11"/>
        <v>1.4993738518286452E-4</v>
      </c>
      <c r="V48" s="100">
        <f t="shared" si="14"/>
        <v>0.99899871978373744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190</v>
      </c>
      <c r="C49" s="46" t="s">
        <v>191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9.6186457475178466E-3</v>
      </c>
      <c r="J49" s="92">
        <f t="shared" si="16"/>
        <v>1.3393017792075548</v>
      </c>
      <c r="K49" s="93">
        <f t="shared" si="17"/>
        <v>0.97095116003987636</v>
      </c>
      <c r="L49" s="93">
        <f t="shared" si="18"/>
        <v>6.7900686519807808E-3</v>
      </c>
      <c r="M49" s="93">
        <f t="shared" si="19"/>
        <v>0.99320993134801927</v>
      </c>
      <c r="N49" s="93">
        <f t="shared" si="20"/>
        <v>3.5056110606719254E-3</v>
      </c>
      <c r="O49" s="40">
        <f t="shared" si="21"/>
        <v>9.7176523880478999E-7</v>
      </c>
      <c r="P49" s="40">
        <f t="shared" si="22"/>
        <v>2.1225754606091925E-5</v>
      </c>
      <c r="Q49" s="40">
        <f t="shared" si="23"/>
        <v>7.7172818138453807E-5</v>
      </c>
      <c r="R49" s="9">
        <f t="shared" si="12"/>
        <v>1.4999999999999999E-4</v>
      </c>
      <c r="S49" s="9">
        <f t="shared" si="13"/>
        <v>1.0185102977971171E-6</v>
      </c>
      <c r="T49" s="9">
        <f t="shared" si="10"/>
        <v>1.4564267400598145E-4</v>
      </c>
      <c r="U49" s="9">
        <f t="shared" si="11"/>
        <v>1.4898148970220288E-4</v>
      </c>
      <c r="V49" s="100">
        <f t="shared" si="14"/>
        <v>0.9775890568493083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192</v>
      </c>
      <c r="C50" s="46" t="s">
        <v>193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8.6760595853303396E-2</v>
      </c>
      <c r="J50" s="92">
        <f t="shared" si="16"/>
        <v>2.3514817080656072</v>
      </c>
      <c r="K50" s="93">
        <f t="shared" si="17"/>
        <v>0.77298846465215432</v>
      </c>
      <c r="L50" s="93">
        <f t="shared" si="18"/>
        <v>5.5594230346392055E-2</v>
      </c>
      <c r="M50" s="93">
        <f t="shared" si="19"/>
        <v>0.9444057696536079</v>
      </c>
      <c r="N50" s="93">
        <f t="shared" si="20"/>
        <v>3.2341961701428522E-2</v>
      </c>
      <c r="O50" s="40">
        <f t="shared" si="21"/>
        <v>7.7363656470135828E-7</v>
      </c>
      <c r="P50" s="40">
        <f t="shared" si="22"/>
        <v>1.7378756406282155E-4</v>
      </c>
      <c r="Q50" s="40">
        <f t="shared" si="23"/>
        <v>7.1197867801877171E-4</v>
      </c>
      <c r="R50" s="9">
        <f t="shared" si="12"/>
        <v>1.4999999999999999E-4</v>
      </c>
      <c r="S50" s="9">
        <f t="shared" si="13"/>
        <v>8.3391345519588074E-6</v>
      </c>
      <c r="T50" s="9">
        <f t="shared" si="10"/>
        <v>1.1594826969782314E-4</v>
      </c>
      <c r="U50" s="9">
        <f t="shared" si="11"/>
        <v>1.4166086544804116E-4</v>
      </c>
      <c r="V50" s="100">
        <f t="shared" si="14"/>
        <v>0.81849189139925882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194</v>
      </c>
      <c r="C51" s="46" t="s">
        <v>195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1.9819141928346475</v>
      </c>
      <c r="J51" s="92">
        <f t="shared" ref="J51:J70" si="25">IF(D51=0,"",LOG($K$21*10^D51+$K$22*10^E51+$K$20))</f>
        <v>5.2573793638422401</v>
      </c>
      <c r="K51" s="93">
        <f t="shared" ref="K51:K70" si="26">IF(D51=0,"",1/(1+10^D51*$J$15/$J$14+10^E51*$J$16/$J$14+10^J51*$J$19/$J$14))</f>
        <v>6.4985310852781553E-3</v>
      </c>
      <c r="L51" s="93">
        <f t="shared" ref="L51:L70" si="27">IF(D51=0,"",1/(1+10^I51/10^J51*$J$13/$J$19))</f>
        <v>0.3763306284232793</v>
      </c>
      <c r="M51" s="93">
        <f t="shared" ref="M51:M70" si="28">IF(D51=0,"",1-L51)</f>
        <v>0.62366937157672075</v>
      </c>
      <c r="N51" s="93">
        <f t="shared" ref="N51:N70" si="29">IF(D51=0,"",1/(1/10^E51*$J$20/$J$22+10^D51/10^E51*$J$21/$J$22+10^I51/10^E51*$J$13/$J$22+1))</f>
        <v>0.32046052971000449</v>
      </c>
      <c r="O51" s="40">
        <f t="shared" ref="O51:O70" si="30">IF(D51=0,"",F51*K51*$J$7/$J$14)</f>
        <v>6.5039796766979731E-9</v>
      </c>
      <c r="P51" s="40">
        <f t="shared" ref="P51:P70" si="31">IF(D51=0,"",O51*10^J51)</f>
        <v>1.1764095444511714E-3</v>
      </c>
      <c r="Q51" s="40">
        <f t="shared" ref="Q51:Q70" si="32">IF(D51=0,"",F51*N51*$J$7/$J$22)</f>
        <v>7.0546451822075642E-3</v>
      </c>
      <c r="R51" s="9">
        <f t="shared" si="12"/>
        <v>1.4999999999999999E-4</v>
      </c>
      <c r="S51" s="9">
        <f t="shared" si="13"/>
        <v>5.6449594263491891E-5</v>
      </c>
      <c r="T51" s="9">
        <f t="shared" si="10"/>
        <v>9.7477966279172327E-7</v>
      </c>
      <c r="U51" s="9">
        <f t="shared" si="11"/>
        <v>9.3550405736508109E-5</v>
      </c>
      <c r="V51" s="100">
        <f t="shared" si="14"/>
        <v>1.0419833619292523E-2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196</v>
      </c>
      <c r="C52" s="46" t="s">
        <v>197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0.12726341031571042</v>
      </c>
      <c r="J52" s="92">
        <f t="shared" si="25"/>
        <v>2.638206330325866</v>
      </c>
      <c r="K52" s="93">
        <f t="shared" si="26"/>
        <v>0.67550878110358847</v>
      </c>
      <c r="L52" s="93">
        <f t="shared" si="27"/>
        <v>9.4018286183487398E-2</v>
      </c>
      <c r="M52" s="93">
        <f t="shared" si="28"/>
        <v>0.9059817138165126</v>
      </c>
      <c r="N52" s="93">
        <f t="shared" si="29"/>
        <v>6.5815221072604929E-2</v>
      </c>
      <c r="O52" s="40">
        <f t="shared" si="30"/>
        <v>6.7607515084167762E-7</v>
      </c>
      <c r="P52" s="40">
        <f t="shared" si="31"/>
        <v>2.9390116260958162E-4</v>
      </c>
      <c r="Q52" s="40">
        <f t="shared" si="32"/>
        <v>1.4488618385419933E-3</v>
      </c>
      <c r="R52" s="9">
        <f t="shared" si="12"/>
        <v>1.4999999999999999E-4</v>
      </c>
      <c r="S52" s="9">
        <f t="shared" si="13"/>
        <v>1.4102742927523108E-5</v>
      </c>
      <c r="T52" s="9">
        <f t="shared" si="10"/>
        <v>1.0132631716553826E-4</v>
      </c>
      <c r="U52" s="9">
        <f t="shared" si="11"/>
        <v>1.3589725707247689E-4</v>
      </c>
      <c r="V52" s="100">
        <f t="shared" si="14"/>
        <v>0.74560973008821507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198</v>
      </c>
      <c r="C53" s="46" t="s">
        <v>199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0.47104615060046062</v>
      </c>
      <c r="J53" s="92">
        <f t="shared" si="25"/>
        <v>3.4821247233434276</v>
      </c>
      <c r="K53" s="93">
        <f t="shared" si="26"/>
        <v>0.25435666152184871</v>
      </c>
      <c r="L53" s="93">
        <f t="shared" si="27"/>
        <v>0.24713988522304028</v>
      </c>
      <c r="M53" s="93">
        <f t="shared" si="28"/>
        <v>0.75286011477695969</v>
      </c>
      <c r="N53" s="93">
        <f t="shared" si="29"/>
        <v>0.19317657494630189</v>
      </c>
      <c r="O53" s="40">
        <f t="shared" si="30"/>
        <v>2.5456992287358422E-7</v>
      </c>
      <c r="P53" s="40">
        <f t="shared" si="31"/>
        <v>7.7255928120722409E-4</v>
      </c>
      <c r="Q53" s="40">
        <f t="shared" si="32"/>
        <v>4.2526054456488716E-3</v>
      </c>
      <c r="R53" s="9">
        <f t="shared" si="12"/>
        <v>1.4999999999999999E-4</v>
      </c>
      <c r="S53" s="9">
        <f t="shared" si="13"/>
        <v>3.7070982783456039E-5</v>
      </c>
      <c r="T53" s="9">
        <f t="shared" si="10"/>
        <v>3.8153499228277301E-5</v>
      </c>
      <c r="U53" s="9">
        <f t="shared" si="11"/>
        <v>1.1292901721654395E-4</v>
      </c>
      <c r="V53" s="100">
        <f t="shared" si="14"/>
        <v>0.337853814446265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200</v>
      </c>
      <c r="C54" s="46" t="s">
        <v>201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0.17835694544431213</v>
      </c>
      <c r="J54" s="92">
        <f t="shared" si="25"/>
        <v>2.8279013612794559</v>
      </c>
      <c r="K54" s="93">
        <f t="shared" si="26"/>
        <v>0.58003209492971874</v>
      </c>
      <c r="L54" s="93">
        <f t="shared" si="27"/>
        <v>0.12494773490090817</v>
      </c>
      <c r="M54" s="93">
        <f t="shared" si="28"/>
        <v>0.87505226509909184</v>
      </c>
      <c r="N54" s="93">
        <f t="shared" si="29"/>
        <v>8.9621327097738082E-2</v>
      </c>
      <c r="O54" s="40">
        <f t="shared" si="30"/>
        <v>5.805184137384127E-7</v>
      </c>
      <c r="P54" s="40">
        <f t="shared" si="31"/>
        <v>3.9058661930023892E-4</v>
      </c>
      <c r="Q54" s="40">
        <f t="shared" si="32"/>
        <v>1.9729314683628821E-3</v>
      </c>
      <c r="R54" s="9">
        <f t="shared" si="12"/>
        <v>1.4999999999999999E-4</v>
      </c>
      <c r="S54" s="9">
        <f t="shared" si="13"/>
        <v>1.8742160235136223E-5</v>
      </c>
      <c r="T54" s="9">
        <f t="shared" si="10"/>
        <v>8.7004814239457809E-5</v>
      </c>
      <c r="U54" s="9">
        <f t="shared" si="11"/>
        <v>1.3125783976486376E-4</v>
      </c>
      <c r="V54" s="100">
        <f t="shared" si="14"/>
        <v>0.6628542294716937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5.9812805986470914E-3</v>
      </c>
      <c r="J55" s="54">
        <f t="shared" si="25"/>
        <v>1.1194464580046877</v>
      </c>
      <c r="K55" s="55">
        <f t="shared" si="26"/>
        <v>0.98173157419262225</v>
      </c>
      <c r="L55" s="55">
        <f t="shared" si="27"/>
        <v>4.1382261241826139E-3</v>
      </c>
      <c r="M55" s="55">
        <f t="shared" si="28"/>
        <v>0.99586177387581742</v>
      </c>
      <c r="N55" s="55">
        <f t="shared" si="29"/>
        <v>1.9431445301500109E-3</v>
      </c>
      <c r="O55" s="56">
        <f t="shared" si="30"/>
        <v>9.8255469162662628E-7</v>
      </c>
      <c r="P55" s="56">
        <f t="shared" si="31"/>
        <v>1.2936094864194853E-5</v>
      </c>
      <c r="Q55" s="56">
        <f t="shared" si="32"/>
        <v>4.277654789611926E-5</v>
      </c>
      <c r="R55" s="9">
        <f t="shared" si="12"/>
        <v>1.4999999999999999E-4</v>
      </c>
      <c r="S55" s="9">
        <f t="shared" si="13"/>
        <v>6.2073391862739206E-7</v>
      </c>
      <c r="T55" s="9">
        <f t="shared" si="10"/>
        <v>1.4725973612889334E-4</v>
      </c>
      <c r="U55" s="9">
        <f t="shared" si="11"/>
        <v>1.4937926608137261E-4</v>
      </c>
      <c r="V55" s="100">
        <f t="shared" si="14"/>
        <v>0.98581108337133827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202</v>
      </c>
      <c r="C56" s="46" t="s">
        <v>203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0.11910186422699467</v>
      </c>
      <c r="J56" s="54">
        <f t="shared" si="25"/>
        <v>2.6217835296151417</v>
      </c>
      <c r="K56" s="55">
        <f t="shared" si="26"/>
        <v>0.68954497116578972</v>
      </c>
      <c r="L56" s="55">
        <f t="shared" si="27"/>
        <v>9.241045876679628E-2</v>
      </c>
      <c r="M56" s="55">
        <f t="shared" si="28"/>
        <v>0.90758954123320368</v>
      </c>
      <c r="N56" s="55">
        <f t="shared" si="29"/>
        <v>6.6251534395264156E-2</v>
      </c>
      <c r="O56" s="56">
        <f t="shared" si="30"/>
        <v>6.9012310932719415E-7</v>
      </c>
      <c r="P56" s="56">
        <f t="shared" si="31"/>
        <v>2.8887509410500511E-4</v>
      </c>
      <c r="Q56" s="56">
        <f t="shared" si="32"/>
        <v>1.4584668768985616E-3</v>
      </c>
      <c r="R56" s="9">
        <f t="shared" si="12"/>
        <v>1.4999999999999999E-4</v>
      </c>
      <c r="S56" s="9">
        <f t="shared" si="13"/>
        <v>1.3861568815019441E-5</v>
      </c>
      <c r="T56" s="9">
        <f t="shared" si="10"/>
        <v>1.0343174567486844E-4</v>
      </c>
      <c r="U56" s="9">
        <f t="shared" si="11"/>
        <v>1.3613843118498055E-4</v>
      </c>
      <c r="V56" s="100">
        <f t="shared" si="14"/>
        <v>0.75975420588128206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3.4503381608646556E-2</v>
      </c>
      <c r="J57" s="54">
        <f t="shared" si="25"/>
        <v>1.9657934893493081</v>
      </c>
      <c r="K57" s="55">
        <f t="shared" si="26"/>
        <v>0.89860107198671679</v>
      </c>
      <c r="L57" s="55">
        <f t="shared" si="27"/>
        <v>2.6591046093799434E-2</v>
      </c>
      <c r="M57" s="55">
        <f t="shared" si="28"/>
        <v>0.97340895390620052</v>
      </c>
      <c r="N57" s="55">
        <f t="shared" si="29"/>
        <v>1.6675170296562545E-2</v>
      </c>
      <c r="O57" s="56">
        <f t="shared" si="30"/>
        <v>8.993544899555494E-7</v>
      </c>
      <c r="P57" s="56">
        <f t="shared" si="31"/>
        <v>8.3123610089217044E-5</v>
      </c>
      <c r="Q57" s="56">
        <f t="shared" si="32"/>
        <v>3.6708860807784871E-4</v>
      </c>
      <c r="R57" s="9">
        <f t="shared" si="12"/>
        <v>1.4999999999999999E-4</v>
      </c>
      <c r="S57" s="9">
        <f t="shared" si="13"/>
        <v>3.9886569140699147E-6</v>
      </c>
      <c r="T57" s="9">
        <f t="shared" si="10"/>
        <v>1.3479016079800751E-4</v>
      </c>
      <c r="U57" s="9">
        <f t="shared" si="11"/>
        <v>1.4601134308593006E-4</v>
      </c>
      <c r="V57" s="100">
        <f t="shared" si="14"/>
        <v>0.92314855783965555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145</v>
      </c>
      <c r="C58" s="46" t="s">
        <v>146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2.4527660835054643E-2</v>
      </c>
      <c r="J58" s="54">
        <f t="shared" si="25"/>
        <v>1.7600042430072071</v>
      </c>
      <c r="K58" s="55">
        <f t="shared" si="26"/>
        <v>0.92844089316851974</v>
      </c>
      <c r="L58" s="55">
        <f t="shared" si="27"/>
        <v>1.7105410653589708E-2</v>
      </c>
      <c r="M58" s="55">
        <f t="shared" si="28"/>
        <v>0.98289458934641027</v>
      </c>
      <c r="N58" s="55">
        <f t="shared" si="29"/>
        <v>9.4771904085951646E-3</v>
      </c>
      <c r="O58" s="56">
        <f t="shared" si="30"/>
        <v>9.2921932986720488E-7</v>
      </c>
      <c r="P58" s="56">
        <f t="shared" si="31"/>
        <v>5.3471513703121426E-5</v>
      </c>
      <c r="Q58" s="56">
        <f t="shared" si="32"/>
        <v>2.0863167054414427E-4</v>
      </c>
      <c r="R58" s="9">
        <f t="shared" si="12"/>
        <v>1.4999999999999999E-4</v>
      </c>
      <c r="S58" s="9">
        <f t="shared" si="13"/>
        <v>2.5658115980384561E-6</v>
      </c>
      <c r="T58" s="9">
        <f t="shared" si="10"/>
        <v>1.3926613397527795E-4</v>
      </c>
      <c r="U58" s="9">
        <f t="shared" si="11"/>
        <v>1.4743418840196154E-4</v>
      </c>
      <c r="V58" s="100">
        <f t="shared" si="14"/>
        <v>0.94459864082261324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147</v>
      </c>
      <c r="C59" s="46" t="s">
        <v>148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6.9959414880738915E-3</v>
      </c>
      <c r="J59" s="54">
        <f t="shared" si="25"/>
        <v>1.2491688866071173</v>
      </c>
      <c r="K59" s="55">
        <f t="shared" si="26"/>
        <v>0.97804442941777692</v>
      </c>
      <c r="L59" s="55">
        <f t="shared" si="27"/>
        <v>5.5577943328306966E-3</v>
      </c>
      <c r="M59" s="55">
        <f t="shared" si="28"/>
        <v>0.99444220566716934</v>
      </c>
      <c r="N59" s="55">
        <f t="shared" si="29"/>
        <v>3.1639814554445325E-3</v>
      </c>
      <c r="O59" s="56">
        <f t="shared" si="30"/>
        <v>9.7886445542309971E-7</v>
      </c>
      <c r="P59" s="56">
        <f t="shared" si="31"/>
        <v>1.7373665084428761E-5</v>
      </c>
      <c r="Q59" s="56">
        <f t="shared" si="32"/>
        <v>6.965215513887049E-5</v>
      </c>
      <c r="R59" s="9">
        <f t="shared" si="12"/>
        <v>1.4999999999999999E-4</v>
      </c>
      <c r="S59" s="9">
        <f t="shared" si="13"/>
        <v>8.3366914992460439E-7</v>
      </c>
      <c r="T59" s="9">
        <f t="shared" si="10"/>
        <v>1.4670666441266651E-4</v>
      </c>
      <c r="U59" s="9">
        <f t="shared" si="11"/>
        <v>1.4916633085007539E-4</v>
      </c>
      <c r="V59" s="100">
        <f t="shared" si="14"/>
        <v>0.98351057893968685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149</v>
      </c>
      <c r="C60" s="46" t="s">
        <v>150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0.12885708410514962</v>
      </c>
      <c r="J60" s="54">
        <f t="shared" si="25"/>
        <v>2.6786895992598456</v>
      </c>
      <c r="K60" s="55">
        <f t="shared" si="26"/>
        <v>0.66715851647858149</v>
      </c>
      <c r="L60" s="55">
        <f t="shared" si="27"/>
        <v>0.10192803098026053</v>
      </c>
      <c r="M60" s="55">
        <f t="shared" si="28"/>
        <v>0.89807196901973951</v>
      </c>
      <c r="N60" s="55">
        <f t="shared" si="29"/>
        <v>7.4867332972092915E-2</v>
      </c>
      <c r="O60" s="56">
        <f t="shared" si="30"/>
        <v>6.6771788506831993E-7</v>
      </c>
      <c r="P60" s="56">
        <f t="shared" si="31"/>
        <v>3.1862702484429425E-4</v>
      </c>
      <c r="Q60" s="56">
        <f t="shared" si="32"/>
        <v>1.6481357948645243E-3</v>
      </c>
      <c r="R60" s="9">
        <f t="shared" si="12"/>
        <v>1.4999999999999999E-4</v>
      </c>
      <c r="S60" s="9">
        <f t="shared" si="13"/>
        <v>1.5289204647039077E-5</v>
      </c>
      <c r="T60" s="9">
        <f t="shared" si="10"/>
        <v>1.0007377747178722E-4</v>
      </c>
      <c r="U60" s="9">
        <f t="shared" si="11"/>
        <v>1.3471079535296092E-4</v>
      </c>
      <c r="V60" s="100">
        <f t="shared" si="14"/>
        <v>0.74287867731446522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151</v>
      </c>
      <c r="C61" s="46" t="s">
        <v>152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0.54169315053805034</v>
      </c>
      <c r="J61" s="54">
        <f t="shared" si="25"/>
        <v>3.6749685564755032</v>
      </c>
      <c r="K61" s="55">
        <f t="shared" si="26"/>
        <v>0.2001010127448026</v>
      </c>
      <c r="L61" s="55">
        <f t="shared" si="27"/>
        <v>0.30310482117929155</v>
      </c>
      <c r="M61" s="55">
        <f t="shared" si="28"/>
        <v>0.69689517882070851</v>
      </c>
      <c r="N61" s="55">
        <f t="shared" si="29"/>
        <v>0.25811462618957848</v>
      </c>
      <c r="O61" s="56">
        <f t="shared" si="30"/>
        <v>2.0026878429914789E-7</v>
      </c>
      <c r="P61" s="56">
        <f t="shared" si="31"/>
        <v>9.4750567100646563E-4</v>
      </c>
      <c r="Q61" s="56">
        <f t="shared" si="32"/>
        <v>5.6821571934410021E-3</v>
      </c>
      <c r="R61" s="9">
        <f t="shared" si="12"/>
        <v>1.4999999999999999E-4</v>
      </c>
      <c r="S61" s="9">
        <f t="shared" si="13"/>
        <v>4.5465723176893727E-5</v>
      </c>
      <c r="T61" s="9">
        <f t="shared" si="10"/>
        <v>3.0015151911720389E-5</v>
      </c>
      <c r="U61" s="9">
        <f t="shared" si="11"/>
        <v>1.0453427682310627E-4</v>
      </c>
      <c r="V61" s="100">
        <f t="shared" si="14"/>
        <v>0.2871321524758072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153</v>
      </c>
      <c r="C62" s="46" t="s">
        <v>154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1.2755126419323455</v>
      </c>
      <c r="J62" s="54">
        <f t="shared" si="25"/>
        <v>4.6416780984884465</v>
      </c>
      <c r="K62" s="55">
        <f t="shared" si="26"/>
        <v>3.0396647502117284E-2</v>
      </c>
      <c r="L62" s="55">
        <f t="shared" si="27"/>
        <v>0.4264604754995529</v>
      </c>
      <c r="M62" s="55">
        <f t="shared" si="28"/>
        <v>0.5735395245004471</v>
      </c>
      <c r="N62" s="55">
        <f t="shared" si="29"/>
        <v>0.39200266111316262</v>
      </c>
      <c r="O62" s="56">
        <f t="shared" si="30"/>
        <v>3.0422133094260783E-8</v>
      </c>
      <c r="P62" s="56">
        <f t="shared" si="31"/>
        <v>1.3331154464116025E-3</v>
      </c>
      <c r="Q62" s="56">
        <f t="shared" si="32"/>
        <v>8.6295797087306073E-3</v>
      </c>
      <c r="R62" s="9">
        <f t="shared" si="12"/>
        <v>1.4999999999999999E-4</v>
      </c>
      <c r="S62" s="9">
        <f t="shared" si="13"/>
        <v>6.3969071324932936E-5</v>
      </c>
      <c r="T62" s="9">
        <f t="shared" si="10"/>
        <v>4.5594971253175922E-6</v>
      </c>
      <c r="U62" s="9">
        <f t="shared" si="11"/>
        <v>8.6030928675067051E-5</v>
      </c>
      <c r="V62" s="100">
        <f t="shared" si="14"/>
        <v>5.2998348332824602E-2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155</v>
      </c>
      <c r="C63" s="46" t="s">
        <v>156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2.3278344887119857</v>
      </c>
      <c r="J63" s="54">
        <f t="shared" si="25"/>
        <v>5.8034741934365162</v>
      </c>
      <c r="K63" s="55">
        <f t="shared" si="26"/>
        <v>2.4010955494063449E-3</v>
      </c>
      <c r="L63" s="55">
        <f t="shared" si="27"/>
        <v>0.48894345534074185</v>
      </c>
      <c r="M63" s="55">
        <f t="shared" si="28"/>
        <v>0.51105654465925809</v>
      </c>
      <c r="N63" s="55">
        <f t="shared" si="29"/>
        <v>0.47051423896171463</v>
      </c>
      <c r="O63" s="56">
        <f t="shared" si="30"/>
        <v>2.4031087102940869E-9</v>
      </c>
      <c r="P63" s="56">
        <f t="shared" si="31"/>
        <v>1.5284372413951594E-3</v>
      </c>
      <c r="Q63" s="56">
        <f t="shared" si="32"/>
        <v>1.035794021826986E-2</v>
      </c>
      <c r="R63" s="9">
        <f t="shared" si="12"/>
        <v>1.4999999999999999E-4</v>
      </c>
      <c r="S63" s="9">
        <f t="shared" si="13"/>
        <v>7.3341518301111273E-5</v>
      </c>
      <c r="T63" s="9">
        <f t="shared" si="10"/>
        <v>3.601643324109517E-7</v>
      </c>
      <c r="U63" s="9">
        <f t="shared" si="11"/>
        <v>7.6658481698888714E-5</v>
      </c>
      <c r="V63" s="100">
        <f t="shared" si="14"/>
        <v>4.6982972324662265E-3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157</v>
      </c>
      <c r="C64" s="46" t="s">
        <v>158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1.6404345211947191</v>
      </c>
      <c r="J64" s="54">
        <f t="shared" si="25"/>
        <v>5.0569476970919887</v>
      </c>
      <c r="K64" s="55">
        <f t="shared" si="26"/>
        <v>1.2465652020434297E-2</v>
      </c>
      <c r="L64" s="55">
        <f t="shared" si="27"/>
        <v>0.45502755571009063</v>
      </c>
      <c r="M64" s="55">
        <f t="shared" si="28"/>
        <v>0.54497244428990932</v>
      </c>
      <c r="N64" s="55">
        <f t="shared" si="29"/>
        <v>0.42695128739514504</v>
      </c>
      <c r="O64" s="56">
        <f t="shared" si="30"/>
        <v>1.2476103650771934E-8</v>
      </c>
      <c r="P64" s="56">
        <f t="shared" si="31"/>
        <v>1.4224161391497433E-3</v>
      </c>
      <c r="Q64" s="56">
        <f t="shared" si="32"/>
        <v>9.3989417211072079E-3</v>
      </c>
      <c r="R64" s="9">
        <f t="shared" si="12"/>
        <v>1.4999999999999999E-4</v>
      </c>
      <c r="S64" s="9">
        <f t="shared" si="13"/>
        <v>6.825413335651359E-5</v>
      </c>
      <c r="T64" s="9">
        <f t="shared" si="10"/>
        <v>1.8698478030651444E-6</v>
      </c>
      <c r="U64" s="9">
        <f t="shared" si="11"/>
        <v>8.1745866643486396E-5</v>
      </c>
      <c r="V64" s="100">
        <f t="shared" si="14"/>
        <v>2.2873912527223005E-2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159</v>
      </c>
      <c r="C65" s="46" t="s">
        <v>160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1.3777282566754774</v>
      </c>
      <c r="J65" s="54">
        <f t="shared" si="25"/>
        <v>4.7600765897084454</v>
      </c>
      <c r="K65" s="55">
        <f t="shared" si="26"/>
        <v>2.3639312311493414E-2</v>
      </c>
      <c r="L65" s="55">
        <f t="shared" si="27"/>
        <v>0.4355985538226268</v>
      </c>
      <c r="M65" s="55">
        <f t="shared" si="28"/>
        <v>0.5644014461773732</v>
      </c>
      <c r="N65" s="55">
        <f t="shared" si="29"/>
        <v>0.40299361609802464</v>
      </c>
      <c r="O65" s="56">
        <f t="shared" si="30"/>
        <v>2.3659132321975874E-8</v>
      </c>
      <c r="P65" s="56">
        <f t="shared" si="31"/>
        <v>1.3616810792495319E-3</v>
      </c>
      <c r="Q65" s="56">
        <f t="shared" si="32"/>
        <v>8.8715355205804588E-3</v>
      </c>
      <c r="R65" s="9">
        <f t="shared" si="12"/>
        <v>1.4999999999999999E-4</v>
      </c>
      <c r="S65" s="9">
        <f t="shared" si="13"/>
        <v>6.5339783073394017E-5</v>
      </c>
      <c r="T65" s="9">
        <f t="shared" si="10"/>
        <v>3.5458968467240116E-6</v>
      </c>
      <c r="U65" s="9">
        <f t="shared" si="11"/>
        <v>8.466021692660597E-5</v>
      </c>
      <c r="V65" s="100">
        <f t="shared" si="14"/>
        <v>4.1883862048192444E-2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161</v>
      </c>
      <c r="C66" s="46" t="s">
        <v>162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1.6404345211947191</v>
      </c>
      <c r="J66" s="54">
        <f t="shared" si="25"/>
        <v>5.0569476970919887</v>
      </c>
      <c r="K66" s="55">
        <f t="shared" si="26"/>
        <v>1.2465652020434297E-2</v>
      </c>
      <c r="L66" s="55">
        <f t="shared" si="27"/>
        <v>0.45502755571009063</v>
      </c>
      <c r="M66" s="55">
        <f t="shared" si="28"/>
        <v>0.54497244428990932</v>
      </c>
      <c r="N66" s="55">
        <f t="shared" si="29"/>
        <v>0.42695128739514504</v>
      </c>
      <c r="O66" s="56">
        <f t="shared" si="30"/>
        <v>1.2476103650771934E-8</v>
      </c>
      <c r="P66" s="56">
        <f t="shared" si="31"/>
        <v>1.4224161391497433E-3</v>
      </c>
      <c r="Q66" s="56">
        <f t="shared" si="32"/>
        <v>9.3989417211072079E-3</v>
      </c>
      <c r="R66" s="9">
        <f t="shared" si="12"/>
        <v>1.4999999999999999E-4</v>
      </c>
      <c r="S66" s="9">
        <f t="shared" si="13"/>
        <v>6.825413335651359E-5</v>
      </c>
      <c r="T66" s="9">
        <f t="shared" si="10"/>
        <v>1.8698478030651444E-6</v>
      </c>
      <c r="U66" s="9">
        <f t="shared" si="11"/>
        <v>8.1745866643486396E-5</v>
      </c>
      <c r="V66" s="100">
        <f t="shared" si="14"/>
        <v>2.2873912527223005E-2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115</v>
      </c>
      <c r="C67" s="46" t="s">
        <v>116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-1.8635683569884906E-4</v>
      </c>
      <c r="J67" s="54">
        <f t="shared" si="25"/>
        <v>-0.17642537119776217</v>
      </c>
      <c r="K67" s="55">
        <f t="shared" si="26"/>
        <v>0.99969777591366682</v>
      </c>
      <c r="L67" s="55">
        <f t="shared" si="27"/>
        <v>2.1321529513270408E-4</v>
      </c>
      <c r="M67" s="55">
        <f t="shared" si="28"/>
        <v>0.99978678470486726</v>
      </c>
      <c r="N67" s="55">
        <f t="shared" si="29"/>
        <v>1.3521108164897597E-6</v>
      </c>
      <c r="O67" s="56">
        <f t="shared" si="30"/>
        <v>1.0005359568275958E-6</v>
      </c>
      <c r="P67" s="56">
        <f t="shared" si="31"/>
        <v>6.6651101258483297E-7</v>
      </c>
      <c r="Q67" s="56">
        <f t="shared" si="32"/>
        <v>2.9765481777091475E-8</v>
      </c>
      <c r="R67" s="9">
        <f t="shared" si="12"/>
        <v>1.4999999999999999E-4</v>
      </c>
      <c r="S67" s="9">
        <f t="shared" si="13"/>
        <v>3.1982294269905609E-8</v>
      </c>
      <c r="T67" s="9">
        <f t="shared" si="10"/>
        <v>1.4995466638705E-4</v>
      </c>
      <c r="U67" s="9">
        <f t="shared" si="11"/>
        <v>1.4996801770573008E-4</v>
      </c>
      <c r="V67" s="100">
        <f t="shared" si="14"/>
        <v>0.99991097222671665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117</v>
      </c>
      <c r="C68" s="46" t="s">
        <v>118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1.7268855172909561</v>
      </c>
      <c r="J68" s="54">
        <f t="shared" si="25"/>
        <v>5.0429475645742867</v>
      </c>
      <c r="K68" s="55">
        <f t="shared" si="26"/>
        <v>1.1275021737259857E-2</v>
      </c>
      <c r="L68" s="55">
        <f t="shared" si="27"/>
        <v>0.39851066960194104</v>
      </c>
      <c r="M68" s="55">
        <f t="shared" si="28"/>
        <v>0.60148933039805896</v>
      </c>
      <c r="N68" s="55">
        <f t="shared" si="29"/>
        <v>0.35104495286461379</v>
      </c>
      <c r="O68" s="56">
        <f t="shared" si="30"/>
        <v>1.128447510231878E-8</v>
      </c>
      <c r="P68" s="56">
        <f t="shared" si="31"/>
        <v>1.245744353175668E-3</v>
      </c>
      <c r="Q68" s="56">
        <f t="shared" si="32"/>
        <v>7.7279332581322727E-3</v>
      </c>
      <c r="R68" s="9">
        <f t="shared" si="12"/>
        <v>1.4999999999999999E-4</v>
      </c>
      <c r="S68" s="9">
        <f t="shared" si="13"/>
        <v>5.9776600440291148E-5</v>
      </c>
      <c r="T68" s="9">
        <f t="shared" si="10"/>
        <v>1.6912532605889783E-6</v>
      </c>
      <c r="U68" s="9">
        <f t="shared" si="11"/>
        <v>9.0223399559708839E-5</v>
      </c>
      <c r="V68" s="100">
        <f t="shared" si="14"/>
        <v>1.8745173301408641E-2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119</v>
      </c>
      <c r="C69" s="46" t="s">
        <v>120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5.7919228101834593E-2</v>
      </c>
      <c r="J69" s="54">
        <f t="shared" si="25"/>
        <v>2.2287889533331362</v>
      </c>
      <c r="K69" s="55">
        <f t="shared" si="26"/>
        <v>0.83508802070108135</v>
      </c>
      <c r="L69" s="55">
        <f t="shared" si="27"/>
        <v>4.5278935517116647E-2</v>
      </c>
      <c r="M69" s="55">
        <f t="shared" si="28"/>
        <v>0.95472106448288341</v>
      </c>
      <c r="N69" s="55">
        <f t="shared" si="29"/>
        <v>2.9984415120884494E-2</v>
      </c>
      <c r="O69" s="56">
        <f t="shared" si="30"/>
        <v>8.357881871486486E-7</v>
      </c>
      <c r="P69" s="56">
        <f t="shared" si="31"/>
        <v>1.415419524265066E-4</v>
      </c>
      <c r="Q69" s="56">
        <f t="shared" si="32"/>
        <v>6.6007944836538697E-4</v>
      </c>
      <c r="R69" s="9">
        <f t="shared" si="12"/>
        <v>1.4999999999999999E-4</v>
      </c>
      <c r="S69" s="9">
        <f t="shared" si="13"/>
        <v>6.7918403275674962E-6</v>
      </c>
      <c r="T69" s="9">
        <f t="shared" si="10"/>
        <v>1.2526320310516219E-4</v>
      </c>
      <c r="U69" s="9">
        <f t="shared" si="11"/>
        <v>1.432081596724325E-4</v>
      </c>
      <c r="V69" s="100">
        <f t="shared" si="14"/>
        <v>0.87469319759211528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113</v>
      </c>
      <c r="C70" s="46" t="s">
        <v>114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0.45156382049297444</v>
      </c>
      <c r="J70" s="54">
        <f t="shared" si="25"/>
        <v>3.5247920710512646</v>
      </c>
      <c r="K70" s="55">
        <f t="shared" si="26"/>
        <v>0.25628229362112392</v>
      </c>
      <c r="L70" s="55">
        <f t="shared" si="27"/>
        <v>0.27471708798192851</v>
      </c>
      <c r="M70" s="55">
        <f t="shared" si="28"/>
        <v>0.72528291201807149</v>
      </c>
      <c r="N70" s="55">
        <f t="shared" si="29"/>
        <v>0.23046286028180951</v>
      </c>
      <c r="O70" s="56">
        <f t="shared" si="30"/>
        <v>2.5649716948887793E-7</v>
      </c>
      <c r="P70" s="56">
        <f t="shared" si="31"/>
        <v>8.5876561703150851E-4</v>
      </c>
      <c r="Q70" s="56">
        <f t="shared" si="32"/>
        <v>5.0734288819784265E-3</v>
      </c>
      <c r="R70" s="9">
        <f t="shared" si="12"/>
        <v>1.4999999999999999E-4</v>
      </c>
      <c r="S70" s="9">
        <f t="shared" si="13"/>
        <v>4.1207563197289275E-5</v>
      </c>
      <c r="T70" s="9">
        <f t="shared" si="10"/>
        <v>3.8442344043168583E-5</v>
      </c>
      <c r="U70" s="9">
        <f t="shared" si="11"/>
        <v>1.0879243680271071E-4</v>
      </c>
      <c r="V70" s="100">
        <f t="shared" si="14"/>
        <v>0.35335493139915347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121</v>
      </c>
      <c r="C71" s="46" t="s">
        <v>122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2.9114243406645759</v>
      </c>
      <c r="J71" s="54">
        <f t="shared" ref="J71:J122" si="34">IF(D71=0,"",LOG($K$21*10^D71+$K$22*10^E71+$K$20))</f>
        <v>6.2446121134706578</v>
      </c>
      <c r="K71" s="55">
        <f t="shared" ref="K71:K122" si="35">IF(D71=0,"",1/(1+10^D71*$J$15/$J$14+10^E71*$J$16/$J$14+10^J71*$J$19/$J$14))</f>
        <v>7.2555882859549491E-4</v>
      </c>
      <c r="L71" s="55">
        <f t="shared" ref="L71:L122" si="36">IF(D71=0,"",1/(1+10^I71/10^J71*$J$13/$J$19))</f>
        <v>0.40799960777521932</v>
      </c>
      <c r="M71" s="55">
        <f t="shared" si="19"/>
        <v>0.59200039222478074</v>
      </c>
      <c r="N71" s="55">
        <f t="shared" ref="N71:N122" si="37">IF(D71=0,"",1/(1/10^E71*$J$20/$J$22+10^D71/10^E71*$J$21/$J$22+10^I71/10^E71*$J$13/$J$22+1))</f>
        <v>0.36180617645264218</v>
      </c>
      <c r="O71" s="56">
        <f t="shared" si="21"/>
        <v>7.2616716201056686E-10</v>
      </c>
      <c r="P71" s="56">
        <f t="shared" ref="P71:P122" si="38">IF(D71=0,"",O71*10^J71)</f>
        <v>1.2754067739053361E-3</v>
      </c>
      <c r="Q71" s="56">
        <f t="shared" ref="Q71:Q122" si="39">IF(D71=0,"",F71*N71*$J$7/$J$22)</f>
        <v>7.9648317435983065E-3</v>
      </c>
      <c r="R71" s="9">
        <f t="shared" si="12"/>
        <v>1.4999999999999999E-4</v>
      </c>
      <c r="S71" s="9">
        <f t="shared" si="13"/>
        <v>6.1199941166282897E-5</v>
      </c>
      <c r="T71" s="9">
        <f t="shared" si="10"/>
        <v>1.0883382428932422E-7</v>
      </c>
      <c r="U71" s="9">
        <f t="shared" si="11"/>
        <v>8.8800058833717104E-5</v>
      </c>
      <c r="V71" s="100">
        <f t="shared" si="14"/>
        <v>1.2256053173694561E-3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123</v>
      </c>
      <c r="C72" s="46" t="s">
        <v>124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2.4659786116205753</v>
      </c>
      <c r="J72" s="54">
        <f t="shared" si="34"/>
        <v>5.7505440288504071</v>
      </c>
      <c r="K72" s="55">
        <f t="shared" si="35"/>
        <v>2.1149673362584787E-3</v>
      </c>
      <c r="L72" s="55">
        <f t="shared" si="36"/>
        <v>0.38126127376069585</v>
      </c>
      <c r="M72" s="55">
        <f t="shared" si="19"/>
        <v>0.61873872623930415</v>
      </c>
      <c r="N72" s="55">
        <f t="shared" si="37"/>
        <v>0.32625487519200747</v>
      </c>
      <c r="O72" s="56">
        <f t="shared" si="21"/>
        <v>2.1167405974355528E-9</v>
      </c>
      <c r="P72" s="56">
        <f t="shared" si="38"/>
        <v>1.1918227417759357E-3</v>
      </c>
      <c r="Q72" s="56">
        <f t="shared" si="39"/>
        <v>7.182202393311376E-3</v>
      </c>
      <c r="R72" s="9">
        <f t="shared" si="12"/>
        <v>1.4999999999999999E-4</v>
      </c>
      <c r="S72" s="9">
        <f t="shared" si="13"/>
        <v>5.7189191064104375E-5</v>
      </c>
      <c r="T72" s="9">
        <f t="shared" si="10"/>
        <v>3.1724510043877177E-7</v>
      </c>
      <c r="U72" s="9">
        <f t="shared" si="11"/>
        <v>9.2810808935895619E-5</v>
      </c>
      <c r="V72" s="100">
        <f t="shared" si="14"/>
        <v>3.4181913084918034E-3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125</v>
      </c>
      <c r="C73" s="46" t="s">
        <v>126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2.4593424067669152</v>
      </c>
      <c r="J73" s="54">
        <f t="shared" si="34"/>
        <v>5.7768867999222078</v>
      </c>
      <c r="K73" s="55">
        <f t="shared" si="35"/>
        <v>2.0848228636661096E-3</v>
      </c>
      <c r="L73" s="55">
        <f t="shared" si="36"/>
        <v>0.39932910266382887</v>
      </c>
      <c r="M73" s="55">
        <f t="shared" si="19"/>
        <v>0.60067089733617118</v>
      </c>
      <c r="N73" s="55">
        <f t="shared" si="37"/>
        <v>0.35044551536647989</v>
      </c>
      <c r="O73" s="56">
        <f t="shared" si="21"/>
        <v>2.0865708506831362E-9</v>
      </c>
      <c r="P73" s="56">
        <f t="shared" si="38"/>
        <v>1.2483027749271287E-3</v>
      </c>
      <c r="Q73" s="56">
        <f t="shared" si="39"/>
        <v>7.7147371903916635E-3</v>
      </c>
      <c r="R73" s="9">
        <f t="shared" si="12"/>
        <v>1.4999999999999999E-4</v>
      </c>
      <c r="S73" s="9">
        <f t="shared" si="13"/>
        <v>5.9899365399574324E-5</v>
      </c>
      <c r="T73" s="9">
        <f t="shared" si="10"/>
        <v>3.127234295499164E-7</v>
      </c>
      <c r="U73" s="9">
        <f t="shared" si="11"/>
        <v>9.010063460042567E-5</v>
      </c>
      <c r="V73" s="100">
        <f t="shared" si="14"/>
        <v>3.4708238286752201E-3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127</v>
      </c>
      <c r="C74" s="46" t="s">
        <v>128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0.12015758400049081</v>
      </c>
      <c r="J74" s="54">
        <f t="shared" si="34"/>
        <v>2.5786532271571372</v>
      </c>
      <c r="K74" s="55">
        <f t="shared" si="35"/>
        <v>0.69407553052874593</v>
      </c>
      <c r="L74" s="55">
        <f t="shared" si="36"/>
        <v>8.4223825220880219E-2</v>
      </c>
      <c r="M74" s="55">
        <f t="shared" si="19"/>
        <v>0.91577617477911977</v>
      </c>
      <c r="N74" s="55">
        <f t="shared" si="37"/>
        <v>5.6123930641604404E-2</v>
      </c>
      <c r="O74" s="56">
        <f t="shared" si="21"/>
        <v>6.9465746726655923E-7</v>
      </c>
      <c r="P74" s="56">
        <f t="shared" si="38"/>
        <v>2.6328367764047157E-4</v>
      </c>
      <c r="Q74" s="56">
        <f t="shared" si="39"/>
        <v>1.2355169520116575E-3</v>
      </c>
      <c r="R74" s="9">
        <f t="shared" si="12"/>
        <v>1.4999999999999999E-4</v>
      </c>
      <c r="S74" s="9">
        <f t="shared" si="13"/>
        <v>1.2633573783132031E-5</v>
      </c>
      <c r="T74" s="9">
        <f t="shared" si="10"/>
        <v>1.0411132957931189E-4</v>
      </c>
      <c r="U74" s="9">
        <f t="shared" si="11"/>
        <v>1.3736642621686796E-4</v>
      </c>
      <c r="V74" s="100">
        <f t="shared" si="14"/>
        <v>0.757909574024628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1.0613094291357714</v>
      </c>
      <c r="J75" s="54">
        <f t="shared" si="34"/>
        <v>4.3859314040665449</v>
      </c>
      <c r="K75" s="55">
        <f t="shared" si="35"/>
        <v>5.1791919403157263E-2</v>
      </c>
      <c r="L75" s="55">
        <f t="shared" si="36"/>
        <v>0.40324446178210172</v>
      </c>
      <c r="M75" s="55">
        <f t="shared" si="19"/>
        <v>0.59675553821789828</v>
      </c>
      <c r="N75" s="55">
        <f t="shared" si="37"/>
        <v>0.36485922750627636</v>
      </c>
      <c r="O75" s="56">
        <f t="shared" si="21"/>
        <v>5.1835343525312371E-8</v>
      </c>
      <c r="P75" s="56">
        <f t="shared" si="38"/>
        <v>1.2605421875308499E-3</v>
      </c>
      <c r="Q75" s="56">
        <f t="shared" si="39"/>
        <v>8.0320418674973242E-3</v>
      </c>
      <c r="R75" s="9">
        <f t="shared" si="12"/>
        <v>1.4999999999999999E-4</v>
      </c>
      <c r="S75" s="9">
        <f t="shared" si="13"/>
        <v>6.048666926731525E-5</v>
      </c>
      <c r="T75" s="9">
        <f t="shared" si="10"/>
        <v>7.7687879104735893E-6</v>
      </c>
      <c r="U75" s="9">
        <f t="shared" si="11"/>
        <v>8.9513330732684737E-5</v>
      </c>
      <c r="V75" s="100">
        <f t="shared" si="14"/>
        <v>8.6789172594567615E-2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129</v>
      </c>
      <c r="C76" s="46" t="s">
        <v>130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1.080392983851221</v>
      </c>
      <c r="J76" s="54">
        <f t="shared" si="34"/>
        <v>4.3302914014280267</v>
      </c>
      <c r="K76" s="55">
        <f t="shared" si="35"/>
        <v>5.2939789652625704E-2</v>
      </c>
      <c r="L76" s="55">
        <f t="shared" si="36"/>
        <v>0.36261737854364112</v>
      </c>
      <c r="M76" s="55">
        <f t="shared" si="19"/>
        <v>0.63738262145635893</v>
      </c>
      <c r="N76" s="55">
        <f t="shared" si="37"/>
        <v>0.31066373327800051</v>
      </c>
      <c r="O76" s="56">
        <f t="shared" si="21"/>
        <v>5.2984176188580229E-8</v>
      </c>
      <c r="P76" s="56">
        <f t="shared" si="38"/>
        <v>1.1335419253274224E-3</v>
      </c>
      <c r="Q76" s="56">
        <f t="shared" si="39"/>
        <v>6.8389776776551382E-3</v>
      </c>
      <c r="R76" s="9">
        <f t="shared" si="12"/>
        <v>1.4999999999999999E-4</v>
      </c>
      <c r="S76" s="9">
        <f t="shared" si="13"/>
        <v>5.4392606781546162E-5</v>
      </c>
      <c r="T76" s="9">
        <f t="shared" si="10"/>
        <v>7.9409684478938547E-6</v>
      </c>
      <c r="U76" s="9">
        <f t="shared" si="11"/>
        <v>9.5607393218453832E-5</v>
      </c>
      <c r="V76" s="100">
        <f t="shared" si="14"/>
        <v>8.3058100221909556E-2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131</v>
      </c>
      <c r="C77" s="46" t="s">
        <v>132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0.16668848098518507</v>
      </c>
      <c r="J77" s="54">
        <f t="shared" si="34"/>
        <v>2.8460801477665378</v>
      </c>
      <c r="K77" s="55">
        <f t="shared" si="35"/>
        <v>0.59057772440331602</v>
      </c>
      <c r="L77" s="55">
        <f t="shared" si="36"/>
        <v>0.13265762293451794</v>
      </c>
      <c r="M77" s="55">
        <f t="shared" si="19"/>
        <v>0.86734237706548201</v>
      </c>
      <c r="N77" s="55">
        <f t="shared" si="37"/>
        <v>0.10189184062239093</v>
      </c>
      <c r="O77" s="56">
        <f t="shared" si="21"/>
        <v>5.9107288502957039E-7</v>
      </c>
      <c r="P77" s="56">
        <f t="shared" si="38"/>
        <v>4.1468772929330317E-4</v>
      </c>
      <c r="Q77" s="56">
        <f t="shared" si="39"/>
        <v>2.2430555900393948E-3</v>
      </c>
      <c r="R77" s="9">
        <f t="shared" si="12"/>
        <v>1.4999999999999999E-4</v>
      </c>
      <c r="S77" s="9">
        <f t="shared" si="13"/>
        <v>1.989864344017769E-5</v>
      </c>
      <c r="T77" s="9">
        <f t="shared" si="10"/>
        <v>8.8586658660497395E-5</v>
      </c>
      <c r="U77" s="9">
        <f t="shared" si="11"/>
        <v>1.3010135655982228E-4</v>
      </c>
      <c r="V77" s="100">
        <f t="shared" si="14"/>
        <v>0.6809049575110625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0.26960058474961779</v>
      </c>
      <c r="J78" s="54">
        <f t="shared" si="34"/>
        <v>3.1911261573025951</v>
      </c>
      <c r="K78" s="55">
        <f t="shared" si="35"/>
        <v>0.4239973585314773</v>
      </c>
      <c r="L78" s="55">
        <f t="shared" si="36"/>
        <v>0.21079694350077241</v>
      </c>
      <c r="M78" s="55">
        <f t="shared" si="19"/>
        <v>0.78920305649922762</v>
      </c>
      <c r="N78" s="55">
        <f t="shared" si="37"/>
        <v>0.17580308689864674</v>
      </c>
      <c r="O78" s="56">
        <f t="shared" si="21"/>
        <v>4.2435285246378355E-7</v>
      </c>
      <c r="P78" s="56">
        <f t="shared" si="38"/>
        <v>6.5895124538341461E-4</v>
      </c>
      <c r="Q78" s="56">
        <f t="shared" si="39"/>
        <v>3.8701440115857027E-3</v>
      </c>
      <c r="R78" s="9">
        <f t="shared" si="12"/>
        <v>1.4999999999999999E-4</v>
      </c>
      <c r="S78" s="9">
        <f t="shared" si="13"/>
        <v>3.1619541525115856E-5</v>
      </c>
      <c r="T78" s="9">
        <f t="shared" si="10"/>
        <v>6.3599603779721585E-5</v>
      </c>
      <c r="U78" s="9">
        <f t="shared" si="11"/>
        <v>1.1838045847488413E-4</v>
      </c>
      <c r="V78" s="100">
        <f t="shared" si="14"/>
        <v>0.53724748661296173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133</v>
      </c>
      <c r="C79" s="46" t="s">
        <v>134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0.30972420580945559</v>
      </c>
      <c r="J79" s="54">
        <f t="shared" si="34"/>
        <v>3.0863447971892604</v>
      </c>
      <c r="K79" s="55">
        <f t="shared" si="35"/>
        <v>0.41116931922089728</v>
      </c>
      <c r="L79" s="55">
        <f t="shared" si="36"/>
        <v>0.16059813559587344</v>
      </c>
      <c r="M79" s="55">
        <f t="shared" si="19"/>
        <v>0.83940186440412656</v>
      </c>
      <c r="N79" s="55">
        <f t="shared" si="37"/>
        <v>0.10621088959329139</v>
      </c>
      <c r="O79" s="56">
        <f t="shared" si="21"/>
        <v>4.1151405768492869E-7</v>
      </c>
      <c r="P79" s="56">
        <f t="shared" si="38"/>
        <v>5.0202977187270039E-4</v>
      </c>
      <c r="Q79" s="56">
        <f t="shared" si="39"/>
        <v>2.3381354990748516E-3</v>
      </c>
      <c r="R79" s="9">
        <f t="shared" si="12"/>
        <v>1.4999999999999999E-4</v>
      </c>
      <c r="S79" s="9">
        <f t="shared" si="13"/>
        <v>2.4089720339381015E-5</v>
      </c>
      <c r="T79" s="9">
        <f t="shared" si="10"/>
        <v>6.1675397883134583E-5</v>
      </c>
      <c r="U79" s="9">
        <f t="shared" si="11"/>
        <v>1.2591027966061898E-4</v>
      </c>
      <c r="V79" s="100">
        <f t="shared" si="14"/>
        <v>0.48983608049617283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135</v>
      </c>
      <c r="C80" s="46" t="s">
        <v>136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0.35763444792585858</v>
      </c>
      <c r="J80" s="54">
        <f t="shared" si="34"/>
        <v>3.1630398899948347</v>
      </c>
      <c r="K80" s="55">
        <f t="shared" si="35"/>
        <v>0.36421441723939385</v>
      </c>
      <c r="L80" s="55">
        <f t="shared" si="36"/>
        <v>0.16973524213632835</v>
      </c>
      <c r="M80" s="55">
        <f t="shared" si="19"/>
        <v>0.83026475786367171</v>
      </c>
      <c r="N80" s="55">
        <f t="shared" si="37"/>
        <v>0.10978461384943312</v>
      </c>
      <c r="O80" s="56">
        <f t="shared" si="21"/>
        <v>3.6451978710262959E-7</v>
      </c>
      <c r="P80" s="56">
        <f t="shared" si="38"/>
        <v>5.3059236691816239E-4</v>
      </c>
      <c r="Q80" s="56">
        <f t="shared" si="39"/>
        <v>2.4168077668544224E-3</v>
      </c>
      <c r="R80" s="9">
        <f t="shared" si="12"/>
        <v>1.4999999999999999E-4</v>
      </c>
      <c r="S80" s="9">
        <f t="shared" si="13"/>
        <v>2.546028632044925E-5</v>
      </c>
      <c r="T80" s="9">
        <f t="shared" si="10"/>
        <v>5.4632162585909072E-5</v>
      </c>
      <c r="U80" s="9">
        <f t="shared" si="11"/>
        <v>1.2453971367955074E-4</v>
      </c>
      <c r="V80" s="100">
        <f t="shared" si="14"/>
        <v>0.43867262073912733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137</v>
      </c>
      <c r="C81" s="46" t="s">
        <v>138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1.4796577057346771</v>
      </c>
      <c r="J81" s="54">
        <f t="shared" si="34"/>
        <v>4.8333812334786872</v>
      </c>
      <c r="K81" s="55">
        <f t="shared" si="35"/>
        <v>1.9228397220873873E-2</v>
      </c>
      <c r="L81" s="55">
        <f t="shared" si="36"/>
        <v>0.41946846794667575</v>
      </c>
      <c r="M81" s="55">
        <f t="shared" si="19"/>
        <v>0.5805315320533242</v>
      </c>
      <c r="N81" s="55">
        <f t="shared" si="37"/>
        <v>0.38057865833229737</v>
      </c>
      <c r="O81" s="56">
        <f t="shared" si="21"/>
        <v>1.9244518968810397E-8</v>
      </c>
      <c r="P81" s="56">
        <f t="shared" si="38"/>
        <v>1.3112584308013087E-3</v>
      </c>
      <c r="Q81" s="56">
        <f t="shared" si="39"/>
        <v>8.3780907461039559E-3</v>
      </c>
      <c r="R81" s="9">
        <f t="shared" si="12"/>
        <v>1.4999999999999999E-4</v>
      </c>
      <c r="S81" s="9">
        <f t="shared" si="13"/>
        <v>6.2920270192001355E-5</v>
      </c>
      <c r="T81" s="9">
        <f t="shared" si="10"/>
        <v>2.8842595831310806E-6</v>
      </c>
      <c r="U81" s="9">
        <f t="shared" si="11"/>
        <v>8.7079729807998618E-5</v>
      </c>
      <c r="V81" s="100">
        <f t="shared" si="14"/>
        <v>3.3122054805298097E-2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139</v>
      </c>
      <c r="C82" s="46" t="s">
        <v>140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1.2498866711591912</v>
      </c>
      <c r="J82" s="54">
        <f t="shared" si="34"/>
        <v>4.5239348971579787</v>
      </c>
      <c r="K82" s="55">
        <f t="shared" si="35"/>
        <v>3.5105520760213414E-2</v>
      </c>
      <c r="L82" s="55">
        <f t="shared" si="36"/>
        <v>0.37556517797093258</v>
      </c>
      <c r="M82" s="55">
        <f t="shared" si="19"/>
        <v>0.62443482202906742</v>
      </c>
      <c r="N82" s="55">
        <f t="shared" si="37"/>
        <v>0.3247130667129568</v>
      </c>
      <c r="O82" s="56">
        <f t="shared" si="21"/>
        <v>3.5134954433253099E-8</v>
      </c>
      <c r="P82" s="56">
        <f t="shared" si="38"/>
        <v>1.1740167463371353E-3</v>
      </c>
      <c r="Q82" s="56">
        <f t="shared" si="39"/>
        <v>7.1482608911598812E-3</v>
      </c>
      <c r="R82" s="9">
        <f t="shared" si="12"/>
        <v>1.4999999999999999E-4</v>
      </c>
      <c r="S82" s="9">
        <f t="shared" si="13"/>
        <v>5.6334776695639885E-5</v>
      </c>
      <c r="T82" s="9">
        <f t="shared" si="10"/>
        <v>5.2658281140320117E-6</v>
      </c>
      <c r="U82" s="9">
        <f t="shared" si="11"/>
        <v>9.3665223304360102E-5</v>
      </c>
      <c r="V82" s="100">
        <f t="shared" si="14"/>
        <v>5.6219671808404134E-2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0.14841008082679891</v>
      </c>
      <c r="J83" s="54">
        <f t="shared" si="34"/>
        <v>2.7903744043145644</v>
      </c>
      <c r="K83" s="55">
        <f t="shared" si="35"/>
        <v>0.62278594647153229</v>
      </c>
      <c r="L83" s="55">
        <f t="shared" si="36"/>
        <v>0.12305186755365378</v>
      </c>
      <c r="M83" s="55">
        <f t="shared" si="19"/>
        <v>0.87694813244634617</v>
      </c>
      <c r="N83" s="55">
        <f t="shared" si="37"/>
        <v>9.4969936895406101E-2</v>
      </c>
      <c r="O83" s="56">
        <f t="shared" si="21"/>
        <v>6.2330811157619958E-7</v>
      </c>
      <c r="P83" s="56">
        <f t="shared" si="38"/>
        <v>3.8466013797272162E-4</v>
      </c>
      <c r="Q83" s="56">
        <f t="shared" si="39"/>
        <v>2.0906762164439401E-3</v>
      </c>
      <c r="R83" s="9">
        <f t="shared" si="12"/>
        <v>1.4999999999999999E-4</v>
      </c>
      <c r="S83" s="9">
        <f t="shared" si="13"/>
        <v>1.8457780133048066E-5</v>
      </c>
      <c r="T83" s="9">
        <f t="shared" si="10"/>
        <v>9.3417891970729838E-5</v>
      </c>
      <c r="U83" s="9">
        <f t="shared" si="11"/>
        <v>1.3154221986695191E-4</v>
      </c>
      <c r="V83" s="100">
        <f t="shared" si="14"/>
        <v>0.71017420920231655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141</v>
      </c>
      <c r="C84" s="46" t="s">
        <v>142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1.3452769109111</v>
      </c>
      <c r="J84" s="54">
        <f t="shared" si="34"/>
        <v>4.522432495717549</v>
      </c>
      <c r="K84" s="55">
        <f t="shared" si="35"/>
        <v>3.0471292653649645E-2</v>
      </c>
      <c r="L84" s="55">
        <f t="shared" si="36"/>
        <v>0.32486159713609702</v>
      </c>
      <c r="M84" s="55">
        <f t="shared" si="19"/>
        <v>0.67513840286390292</v>
      </c>
      <c r="N84" s="55">
        <f t="shared" si="37"/>
        <v>0.25595653588185169</v>
      </c>
      <c r="O84" s="56">
        <f t="shared" si="21"/>
        <v>3.0496840830849192E-8</v>
      </c>
      <c r="P84" s="56">
        <f t="shared" si="38"/>
        <v>1.0155173526474393E-3</v>
      </c>
      <c r="Q84" s="56">
        <f t="shared" si="39"/>
        <v>5.6346488110328762E-3</v>
      </c>
      <c r="R84" s="9">
        <f t="shared" si="12"/>
        <v>1.4999999999999999E-4</v>
      </c>
      <c r="S84" s="9">
        <f t="shared" si="13"/>
        <v>4.8729239570414553E-5</v>
      </c>
      <c r="T84" s="9">
        <f t="shared" si="10"/>
        <v>4.5706938980474464E-6</v>
      </c>
      <c r="U84" s="9">
        <f t="shared" si="11"/>
        <v>1.0127076042958543E-4</v>
      </c>
      <c r="V84" s="100">
        <f t="shared" si="14"/>
        <v>4.5133401572761918E-2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0.12747825886296762</v>
      </c>
      <c r="J85" s="54">
        <f t="shared" si="34"/>
        <v>2.7020905339390611</v>
      </c>
      <c r="K85" s="55">
        <f t="shared" si="35"/>
        <v>0.66529829071889413</v>
      </c>
      <c r="L85" s="55">
        <f t="shared" si="36"/>
        <v>0.10727090454231568</v>
      </c>
      <c r="M85" s="55">
        <f t="shared" si="19"/>
        <v>0.89272909545768431</v>
      </c>
      <c r="N85" s="55">
        <f t="shared" si="37"/>
        <v>8.1679252237672251E-2</v>
      </c>
      <c r="O85" s="56">
        <f t="shared" si="21"/>
        <v>6.658560996315332E-7</v>
      </c>
      <c r="P85" s="56">
        <f t="shared" si="38"/>
        <v>3.3532884759927877E-4</v>
      </c>
      <c r="Q85" s="56">
        <f t="shared" si="39"/>
        <v>1.798093961232137E-3</v>
      </c>
      <c r="R85" s="9">
        <f t="shared" si="12"/>
        <v>1.4999999999999999E-4</v>
      </c>
      <c r="S85" s="9">
        <f t="shared" si="13"/>
        <v>1.609063568134735E-5</v>
      </c>
      <c r="T85" s="9">
        <f t="shared" si="10"/>
        <v>9.9794743607834109E-5</v>
      </c>
      <c r="U85" s="9">
        <f t="shared" si="11"/>
        <v>1.3390936431865265E-4</v>
      </c>
      <c r="V85" s="100">
        <f t="shared" si="14"/>
        <v>0.74524096291250486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143</v>
      </c>
      <c r="C86" s="46" t="s">
        <v>144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0.71310437974280194</v>
      </c>
      <c r="J86" s="54">
        <f t="shared" si="34"/>
        <v>3.6364018134902829</v>
      </c>
      <c r="K86" s="55">
        <f t="shared" si="35"/>
        <v>0.15257565789640842</v>
      </c>
      <c r="L86" s="55">
        <f t="shared" si="36"/>
        <v>0.21147647654526977</v>
      </c>
      <c r="M86" s="55">
        <f t="shared" si="19"/>
        <v>0.7885235234547302</v>
      </c>
      <c r="N86" s="55">
        <f t="shared" si="37"/>
        <v>0.12663932785318793</v>
      </c>
      <c r="O86" s="56">
        <f t="shared" si="21"/>
        <v>1.5270358256270274E-7</v>
      </c>
      <c r="P86" s="56">
        <f t="shared" si="38"/>
        <v>6.6107546568051337E-4</v>
      </c>
      <c r="Q86" s="56">
        <f t="shared" si="39"/>
        <v>2.7878488652751093E-3</v>
      </c>
      <c r="R86" s="9">
        <f t="shared" si="12"/>
        <v>1.4999999999999999E-4</v>
      </c>
      <c r="S86" s="9">
        <f t="shared" si="13"/>
        <v>3.1721471481790462E-5</v>
      </c>
      <c r="T86" s="9">
        <f t="shared" si="10"/>
        <v>2.2886348684461263E-5</v>
      </c>
      <c r="U86" s="9">
        <f t="shared" si="11"/>
        <v>1.1827852851820953E-4</v>
      </c>
      <c r="V86" s="100">
        <f t="shared" si="14"/>
        <v>0.19349537884162807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281</v>
      </c>
      <c r="C87" s="46" t="s">
        <v>282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7.9970216478940079E-2</v>
      </c>
      <c r="J87" s="54">
        <f t="shared" si="34"/>
        <v>2.4059565027875509</v>
      </c>
      <c r="K87" s="55">
        <f t="shared" si="35"/>
        <v>0.77861143179970027</v>
      </c>
      <c r="L87" s="55">
        <f t="shared" si="36"/>
        <v>6.3482245433043663E-2</v>
      </c>
      <c r="M87" s="55">
        <f t="shared" si="19"/>
        <v>0.9365177545669563</v>
      </c>
      <c r="N87" s="55">
        <f t="shared" si="37"/>
        <v>4.394285335277312E-2</v>
      </c>
      <c r="O87" s="56">
        <f t="shared" si="21"/>
        <v>7.7926424633747889E-7</v>
      </c>
      <c r="P87" s="56">
        <f t="shared" si="38"/>
        <v>1.984454992236945E-4</v>
      </c>
      <c r="Q87" s="56">
        <f t="shared" si="39"/>
        <v>9.673616871885125E-4</v>
      </c>
      <c r="R87" s="9">
        <f t="shared" si="12"/>
        <v>1.4999999999999999E-4</v>
      </c>
      <c r="S87" s="9">
        <f t="shared" si="13"/>
        <v>9.5223368149565486E-6</v>
      </c>
      <c r="T87" s="9">
        <f t="shared" si="10"/>
        <v>1.1679171476995503E-4</v>
      </c>
      <c r="U87" s="9">
        <f t="shared" si="11"/>
        <v>1.4047766318504344E-4</v>
      </c>
      <c r="V87" s="100">
        <f t="shared" si="14"/>
        <v>0.83138993148050722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283</v>
      </c>
      <c r="C88" s="46" t="s">
        <v>284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1.7455890954858774E-2</v>
      </c>
      <c r="J88" s="54">
        <f t="shared" si="34"/>
        <v>1.3723682366191232</v>
      </c>
      <c r="K88" s="55">
        <f t="shared" si="35"/>
        <v>0.95319947361566604</v>
      </c>
      <c r="L88" s="55">
        <f t="shared" si="36"/>
        <v>7.1932810927272705E-3</v>
      </c>
      <c r="M88" s="55">
        <f t="shared" si="19"/>
        <v>0.99280671890727268</v>
      </c>
      <c r="N88" s="55">
        <f t="shared" si="37"/>
        <v>7.7063217837360185E-4</v>
      </c>
      <c r="O88" s="56">
        <f t="shared" si="21"/>
        <v>9.5399866875763956E-7</v>
      </c>
      <c r="P88" s="56">
        <f t="shared" si="38"/>
        <v>2.2486196695865451E-5</v>
      </c>
      <c r="Q88" s="56">
        <f t="shared" si="39"/>
        <v>1.6964761898562529E-5</v>
      </c>
      <c r="R88" s="9">
        <f t="shared" si="12"/>
        <v>1.4999999999999999E-4</v>
      </c>
      <c r="S88" s="9">
        <f t="shared" si="13"/>
        <v>1.0789921639090904E-6</v>
      </c>
      <c r="T88" s="9">
        <f t="shared" si="10"/>
        <v>1.4297992104234989E-4</v>
      </c>
      <c r="U88" s="9">
        <f t="shared" si="11"/>
        <v>1.489210078360909E-4</v>
      </c>
      <c r="V88" s="100">
        <f t="shared" si="14"/>
        <v>0.96010578440162031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285</v>
      </c>
      <c r="C89" s="46" t="s">
        <v>286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3.8813937169773554E-3</v>
      </c>
      <c r="J89" s="54">
        <f t="shared" si="34"/>
        <v>0.89745442298650757</v>
      </c>
      <c r="K89" s="55">
        <f t="shared" si="35"/>
        <v>0.98811444410420624</v>
      </c>
      <c r="L89" s="55">
        <f t="shared" si="36"/>
        <v>2.4982544629816492E-3</v>
      </c>
      <c r="M89" s="55">
        <f t="shared" si="19"/>
        <v>0.99750174553701831</v>
      </c>
      <c r="N89" s="55">
        <f t="shared" si="37"/>
        <v>9.2447246689651209E-4</v>
      </c>
      <c r="O89" s="56">
        <f t="shared" si="21"/>
        <v>9.8894291315533387E-7</v>
      </c>
      <c r="P89" s="56">
        <f t="shared" si="38"/>
        <v>7.8095434512806361E-6</v>
      </c>
      <c r="Q89" s="56">
        <f t="shared" si="39"/>
        <v>2.0351415010693643E-5</v>
      </c>
      <c r="R89" s="9">
        <f t="shared" si="12"/>
        <v>1.4999999999999999E-4</v>
      </c>
      <c r="S89" s="9">
        <f t="shared" si="13"/>
        <v>3.7473816944724733E-7</v>
      </c>
      <c r="T89" s="9">
        <f t="shared" si="10"/>
        <v>1.4821716661563093E-4</v>
      </c>
      <c r="U89" s="9">
        <f t="shared" si="11"/>
        <v>1.4962526183055273E-4</v>
      </c>
      <c r="V89" s="100">
        <f t="shared" si="14"/>
        <v>0.99058918796401874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287</v>
      </c>
      <c r="C90" s="46" t="s">
        <v>288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1.2917346823443875E-4</v>
      </c>
      <c r="J90" s="54">
        <f t="shared" si="34"/>
        <v>4.4904334412288936E-2</v>
      </c>
      <c r="K90" s="55">
        <f t="shared" si="35"/>
        <v>0.99883042804782962</v>
      </c>
      <c r="L90" s="55">
        <f t="shared" si="36"/>
        <v>3.546264296616759E-4</v>
      </c>
      <c r="M90" s="55">
        <f t="shared" si="19"/>
        <v>0.99964537357033834</v>
      </c>
      <c r="N90" s="55">
        <f t="shared" si="37"/>
        <v>3.0713639146018719E-5</v>
      </c>
      <c r="O90" s="56">
        <f t="shared" si="21"/>
        <v>9.9966788174755019E-7</v>
      </c>
      <c r="P90" s="56">
        <f t="shared" si="38"/>
        <v>1.1085622191223989E-6</v>
      </c>
      <c r="Q90" s="56">
        <f t="shared" si="39"/>
        <v>6.7613264767925735E-7</v>
      </c>
      <c r="R90" s="9">
        <f t="shared" si="12"/>
        <v>1.4999999999999999E-4</v>
      </c>
      <c r="S90" s="9">
        <f t="shared" si="13"/>
        <v>5.3193964449251381E-8</v>
      </c>
      <c r="T90" s="9">
        <f t="shared" si="10"/>
        <v>1.4982456420717442E-4</v>
      </c>
      <c r="U90" s="9">
        <f t="shared" si="11"/>
        <v>1.4994680603555073E-4</v>
      </c>
      <c r="V90" s="100">
        <f t="shared" si="14"/>
        <v>0.99918476537374645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289</v>
      </c>
      <c r="C91" s="46" t="s">
        <v>290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-2.2956464274597468E-5</v>
      </c>
      <c r="J91" s="54">
        <f t="shared" si="34"/>
        <v>-5.1413201390364732E-2</v>
      </c>
      <c r="K91" s="55">
        <f t="shared" si="35"/>
        <v>0.99925075744004355</v>
      </c>
      <c r="L91" s="55">
        <f t="shared" si="36"/>
        <v>2.84207991774337E-4</v>
      </c>
      <c r="M91" s="55">
        <f t="shared" si="19"/>
        <v>0.99971579200822569</v>
      </c>
      <c r="N91" s="55">
        <f t="shared" si="37"/>
        <v>1.3955500353046862E-5</v>
      </c>
      <c r="O91" s="56">
        <f t="shared" si="21"/>
        <v>1.0000885635583475E-6</v>
      </c>
      <c r="P91" s="56">
        <f t="shared" si="38"/>
        <v>8.8843418228657734E-7</v>
      </c>
      <c r="Q91" s="56">
        <f t="shared" si="39"/>
        <v>3.0721756411003162E-7</v>
      </c>
      <c r="R91" s="9">
        <f t="shared" si="12"/>
        <v>1.4999999999999999E-4</v>
      </c>
      <c r="S91" s="9">
        <f t="shared" si="13"/>
        <v>4.2631198766150549E-8</v>
      </c>
      <c r="T91" s="9">
        <f t="shared" si="10"/>
        <v>1.4988761361600653E-4</v>
      </c>
      <c r="U91" s="9">
        <f t="shared" si="11"/>
        <v>1.4995736880123384E-4</v>
      </c>
      <c r="V91" s="100">
        <f t="shared" si="14"/>
        <v>0.99953483322770365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291</v>
      </c>
      <c r="C92" s="46" t="s">
        <v>292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4.9737704902702096E-3</v>
      </c>
      <c r="J92" s="54">
        <f t="shared" si="34"/>
        <v>1.0060883213991665</v>
      </c>
      <c r="K92" s="55">
        <f t="shared" si="35"/>
        <v>0.98494078980458322</v>
      </c>
      <c r="L92" s="55">
        <f t="shared" si="36"/>
        <v>3.1979630831630206E-3</v>
      </c>
      <c r="M92" s="55">
        <f t="shared" si="19"/>
        <v>0.996802036916837</v>
      </c>
      <c r="N92" s="55">
        <f t="shared" si="37"/>
        <v>1.2760151231914058E-3</v>
      </c>
      <c r="O92" s="56">
        <f t="shared" si="21"/>
        <v>9.8576659795506121E-7</v>
      </c>
      <c r="P92" s="56">
        <f t="shared" si="38"/>
        <v>9.9968325979675997E-6</v>
      </c>
      <c r="Q92" s="56">
        <f t="shared" si="39"/>
        <v>2.8090304754199544E-5</v>
      </c>
      <c r="R92" s="9">
        <f t="shared" si="12"/>
        <v>1.4999999999999999E-4</v>
      </c>
      <c r="S92" s="9">
        <f t="shared" si="13"/>
        <v>4.7969446247445308E-7</v>
      </c>
      <c r="T92" s="9">
        <f t="shared" ref="T92:T143" si="40">R92*K92</f>
        <v>1.4774111847068748E-4</v>
      </c>
      <c r="U92" s="9">
        <f t="shared" ref="U92:U143" si="41">$R92*M92</f>
        <v>1.4952030553752553E-4</v>
      </c>
      <c r="V92" s="100">
        <f t="shared" si="14"/>
        <v>0.98810069936359557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293</v>
      </c>
      <c r="C93" s="46" t="s">
        <v>294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-1.6944268240451622E-5</v>
      </c>
      <c r="J93" s="54">
        <f t="shared" si="34"/>
        <v>-4.7270856045721246E-2</v>
      </c>
      <c r="K93" s="55">
        <f t="shared" si="35"/>
        <v>0.99923420659581796</v>
      </c>
      <c r="L93" s="55">
        <f t="shared" si="36"/>
        <v>2.86927013416517E-4</v>
      </c>
      <c r="M93" s="55">
        <f t="shared" ref="M93:M127" si="42">IF(D93=0,"",1-L93)</f>
        <v>0.99971307298658352</v>
      </c>
      <c r="N93" s="55">
        <f t="shared" si="37"/>
        <v>1.4543362828359669E-5</v>
      </c>
      <c r="O93" s="56">
        <f t="shared" ref="O93:O127" si="43">IF(D93=0,"",F93*K93*$J$7/$J$14)</f>
        <v>1.0000719988373264E-6</v>
      </c>
      <c r="P93" s="56">
        <f t="shared" si="38"/>
        <v>8.9693384394003228E-7</v>
      </c>
      <c r="Q93" s="56">
        <f t="shared" si="39"/>
        <v>3.2015881832008685E-7</v>
      </c>
      <c r="R93" s="9">
        <f t="shared" ref="R93:R143" si="44">F93*$C$14</f>
        <v>1.4999999999999999E-4</v>
      </c>
      <c r="S93" s="9">
        <f t="shared" ref="S93:S143" si="45">$R93*L93</f>
        <v>4.3039052012477546E-8</v>
      </c>
      <c r="T93" s="9">
        <f t="shared" si="40"/>
        <v>1.4988513098937269E-4</v>
      </c>
      <c r="U93" s="9">
        <f t="shared" si="41"/>
        <v>1.4995696094798752E-4</v>
      </c>
      <c r="V93" s="100">
        <f t="shared" ref="V93:V143" si="46">K93/M93</f>
        <v>0.99952099617009615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295</v>
      </c>
      <c r="C94" s="46" t="s">
        <v>296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-1.664624595209951E-4</v>
      </c>
      <c r="J94" s="54">
        <f t="shared" si="34"/>
        <v>-0.15991168988519264</v>
      </c>
      <c r="K94" s="55">
        <f t="shared" si="35"/>
        <v>0.99964373195739431</v>
      </c>
      <c r="L94" s="55">
        <f t="shared" si="36"/>
        <v>2.2146676324493852E-4</v>
      </c>
      <c r="M94" s="55">
        <f t="shared" si="42"/>
        <v>0.99977853323675503</v>
      </c>
      <c r="N94" s="55">
        <f t="shared" si="37"/>
        <v>2.4319611054528899E-6</v>
      </c>
      <c r="O94" s="56">
        <f t="shared" si="43"/>
        <v>1.0004818675590161E-6</v>
      </c>
      <c r="P94" s="56">
        <f t="shared" si="38"/>
        <v>6.9230510190367785E-7</v>
      </c>
      <c r="Q94" s="56">
        <f t="shared" si="39"/>
        <v>5.353739729327982E-8</v>
      </c>
      <c r="R94" s="9">
        <f t="shared" si="44"/>
        <v>1.4999999999999999E-4</v>
      </c>
      <c r="S94" s="9">
        <f t="shared" si="45"/>
        <v>3.3220014486740773E-8</v>
      </c>
      <c r="T94" s="9">
        <f t="shared" si="40"/>
        <v>1.4994655979360912E-4</v>
      </c>
      <c r="U94" s="9">
        <f t="shared" si="41"/>
        <v>1.4996677998551324E-4</v>
      </c>
      <c r="V94" s="100">
        <f t="shared" si="46"/>
        <v>0.99986516886002308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297</v>
      </c>
      <c r="C95" s="46" t="s">
        <v>298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0.94867954725222914</v>
      </c>
      <c r="J95" s="54">
        <f t="shared" si="34"/>
        <v>4.2457757065517692</v>
      </c>
      <c r="K95" s="55">
        <f t="shared" si="35"/>
        <v>6.8830749858898824E-2</v>
      </c>
      <c r="L95" s="55">
        <f t="shared" si="36"/>
        <v>0.38809067580681889</v>
      </c>
      <c r="M95" s="55">
        <f t="shared" si="42"/>
        <v>0.61190932419318111</v>
      </c>
      <c r="N95" s="55">
        <f t="shared" si="37"/>
        <v>0.34770891751480765</v>
      </c>
      <c r="O95" s="56">
        <f t="shared" si="43"/>
        <v>6.8888459921092795E-8</v>
      </c>
      <c r="P95" s="56">
        <f t="shared" si="38"/>
        <v>1.2131714525721162E-3</v>
      </c>
      <c r="Q95" s="56">
        <f t="shared" si="39"/>
        <v>7.654493494023161E-3</v>
      </c>
      <c r="R95" s="9">
        <f t="shared" si="44"/>
        <v>1.4999999999999999E-4</v>
      </c>
      <c r="S95" s="9">
        <f t="shared" si="45"/>
        <v>5.821360137102283E-5</v>
      </c>
      <c r="T95" s="9">
        <f t="shared" si="40"/>
        <v>1.0324612478834822E-5</v>
      </c>
      <c r="U95" s="9">
        <f t="shared" si="41"/>
        <v>9.1786398628977163E-5</v>
      </c>
      <c r="V95" s="100">
        <f t="shared" si="46"/>
        <v>0.11248521167683466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299</v>
      </c>
      <c r="C96" s="46" t="s">
        <v>212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-2.2502251762220258E-4</v>
      </c>
      <c r="J96" s="54">
        <f t="shared" si="34"/>
        <v>-0.20901127412599813</v>
      </c>
      <c r="K96" s="55">
        <f t="shared" si="35"/>
        <v>0.99980217582143749</v>
      </c>
      <c r="L96" s="55">
        <f t="shared" si="36"/>
        <v>1.9782346502011854E-4</v>
      </c>
      <c r="M96" s="55">
        <f t="shared" si="42"/>
        <v>0.99980217653497994</v>
      </c>
      <c r="N96" s="55">
        <f t="shared" si="37"/>
        <v>7.7549218049792279E-14</v>
      </c>
      <c r="O96" s="56">
        <f t="shared" si="43"/>
        <v>1.0006404442678309E-6</v>
      </c>
      <c r="P96" s="56">
        <f t="shared" si="38"/>
        <v>6.1839615165289045E-7</v>
      </c>
      <c r="Q96" s="56">
        <f t="shared" si="39"/>
        <v>1.7071750396031739E-15</v>
      </c>
      <c r="R96" s="9">
        <f t="shared" si="44"/>
        <v>1.4999999999999999E-4</v>
      </c>
      <c r="S96" s="9">
        <f t="shared" si="45"/>
        <v>2.967351975301778E-8</v>
      </c>
      <c r="T96" s="9">
        <f t="shared" si="40"/>
        <v>1.4997032637321562E-4</v>
      </c>
      <c r="U96" s="9">
        <f t="shared" si="41"/>
        <v>1.4997032648024697E-4</v>
      </c>
      <c r="V96" s="100">
        <f t="shared" si="46"/>
        <v>0.99999999928631633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300</v>
      </c>
      <c r="C97" s="46" t="s">
        <v>213</v>
      </c>
      <c r="D97" s="47" t="s">
        <v>301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302</v>
      </c>
      <c r="C98" s="46" t="s">
        <v>214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1.2628922084387679</v>
      </c>
      <c r="J98" s="54">
        <f t="shared" si="34"/>
        <v>4.0353280242380984</v>
      </c>
      <c r="K98" s="55">
        <f t="shared" si="35"/>
        <v>4.5869293751433914E-2</v>
      </c>
      <c r="L98" s="55">
        <f t="shared" si="36"/>
        <v>0.15930341237348045</v>
      </c>
      <c r="M98" s="55">
        <f t="shared" si="42"/>
        <v>0.84069658762651955</v>
      </c>
      <c r="N98" s="55">
        <f t="shared" si="37"/>
        <v>3.7083899794911931E-2</v>
      </c>
      <c r="O98" s="56">
        <f t="shared" si="43"/>
        <v>4.590775214104343E-8</v>
      </c>
      <c r="P98" s="56">
        <f t="shared" si="38"/>
        <v>4.9798246707950008E-4</v>
      </c>
      <c r="Q98" s="56">
        <f t="shared" si="39"/>
        <v>8.1636810393587807E-4</v>
      </c>
      <c r="R98" s="9">
        <f t="shared" si="44"/>
        <v>1.4999999999999999E-4</v>
      </c>
      <c r="S98" s="9">
        <f t="shared" si="45"/>
        <v>2.3895511856022066E-5</v>
      </c>
      <c r="T98" s="9">
        <f t="shared" si="40"/>
        <v>6.8803940627150865E-6</v>
      </c>
      <c r="U98" s="9">
        <f t="shared" si="41"/>
        <v>1.2610448814397791E-4</v>
      </c>
      <c r="V98" s="100">
        <f t="shared" si="46"/>
        <v>5.4561056184292973E-2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303</v>
      </c>
      <c r="C99" s="46" t="s">
        <v>215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0.12448503768629132</v>
      </c>
      <c r="J99" s="54">
        <f t="shared" si="34"/>
        <v>2.2845343185523066</v>
      </c>
      <c r="K99" s="55">
        <f t="shared" si="35"/>
        <v>0.71721703992789876</v>
      </c>
      <c r="L99" s="55">
        <f t="shared" si="36"/>
        <v>4.4214011396956306E-2</v>
      </c>
      <c r="M99" s="55">
        <f t="shared" si="42"/>
        <v>0.95578598860304365</v>
      </c>
      <c r="N99" s="55">
        <f t="shared" si="37"/>
        <v>6.8126165412422928E-3</v>
      </c>
      <c r="O99" s="56">
        <f t="shared" si="43"/>
        <v>7.1781837930115367E-7</v>
      </c>
      <c r="P99" s="56">
        <f t="shared" si="38"/>
        <v>1.3821299962688542E-4</v>
      </c>
      <c r="Q99" s="56">
        <f t="shared" si="39"/>
        <v>1.4997351625298174E-4</v>
      </c>
      <c r="R99" s="9">
        <f t="shared" si="44"/>
        <v>1.4999999999999999E-4</v>
      </c>
      <c r="S99" s="9">
        <f t="shared" si="45"/>
        <v>6.6321017095434451E-6</v>
      </c>
      <c r="T99" s="9">
        <f t="shared" si="40"/>
        <v>1.075825559891848E-4</v>
      </c>
      <c r="U99" s="9">
        <f t="shared" si="41"/>
        <v>1.4336789829045654E-4</v>
      </c>
      <c r="V99" s="100">
        <f t="shared" si="46"/>
        <v>0.75039501361195704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304</v>
      </c>
      <c r="C100" s="46" t="s">
        <v>216</v>
      </c>
      <c r="D100" s="47" t="s">
        <v>301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305</v>
      </c>
      <c r="C101" s="46" t="s">
        <v>217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0.94115347171694241</v>
      </c>
      <c r="J101" s="54">
        <f t="shared" si="34"/>
        <v>3.6308922154546468</v>
      </c>
      <c r="K101" s="55">
        <f t="shared" si="35"/>
        <v>9.895213922316512E-2</v>
      </c>
      <c r="L101" s="55">
        <f t="shared" si="36"/>
        <v>0.13542299181332348</v>
      </c>
      <c r="M101" s="55">
        <f t="shared" si="42"/>
        <v>0.86457700818667649</v>
      </c>
      <c r="N101" s="55">
        <f t="shared" si="37"/>
        <v>1.489664722306212E-2</v>
      </c>
      <c r="O101" s="56">
        <f t="shared" si="43"/>
        <v>9.9035104091635988E-8</v>
      </c>
      <c r="P101" s="56">
        <f t="shared" si="38"/>
        <v>4.233322724084491E-4</v>
      </c>
      <c r="Q101" s="56">
        <f t="shared" si="39"/>
        <v>3.2793605084008586E-4</v>
      </c>
      <c r="R101" s="9">
        <f t="shared" si="44"/>
        <v>1.4999999999999999E-4</v>
      </c>
      <c r="S101" s="9">
        <f t="shared" si="45"/>
        <v>2.0313448771998522E-5</v>
      </c>
      <c r="T101" s="9">
        <f t="shared" si="40"/>
        <v>1.4842820883474767E-5</v>
      </c>
      <c r="U101" s="9">
        <f t="shared" si="41"/>
        <v>1.2968655122800145E-4</v>
      </c>
      <c r="V101" s="100">
        <f t="shared" si="46"/>
        <v>0.11445150436130927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306</v>
      </c>
      <c r="C102" s="46" t="s">
        <v>218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0.36577089944725916</v>
      </c>
      <c r="J102" s="54">
        <f t="shared" si="34"/>
        <v>2.820617192166893</v>
      </c>
      <c r="K102" s="55">
        <f t="shared" si="35"/>
        <v>0.39454777689976289</v>
      </c>
      <c r="L102" s="55">
        <f t="shared" si="36"/>
        <v>8.3577965284253611E-2</v>
      </c>
      <c r="M102" s="55">
        <f t="shared" si="42"/>
        <v>0.91642203471574635</v>
      </c>
      <c r="N102" s="55">
        <f t="shared" si="37"/>
        <v>2.0580812096971198E-8</v>
      </c>
      <c r="O102" s="56">
        <f t="shared" si="43"/>
        <v>3.948785792924443E-7</v>
      </c>
      <c r="P102" s="56">
        <f t="shared" si="38"/>
        <v>2.6126471947857685E-4</v>
      </c>
      <c r="Q102" s="56">
        <f t="shared" si="39"/>
        <v>4.5306773672628149E-10</v>
      </c>
      <c r="R102" s="9">
        <f t="shared" si="44"/>
        <v>1.4999999999999999E-4</v>
      </c>
      <c r="S102" s="9">
        <f t="shared" si="45"/>
        <v>1.253669479263804E-5</v>
      </c>
      <c r="T102" s="9">
        <f t="shared" si="40"/>
        <v>5.9182166534964431E-5</v>
      </c>
      <c r="U102" s="9">
        <f t="shared" si="41"/>
        <v>1.3746330520736193E-4</v>
      </c>
      <c r="V102" s="100">
        <f t="shared" si="46"/>
        <v>0.43053065285814829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307</v>
      </c>
      <c r="C103" s="46" t="s">
        <v>219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1.199560490818528</v>
      </c>
      <c r="J103" s="54">
        <f t="shared" si="34"/>
        <v>3.8702475870342976</v>
      </c>
      <c r="K103" s="55">
        <f t="shared" si="35"/>
        <v>5.4897149183972559E-2</v>
      </c>
      <c r="L103" s="55">
        <f t="shared" si="36"/>
        <v>0.13036841343276601</v>
      </c>
      <c r="M103" s="55">
        <f t="shared" si="42"/>
        <v>0.86963158656723394</v>
      </c>
      <c r="N103" s="55">
        <f t="shared" si="37"/>
        <v>4.7754323702666662E-8</v>
      </c>
      <c r="O103" s="56">
        <f t="shared" si="43"/>
        <v>5.4943176837313146E-8</v>
      </c>
      <c r="P103" s="56">
        <f t="shared" si="38"/>
        <v>4.0753166039082664E-4</v>
      </c>
      <c r="Q103" s="56">
        <f t="shared" si="39"/>
        <v>1.0512677175671549E-9</v>
      </c>
      <c r="R103" s="9">
        <f t="shared" si="44"/>
        <v>1.4999999999999999E-4</v>
      </c>
      <c r="S103" s="9">
        <f t="shared" si="45"/>
        <v>1.95552620149149E-5</v>
      </c>
      <c r="T103" s="9">
        <f t="shared" si="40"/>
        <v>8.2345723775958826E-6</v>
      </c>
      <c r="U103" s="9">
        <f t="shared" si="41"/>
        <v>1.3044473798508508E-4</v>
      </c>
      <c r="V103" s="100">
        <f t="shared" si="46"/>
        <v>6.3126903428924949E-2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308</v>
      </c>
      <c r="C104" s="46" t="s">
        <v>220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1.8651886014657959</v>
      </c>
      <c r="J104" s="54">
        <f t="shared" si="34"/>
        <v>4.6066272802174426</v>
      </c>
      <c r="K104" s="55">
        <f t="shared" si="35"/>
        <v>1.1588249891015376E-2</v>
      </c>
      <c r="L104" s="55">
        <f t="shared" si="36"/>
        <v>0.14997543601077717</v>
      </c>
      <c r="M104" s="55">
        <f t="shared" si="42"/>
        <v>0.85002456398922277</v>
      </c>
      <c r="N104" s="55">
        <f t="shared" si="37"/>
        <v>1.8267587546809877E-2</v>
      </c>
      <c r="O104" s="56">
        <f t="shared" si="43"/>
        <v>1.1597965877304945E-8</v>
      </c>
      <c r="P104" s="56">
        <f t="shared" si="38"/>
        <v>4.6882321296968951E-4</v>
      </c>
      <c r="Q104" s="56">
        <f t="shared" si="39"/>
        <v>4.0214421599526535E-4</v>
      </c>
      <c r="R104" s="9">
        <f t="shared" si="44"/>
        <v>1.4999999999999999E-4</v>
      </c>
      <c r="S104" s="9">
        <f t="shared" si="45"/>
        <v>2.2496315401616573E-5</v>
      </c>
      <c r="T104" s="9">
        <f t="shared" si="40"/>
        <v>1.7382374836523063E-6</v>
      </c>
      <c r="U104" s="9">
        <f t="shared" si="41"/>
        <v>1.2750368459838341E-4</v>
      </c>
      <c r="V104" s="100">
        <f t="shared" si="46"/>
        <v>1.3632841193001453E-2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309</v>
      </c>
      <c r="C105" s="46" t="s">
        <v>221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1.4992792320699506</v>
      </c>
      <c r="J105" s="54">
        <f t="shared" si="34"/>
        <v>4.3950446753285686</v>
      </c>
      <c r="K105" s="55">
        <f t="shared" si="35"/>
        <v>2.5292340300728019E-2</v>
      </c>
      <c r="L105" s="55">
        <f t="shared" si="36"/>
        <v>0.20109843599018254</v>
      </c>
      <c r="M105" s="55">
        <f t="shared" si="42"/>
        <v>0.79890156400981749</v>
      </c>
      <c r="N105" s="55">
        <f t="shared" si="37"/>
        <v>8.9259070913450325E-2</v>
      </c>
      <c r="O105" s="56">
        <f t="shared" si="43"/>
        <v>2.5313546266590344E-8</v>
      </c>
      <c r="P105" s="56">
        <f t="shared" si="38"/>
        <v>6.2863371090531072E-4</v>
      </c>
      <c r="Q105" s="56">
        <f t="shared" si="39"/>
        <v>1.9649567301087728E-3</v>
      </c>
      <c r="R105" s="9">
        <f t="shared" si="44"/>
        <v>1.4999999999999999E-4</v>
      </c>
      <c r="S105" s="9">
        <f t="shared" si="45"/>
        <v>3.0164765398527379E-5</v>
      </c>
      <c r="T105" s="9">
        <f t="shared" si="40"/>
        <v>3.7938510451092024E-6</v>
      </c>
      <c r="U105" s="9">
        <f t="shared" si="41"/>
        <v>1.1983523460147261E-4</v>
      </c>
      <c r="V105" s="100">
        <f t="shared" si="46"/>
        <v>3.1658894462268453E-2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310</v>
      </c>
      <c r="C106" s="46" t="s">
        <v>222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0.70891628628139558</v>
      </c>
      <c r="J106" s="54">
        <f t="shared" si="34"/>
        <v>3.3342066205682497</v>
      </c>
      <c r="K106" s="55">
        <f t="shared" si="35"/>
        <v>0.17212745810300953</v>
      </c>
      <c r="L106" s="55">
        <f t="shared" si="36"/>
        <v>0.11896844279957856</v>
      </c>
      <c r="M106" s="55">
        <f t="shared" si="42"/>
        <v>0.88103155720042148</v>
      </c>
      <c r="N106" s="55">
        <f t="shared" si="37"/>
        <v>6.3608257837417317E-3</v>
      </c>
      <c r="O106" s="56">
        <f t="shared" si="43"/>
        <v>1.7227177566939921E-7</v>
      </c>
      <c r="P106" s="56">
        <f t="shared" si="38"/>
        <v>3.7189535219148265E-4</v>
      </c>
      <c r="Q106" s="56">
        <f t="shared" si="39"/>
        <v>1.4002775633786376E-4</v>
      </c>
      <c r="R106" s="9">
        <f t="shared" si="44"/>
        <v>1.4999999999999999E-4</v>
      </c>
      <c r="S106" s="9">
        <f t="shared" si="45"/>
        <v>1.7845266419936784E-5</v>
      </c>
      <c r="T106" s="9">
        <f t="shared" si="40"/>
        <v>2.5819118715451428E-5</v>
      </c>
      <c r="U106" s="9">
        <f t="shared" si="41"/>
        <v>1.321547335800632E-4</v>
      </c>
      <c r="V106" s="100">
        <f t="shared" si="46"/>
        <v>0.19537036635777749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311</v>
      </c>
      <c r="C107" s="46" t="s">
        <v>223</v>
      </c>
      <c r="D107" s="47" t="s">
        <v>301</v>
      </c>
      <c r="E107" s="47" t="s">
        <v>312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313</v>
      </c>
      <c r="C108" s="46" t="s">
        <v>224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1.3235891145541188</v>
      </c>
      <c r="J108" s="54">
        <f t="shared" si="34"/>
        <v>4.0679360505628344</v>
      </c>
      <c r="K108" s="55">
        <f t="shared" si="35"/>
        <v>4.0288391462974908E-2</v>
      </c>
      <c r="L108" s="55">
        <f t="shared" si="36"/>
        <v>0.15083112835835535</v>
      </c>
      <c r="M108" s="55">
        <f t="shared" si="42"/>
        <v>0.84916887164164467</v>
      </c>
      <c r="N108" s="55">
        <f t="shared" si="37"/>
        <v>2.4708323215324242E-2</v>
      </c>
      <c r="O108" s="56">
        <f t="shared" si="43"/>
        <v>4.032217063263076E-8</v>
      </c>
      <c r="P108" s="56">
        <f t="shared" si="38"/>
        <v>4.7149810724821903E-4</v>
      </c>
      <c r="Q108" s="56">
        <f t="shared" si="39"/>
        <v>5.4393111528946189E-4</v>
      </c>
      <c r="R108" s="9">
        <f t="shared" si="44"/>
        <v>1.4999999999999999E-4</v>
      </c>
      <c r="S108" s="9">
        <f t="shared" si="45"/>
        <v>2.2624669253753303E-5</v>
      </c>
      <c r="T108" s="9">
        <f t="shared" si="40"/>
        <v>6.0432587194462357E-6</v>
      </c>
      <c r="U108" s="9">
        <f t="shared" si="41"/>
        <v>1.2737533074624668E-4</v>
      </c>
      <c r="V108" s="100">
        <f t="shared" si="46"/>
        <v>4.7444498742738768E-2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314</v>
      </c>
      <c r="C109" s="46" t="s">
        <v>225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1.537838229995057</v>
      </c>
      <c r="J109" s="54">
        <f t="shared" si="34"/>
        <v>4.3958183693354318</v>
      </c>
      <c r="K109" s="55">
        <f t="shared" si="35"/>
        <v>2.3537973852380267E-2</v>
      </c>
      <c r="L109" s="55">
        <f t="shared" si="36"/>
        <v>0.18748323842831213</v>
      </c>
      <c r="M109" s="55">
        <f t="shared" si="42"/>
        <v>0.81251676157168784</v>
      </c>
      <c r="N109" s="55">
        <f t="shared" si="37"/>
        <v>7.0702117607869125E-2</v>
      </c>
      <c r="O109" s="56">
        <f t="shared" si="43"/>
        <v>2.3557708897221788E-8</v>
      </c>
      <c r="P109" s="56">
        <f t="shared" si="38"/>
        <v>5.8607260332690393E-4</v>
      </c>
      <c r="Q109" s="56">
        <f t="shared" si="39"/>
        <v>1.5564423918464714E-3</v>
      </c>
      <c r="R109" s="9">
        <f t="shared" si="44"/>
        <v>1.4999999999999999E-4</v>
      </c>
      <c r="S109" s="9">
        <f t="shared" si="45"/>
        <v>2.8122485764246816E-5</v>
      </c>
      <c r="T109" s="9">
        <f t="shared" si="40"/>
        <v>3.5306960778570398E-6</v>
      </c>
      <c r="U109" s="9">
        <f t="shared" si="41"/>
        <v>1.2187751423575317E-4</v>
      </c>
      <c r="V109" s="100">
        <f t="shared" si="46"/>
        <v>2.8969216348041487E-2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204</v>
      </c>
      <c r="C110" s="46" t="s">
        <v>205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0.24151373144665708</v>
      </c>
      <c r="J110" s="54">
        <f t="shared" si="34"/>
        <v>2.575073327711408</v>
      </c>
      <c r="K110" s="55">
        <f t="shared" si="35"/>
        <v>0.53615769623450149</v>
      </c>
      <c r="L110" s="55">
        <f t="shared" si="36"/>
        <v>6.4526910702613349E-2</v>
      </c>
      <c r="M110" s="55">
        <f t="shared" si="42"/>
        <v>0.9354730892973866</v>
      </c>
      <c r="N110" s="55">
        <f t="shared" si="37"/>
        <v>6.1228820019831019E-4</v>
      </c>
      <c r="O110" s="56">
        <f t="shared" si="43"/>
        <v>5.3660722924204395E-7</v>
      </c>
      <c r="P110" s="56">
        <f t="shared" si="38"/>
        <v>2.0171112285636937E-4</v>
      </c>
      <c r="Q110" s="56">
        <f t="shared" si="39"/>
        <v>1.3478964181830407E-5</v>
      </c>
      <c r="R110" s="9">
        <f t="shared" si="44"/>
        <v>1.4999999999999999E-4</v>
      </c>
      <c r="S110" s="9">
        <f t="shared" si="45"/>
        <v>9.6790366053920015E-6</v>
      </c>
      <c r="T110" s="9">
        <f t="shared" si="40"/>
        <v>8.0423654435175213E-5</v>
      </c>
      <c r="U110" s="9">
        <f t="shared" si="41"/>
        <v>1.4032096339460797E-4</v>
      </c>
      <c r="V110" s="100">
        <f t="shared" si="46"/>
        <v>0.57314069465878259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206</v>
      </c>
      <c r="C111" s="46" t="s">
        <v>207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0.16670977104284687</v>
      </c>
      <c r="J111" s="54">
        <f t="shared" si="34"/>
        <v>2.8332513634530265</v>
      </c>
      <c r="K111" s="55">
        <f t="shared" si="35"/>
        <v>0.59284166287939777</v>
      </c>
      <c r="L111" s="55">
        <f t="shared" si="36"/>
        <v>0.12929004343964787</v>
      </c>
      <c r="M111" s="55">
        <f t="shared" si="42"/>
        <v>0.87070995656035211</v>
      </c>
      <c r="N111" s="55">
        <f t="shared" si="37"/>
        <v>9.7799689232903927E-2</v>
      </c>
      <c r="O111" s="56">
        <f t="shared" si="43"/>
        <v>5.9333872166934392E-7</v>
      </c>
      <c r="P111" s="56">
        <f t="shared" si="38"/>
        <v>4.0416067579233922E-4</v>
      </c>
      <c r="Q111" s="56">
        <f t="shared" si="39"/>
        <v>2.1529706235356178E-3</v>
      </c>
      <c r="R111" s="9">
        <f t="shared" si="44"/>
        <v>1.4999999999999999E-4</v>
      </c>
      <c r="S111" s="9">
        <f t="shared" si="45"/>
        <v>1.9393506515947178E-5</v>
      </c>
      <c r="T111" s="9">
        <f t="shared" si="40"/>
        <v>8.8926249431909652E-5</v>
      </c>
      <c r="U111" s="9">
        <f t="shared" si="41"/>
        <v>1.3060649348405279E-4</v>
      </c>
      <c r="V111" s="100">
        <f t="shared" si="46"/>
        <v>0.68087157889104222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208</v>
      </c>
      <c r="C112" s="46" t="s">
        <v>209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2.5219720041185627</v>
      </c>
      <c r="J112" s="54">
        <f t="shared" si="34"/>
        <v>5.9198274752242268</v>
      </c>
      <c r="K112" s="55">
        <f t="shared" si="35"/>
        <v>1.6694293256630957E-3</v>
      </c>
      <c r="L112" s="55">
        <f t="shared" si="36"/>
        <v>0.44439638201617149</v>
      </c>
      <c r="M112" s="55">
        <f t="shared" si="42"/>
        <v>0.55560361798382851</v>
      </c>
      <c r="N112" s="55">
        <f t="shared" si="37"/>
        <v>0.41072239491792772</v>
      </c>
      <c r="O112" s="56">
        <f t="shared" si="43"/>
        <v>1.6708290324861357E-9</v>
      </c>
      <c r="P112" s="56">
        <f t="shared" si="38"/>
        <v>1.3891830901825517E-3</v>
      </c>
      <c r="Q112" s="56">
        <f t="shared" si="39"/>
        <v>9.0416775106580451E-3</v>
      </c>
      <c r="R112" s="9">
        <f t="shared" si="44"/>
        <v>1.4999999999999999E-4</v>
      </c>
      <c r="S112" s="9">
        <f t="shared" si="45"/>
        <v>6.6659457302425718E-5</v>
      </c>
      <c r="T112" s="9">
        <f t="shared" si="40"/>
        <v>2.5041439884946435E-7</v>
      </c>
      <c r="U112" s="9">
        <f t="shared" si="41"/>
        <v>8.3340542697574269E-5</v>
      </c>
      <c r="V112" s="100">
        <f t="shared" si="46"/>
        <v>3.0047128413618184E-3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210</v>
      </c>
      <c r="C113" s="46" t="s">
        <v>211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2.8671793282646911</v>
      </c>
      <c r="J113" s="54">
        <f t="shared" si="34"/>
        <v>6.2984912087723171</v>
      </c>
      <c r="K113" s="55">
        <f t="shared" si="35"/>
        <v>7.2807109438833108E-4</v>
      </c>
      <c r="L113" s="55">
        <f t="shared" si="36"/>
        <v>0.46348960579456616</v>
      </c>
      <c r="M113" s="55">
        <f t="shared" si="42"/>
        <v>0.53651039420543389</v>
      </c>
      <c r="N113" s="55">
        <f t="shared" si="37"/>
        <v>0.43611812345947004</v>
      </c>
      <c r="O113" s="56">
        <f t="shared" si="43"/>
        <v>7.2868153417323703E-10</v>
      </c>
      <c r="P113" s="56">
        <f t="shared" si="38"/>
        <v>1.4488685077138149E-3</v>
      </c>
      <c r="Q113" s="56">
        <f t="shared" si="39"/>
        <v>9.6007412248894624E-3</v>
      </c>
      <c r="R113" s="9">
        <f t="shared" si="44"/>
        <v>1.4999999999999999E-4</v>
      </c>
      <c r="S113" s="9">
        <f t="shared" si="45"/>
        <v>6.9523440869184914E-5</v>
      </c>
      <c r="T113" s="9">
        <f t="shared" si="40"/>
        <v>1.0921066415824965E-7</v>
      </c>
      <c r="U113" s="9">
        <f t="shared" si="41"/>
        <v>8.0476559130815073E-5</v>
      </c>
      <c r="V113" s="100">
        <f t="shared" si="46"/>
        <v>1.3570493736036495E-3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3.2678433041260839</v>
      </c>
      <c r="J114" s="54">
        <f t="shared" si="34"/>
        <v>6.7277753052884339</v>
      </c>
      <c r="K114" s="55">
        <f t="shared" si="35"/>
        <v>2.8054972577741945E-4</v>
      </c>
      <c r="L114" s="55">
        <f t="shared" si="36"/>
        <v>0.47991039278482145</v>
      </c>
      <c r="M114" s="55">
        <f t="shared" si="42"/>
        <v>0.52008960721517861</v>
      </c>
      <c r="N114" s="55">
        <f t="shared" si="37"/>
        <v>0.45802606590916511</v>
      </c>
      <c r="O114" s="56">
        <f t="shared" si="43"/>
        <v>2.807849482928839E-10</v>
      </c>
      <c r="P114" s="56">
        <f t="shared" si="38"/>
        <v>1.5001998878453524E-3</v>
      </c>
      <c r="Q114" s="56">
        <f t="shared" si="39"/>
        <v>1.0083024521352468E-2</v>
      </c>
      <c r="R114" s="9">
        <f t="shared" si="44"/>
        <v>1.4999999999999999E-4</v>
      </c>
      <c r="S114" s="9">
        <f t="shared" si="45"/>
        <v>7.1986558917723205E-5</v>
      </c>
      <c r="T114" s="9">
        <f t="shared" si="40"/>
        <v>4.2082458866612914E-8</v>
      </c>
      <c r="U114" s="9">
        <f t="shared" si="41"/>
        <v>7.8013441082276782E-5</v>
      </c>
      <c r="V114" s="100">
        <f t="shared" si="46"/>
        <v>5.3942574872746225E-4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1.873926252180699</v>
      </c>
      <c r="J115" s="54">
        <f t="shared" si="34"/>
        <v>5.3143493213259028</v>
      </c>
      <c r="K115" s="55">
        <f t="shared" si="35"/>
        <v>7.098721636882111E-3</v>
      </c>
      <c r="L115" s="55">
        <f t="shared" si="36"/>
        <v>0.46871026935292925</v>
      </c>
      <c r="M115" s="55">
        <f t="shared" si="42"/>
        <v>0.53128973064707075</v>
      </c>
      <c r="N115" s="55">
        <f t="shared" si="37"/>
        <v>0.44428487052322529</v>
      </c>
      <c r="O115" s="56">
        <f t="shared" si="43"/>
        <v>7.1046734486523151E-9</v>
      </c>
      <c r="P115" s="56">
        <f t="shared" si="38"/>
        <v>1.4651883019972569E-3</v>
      </c>
      <c r="Q115" s="56">
        <f t="shared" si="39"/>
        <v>9.7805246848986071E-3</v>
      </c>
      <c r="R115" s="9">
        <f t="shared" si="44"/>
        <v>1.4999999999999999E-4</v>
      </c>
      <c r="S115" s="9">
        <f t="shared" si="45"/>
        <v>7.0306540402939385E-5</v>
      </c>
      <c r="T115" s="9">
        <f t="shared" si="40"/>
        <v>1.0648082455323165E-6</v>
      </c>
      <c r="U115" s="9">
        <f t="shared" si="41"/>
        <v>7.9693459597060602E-5</v>
      </c>
      <c r="V115" s="100">
        <f t="shared" si="46"/>
        <v>1.3361300298871587E-2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226</v>
      </c>
      <c r="C116" s="46" t="s">
        <v>227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-6.4011746653915488E-5</v>
      </c>
      <c r="J116" s="54">
        <f t="shared" si="34"/>
        <v>-8.0530405253931236E-2</v>
      </c>
      <c r="K116" s="55">
        <f t="shared" si="35"/>
        <v>0.99936361747869762</v>
      </c>
      <c r="L116" s="55">
        <f t="shared" si="36"/>
        <v>2.6580805066006401E-4</v>
      </c>
      <c r="M116" s="55">
        <f t="shared" si="42"/>
        <v>0.99973419194933999</v>
      </c>
      <c r="N116" s="55">
        <f t="shared" si="37"/>
        <v>1.0135750830614808E-5</v>
      </c>
      <c r="O116" s="56">
        <f t="shared" si="43"/>
        <v>1.00020151822273E-6</v>
      </c>
      <c r="P116" s="56">
        <f t="shared" si="38"/>
        <v>8.3091596636336004E-7</v>
      </c>
      <c r="Q116" s="56">
        <f t="shared" si="39"/>
        <v>2.2312927532747811E-7</v>
      </c>
      <c r="R116" s="9">
        <f t="shared" si="44"/>
        <v>1.4999999999999999E-4</v>
      </c>
      <c r="S116" s="9">
        <f t="shared" si="45"/>
        <v>3.98712075990096E-8</v>
      </c>
      <c r="T116" s="9">
        <f t="shared" si="40"/>
        <v>1.4990454262180463E-4</v>
      </c>
      <c r="U116" s="9">
        <f t="shared" si="41"/>
        <v>1.4996012879240099E-4</v>
      </c>
      <c r="V116" s="100">
        <f t="shared" si="46"/>
        <v>0.99962932700149043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228</v>
      </c>
      <c r="C117" s="46" t="s">
        <v>229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1.5422749478710035E-2</v>
      </c>
      <c r="J117" s="54">
        <f t="shared" si="34"/>
        <v>1.5278597886488654</v>
      </c>
      <c r="K117" s="55">
        <f t="shared" si="35"/>
        <v>0.95466980713122263</v>
      </c>
      <c r="L117" s="55">
        <f t="shared" si="36"/>
        <v>1.0305948724268387E-2</v>
      </c>
      <c r="M117" s="55">
        <f t="shared" si="42"/>
        <v>0.98969405127573162</v>
      </c>
      <c r="N117" s="55">
        <f t="shared" si="37"/>
        <v>5.2103336300284714E-3</v>
      </c>
      <c r="O117" s="56">
        <f t="shared" si="43"/>
        <v>9.5547023505126108E-7</v>
      </c>
      <c r="P117" s="56">
        <f t="shared" si="38"/>
        <v>3.2216395712062975E-5</v>
      </c>
      <c r="Q117" s="56">
        <f t="shared" si="39"/>
        <v>1.1470072484133102E-4</v>
      </c>
      <c r="R117" s="9">
        <f t="shared" si="44"/>
        <v>1.4999999999999999E-4</v>
      </c>
      <c r="S117" s="9">
        <f t="shared" si="45"/>
        <v>1.545892308640258E-6</v>
      </c>
      <c r="T117" s="9">
        <f t="shared" si="40"/>
        <v>1.4320047106968338E-4</v>
      </c>
      <c r="U117" s="9">
        <f t="shared" si="41"/>
        <v>1.4845410769135972E-4</v>
      </c>
      <c r="V117" s="100">
        <f t="shared" si="46"/>
        <v>0.96461103903841583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230</v>
      </c>
      <c r="C118" s="46" t="s">
        <v>231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0.17039252388598855</v>
      </c>
      <c r="J118" s="54">
        <f t="shared" si="34"/>
        <v>2.8466643436404468</v>
      </c>
      <c r="K118" s="55">
        <f t="shared" si="35"/>
        <v>0.58611873494658029</v>
      </c>
      <c r="L118" s="55">
        <f t="shared" si="36"/>
        <v>0.13183324689521089</v>
      </c>
      <c r="M118" s="55">
        <f t="shared" si="42"/>
        <v>0.86816675310478908</v>
      </c>
      <c r="N118" s="55">
        <f t="shared" si="37"/>
        <v>9.9965221274663479E-2</v>
      </c>
      <c r="O118" s="56">
        <f t="shared" si="43"/>
        <v>5.8661015700309074E-7</v>
      </c>
      <c r="P118" s="56">
        <f t="shared" si="38"/>
        <v>4.1211072979442919E-4</v>
      </c>
      <c r="Q118" s="56">
        <f t="shared" si="39"/>
        <v>2.20064282890562E-3</v>
      </c>
      <c r="R118" s="9">
        <f t="shared" si="44"/>
        <v>1.4999999999999999E-4</v>
      </c>
      <c r="S118" s="9">
        <f t="shared" si="45"/>
        <v>1.9774987034281633E-5</v>
      </c>
      <c r="T118" s="9">
        <f t="shared" si="40"/>
        <v>8.7917810241987035E-5</v>
      </c>
      <c r="U118" s="9">
        <f t="shared" si="41"/>
        <v>1.3022501296571835E-4</v>
      </c>
      <c r="V118" s="100">
        <f t="shared" si="46"/>
        <v>0.67512229977762672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232</v>
      </c>
      <c r="C119" s="46" t="s">
        <v>233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-2.0346404759841822E-4</v>
      </c>
      <c r="J119" s="54">
        <f t="shared" si="34"/>
        <v>-0.19083877645329253</v>
      </c>
      <c r="K119" s="55">
        <f t="shared" si="35"/>
        <v>0.999744105766047</v>
      </c>
      <c r="L119" s="55">
        <f t="shared" si="36"/>
        <v>2.0626477957545037E-4</v>
      </c>
      <c r="M119" s="55">
        <f t="shared" si="42"/>
        <v>0.99979373522042458</v>
      </c>
      <c r="N119" s="55">
        <f t="shared" si="37"/>
        <v>5.9132722295466873E-7</v>
      </c>
      <c r="O119" s="56">
        <f t="shared" si="43"/>
        <v>1.0005823255245137E-6</v>
      </c>
      <c r="P119" s="56">
        <f t="shared" si="38"/>
        <v>6.4478370095285765E-7</v>
      </c>
      <c r="Q119" s="56">
        <f t="shared" si="39"/>
        <v>1.3017527457438695E-8</v>
      </c>
      <c r="R119" s="9">
        <f t="shared" si="44"/>
        <v>1.4999999999999999E-4</v>
      </c>
      <c r="S119" s="9">
        <f t="shared" si="45"/>
        <v>3.0939716936317552E-8</v>
      </c>
      <c r="T119" s="9">
        <f t="shared" si="40"/>
        <v>1.4996161586490703E-4</v>
      </c>
      <c r="U119" s="9">
        <f t="shared" si="41"/>
        <v>1.4996906028306368E-4</v>
      </c>
      <c r="V119" s="100">
        <f t="shared" si="46"/>
        <v>0.99995036030670204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234</v>
      </c>
      <c r="C120" s="46" t="s">
        <v>235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-2.2502281549544107E-4</v>
      </c>
      <c r="J120" s="54">
        <f t="shared" si="34"/>
        <v>-0.20901151514484184</v>
      </c>
      <c r="K120" s="55">
        <f t="shared" si="35"/>
        <v>0.99980217661680804</v>
      </c>
      <c r="L120" s="55">
        <f t="shared" si="36"/>
        <v>1.9782335539214753E-4</v>
      </c>
      <c r="M120" s="55">
        <f t="shared" si="42"/>
        <v>0.9998021766446078</v>
      </c>
      <c r="N120" s="55">
        <f t="shared" si="37"/>
        <v>7.6688002075254594E-16</v>
      </c>
      <c r="O120" s="56">
        <f t="shared" si="43"/>
        <v>1.0006404450638683E-6</v>
      </c>
      <c r="P120" s="56">
        <f t="shared" si="38"/>
        <v>6.1839580895585288E-7</v>
      </c>
      <c r="Q120" s="56">
        <f t="shared" si="39"/>
        <v>1.6882161583608866E-17</v>
      </c>
      <c r="R120" s="9">
        <f t="shared" si="44"/>
        <v>1.4999999999999999E-4</v>
      </c>
      <c r="S120" s="9">
        <f t="shared" si="45"/>
        <v>2.9673503308822126E-8</v>
      </c>
      <c r="T120" s="9">
        <f t="shared" si="40"/>
        <v>1.499703264925212E-4</v>
      </c>
      <c r="U120" s="9">
        <f t="shared" si="41"/>
        <v>1.4997032649669115E-4</v>
      </c>
      <c r="V120" s="100">
        <f t="shared" si="46"/>
        <v>0.99999999997219469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236</v>
      </c>
      <c r="C121" s="46" t="s">
        <v>237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1.5262652347248487E-3</v>
      </c>
      <c r="J121" s="54">
        <f t="shared" si="34"/>
        <v>0.53329394649989259</v>
      </c>
      <c r="K121" s="55">
        <f t="shared" si="35"/>
        <v>0.99489246681934251</v>
      </c>
      <c r="L121" s="55">
        <f t="shared" si="36"/>
        <v>1.0875396262004068E-3</v>
      </c>
      <c r="M121" s="55">
        <f t="shared" si="42"/>
        <v>0.99891246037379955</v>
      </c>
      <c r="N121" s="55">
        <f t="shared" si="37"/>
        <v>2.8571872408743678E-4</v>
      </c>
      <c r="O121" s="56">
        <f t="shared" si="43"/>
        <v>9.9572661879726155E-7</v>
      </c>
      <c r="P121" s="56">
        <f t="shared" si="38"/>
        <v>3.3996488715024718E-6</v>
      </c>
      <c r="Q121" s="56">
        <f t="shared" si="39"/>
        <v>6.2898361373051229E-6</v>
      </c>
      <c r="R121" s="9">
        <f t="shared" si="44"/>
        <v>1.4999999999999999E-4</v>
      </c>
      <c r="S121" s="9">
        <f t="shared" si="45"/>
        <v>1.6313094393006101E-7</v>
      </c>
      <c r="T121" s="9">
        <f t="shared" si="40"/>
        <v>1.4923387002290135E-4</v>
      </c>
      <c r="U121" s="9">
        <f t="shared" si="41"/>
        <v>1.4983686905606993E-4</v>
      </c>
      <c r="V121" s="100">
        <f t="shared" si="46"/>
        <v>0.99597562978346199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238</v>
      </c>
      <c r="C122" s="46" t="s">
        <v>239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2.4878679358864142</v>
      </c>
      <c r="J122" s="54">
        <f t="shared" si="34"/>
        <v>5.9733565938903412</v>
      </c>
      <c r="K122" s="55">
        <f t="shared" si="35"/>
        <v>1.6426025947573995E-3</v>
      </c>
      <c r="L122" s="55">
        <f t="shared" si="36"/>
        <v>0.49461137452989867</v>
      </c>
      <c r="M122" s="55">
        <f t="shared" si="42"/>
        <v>0.50538862547010133</v>
      </c>
      <c r="N122" s="55">
        <f t="shared" si="37"/>
        <v>0.4779647105055011</v>
      </c>
      <c r="O122" s="56">
        <f t="shared" si="43"/>
        <v>1.6439798091288503E-9</v>
      </c>
      <c r="P122" s="56">
        <f t="shared" si="38"/>
        <v>1.5461551567804634E-3</v>
      </c>
      <c r="Q122" s="56">
        <f t="shared" si="39"/>
        <v>1.0521955528452089E-2</v>
      </c>
      <c r="R122" s="9">
        <f t="shared" si="44"/>
        <v>1.4999999999999999E-4</v>
      </c>
      <c r="S122" s="9">
        <f t="shared" si="45"/>
        <v>7.4191706179484797E-5</v>
      </c>
      <c r="T122" s="9">
        <f t="shared" si="40"/>
        <v>2.4639038921360991E-7</v>
      </c>
      <c r="U122" s="9">
        <f t="shared" si="41"/>
        <v>7.580829382051519E-5</v>
      </c>
      <c r="V122" s="100">
        <f t="shared" si="46"/>
        <v>3.2501772140785456E-3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240</v>
      </c>
      <c r="C123" s="46" t="s">
        <v>241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1.0353959656071578E-2</v>
      </c>
      <c r="J123" s="54">
        <f t="shared" ref="J123:J127" si="48">IF(D123=0,"",LOG($K$21*10^D123+$K$22*10^E123+$K$20))</f>
        <v>1.3877069023096393</v>
      </c>
      <c r="K123" s="55">
        <f t="shared" ref="K123:K127" si="49">IF(D123=0,"",1/(1+10^D123*$J$15/$J$14+10^E123*$J$16/$J$14+10^J123*$J$19/$J$14))</f>
        <v>0.96854564347240846</v>
      </c>
      <c r="L123" s="55">
        <f t="shared" ref="L123:L127" si="50">IF(D123=0,"",1/(1+10^I123/10^J123*$J$13/$J$19))</f>
        <v>7.5718498876102304E-3</v>
      </c>
      <c r="M123" s="55">
        <f t="shared" si="42"/>
        <v>0.99242815011238972</v>
      </c>
      <c r="N123" s="55">
        <f t="shared" ref="N123:N127" si="51">IF(D123=0,"",1/(1/10^E123*$J$20/$J$22+10^D123/10^E123*$J$21/$J$22+10^I123/10^E123*$J$13/$J$22+1))</f>
        <v>4.1087757375307997E-3</v>
      </c>
      <c r="O123" s="56">
        <f t="shared" si="43"/>
        <v>9.6935770536970127E-7</v>
      </c>
      <c r="P123" s="56">
        <f t="shared" ref="P123:P127" si="52">IF(D123=0,"",O123*10^J123)</f>
        <v>2.3669602748669583E-5</v>
      </c>
      <c r="Q123" s="56">
        <f t="shared" ref="Q123:Q127" si="53">IF(D123=0,"",F123*N123*$J$7/$J$22)</f>
        <v>9.0450936306487884E-5</v>
      </c>
      <c r="R123" s="9">
        <f t="shared" si="44"/>
        <v>1.4999999999999999E-4</v>
      </c>
      <c r="S123" s="9">
        <f t="shared" si="45"/>
        <v>1.1357774831415345E-6</v>
      </c>
      <c r="T123" s="9">
        <f t="shared" si="40"/>
        <v>1.4528184652086126E-4</v>
      </c>
      <c r="U123" s="9">
        <f t="shared" si="41"/>
        <v>1.4886422251685844E-4</v>
      </c>
      <c r="V123" s="100">
        <f t="shared" si="46"/>
        <v>0.97593527890429488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242</v>
      </c>
      <c r="C124" s="46" t="s">
        <v>243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2.0480395290290027E-2</v>
      </c>
      <c r="J124" s="54">
        <f t="shared" si="48"/>
        <v>1.4994216752369602</v>
      </c>
      <c r="K124" s="55">
        <f t="shared" si="49"/>
        <v>0.94433893921342515</v>
      </c>
      <c r="L124" s="55">
        <f t="shared" si="50"/>
        <v>9.5482674294279993E-3</v>
      </c>
      <c r="M124" s="55">
        <f t="shared" si="42"/>
        <v>0.99045173257057195</v>
      </c>
      <c r="N124" s="55">
        <f t="shared" si="51"/>
        <v>2.2897456542813701E-3</v>
      </c>
      <c r="O124" s="56">
        <f t="shared" si="43"/>
        <v>9.4513070537935986E-7</v>
      </c>
      <c r="P124" s="56">
        <f t="shared" si="52"/>
        <v>2.9847883984391926E-5</v>
      </c>
      <c r="Q124" s="56">
        <f t="shared" si="53"/>
        <v>5.0406654332982842E-5</v>
      </c>
      <c r="R124" s="9">
        <f t="shared" si="44"/>
        <v>1.4999999999999999E-4</v>
      </c>
      <c r="S124" s="9">
        <f t="shared" si="45"/>
        <v>1.4322401144141998E-6</v>
      </c>
      <c r="T124" s="9">
        <f t="shared" si="40"/>
        <v>1.4165084088201376E-4</v>
      </c>
      <c r="U124" s="9">
        <f t="shared" si="41"/>
        <v>1.4856775988558577E-4</v>
      </c>
      <c r="V124" s="100">
        <f t="shared" si="46"/>
        <v>0.95344266475513373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244</v>
      </c>
      <c r="C125" s="46" t="s">
        <v>245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5.8413729360461944E-4</v>
      </c>
      <c r="J125" s="54">
        <f t="shared" si="48"/>
        <v>0.23502720558428331</v>
      </c>
      <c r="K125" s="55">
        <f t="shared" si="49"/>
        <v>0.99759087107654476</v>
      </c>
      <c r="L125" s="55">
        <f t="shared" si="50"/>
        <v>5.4872490628861989E-4</v>
      </c>
      <c r="M125" s="55">
        <f t="shared" si="42"/>
        <v>0.99945127509371134</v>
      </c>
      <c r="N125" s="55">
        <f t="shared" si="51"/>
        <v>6.1965621768579013E-5</v>
      </c>
      <c r="O125" s="56">
        <f t="shared" si="43"/>
        <v>9.9842728548917256E-7</v>
      </c>
      <c r="P125" s="56">
        <f t="shared" si="52"/>
        <v>1.7153140570582259E-6</v>
      </c>
      <c r="Q125" s="56">
        <f t="shared" si="53"/>
        <v>1.3641164341449156E-6</v>
      </c>
      <c r="R125" s="9">
        <f t="shared" si="44"/>
        <v>1.4999999999999999E-4</v>
      </c>
      <c r="S125" s="9">
        <f t="shared" si="45"/>
        <v>8.2308735943292978E-8</v>
      </c>
      <c r="T125" s="9">
        <f t="shared" si="40"/>
        <v>1.496386306614817E-4</v>
      </c>
      <c r="U125" s="9">
        <f t="shared" si="41"/>
        <v>1.4991769126405669E-4</v>
      </c>
      <c r="V125" s="100">
        <f t="shared" si="46"/>
        <v>0.99813857457234001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246</v>
      </c>
      <c r="C126" s="46" t="s">
        <v>247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1.4729644553070216</v>
      </c>
      <c r="J126" s="54">
        <f t="shared" si="48"/>
        <v>4.8687907701634652</v>
      </c>
      <c r="K126" s="55">
        <f t="shared" si="49"/>
        <v>1.8727343067574564E-2</v>
      </c>
      <c r="L126" s="55">
        <f t="shared" si="50"/>
        <v>0.44324305316944129</v>
      </c>
      <c r="M126" s="55">
        <f t="shared" si="42"/>
        <v>0.55675694683055865</v>
      </c>
      <c r="N126" s="55">
        <f t="shared" si="51"/>
        <v>0.41232483561185801</v>
      </c>
      <c r="O126" s="56">
        <f t="shared" si="43"/>
        <v>1.8743044714518307E-8</v>
      </c>
      <c r="P126" s="56">
        <f t="shared" si="52"/>
        <v>1.3855777842076734E-3</v>
      </c>
      <c r="Q126" s="56">
        <f t="shared" si="53"/>
        <v>9.0769537755117473E-3</v>
      </c>
      <c r="R126" s="9">
        <f t="shared" si="44"/>
        <v>1.4999999999999999E-4</v>
      </c>
      <c r="S126" s="9">
        <f t="shared" si="45"/>
        <v>6.648645797541619E-5</v>
      </c>
      <c r="T126" s="9">
        <f t="shared" si="40"/>
        <v>2.8091014601361844E-6</v>
      </c>
      <c r="U126" s="9">
        <f t="shared" si="41"/>
        <v>8.3513542024583797E-5</v>
      </c>
      <c r="V126" s="100">
        <f t="shared" si="46"/>
        <v>3.3636478492425487E-2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248</v>
      </c>
      <c r="C127" s="46" t="s">
        <v>249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0.12683662687631939</v>
      </c>
      <c r="J127" s="54">
        <f t="shared" si="48"/>
        <v>2.669397404558385</v>
      </c>
      <c r="K127" s="55">
        <f t="shared" si="49"/>
        <v>0.67140587540396157</v>
      </c>
      <c r="L127" s="55">
        <f t="shared" si="50"/>
        <v>0.10040550922716013</v>
      </c>
      <c r="M127" s="55">
        <f t="shared" si="42"/>
        <v>0.89959449077283993</v>
      </c>
      <c r="N127" s="55">
        <f t="shared" si="51"/>
        <v>7.3611974238795605E-2</v>
      </c>
      <c r="O127" s="56">
        <f t="shared" si="43"/>
        <v>6.7196880512514563E-7</v>
      </c>
      <c r="P127" s="56">
        <f t="shared" si="52"/>
        <v>3.1386762184410253E-4</v>
      </c>
      <c r="Q127" s="56">
        <f t="shared" si="53"/>
        <v>1.6205002216230638E-3</v>
      </c>
      <c r="R127" s="9">
        <f t="shared" si="44"/>
        <v>1.4999999999999999E-4</v>
      </c>
      <c r="S127" s="9">
        <f t="shared" si="45"/>
        <v>1.5060826384074018E-5</v>
      </c>
      <c r="T127" s="9">
        <f t="shared" si="40"/>
        <v>1.0071088131059422E-4</v>
      </c>
      <c r="U127" s="9">
        <f t="shared" si="41"/>
        <v>1.3493917361592599E-4</v>
      </c>
      <c r="V127" s="100">
        <f t="shared" si="46"/>
        <v>0.74634280477546955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250</v>
      </c>
      <c r="C128" s="46" t="s">
        <v>251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0.56658503951123784</v>
      </c>
      <c r="J128" s="54">
        <f t="shared" ref="J128:J134" si="55">IF(D128=0,"",LOG($K$21*10^D128+$K$22*10^E128+$K$20))</f>
        <v>3.5881322653047101</v>
      </c>
      <c r="K128" s="55">
        <f t="shared" ref="K128:K134" si="56">IF(D128=0,"",1/(1+10^D128*$J$15/$J$14+10^E128*$J$16/$J$14+10^J128*$J$19/$J$14))</f>
        <v>0.20290532011648868</v>
      </c>
      <c r="L128" s="55">
        <f t="shared" ref="L128:L134" si="57">IF(D128=0,"",1/(1+10^I128/10^J128*$J$13/$J$19))</f>
        <v>0.25165218218536872</v>
      </c>
      <c r="M128" s="55">
        <f t="shared" ref="M128:M134" si="58">IF(D128=0,"",1-L128)</f>
        <v>0.74834781781463122</v>
      </c>
      <c r="N128" s="55">
        <f t="shared" ref="N128:N134" si="59">IF(D128=0,"",1/(1/10^E128*$J$20/$J$22+10^D128/10^E128*$J$21/$J$22+10^I128/10^E128*$J$13/$J$22+1))</f>
        <v>0.18972727966320976</v>
      </c>
      <c r="O128" s="56">
        <f t="shared" ref="O128:O134" si="60">IF(D128=0,"",F128*K128*$J$7/$J$14)</f>
        <v>2.0307544289834729E-7</v>
      </c>
      <c r="P128" s="56">
        <f t="shared" ref="P128:P134" si="61">IF(D128=0,"",O128*10^J128)</f>
        <v>7.866647215114623E-4</v>
      </c>
      <c r="Q128" s="56">
        <f t="shared" ref="Q128:Q134" si="62">IF(D128=0,"",F128*N128*$J$7/$J$22)</f>
        <v>4.1766723677971393E-3</v>
      </c>
      <c r="R128" s="9">
        <f t="shared" si="44"/>
        <v>1.4999999999999999E-4</v>
      </c>
      <c r="S128" s="9">
        <f t="shared" si="45"/>
        <v>3.7747827327805307E-5</v>
      </c>
      <c r="T128" s="9">
        <f t="shared" si="40"/>
        <v>3.0435798017473299E-5</v>
      </c>
      <c r="U128" s="9">
        <f t="shared" si="41"/>
        <v>1.1225217267219468E-4</v>
      </c>
      <c r="V128" s="100">
        <f t="shared" si="46"/>
        <v>0.27113771870014214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252</v>
      </c>
      <c r="C129" s="46" t="s">
        <v>253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-2.135446795447277E-4</v>
      </c>
      <c r="J129" s="54">
        <f t="shared" si="55"/>
        <v>-0.19937710602079342</v>
      </c>
      <c r="K129" s="55">
        <f t="shared" si="56"/>
        <v>0.99977132160658422</v>
      </c>
      <c r="L129" s="55">
        <f t="shared" si="57"/>
        <v>2.0225467553028163E-4</v>
      </c>
      <c r="M129" s="55">
        <f t="shared" si="58"/>
        <v>0.99979774532446974</v>
      </c>
      <c r="N129" s="55">
        <f t="shared" si="59"/>
        <v>2.4201738177518107E-7</v>
      </c>
      <c r="O129" s="56">
        <f t="shared" si="60"/>
        <v>1.0006095641837456E-6</v>
      </c>
      <c r="P129" s="56">
        <f t="shared" si="61"/>
        <v>6.3224811570766025E-7</v>
      </c>
      <c r="Q129" s="56">
        <f t="shared" si="62"/>
        <v>5.3277910945719442E-9</v>
      </c>
      <c r="R129" s="9">
        <f t="shared" si="44"/>
        <v>1.4999999999999999E-4</v>
      </c>
      <c r="S129" s="9">
        <f t="shared" si="45"/>
        <v>3.0338201329542242E-8</v>
      </c>
      <c r="T129" s="9">
        <f t="shared" si="40"/>
        <v>1.4996569824098763E-4</v>
      </c>
      <c r="U129" s="9">
        <f t="shared" si="41"/>
        <v>1.4996966179867046E-4</v>
      </c>
      <c r="V129" s="100">
        <f t="shared" si="46"/>
        <v>0.99997357093671291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254</v>
      </c>
      <c r="C130" s="46" t="s">
        <v>255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3.4815258927436928E-2</v>
      </c>
      <c r="J130" s="54">
        <f t="shared" si="55"/>
        <v>1.957929354072679</v>
      </c>
      <c r="K130" s="55">
        <f t="shared" si="56"/>
        <v>0.89840153130201927</v>
      </c>
      <c r="L130" s="55">
        <f t="shared" si="57"/>
        <v>2.6108074224829352E-2</v>
      </c>
      <c r="M130" s="55">
        <f t="shared" si="58"/>
        <v>0.9738919257751707</v>
      </c>
      <c r="N130" s="55">
        <f t="shared" si="59"/>
        <v>1.5991567985803021E-2</v>
      </c>
      <c r="O130" s="56">
        <f t="shared" si="60"/>
        <v>8.9915478196909577E-7</v>
      </c>
      <c r="P130" s="56">
        <f t="shared" si="61"/>
        <v>8.1613840026816545E-5</v>
      </c>
      <c r="Q130" s="56">
        <f t="shared" si="62"/>
        <v>3.520397290395792E-4</v>
      </c>
      <c r="R130" s="9">
        <f t="shared" si="44"/>
        <v>1.4999999999999999E-4</v>
      </c>
      <c r="S130" s="9">
        <f t="shared" si="45"/>
        <v>3.9162111337244024E-6</v>
      </c>
      <c r="T130" s="9">
        <f t="shared" si="40"/>
        <v>1.3476022969530289E-4</v>
      </c>
      <c r="U130" s="9">
        <f t="shared" si="41"/>
        <v>1.4608378886627558E-4</v>
      </c>
      <c r="V130" s="100">
        <f t="shared" si="46"/>
        <v>0.92248586062250726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256</v>
      </c>
      <c r="C131" s="46" t="s">
        <v>257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4.8235239734115414E-4</v>
      </c>
      <c r="J131" s="54">
        <f t="shared" si="55"/>
        <v>0.21801564157044254</v>
      </c>
      <c r="K131" s="55">
        <f t="shared" si="56"/>
        <v>0.99784561176414865</v>
      </c>
      <c r="L131" s="55">
        <f t="shared" si="57"/>
        <v>5.2778129509091954E-4</v>
      </c>
      <c r="M131" s="55">
        <f t="shared" si="58"/>
        <v>0.9994722187049091</v>
      </c>
      <c r="N131" s="55">
        <f t="shared" si="59"/>
        <v>8.0914560555410959E-5</v>
      </c>
      <c r="O131" s="56">
        <f t="shared" si="60"/>
        <v>9.9868223976010885E-7</v>
      </c>
      <c r="P131" s="56">
        <f t="shared" si="61"/>
        <v>1.6498443284542146E-6</v>
      </c>
      <c r="Q131" s="56">
        <f t="shared" si="62"/>
        <v>1.7812599739170048E-6</v>
      </c>
      <c r="R131" s="9">
        <f t="shared" si="44"/>
        <v>1.4999999999999999E-4</v>
      </c>
      <c r="S131" s="9">
        <f t="shared" si="45"/>
        <v>7.9167194263637919E-8</v>
      </c>
      <c r="T131" s="9">
        <f t="shared" si="40"/>
        <v>1.4967684176462229E-4</v>
      </c>
      <c r="U131" s="9">
        <f t="shared" si="41"/>
        <v>1.4992083280573635E-4</v>
      </c>
      <c r="V131" s="100">
        <f t="shared" si="46"/>
        <v>0.99837253411318605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258</v>
      </c>
      <c r="C132" s="46" t="s">
        <v>259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1.6296434031808995E-3</v>
      </c>
      <c r="J132" s="54">
        <f t="shared" si="55"/>
        <v>0.55608247089775453</v>
      </c>
      <c r="K132" s="55">
        <f t="shared" si="56"/>
        <v>0.99459767191908466</v>
      </c>
      <c r="L132" s="55">
        <f t="shared" si="57"/>
        <v>1.145789690787718E-3</v>
      </c>
      <c r="M132" s="55">
        <f t="shared" si="58"/>
        <v>0.99885421030921229</v>
      </c>
      <c r="N132" s="55">
        <f t="shared" si="59"/>
        <v>3.0934062004030834E-4</v>
      </c>
      <c r="O132" s="56">
        <f t="shared" si="60"/>
        <v>9.9543157673084545E-7</v>
      </c>
      <c r="P132" s="56">
        <f t="shared" si="61"/>
        <v>3.581738573402408E-6</v>
      </c>
      <c r="Q132" s="56">
        <f t="shared" si="62"/>
        <v>6.8098505510281966E-6</v>
      </c>
      <c r="R132" s="9">
        <f t="shared" si="44"/>
        <v>1.4999999999999999E-4</v>
      </c>
      <c r="S132" s="9">
        <f t="shared" si="45"/>
        <v>1.7186845361815767E-7</v>
      </c>
      <c r="T132" s="9">
        <f t="shared" si="40"/>
        <v>1.4918965078786268E-4</v>
      </c>
      <c r="U132" s="9">
        <f t="shared" si="41"/>
        <v>1.4982813154638182E-4</v>
      </c>
      <c r="V132" s="100">
        <f t="shared" si="46"/>
        <v>0.99573857891752793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260</v>
      </c>
      <c r="C133" s="46" t="s">
        <v>261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0.18829844715874175</v>
      </c>
      <c r="J133" s="54">
        <f t="shared" si="55"/>
        <v>2.9086838751373172</v>
      </c>
      <c r="K133" s="55">
        <f t="shared" si="56"/>
        <v>0.55462718825960555</v>
      </c>
      <c r="L133" s="55">
        <f t="shared" si="57"/>
        <v>0.14389974737443523</v>
      </c>
      <c r="M133" s="55">
        <f t="shared" si="58"/>
        <v>0.85610025262556477</v>
      </c>
      <c r="N133" s="55">
        <f t="shared" si="59"/>
        <v>0.11031474013345735</v>
      </c>
      <c r="O133" s="56">
        <f t="shared" si="60"/>
        <v>5.5509220672293106E-7</v>
      </c>
      <c r="P133" s="56">
        <f t="shared" si="61"/>
        <v>4.4983061029248454E-4</v>
      </c>
      <c r="Q133" s="56">
        <f t="shared" si="62"/>
        <v>2.4284780116703361E-3</v>
      </c>
      <c r="R133" s="9">
        <f t="shared" si="44"/>
        <v>1.4999999999999999E-4</v>
      </c>
      <c r="S133" s="9">
        <f t="shared" si="45"/>
        <v>2.1584962106165284E-5</v>
      </c>
      <c r="T133" s="9">
        <f t="shared" si="40"/>
        <v>8.3194078238940829E-5</v>
      </c>
      <c r="U133" s="9">
        <f t="shared" si="41"/>
        <v>1.2841503789383471E-4</v>
      </c>
      <c r="V133" s="100">
        <f t="shared" si="46"/>
        <v>0.64785308327923663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262</v>
      </c>
      <c r="C134" s="46" t="s">
        <v>263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-2.2139482595652795E-4</v>
      </c>
      <c r="J134" s="54">
        <f t="shared" si="55"/>
        <v>-0.20599844026673031</v>
      </c>
      <c r="K134" s="55">
        <f t="shared" si="56"/>
        <v>0.99979244925616295</v>
      </c>
      <c r="L134" s="55">
        <f t="shared" si="57"/>
        <v>1.9919866035023262E-4</v>
      </c>
      <c r="M134" s="55">
        <f t="shared" si="58"/>
        <v>0.99980080133964977</v>
      </c>
      <c r="N134" s="55">
        <f t="shared" si="59"/>
        <v>4.7218727345475712E-8</v>
      </c>
      <c r="O134" s="56">
        <f t="shared" si="60"/>
        <v>1.0006307095474705E-6</v>
      </c>
      <c r="P134" s="56">
        <f t="shared" si="61"/>
        <v>6.2269501225482753E-7</v>
      </c>
      <c r="Q134" s="56">
        <f t="shared" si="62"/>
        <v>1.0394770540982894E-9</v>
      </c>
      <c r="R134" s="9">
        <f t="shared" si="44"/>
        <v>1.4999999999999999E-4</v>
      </c>
      <c r="S134" s="9">
        <f t="shared" si="45"/>
        <v>2.9879799052534888E-8</v>
      </c>
      <c r="T134" s="9">
        <f t="shared" si="40"/>
        <v>1.4996886738842443E-4</v>
      </c>
      <c r="U134" s="9">
        <f t="shared" si="41"/>
        <v>1.4997012020094745E-4</v>
      </c>
      <c r="V134" s="100">
        <f t="shared" si="46"/>
        <v>0.99999164625245784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264</v>
      </c>
      <c r="C135" s="46" t="s">
        <v>265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2.8479282847897803E-3</v>
      </c>
      <c r="J135" s="54">
        <f t="shared" ref="J135:J143" si="64">IF(D135=0,"",LOG($K$21*10^D135+$K$22*10^E135+$K$20))</f>
        <v>0.76802960759012895</v>
      </c>
      <c r="K135" s="55">
        <f t="shared" ref="K135:K143" si="65">IF(D135=0,"",1/(1+10^D135*$J$15/$J$14+10^E135*$J$16/$J$14+10^J135*$J$19/$J$14))</f>
        <v>0.99110231385158376</v>
      </c>
      <c r="L135" s="55">
        <f t="shared" ref="L135:L143" si="66">IF(D135=0,"",1/(1+10^I135/10^J135*$J$13/$J$19))</f>
        <v>1.8600434905961048E-3</v>
      </c>
      <c r="M135" s="55">
        <f t="shared" ref="M135:M143" si="67">IF(D135=0,"",1-L135)</f>
        <v>0.9981399565094039</v>
      </c>
      <c r="N135" s="55">
        <f t="shared" ref="N135:N143" si="68">IF(D135=0,"",1/(1/10^E135*$J$20/$J$22+10^D135/10^E135*$J$21/$J$22+10^I135/10^E135*$J$13/$J$22+1))</f>
        <v>6.2101182205487294E-4</v>
      </c>
      <c r="O135" s="56">
        <f t="shared" ref="O135:O143" si="69">IF(D135=0,"",F135*K135*$J$7/$J$14)</f>
        <v>9.9193328803521839E-7</v>
      </c>
      <c r="P135" s="56">
        <f t="shared" ref="P135:P143" si="70">IF(D135=0,"",O135*10^J135)</f>
        <v>5.8144959516034231E-6</v>
      </c>
      <c r="Q135" s="56">
        <f t="shared" ref="Q135:Q143" si="71">IF(D135=0,"",F135*N135*$J$7/$J$22)</f>
        <v>1.3671006730588262E-5</v>
      </c>
      <c r="R135" s="9">
        <f t="shared" si="44"/>
        <v>1.4999999999999999E-4</v>
      </c>
      <c r="S135" s="9">
        <f t="shared" si="45"/>
        <v>2.7900652358941571E-7</v>
      </c>
      <c r="T135" s="9">
        <f t="shared" si="40"/>
        <v>1.4866534707773756E-4</v>
      </c>
      <c r="U135" s="9">
        <f t="shared" si="41"/>
        <v>1.4972099347641056E-4</v>
      </c>
      <c r="V135" s="100">
        <f t="shared" si="46"/>
        <v>0.99294924262682416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266</v>
      </c>
      <c r="C136" s="46" t="s">
        <v>267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-7.9190837002413863E-5</v>
      </c>
      <c r="J136" s="54">
        <f t="shared" si="64"/>
        <v>-9.1674979358172329E-2</v>
      </c>
      <c r="K136" s="55">
        <f t="shared" si="65"/>
        <v>0.99940526815339048</v>
      </c>
      <c r="L136" s="55">
        <f t="shared" si="66"/>
        <v>2.5908463395849684E-4</v>
      </c>
      <c r="M136" s="55">
        <f t="shared" si="67"/>
        <v>0.99974091536604148</v>
      </c>
      <c r="N136" s="55">
        <f t="shared" si="68"/>
        <v>8.8158475203904135E-6</v>
      </c>
      <c r="O136" s="56">
        <f t="shared" si="69"/>
        <v>1.0002432038187775E-6</v>
      </c>
      <c r="P136" s="56">
        <f t="shared" si="70"/>
        <v>8.0989856575426087E-7</v>
      </c>
      <c r="Q136" s="56">
        <f t="shared" si="71"/>
        <v>1.9407281231507347E-7</v>
      </c>
      <c r="R136" s="9">
        <f t="shared" si="44"/>
        <v>1.4999999999999999E-4</v>
      </c>
      <c r="S136" s="9">
        <f t="shared" si="45"/>
        <v>3.8862695093774522E-8</v>
      </c>
      <c r="T136" s="9">
        <f t="shared" si="40"/>
        <v>1.4991079022300856E-4</v>
      </c>
      <c r="U136" s="9">
        <f t="shared" si="41"/>
        <v>1.4996113730490621E-4</v>
      </c>
      <c r="V136" s="100">
        <f t="shared" si="46"/>
        <v>0.99966426580377765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268</v>
      </c>
      <c r="C137" s="46" t="s">
        <v>269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-2.2462984868396082E-4</v>
      </c>
      <c r="J137" s="54">
        <f t="shared" si="64"/>
        <v>-0.20869004627707902</v>
      </c>
      <c r="K137" s="55">
        <f t="shared" si="65"/>
        <v>0.99980112568000123</v>
      </c>
      <c r="L137" s="55">
        <f t="shared" si="66"/>
        <v>1.9796963221696589E-4</v>
      </c>
      <c r="M137" s="55">
        <f t="shared" si="67"/>
        <v>0.99980203036778303</v>
      </c>
      <c r="N137" s="55">
        <f t="shared" si="68"/>
        <v>2.0078215093554523E-9</v>
      </c>
      <c r="O137" s="56">
        <f t="shared" si="69"/>
        <v>1.00063939324592E-6</v>
      </c>
      <c r="P137" s="56">
        <f t="shared" si="70"/>
        <v>6.1885307031023527E-7</v>
      </c>
      <c r="Q137" s="56">
        <f t="shared" si="71"/>
        <v>4.4200352382008056E-11</v>
      </c>
      <c r="R137" s="9">
        <f t="shared" si="44"/>
        <v>1.4999999999999999E-4</v>
      </c>
      <c r="S137" s="9">
        <f t="shared" si="45"/>
        <v>2.969544483254488E-8</v>
      </c>
      <c r="T137" s="9">
        <f t="shared" si="40"/>
        <v>1.4997016885200017E-4</v>
      </c>
      <c r="U137" s="9">
        <f t="shared" si="41"/>
        <v>1.4997030455516744E-4</v>
      </c>
      <c r="V137" s="100">
        <f t="shared" si="46"/>
        <v>0.99999909513308205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270</v>
      </c>
      <c r="C138" s="46" t="s">
        <v>271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-9.5327662881748492E-5</v>
      </c>
      <c r="J138" s="54">
        <f t="shared" si="64"/>
        <v>-0.103754888158092</v>
      </c>
      <c r="K138" s="55">
        <f t="shared" si="65"/>
        <v>0.99944949703267261</v>
      </c>
      <c r="L138" s="55">
        <f t="shared" si="66"/>
        <v>2.5198864239995878E-4</v>
      </c>
      <c r="M138" s="55">
        <f t="shared" si="67"/>
        <v>0.99974801135760005</v>
      </c>
      <c r="N138" s="55">
        <f t="shared" si="68"/>
        <v>7.4726420911929682E-6</v>
      </c>
      <c r="O138" s="56">
        <f t="shared" si="69"/>
        <v>1.0002874697810696E-6</v>
      </c>
      <c r="P138" s="56">
        <f t="shared" si="70"/>
        <v>7.8771649614227105E-7</v>
      </c>
      <c r="Q138" s="56">
        <f t="shared" si="71"/>
        <v>1.6450337448640296E-7</v>
      </c>
      <c r="R138" s="9">
        <f t="shared" si="44"/>
        <v>1.4999999999999999E-4</v>
      </c>
      <c r="S138" s="9">
        <f t="shared" si="45"/>
        <v>3.7798296359993814E-8</v>
      </c>
      <c r="T138" s="9">
        <f t="shared" si="40"/>
        <v>1.4991742455490087E-4</v>
      </c>
      <c r="U138" s="9">
        <f t="shared" si="41"/>
        <v>1.4996220170363999E-4</v>
      </c>
      <c r="V138" s="100">
        <f t="shared" si="46"/>
        <v>0.99970141043389316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272</v>
      </c>
      <c r="C139" s="46" t="s">
        <v>273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2.1084810301724875E-3</v>
      </c>
      <c r="J139" s="54">
        <f t="shared" si="64"/>
        <v>0.60777493199684651</v>
      </c>
      <c r="K139" s="55">
        <f t="shared" si="65"/>
        <v>0.99335921551645534</v>
      </c>
      <c r="L139" s="55">
        <f t="shared" si="66"/>
        <v>1.2890099160227258E-3</v>
      </c>
      <c r="M139" s="55">
        <f t="shared" si="67"/>
        <v>0.99871099008397723</v>
      </c>
      <c r="N139" s="55">
        <f t="shared" si="68"/>
        <v>2.7266015086190634E-4</v>
      </c>
      <c r="O139" s="56">
        <f t="shared" si="69"/>
        <v>9.9419208196387788E-7</v>
      </c>
      <c r="P139" s="56">
        <f t="shared" si="70"/>
        <v>4.029444997487041E-6</v>
      </c>
      <c r="Q139" s="56">
        <f t="shared" si="71"/>
        <v>6.0023636027768971E-6</v>
      </c>
      <c r="R139" s="9">
        <f t="shared" si="44"/>
        <v>1.4999999999999999E-4</v>
      </c>
      <c r="S139" s="9">
        <f t="shared" si="45"/>
        <v>1.9335148740340885E-7</v>
      </c>
      <c r="T139" s="9">
        <f t="shared" si="40"/>
        <v>1.4900388232746829E-4</v>
      </c>
      <c r="U139" s="9">
        <f t="shared" si="41"/>
        <v>1.4980664851259656E-4</v>
      </c>
      <c r="V139" s="100">
        <f t="shared" si="46"/>
        <v>0.9946413180382927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274</v>
      </c>
      <c r="C140" s="46" t="s">
        <v>275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-2.2206215862113771E-4</v>
      </c>
      <c r="J140" s="54">
        <f t="shared" si="64"/>
        <v>-0.20655706052874306</v>
      </c>
      <c r="K140" s="55">
        <f t="shared" si="65"/>
        <v>0.99979424122903371</v>
      </c>
      <c r="L140" s="55">
        <f t="shared" si="66"/>
        <v>1.98942958241789E-4</v>
      </c>
      <c r="M140" s="55">
        <f t="shared" si="67"/>
        <v>0.99980105704175826</v>
      </c>
      <c r="N140" s="55">
        <f t="shared" si="68"/>
        <v>3.5381525739865064E-8</v>
      </c>
      <c r="O140" s="56">
        <f t="shared" si="69"/>
        <v>1.0006325030227927E-6</v>
      </c>
      <c r="P140" s="56">
        <f t="shared" si="70"/>
        <v>6.2189568746383244E-7</v>
      </c>
      <c r="Q140" s="56">
        <f t="shared" si="71"/>
        <v>7.7889189762548031E-10</v>
      </c>
      <c r="R140" s="9">
        <f t="shared" si="44"/>
        <v>1.4999999999999999E-4</v>
      </c>
      <c r="S140" s="9">
        <f t="shared" si="45"/>
        <v>2.9841443736268349E-8</v>
      </c>
      <c r="T140" s="9">
        <f t="shared" si="40"/>
        <v>1.4996913618435504E-4</v>
      </c>
      <c r="U140" s="9">
        <f t="shared" si="41"/>
        <v>1.4997015855626372E-4</v>
      </c>
      <c r="V140" s="100">
        <f t="shared" si="46"/>
        <v>0.99999318283104766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276</v>
      </c>
      <c r="C141" s="46" t="s">
        <v>277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-2.1765065893421197E-4</v>
      </c>
      <c r="J141" s="54">
        <f t="shared" si="64"/>
        <v>-0.20284834408497376</v>
      </c>
      <c r="K141" s="55">
        <f t="shared" si="65"/>
        <v>0.99978238175129397</v>
      </c>
      <c r="L141" s="55">
        <f t="shared" si="66"/>
        <v>2.006467531339774E-4</v>
      </c>
      <c r="M141" s="55">
        <f t="shared" si="67"/>
        <v>0.99979935324686597</v>
      </c>
      <c r="N141" s="55">
        <f t="shared" si="68"/>
        <v>1.2916176886047346E-7</v>
      </c>
      <c r="O141" s="56">
        <f t="shared" si="69"/>
        <v>1.00062063360166E-6</v>
      </c>
      <c r="P141" s="56">
        <f t="shared" si="70"/>
        <v>6.2722175029681328E-7</v>
      </c>
      <c r="Q141" s="56">
        <f t="shared" si="71"/>
        <v>2.8433780947735217E-9</v>
      </c>
      <c r="R141" s="9">
        <f t="shared" si="44"/>
        <v>1.4999999999999999E-4</v>
      </c>
      <c r="S141" s="9">
        <f t="shared" si="45"/>
        <v>3.0097012970096609E-8</v>
      </c>
      <c r="T141" s="9">
        <f t="shared" si="40"/>
        <v>1.4996735726269407E-4</v>
      </c>
      <c r="U141" s="9">
        <f t="shared" si="41"/>
        <v>1.4996990298702989E-4</v>
      </c>
      <c r="V141" s="100">
        <f t="shared" si="46"/>
        <v>0.99998302509846915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278</v>
      </c>
      <c r="C142" s="46" t="s">
        <v>279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5.0919667310397418E-2</v>
      </c>
      <c r="J142" s="54">
        <f t="shared" si="64"/>
        <v>2.159334202365554</v>
      </c>
      <c r="K142" s="55">
        <f t="shared" si="65"/>
        <v>0.85383471343447936</v>
      </c>
      <c r="L142" s="55">
        <f t="shared" si="66"/>
        <v>3.9453270578984102E-2</v>
      </c>
      <c r="M142" s="55">
        <f t="shared" si="67"/>
        <v>0.96054672942101593</v>
      </c>
      <c r="N142" s="55">
        <f t="shared" si="68"/>
        <v>2.5641281904048192E-2</v>
      </c>
      <c r="O142" s="56">
        <f t="shared" si="69"/>
        <v>8.5455059775241405E-7</v>
      </c>
      <c r="P142" s="56">
        <f t="shared" si="70"/>
        <v>1.2333092382990431E-4</v>
      </c>
      <c r="Q142" s="56">
        <f t="shared" si="71"/>
        <v>5.6446934670461029E-4</v>
      </c>
      <c r="R142" s="9">
        <f t="shared" si="44"/>
        <v>1.4999999999999999E-4</v>
      </c>
      <c r="S142" s="9">
        <f t="shared" si="45"/>
        <v>5.9179905868476151E-6</v>
      </c>
      <c r="T142" s="9">
        <f t="shared" si="40"/>
        <v>1.2807520701517189E-4</v>
      </c>
      <c r="U142" s="9">
        <f t="shared" si="41"/>
        <v>1.4408200941315238E-4</v>
      </c>
      <c r="V142" s="100">
        <f t="shared" si="46"/>
        <v>0.88890491975246344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280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0.38018124000089604</v>
      </c>
      <c r="J143" s="54">
        <f t="shared" si="64"/>
        <v>2.8765866563787141</v>
      </c>
      <c r="K143" s="55">
        <f t="shared" si="65"/>
        <v>0.37849436844016382</v>
      </c>
      <c r="L143" s="55">
        <f t="shared" si="66"/>
        <v>9.1205510724191238E-2</v>
      </c>
      <c r="M143" s="55">
        <f t="shared" si="67"/>
        <v>0.90879448927580875</v>
      </c>
      <c r="N143" s="55">
        <f t="shared" si="68"/>
        <v>7.2530847177015049E-3</v>
      </c>
      <c r="O143" s="56">
        <f t="shared" si="69"/>
        <v>3.7881171110441677E-7</v>
      </c>
      <c r="P143" s="56">
        <f t="shared" si="70"/>
        <v>2.851084265238218E-4</v>
      </c>
      <c r="Q143" s="56">
        <f t="shared" si="71"/>
        <v>1.5967001991221765E-4</v>
      </c>
      <c r="R143" s="9">
        <f t="shared" si="44"/>
        <v>1.4999999999999999E-4</v>
      </c>
      <c r="S143" s="9">
        <f t="shared" si="45"/>
        <v>1.3680826608628684E-5</v>
      </c>
      <c r="T143" s="9">
        <f t="shared" si="40"/>
        <v>5.6774155266024568E-5</v>
      </c>
      <c r="U143" s="9">
        <f t="shared" si="41"/>
        <v>1.3631917339137131E-4</v>
      </c>
      <c r="V143" s="100">
        <f t="shared" si="46"/>
        <v>0.4164796033719072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2025-02-02T14:53:05Z</dcterms:modified>
</cp:coreProperties>
</file>