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31759D38-2D05-4BB1-B685-442E6034F2AA}" xr6:coauthVersionLast="47" xr6:coauthVersionMax="47" xr10:uidLastSave="{00000000-0000-0000-0000-000000000000}"/>
  <bookViews>
    <workbookView minimized="1" xWindow="36510" yWindow="2175" windowWidth="32400" windowHeight="1996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8" i="4" l="1"/>
  <c r="U28" i="4"/>
  <c r="T28" i="4"/>
  <c r="S28" i="4"/>
  <c r="R28" i="4"/>
  <c r="V131" i="4"/>
  <c r="R131" i="4"/>
  <c r="U131" i="4" s="1"/>
  <c r="V130" i="4"/>
  <c r="R130" i="4"/>
  <c r="U130" i="4" s="1"/>
  <c r="V127" i="4"/>
  <c r="U127" i="4"/>
  <c r="R127" i="4"/>
  <c r="T127" i="4" s="1"/>
  <c r="V126" i="4"/>
  <c r="U126" i="4"/>
  <c r="R126" i="4"/>
  <c r="T126" i="4" s="1"/>
  <c r="V124" i="4"/>
  <c r="U124" i="4"/>
  <c r="T124" i="4"/>
  <c r="S124" i="4"/>
  <c r="R124" i="4"/>
  <c r="V121" i="4"/>
  <c r="U121" i="4"/>
  <c r="T121" i="4"/>
  <c r="S121" i="4"/>
  <c r="R121" i="4"/>
  <c r="V120" i="4"/>
  <c r="S120" i="4"/>
  <c r="R120" i="4"/>
  <c r="U120" i="4" s="1"/>
  <c r="V119" i="4"/>
  <c r="U119" i="4"/>
  <c r="T119" i="4"/>
  <c r="S119" i="4"/>
  <c r="R119" i="4"/>
  <c r="V116" i="4"/>
  <c r="U116" i="4"/>
  <c r="S116" i="4"/>
  <c r="R116" i="4"/>
  <c r="T116" i="4" s="1"/>
  <c r="V115" i="4"/>
  <c r="T115" i="4"/>
  <c r="R115" i="4"/>
  <c r="S115" i="4" s="1"/>
  <c r="V114" i="4"/>
  <c r="U114" i="4"/>
  <c r="T114" i="4"/>
  <c r="R114" i="4"/>
  <c r="S114" i="4" s="1"/>
  <c r="V108" i="4"/>
  <c r="T108" i="4"/>
  <c r="R108" i="4"/>
  <c r="U108" i="4" s="1"/>
  <c r="V107" i="4"/>
  <c r="R107" i="4"/>
  <c r="U107" i="4" s="1"/>
  <c r="V93" i="4"/>
  <c r="R93" i="4"/>
  <c r="U93" i="4" s="1"/>
  <c r="V92" i="4"/>
  <c r="U92" i="4"/>
  <c r="R92" i="4"/>
  <c r="T92" i="4" s="1"/>
  <c r="V91" i="4"/>
  <c r="U91" i="4"/>
  <c r="R91" i="4"/>
  <c r="T91" i="4" s="1"/>
  <c r="V90" i="4"/>
  <c r="U90" i="4"/>
  <c r="T90" i="4"/>
  <c r="S90" i="4"/>
  <c r="R90" i="4"/>
  <c r="V89" i="4"/>
  <c r="U89" i="4"/>
  <c r="T89" i="4"/>
  <c r="S89" i="4"/>
  <c r="R89" i="4"/>
  <c r="V88" i="4"/>
  <c r="S88" i="4"/>
  <c r="R88" i="4"/>
  <c r="U88" i="4" s="1"/>
  <c r="V86" i="4"/>
  <c r="U86" i="4"/>
  <c r="T86" i="4"/>
  <c r="S86" i="4"/>
  <c r="R86" i="4"/>
  <c r="V85" i="4"/>
  <c r="S85" i="4"/>
  <c r="R85" i="4"/>
  <c r="U85" i="4" s="1"/>
  <c r="V84" i="4"/>
  <c r="T84" i="4"/>
  <c r="R84" i="4"/>
  <c r="S84" i="4" s="1"/>
  <c r="V83" i="4"/>
  <c r="U83" i="4"/>
  <c r="T83" i="4"/>
  <c r="R83" i="4"/>
  <c r="S83" i="4" s="1"/>
  <c r="V82" i="4"/>
  <c r="T82" i="4"/>
  <c r="R82" i="4"/>
  <c r="U82" i="4" s="1"/>
  <c r="V81" i="4"/>
  <c r="R81" i="4"/>
  <c r="U81" i="4" s="1"/>
  <c r="V80" i="4"/>
  <c r="R80" i="4"/>
  <c r="U80" i="4" s="1"/>
  <c r="V79" i="4"/>
  <c r="U79" i="4"/>
  <c r="R79" i="4"/>
  <c r="T79" i="4" s="1"/>
  <c r="V78" i="4"/>
  <c r="U78" i="4"/>
  <c r="R78" i="4"/>
  <c r="T78" i="4" s="1"/>
  <c r="V77" i="4"/>
  <c r="U77" i="4"/>
  <c r="T77" i="4"/>
  <c r="S77" i="4"/>
  <c r="R77" i="4"/>
  <c r="V76" i="4"/>
  <c r="U76" i="4"/>
  <c r="T76" i="4"/>
  <c r="S76" i="4"/>
  <c r="R76" i="4"/>
  <c r="V75" i="4"/>
  <c r="S75" i="4"/>
  <c r="R75" i="4"/>
  <c r="U75" i="4" s="1"/>
  <c r="V74" i="4"/>
  <c r="U74" i="4"/>
  <c r="T74" i="4"/>
  <c r="S74" i="4"/>
  <c r="R74" i="4"/>
  <c r="V73" i="4"/>
  <c r="S73" i="4"/>
  <c r="R73" i="4"/>
  <c r="U73" i="4" s="1"/>
  <c r="V72" i="4"/>
  <c r="T72" i="4"/>
  <c r="R72" i="4"/>
  <c r="S72" i="4" s="1"/>
  <c r="V71" i="4"/>
  <c r="U71" i="4"/>
  <c r="T71" i="4"/>
  <c r="R71" i="4"/>
  <c r="S71" i="4" s="1"/>
  <c r="V70" i="4"/>
  <c r="T70" i="4"/>
  <c r="R70" i="4"/>
  <c r="U70" i="4" s="1"/>
  <c r="V69" i="4"/>
  <c r="R69" i="4"/>
  <c r="U69" i="4" s="1"/>
  <c r="V68" i="4"/>
  <c r="R68" i="4"/>
  <c r="U68" i="4" s="1"/>
  <c r="V65" i="4"/>
  <c r="U65" i="4"/>
  <c r="R65" i="4"/>
  <c r="T65" i="4" s="1"/>
  <c r="V64" i="4"/>
  <c r="U64" i="4"/>
  <c r="R64" i="4"/>
  <c r="T64" i="4" s="1"/>
  <c r="V63" i="4"/>
  <c r="U63" i="4"/>
  <c r="T63" i="4"/>
  <c r="S63" i="4"/>
  <c r="R63" i="4"/>
  <c r="V62" i="4"/>
  <c r="U62" i="4"/>
  <c r="T62" i="4"/>
  <c r="S62" i="4"/>
  <c r="R62" i="4"/>
  <c r="V61" i="4"/>
  <c r="S61" i="4"/>
  <c r="R61" i="4"/>
  <c r="U61" i="4" s="1"/>
  <c r="V60" i="4"/>
  <c r="U60" i="4"/>
  <c r="T60" i="4"/>
  <c r="S60" i="4"/>
  <c r="R60" i="4"/>
  <c r="V58" i="4"/>
  <c r="S58" i="4"/>
  <c r="R58" i="4"/>
  <c r="U58" i="4" s="1"/>
  <c r="V57" i="4"/>
  <c r="T57" i="4"/>
  <c r="R57" i="4"/>
  <c r="S57" i="4" s="1"/>
  <c r="V49" i="4"/>
  <c r="U49" i="4"/>
  <c r="T49" i="4"/>
  <c r="S49" i="4"/>
  <c r="R49" i="4"/>
  <c r="V48" i="4"/>
  <c r="T48" i="4"/>
  <c r="R48" i="4"/>
  <c r="U48" i="4" s="1"/>
  <c r="V47" i="4"/>
  <c r="R47" i="4"/>
  <c r="U47" i="4" s="1"/>
  <c r="V46" i="4"/>
  <c r="R46" i="4"/>
  <c r="U46" i="4" s="1"/>
  <c r="V45" i="4"/>
  <c r="U45" i="4"/>
  <c r="R45" i="4"/>
  <c r="T45" i="4" s="1"/>
  <c r="V44" i="4"/>
  <c r="U44" i="4"/>
  <c r="R44" i="4"/>
  <c r="T44" i="4" s="1"/>
  <c r="V43" i="4"/>
  <c r="U43" i="4"/>
  <c r="T43" i="4"/>
  <c r="S43" i="4"/>
  <c r="R43" i="4"/>
  <c r="V42" i="4"/>
  <c r="U42" i="4"/>
  <c r="T42" i="4"/>
  <c r="S42" i="4"/>
  <c r="R42" i="4"/>
  <c r="V41" i="4"/>
  <c r="S41" i="4"/>
  <c r="R41" i="4"/>
  <c r="U41" i="4" s="1"/>
  <c r="V40" i="4"/>
  <c r="U40" i="4"/>
  <c r="T40" i="4"/>
  <c r="S40" i="4"/>
  <c r="R40" i="4"/>
  <c r="V39" i="4"/>
  <c r="T39" i="4"/>
  <c r="S39" i="4"/>
  <c r="R39" i="4"/>
  <c r="U39" i="4" s="1"/>
  <c r="V38" i="4"/>
  <c r="T38" i="4"/>
  <c r="R38" i="4"/>
  <c r="S38" i="4" s="1"/>
  <c r="V37" i="4"/>
  <c r="U37" i="4"/>
  <c r="T37" i="4"/>
  <c r="R37" i="4"/>
  <c r="S37" i="4" s="1"/>
  <c r="V36" i="4"/>
  <c r="T36" i="4"/>
  <c r="R36" i="4"/>
  <c r="U36" i="4" s="1"/>
  <c r="V35" i="4"/>
  <c r="R35" i="4"/>
  <c r="U35" i="4" s="1"/>
  <c r="V34" i="4"/>
  <c r="R34" i="4"/>
  <c r="U34" i="4" s="1"/>
  <c r="V33" i="4"/>
  <c r="U33" i="4"/>
  <c r="R33" i="4"/>
  <c r="T33" i="4" s="1"/>
  <c r="V32" i="4"/>
  <c r="U32" i="4"/>
  <c r="R32" i="4"/>
  <c r="T32" i="4" s="1"/>
  <c r="V31" i="4"/>
  <c r="U31" i="4"/>
  <c r="T31" i="4"/>
  <c r="S31" i="4"/>
  <c r="R31" i="4"/>
  <c r="V30" i="4"/>
  <c r="U30" i="4"/>
  <c r="T30" i="4"/>
  <c r="S30" i="4"/>
  <c r="R30" i="4"/>
  <c r="V29" i="4"/>
  <c r="S29" i="4"/>
  <c r="R29" i="4"/>
  <c r="U29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36" i="4" l="1"/>
  <c r="U38" i="4"/>
  <c r="S48" i="4"/>
  <c r="U57" i="4"/>
  <c r="S70" i="4"/>
  <c r="U72" i="4"/>
  <c r="S82" i="4"/>
  <c r="U84" i="4"/>
  <c r="S108" i="4"/>
  <c r="U115" i="4"/>
  <c r="T29" i="4"/>
  <c r="S34" i="4"/>
  <c r="T41" i="4"/>
  <c r="S46" i="4"/>
  <c r="T61" i="4"/>
  <c r="S68" i="4"/>
  <c r="T75" i="4"/>
  <c r="S80" i="4"/>
  <c r="T88" i="4"/>
  <c r="S93" i="4"/>
  <c r="T120" i="4"/>
  <c r="S130" i="4"/>
  <c r="T34" i="4"/>
  <c r="T46" i="4"/>
  <c r="T68" i="4"/>
  <c r="T80" i="4"/>
  <c r="T93" i="4"/>
  <c r="T130" i="4"/>
  <c r="S32" i="4"/>
  <c r="S44" i="4"/>
  <c r="T58" i="4"/>
  <c r="S64" i="4"/>
  <c r="T73" i="4"/>
  <c r="S78" i="4"/>
  <c r="T85" i="4"/>
  <c r="S91" i="4"/>
  <c r="S126" i="4"/>
  <c r="S35" i="4"/>
  <c r="S47" i="4"/>
  <c r="S69" i="4"/>
  <c r="S81" i="4"/>
  <c r="S107" i="4"/>
  <c r="S131" i="4"/>
  <c r="T35" i="4"/>
  <c r="T47" i="4"/>
  <c r="T69" i="4"/>
  <c r="T81" i="4"/>
  <c r="T107" i="4"/>
  <c r="T131" i="4"/>
  <c r="S33" i="4"/>
  <c r="S45" i="4"/>
  <c r="S65" i="4"/>
  <c r="S79" i="4"/>
  <c r="S92" i="4"/>
  <c r="S127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 s="1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J78" i="4"/>
  <c r="K78" i="4" s="1"/>
  <c r="J115" i="4"/>
  <c r="K115" i="4" s="1"/>
  <c r="O115" i="4" s="1"/>
  <c r="P115" i="4" s="1"/>
  <c r="J99" i="4"/>
  <c r="K99" i="4"/>
  <c r="J83" i="4"/>
  <c r="K83" i="4" s="1"/>
  <c r="J102" i="4"/>
  <c r="K102" i="4"/>
  <c r="J74" i="4"/>
  <c r="K74" i="4"/>
  <c r="J125" i="4"/>
  <c r="K125" i="4"/>
  <c r="J109" i="4"/>
  <c r="K109" i="4"/>
  <c r="J93" i="4"/>
  <c r="K93" i="4" s="1"/>
  <c r="J77" i="4"/>
  <c r="K77" i="4" s="1"/>
  <c r="J112" i="4"/>
  <c r="K112" i="4"/>
  <c r="J96" i="4"/>
  <c r="K96" i="4"/>
  <c r="J80" i="4"/>
  <c r="K80" i="4" s="1"/>
  <c r="J106" i="4"/>
  <c r="K106" i="4"/>
  <c r="J127" i="4"/>
  <c r="K127" i="4" s="1"/>
  <c r="O127" i="4" s="1"/>
  <c r="P127" i="4" s="1"/>
  <c r="J111" i="4"/>
  <c r="K111" i="4"/>
  <c r="J95" i="4"/>
  <c r="K95" i="4" s="1"/>
  <c r="J79" i="4"/>
  <c r="K79" i="4"/>
  <c r="J126" i="4"/>
  <c r="K126" i="4"/>
  <c r="O126" i="4" s="1"/>
  <c r="P126" i="4" s="1"/>
  <c r="J94" i="4"/>
  <c r="K94" i="4" s="1"/>
  <c r="J121" i="4"/>
  <c r="K121" i="4" s="1"/>
  <c r="O121" i="4" s="1"/>
  <c r="P121" i="4" s="1"/>
  <c r="J105" i="4"/>
  <c r="K105" i="4"/>
  <c r="J89" i="4"/>
  <c r="K89" i="4" s="1"/>
  <c r="J73" i="4"/>
  <c r="K73" i="4" s="1"/>
  <c r="J124" i="4"/>
  <c r="K124" i="4"/>
  <c r="O124" i="4" s="1"/>
  <c r="P124" i="4" s="1"/>
  <c r="J108" i="4"/>
  <c r="K108" i="4"/>
  <c r="O108" i="4" s="1"/>
  <c r="P108" i="4" s="1"/>
  <c r="J92" i="4"/>
  <c r="K92" i="4"/>
  <c r="J76" i="4"/>
  <c r="K76" i="4"/>
  <c r="J98" i="4"/>
  <c r="K98" i="4"/>
  <c r="J123" i="4"/>
  <c r="K123" i="4"/>
  <c r="J107" i="4"/>
  <c r="K107" i="4"/>
  <c r="J91" i="4"/>
  <c r="K91" i="4"/>
  <c r="O91" i="4" s="1"/>
  <c r="P91" i="4" s="1"/>
  <c r="J75" i="4"/>
  <c r="K75" i="4"/>
  <c r="P100" i="4"/>
  <c r="O107" i="4"/>
  <c r="P107" i="4" s="1"/>
  <c r="O112" i="4"/>
  <c r="P112" i="4"/>
  <c r="O98" i="4"/>
  <c r="P98" i="4"/>
  <c r="O105" i="4"/>
  <c r="P105" i="4"/>
  <c r="O111" i="4"/>
  <c r="P111" i="4"/>
  <c r="O104" i="4"/>
  <c r="P104" i="4"/>
  <c r="O96" i="4"/>
  <c r="P96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4" i="4"/>
  <c r="P114" i="4" s="1"/>
  <c r="O113" i="4"/>
  <c r="P113" i="4"/>
  <c r="O71" i="4"/>
  <c r="P71" i="4"/>
  <c r="O103" i="4"/>
  <c r="P103" i="4"/>
  <c r="O122" i="4"/>
  <c r="P122" i="4"/>
  <c r="O123" i="4"/>
  <c r="P123" i="4"/>
  <c r="O125" i="4"/>
  <c r="P125" i="4"/>
  <c r="O99" i="4"/>
  <c r="P99" i="4"/>
  <c r="O101" i="4"/>
  <c r="P101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L92" i="4" s="1"/>
  <c r="I100" i="4"/>
  <c r="I103" i="4"/>
  <c r="I107" i="4"/>
  <c r="I109" i="4"/>
  <c r="I110" i="4"/>
  <c r="I117" i="4"/>
  <c r="I124" i="4"/>
  <c r="I72" i="4"/>
  <c r="I106" i="4"/>
  <c r="I71" i="4"/>
  <c r="N71" i="4" s="1"/>
  <c r="Q71" i="4" s="1"/>
  <c r="I75" i="4"/>
  <c r="L75" i="4" s="1"/>
  <c r="I80" i="4"/>
  <c r="L80" i="4" s="1"/>
  <c r="I83" i="4"/>
  <c r="L83" i="4" s="1"/>
  <c r="I86" i="4"/>
  <c r="I88" i="4"/>
  <c r="N88" i="4" s="1"/>
  <c r="Q88" i="4" s="1"/>
  <c r="I94" i="4"/>
  <c r="I95" i="4"/>
  <c r="I98" i="4"/>
  <c r="I101" i="4"/>
  <c r="I118" i="4"/>
  <c r="I127" i="4"/>
  <c r="I73" i="4"/>
  <c r="N73" i="4" s="1"/>
  <c r="Q73" i="4" s="1"/>
  <c r="I74" i="4"/>
  <c r="I78" i="4"/>
  <c r="N78" i="4" s="1"/>
  <c r="Q78" i="4" s="1"/>
  <c r="I82" i="4"/>
  <c r="L82" i="4" s="1"/>
  <c r="I85" i="4"/>
  <c r="I93" i="4"/>
  <c r="N93" i="4" s="1"/>
  <c r="Q93" i="4" s="1"/>
  <c r="I112" i="4"/>
  <c r="I114" i="4"/>
  <c r="I121" i="4"/>
  <c r="I122" i="4"/>
  <c r="I84" i="4"/>
  <c r="L84" i="4" s="1"/>
  <c r="I87" i="4"/>
  <c r="L87" i="4" s="1"/>
  <c r="I91" i="4"/>
  <c r="N91" i="4" s="1"/>
  <c r="Q91" i="4" s="1"/>
  <c r="I97" i="4"/>
  <c r="L97" i="4" s="1"/>
  <c r="I105" i="4"/>
  <c r="I116" i="4"/>
  <c r="I126" i="4"/>
  <c r="L105" i="4"/>
  <c r="N105" i="4"/>
  <c r="Q105" i="4"/>
  <c r="N121" i="4"/>
  <c r="Q121" i="4"/>
  <c r="N85" i="4"/>
  <c r="Q85" i="4" s="1"/>
  <c r="L85" i="4"/>
  <c r="N101" i="4"/>
  <c r="Q101" i="4"/>
  <c r="L101" i="4"/>
  <c r="N75" i="4"/>
  <c r="Q75" i="4" s="1"/>
  <c r="L106" i="4"/>
  <c r="N106" i="4"/>
  <c r="Q106" i="4"/>
  <c r="L124" i="4"/>
  <c r="M124" i="4" s="1"/>
  <c r="N124" i="4"/>
  <c r="Q124" i="4" s="1"/>
  <c r="N107" i="4"/>
  <c r="Q107" i="4"/>
  <c r="L107" i="4"/>
  <c r="M107" i="4" s="1"/>
  <c r="N79" i="4"/>
  <c r="Q79" i="4" s="1"/>
  <c r="L79" i="4"/>
  <c r="N119" i="4"/>
  <c r="Q119" i="4"/>
  <c r="L119" i="4"/>
  <c r="M119" i="4" s="1"/>
  <c r="N108" i="4"/>
  <c r="Q108" i="4" s="1"/>
  <c r="L108" i="4"/>
  <c r="M108" i="4" s="1"/>
  <c r="L96" i="4"/>
  <c r="N96" i="4"/>
  <c r="Q96" i="4" s="1"/>
  <c r="N77" i="4"/>
  <c r="Q77" i="4" s="1"/>
  <c r="L77" i="4"/>
  <c r="N114" i="4"/>
  <c r="Q114" i="4" s="1"/>
  <c r="L114" i="4"/>
  <c r="M114" i="4" s="1"/>
  <c r="N98" i="4"/>
  <c r="Q98" i="4"/>
  <c r="L98" i="4"/>
  <c r="N86" i="4"/>
  <c r="Q86" i="4" s="1"/>
  <c r="L86" i="4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 s="1"/>
  <c r="L104" i="4"/>
  <c r="N104" i="4"/>
  <c r="Q104" i="4"/>
  <c r="N90" i="4"/>
  <c r="Q90" i="4" s="1"/>
  <c r="L90" i="4"/>
  <c r="N76" i="4"/>
  <c r="Q76" i="4" s="1"/>
  <c r="L76" i="4"/>
  <c r="N126" i="4"/>
  <c r="Q126" i="4" s="1"/>
  <c r="L126" i="4"/>
  <c r="M126" i="4" s="1"/>
  <c r="L112" i="4"/>
  <c r="N112" i="4"/>
  <c r="Q112" i="4"/>
  <c r="L78" i="4"/>
  <c r="L127" i="4"/>
  <c r="M127" i="4" s="1"/>
  <c r="N127" i="4"/>
  <c r="Q127" i="4" s="1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 s="1"/>
  <c r="L89" i="4"/>
  <c r="N116" i="4"/>
  <c r="Q116" i="4" s="1"/>
  <c r="L116" i="4"/>
  <c r="M116" i="4" s="1"/>
  <c r="N87" i="4"/>
  <c r="Q87" i="4" s="1"/>
  <c r="N122" i="4"/>
  <c r="Q122" i="4"/>
  <c r="L122" i="4"/>
  <c r="N74" i="4"/>
  <c r="Q74" i="4" s="1"/>
  <c r="L74" i="4"/>
  <c r="N118" i="4"/>
  <c r="Q118" i="4"/>
  <c r="L118" i="4"/>
  <c r="L94" i="4"/>
  <c r="N94" i="4"/>
  <c r="Q94" i="4" s="1"/>
  <c r="N109" i="4"/>
  <c r="Q109" i="4"/>
  <c r="L109" i="4"/>
  <c r="N92" i="4"/>
  <c r="Q92" i="4" s="1"/>
  <c r="N120" i="4"/>
  <c r="Q120" i="4"/>
  <c r="L120" i="4"/>
  <c r="M120" i="4" s="1"/>
  <c r="N111" i="4"/>
  <c r="Q111" i="4"/>
  <c r="L111" i="4"/>
  <c r="N99" i="4"/>
  <c r="Q99" i="4"/>
  <c r="L99" i="4"/>
  <c r="L81" i="4"/>
  <c r="N81" i="4"/>
  <c r="Q81" i="4" s="1"/>
  <c r="M80" i="4" l="1"/>
  <c r="M92" i="4"/>
  <c r="O83" i="4"/>
  <c r="P83" i="4" s="1"/>
  <c r="M75" i="4"/>
  <c r="O93" i="4"/>
  <c r="P93" i="4" s="1"/>
  <c r="O73" i="4"/>
  <c r="P73" i="4" s="1"/>
  <c r="O77" i="4"/>
  <c r="P77" i="4" s="1"/>
  <c r="M90" i="4"/>
  <c r="M97" i="4"/>
  <c r="O94" i="4"/>
  <c r="P94" i="4" s="1"/>
  <c r="O80" i="4"/>
  <c r="P80" i="4" s="1"/>
  <c r="O78" i="4"/>
  <c r="P78" i="4" s="1"/>
  <c r="L121" i="4"/>
  <c r="M121" i="4" s="1"/>
  <c r="M87" i="4"/>
  <c r="O82" i="4"/>
  <c r="P82" i="4" s="1"/>
  <c r="M78" i="4"/>
  <c r="L91" i="4"/>
  <c r="M91" i="4" s="1"/>
  <c r="M84" i="4"/>
  <c r="O79" i="4"/>
  <c r="P79" i="4" s="1"/>
  <c r="O84" i="4"/>
  <c r="P84" i="4" s="1"/>
  <c r="O72" i="4"/>
  <c r="P72" i="4" s="1"/>
  <c r="M85" i="4"/>
  <c r="O92" i="4"/>
  <c r="P92" i="4" s="1"/>
  <c r="N80" i="4"/>
  <c r="Q80" i="4" s="1"/>
  <c r="M95" i="4"/>
  <c r="M89" i="4"/>
  <c r="L115" i="4"/>
  <c r="M115" i="4" s="1"/>
  <c r="N84" i="4"/>
  <c r="Q84" i="4" s="1"/>
  <c r="O95" i="4"/>
  <c r="P95" i="4" s="1"/>
  <c r="M79" i="4"/>
  <c r="M81" i="4"/>
  <c r="M72" i="4"/>
  <c r="O74" i="4"/>
  <c r="P74" i="4" s="1"/>
  <c r="O87" i="4"/>
  <c r="P87" i="4" s="1"/>
  <c r="M77" i="4"/>
  <c r="O75" i="4"/>
  <c r="P75" i="4" s="1"/>
  <c r="M94" i="4"/>
  <c r="L71" i="4"/>
  <c r="M71" i="4" s="1"/>
  <c r="O89" i="4"/>
  <c r="P89" i="4" s="1"/>
  <c r="O88" i="4"/>
  <c r="P88" i="4" s="1"/>
  <c r="O90" i="4"/>
  <c r="P90" i="4" s="1"/>
  <c r="O85" i="4"/>
  <c r="P85" i="4" s="1"/>
  <c r="M76" i="4"/>
  <c r="O76" i="4"/>
  <c r="P76" i="4" s="1"/>
  <c r="O81" i="4"/>
  <c r="P81" i="4" s="1"/>
  <c r="O86" i="4"/>
  <c r="P86" i="4" s="1"/>
  <c r="M74" i="4"/>
  <c r="M86" i="4"/>
  <c r="M96" i="4"/>
  <c r="L73" i="4"/>
  <c r="M82" i="4"/>
  <c r="M83" i="4"/>
  <c r="O97" i="4"/>
  <c r="P97" i="4" s="1"/>
  <c r="N97" i="4"/>
  <c r="Q97" i="4" s="1"/>
  <c r="L93" i="4"/>
  <c r="L88" i="4"/>
  <c r="N82" i="4"/>
  <c r="Q82" i="4" s="1"/>
  <c r="J14" i="4"/>
  <c r="J13" i="4" s="1"/>
  <c r="K16" i="4" s="1"/>
  <c r="M73" i="4" l="1"/>
  <c r="M93" i="4"/>
  <c r="M88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M58" i="4"/>
  <c r="O65" i="4"/>
  <c r="P65" i="4" s="1"/>
  <c r="O64" i="4"/>
  <c r="P64" i="4" s="1"/>
  <c r="M65" i="4"/>
  <c r="O69" i="4"/>
  <c r="P69" i="4" s="1"/>
  <c r="M66" i="4"/>
  <c r="O67" i="4"/>
  <c r="P67" i="4" s="1"/>
  <c r="M67" i="4"/>
  <c r="M68" i="4"/>
  <c r="M69" i="4"/>
  <c r="M57" i="4"/>
  <c r="O68" i="4"/>
  <c r="P68" i="4" s="1"/>
  <c r="O66" i="4"/>
  <c r="P66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J39" i="4" s="1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J30" i="4"/>
  <c r="J43" i="4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K30" i="4"/>
  <c r="L30" i="4"/>
  <c r="O48" i="4" l="1"/>
  <c r="P48" i="4" s="1"/>
  <c r="M48" i="4"/>
  <c r="O49" i="4"/>
  <c r="P49" i="4" s="1"/>
  <c r="M49" i="4"/>
  <c r="K35" i="4"/>
  <c r="K44" i="4"/>
  <c r="M45" i="4"/>
  <c r="O43" i="4"/>
  <c r="P43" i="4" s="1"/>
  <c r="O39" i="4"/>
  <c r="P39" i="4" s="1"/>
  <c r="M44" i="4"/>
  <c r="O30" i="4"/>
  <c r="P30" i="4" s="1"/>
  <c r="O45" i="4"/>
  <c r="P45" i="4" s="1"/>
  <c r="M31" i="4"/>
  <c r="M35" i="4"/>
  <c r="O33" i="4"/>
  <c r="P33" i="4" s="1"/>
  <c r="M39" i="4"/>
  <c r="O47" i="4"/>
  <c r="P47" i="4" s="1"/>
  <c r="K36" i="4"/>
  <c r="O28" i="4"/>
  <c r="P28" i="4" s="1"/>
  <c r="M43" i="4"/>
  <c r="O41" i="4"/>
  <c r="P41" i="4" s="1"/>
  <c r="M47" i="4"/>
  <c r="O31" i="4"/>
  <c r="P31" i="4" s="1"/>
  <c r="O46" i="4"/>
  <c r="P46" i="4" s="1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4" i="4" l="1"/>
  <c r="P44" i="4" s="1"/>
  <c r="O35" i="4"/>
  <c r="P35" i="4" s="1"/>
  <c r="O29" i="4"/>
  <c r="P29" i="4" s="1"/>
  <c r="M33" i="4"/>
  <c r="O37" i="4"/>
  <c r="P37" i="4" s="1"/>
  <c r="O36" i="4"/>
  <c r="P36" i="4" s="1"/>
  <c r="O40" i="4"/>
  <c r="P40" i="4" s="1"/>
  <c r="M41" i="4"/>
  <c r="O32" i="4"/>
  <c r="P32" i="4" s="1"/>
  <c r="M46" i="4"/>
  <c r="O38" i="4"/>
  <c r="P38" i="4" s="1"/>
  <c r="O34" i="4"/>
  <c r="P34" i="4" s="1"/>
  <c r="O42" i="4"/>
  <c r="P42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<sst xmlns="http://schemas.openxmlformats.org/spreadsheetml/2006/main" count="318" uniqueCount="295">
  <si>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</si>
  <si>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</si>
  <si>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</si>
  <si>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</si>
  <si>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</si>
  <si>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</si>
  <si>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</si>
  <si>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</si>
  <si>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</si>
  <si>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</si>
  <si>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</si>
  <si>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</si>
  <si>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</si>
  <si>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</si>
  <si>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</si>
  <si>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</si>
  <si>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</si>
  <si>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</si>
  <si>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</si>
  <si>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</si>
  <si>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</si>
  <si>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</si>
  <si>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</si>
  <si>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</si>
  <si>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</si>
  <si>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</si>
  <si>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</si>
  <si>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</si>
  <si>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</si>
  <si>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</si>
  <si>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</si>
  <si>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</si>
  <si>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</si>
  <si>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</si>
  <si>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</si>
  <si>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</si>
  <si>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</si>
  <si>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</si>
  <si>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</si>
  <si>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</si>
  <si>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</si>
  <si>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</si>
  <si>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</si>
  <si>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</si>
  <si>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</si>
  <si>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</si>
  <si>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</si>
  <si>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</si>
  <si>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</si>
  <si>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</si>
  <si>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</si>
  <si>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</si>
  <si>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</si>
  <si>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</si>
  <si>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</si>
  <si>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</si>
  <si>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</si>
  <si>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</si>
  <si>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</si>
  <si>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</si>
  <si>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</si>
  <si>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</si>
  <si>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</si>
  <si>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</si>
  <si>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</si>
  <si>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</si>
  <si>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</si>
  <si>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</si>
  <si>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</si>
  <si>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</si>
  <si>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</si>
  <si>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</si>
  <si>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</si>
  <si>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</si>
  <si>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</si>
  <si>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</si>
  <si>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</si>
  <si>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</si>
  <si>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</si>
  <si>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</si>
  <si>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</si>
  <si>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</si>
  <si>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</si>
  <si>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</si>
  <si>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</si>
  <si>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</si>
  <si>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</si>
  <si>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</si>
  <si>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</si>
  <si>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</si>
  <si>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</si>
  <si>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</si>
  <si>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</si>
  <si>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</si>
  <si>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</si>
  <si>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</si>
  <si>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</si>
  <si>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</si>
  <si>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</si>
  <si>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</si>
  <si>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</si>
  <si>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</si>
  <si>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</si>
  <si>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</si>
  <si>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</si>
  <si>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</si>
  <si>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</si>
  <si>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</si>
  <si>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</si>
  <si>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</si>
  <si>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</si>
  <si>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</si>
  <si>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Balb/c 3T3</t>
    <phoneticPr fontId="22" type="noConversion"/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</si>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</sst>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3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  <font>
      <sz val="9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1.4831999999999998E-3</v>
      </c>
      <c r="M17" s="81">
        <v>5.7599999999999991E-4</v>
      </c>
      <c r="N17" s="81">
        <v>3.4079999999999994E-4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59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150.048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149.951964</v>
      </c>
      <c r="K8" s="39">
        <f>J8/J7</f>
        <v>0.99935996481126044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8.3519999999999997E-2</v>
      </c>
      <c r="K9" s="39">
        <f>J9/J7</f>
        <v>5.5662188099808057E-4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1.2515999999999999E-2</v>
      </c>
      <c r="K10" s="39">
        <f>J10/J7</f>
        <v>8.3413307741522704E-5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4.8000000000000001E-2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2.9663999999999996E-2</v>
      </c>
      <c r="K20" s="39">
        <f>J20/J19</f>
        <v>0.61799999999999988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1.1519999999999999E-2</v>
      </c>
      <c r="K21" s="39">
        <f>J21/J19</f>
        <v>0.23999999999999996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6.8159999999999991E-3</v>
      </c>
      <c r="K22" s="39">
        <f>J22/J19</f>
        <v>0.14199999999999999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1.352715763119182</v>
      </c>
      <c r="K28" s="95">
        <f t="shared" ref="K28:K47" si="3">IF(D28=0,"",1/(1+10^D28*$J$15/$J$14+10^E28*$J$16/$J$14+10^J28*$J$19/$J$14))</f>
        <v>0.96956195927386801</v>
      </c>
      <c r="L28" s="95">
        <f t="shared" ref="L28:L47" si="4">IF(D28=0,"",1/(1+10^I28/10^J28*$J$13/$J$19))</f>
        <v>6.9930451445456331E-3</v>
      </c>
      <c r="M28" s="95">
        <f t="shared" ref="M28:M47" si="5">IF(D28=0,"",1-L28)</f>
        <v>0.99300695485545432</v>
      </c>
      <c r="N28" s="95">
        <f t="shared" ref="N28:N47" si="6">IF(D28=0,"",1/(1/10^E28*$J$20/$J$22+10^D28/10^E28*$J$21/$J$22+10^I28/10^E28*$J$13/$J$22+1))</f>
        <v>3.5211450289217862E-3</v>
      </c>
      <c r="O28" s="40">
        <f t="shared" ref="O28:O47" si="7">IF(D28=0,"",F28*K28*$J$7/$J$14)</f>
        <v>9.7037487328519734E-7</v>
      </c>
      <c r="P28" s="40">
        <f t="shared" ref="P28:P47" si="8">IF(D28=0,"",O28*10^J28)</f>
        <v>2.1860259121849656E-5</v>
      </c>
      <c r="Q28" s="40">
        <f t="shared" ref="Q28:Q47" si="9">IF(D28=0,"",F28*N28*$J$7/$J$22)</f>
        <v>7.7514784228235956E-5</v>
      </c>
      <c r="R28" s="9">
        <f>F28*$C$14</f>
        <v>1.4999999999999999E-4</v>
      </c>
      <c r="S28" s="9">
        <f>$R28*L28</f>
        <v>1.0489567716818448E-6</v>
      </c>
      <c r="T28" s="9">
        <f>R28*K28</f>
        <v>1.4543429389108018E-4</v>
      </c>
      <c r="U28" s="9">
        <f>$R28*M28</f>
        <v>1.4895104322831815E-4</v>
      </c>
      <c r="V28" s="102">
        <f>K28/M28</f>
        <v>0.97638989790862141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1.7268855172909561</v>
      </c>
      <c r="J29" s="94">
        <f t="shared" si="2"/>
        <v>5.0429475645742867</v>
      </c>
      <c r="K29" s="95">
        <f t="shared" si="3"/>
        <v>1.1275021737259857E-2</v>
      </c>
      <c r="L29" s="95">
        <f t="shared" si="4"/>
        <v>0.39851066960194104</v>
      </c>
      <c r="M29" s="95">
        <f t="shared" si="5"/>
        <v>0.60148933039805896</v>
      </c>
      <c r="N29" s="95">
        <f t="shared" si="6"/>
        <v>0.35104495286461379</v>
      </c>
      <c r="O29" s="40">
        <f t="shared" si="7"/>
        <v>1.128447510231878E-8</v>
      </c>
      <c r="P29" s="40">
        <f t="shared" si="8"/>
        <v>1.245744353175668E-3</v>
      </c>
      <c r="Q29" s="40">
        <f t="shared" si="9"/>
        <v>7.7279332581322727E-3</v>
      </c>
      <c r="R29" s="9">
        <f>F29*$C$14</f>
        <v>1.4999999999999999E-4</v>
      </c>
      <c r="S29" s="9">
        <f t="shared" ref="S29:S49" si="10">$R29*L29</f>
        <v>5.9776600440291148E-5</v>
      </c>
      <c r="T29" s="9">
        <f t="shared" ref="T28:T49" si="11">R29*K29</f>
        <v>1.6912532605889783E-6</v>
      </c>
      <c r="U29" s="9">
        <f t="shared" ref="U28:U49" si="12">$R29*M29</f>
        <v>9.0223399559708839E-5</v>
      </c>
      <c r="V29" s="102">
        <f t="shared" ref="V29:V49" si="13">K29/M29</f>
        <v>1.8745173301408641E-2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4.916346796550199</v>
      </c>
      <c r="J30" s="94">
        <f t="shared" si="2"/>
        <v>8.4572977199279009</v>
      </c>
      <c r="K30" s="95">
        <f t="shared" si="3"/>
        <v>5.7376798586333152E-6</v>
      </c>
      <c r="L30" s="95">
        <f t="shared" si="4"/>
        <v>0.52651292110323011</v>
      </c>
      <c r="M30" s="95">
        <f t="shared" si="5"/>
        <v>0.47348707889676989</v>
      </c>
      <c r="N30" s="95">
        <f t="shared" si="6"/>
        <v>0.52038486636586845</v>
      </c>
      <c r="O30" s="40">
        <f t="shared" si="7"/>
        <v>5.7424905262806905E-12</v>
      </c>
      <c r="P30" s="40">
        <f t="shared" si="8"/>
        <v>1.6458793913686983E-3</v>
      </c>
      <c r="Q30" s="40">
        <f t="shared" si="9"/>
        <v>1.1455796424364121E-2</v>
      </c>
      <c r="R30" s="9">
        <f t="shared" ref="R30:R49" si="14">F30*$C$14</f>
        <v>1.4999999999999999E-4</v>
      </c>
      <c r="S30" s="9">
        <f t="shared" si="10"/>
        <v>7.8976938165484505E-5</v>
      </c>
      <c r="T30" s="9">
        <f t="shared" si="11"/>
        <v>8.6065197879499725E-10</v>
      </c>
      <c r="U30" s="9">
        <f t="shared" si="12"/>
        <v>7.1023061834515482E-5</v>
      </c>
      <c r="V30" s="102">
        <f t="shared" si="13"/>
        <v>1.2117922778383251E-5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0.45156382049297444</v>
      </c>
      <c r="J31" s="94">
        <f t="shared" si="2"/>
        <v>3.5247920710512646</v>
      </c>
      <c r="K31" s="95">
        <f t="shared" si="3"/>
        <v>0.25628229362112392</v>
      </c>
      <c r="L31" s="95">
        <f t="shared" si="4"/>
        <v>0.27471708798192851</v>
      </c>
      <c r="M31" s="95">
        <f t="shared" si="5"/>
        <v>0.72528291201807149</v>
      </c>
      <c r="N31" s="95">
        <f t="shared" si="6"/>
        <v>0.23046286028180951</v>
      </c>
      <c r="O31" s="40">
        <f t="shared" si="7"/>
        <v>2.5649716948887793E-7</v>
      </c>
      <c r="P31" s="40">
        <f t="shared" si="8"/>
        <v>8.5876561703150851E-4</v>
      </c>
      <c r="Q31" s="40">
        <f t="shared" si="9"/>
        <v>5.0734288819784265E-3</v>
      </c>
      <c r="R31" s="9">
        <f t="shared" si="14"/>
        <v>1.4999999999999999E-4</v>
      </c>
      <c r="S31" s="9">
        <f t="shared" si="10"/>
        <v>4.1207563197289275E-5</v>
      </c>
      <c r="T31" s="9">
        <f t="shared" si="11"/>
        <v>3.8442344043168583E-5</v>
      </c>
      <c r="U31" s="9">
        <f t="shared" si="12"/>
        <v>1.0879243680271071E-4</v>
      </c>
      <c r="V31" s="102">
        <f t="shared" si="13"/>
        <v>0.35335493139915347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2.9114243406645759</v>
      </c>
      <c r="J32" s="94">
        <f t="shared" si="2"/>
        <v>6.2446121134706578</v>
      </c>
      <c r="K32" s="95">
        <f t="shared" si="3"/>
        <v>7.2555882859549491E-4</v>
      </c>
      <c r="L32" s="95">
        <f t="shared" si="4"/>
        <v>0.40799960777521932</v>
      </c>
      <c r="M32" s="95">
        <f t="shared" si="5"/>
        <v>0.59200039222478074</v>
      </c>
      <c r="N32" s="95">
        <f t="shared" si="6"/>
        <v>0.36180617645264218</v>
      </c>
      <c r="O32" s="40">
        <f t="shared" si="7"/>
        <v>7.2616716201056686E-10</v>
      </c>
      <c r="P32" s="40">
        <f t="shared" si="8"/>
        <v>1.2754067739053361E-3</v>
      </c>
      <c r="Q32" s="40">
        <f t="shared" si="9"/>
        <v>7.9648317435983065E-3</v>
      </c>
      <c r="R32" s="9">
        <f t="shared" si="14"/>
        <v>1.4999999999999999E-4</v>
      </c>
      <c r="S32" s="9">
        <f t="shared" si="10"/>
        <v>6.1199941166282897E-5</v>
      </c>
      <c r="T32" s="9">
        <f t="shared" si="11"/>
        <v>1.0883382428932422E-7</v>
      </c>
      <c r="U32" s="9">
        <f t="shared" si="12"/>
        <v>8.8800058833717104E-5</v>
      </c>
      <c r="V32" s="102">
        <f t="shared" si="13"/>
        <v>1.2256053173694561E-3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2.4659786116205753</v>
      </c>
      <c r="J33" s="94">
        <f t="shared" si="2"/>
        <v>5.7505440288504071</v>
      </c>
      <c r="K33" s="95">
        <f t="shared" si="3"/>
        <v>2.1149673362584787E-3</v>
      </c>
      <c r="L33" s="95">
        <f t="shared" si="4"/>
        <v>0.38126127376069585</v>
      </c>
      <c r="M33" s="95">
        <f t="shared" si="5"/>
        <v>0.61873872623930415</v>
      </c>
      <c r="N33" s="95">
        <f t="shared" si="6"/>
        <v>0.32625487519200747</v>
      </c>
      <c r="O33" s="40">
        <f t="shared" si="7"/>
        <v>2.1167405974355528E-9</v>
      </c>
      <c r="P33" s="40">
        <f t="shared" si="8"/>
        <v>1.1918227417759357E-3</v>
      </c>
      <c r="Q33" s="40">
        <f t="shared" si="9"/>
        <v>7.182202393311376E-3</v>
      </c>
      <c r="R33" s="9">
        <f t="shared" si="14"/>
        <v>1.4999999999999999E-4</v>
      </c>
      <c r="S33" s="9">
        <f t="shared" si="10"/>
        <v>5.7189191064104375E-5</v>
      </c>
      <c r="T33" s="9">
        <f t="shared" si="11"/>
        <v>3.1724510043877177E-7</v>
      </c>
      <c r="U33" s="9">
        <f t="shared" si="12"/>
        <v>9.2810808935895619E-5</v>
      </c>
      <c r="V33" s="102">
        <f t="shared" si="13"/>
        <v>3.4181913084918034E-3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2.4593424067669152</v>
      </c>
      <c r="J34" s="94">
        <f t="shared" si="2"/>
        <v>5.7768867999222078</v>
      </c>
      <c r="K34" s="95">
        <f t="shared" si="3"/>
        <v>2.0848228636661096E-3</v>
      </c>
      <c r="L34" s="95">
        <f t="shared" si="4"/>
        <v>0.39932910266382887</v>
      </c>
      <c r="M34" s="95">
        <f t="shared" si="5"/>
        <v>0.60067089733617118</v>
      </c>
      <c r="N34" s="95">
        <f t="shared" si="6"/>
        <v>0.35044551536647989</v>
      </c>
      <c r="O34" s="40">
        <f t="shared" si="7"/>
        <v>2.0865708506831362E-9</v>
      </c>
      <c r="P34" s="40">
        <f t="shared" si="8"/>
        <v>1.2483027749271287E-3</v>
      </c>
      <c r="Q34" s="40">
        <f t="shared" si="9"/>
        <v>7.7147371903916635E-3</v>
      </c>
      <c r="R34" s="9">
        <f t="shared" si="14"/>
        <v>1.4999999999999999E-4</v>
      </c>
      <c r="S34" s="9">
        <f t="shared" si="10"/>
        <v>5.9899365399574324E-5</v>
      </c>
      <c r="T34" s="9">
        <f t="shared" si="11"/>
        <v>3.127234295499164E-7</v>
      </c>
      <c r="U34" s="9">
        <f t="shared" si="12"/>
        <v>9.010063460042567E-5</v>
      </c>
      <c r="V34" s="102">
        <f t="shared" si="13"/>
        <v>3.4708238286752201E-3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0.12015758400049081</v>
      </c>
      <c r="J35" s="94">
        <f t="shared" si="2"/>
        <v>2.5786532271571372</v>
      </c>
      <c r="K35" s="95">
        <f t="shared" si="3"/>
        <v>0.69407553052874593</v>
      </c>
      <c r="L35" s="95">
        <f t="shared" si="4"/>
        <v>8.4223825220880219E-2</v>
      </c>
      <c r="M35" s="95">
        <f t="shared" si="5"/>
        <v>0.91577617477911977</v>
      </c>
      <c r="N35" s="95">
        <f t="shared" si="6"/>
        <v>5.6123930641604404E-2</v>
      </c>
      <c r="O35" s="40">
        <f t="shared" si="7"/>
        <v>6.9465746726655923E-7</v>
      </c>
      <c r="P35" s="40">
        <f t="shared" si="8"/>
        <v>2.6328367764047157E-4</v>
      </c>
      <c r="Q35" s="40">
        <f t="shared" si="9"/>
        <v>1.2355169520116575E-3</v>
      </c>
      <c r="R35" s="9">
        <f t="shared" si="14"/>
        <v>1.4999999999999999E-4</v>
      </c>
      <c r="S35" s="9">
        <f t="shared" si="10"/>
        <v>1.2633573783132031E-5</v>
      </c>
      <c r="T35" s="9">
        <f t="shared" si="11"/>
        <v>1.0411132957931189E-4</v>
      </c>
      <c r="U35" s="9">
        <f t="shared" si="12"/>
        <v>1.3736642621686796E-4</v>
      </c>
      <c r="V35" s="102">
        <f t="shared" si="13"/>
        <v>0.757909574024628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5.3597305230687828</v>
      </c>
      <c r="J36" s="94">
        <f t="shared" si="2"/>
        <v>8.902979282626525</v>
      </c>
      <c r="K36" s="95">
        <f t="shared" si="3"/>
        <v>2.061300128309046E-6</v>
      </c>
      <c r="L36" s="95">
        <f t="shared" si="4"/>
        <v>0.52783175465241106</v>
      </c>
      <c r="M36" s="95">
        <f t="shared" si="5"/>
        <v>0.47216824534758894</v>
      </c>
      <c r="N36" s="95">
        <f t="shared" si="6"/>
        <v>0.5221503528550302</v>
      </c>
      <c r="O36" s="40">
        <f t="shared" si="7"/>
        <v>2.0630283930577084E-12</v>
      </c>
      <c r="P36" s="40">
        <f t="shared" si="8"/>
        <v>1.6500020650434388E-3</v>
      </c>
      <c r="Q36" s="40">
        <f t="shared" si="9"/>
        <v>1.1494661993132567E-2</v>
      </c>
      <c r="R36" s="9">
        <f t="shared" si="14"/>
        <v>1.4999999999999999E-4</v>
      </c>
      <c r="S36" s="9">
        <f t="shared" si="10"/>
        <v>7.917476319786165E-5</v>
      </c>
      <c r="T36" s="9">
        <f t="shared" si="11"/>
        <v>3.0919501924635685E-10</v>
      </c>
      <c r="U36" s="9">
        <f t="shared" si="12"/>
        <v>7.0825236802138337E-5</v>
      </c>
      <c r="V36" s="102">
        <f t="shared" si="13"/>
        <v>4.3656051600666406E-6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1.080392983851221</v>
      </c>
      <c r="J37" s="94">
        <f t="shared" si="2"/>
        <v>4.3302914014280267</v>
      </c>
      <c r="K37" s="95">
        <f t="shared" si="3"/>
        <v>5.2939789652625704E-2</v>
      </c>
      <c r="L37" s="95">
        <f t="shared" si="4"/>
        <v>0.36261737854364112</v>
      </c>
      <c r="M37" s="95">
        <f t="shared" si="5"/>
        <v>0.63738262145635893</v>
      </c>
      <c r="N37" s="95">
        <f t="shared" si="6"/>
        <v>0.31066373327800051</v>
      </c>
      <c r="O37" s="40">
        <f t="shared" si="7"/>
        <v>5.2984176188580229E-8</v>
      </c>
      <c r="P37" s="40">
        <f t="shared" si="8"/>
        <v>1.1335419253274224E-3</v>
      </c>
      <c r="Q37" s="40">
        <f t="shared" si="9"/>
        <v>6.8389776776551382E-3</v>
      </c>
      <c r="R37" s="9">
        <f t="shared" si="14"/>
        <v>1.4999999999999999E-4</v>
      </c>
      <c r="S37" s="9">
        <f t="shared" si="10"/>
        <v>5.4392606781546162E-5</v>
      </c>
      <c r="T37" s="9">
        <f t="shared" si="11"/>
        <v>7.9409684478938547E-6</v>
      </c>
      <c r="U37" s="9">
        <f t="shared" si="12"/>
        <v>9.5607393218453832E-5</v>
      </c>
      <c r="V37" s="102">
        <f t="shared" si="13"/>
        <v>8.3058100221909556E-2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0.16668848098518507</v>
      </c>
      <c r="J38" s="94">
        <f t="shared" si="2"/>
        <v>2.8460801477665378</v>
      </c>
      <c r="K38" s="95">
        <f t="shared" si="3"/>
        <v>0.59057772440331602</v>
      </c>
      <c r="L38" s="95">
        <f t="shared" si="4"/>
        <v>0.13265762293451794</v>
      </c>
      <c r="M38" s="95">
        <f t="shared" si="5"/>
        <v>0.86734237706548201</v>
      </c>
      <c r="N38" s="95">
        <f t="shared" si="6"/>
        <v>0.10189184062239093</v>
      </c>
      <c r="O38" s="40">
        <f t="shared" si="7"/>
        <v>5.9107288502957039E-7</v>
      </c>
      <c r="P38" s="40">
        <f t="shared" si="8"/>
        <v>4.1468772929330317E-4</v>
      </c>
      <c r="Q38" s="40">
        <f t="shared" si="9"/>
        <v>2.2430555900393948E-3</v>
      </c>
      <c r="R38" s="9">
        <f t="shared" si="14"/>
        <v>1.4999999999999999E-4</v>
      </c>
      <c r="S38" s="9">
        <f t="shared" si="10"/>
        <v>1.989864344017769E-5</v>
      </c>
      <c r="T38" s="9">
        <f t="shared" si="11"/>
        <v>8.8586658660497395E-5</v>
      </c>
      <c r="U38" s="9">
        <f t="shared" si="12"/>
        <v>1.3010135655982228E-4</v>
      </c>
      <c r="V38" s="102">
        <f t="shared" si="13"/>
        <v>0.6809049575110625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-1.6807124166640264E-5</v>
      </c>
      <c r="J39" s="94">
        <f t="shared" si="2"/>
        <v>-6.3683170976411435E-2</v>
      </c>
      <c r="K39" s="95">
        <f t="shared" si="3"/>
        <v>0.99924452395821206</v>
      </c>
      <c r="L39" s="95">
        <f t="shared" si="4"/>
        <v>2.7628900799622704E-4</v>
      </c>
      <c r="M39" s="95">
        <f t="shared" si="5"/>
        <v>0.99972371099200374</v>
      </c>
      <c r="N39" s="95">
        <f t="shared" si="6"/>
        <v>2.2005037978898692E-6</v>
      </c>
      <c r="O39" s="40">
        <f t="shared" si="7"/>
        <v>1.0000823248501511E-6</v>
      </c>
      <c r="P39" s="40">
        <f t="shared" si="8"/>
        <v>8.6367943899620576E-7</v>
      </c>
      <c r="Q39" s="40">
        <f t="shared" si="9"/>
        <v>4.8442076564815012E-8</v>
      </c>
      <c r="R39" s="9">
        <f t="shared" si="14"/>
        <v>1.4999999999999999E-4</v>
      </c>
      <c r="S39" s="9">
        <f t="shared" si="10"/>
        <v>4.1443351199434052E-8</v>
      </c>
      <c r="T39" s="9">
        <f t="shared" si="11"/>
        <v>1.4988667859373181E-4</v>
      </c>
      <c r="U39" s="9">
        <f t="shared" si="12"/>
        <v>1.4995855664880054E-4</v>
      </c>
      <c r="V39" s="102">
        <f t="shared" si="13"/>
        <v>0.99952068053550891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0.30972420580945559</v>
      </c>
      <c r="J40" s="94">
        <f t="shared" si="2"/>
        <v>3.0863447971892604</v>
      </c>
      <c r="K40" s="95">
        <f t="shared" si="3"/>
        <v>0.41116931922089728</v>
      </c>
      <c r="L40" s="95">
        <f t="shared" si="4"/>
        <v>0.16059813559587344</v>
      </c>
      <c r="M40" s="95">
        <f t="shared" si="5"/>
        <v>0.83940186440412656</v>
      </c>
      <c r="N40" s="95">
        <f t="shared" si="6"/>
        <v>0.10621088959329139</v>
      </c>
      <c r="O40" s="40">
        <f t="shared" si="7"/>
        <v>4.1151405768492869E-7</v>
      </c>
      <c r="P40" s="40">
        <f t="shared" si="8"/>
        <v>5.0202977187270039E-4</v>
      </c>
      <c r="Q40" s="40">
        <f t="shared" si="9"/>
        <v>2.3381354990748516E-3</v>
      </c>
      <c r="R40" s="9">
        <f t="shared" si="14"/>
        <v>1.4999999999999999E-4</v>
      </c>
      <c r="S40" s="9">
        <f t="shared" si="10"/>
        <v>2.4089720339381015E-5</v>
      </c>
      <c r="T40" s="9">
        <f t="shared" si="11"/>
        <v>6.1675397883134583E-5</v>
      </c>
      <c r="U40" s="9">
        <f t="shared" si="12"/>
        <v>1.2591027966061898E-4</v>
      </c>
      <c r="V40" s="102">
        <f t="shared" si="13"/>
        <v>0.48983608049617283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0.35763444792585858</v>
      </c>
      <c r="J41" s="94">
        <f t="shared" si="2"/>
        <v>3.1630398899948347</v>
      </c>
      <c r="K41" s="95">
        <f t="shared" si="3"/>
        <v>0.36421441723939385</v>
      </c>
      <c r="L41" s="95">
        <f t="shared" si="4"/>
        <v>0.16973524213632835</v>
      </c>
      <c r="M41" s="95">
        <f t="shared" si="5"/>
        <v>0.83026475786367171</v>
      </c>
      <c r="N41" s="95">
        <f t="shared" si="6"/>
        <v>0.10978461384943312</v>
      </c>
      <c r="O41" s="40">
        <f t="shared" si="7"/>
        <v>3.6451978710262959E-7</v>
      </c>
      <c r="P41" s="40">
        <f t="shared" si="8"/>
        <v>5.3059236691816239E-4</v>
      </c>
      <c r="Q41" s="40">
        <f t="shared" si="9"/>
        <v>2.4168077668544224E-3</v>
      </c>
      <c r="R41" s="9">
        <f t="shared" si="14"/>
        <v>1.4999999999999999E-4</v>
      </c>
      <c r="S41" s="9">
        <f t="shared" si="10"/>
        <v>2.546028632044925E-5</v>
      </c>
      <c r="T41" s="9">
        <f t="shared" si="11"/>
        <v>5.4632162585909072E-5</v>
      </c>
      <c r="U41" s="9">
        <f t="shared" si="12"/>
        <v>1.2453971367955074E-4</v>
      </c>
      <c r="V41" s="102">
        <f t="shared" si="13"/>
        <v>0.43867262073912733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1.4796577057346771</v>
      </c>
      <c r="J42" s="94">
        <f t="shared" si="2"/>
        <v>4.8333812334786872</v>
      </c>
      <c r="K42" s="95">
        <f t="shared" si="3"/>
        <v>1.9228397220873873E-2</v>
      </c>
      <c r="L42" s="95">
        <f t="shared" si="4"/>
        <v>0.41946846794667575</v>
      </c>
      <c r="M42" s="95">
        <f t="shared" si="5"/>
        <v>0.5805315320533242</v>
      </c>
      <c r="N42" s="95">
        <f t="shared" si="6"/>
        <v>0.38057865833229737</v>
      </c>
      <c r="O42" s="40">
        <f t="shared" si="7"/>
        <v>1.9244518968810397E-8</v>
      </c>
      <c r="P42" s="40">
        <f t="shared" si="8"/>
        <v>1.3112584308013087E-3</v>
      </c>
      <c r="Q42" s="40">
        <f t="shared" si="9"/>
        <v>8.3780907461039559E-3</v>
      </c>
      <c r="R42" s="9">
        <f t="shared" si="14"/>
        <v>1.4999999999999999E-4</v>
      </c>
      <c r="S42" s="9">
        <f t="shared" si="10"/>
        <v>6.2920270192001355E-5</v>
      </c>
      <c r="T42" s="9">
        <f t="shared" si="11"/>
        <v>2.8842595831310806E-6</v>
      </c>
      <c r="U42" s="9">
        <f t="shared" si="12"/>
        <v>8.7079729807998618E-5</v>
      </c>
      <c r="V42" s="102">
        <f t="shared" si="13"/>
        <v>3.3122054805298097E-2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1.2498866711591912</v>
      </c>
      <c r="J43" s="94">
        <f t="shared" si="2"/>
        <v>4.5239348971579787</v>
      </c>
      <c r="K43" s="95">
        <f t="shared" si="3"/>
        <v>3.5105520760213414E-2</v>
      </c>
      <c r="L43" s="95">
        <f t="shared" si="4"/>
        <v>0.37556517797093258</v>
      </c>
      <c r="M43" s="95">
        <f t="shared" si="5"/>
        <v>0.62443482202906742</v>
      </c>
      <c r="N43" s="95">
        <f t="shared" si="6"/>
        <v>0.3247130667129568</v>
      </c>
      <c r="O43" s="40">
        <f t="shared" si="7"/>
        <v>3.5134954433253099E-8</v>
      </c>
      <c r="P43" s="40">
        <f t="shared" si="8"/>
        <v>1.1740167463371353E-3</v>
      </c>
      <c r="Q43" s="40">
        <f t="shared" si="9"/>
        <v>7.1482608911598812E-3</v>
      </c>
      <c r="R43" s="9">
        <f t="shared" si="14"/>
        <v>1.4999999999999999E-4</v>
      </c>
      <c r="S43" s="9">
        <f t="shared" si="10"/>
        <v>5.6334776695639885E-5</v>
      </c>
      <c r="T43" s="9">
        <f t="shared" si="11"/>
        <v>5.2658281140320117E-6</v>
      </c>
      <c r="U43" s="9">
        <f t="shared" si="12"/>
        <v>9.3665223304360102E-5</v>
      </c>
      <c r="V43" s="102">
        <f t="shared" si="13"/>
        <v>5.6219671808404134E-2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0.14841008082679891</v>
      </c>
      <c r="J44" s="94">
        <f t="shared" si="2"/>
        <v>2.7903744043145644</v>
      </c>
      <c r="K44" s="95">
        <f t="shared" si="3"/>
        <v>0.62278594647153229</v>
      </c>
      <c r="L44" s="95">
        <f t="shared" si="4"/>
        <v>0.12305186755365378</v>
      </c>
      <c r="M44" s="95">
        <f t="shared" si="5"/>
        <v>0.87694813244634617</v>
      </c>
      <c r="N44" s="95">
        <f t="shared" si="6"/>
        <v>9.4969936895406101E-2</v>
      </c>
      <c r="O44" s="40">
        <f t="shared" si="7"/>
        <v>6.2330811157619958E-7</v>
      </c>
      <c r="P44" s="40">
        <f t="shared" si="8"/>
        <v>3.8466013797272162E-4</v>
      </c>
      <c r="Q44" s="40">
        <f t="shared" si="9"/>
        <v>2.0906762164439401E-3</v>
      </c>
      <c r="R44" s="9">
        <f t="shared" si="14"/>
        <v>1.4999999999999999E-4</v>
      </c>
      <c r="S44" s="9">
        <f t="shared" si="10"/>
        <v>1.8457780133048066E-5</v>
      </c>
      <c r="T44" s="9">
        <f t="shared" si="11"/>
        <v>9.3417891970729838E-5</v>
      </c>
      <c r="U44" s="9">
        <f t="shared" si="12"/>
        <v>1.3154221986695191E-4</v>
      </c>
      <c r="V44" s="102">
        <f t="shared" si="13"/>
        <v>0.71017420920231655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1.3452769109111</v>
      </c>
      <c r="J45" s="94">
        <f t="shared" si="2"/>
        <v>4.522432495717549</v>
      </c>
      <c r="K45" s="95">
        <f t="shared" si="3"/>
        <v>3.0471292653649645E-2</v>
      </c>
      <c r="L45" s="95">
        <f t="shared" si="4"/>
        <v>0.32486159713609702</v>
      </c>
      <c r="M45" s="95">
        <f t="shared" si="5"/>
        <v>0.67513840286390292</v>
      </c>
      <c r="N45" s="95">
        <f t="shared" si="6"/>
        <v>0.25595653588185169</v>
      </c>
      <c r="O45" s="40">
        <f t="shared" si="7"/>
        <v>3.0496840830849192E-8</v>
      </c>
      <c r="P45" s="40">
        <f t="shared" si="8"/>
        <v>1.0155173526474393E-3</v>
      </c>
      <c r="Q45" s="40">
        <f t="shared" si="9"/>
        <v>5.6346488110328762E-3</v>
      </c>
      <c r="R45" s="9">
        <f t="shared" si="14"/>
        <v>1.4999999999999999E-4</v>
      </c>
      <c r="S45" s="9">
        <f t="shared" si="10"/>
        <v>4.8729239570414553E-5</v>
      </c>
      <c r="T45" s="9">
        <f t="shared" si="11"/>
        <v>4.5706938980474464E-6</v>
      </c>
      <c r="U45" s="9">
        <f t="shared" si="12"/>
        <v>1.0127076042958543E-4</v>
      </c>
      <c r="V45" s="102">
        <f t="shared" si="13"/>
        <v>4.5133401572761918E-2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0.12747825886296762</v>
      </c>
      <c r="J46" s="94">
        <f t="shared" si="2"/>
        <v>2.7020905339390611</v>
      </c>
      <c r="K46" s="95">
        <f t="shared" si="3"/>
        <v>0.66529829071889413</v>
      </c>
      <c r="L46" s="95">
        <f t="shared" si="4"/>
        <v>0.10727090454231568</v>
      </c>
      <c r="M46" s="95">
        <f t="shared" si="5"/>
        <v>0.89272909545768431</v>
      </c>
      <c r="N46" s="95">
        <f t="shared" si="6"/>
        <v>8.1679252237672251E-2</v>
      </c>
      <c r="O46" s="40">
        <f t="shared" si="7"/>
        <v>6.658560996315332E-7</v>
      </c>
      <c r="P46" s="40">
        <f t="shared" si="8"/>
        <v>3.3532884759927877E-4</v>
      </c>
      <c r="Q46" s="40">
        <f t="shared" si="9"/>
        <v>1.798093961232137E-3</v>
      </c>
      <c r="R46" s="9">
        <f t="shared" si="14"/>
        <v>1.4999999999999999E-4</v>
      </c>
      <c r="S46" s="9">
        <f t="shared" si="10"/>
        <v>1.609063568134735E-5</v>
      </c>
      <c r="T46" s="9">
        <f t="shared" si="11"/>
        <v>9.9794743607834109E-5</v>
      </c>
      <c r="U46" s="9">
        <f t="shared" si="12"/>
        <v>1.3390936431865265E-4</v>
      </c>
      <c r="V46" s="102">
        <f t="shared" si="13"/>
        <v>0.74524096291250486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0.71310437974280194</v>
      </c>
      <c r="J47" s="94">
        <f t="shared" si="2"/>
        <v>3.6364018134902829</v>
      </c>
      <c r="K47" s="95">
        <f t="shared" si="3"/>
        <v>0.15257565789640842</v>
      </c>
      <c r="L47" s="95">
        <f t="shared" si="4"/>
        <v>0.21147647654526977</v>
      </c>
      <c r="M47" s="95">
        <f t="shared" si="5"/>
        <v>0.7885235234547302</v>
      </c>
      <c r="N47" s="95">
        <f t="shared" si="6"/>
        <v>0.12663932785318793</v>
      </c>
      <c r="O47" s="40">
        <f t="shared" si="7"/>
        <v>1.5270358256270274E-7</v>
      </c>
      <c r="P47" s="40">
        <f t="shared" si="8"/>
        <v>6.6107546568051337E-4</v>
      </c>
      <c r="Q47" s="40">
        <f t="shared" si="9"/>
        <v>2.7878488652751093E-3</v>
      </c>
      <c r="R47" s="9">
        <f t="shared" si="14"/>
        <v>1.4999999999999999E-4</v>
      </c>
      <c r="S47" s="9">
        <f t="shared" si="10"/>
        <v>3.1721471481790462E-5</v>
      </c>
      <c r="T47" s="9">
        <f t="shared" si="11"/>
        <v>2.2886348684461263E-5</v>
      </c>
      <c r="U47" s="9">
        <f t="shared" si="12"/>
        <v>1.1827852851820953E-4</v>
      </c>
      <c r="V47" s="102">
        <f t="shared" si="13"/>
        <v>0.19349537884162807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1.7600042430072071</v>
      </c>
      <c r="K48" s="95">
        <f t="shared" ref="K48:K50" si="17">IF(D48=0,"",1/(1+10^D48*$J$15/$J$14+10^E48*$J$16/$J$14+10^J48*$J$19/$J$14))</f>
        <v>0.92844089316851974</v>
      </c>
      <c r="L48" s="95">
        <f t="shared" ref="L48:L50" si="18">IF(D48=0,"",1/(1+10^I48/10^J48*$J$13/$J$19))</f>
        <v>1.7105410653589708E-2</v>
      </c>
      <c r="M48" s="95">
        <f t="shared" ref="M48:M92" si="19">IF(D48=0,"",1-L48)</f>
        <v>0.98289458934641027</v>
      </c>
      <c r="N48" s="95">
        <f t="shared" ref="N48:N50" si="20">IF(D48=0,"",1/(1/10^E48*$J$20/$J$22+10^D48/10^E48*$J$21/$J$22+10^I48/10^E48*$J$13/$J$22+1))</f>
        <v>9.4771904085951646E-3</v>
      </c>
      <c r="O48" s="40">
        <f t="shared" ref="O48:O92" si="21">IF(D48=0,"",F48*K48*$J$7/$J$14)</f>
        <v>9.2921932986720488E-7</v>
      </c>
      <c r="P48" s="40">
        <f t="shared" ref="P48:P50" si="22">IF(D48=0,"",O48*10^J48)</f>
        <v>5.3471513703121426E-5</v>
      </c>
      <c r="Q48" s="40">
        <f t="shared" ref="Q48:Q50" si="23">IF(D48=0,"",F48*N48*$J$7/$J$22)</f>
        <v>2.0863167054414427E-4</v>
      </c>
      <c r="R48" s="9">
        <f t="shared" si="14"/>
        <v>1.4999999999999999E-4</v>
      </c>
      <c r="S48" s="9">
        <f t="shared" si="10"/>
        <v>2.5658115980384561E-6</v>
      </c>
      <c r="T48" s="9">
        <f t="shared" si="11"/>
        <v>1.3926613397527795E-4</v>
      </c>
      <c r="U48" s="9">
        <f t="shared" si="12"/>
        <v>1.4743418840196154E-4</v>
      </c>
      <c r="V48" s="102">
        <f t="shared" si="13"/>
        <v>0.94459864082261324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6.9959414880738915E-3</v>
      </c>
      <c r="J49" s="94">
        <f t="shared" si="16"/>
        <v>1.2491688866071173</v>
      </c>
      <c r="K49" s="95">
        <f t="shared" si="17"/>
        <v>0.97804442941777692</v>
      </c>
      <c r="L49" s="95">
        <f t="shared" si="18"/>
        <v>5.5577943328306966E-3</v>
      </c>
      <c r="M49" s="95">
        <f t="shared" si="19"/>
        <v>0.99444220566716934</v>
      </c>
      <c r="N49" s="95">
        <f t="shared" si="20"/>
        <v>3.1639814554445325E-3</v>
      </c>
      <c r="O49" s="40">
        <f t="shared" si="21"/>
        <v>9.7886445542309971E-7</v>
      </c>
      <c r="P49" s="40">
        <f t="shared" si="22"/>
        <v>1.7373665084428761E-5</v>
      </c>
      <c r="Q49" s="40">
        <f t="shared" si="23"/>
        <v>6.965215513887049E-5</v>
      </c>
      <c r="R49" s="9">
        <f t="shared" si="14"/>
        <v>1.4999999999999999E-4</v>
      </c>
      <c r="S49" s="9">
        <f t="shared" si="10"/>
        <v>8.3366914992460439E-7</v>
      </c>
      <c r="T49" s="9">
        <f t="shared" si="11"/>
        <v>1.4670666441266651E-4</v>
      </c>
      <c r="U49" s="9">
        <f t="shared" si="12"/>
        <v>1.4916633085007539E-4</v>
      </c>
      <c r="V49" s="102">
        <f t="shared" si="13"/>
        <v>0.98351057893968685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3.7232006014196545E-5</v>
      </c>
      <c r="J57" s="54">
        <f t="shared" si="25"/>
        <v>2.8775248633271713E-2</v>
      </c>
      <c r="K57" s="55">
        <f t="shared" si="26"/>
        <v>0.99905475013450973</v>
      </c>
      <c r="L57" s="55">
        <f t="shared" si="27"/>
        <v>3.4177440730742052E-4</v>
      </c>
      <c r="M57" s="55">
        <f t="shared" si="28"/>
        <v>0.99965822559269257</v>
      </c>
      <c r="N57" s="55">
        <f t="shared" si="29"/>
        <v>5.4886891402164338E-5</v>
      </c>
      <c r="O57" s="56">
        <f t="shared" si="30"/>
        <v>9.9989239191356398E-7</v>
      </c>
      <c r="P57" s="56">
        <f t="shared" si="31"/>
        <v>1.0683867972429967E-6</v>
      </c>
      <c r="Q57" s="56">
        <f t="shared" si="32"/>
        <v>1.2082846656560968E-6</v>
      </c>
      <c r="R57" s="9">
        <f t="shared" ref="R57:R58" si="33">F57*$C$14</f>
        <v>1.4999999999999999E-4</v>
      </c>
      <c r="S57" s="9">
        <f t="shared" ref="S57:S58" si="34">$R57*L57</f>
        <v>5.1266161096113072E-8</v>
      </c>
      <c r="T57" s="9">
        <f t="shared" ref="T57:T58" si="35">R57*K57</f>
        <v>1.4985821252017645E-4</v>
      </c>
      <c r="U57" s="9">
        <f t="shared" ref="U57:U58" si="36">$R57*M57</f>
        <v>1.4994873383890388E-4</v>
      </c>
      <c r="V57" s="102">
        <f t="shared" ref="V57:V58" si="37">K57/M57</f>
        <v>0.99939631821883423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3.6330362911661196E-2</v>
      </c>
      <c r="J58" s="54">
        <f t="shared" si="25"/>
        <v>1.9645678547977998</v>
      </c>
      <c r="K58" s="55">
        <f t="shared" si="26"/>
        <v>0.89499548869218515</v>
      </c>
      <c r="L58" s="55">
        <f t="shared" si="27"/>
        <v>2.6409714246832059E-2</v>
      </c>
      <c r="M58" s="55">
        <f t="shared" si="28"/>
        <v>0.97359028575316797</v>
      </c>
      <c r="N58" s="55">
        <f t="shared" si="29"/>
        <v>1.5767149726586702E-2</v>
      </c>
      <c r="O58" s="56">
        <f t="shared" si="30"/>
        <v>8.9574588361627984E-7</v>
      </c>
      <c r="P58" s="56">
        <f t="shared" si="31"/>
        <v>8.2556766735597011E-5</v>
      </c>
      <c r="Q58" s="56">
        <f t="shared" si="32"/>
        <v>3.4709936651626788E-4</v>
      </c>
      <c r="R58" s="9">
        <f t="shared" si="33"/>
        <v>1.4999999999999999E-4</v>
      </c>
      <c r="S58" s="9">
        <f t="shared" si="34"/>
        <v>3.9614571370248087E-6</v>
      </c>
      <c r="T58" s="9">
        <f t="shared" si="35"/>
        <v>1.3424932330382777E-4</v>
      </c>
      <c r="U58" s="9">
        <f t="shared" si="36"/>
        <v>1.4603854286297519E-4</v>
      </c>
      <c r="V58" s="102">
        <f t="shared" si="37"/>
        <v>0.9192732320658048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5.084171441621077E-2</v>
      </c>
      <c r="J60" s="54">
        <f t="shared" si="25"/>
        <v>2.0350331374712782</v>
      </c>
      <c r="K60" s="55">
        <f t="shared" si="26"/>
        <v>0.86245254200346189</v>
      </c>
      <c r="L60" s="55">
        <f t="shared" si="27"/>
        <v>2.9932524399391629E-2</v>
      </c>
      <c r="M60" s="55">
        <f t="shared" si="28"/>
        <v>0.97006747560060835</v>
      </c>
      <c r="N60" s="55">
        <f t="shared" si="29"/>
        <v>1.4481099983631287E-2</v>
      </c>
      <c r="O60" s="56">
        <f t="shared" si="30"/>
        <v>8.6317565180453765E-7</v>
      </c>
      <c r="P60" s="56">
        <f t="shared" si="31"/>
        <v>9.3569071272498237E-5</v>
      </c>
      <c r="Q60" s="56">
        <f t="shared" si="32"/>
        <v>3.1878815879458737E-4</v>
      </c>
      <c r="R60" s="9">
        <f t="shared" ref="R60:R65" si="38">F60*$C$14</f>
        <v>1.4999999999999999E-4</v>
      </c>
      <c r="S60" s="9">
        <f t="shared" ref="S60:S93" si="39">$R60*L60</f>
        <v>4.4898786599087441E-6</v>
      </c>
      <c r="T60" s="9">
        <f t="shared" ref="T60:T93" si="40">R60*K60</f>
        <v>1.2936788130051927E-4</v>
      </c>
      <c r="U60" s="9">
        <f t="shared" ref="U60:U93" si="41">$R60*M60</f>
        <v>1.4551012134009125E-4</v>
      </c>
      <c r="V60" s="102">
        <f t="shared" ref="V60:V93" si="42">K60/M60</f>
        <v>0.8890644864363505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0.31132307136990117</v>
      </c>
      <c r="J61" s="54">
        <f t="shared" si="25"/>
        <v>3.0186926757394756</v>
      </c>
      <c r="K61" s="55">
        <f t="shared" si="26"/>
        <v>0.41959050069681286</v>
      </c>
      <c r="L61" s="55">
        <f t="shared" si="27"/>
        <v>0.14024691740051692</v>
      </c>
      <c r="M61" s="55">
        <f t="shared" si="28"/>
        <v>0.85975308259948302</v>
      </c>
      <c r="N61" s="55">
        <f t="shared" si="29"/>
        <v>8.0510401597254977E-2</v>
      </c>
      <c r="O61" s="56">
        <f t="shared" si="30"/>
        <v>4.1994229976831576E-7</v>
      </c>
      <c r="P61" s="56">
        <f t="shared" si="31"/>
        <v>4.3841186379401579E-4</v>
      </c>
      <c r="Q61" s="56">
        <f t="shared" si="32"/>
        <v>1.772362784457881E-3</v>
      </c>
      <c r="R61" s="9">
        <f t="shared" si="38"/>
        <v>1.4999999999999999E-4</v>
      </c>
      <c r="S61" s="9">
        <f t="shared" si="39"/>
        <v>2.1037037610077537E-5</v>
      </c>
      <c r="T61" s="9">
        <f t="shared" si="40"/>
        <v>6.293857510452192E-5</v>
      </c>
      <c r="U61" s="9">
        <f t="shared" si="41"/>
        <v>1.2896296238992244E-4</v>
      </c>
      <c r="V61" s="102">
        <f t="shared" si="42"/>
        <v>0.48803605266313371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0.17220522092565899</v>
      </c>
      <c r="J62" s="54">
        <f t="shared" si="25"/>
        <v>2.7486001130708546</v>
      </c>
      <c r="K62" s="55">
        <f t="shared" si="26"/>
        <v>0.59992625946488731</v>
      </c>
      <c r="L62" s="55">
        <f t="shared" si="27"/>
        <v>0.10766461361354611</v>
      </c>
      <c r="M62" s="55">
        <f t="shared" si="28"/>
        <v>0.89233538638645393</v>
      </c>
      <c r="N62" s="55">
        <f t="shared" si="29"/>
        <v>7.0146211031954939E-2</v>
      </c>
      <c r="O62" s="56">
        <f t="shared" si="30"/>
        <v>6.0042925822367593E-7</v>
      </c>
      <c r="P62" s="56">
        <f t="shared" si="31"/>
        <v>3.3655958215594514E-4</v>
      </c>
      <c r="Q62" s="56">
        <f t="shared" si="32"/>
        <v>1.5442046175062757E-3</v>
      </c>
      <c r="R62" s="9">
        <f t="shared" si="38"/>
        <v>1.4999999999999999E-4</v>
      </c>
      <c r="S62" s="9">
        <f t="shared" si="39"/>
        <v>1.6149692042031916E-5</v>
      </c>
      <c r="T62" s="9">
        <f t="shared" si="40"/>
        <v>8.9988938919733093E-5</v>
      </c>
      <c r="U62" s="9">
        <f t="shared" si="41"/>
        <v>1.3385030795796807E-4</v>
      </c>
      <c r="V62" s="102">
        <f t="shared" si="42"/>
        <v>0.67231028671216497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0.15417954710270029</v>
      </c>
      <c r="J63" s="54">
        <f t="shared" si="25"/>
        <v>2.677877461623039</v>
      </c>
      <c r="K63" s="55">
        <f t="shared" si="26"/>
        <v>0.63313974604733669</v>
      </c>
      <c r="L63" s="55">
        <f t="shared" si="27"/>
        <v>9.6549947166609196E-2</v>
      </c>
      <c r="M63" s="55">
        <f t="shared" si="28"/>
        <v>0.90345005283339086</v>
      </c>
      <c r="N63" s="55">
        <f t="shared" si="29"/>
        <v>6.1389051488479118E-2</v>
      </c>
      <c r="O63" s="56">
        <f t="shared" si="30"/>
        <v>6.3367059213279657E-7</v>
      </c>
      <c r="P63" s="56">
        <f t="shared" si="31"/>
        <v>3.0181513484282038E-4</v>
      </c>
      <c r="Q63" s="56">
        <f t="shared" si="32"/>
        <v>1.3514237672745475E-3</v>
      </c>
      <c r="R63" s="9">
        <f t="shared" si="38"/>
        <v>1.4999999999999999E-4</v>
      </c>
      <c r="S63" s="9">
        <f t="shared" si="39"/>
        <v>1.4482492074991378E-5</v>
      </c>
      <c r="T63" s="9">
        <f t="shared" si="40"/>
        <v>9.4970961907100501E-5</v>
      </c>
      <c r="U63" s="9">
        <f t="shared" si="41"/>
        <v>1.3551750792500862E-4</v>
      </c>
      <c r="V63" s="102">
        <f t="shared" si="42"/>
        <v>0.70080215730984829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2.9920298270100572E-2</v>
      </c>
      <c r="J64" s="54">
        <f t="shared" si="25"/>
        <v>1.9189837104465801</v>
      </c>
      <c r="K64" s="55">
        <f t="shared" si="26"/>
        <v>0.91037710512450132</v>
      </c>
      <c r="L64" s="55">
        <f t="shared" si="27"/>
        <v>2.4186890519605542E-2</v>
      </c>
      <c r="M64" s="55">
        <f t="shared" si="28"/>
        <v>0.97581310948039446</v>
      </c>
      <c r="N64" s="55">
        <f t="shared" si="29"/>
        <v>1.5628081692503053E-2</v>
      </c>
      <c r="O64" s="56">
        <f t="shared" si="30"/>
        <v>9.1114039652354032E-7</v>
      </c>
      <c r="P64" s="56">
        <f t="shared" si="31"/>
        <v>7.5608219764286913E-5</v>
      </c>
      <c r="Q64" s="56">
        <f t="shared" si="32"/>
        <v>3.4403791106172221E-4</v>
      </c>
      <c r="R64" s="9">
        <f t="shared" si="38"/>
        <v>1.4999999999999999E-4</v>
      </c>
      <c r="S64" s="9">
        <f t="shared" si="39"/>
        <v>3.6280335779408308E-6</v>
      </c>
      <c r="T64" s="9">
        <f t="shared" si="40"/>
        <v>1.3655656576867518E-4</v>
      </c>
      <c r="U64" s="9">
        <f t="shared" si="41"/>
        <v>1.4637196642205914E-4</v>
      </c>
      <c r="V64" s="102">
        <f t="shared" si="42"/>
        <v>0.93294207290293851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0.45036614920415591</v>
      </c>
      <c r="J65" s="54">
        <f t="shared" si="25"/>
        <v>3.4010714909731083</v>
      </c>
      <c r="K65" s="55">
        <f t="shared" si="26"/>
        <v>0.27560137977474036</v>
      </c>
      <c r="L65" s="55">
        <f t="shared" si="27"/>
        <v>0.22219172447521571</v>
      </c>
      <c r="M65" s="55">
        <f t="shared" si="28"/>
        <v>0.77780827552478427</v>
      </c>
      <c r="N65" s="55">
        <f t="shared" si="29"/>
        <v>0.16368569737435545</v>
      </c>
      <c r="O65" s="56">
        <f t="shared" si="30"/>
        <v>2.7583245342714353E-7</v>
      </c>
      <c r="P65" s="56">
        <f t="shared" si="31"/>
        <v>6.945713307095246E-4</v>
      </c>
      <c r="Q65" s="56">
        <f t="shared" si="32"/>
        <v>3.6033907745932053E-3</v>
      </c>
      <c r="R65" s="9">
        <f t="shared" si="38"/>
        <v>1.4999999999999999E-4</v>
      </c>
      <c r="S65" s="9">
        <f t="shared" si="39"/>
        <v>3.3328758671282356E-5</v>
      </c>
      <c r="T65" s="9">
        <f t="shared" si="40"/>
        <v>4.134020696621105E-5</v>
      </c>
      <c r="U65" s="9">
        <f t="shared" si="41"/>
        <v>1.1667124132871762E-4</v>
      </c>
      <c r="V65" s="102">
        <f t="shared" si="42"/>
        <v>0.35433073733857251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4.7752637245013392E-2</v>
      </c>
      <c r="J68" s="54">
        <f t="shared" si="25"/>
        <v>1.9816264972737885</v>
      </c>
      <c r="K68" s="55">
        <f t="shared" si="26"/>
        <v>0.87146263855805717</v>
      </c>
      <c r="L68" s="55">
        <f t="shared" si="27"/>
        <v>2.6745472276165663E-2</v>
      </c>
      <c r="M68" s="55">
        <f t="shared" si="28"/>
        <v>0.97325452772383436</v>
      </c>
      <c r="N68" s="55">
        <f t="shared" si="29"/>
        <v>1.1875287105901841E-2</v>
      </c>
      <c r="O68" s="56">
        <f t="shared" si="30"/>
        <v>8.7219330273321156E-7</v>
      </c>
      <c r="P68" s="56">
        <f t="shared" si="31"/>
        <v>8.3606346335293857E-5</v>
      </c>
      <c r="Q68" s="56">
        <f t="shared" si="32"/>
        <v>2.614235738947124E-4</v>
      </c>
      <c r="R68" s="9">
        <f>F68*$C$14</f>
        <v>1.4999999999999999E-4</v>
      </c>
      <c r="S68" s="9">
        <f t="shared" si="39"/>
        <v>4.0118208414248488E-6</v>
      </c>
      <c r="T68" s="9">
        <f t="shared" si="40"/>
        <v>1.3071939578370857E-4</v>
      </c>
      <c r="U68" s="9">
        <f t="shared" si="41"/>
        <v>1.4598817915857515E-4</v>
      </c>
      <c r="V68" s="102">
        <f t="shared" si="42"/>
        <v>0.89541082392512528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1.1979474472139457</v>
      </c>
      <c r="J69" s="54">
        <f t="shared" si="25"/>
        <v>4.3419099657043558</v>
      </c>
      <c r="K69" s="55">
        <f t="shared" si="26"/>
        <v>4.3825593838351738E-2</v>
      </c>
      <c r="L69" s="55">
        <f t="shared" si="27"/>
        <v>0.30832786548520386</v>
      </c>
      <c r="M69" s="55">
        <f t="shared" si="28"/>
        <v>0.69167213451479614</v>
      </c>
      <c r="N69" s="55">
        <f t="shared" si="29"/>
        <v>0.23627847276482497</v>
      </c>
      <c r="O69" s="56">
        <f t="shared" si="30"/>
        <v>4.3862338719836883E-8</v>
      </c>
      <c r="P69" s="56">
        <f t="shared" si="31"/>
        <v>9.6383290750674724E-4</v>
      </c>
      <c r="Q69" s="56">
        <f t="shared" si="32"/>
        <v>5.2014542666397393E-3</v>
      </c>
      <c r="R69" s="9">
        <f>F69*$C$14</f>
        <v>1.4999999999999999E-4</v>
      </c>
      <c r="S69" s="9">
        <f t="shared" si="39"/>
        <v>4.6249179822780571E-5</v>
      </c>
      <c r="T69" s="9">
        <f t="shared" si="40"/>
        <v>6.5738390757527599E-6</v>
      </c>
      <c r="U69" s="9">
        <f t="shared" si="41"/>
        <v>1.0375082017721941E-4</v>
      </c>
      <c r="V69" s="102">
        <f t="shared" si="42"/>
        <v>6.3361803449108342E-2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6.6276677113325539E-3</v>
      </c>
      <c r="J70" s="54">
        <f t="shared" si="25"/>
        <v>1.0971554041516225</v>
      </c>
      <c r="K70" s="55">
        <f t="shared" si="26"/>
        <v>0.980480224808016</v>
      </c>
      <c r="L70" s="55">
        <f t="shared" si="27"/>
        <v>3.9261713007574441E-3</v>
      </c>
      <c r="M70" s="55">
        <f t="shared" si="28"/>
        <v>0.99607382869924255</v>
      </c>
      <c r="N70" s="55">
        <f t="shared" si="29"/>
        <v>1.4283057494391847E-3</v>
      </c>
      <c r="O70" s="56">
        <f t="shared" si="30"/>
        <v>9.8130229306776347E-7</v>
      </c>
      <c r="P70" s="56">
        <f t="shared" si="31"/>
        <v>1.2273211486167768E-5</v>
      </c>
      <c r="Q70" s="56">
        <f t="shared" si="32"/>
        <v>3.1442843470048534E-5</v>
      </c>
      <c r="R70" s="9">
        <f t="shared" ref="R70:R86" si="43">F70*$C$14</f>
        <v>1.4999999999999999E-4</v>
      </c>
      <c r="S70" s="9">
        <f t="shared" si="39"/>
        <v>5.8892569511361657E-7</v>
      </c>
      <c r="T70" s="9">
        <f t="shared" si="40"/>
        <v>1.4707203372120239E-4</v>
      </c>
      <c r="U70" s="9">
        <f t="shared" si="41"/>
        <v>1.4941107430488636E-4</v>
      </c>
      <c r="V70" s="102">
        <f t="shared" si="42"/>
        <v>0.98434493162862235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2.8589842167479149E-2</v>
      </c>
      <c r="J71" s="54">
        <f t="shared" ref="J71:J122" si="45">IF(D71=0,"",LOG($K$21*10^D71+$K$22*10^E71+$K$20))</f>
        <v>1.8562658331213004</v>
      </c>
      <c r="K71" s="55">
        <f t="shared" ref="K71:K122" si="46">IF(D71=0,"",1/(1+10^D71*$J$15/$J$14+10^E71*$J$16/$J$14+10^J71*$J$19/$J$14))</f>
        <v>0.91609097442901177</v>
      </c>
      <c r="L71" s="55">
        <f t="shared" ref="L71:L122" si="47">IF(D71=0,"",1/(1+10^I71/10^J71*$J$13/$J$19))</f>
        <v>2.1065871885562679E-2</v>
      </c>
      <c r="M71" s="55">
        <f t="shared" si="19"/>
        <v>0.97893412811443736</v>
      </c>
      <c r="N71" s="55">
        <f t="shared" ref="N71:N122" si="48">IF(D71=0,"",1/(1/10^E71*$J$20/$J$22+10^D71/10^E71*$J$21/$J$22+10^I71/10^E71*$J$13/$J$22+1))</f>
        <v>1.2502588860135059E-2</v>
      </c>
      <c r="O71" s="56">
        <f t="shared" si="21"/>
        <v>9.1685905653211264E-7</v>
      </c>
      <c r="P71" s="56">
        <f t="shared" ref="P71:P122" si="49">IF(D71=0,"",O71*10^J71)</f>
        <v>6.5851915514268932E-5</v>
      </c>
      <c r="Q71" s="56">
        <f t="shared" ref="Q71:Q122" si="50">IF(D71=0,"",F71*N71*$J$7/$J$22)</f>
        <v>2.7523304772381828E-4</v>
      </c>
      <c r="R71" s="9">
        <f t="shared" si="43"/>
        <v>1.4999999999999999E-4</v>
      </c>
      <c r="S71" s="9">
        <f t="shared" si="39"/>
        <v>3.1598807828344015E-6</v>
      </c>
      <c r="T71" s="9">
        <f t="shared" si="40"/>
        <v>1.3741364616435176E-4</v>
      </c>
      <c r="U71" s="9">
        <f t="shared" si="41"/>
        <v>1.468401192171656E-4</v>
      </c>
      <c r="V71" s="102">
        <f t="shared" si="42"/>
        <v>0.9358045123971005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4.5043006346732313E-2</v>
      </c>
      <c r="J72" s="54">
        <f t="shared" si="45"/>
        <v>1.9791588629447154</v>
      </c>
      <c r="K72" s="55">
        <f t="shared" si="46"/>
        <v>0.87690375454806846</v>
      </c>
      <c r="L72" s="55">
        <f t="shared" si="47"/>
        <v>2.6759980562944437E-2</v>
      </c>
      <c r="M72" s="55">
        <f t="shared" si="19"/>
        <v>0.97324001943705551</v>
      </c>
      <c r="N72" s="55">
        <f t="shared" si="48"/>
        <v>1.289853169222261E-2</v>
      </c>
      <c r="O72" s="56">
        <f t="shared" si="21"/>
        <v>8.7763898074154793E-7</v>
      </c>
      <c r="P72" s="56">
        <f t="shared" si="49"/>
        <v>8.3651699239764292E-5</v>
      </c>
      <c r="Q72" s="56">
        <f t="shared" si="50"/>
        <v>2.8394936668935128E-4</v>
      </c>
      <c r="R72" s="9">
        <f t="shared" si="43"/>
        <v>1.4999999999999999E-4</v>
      </c>
      <c r="S72" s="9">
        <f t="shared" si="39"/>
        <v>4.013997084441665E-6</v>
      </c>
      <c r="T72" s="9">
        <f t="shared" si="40"/>
        <v>1.3153556318221027E-4</v>
      </c>
      <c r="U72" s="9">
        <f t="shared" si="41"/>
        <v>1.4598600291555831E-4</v>
      </c>
      <c r="V72" s="102">
        <f t="shared" si="42"/>
        <v>0.90101489564238202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2.829962486439805</v>
      </c>
      <c r="J73" s="54">
        <f t="shared" si="45"/>
        <v>6.2517180889118604</v>
      </c>
      <c r="K73" s="55">
        <f t="shared" si="46"/>
        <v>8.01297405432748E-4</v>
      </c>
      <c r="L73" s="55">
        <f t="shared" si="47"/>
        <v>0.45802251441474728</v>
      </c>
      <c r="M73" s="55">
        <f t="shared" si="19"/>
        <v>0.54197748558525272</v>
      </c>
      <c r="N73" s="55">
        <f t="shared" si="48"/>
        <v>0.42881017510420216</v>
      </c>
      <c r="O73" s="56">
        <f t="shared" si="21"/>
        <v>8.0196924066915313E-10</v>
      </c>
      <c r="P73" s="56">
        <f t="shared" si="49"/>
        <v>1.4317783800605003E-3</v>
      </c>
      <c r="Q73" s="56">
        <f t="shared" si="50"/>
        <v>9.4398634322234946E-3</v>
      </c>
      <c r="R73" s="9">
        <f t="shared" si="43"/>
        <v>1.4999999999999999E-4</v>
      </c>
      <c r="S73" s="9">
        <f t="shared" si="39"/>
        <v>6.8703377162212089E-5</v>
      </c>
      <c r="T73" s="9">
        <f t="shared" si="40"/>
        <v>1.201946108149122E-7</v>
      </c>
      <c r="U73" s="9">
        <f t="shared" si="41"/>
        <v>8.1296622837787898E-5</v>
      </c>
      <c r="V73" s="102">
        <f t="shared" si="42"/>
        <v>1.4784699120249792E-3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3.957220636313619E-3</v>
      </c>
      <c r="J74" s="54">
        <f t="shared" si="45"/>
        <v>0.92896201878272155</v>
      </c>
      <c r="K74" s="55">
        <f t="shared" si="46"/>
        <v>0.98775671899907747</v>
      </c>
      <c r="L74" s="55">
        <f t="shared" si="47"/>
        <v>2.685264142025945E-3</v>
      </c>
      <c r="M74" s="55">
        <f t="shared" si="19"/>
        <v>0.99731473585797403</v>
      </c>
      <c r="N74" s="55">
        <f t="shared" si="48"/>
        <v>1.1089177576100247E-3</v>
      </c>
      <c r="O74" s="56">
        <f t="shared" si="21"/>
        <v>9.8858488812120403E-7</v>
      </c>
      <c r="P74" s="56">
        <f t="shared" si="49"/>
        <v>8.3941357079731026E-6</v>
      </c>
      <c r="Q74" s="56">
        <f t="shared" si="50"/>
        <v>2.4411809227386883E-5</v>
      </c>
      <c r="R74" s="9">
        <f t="shared" si="43"/>
        <v>1.4999999999999999E-4</v>
      </c>
      <c r="S74" s="9">
        <f t="shared" si="39"/>
        <v>4.0278962130389173E-7</v>
      </c>
      <c r="T74" s="9">
        <f t="shared" si="40"/>
        <v>1.4816350784986159E-4</v>
      </c>
      <c r="U74" s="9">
        <f t="shared" si="41"/>
        <v>1.4959721037869608E-4</v>
      </c>
      <c r="V74" s="102">
        <f t="shared" si="42"/>
        <v>0.99041624823614582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4.1980440605165602E-3</v>
      </c>
      <c r="J75" s="54">
        <f t="shared" si="45"/>
        <v>0.93601930537447953</v>
      </c>
      <c r="K75" s="55">
        <f t="shared" si="46"/>
        <v>0.98716720961166537</v>
      </c>
      <c r="L75" s="55">
        <f t="shared" si="47"/>
        <v>2.7276272945084188E-3</v>
      </c>
      <c r="M75" s="55">
        <f t="shared" si="19"/>
        <v>0.99727237270549163</v>
      </c>
      <c r="N75" s="55">
        <f t="shared" si="48"/>
        <v>1.0568931098869883E-3</v>
      </c>
      <c r="O75" s="56">
        <f t="shared" si="21"/>
        <v>9.8799488446889603E-7</v>
      </c>
      <c r="P75" s="56">
        <f t="shared" si="49"/>
        <v>8.5265629226333178E-6</v>
      </c>
      <c r="Q75" s="56">
        <f t="shared" si="50"/>
        <v>2.3266534235962858E-5</v>
      </c>
      <c r="R75" s="9">
        <f t="shared" si="43"/>
        <v>1.4999999999999999E-4</v>
      </c>
      <c r="S75" s="9">
        <f t="shared" si="39"/>
        <v>4.0914409417626279E-7</v>
      </c>
      <c r="T75" s="9">
        <f t="shared" si="40"/>
        <v>1.4807508144174978E-4</v>
      </c>
      <c r="U75" s="9">
        <f t="shared" si="41"/>
        <v>1.4959085590582374E-4</v>
      </c>
      <c r="V75" s="102">
        <f t="shared" si="42"/>
        <v>0.98986719839995962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0.35626551305621779</v>
      </c>
      <c r="J76" s="54">
        <f t="shared" si="45"/>
        <v>3.1898469808277863</v>
      </c>
      <c r="K76" s="55">
        <f t="shared" si="46"/>
        <v>0.36125423870190843</v>
      </c>
      <c r="L76" s="55">
        <f t="shared" si="47"/>
        <v>0.1790749891323237</v>
      </c>
      <c r="M76" s="55">
        <f t="shared" si="19"/>
        <v>0.82092501086767633</v>
      </c>
      <c r="N76" s="55">
        <f t="shared" si="48"/>
        <v>0.12174616701518859</v>
      </c>
      <c r="O76" s="56">
        <f t="shared" si="21"/>
        <v>3.615571266498977E-7</v>
      </c>
      <c r="P76" s="56">
        <f t="shared" si="49"/>
        <v>5.5978841602764406E-4</v>
      </c>
      <c r="Q76" s="56">
        <f t="shared" si="50"/>
        <v>2.6801304090808419E-3</v>
      </c>
      <c r="R76" s="9">
        <f t="shared" si="43"/>
        <v>1.4999999999999999E-4</v>
      </c>
      <c r="S76" s="9">
        <f t="shared" si="39"/>
        <v>2.6861248369848552E-5</v>
      </c>
      <c r="T76" s="9">
        <f t="shared" si="40"/>
        <v>5.4188135805286257E-5</v>
      </c>
      <c r="U76" s="9">
        <f t="shared" si="41"/>
        <v>1.2313875163015144E-4</v>
      </c>
      <c r="V76" s="102">
        <f t="shared" si="42"/>
        <v>0.4400575374358261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2.1004549420906745E-4</v>
      </c>
      <c r="J77" s="54">
        <f t="shared" si="45"/>
        <v>0.11582725100744901</v>
      </c>
      <c r="K77" s="55">
        <f t="shared" si="46"/>
        <v>0.99858170563601856</v>
      </c>
      <c r="L77" s="55">
        <f t="shared" si="47"/>
        <v>4.1743211423652342E-4</v>
      </c>
      <c r="M77" s="55">
        <f t="shared" si="19"/>
        <v>0.9995825678857635</v>
      </c>
      <c r="N77" s="55">
        <f t="shared" si="48"/>
        <v>6.8936138248354041E-5</v>
      </c>
      <c r="O77" s="56">
        <f t="shared" si="21"/>
        <v>9.9941895079833537E-7</v>
      </c>
      <c r="P77" s="56">
        <f t="shared" si="49"/>
        <v>1.3048927891033717E-6</v>
      </c>
      <c r="Q77" s="56">
        <f t="shared" si="50"/>
        <v>1.5175659729884139E-6</v>
      </c>
      <c r="R77" s="9">
        <f t="shared" si="43"/>
        <v>1.4999999999999999E-4</v>
      </c>
      <c r="S77" s="9">
        <f t="shared" si="39"/>
        <v>6.2614817135478506E-8</v>
      </c>
      <c r="T77" s="9">
        <f t="shared" si="40"/>
        <v>1.4978725584540277E-4</v>
      </c>
      <c r="U77" s="9">
        <f t="shared" si="41"/>
        <v>1.4993738518286452E-4</v>
      </c>
      <c r="V77" s="102">
        <f t="shared" si="42"/>
        <v>0.99899871978373744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9.6186457475178466E-3</v>
      </c>
      <c r="J78" s="54">
        <f t="shared" si="45"/>
        <v>1.3393017792075548</v>
      </c>
      <c r="K78" s="55">
        <f t="shared" si="46"/>
        <v>0.97095116003987636</v>
      </c>
      <c r="L78" s="55">
        <f t="shared" si="47"/>
        <v>6.7900686519807808E-3</v>
      </c>
      <c r="M78" s="55">
        <f t="shared" si="19"/>
        <v>0.99320993134801927</v>
      </c>
      <c r="N78" s="55">
        <f t="shared" si="48"/>
        <v>3.5056110606719254E-3</v>
      </c>
      <c r="O78" s="56">
        <f t="shared" si="21"/>
        <v>9.7176523880478999E-7</v>
      </c>
      <c r="P78" s="56">
        <f t="shared" si="49"/>
        <v>2.1225754606091925E-5</v>
      </c>
      <c r="Q78" s="56">
        <f t="shared" si="50"/>
        <v>7.7172818138453807E-5</v>
      </c>
      <c r="R78" s="9">
        <f t="shared" si="43"/>
        <v>1.4999999999999999E-4</v>
      </c>
      <c r="S78" s="9">
        <f t="shared" si="39"/>
        <v>1.0185102977971171E-6</v>
      </c>
      <c r="T78" s="9">
        <f t="shared" si="40"/>
        <v>1.4564267400598145E-4</v>
      </c>
      <c r="U78" s="9">
        <f t="shared" si="41"/>
        <v>1.4898148970220288E-4</v>
      </c>
      <c r="V78" s="102">
        <f t="shared" si="42"/>
        <v>0.9775890568493083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8.6760595853303396E-2</v>
      </c>
      <c r="J79" s="54">
        <f t="shared" si="45"/>
        <v>2.3514817080656072</v>
      </c>
      <c r="K79" s="55">
        <f t="shared" si="46"/>
        <v>0.77298846465215432</v>
      </c>
      <c r="L79" s="55">
        <f t="shared" si="47"/>
        <v>5.5594230346392055E-2</v>
      </c>
      <c r="M79" s="55">
        <f t="shared" si="19"/>
        <v>0.9444057696536079</v>
      </c>
      <c r="N79" s="55">
        <f t="shared" si="48"/>
        <v>3.2341961701428522E-2</v>
      </c>
      <c r="O79" s="56">
        <f t="shared" si="21"/>
        <v>7.7363656470135828E-7</v>
      </c>
      <c r="P79" s="56">
        <f t="shared" si="49"/>
        <v>1.7378756406282155E-4</v>
      </c>
      <c r="Q79" s="56">
        <f t="shared" si="50"/>
        <v>7.1197867801877171E-4</v>
      </c>
      <c r="R79" s="9">
        <f t="shared" si="43"/>
        <v>1.4999999999999999E-4</v>
      </c>
      <c r="S79" s="9">
        <f t="shared" si="39"/>
        <v>8.3391345519588074E-6</v>
      </c>
      <c r="T79" s="9">
        <f t="shared" si="40"/>
        <v>1.1594826969782314E-4</v>
      </c>
      <c r="U79" s="9">
        <f t="shared" si="41"/>
        <v>1.4166086544804116E-4</v>
      </c>
      <c r="V79" s="102">
        <f t="shared" si="42"/>
        <v>0.81849189139925882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1.9819141928346475</v>
      </c>
      <c r="J80" s="54">
        <f t="shared" si="45"/>
        <v>5.2573793638422401</v>
      </c>
      <c r="K80" s="55">
        <f t="shared" si="46"/>
        <v>6.4985310852781553E-3</v>
      </c>
      <c r="L80" s="55">
        <f t="shared" si="47"/>
        <v>0.3763306284232793</v>
      </c>
      <c r="M80" s="55">
        <f t="shared" si="19"/>
        <v>0.62366937157672075</v>
      </c>
      <c r="N80" s="55">
        <f t="shared" si="48"/>
        <v>0.32046052971000449</v>
      </c>
      <c r="O80" s="56">
        <f t="shared" si="21"/>
        <v>6.5039796766979731E-9</v>
      </c>
      <c r="P80" s="56">
        <f t="shared" si="49"/>
        <v>1.1764095444511714E-3</v>
      </c>
      <c r="Q80" s="56">
        <f t="shared" si="50"/>
        <v>7.0546451822075642E-3</v>
      </c>
      <c r="R80" s="9">
        <f t="shared" si="43"/>
        <v>1.4999999999999999E-4</v>
      </c>
      <c r="S80" s="9">
        <f t="shared" si="39"/>
        <v>5.6449594263491891E-5</v>
      </c>
      <c r="T80" s="9">
        <f t="shared" si="40"/>
        <v>9.7477966279172327E-7</v>
      </c>
      <c r="U80" s="9">
        <f t="shared" si="41"/>
        <v>9.3550405736508109E-5</v>
      </c>
      <c r="V80" s="102">
        <f t="shared" si="42"/>
        <v>1.0419833619292523E-2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0.12726341031571042</v>
      </c>
      <c r="J81" s="54">
        <f t="shared" si="45"/>
        <v>2.638206330325866</v>
      </c>
      <c r="K81" s="55">
        <f t="shared" si="46"/>
        <v>0.67550878110358847</v>
      </c>
      <c r="L81" s="55">
        <f t="shared" si="47"/>
        <v>9.4018286183487398E-2</v>
      </c>
      <c r="M81" s="55">
        <f t="shared" si="19"/>
        <v>0.9059817138165126</v>
      </c>
      <c r="N81" s="55">
        <f t="shared" si="48"/>
        <v>6.5815221072604929E-2</v>
      </c>
      <c r="O81" s="56">
        <f t="shared" si="21"/>
        <v>6.7607515084167762E-7</v>
      </c>
      <c r="P81" s="56">
        <f t="shared" si="49"/>
        <v>2.9390116260958162E-4</v>
      </c>
      <c r="Q81" s="56">
        <f t="shared" si="50"/>
        <v>1.4488618385419933E-3</v>
      </c>
      <c r="R81" s="9">
        <f t="shared" si="43"/>
        <v>1.4999999999999999E-4</v>
      </c>
      <c r="S81" s="9">
        <f t="shared" si="39"/>
        <v>1.4102742927523108E-5</v>
      </c>
      <c r="T81" s="9">
        <f t="shared" si="40"/>
        <v>1.0132631716553826E-4</v>
      </c>
      <c r="U81" s="9">
        <f t="shared" si="41"/>
        <v>1.3589725707247689E-4</v>
      </c>
      <c r="V81" s="102">
        <f t="shared" si="42"/>
        <v>0.74560973008821507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0.47104615060046062</v>
      </c>
      <c r="J82" s="54">
        <f t="shared" si="45"/>
        <v>3.4821247233434276</v>
      </c>
      <c r="K82" s="55">
        <f t="shared" si="46"/>
        <v>0.25435666152184871</v>
      </c>
      <c r="L82" s="55">
        <f t="shared" si="47"/>
        <v>0.24713988522304028</v>
      </c>
      <c r="M82" s="55">
        <f t="shared" si="19"/>
        <v>0.75286011477695969</v>
      </c>
      <c r="N82" s="55">
        <f t="shared" si="48"/>
        <v>0.19317657494630189</v>
      </c>
      <c r="O82" s="56">
        <f t="shared" si="21"/>
        <v>2.5456992287358422E-7</v>
      </c>
      <c r="P82" s="56">
        <f t="shared" si="49"/>
        <v>7.7255928120722409E-4</v>
      </c>
      <c r="Q82" s="56">
        <f t="shared" si="50"/>
        <v>4.2526054456488716E-3</v>
      </c>
      <c r="R82" s="9">
        <f t="shared" si="43"/>
        <v>1.4999999999999999E-4</v>
      </c>
      <c r="S82" s="9">
        <f t="shared" si="39"/>
        <v>3.7070982783456039E-5</v>
      </c>
      <c r="T82" s="9">
        <f t="shared" si="40"/>
        <v>3.8153499228277301E-5</v>
      </c>
      <c r="U82" s="9">
        <f t="shared" si="41"/>
        <v>1.1292901721654395E-4</v>
      </c>
      <c r="V82" s="102">
        <f t="shared" si="42"/>
        <v>0.337853814446265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0.17835694544431213</v>
      </c>
      <c r="J83" s="54">
        <f t="shared" si="45"/>
        <v>2.8279013612794559</v>
      </c>
      <c r="K83" s="55">
        <f t="shared" si="46"/>
        <v>0.58003209492971874</v>
      </c>
      <c r="L83" s="55">
        <f t="shared" si="47"/>
        <v>0.12494773490090817</v>
      </c>
      <c r="M83" s="55">
        <f t="shared" si="19"/>
        <v>0.87505226509909184</v>
      </c>
      <c r="N83" s="55">
        <f t="shared" si="48"/>
        <v>8.9621327097738082E-2</v>
      </c>
      <c r="O83" s="56">
        <f t="shared" si="21"/>
        <v>5.805184137384127E-7</v>
      </c>
      <c r="P83" s="56">
        <f t="shared" si="49"/>
        <v>3.9058661930023892E-4</v>
      </c>
      <c r="Q83" s="56">
        <f t="shared" si="50"/>
        <v>1.9729314683628821E-3</v>
      </c>
      <c r="R83" s="9">
        <f t="shared" si="43"/>
        <v>1.4999999999999999E-4</v>
      </c>
      <c r="S83" s="9">
        <f t="shared" si="39"/>
        <v>1.8742160235136223E-5</v>
      </c>
      <c r="T83" s="9">
        <f t="shared" si="40"/>
        <v>8.7004814239457809E-5</v>
      </c>
      <c r="U83" s="9">
        <f t="shared" si="41"/>
        <v>1.3125783976486376E-4</v>
      </c>
      <c r="V83" s="102">
        <f t="shared" si="42"/>
        <v>0.6628542294716937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5.9812805986470914E-3</v>
      </c>
      <c r="J84" s="54">
        <f t="shared" si="45"/>
        <v>1.1194464580046877</v>
      </c>
      <c r="K84" s="55">
        <f t="shared" si="46"/>
        <v>0.98173157419262225</v>
      </c>
      <c r="L84" s="55">
        <f t="shared" si="47"/>
        <v>4.1382261241826139E-3</v>
      </c>
      <c r="M84" s="55">
        <f t="shared" si="19"/>
        <v>0.99586177387581742</v>
      </c>
      <c r="N84" s="55">
        <f t="shared" si="48"/>
        <v>1.9431445301500109E-3</v>
      </c>
      <c r="O84" s="56">
        <f t="shared" si="21"/>
        <v>9.8255469162662628E-7</v>
      </c>
      <c r="P84" s="56">
        <f t="shared" si="49"/>
        <v>1.2936094864194853E-5</v>
      </c>
      <c r="Q84" s="56">
        <f t="shared" si="50"/>
        <v>4.277654789611926E-5</v>
      </c>
      <c r="R84" s="9">
        <f t="shared" si="43"/>
        <v>1.4999999999999999E-4</v>
      </c>
      <c r="S84" s="9">
        <f t="shared" si="39"/>
        <v>6.2073391862739206E-7</v>
      </c>
      <c r="T84" s="9">
        <f t="shared" si="40"/>
        <v>1.4725973612889334E-4</v>
      </c>
      <c r="U84" s="9">
        <f t="shared" si="41"/>
        <v>1.4937926608137261E-4</v>
      </c>
      <c r="V84" s="102">
        <f t="shared" si="42"/>
        <v>0.98581108337133827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0.11910186422699467</v>
      </c>
      <c r="J85" s="54">
        <f t="shared" si="45"/>
        <v>2.6217835296151417</v>
      </c>
      <c r="K85" s="55">
        <f t="shared" si="46"/>
        <v>0.68954497116578972</v>
      </c>
      <c r="L85" s="55">
        <f t="shared" si="47"/>
        <v>9.241045876679628E-2</v>
      </c>
      <c r="M85" s="55">
        <f t="shared" si="19"/>
        <v>0.90758954123320368</v>
      </c>
      <c r="N85" s="55">
        <f t="shared" si="48"/>
        <v>6.6251534395264156E-2</v>
      </c>
      <c r="O85" s="56">
        <f t="shared" si="21"/>
        <v>6.9012310932719415E-7</v>
      </c>
      <c r="P85" s="56">
        <f t="shared" si="49"/>
        <v>2.8887509410500511E-4</v>
      </c>
      <c r="Q85" s="56">
        <f t="shared" si="50"/>
        <v>1.4584668768985616E-3</v>
      </c>
      <c r="R85" s="9">
        <f t="shared" si="43"/>
        <v>1.4999999999999999E-4</v>
      </c>
      <c r="S85" s="9">
        <f t="shared" si="39"/>
        <v>1.3861568815019441E-5</v>
      </c>
      <c r="T85" s="9">
        <f t="shared" si="40"/>
        <v>1.0343174567486844E-4</v>
      </c>
      <c r="U85" s="9">
        <f t="shared" si="41"/>
        <v>1.3613843118498055E-4</v>
      </c>
      <c r="V85" s="102">
        <f t="shared" si="42"/>
        <v>0.75975420588128206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3.4503381608646556E-2</v>
      </c>
      <c r="J86" s="54">
        <f t="shared" si="45"/>
        <v>1.9657934893493081</v>
      </c>
      <c r="K86" s="55">
        <f t="shared" si="46"/>
        <v>0.89860107198671679</v>
      </c>
      <c r="L86" s="55">
        <f t="shared" si="47"/>
        <v>2.6591046093799434E-2</v>
      </c>
      <c r="M86" s="55">
        <f t="shared" si="19"/>
        <v>0.97340895390620052</v>
      </c>
      <c r="N86" s="55">
        <f t="shared" si="48"/>
        <v>1.6675170296562545E-2</v>
      </c>
      <c r="O86" s="56">
        <f t="shared" si="21"/>
        <v>8.993544899555494E-7</v>
      </c>
      <c r="P86" s="56">
        <f t="shared" si="49"/>
        <v>8.3123610089217044E-5</v>
      </c>
      <c r="Q86" s="56">
        <f t="shared" si="50"/>
        <v>3.6708860807784871E-4</v>
      </c>
      <c r="R86" s="9">
        <f t="shared" si="43"/>
        <v>1.4999999999999999E-4</v>
      </c>
      <c r="S86" s="9">
        <f t="shared" si="39"/>
        <v>3.9886569140699147E-6</v>
      </c>
      <c r="T86" s="9">
        <f t="shared" si="40"/>
        <v>1.3479016079800751E-4</v>
      </c>
      <c r="U86" s="9">
        <f t="shared" si="41"/>
        <v>1.4601134308593006E-4</v>
      </c>
      <c r="V86" s="102">
        <f t="shared" si="42"/>
        <v>0.92314855783965555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1.1640116161103842</v>
      </c>
      <c r="J88" s="54">
        <f t="shared" si="45"/>
        <v>4.4541110421332437</v>
      </c>
      <c r="K88" s="55">
        <f t="shared" si="46"/>
        <v>4.2184453856175162E-2</v>
      </c>
      <c r="L88" s="55">
        <f t="shared" si="47"/>
        <v>0.38427176411770542</v>
      </c>
      <c r="M88" s="55">
        <f t="shared" si="19"/>
        <v>0.61572823588229464</v>
      </c>
      <c r="N88" s="55">
        <f t="shared" si="48"/>
        <v>0.3376787848997635</v>
      </c>
      <c r="O88" s="56">
        <f t="shared" si="21"/>
        <v>4.221982274959342E-8</v>
      </c>
      <c r="P88" s="56">
        <f t="shared" si="49"/>
        <v>1.2012335346319473E-3</v>
      </c>
      <c r="Q88" s="56">
        <f t="shared" si="50"/>
        <v>7.4336893070187371E-3</v>
      </c>
      <c r="R88" s="9">
        <f>F88*$C$14</f>
        <v>1.4999999999999999E-4</v>
      </c>
      <c r="S88" s="9">
        <f t="shared" si="39"/>
        <v>5.7640764617655809E-5</v>
      </c>
      <c r="T88" s="9">
        <f t="shared" si="40"/>
        <v>6.3276680784262736E-6</v>
      </c>
      <c r="U88" s="9">
        <f t="shared" si="41"/>
        <v>9.2359235382344192E-5</v>
      </c>
      <c r="V88" s="102">
        <f t="shared" si="42"/>
        <v>6.8511481848364239E-2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2.5219720041185627</v>
      </c>
      <c r="J89" s="54">
        <f t="shared" si="45"/>
        <v>5.9198274752242268</v>
      </c>
      <c r="K89" s="55">
        <f t="shared" si="46"/>
        <v>1.6694293256630957E-3</v>
      </c>
      <c r="L89" s="55">
        <f t="shared" si="47"/>
        <v>0.44439638201617149</v>
      </c>
      <c r="M89" s="55">
        <f t="shared" si="19"/>
        <v>0.55560361798382851</v>
      </c>
      <c r="N89" s="55">
        <f t="shared" si="48"/>
        <v>0.41072239491792772</v>
      </c>
      <c r="O89" s="56">
        <f t="shared" si="21"/>
        <v>1.6708290324861357E-9</v>
      </c>
      <c r="P89" s="56">
        <f t="shared" si="49"/>
        <v>1.3891830901825517E-3</v>
      </c>
      <c r="Q89" s="56">
        <f t="shared" si="50"/>
        <v>9.0416775106580451E-3</v>
      </c>
      <c r="R89" s="9">
        <f>F89*$C$14</f>
        <v>1.4999999999999999E-4</v>
      </c>
      <c r="S89" s="9">
        <f t="shared" si="39"/>
        <v>6.6659457302425718E-5</v>
      </c>
      <c r="T89" s="9">
        <f t="shared" si="40"/>
        <v>2.5041439884946435E-7</v>
      </c>
      <c r="U89" s="9">
        <f t="shared" si="41"/>
        <v>8.3340542697574269E-5</v>
      </c>
      <c r="V89" s="102">
        <f t="shared" si="42"/>
        <v>3.0047128413618184E-3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2.8671793282646911</v>
      </c>
      <c r="J90" s="54">
        <f t="shared" si="45"/>
        <v>6.2984912087723171</v>
      </c>
      <c r="K90" s="55">
        <f t="shared" si="46"/>
        <v>7.2807109438833108E-4</v>
      </c>
      <c r="L90" s="55">
        <f t="shared" si="47"/>
        <v>0.46348960579456616</v>
      </c>
      <c r="M90" s="55">
        <f t="shared" si="19"/>
        <v>0.53651039420543389</v>
      </c>
      <c r="N90" s="55">
        <f t="shared" si="48"/>
        <v>0.43611812345947004</v>
      </c>
      <c r="O90" s="56">
        <f t="shared" si="21"/>
        <v>7.2868153417323703E-10</v>
      </c>
      <c r="P90" s="56">
        <f t="shared" si="49"/>
        <v>1.4488685077138149E-3</v>
      </c>
      <c r="Q90" s="56">
        <f t="shared" si="50"/>
        <v>9.6007412248894624E-3</v>
      </c>
      <c r="R90" s="9">
        <f>F90*$C$14</f>
        <v>1.4999999999999999E-4</v>
      </c>
      <c r="S90" s="9">
        <f t="shared" si="39"/>
        <v>6.9523440869184914E-5</v>
      </c>
      <c r="T90" s="9">
        <f t="shared" si="40"/>
        <v>1.0921066415824965E-7</v>
      </c>
      <c r="U90" s="9">
        <f t="shared" si="41"/>
        <v>8.0476559130815073E-5</v>
      </c>
      <c r="V90" s="102">
        <f t="shared" si="42"/>
        <v>1.3570493736036495E-3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3.2678433041260839</v>
      </c>
      <c r="J91" s="54">
        <f t="shared" si="45"/>
        <v>6.7277753052884339</v>
      </c>
      <c r="K91" s="55">
        <f t="shared" si="46"/>
        <v>2.8054972577741945E-4</v>
      </c>
      <c r="L91" s="55">
        <f t="shared" si="47"/>
        <v>0.47991039278482145</v>
      </c>
      <c r="M91" s="55">
        <f t="shared" si="19"/>
        <v>0.52008960721517861</v>
      </c>
      <c r="N91" s="55">
        <f t="shared" si="48"/>
        <v>0.45802606590916511</v>
      </c>
      <c r="O91" s="56">
        <f t="shared" si="21"/>
        <v>2.807849482928839E-10</v>
      </c>
      <c r="P91" s="56">
        <f t="shared" si="49"/>
        <v>1.5001998878453524E-3</v>
      </c>
      <c r="Q91" s="56">
        <f t="shared" si="50"/>
        <v>1.0083024521352468E-2</v>
      </c>
      <c r="R91" s="9">
        <f t="shared" ref="R91:R92" si="51">F91*$C$14</f>
        <v>1.4999999999999999E-4</v>
      </c>
      <c r="S91" s="9">
        <f t="shared" si="39"/>
        <v>7.1986558917723205E-5</v>
      </c>
      <c r="T91" s="9">
        <f t="shared" si="40"/>
        <v>4.2082458866612914E-8</v>
      </c>
      <c r="U91" s="9">
        <f t="shared" si="41"/>
        <v>7.8013441082276782E-5</v>
      </c>
      <c r="V91" s="102">
        <f t="shared" si="42"/>
        <v>5.3942574872746225E-4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4.4880081925943038</v>
      </c>
      <c r="J92" s="54">
        <f t="shared" si="45"/>
        <v>7.9903404987982469</v>
      </c>
      <c r="K92" s="55">
        <f t="shared" si="46"/>
        <v>1.610569732773275E-5</v>
      </c>
      <c r="L92" s="55">
        <f t="shared" si="47"/>
        <v>0.50430704266573323</v>
      </c>
      <c r="M92" s="55">
        <f t="shared" si="19"/>
        <v>0.49569295733426677</v>
      </c>
      <c r="N92" s="55">
        <f t="shared" si="48"/>
        <v>0.49064895558397953</v>
      </c>
      <c r="O92" s="56">
        <f t="shared" si="21"/>
        <v>1.6119200896942239E-11</v>
      </c>
      <c r="P92" s="56">
        <f t="shared" si="49"/>
        <v>1.5764638153730832E-3</v>
      </c>
      <c r="Q92" s="56">
        <f t="shared" si="50"/>
        <v>1.0801187571517747E-2</v>
      </c>
      <c r="R92" s="9">
        <f t="shared" si="51"/>
        <v>1.4999999999999999E-4</v>
      </c>
      <c r="S92" s="9">
        <f t="shared" si="39"/>
        <v>7.5646056399859975E-5</v>
      </c>
      <c r="T92" s="9">
        <f t="shared" si="40"/>
        <v>2.4158545991599124E-9</v>
      </c>
      <c r="U92" s="9">
        <f t="shared" si="41"/>
        <v>7.4353943600140012E-5</v>
      </c>
      <c r="V92" s="102">
        <f t="shared" si="42"/>
        <v>3.2491277290574851E-5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3.2311126461878961E-2</v>
      </c>
      <c r="J93" s="54">
        <f t="shared" si="45"/>
        <v>1.7879431652958269</v>
      </c>
      <c r="K93" s="55">
        <f t="shared" si="46"/>
        <v>0.91120909423642915</v>
      </c>
      <c r="L93" s="55">
        <f t="shared" si="47"/>
        <v>1.7903428738800464E-2</v>
      </c>
      <c r="M93" s="55">
        <f t="shared" ref="M93:M127" si="52">IF(D93=0,"",1-L93)</f>
        <v>0.98209657126119954</v>
      </c>
      <c r="N93" s="55">
        <f t="shared" si="48"/>
        <v>7.3668426041157168E-3</v>
      </c>
      <c r="O93" s="56">
        <f t="shared" ref="O93:O127" si="53">IF(D93=0,"",F93*K93*$J$7/$J$14)</f>
        <v>9.1197308320368431E-7</v>
      </c>
      <c r="P93" s="56">
        <f t="shared" si="49"/>
        <v>5.5966118237490259E-5</v>
      </c>
      <c r="Q93" s="56">
        <f t="shared" si="50"/>
        <v>1.6217429563708261E-4</v>
      </c>
      <c r="R93" s="9">
        <f>F93*$C$14</f>
        <v>1.4999999999999999E-4</v>
      </c>
      <c r="S93" s="9">
        <f t="shared" si="39"/>
        <v>2.6855143108200693E-6</v>
      </c>
      <c r="T93" s="9">
        <f t="shared" si="40"/>
        <v>1.3668136413546436E-4</v>
      </c>
      <c r="U93" s="9">
        <f t="shared" si="41"/>
        <v>1.4731448568917991E-4</v>
      </c>
      <c r="V93" s="102">
        <f t="shared" si="42"/>
        <v>0.92782025810991553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1.9446765022663539E-3</v>
      </c>
      <c r="J107" s="54">
        <f t="shared" si="45"/>
        <v>0.65878493193924714</v>
      </c>
      <c r="K107" s="55">
        <f t="shared" si="46"/>
        <v>0.99357379390067657</v>
      </c>
      <c r="L107" s="55">
        <f t="shared" si="47"/>
        <v>1.4499734874425939E-3</v>
      </c>
      <c r="M107" s="55">
        <f t="shared" si="52"/>
        <v>0.99855002651255742</v>
      </c>
      <c r="N107" s="55">
        <f t="shared" si="48"/>
        <v>5.2780739864889117E-4</v>
      </c>
      <c r="O107" s="56">
        <f t="shared" si="53"/>
        <v>9.9440684025797849E-7</v>
      </c>
      <c r="P107" s="56">
        <f t="shared" si="49"/>
        <v>4.5326171217455484E-6</v>
      </c>
      <c r="Q107" s="56">
        <f t="shared" si="50"/>
        <v>1.1619196677298828E-5</v>
      </c>
      <c r="R107" s="9">
        <f>F107*$C$14</f>
        <v>1.4999999999999999E-4</v>
      </c>
      <c r="S107" s="9">
        <f t="shared" ref="S107:S108" si="54">$R107*L107</f>
        <v>2.1749602311638906E-7</v>
      </c>
      <c r="T107" s="9">
        <f t="shared" ref="T107:T108" si="55">R107*K107</f>
        <v>1.4903606908510148E-4</v>
      </c>
      <c r="U107" s="9">
        <f t="shared" ref="U107:U108" si="56">$R107*M107</f>
        <v>1.4978250397688361E-4</v>
      </c>
      <c r="V107" s="102">
        <f t="shared" ref="V107:V108" si="57">K107/M107</f>
        <v>0.99501654150542629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1.5422749478710035E-2</v>
      </c>
      <c r="J108" s="54">
        <f t="shared" si="45"/>
        <v>1.5278597886488654</v>
      </c>
      <c r="K108" s="55">
        <f t="shared" si="46"/>
        <v>0.95466980713122263</v>
      </c>
      <c r="L108" s="55">
        <f t="shared" si="47"/>
        <v>1.0305948724268387E-2</v>
      </c>
      <c r="M108" s="55">
        <f t="shared" si="52"/>
        <v>0.98969405127573162</v>
      </c>
      <c r="N108" s="55">
        <f t="shared" si="48"/>
        <v>5.2103336300284714E-3</v>
      </c>
      <c r="O108" s="56">
        <f t="shared" si="53"/>
        <v>9.5547023505126108E-7</v>
      </c>
      <c r="P108" s="56">
        <f t="shared" si="49"/>
        <v>3.2216395712062975E-5</v>
      </c>
      <c r="Q108" s="56">
        <f t="shared" si="50"/>
        <v>1.1470072484133102E-4</v>
      </c>
      <c r="R108" s="9">
        <f>F108*$C$14</f>
        <v>1.4999999999999999E-4</v>
      </c>
      <c r="S108" s="9">
        <f t="shared" si="54"/>
        <v>1.545892308640258E-6</v>
      </c>
      <c r="T108" s="9">
        <f t="shared" si="55"/>
        <v>1.4320047106968338E-4</v>
      </c>
      <c r="U108" s="9">
        <f t="shared" si="56"/>
        <v>1.4845410769135972E-4</v>
      </c>
      <c r="V108" s="102">
        <f t="shared" si="57"/>
        <v>0.96461103903841583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1.0353959656071578E-2</v>
      </c>
      <c r="J114" s="54">
        <f t="shared" si="45"/>
        <v>1.3877069023096393</v>
      </c>
      <c r="K114" s="55">
        <f t="shared" si="46"/>
        <v>0.96854564347240846</v>
      </c>
      <c r="L114" s="55">
        <f t="shared" si="47"/>
        <v>7.5718498876102304E-3</v>
      </c>
      <c r="M114" s="55">
        <f t="shared" si="52"/>
        <v>0.99242815011238972</v>
      </c>
      <c r="N114" s="55">
        <f t="shared" si="48"/>
        <v>4.1087757375307997E-3</v>
      </c>
      <c r="O114" s="56">
        <f t="shared" si="53"/>
        <v>9.6935770536970127E-7</v>
      </c>
      <c r="P114" s="56">
        <f t="shared" si="49"/>
        <v>2.3669602748669583E-5</v>
      </c>
      <c r="Q114" s="56">
        <f t="shared" si="50"/>
        <v>9.0450936306487884E-5</v>
      </c>
      <c r="R114" s="9">
        <f>F114*$C$14</f>
        <v>1.4999999999999999E-4</v>
      </c>
      <c r="S114" s="9">
        <f t="shared" ref="S114:S116" si="58">$R114*L114</f>
        <v>1.1357774831415345E-6</v>
      </c>
      <c r="T114" s="9">
        <f t="shared" ref="T114:T116" si="59">R114*K114</f>
        <v>1.4528184652086126E-4</v>
      </c>
      <c r="U114" s="9">
        <f t="shared" ref="U114:U116" si="60">$R114*M114</f>
        <v>1.4886422251685844E-4</v>
      </c>
      <c r="V114" s="102">
        <f t="shared" ref="V114:V116" si="61">K114/M114</f>
        <v>0.97593527890429488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2.0480395290290027E-2</v>
      </c>
      <c r="J115" s="54">
        <f t="shared" si="45"/>
        <v>1.4994216752369602</v>
      </c>
      <c r="K115" s="55">
        <f t="shared" si="46"/>
        <v>0.94433893921342515</v>
      </c>
      <c r="L115" s="55">
        <f t="shared" si="47"/>
        <v>9.5482674294279993E-3</v>
      </c>
      <c r="M115" s="55">
        <f t="shared" si="52"/>
        <v>0.99045173257057195</v>
      </c>
      <c r="N115" s="55">
        <f t="shared" si="48"/>
        <v>2.2897456542813701E-3</v>
      </c>
      <c r="O115" s="56">
        <f t="shared" si="53"/>
        <v>9.4513070537935986E-7</v>
      </c>
      <c r="P115" s="56">
        <f t="shared" si="49"/>
        <v>2.9847883984391926E-5</v>
      </c>
      <c r="Q115" s="56">
        <f t="shared" si="50"/>
        <v>5.0406654332982842E-5</v>
      </c>
      <c r="R115" s="9">
        <f>F115*$C$14</f>
        <v>1.4999999999999999E-4</v>
      </c>
      <c r="S115" s="9">
        <f t="shared" si="58"/>
        <v>1.4322401144141998E-6</v>
      </c>
      <c r="T115" s="9">
        <f t="shared" si="59"/>
        <v>1.4165084088201376E-4</v>
      </c>
      <c r="U115" s="9">
        <f t="shared" si="60"/>
        <v>1.4856775988558577E-4</v>
      </c>
      <c r="V115" s="102">
        <f t="shared" si="61"/>
        <v>0.95344266475513373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5.8413729360461944E-4</v>
      </c>
      <c r="J116" s="54">
        <f t="shared" si="45"/>
        <v>0.23502720558428331</v>
      </c>
      <c r="K116" s="55">
        <f t="shared" si="46"/>
        <v>0.99759087107654476</v>
      </c>
      <c r="L116" s="55">
        <f t="shared" si="47"/>
        <v>5.4872490628861989E-4</v>
      </c>
      <c r="M116" s="55">
        <f t="shared" si="52"/>
        <v>0.99945127509371134</v>
      </c>
      <c r="N116" s="55">
        <f t="shared" si="48"/>
        <v>6.1965621768579013E-5</v>
      </c>
      <c r="O116" s="56">
        <f t="shared" si="53"/>
        <v>9.9842728548917256E-7</v>
      </c>
      <c r="P116" s="56">
        <f t="shared" si="49"/>
        <v>1.7153140570582259E-6</v>
      </c>
      <c r="Q116" s="56">
        <f t="shared" si="50"/>
        <v>1.3641164341449156E-6</v>
      </c>
      <c r="R116" s="9">
        <f>F116*$C$14</f>
        <v>1.4999999999999999E-4</v>
      </c>
      <c r="S116" s="9">
        <f t="shared" si="58"/>
        <v>8.2308735943292978E-8</v>
      </c>
      <c r="T116" s="9">
        <f t="shared" si="59"/>
        <v>1.496386306614817E-4</v>
      </c>
      <c r="U116" s="9">
        <f t="shared" si="60"/>
        <v>1.4991769126405669E-4</v>
      </c>
      <c r="V116" s="102">
        <f t="shared" si="61"/>
        <v>0.99813857457234001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0.56658503951123784</v>
      </c>
      <c r="J119" s="54">
        <f t="shared" si="45"/>
        <v>3.5881322653047101</v>
      </c>
      <c r="K119" s="55">
        <f t="shared" si="46"/>
        <v>0.20290532011648868</v>
      </c>
      <c r="L119" s="55">
        <f t="shared" si="47"/>
        <v>0.25165218218536872</v>
      </c>
      <c r="M119" s="55">
        <f t="shared" si="52"/>
        <v>0.74834781781463122</v>
      </c>
      <c r="N119" s="55">
        <f t="shared" si="48"/>
        <v>0.18972727966320976</v>
      </c>
      <c r="O119" s="56">
        <f t="shared" si="53"/>
        <v>2.0307544289834729E-7</v>
      </c>
      <c r="P119" s="56">
        <f t="shared" si="49"/>
        <v>7.866647215114623E-4</v>
      </c>
      <c r="Q119" s="56">
        <f t="shared" si="50"/>
        <v>4.1766723677971393E-3</v>
      </c>
      <c r="R119" s="9">
        <f>F119*$C$14</f>
        <v>1.4999999999999999E-4</v>
      </c>
      <c r="S119" s="9">
        <f t="shared" ref="S119:S121" si="62">$R119*L119</f>
        <v>3.7747827327805307E-5</v>
      </c>
      <c r="T119" s="9">
        <f t="shared" ref="T119:T121" si="63">R119*K119</f>
        <v>3.0435798017473299E-5</v>
      </c>
      <c r="U119" s="9">
        <f t="shared" ref="U119:U121" si="64">$R119*M119</f>
        <v>1.1225217267219468E-4</v>
      </c>
      <c r="V119" s="102">
        <f t="shared" ref="V119:V121" si="65">K119/M119</f>
        <v>0.27113771870014214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2.3514137427377815E-2</v>
      </c>
      <c r="J120" s="54">
        <f t="shared" si="45"/>
        <v>1.6895489434747182</v>
      </c>
      <c r="K120" s="55">
        <f t="shared" si="46"/>
        <v>0.93296833691360215</v>
      </c>
      <c r="L120" s="55">
        <f t="shared" si="47"/>
        <v>1.4614731788260369E-2</v>
      </c>
      <c r="M120" s="55">
        <f t="shared" si="52"/>
        <v>0.98538526821173966</v>
      </c>
      <c r="N120" s="55">
        <f t="shared" si="48"/>
        <v>6.9769602783990026E-3</v>
      </c>
      <c r="O120" s="56">
        <f t="shared" si="53"/>
        <v>9.3375056957645505E-7</v>
      </c>
      <c r="P120" s="56">
        <f t="shared" si="49"/>
        <v>4.5685651570101916E-5</v>
      </c>
      <c r="Q120" s="56">
        <f t="shared" si="50"/>
        <v>1.535913931709527E-4</v>
      </c>
      <c r="R120" s="9">
        <f>F120*$C$14</f>
        <v>1.4999999999999999E-4</v>
      </c>
      <c r="S120" s="9">
        <f t="shared" si="62"/>
        <v>2.192209768239055E-6</v>
      </c>
      <c r="T120" s="9">
        <f t="shared" si="63"/>
        <v>1.3994525053704032E-4</v>
      </c>
      <c r="U120" s="9">
        <f t="shared" si="64"/>
        <v>1.4780779023176093E-4</v>
      </c>
      <c r="V120" s="102">
        <f t="shared" si="65"/>
        <v>0.94680564750753493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1.0322461970770105</v>
      </c>
      <c r="J121" s="54">
        <f t="shared" si="45"/>
        <v>4.0463375290265402</v>
      </c>
      <c r="K121" s="55">
        <f t="shared" si="46"/>
        <v>6.9742345674878609E-2</v>
      </c>
      <c r="L121" s="55">
        <f t="shared" si="47"/>
        <v>0.24843288357713447</v>
      </c>
      <c r="M121" s="55">
        <f t="shared" si="52"/>
        <v>0.75156711642286556</v>
      </c>
      <c r="N121" s="55">
        <f t="shared" si="48"/>
        <v>0.16084919644356643</v>
      </c>
      <c r="O121" s="56">
        <f t="shared" si="53"/>
        <v>6.9800820050280603E-8</v>
      </c>
      <c r="P121" s="56">
        <f t="shared" si="49"/>
        <v>7.766011940621223E-4</v>
      </c>
      <c r="Q121" s="56">
        <f t="shared" si="50"/>
        <v>3.5409478033985118E-3</v>
      </c>
      <c r="R121" s="9">
        <f>F121*$C$14</f>
        <v>1.4999999999999999E-4</v>
      </c>
      <c r="S121" s="9">
        <f t="shared" si="62"/>
        <v>3.7264932536570168E-5</v>
      </c>
      <c r="T121" s="9">
        <f t="shared" si="63"/>
        <v>1.046135185123179E-5</v>
      </c>
      <c r="U121" s="9">
        <f t="shared" si="64"/>
        <v>1.1273506746342982E-4</v>
      </c>
      <c r="V121" s="102">
        <f t="shared" si="65"/>
        <v>9.2795898264977333E-2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0.13981203375224763</v>
      </c>
      <c r="J124" s="54">
        <f t="shared" si="67"/>
        <v>2.7319270672547926</v>
      </c>
      <c r="K124" s="55">
        <f t="shared" si="68"/>
        <v>0.64382963391028081</v>
      </c>
      <c r="L124" s="55">
        <f t="shared" si="69"/>
        <v>0.11119186912177352</v>
      </c>
      <c r="M124" s="55">
        <f t="shared" si="52"/>
        <v>0.88880813087822652</v>
      </c>
      <c r="N124" s="55">
        <f t="shared" si="70"/>
        <v>8.2969468468516772E-2</v>
      </c>
      <c r="O124" s="56">
        <f t="shared" si="53"/>
        <v>6.4436944276448411E-7</v>
      </c>
      <c r="P124" s="56">
        <f t="shared" si="71"/>
        <v>3.4758578287466405E-4</v>
      </c>
      <c r="Q124" s="56">
        <f t="shared" si="72"/>
        <v>1.8264968903703058E-3</v>
      </c>
      <c r="R124" s="9">
        <f>F124*$C$14</f>
        <v>1.4999999999999999E-4</v>
      </c>
      <c r="S124" s="9">
        <f t="shared" ref="S124:S127" si="73">$R124*L124</f>
        <v>1.6678780368266028E-5</v>
      </c>
      <c r="T124" s="9">
        <f t="shared" ref="T124:T127" si="74">R124*K124</f>
        <v>9.6574445086542113E-5</v>
      </c>
      <c r="U124" s="9">
        <f t="shared" ref="U124:U127" si="75">$R124*M124</f>
        <v>1.3332121963173396E-4</v>
      </c>
      <c r="V124" s="102">
        <f t="shared" ref="V124:V127" si="76">K124/M124</f>
        <v>0.72437414954126966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4.9312922410980113E-2</v>
      </c>
      <c r="J126" s="54">
        <f t="shared" si="67"/>
        <v>2.0586187754155518</v>
      </c>
      <c r="K126" s="55">
        <f t="shared" si="68"/>
        <v>0.86395433497953034</v>
      </c>
      <c r="L126" s="55">
        <f t="shared" si="69"/>
        <v>3.165807944832448E-2</v>
      </c>
      <c r="M126" s="55">
        <f t="shared" si="52"/>
        <v>0.96834192055167556</v>
      </c>
      <c r="N126" s="55">
        <f t="shared" si="70"/>
        <v>1.7069002170535592E-2</v>
      </c>
      <c r="O126" s="56">
        <f t="shared" si="53"/>
        <v>8.6467870393536217E-7</v>
      </c>
      <c r="P126" s="56">
        <f t="shared" si="71"/>
        <v>9.8963156355462317E-5</v>
      </c>
      <c r="Q126" s="56">
        <f t="shared" si="72"/>
        <v>3.7575845623305824E-4</v>
      </c>
      <c r="R126" s="9">
        <f>F126*$C$14</f>
        <v>1.4999999999999999E-4</v>
      </c>
      <c r="S126" s="9">
        <f t="shared" si="73"/>
        <v>4.7487119172486718E-6</v>
      </c>
      <c r="T126" s="9">
        <f t="shared" si="74"/>
        <v>1.2959315024692954E-4</v>
      </c>
      <c r="U126" s="9">
        <f t="shared" si="75"/>
        <v>1.4525128808275133E-4</v>
      </c>
      <c r="V126" s="102">
        <f t="shared" si="76"/>
        <v>0.89219966278783591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5.4598878066109929E-5</v>
      </c>
      <c r="J127" s="54">
        <f t="shared" si="67"/>
        <v>3.5843904257090255E-2</v>
      </c>
      <c r="K127" s="55">
        <f t="shared" si="68"/>
        <v>0.99900921116671426</v>
      </c>
      <c r="L127" s="55">
        <f t="shared" si="69"/>
        <v>3.4736687206461691E-4</v>
      </c>
      <c r="M127" s="55">
        <f t="shared" si="52"/>
        <v>0.9996526331279354</v>
      </c>
      <c r="N127" s="55">
        <f t="shared" si="70"/>
        <v>5.3974898970613982E-5</v>
      </c>
      <c r="O127" s="56">
        <f t="shared" si="53"/>
        <v>9.9984681476433535E-7</v>
      </c>
      <c r="P127" s="56">
        <f t="shared" si="71"/>
        <v>1.085868842073992E-6</v>
      </c>
      <c r="Q127" s="56">
        <f t="shared" si="72"/>
        <v>1.1882079871981642E-6</v>
      </c>
      <c r="R127" s="9">
        <f>F127*$C$14</f>
        <v>1.4999999999999999E-4</v>
      </c>
      <c r="S127" s="9">
        <f t="shared" si="73"/>
        <v>5.2105030809692531E-8</v>
      </c>
      <c r="T127" s="9">
        <f t="shared" si="74"/>
        <v>1.4985138167500714E-4</v>
      </c>
      <c r="U127" s="9">
        <f t="shared" si="75"/>
        <v>1.499478949691903E-4</v>
      </c>
      <c r="V127" s="102">
        <f t="shared" si="76"/>
        <v>0.99935635445764015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2.1084810301724875E-3</v>
      </c>
      <c r="J130" s="54">
        <f t="shared" si="78"/>
        <v>0.60777493199684651</v>
      </c>
      <c r="K130" s="55">
        <f t="shared" si="79"/>
        <v>0.99335921551645534</v>
      </c>
      <c r="L130" s="55">
        <f t="shared" si="80"/>
        <v>1.2890099160227258E-3</v>
      </c>
      <c r="M130" s="55">
        <f t="shared" si="81"/>
        <v>0.99871099008397723</v>
      </c>
      <c r="N130" s="55">
        <f t="shared" si="82"/>
        <v>2.7266015086190634E-4</v>
      </c>
      <c r="O130" s="56">
        <f t="shared" si="83"/>
        <v>9.9419208196387788E-7</v>
      </c>
      <c r="P130" s="56">
        <f t="shared" si="84"/>
        <v>4.029444997487041E-6</v>
      </c>
      <c r="Q130" s="56">
        <f t="shared" si="85"/>
        <v>6.0023636027768971E-6</v>
      </c>
      <c r="R130" s="9">
        <f>F130*$C$14</f>
        <v>1.4999999999999999E-4</v>
      </c>
      <c r="S130" s="9">
        <f t="shared" ref="S130:S131" si="86">$R130*L130</f>
        <v>1.9335148740340885E-7</v>
      </c>
      <c r="T130" s="9">
        <f t="shared" ref="T130:T131" si="87">R130*K130</f>
        <v>1.4900388232746829E-4</v>
      </c>
      <c r="U130" s="9">
        <f t="shared" ref="U130:U131" si="88">$R130*M130</f>
        <v>1.4980664851259656E-4</v>
      </c>
      <c r="V130" s="102">
        <f t="shared" ref="V130:V131" si="89">K130/M130</f>
        <v>0.9946413180382927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-5.830329626681688E-5</v>
      </c>
      <c r="J131" s="54">
        <f t="shared" si="78"/>
        <v>-5.5484612143741785E-2</v>
      </c>
      <c r="K131" s="55">
        <f t="shared" si="79"/>
        <v>0.99933471612685054</v>
      </c>
      <c r="L131" s="55">
        <f t="shared" si="80"/>
        <v>2.8157971416331346E-4</v>
      </c>
      <c r="M131" s="55">
        <f t="shared" si="81"/>
        <v>0.99971842028583668</v>
      </c>
      <c r="N131" s="55">
        <f t="shared" si="82"/>
        <v>2.5925033142528808E-5</v>
      </c>
      <c r="O131" s="56">
        <f t="shared" si="83"/>
        <v>1.0001725926389981E-6</v>
      </c>
      <c r="P131" s="56">
        <f t="shared" si="84"/>
        <v>8.8021818647451788E-7</v>
      </c>
      <c r="Q131" s="56">
        <f t="shared" si="85"/>
        <v>5.7071587044750039E-7</v>
      </c>
      <c r="R131" s="9">
        <f>F131*$C$14</f>
        <v>1.4999999999999999E-4</v>
      </c>
      <c r="S131" s="9">
        <f t="shared" si="86"/>
        <v>4.2236957124497014E-8</v>
      </c>
      <c r="T131" s="9">
        <f t="shared" si="87"/>
        <v>1.4990020741902758E-4</v>
      </c>
      <c r="U131" s="9">
        <f t="shared" si="88"/>
        <v>1.4995776304287548E-4</v>
      </c>
      <c r="V131" s="102">
        <f t="shared" si="89"/>
        <v>0.99961618776727512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2024-10-28T22:49:02Z</dcterms:modified>
</cp:coreProperties>
</file>