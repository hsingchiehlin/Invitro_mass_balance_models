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96well_1um\"/>
    </mc:Choice>
  </mc:AlternateContent>
  <xr:revisionPtr revIDLastSave="0" documentId="13_ncr:1_{166C8F36-0AA7-453A-9F3B-1DE070989BB3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5" i="4" l="1"/>
  <c r="J135" i="4"/>
  <c r="K135" i="4" s="1"/>
  <c r="N135" i="4"/>
  <c r="Q135" i="4"/>
  <c r="I136" i="4"/>
  <c r="L136" i="4" s="1"/>
  <c r="M136" i="4" s="1"/>
  <c r="J136" i="4"/>
  <c r="K136" i="4" s="1"/>
  <c r="O136" i="4" s="1"/>
  <c r="P136" i="4" s="1"/>
  <c r="I137" i="4"/>
  <c r="J137" i="4"/>
  <c r="K137" i="4" s="1"/>
  <c r="O137" i="4" s="1"/>
  <c r="P137" i="4" s="1"/>
  <c r="L137" i="4"/>
  <c r="M137" i="4"/>
  <c r="N137" i="4"/>
  <c r="Q137" i="4" s="1"/>
  <c r="I138" i="4"/>
  <c r="N138" i="4" s="1"/>
  <c r="Q138" i="4" s="1"/>
  <c r="J138" i="4"/>
  <c r="K138" i="4" s="1"/>
  <c r="I139" i="4"/>
  <c r="J139" i="4"/>
  <c r="K139" i="4"/>
  <c r="L139" i="4"/>
  <c r="M139" i="4"/>
  <c r="U139" i="4" s="1"/>
  <c r="N139" i="4"/>
  <c r="Q139" i="4" s="1"/>
  <c r="O139" i="4"/>
  <c r="P139" i="4" s="1"/>
  <c r="I140" i="4"/>
  <c r="J140" i="4"/>
  <c r="K140" i="4" s="1"/>
  <c r="O140" i="4" s="1"/>
  <c r="P140" i="4" s="1"/>
  <c r="I141" i="4"/>
  <c r="J141" i="4"/>
  <c r="K141" i="4"/>
  <c r="O141" i="4" s="1"/>
  <c r="P141" i="4" s="1"/>
  <c r="L141" i="4"/>
  <c r="M141" i="4"/>
  <c r="U141" i="4" s="1"/>
  <c r="N141" i="4"/>
  <c r="Q141" i="4" s="1"/>
  <c r="I142" i="4"/>
  <c r="J142" i="4"/>
  <c r="K142" i="4" s="1"/>
  <c r="O142" i="4" s="1"/>
  <c r="P142" i="4" s="1"/>
  <c r="I143" i="4"/>
  <c r="N143" i="4" s="1"/>
  <c r="Q143" i="4" s="1"/>
  <c r="J143" i="4"/>
  <c r="K143" i="4" s="1"/>
  <c r="O143" i="4" s="1"/>
  <c r="P143" i="4" s="1"/>
  <c r="L143" i="4"/>
  <c r="M143" i="4" s="1"/>
  <c r="R143" i="4"/>
  <c r="R142" i="4"/>
  <c r="R141" i="4"/>
  <c r="T141" i="4" s="1"/>
  <c r="R140" i="4"/>
  <c r="T139" i="4"/>
  <c r="S139" i="4"/>
  <c r="R139" i="4"/>
  <c r="R138" i="4"/>
  <c r="R137" i="4"/>
  <c r="U137" i="4" s="1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O138" i="4" l="1"/>
  <c r="P138" i="4" s="1"/>
  <c r="L142" i="4"/>
  <c r="M142" i="4" s="1"/>
  <c r="V142" i="4" s="1"/>
  <c r="N142" i="4"/>
  <c r="Q142" i="4" s="1"/>
  <c r="T140" i="4"/>
  <c r="L138" i="4"/>
  <c r="M138" i="4" s="1"/>
  <c r="V135" i="4"/>
  <c r="O135" i="4"/>
  <c r="P135" i="4" s="1"/>
  <c r="V143" i="4"/>
  <c r="T135" i="4"/>
  <c r="U143" i="4"/>
  <c r="S137" i="4"/>
  <c r="L135" i="4"/>
  <c r="M135" i="4" s="1"/>
  <c r="U135" i="4" s="1"/>
  <c r="T137" i="4"/>
  <c r="V137" i="4"/>
  <c r="L140" i="4"/>
  <c r="S140" i="4"/>
  <c r="M140" i="4"/>
  <c r="U140" i="4" s="1"/>
  <c r="V140" i="4"/>
  <c r="V141" i="4"/>
  <c r="U142" i="4"/>
  <c r="U136" i="4"/>
  <c r="V136" i="4"/>
  <c r="V139" i="4"/>
  <c r="N140" i="4"/>
  <c r="Q140" i="4" s="1"/>
  <c r="N136" i="4"/>
  <c r="Q136" i="4" s="1"/>
  <c r="T142" i="4"/>
  <c r="T138" i="4"/>
  <c r="T143" i="4"/>
  <c r="S143" i="4"/>
  <c r="S136" i="4"/>
  <c r="T136" i="4"/>
  <c r="S141" i="4"/>
  <c r="V138" i="4" l="1"/>
  <c r="U138" i="4"/>
  <c r="S135" i="4"/>
  <c r="S138" i="4"/>
  <c r="S142" i="4"/>
  <c r="I128" i="4"/>
  <c r="J128" i="4"/>
  <c r="K128" i="4" s="1"/>
  <c r="I129" i="4"/>
  <c r="N129" i="4" s="1"/>
  <c r="Q129" i="4" s="1"/>
  <c r="J129" i="4"/>
  <c r="K129" i="4"/>
  <c r="L129" i="4"/>
  <c r="I130" i="4"/>
  <c r="N130" i="4" s="1"/>
  <c r="Q130" i="4" s="1"/>
  <c r="J130" i="4"/>
  <c r="K130" i="4" s="1"/>
  <c r="I131" i="4"/>
  <c r="N131" i="4" s="1"/>
  <c r="Q131" i="4" s="1"/>
  <c r="J131" i="4"/>
  <c r="K131" i="4" s="1"/>
  <c r="L131" i="4"/>
  <c r="S131" i="4" s="1"/>
  <c r="I132" i="4"/>
  <c r="J132" i="4"/>
  <c r="K132" i="4" s="1"/>
  <c r="I133" i="4"/>
  <c r="N133" i="4" s="1"/>
  <c r="Q133" i="4" s="1"/>
  <c r="J133" i="4"/>
  <c r="K133" i="4"/>
  <c r="L133" i="4"/>
  <c r="I134" i="4"/>
  <c r="L134" i="4" s="1"/>
  <c r="J134" i="4"/>
  <c r="K134" i="4" s="1"/>
  <c r="T134" i="4" l="1"/>
  <c r="O134" i="4"/>
  <c r="P134" i="4" s="1"/>
  <c r="S134" i="4"/>
  <c r="M134" i="4"/>
  <c r="U134" i="4" s="1"/>
  <c r="O133" i="4"/>
  <c r="P133" i="4" s="1"/>
  <c r="V133" i="4"/>
  <c r="T133" i="4"/>
  <c r="O128" i="4"/>
  <c r="P128" i="4" s="1"/>
  <c r="T128" i="4"/>
  <c r="N134" i="4"/>
  <c r="Q134" i="4" s="1"/>
  <c r="M133" i="4"/>
  <c r="U133" i="4" s="1"/>
  <c r="S133" i="4"/>
  <c r="O129" i="4"/>
  <c r="P129" i="4" s="1"/>
  <c r="T129" i="4"/>
  <c r="L132" i="4"/>
  <c r="T131" i="4"/>
  <c r="M129" i="4"/>
  <c r="U129" i="4" s="1"/>
  <c r="S129" i="4"/>
  <c r="O132" i="4"/>
  <c r="P132" i="4" s="1"/>
  <c r="T132" i="4"/>
  <c r="L128" i="4"/>
  <c r="T130" i="4"/>
  <c r="O131" i="4"/>
  <c r="P131" i="4" s="1"/>
  <c r="O130" i="4"/>
  <c r="P130" i="4" s="1"/>
  <c r="L130" i="4"/>
  <c r="S130" i="4" s="1"/>
  <c r="N132" i="4"/>
  <c r="Q132" i="4" s="1"/>
  <c r="N128" i="4"/>
  <c r="Q128" i="4" s="1"/>
  <c r="M131" i="4"/>
  <c r="U131" i="4" s="1"/>
  <c r="O15" i="1"/>
  <c r="L15" i="1"/>
  <c r="N15" i="1"/>
  <c r="J16" i="4"/>
  <c r="J15" i="4"/>
  <c r="J87" i="4"/>
  <c r="K87" i="4" s="1"/>
  <c r="J122" i="4"/>
  <c r="K122" i="4" s="1"/>
  <c r="J117" i="4"/>
  <c r="K117" i="4" s="1"/>
  <c r="J120" i="4"/>
  <c r="K120" i="4" s="1"/>
  <c r="J101" i="4"/>
  <c r="L101" i="4" s="1"/>
  <c r="K101" i="4"/>
  <c r="J86" i="4"/>
  <c r="K86" i="4" s="1"/>
  <c r="J85" i="4"/>
  <c r="K85" i="4" s="1"/>
  <c r="J88" i="4"/>
  <c r="K88" i="4" s="1"/>
  <c r="J119" i="4"/>
  <c r="K119" i="4" s="1"/>
  <c r="J72" i="4"/>
  <c r="K72" i="4" s="1"/>
  <c r="J103" i="4"/>
  <c r="K103" i="4" s="1"/>
  <c r="J118" i="4"/>
  <c r="K118" i="4" s="1"/>
  <c r="J104" i="4"/>
  <c r="K104" i="4"/>
  <c r="J90" i="4"/>
  <c r="K90" i="4" s="1"/>
  <c r="J71" i="4"/>
  <c r="K71" i="4" s="1"/>
  <c r="J110" i="4"/>
  <c r="K110" i="4"/>
  <c r="J82" i="4"/>
  <c r="K82" i="4" s="1"/>
  <c r="J113" i="4"/>
  <c r="K113" i="4" s="1"/>
  <c r="J97" i="4"/>
  <c r="K97" i="4" s="1"/>
  <c r="J81" i="4"/>
  <c r="K81" i="4" s="1"/>
  <c r="J116" i="4"/>
  <c r="K116" i="4"/>
  <c r="J100" i="4"/>
  <c r="K100" i="4"/>
  <c r="O100" i="4"/>
  <c r="J84" i="4"/>
  <c r="K84" i="4" s="1"/>
  <c r="J114" i="4"/>
  <c r="K114" i="4" s="1"/>
  <c r="J78" i="4"/>
  <c r="K78" i="4" s="1"/>
  <c r="J115" i="4"/>
  <c r="K115" i="4" s="1"/>
  <c r="J99" i="4"/>
  <c r="K99" i="4"/>
  <c r="J83" i="4"/>
  <c r="K83" i="4" s="1"/>
  <c r="J102" i="4"/>
  <c r="K102" i="4"/>
  <c r="J74" i="4"/>
  <c r="K74" i="4" s="1"/>
  <c r="J125" i="4"/>
  <c r="K125" i="4"/>
  <c r="J109" i="4"/>
  <c r="K109" i="4"/>
  <c r="J93" i="4"/>
  <c r="K93" i="4" s="1"/>
  <c r="J77" i="4"/>
  <c r="K77" i="4"/>
  <c r="J112" i="4"/>
  <c r="K112" i="4" s="1"/>
  <c r="J96" i="4"/>
  <c r="K96" i="4" s="1"/>
  <c r="J80" i="4"/>
  <c r="K80" i="4" s="1"/>
  <c r="J106" i="4"/>
  <c r="K106" i="4"/>
  <c r="J127" i="4"/>
  <c r="K127" i="4"/>
  <c r="J111" i="4"/>
  <c r="K111" i="4" s="1"/>
  <c r="J95" i="4"/>
  <c r="K95" i="4" s="1"/>
  <c r="J79" i="4"/>
  <c r="K79" i="4" s="1"/>
  <c r="J126" i="4"/>
  <c r="K126" i="4" s="1"/>
  <c r="J94" i="4"/>
  <c r="K94" i="4" s="1"/>
  <c r="J121" i="4"/>
  <c r="K121" i="4" s="1"/>
  <c r="J105" i="4"/>
  <c r="K105" i="4"/>
  <c r="J89" i="4"/>
  <c r="K89" i="4" s="1"/>
  <c r="J73" i="4"/>
  <c r="L73" i="4" s="1"/>
  <c r="S73" i="4" s="1"/>
  <c r="K73" i="4"/>
  <c r="J124" i="4"/>
  <c r="K124" i="4" s="1"/>
  <c r="J108" i="4"/>
  <c r="K108" i="4" s="1"/>
  <c r="J92" i="4"/>
  <c r="J76" i="4"/>
  <c r="K76" i="4" s="1"/>
  <c r="J98" i="4"/>
  <c r="K98" i="4"/>
  <c r="J123" i="4"/>
  <c r="K123" i="4" s="1"/>
  <c r="J107" i="4"/>
  <c r="K107" i="4" s="1"/>
  <c r="J91" i="4"/>
  <c r="K91" i="4"/>
  <c r="J75" i="4"/>
  <c r="K75" i="4" s="1"/>
  <c r="P100" i="4"/>
  <c r="O98" i="4"/>
  <c r="P98" i="4" s="1"/>
  <c r="O104" i="4"/>
  <c r="P104" i="4" s="1"/>
  <c r="O125" i="4"/>
  <c r="P125" i="4"/>
  <c r="O99" i="4"/>
  <c r="P99" i="4" s="1"/>
  <c r="I76" i="4"/>
  <c r="I77" i="4"/>
  <c r="L77" i="4" s="1"/>
  <c r="S77" i="4" s="1"/>
  <c r="I81" i="4"/>
  <c r="N81" i="4" s="1"/>
  <c r="Q81" i="4" s="1"/>
  <c r="I89" i="4"/>
  <c r="I90" i="4"/>
  <c r="I96" i="4"/>
  <c r="N96" i="4" s="1"/>
  <c r="Q96" i="4" s="1"/>
  <c r="I99" i="4"/>
  <c r="L99" i="4" s="1"/>
  <c r="I102" i="4"/>
  <c r="L102" i="4" s="1"/>
  <c r="I104" i="4"/>
  <c r="L104" i="4" s="1"/>
  <c r="I108" i="4"/>
  <c r="I111" i="4"/>
  <c r="N111" i="4" s="1"/>
  <c r="Q111" i="4" s="1"/>
  <c r="I113" i="4"/>
  <c r="N113" i="4" s="1"/>
  <c r="Q113" i="4" s="1"/>
  <c r="I115" i="4"/>
  <c r="I119" i="4"/>
  <c r="I120" i="4"/>
  <c r="N120" i="4" s="1"/>
  <c r="Q120" i="4" s="1"/>
  <c r="I123" i="4"/>
  <c r="N123" i="4" s="1"/>
  <c r="Q123" i="4" s="1"/>
  <c r="I125" i="4"/>
  <c r="I79" i="4"/>
  <c r="I92" i="4"/>
  <c r="N92" i="4" s="1"/>
  <c r="Q92" i="4" s="1"/>
  <c r="I100" i="4"/>
  <c r="N100" i="4" s="1"/>
  <c r="Q100" i="4" s="1"/>
  <c r="I103" i="4"/>
  <c r="N103" i="4" s="1"/>
  <c r="Q103" i="4" s="1"/>
  <c r="I107" i="4"/>
  <c r="N107" i="4" s="1"/>
  <c r="Q107" i="4" s="1"/>
  <c r="I109" i="4"/>
  <c r="L109" i="4" s="1"/>
  <c r="I110" i="4"/>
  <c r="N110" i="4" s="1"/>
  <c r="Q110" i="4" s="1"/>
  <c r="I117" i="4"/>
  <c r="I124" i="4"/>
  <c r="I72" i="4"/>
  <c r="I106" i="4"/>
  <c r="N106" i="4" s="1"/>
  <c r="Q106" i="4" s="1"/>
  <c r="I71" i="4"/>
  <c r="N71" i="4" s="1"/>
  <c r="Q71" i="4" s="1"/>
  <c r="I75" i="4"/>
  <c r="N75" i="4" s="1"/>
  <c r="Q75" i="4" s="1"/>
  <c r="I80" i="4"/>
  <c r="L80" i="4" s="1"/>
  <c r="S80" i="4" s="1"/>
  <c r="I83" i="4"/>
  <c r="L83" i="4" s="1"/>
  <c r="S83" i="4" s="1"/>
  <c r="I86" i="4"/>
  <c r="I88" i="4"/>
  <c r="N88" i="4" s="1"/>
  <c r="Q88" i="4" s="1"/>
  <c r="I94" i="4"/>
  <c r="I95" i="4"/>
  <c r="N95" i="4" s="1"/>
  <c r="Q95" i="4" s="1"/>
  <c r="I98" i="4"/>
  <c r="I101" i="4"/>
  <c r="N101" i="4" s="1"/>
  <c r="Q101" i="4" s="1"/>
  <c r="I118" i="4"/>
  <c r="I127" i="4"/>
  <c r="I73" i="4"/>
  <c r="N73" i="4" s="1"/>
  <c r="Q73" i="4" s="1"/>
  <c r="I74" i="4"/>
  <c r="N74" i="4" s="1"/>
  <c r="Q74" i="4" s="1"/>
  <c r="I78" i="4"/>
  <c r="I82" i="4"/>
  <c r="I85" i="4"/>
  <c r="N85" i="4" s="1"/>
  <c r="Q85" i="4" s="1"/>
  <c r="I93" i="4"/>
  <c r="N93" i="4" s="1"/>
  <c r="Q93" i="4" s="1"/>
  <c r="I112" i="4"/>
  <c r="L112" i="4" s="1"/>
  <c r="I114" i="4"/>
  <c r="N114" i="4" s="1"/>
  <c r="Q114" i="4" s="1"/>
  <c r="I121" i="4"/>
  <c r="I122" i="4"/>
  <c r="I84" i="4"/>
  <c r="I87" i="4"/>
  <c r="L87" i="4" s="1"/>
  <c r="S87" i="4" s="1"/>
  <c r="I91" i="4"/>
  <c r="N91" i="4" s="1"/>
  <c r="Q91" i="4" s="1"/>
  <c r="I97" i="4"/>
  <c r="N97" i="4" s="1"/>
  <c r="Q97" i="4" s="1"/>
  <c r="I105" i="4"/>
  <c r="L105" i="4" s="1"/>
  <c r="I116" i="4"/>
  <c r="N116" i="4" s="1"/>
  <c r="Q116" i="4" s="1"/>
  <c r="I126" i="4"/>
  <c r="N126" i="4" s="1"/>
  <c r="Q126" i="4" s="1"/>
  <c r="N121" i="4"/>
  <c r="Q121" i="4"/>
  <c r="L121" i="4"/>
  <c r="S121" i="4" s="1"/>
  <c r="N124" i="4"/>
  <c r="Q124" i="4"/>
  <c r="N79" i="4"/>
  <c r="Q79" i="4"/>
  <c r="L79" i="4"/>
  <c r="S79" i="4" s="1"/>
  <c r="N119" i="4"/>
  <c r="Q119" i="4" s="1"/>
  <c r="N77" i="4"/>
  <c r="Q77" i="4" s="1"/>
  <c r="N98" i="4"/>
  <c r="Q98" i="4" s="1"/>
  <c r="L98" i="4"/>
  <c r="N117" i="4"/>
  <c r="Q117" i="4"/>
  <c r="L117" i="4"/>
  <c r="L125" i="4"/>
  <c r="N125" i="4"/>
  <c r="Q125" i="4" s="1"/>
  <c r="N115" i="4"/>
  <c r="Q115" i="4" s="1"/>
  <c r="L115" i="4"/>
  <c r="S115" i="4" s="1"/>
  <c r="N76" i="4"/>
  <c r="Q76" i="4"/>
  <c r="L76" i="4"/>
  <c r="S76" i="4" s="1"/>
  <c r="L100" i="4"/>
  <c r="M100" i="4" s="1"/>
  <c r="N122" i="4"/>
  <c r="Q122" i="4" s="1"/>
  <c r="L122" i="4"/>
  <c r="L74" i="4"/>
  <c r="S74" i="4" s="1"/>
  <c r="N118" i="4"/>
  <c r="Q118" i="4"/>
  <c r="L118" i="4"/>
  <c r="L94" i="4"/>
  <c r="S94" i="4" s="1"/>
  <c r="N94" i="4"/>
  <c r="Q94" i="4" s="1"/>
  <c r="N99" i="4"/>
  <c r="Q99" i="4" s="1"/>
  <c r="L81" i="4"/>
  <c r="S81" i="4" s="1"/>
  <c r="T96" i="4" l="1"/>
  <c r="T123" i="4"/>
  <c r="O123" i="4"/>
  <c r="P123" i="4" s="1"/>
  <c r="M101" i="4"/>
  <c r="U101" i="4" s="1"/>
  <c r="S101" i="4"/>
  <c r="M112" i="4"/>
  <c r="U112" i="4" s="1"/>
  <c r="S112" i="4"/>
  <c r="T78" i="4"/>
  <c r="L110" i="4"/>
  <c r="T109" i="4"/>
  <c r="T84" i="4"/>
  <c r="V73" i="4"/>
  <c r="T73" i="4"/>
  <c r="T106" i="4"/>
  <c r="O105" i="4"/>
  <c r="P105" i="4" s="1"/>
  <c r="V105" i="4"/>
  <c r="T105" i="4"/>
  <c r="L114" i="4"/>
  <c r="S114" i="4" s="1"/>
  <c r="L90" i="4"/>
  <c r="S90" i="4" s="1"/>
  <c r="O118" i="4"/>
  <c r="P118" i="4" s="1"/>
  <c r="V118" i="4"/>
  <c r="T118" i="4"/>
  <c r="V87" i="4"/>
  <c r="T87" i="4"/>
  <c r="T95" i="4"/>
  <c r="T82" i="4"/>
  <c r="O111" i="4"/>
  <c r="P111" i="4" s="1"/>
  <c r="T111" i="4"/>
  <c r="O110" i="4"/>
  <c r="P110" i="4" s="1"/>
  <c r="T110" i="4"/>
  <c r="T127" i="4"/>
  <c r="M102" i="4"/>
  <c r="U102" i="4" s="1"/>
  <c r="S102" i="4"/>
  <c r="T91" i="4"/>
  <c r="T120" i="4"/>
  <c r="N112" i="4"/>
  <c r="Q112" i="4" s="1"/>
  <c r="M98" i="4"/>
  <c r="U98" i="4" s="1"/>
  <c r="S98" i="4"/>
  <c r="M99" i="4"/>
  <c r="U99" i="4" s="1"/>
  <c r="S99" i="4"/>
  <c r="T89" i="4"/>
  <c r="V74" i="4"/>
  <c r="T74" i="4"/>
  <c r="V104" i="4"/>
  <c r="T104" i="4"/>
  <c r="V131" i="4"/>
  <c r="M122" i="4"/>
  <c r="U122" i="4" s="1"/>
  <c r="S122" i="4"/>
  <c r="O122" i="4"/>
  <c r="P122" i="4" s="1"/>
  <c r="V122" i="4"/>
  <c r="T122" i="4"/>
  <c r="L106" i="4"/>
  <c r="T72" i="4"/>
  <c r="M109" i="4"/>
  <c r="U109" i="4" s="1"/>
  <c r="S109" i="4"/>
  <c r="O101" i="4"/>
  <c r="P101" i="4" s="1"/>
  <c r="V101" i="4"/>
  <c r="T101" i="4"/>
  <c r="L86" i="4"/>
  <c r="S86" i="4" s="1"/>
  <c r="T90" i="4"/>
  <c r="O102" i="4"/>
  <c r="P102" i="4" s="1"/>
  <c r="T102" i="4"/>
  <c r="L127" i="4"/>
  <c r="S127" i="4" s="1"/>
  <c r="T119" i="4"/>
  <c r="M128" i="4"/>
  <c r="S128" i="4"/>
  <c r="T93" i="4"/>
  <c r="T85" i="4"/>
  <c r="M125" i="4"/>
  <c r="U125" i="4" s="1"/>
  <c r="S125" i="4"/>
  <c r="T108" i="4"/>
  <c r="T114" i="4"/>
  <c r="V86" i="4"/>
  <c r="T86" i="4"/>
  <c r="M118" i="4"/>
  <c r="U118" i="4" s="1"/>
  <c r="S118" i="4"/>
  <c r="M117" i="4"/>
  <c r="U117" i="4" s="1"/>
  <c r="S117" i="4"/>
  <c r="L108" i="4"/>
  <c r="S108" i="4" s="1"/>
  <c r="T124" i="4"/>
  <c r="M104" i="4"/>
  <c r="U104" i="4" s="1"/>
  <c r="S104" i="4"/>
  <c r="T75" i="4"/>
  <c r="V125" i="4"/>
  <c r="T125" i="4"/>
  <c r="T71" i="4"/>
  <c r="L95" i="4"/>
  <c r="S95" i="4" s="1"/>
  <c r="L82" i="4"/>
  <c r="S82" i="4" s="1"/>
  <c r="M105" i="4"/>
  <c r="U105" i="4" s="1"/>
  <c r="S105" i="4"/>
  <c r="O117" i="4"/>
  <c r="P117" i="4" s="1"/>
  <c r="V117" i="4"/>
  <c r="T117" i="4"/>
  <c r="O109" i="4"/>
  <c r="P109" i="4" s="1"/>
  <c r="V80" i="4"/>
  <c r="T80" i="4"/>
  <c r="T116" i="4"/>
  <c r="M132" i="4"/>
  <c r="S132" i="4"/>
  <c r="L120" i="4"/>
  <c r="S120" i="4" s="1"/>
  <c r="L89" i="4"/>
  <c r="S89" i="4" s="1"/>
  <c r="O106" i="4"/>
  <c r="P106" i="4" s="1"/>
  <c r="T121" i="4"/>
  <c r="V83" i="4"/>
  <c r="T83" i="4"/>
  <c r="T81" i="4"/>
  <c r="O103" i="4"/>
  <c r="P103" i="4" s="1"/>
  <c r="T103" i="4"/>
  <c r="V129" i="4"/>
  <c r="N87" i="4"/>
  <c r="Q87" i="4" s="1"/>
  <c r="V98" i="4"/>
  <c r="T98" i="4"/>
  <c r="V94" i="4"/>
  <c r="T94" i="4"/>
  <c r="O112" i="4"/>
  <c r="P112" i="4" s="1"/>
  <c r="T112" i="4"/>
  <c r="T99" i="4"/>
  <c r="N89" i="4"/>
  <c r="Q89" i="4" s="1"/>
  <c r="O127" i="4"/>
  <c r="P127" i="4" s="1"/>
  <c r="T126" i="4"/>
  <c r="V77" i="4"/>
  <c r="T77" i="4"/>
  <c r="N109" i="4"/>
  <c r="Q109" i="4" s="1"/>
  <c r="L123" i="4"/>
  <c r="N108" i="4"/>
  <c r="Q108" i="4" s="1"/>
  <c r="T76" i="4"/>
  <c r="V79" i="4"/>
  <c r="T79" i="4"/>
  <c r="T115" i="4"/>
  <c r="O113" i="4"/>
  <c r="P113" i="4" s="1"/>
  <c r="T113" i="4"/>
  <c r="T88" i="4"/>
  <c r="V134" i="4"/>
  <c r="L111" i="4"/>
  <c r="O91" i="4"/>
  <c r="P91" i="4" s="1"/>
  <c r="O71" i="4"/>
  <c r="P71" i="4" s="1"/>
  <c r="N90" i="4"/>
  <c r="Q90" i="4" s="1"/>
  <c r="L97" i="4"/>
  <c r="M130" i="4"/>
  <c r="M121" i="4"/>
  <c r="U121" i="4" s="1"/>
  <c r="L84" i="4"/>
  <c r="S84" i="4" s="1"/>
  <c r="L72" i="4"/>
  <c r="S72" i="4" s="1"/>
  <c r="O121" i="4"/>
  <c r="P121" i="4" s="1"/>
  <c r="N127" i="4"/>
  <c r="Q127" i="4" s="1"/>
  <c r="N104" i="4"/>
  <c r="Q104" i="4" s="1"/>
  <c r="L124" i="4"/>
  <c r="S124" i="4" s="1"/>
  <c r="L96" i="4"/>
  <c r="S96" i="4" s="1"/>
  <c r="O120" i="4"/>
  <c r="P120" i="4" s="1"/>
  <c r="N72" i="4"/>
  <c r="Q72" i="4" s="1"/>
  <c r="O126" i="4"/>
  <c r="P126" i="4" s="1"/>
  <c r="N102" i="4"/>
  <c r="Q102" i="4" s="1"/>
  <c r="L103" i="4"/>
  <c r="L78" i="4"/>
  <c r="S78" i="4" s="1"/>
  <c r="M120" i="4"/>
  <c r="U120" i="4" s="1"/>
  <c r="N78" i="4"/>
  <c r="Q78" i="4" s="1"/>
  <c r="N86" i="4"/>
  <c r="Q86" i="4" s="1"/>
  <c r="O114" i="4"/>
  <c r="P114" i="4" s="1"/>
  <c r="L113" i="4"/>
  <c r="M115" i="4"/>
  <c r="U115" i="4" s="1"/>
  <c r="N105" i="4"/>
  <c r="Q105" i="4" s="1"/>
  <c r="O124" i="4"/>
  <c r="P124" i="4" s="1"/>
  <c r="O119" i="4"/>
  <c r="P119" i="4" s="1"/>
  <c r="O107" i="4"/>
  <c r="P107" i="4" s="1"/>
  <c r="L119" i="4"/>
  <c r="S119" i="4" s="1"/>
  <c r="O116" i="4"/>
  <c r="P116" i="4" s="1"/>
  <c r="O108" i="4"/>
  <c r="P108" i="4" s="1"/>
  <c r="O115" i="4"/>
  <c r="P115" i="4" s="1"/>
  <c r="O74" i="4"/>
  <c r="P74" i="4" s="1"/>
  <c r="O83" i="4"/>
  <c r="P83" i="4" s="1"/>
  <c r="O76" i="4"/>
  <c r="P76" i="4" s="1"/>
  <c r="O79" i="4"/>
  <c r="P79" i="4" s="1"/>
  <c r="O90" i="4"/>
  <c r="P90" i="4" s="1"/>
  <c r="O86" i="4"/>
  <c r="P86" i="4" s="1"/>
  <c r="O89" i="4"/>
  <c r="P89" i="4" s="1"/>
  <c r="O93" i="4"/>
  <c r="P93" i="4" s="1"/>
  <c r="L91" i="4"/>
  <c r="S91" i="4" s="1"/>
  <c r="M79" i="4"/>
  <c r="U79" i="4" s="1"/>
  <c r="M77" i="4"/>
  <c r="U77" i="4" s="1"/>
  <c r="O81" i="4"/>
  <c r="P81" i="4" s="1"/>
  <c r="M74" i="4"/>
  <c r="U74" i="4" s="1"/>
  <c r="O95" i="4"/>
  <c r="P95" i="4" s="1"/>
  <c r="N84" i="4"/>
  <c r="Q84" i="4" s="1"/>
  <c r="O97" i="4"/>
  <c r="P97" i="4" s="1"/>
  <c r="M95" i="4"/>
  <c r="U95" i="4" s="1"/>
  <c r="L71" i="4"/>
  <c r="S71" i="4" s="1"/>
  <c r="M97" i="4"/>
  <c r="O85" i="4"/>
  <c r="P85" i="4" s="1"/>
  <c r="M81" i="4"/>
  <c r="U81" i="4" s="1"/>
  <c r="M87" i="4"/>
  <c r="U87" i="4" s="1"/>
  <c r="L126" i="4"/>
  <c r="S126" i="4" s="1"/>
  <c r="L107" i="4"/>
  <c r="O78" i="4"/>
  <c r="P78" i="4" s="1"/>
  <c r="M76" i="4"/>
  <c r="U76" i="4" s="1"/>
  <c r="M90" i="4"/>
  <c r="U90" i="4" s="1"/>
  <c r="O73" i="4"/>
  <c r="P73" i="4" s="1"/>
  <c r="L92" i="4"/>
  <c r="S92" i="4" s="1"/>
  <c r="O94" i="4"/>
  <c r="P94" i="4" s="1"/>
  <c r="O80" i="4"/>
  <c r="P80" i="4" s="1"/>
  <c r="O77" i="4"/>
  <c r="P77" i="4" s="1"/>
  <c r="M94" i="4"/>
  <c r="U94" i="4" s="1"/>
  <c r="L116" i="4"/>
  <c r="S116" i="4" s="1"/>
  <c r="M86" i="4"/>
  <c r="U86" i="4" s="1"/>
  <c r="O75" i="4"/>
  <c r="P75" i="4" s="1"/>
  <c r="O96" i="4"/>
  <c r="P96" i="4" s="1"/>
  <c r="O82" i="4"/>
  <c r="P82" i="4" s="1"/>
  <c r="O72" i="4"/>
  <c r="P72" i="4" s="1"/>
  <c r="M96" i="4"/>
  <c r="U96" i="4" s="1"/>
  <c r="O84" i="4"/>
  <c r="P84" i="4" s="1"/>
  <c r="M82" i="4"/>
  <c r="U82" i="4" s="1"/>
  <c r="L85" i="4"/>
  <c r="S85" i="4" s="1"/>
  <c r="M78" i="4"/>
  <c r="U78" i="4" s="1"/>
  <c r="M80" i="4"/>
  <c r="U80" i="4" s="1"/>
  <c r="O87" i="4"/>
  <c r="P87" i="4" s="1"/>
  <c r="M73" i="4"/>
  <c r="U73" i="4" s="1"/>
  <c r="M83" i="4"/>
  <c r="U83" i="4" s="1"/>
  <c r="O88" i="4"/>
  <c r="P88" i="4" s="1"/>
  <c r="L75" i="4"/>
  <c r="S75" i="4" s="1"/>
  <c r="K92" i="4"/>
  <c r="L93" i="4"/>
  <c r="S93" i="4" s="1"/>
  <c r="L88" i="4"/>
  <c r="S88" i="4" s="1"/>
  <c r="N83" i="4"/>
  <c r="Q83" i="4" s="1"/>
  <c r="N80" i="4"/>
  <c r="Q80" i="4" s="1"/>
  <c r="N82" i="4"/>
  <c r="Q82" i="4" s="1"/>
  <c r="J14" i="4"/>
  <c r="J13" i="4" s="1"/>
  <c r="K16" i="4" s="1"/>
  <c r="S123" i="4" l="1"/>
  <c r="M123" i="4"/>
  <c r="M72" i="4"/>
  <c r="M84" i="4"/>
  <c r="V121" i="4"/>
  <c r="V82" i="4"/>
  <c r="V95" i="4"/>
  <c r="V120" i="4"/>
  <c r="V92" i="4"/>
  <c r="T92" i="4"/>
  <c r="M111" i="4"/>
  <c r="S111" i="4"/>
  <c r="V90" i="4"/>
  <c r="V102" i="4"/>
  <c r="M113" i="4"/>
  <c r="S113" i="4"/>
  <c r="M114" i="4"/>
  <c r="V99" i="4"/>
  <c r="M110" i="4"/>
  <c r="S110" i="4"/>
  <c r="U128" i="4"/>
  <c r="V128" i="4"/>
  <c r="M103" i="4"/>
  <c r="S103" i="4"/>
  <c r="V78" i="4"/>
  <c r="U130" i="4"/>
  <c r="V130" i="4"/>
  <c r="V115" i="4"/>
  <c r="M106" i="4"/>
  <c r="S106" i="4"/>
  <c r="M89" i="4"/>
  <c r="U132" i="4"/>
  <c r="V132" i="4"/>
  <c r="M127" i="4"/>
  <c r="M108" i="4"/>
  <c r="V76" i="4"/>
  <c r="V112" i="4"/>
  <c r="V81" i="4"/>
  <c r="V109" i="4"/>
  <c r="V96" i="4"/>
  <c r="M91" i="4"/>
  <c r="M119" i="4"/>
  <c r="M124" i="4"/>
  <c r="M71" i="4"/>
  <c r="M107" i="4"/>
  <c r="M126" i="4"/>
  <c r="M116" i="4"/>
  <c r="M85" i="4"/>
  <c r="M88" i="4"/>
  <c r="M92" i="4"/>
  <c r="U92" i="4" s="1"/>
  <c r="M93" i="4"/>
  <c r="O92" i="4"/>
  <c r="P92" i="4" s="1"/>
  <c r="M75" i="4"/>
  <c r="K14" i="4"/>
  <c r="K13" i="4"/>
  <c r="K15" i="4"/>
  <c r="U85" i="4" l="1"/>
  <c r="V85" i="4"/>
  <c r="U111" i="4"/>
  <c r="V111" i="4"/>
  <c r="U126" i="4"/>
  <c r="V126" i="4"/>
  <c r="U71" i="4"/>
  <c r="V71" i="4"/>
  <c r="U124" i="4"/>
  <c r="V124" i="4"/>
  <c r="U89" i="4"/>
  <c r="V89" i="4"/>
  <c r="U110" i="4"/>
  <c r="V110" i="4"/>
  <c r="U119" i="4"/>
  <c r="V119" i="4"/>
  <c r="U75" i="4"/>
  <c r="V75" i="4"/>
  <c r="U91" i="4"/>
  <c r="V91" i="4"/>
  <c r="U106" i="4"/>
  <c r="V106" i="4"/>
  <c r="U114" i="4"/>
  <c r="V114" i="4"/>
  <c r="U103" i="4"/>
  <c r="V103" i="4"/>
  <c r="U113" i="4"/>
  <c r="V113" i="4"/>
  <c r="U72" i="4"/>
  <c r="V72" i="4"/>
  <c r="U116" i="4"/>
  <c r="V116" i="4"/>
  <c r="U127" i="4"/>
  <c r="V127" i="4"/>
  <c r="U93" i="4"/>
  <c r="V93" i="4"/>
  <c r="U123" i="4"/>
  <c r="V123" i="4"/>
  <c r="U108" i="4"/>
  <c r="V108" i="4"/>
  <c r="U84" i="4"/>
  <c r="V84" i="4"/>
  <c r="U88" i="4"/>
  <c r="V88" i="4"/>
  <c r="I63" i="4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J58" i="4"/>
  <c r="K58" i="4" s="1"/>
  <c r="J55" i="4"/>
  <c r="K55" i="4" s="1"/>
  <c r="J61" i="4"/>
  <c r="K61" i="4" s="1"/>
  <c r="J57" i="4"/>
  <c r="K57" i="4" s="1"/>
  <c r="J59" i="4"/>
  <c r="K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9" i="4" l="1"/>
  <c r="P59" i="4" s="1"/>
  <c r="T59" i="4"/>
  <c r="T57" i="4"/>
  <c r="T61" i="4"/>
  <c r="O55" i="4"/>
  <c r="P55" i="4" s="1"/>
  <c r="T55" i="4"/>
  <c r="T63" i="4"/>
  <c r="T58" i="4"/>
  <c r="O56" i="4"/>
  <c r="P56" i="4" s="1"/>
  <c r="T56" i="4"/>
  <c r="T60" i="4"/>
  <c r="T62" i="4"/>
  <c r="O61" i="4"/>
  <c r="P61" i="4" s="1"/>
  <c r="O62" i="4"/>
  <c r="P62" i="4" s="1"/>
  <c r="O60" i="4"/>
  <c r="P60" i="4" s="1"/>
  <c r="O57" i="4"/>
  <c r="P57" i="4" s="1"/>
  <c r="O58" i="4"/>
  <c r="P58" i="4" s="1"/>
  <c r="L66" i="4"/>
  <c r="S66" i="4" s="1"/>
  <c r="K66" i="4"/>
  <c r="K70" i="4"/>
  <c r="L70" i="4"/>
  <c r="S70" i="4" s="1"/>
  <c r="K64" i="4"/>
  <c r="L64" i="4"/>
  <c r="S64" i="4" s="1"/>
  <c r="O63" i="4"/>
  <c r="P63" i="4" s="1"/>
  <c r="L63" i="4"/>
  <c r="S63" i="4" s="1"/>
  <c r="K68" i="4"/>
  <c r="L68" i="4"/>
  <c r="S68" i="4" s="1"/>
  <c r="L67" i="4"/>
  <c r="S67" i="4" s="1"/>
  <c r="K67" i="4"/>
  <c r="L65" i="4"/>
  <c r="S65" i="4" s="1"/>
  <c r="K65" i="4"/>
  <c r="K69" i="4"/>
  <c r="L69" i="4"/>
  <c r="S69" i="4" s="1"/>
  <c r="N62" i="4"/>
  <c r="Q62" i="4" s="1"/>
  <c r="L62" i="4"/>
  <c r="S62" i="4" s="1"/>
  <c r="N55" i="4"/>
  <c r="Q55" i="4" s="1"/>
  <c r="L55" i="4"/>
  <c r="L56" i="4"/>
  <c r="N56" i="4"/>
  <c r="Q56" i="4" s="1"/>
  <c r="N59" i="4"/>
  <c r="Q59" i="4" s="1"/>
  <c r="L59" i="4"/>
  <c r="N57" i="4"/>
  <c r="Q57" i="4" s="1"/>
  <c r="L57" i="4"/>
  <c r="S57" i="4" s="1"/>
  <c r="L58" i="4"/>
  <c r="S58" i="4" s="1"/>
  <c r="N58" i="4"/>
  <c r="Q58" i="4" s="1"/>
  <c r="N61" i="4"/>
  <c r="Q61" i="4" s="1"/>
  <c r="L61" i="4"/>
  <c r="S61" i="4" s="1"/>
  <c r="L60" i="4"/>
  <c r="S60" i="4" s="1"/>
  <c r="N60" i="4"/>
  <c r="Q60" i="4" s="1"/>
  <c r="T68" i="4" l="1"/>
  <c r="T69" i="4"/>
  <c r="M56" i="4"/>
  <c r="S56" i="4"/>
  <c r="M55" i="4"/>
  <c r="S55" i="4"/>
  <c r="V64" i="4"/>
  <c r="T64" i="4"/>
  <c r="V70" i="4"/>
  <c r="T70" i="4"/>
  <c r="T65" i="4"/>
  <c r="T66" i="4"/>
  <c r="M59" i="4"/>
  <c r="S59" i="4"/>
  <c r="T67" i="4"/>
  <c r="M70" i="4"/>
  <c r="U70" i="4" s="1"/>
  <c r="M62" i="4"/>
  <c r="M60" i="4"/>
  <c r="M61" i="4"/>
  <c r="M63" i="4"/>
  <c r="M64" i="4"/>
  <c r="U64" i="4" s="1"/>
  <c r="M57" i="4"/>
  <c r="M67" i="4"/>
  <c r="U67" i="4" s="1"/>
  <c r="O69" i="4"/>
  <c r="P69" i="4" s="1"/>
  <c r="O66" i="4"/>
  <c r="P66" i="4" s="1"/>
  <c r="O67" i="4"/>
  <c r="P67" i="4" s="1"/>
  <c r="M68" i="4"/>
  <c r="U68" i="4" s="1"/>
  <c r="M69" i="4"/>
  <c r="U69" i="4" s="1"/>
  <c r="O65" i="4"/>
  <c r="P65" i="4" s="1"/>
  <c r="M66" i="4"/>
  <c r="U66" i="4" s="1"/>
  <c r="O68" i="4"/>
  <c r="P68" i="4" s="1"/>
  <c r="O64" i="4"/>
  <c r="P64" i="4" s="1"/>
  <c r="M58" i="4"/>
  <c r="M65" i="4"/>
  <c r="U65" i="4" s="1"/>
  <c r="O70" i="4"/>
  <c r="P70" i="4" s="1"/>
  <c r="U60" i="4" l="1"/>
  <c r="V60" i="4"/>
  <c r="U62" i="4"/>
  <c r="V62" i="4"/>
  <c r="V67" i="4"/>
  <c r="U55" i="4"/>
  <c r="V55" i="4"/>
  <c r="U61" i="4"/>
  <c r="V61" i="4"/>
  <c r="U59" i="4"/>
  <c r="V59" i="4"/>
  <c r="U56" i="4"/>
  <c r="V56" i="4"/>
  <c r="V66" i="4"/>
  <c r="V69" i="4"/>
  <c r="U58" i="4"/>
  <c r="V58" i="4"/>
  <c r="U57" i="4"/>
  <c r="V57" i="4"/>
  <c r="U63" i="4"/>
  <c r="V63" i="4"/>
  <c r="V65" i="4"/>
  <c r="V68" i="4"/>
  <c r="J21" i="4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J30" i="4"/>
  <c r="J43" i="4"/>
  <c r="J31" i="4"/>
  <c r="J44" i="4"/>
  <c r="L44" i="4" s="1"/>
  <c r="S44" i="4" s="1"/>
  <c r="J36" i="4"/>
  <c r="L36" i="4" s="1"/>
  <c r="S36" i="4" s="1"/>
  <c r="J46" i="4"/>
  <c r="K46" i="4" s="1"/>
  <c r="J35" i="4"/>
  <c r="L35" i="4" s="1"/>
  <c r="S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S34" i="4" s="1"/>
  <c r="J41" i="4"/>
  <c r="K41" i="4" s="1"/>
  <c r="J42" i="4"/>
  <c r="L42" i="4" s="1"/>
  <c r="S42" i="4" s="1"/>
  <c r="J32" i="4"/>
  <c r="L32" i="4" s="1"/>
  <c r="S32" i="4" s="1"/>
  <c r="J37" i="4"/>
  <c r="L37" i="4" s="1"/>
  <c r="S37" i="4" s="1"/>
  <c r="J40" i="4"/>
  <c r="L40" i="4" s="1"/>
  <c r="S40" i="4" s="1"/>
  <c r="J38" i="4"/>
  <c r="L38" i="4" s="1"/>
  <c r="S38" i="4" s="1"/>
  <c r="J29" i="4"/>
  <c r="L29" i="4" s="1"/>
  <c r="S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S31" i="4" s="1"/>
  <c r="L45" i="4"/>
  <c r="S45" i="4" s="1"/>
  <c r="K45" i="4"/>
  <c r="L47" i="4"/>
  <c r="S47" i="4" s="1"/>
  <c r="K52" i="4"/>
  <c r="L52" i="4"/>
  <c r="L43" i="4"/>
  <c r="S43" i="4" s="1"/>
  <c r="K43" i="4"/>
  <c r="L54" i="4"/>
  <c r="K54" i="4"/>
  <c r="L51" i="4"/>
  <c r="K51" i="4"/>
  <c r="L53" i="4"/>
  <c r="K53" i="4"/>
  <c r="L48" i="4"/>
  <c r="S48" i="4" s="1"/>
  <c r="K48" i="4"/>
  <c r="L39" i="4"/>
  <c r="S39" i="4" s="1"/>
  <c r="K39" i="4"/>
  <c r="L50" i="4"/>
  <c r="K50" i="4"/>
  <c r="L49" i="4"/>
  <c r="S49" i="4" s="1"/>
  <c r="K49" i="4"/>
  <c r="K30" i="4"/>
  <c r="L30" i="4"/>
  <c r="S30" i="4" s="1"/>
  <c r="T45" i="4" l="1"/>
  <c r="O53" i="4"/>
  <c r="P53" i="4" s="1"/>
  <c r="T53" i="4"/>
  <c r="M53" i="4"/>
  <c r="U53" i="4" s="1"/>
  <c r="S53" i="4"/>
  <c r="V47" i="4"/>
  <c r="T47" i="4"/>
  <c r="O51" i="4"/>
  <c r="P51" i="4" s="1"/>
  <c r="V51" i="4"/>
  <c r="T51" i="4"/>
  <c r="T31" i="4"/>
  <c r="T33" i="4"/>
  <c r="T30" i="4"/>
  <c r="M51" i="4"/>
  <c r="U51" i="4" s="1"/>
  <c r="S51" i="4"/>
  <c r="T28" i="4"/>
  <c r="T46" i="4"/>
  <c r="T49" i="4"/>
  <c r="O54" i="4"/>
  <c r="P54" i="4" s="1"/>
  <c r="T54" i="4"/>
  <c r="M54" i="4"/>
  <c r="U54" i="4" s="1"/>
  <c r="S54" i="4"/>
  <c r="V48" i="4"/>
  <c r="T48" i="4"/>
  <c r="M50" i="4"/>
  <c r="U50" i="4" s="1"/>
  <c r="S50" i="4"/>
  <c r="V39" i="4"/>
  <c r="T39" i="4"/>
  <c r="M52" i="4"/>
  <c r="U52" i="4" s="1"/>
  <c r="S52" i="4"/>
  <c r="T41" i="4"/>
  <c r="O50" i="4"/>
  <c r="P50" i="4" s="1"/>
  <c r="T50" i="4"/>
  <c r="V43" i="4"/>
  <c r="T43" i="4"/>
  <c r="O52" i="4"/>
  <c r="P52" i="4" s="1"/>
  <c r="V52" i="4"/>
  <c r="T52" i="4"/>
  <c r="O48" i="4"/>
  <c r="P48" i="4" s="1"/>
  <c r="O49" i="4"/>
  <c r="P49" i="4" s="1"/>
  <c r="M48" i="4"/>
  <c r="U48" i="4" s="1"/>
  <c r="M49" i="4"/>
  <c r="U49" i="4" s="1"/>
  <c r="M35" i="4"/>
  <c r="U35" i="4" s="1"/>
  <c r="M47" i="4"/>
  <c r="U47" i="4" s="1"/>
  <c r="M31" i="4"/>
  <c r="U31" i="4" s="1"/>
  <c r="K35" i="4"/>
  <c r="M44" i="4"/>
  <c r="U44" i="4" s="1"/>
  <c r="O45" i="4"/>
  <c r="P45" i="4" s="1"/>
  <c r="M45" i="4"/>
  <c r="U45" i="4" s="1"/>
  <c r="O47" i="4"/>
  <c r="P47" i="4" s="1"/>
  <c r="O31" i="4"/>
  <c r="P31" i="4" s="1"/>
  <c r="O28" i="4"/>
  <c r="P28" i="4" s="1"/>
  <c r="O43" i="4"/>
  <c r="P43" i="4" s="1"/>
  <c r="M43" i="4"/>
  <c r="U43" i="4" s="1"/>
  <c r="M39" i="4"/>
  <c r="U39" i="4" s="1"/>
  <c r="O41" i="4"/>
  <c r="P41" i="4" s="1"/>
  <c r="O30" i="4"/>
  <c r="P30" i="4" s="1"/>
  <c r="O33" i="4"/>
  <c r="P33" i="4" s="1"/>
  <c r="O46" i="4"/>
  <c r="P46" i="4" s="1"/>
  <c r="O39" i="4"/>
  <c r="P39" i="4" s="1"/>
  <c r="K44" i="4"/>
  <c r="K36" i="4"/>
  <c r="L46" i="4"/>
  <c r="S46" i="4" s="1"/>
  <c r="K37" i="4"/>
  <c r="L41" i="4"/>
  <c r="S41" i="4" s="1"/>
  <c r="K42" i="4"/>
  <c r="K34" i="4"/>
  <c r="L33" i="4"/>
  <c r="S33" i="4" s="1"/>
  <c r="K38" i="4"/>
  <c r="K29" i="4"/>
  <c r="M32" i="4"/>
  <c r="U32" i="4" s="1"/>
  <c r="M40" i="4"/>
  <c r="U40" i="4" s="1"/>
  <c r="M34" i="4"/>
  <c r="U34" i="4" s="1"/>
  <c r="M29" i="4"/>
  <c r="U29" i="4" s="1"/>
  <c r="M37" i="4"/>
  <c r="U37" i="4" s="1"/>
  <c r="M42" i="4"/>
  <c r="U42" i="4" s="1"/>
  <c r="M38" i="4"/>
  <c r="U38" i="4" s="1"/>
  <c r="M30" i="4"/>
  <c r="U30" i="4" s="1"/>
  <c r="M36" i="4"/>
  <c r="U36" i="4" s="1"/>
  <c r="K40" i="4"/>
  <c r="K32" i="4"/>
  <c r="L28" i="4"/>
  <c r="S28" i="4" s="1"/>
  <c r="V35" i="4" l="1"/>
  <c r="T35" i="4"/>
  <c r="V32" i="4"/>
  <c r="T32" i="4"/>
  <c r="V40" i="4"/>
  <c r="T40" i="4"/>
  <c r="V50" i="4"/>
  <c r="V34" i="4"/>
  <c r="T34" i="4"/>
  <c r="V42" i="4"/>
  <c r="T42" i="4"/>
  <c r="V30" i="4"/>
  <c r="V54" i="4"/>
  <c r="V53" i="4"/>
  <c r="V37" i="4"/>
  <c r="T37" i="4"/>
  <c r="V44" i="4"/>
  <c r="T44" i="4"/>
  <c r="V29" i="4"/>
  <c r="T29" i="4"/>
  <c r="V38" i="4"/>
  <c r="T38" i="4"/>
  <c r="V36" i="4"/>
  <c r="T36" i="4"/>
  <c r="V49" i="4"/>
  <c r="V31" i="4"/>
  <c r="V45" i="4"/>
  <c r="O36" i="4"/>
  <c r="P36" i="4" s="1"/>
  <c r="O29" i="4"/>
  <c r="P29" i="4" s="1"/>
  <c r="O32" i="4"/>
  <c r="P32" i="4" s="1"/>
  <c r="M46" i="4"/>
  <c r="O38" i="4"/>
  <c r="P38" i="4" s="1"/>
  <c r="O40" i="4"/>
  <c r="P40" i="4" s="1"/>
  <c r="M33" i="4"/>
  <c r="O42" i="4"/>
  <c r="P42" i="4" s="1"/>
  <c r="M41" i="4"/>
  <c r="O44" i="4"/>
  <c r="P44" i="4" s="1"/>
  <c r="O35" i="4"/>
  <c r="P35" i="4" s="1"/>
  <c r="O34" i="4"/>
  <c r="P34" i="4" s="1"/>
  <c r="O37" i="4"/>
  <c r="P37" i="4" s="1"/>
  <c r="M28" i="4"/>
  <c r="U33" i="4" l="1"/>
  <c r="V33" i="4"/>
  <c r="U46" i="4"/>
  <c r="V46" i="4"/>
  <c r="U28" i="4"/>
  <c r="V28" i="4"/>
  <c r="U41" i="4"/>
  <c r="V4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<sst xmlns="http://schemas.openxmlformats.org/spreadsheetml/2006/main" count="340" uniqueCount="314">
  <si>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</si>
  <si>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</si>
  <si>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</si>
  <si>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</si>
  <si>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</si>
  <si>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</si>
  <si>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</si>
  <si>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</si>
  <si>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</si>
  <si>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</si>
  <si>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</si>
  <si>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</si>
  <si>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</si>
  <si>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</si>
  <si>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</si>
  <si>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</si>
  <si>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</si>
  <si>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</si>
  <si>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</si>
  <si>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</si>
  <si>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</si>
  <si>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</si>
  <si>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</si>
  <si>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</si>
  <si>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</si>
  <si>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</si>
  <si>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</si>
  <si>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</si>
  <si>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</si>
  <si>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</si>
  <si>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</si>
  <si>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</si>
  <si>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</si>
  <si>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</si>
  <si>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</si>
  <si>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</si>
  <si>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</si>
  <si>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</si>
  <si>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</si>
  <si>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</si>
  <si>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</si>
  <si>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</si>
  <si>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</si>
  <si>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</si>
  <si>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</si>
  <si>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</si>
  <si>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</si>
  <si>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</si>
  <si>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</si>
  <si>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</si>
  <si>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</si>
  <si>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</si>
  <si>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</si>
  <si>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</si>
  <si>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</si>
  <si>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</si>
  <si>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</si>
  <si>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</si>
  <si>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</si>
  <si>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</si>
  <si>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</si>
  <si>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</si>
  <si>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</si>
  <si>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</si>
  <si>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</si>
  <si>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</si>
  <si>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</si>
  <si>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</si>
  <si>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</si>
  <si>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</si>
  <si>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</si>
  <si>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</si>
  <si>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</si>
  <si>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</si>
  <si>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</si>
  <si>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</si>
  <si>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</si>
  <si>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</si>
  <si>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</si>
  <si>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</si>
  <si>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</si>
  <si>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</si>
  <si>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</si>
  <si>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</si>
  <si>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</si>
  <si>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</si>
  <si>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</si>
  <si>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</si>
  <si>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</si>
  <si>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</si>
  <si>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</si>
  <si>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</si>
  <si>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</si>
  <si>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</si>
  <si>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</si>
  <si>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</si>
  <si>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</si>
  <si>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</si>
  <si>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</si>
  <si>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</si>
  <si>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</si>
  <si>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</si>
  <si>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</si>
  <si>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</si>
  <si>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</si>
  <si>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</si>
  <si>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</si>
  <si>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</si>
  <si>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</si>
  <si>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</si>
  <si>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</si>
  <si>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Default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</si>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</sst>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111</v>
      </c>
      <c r="K17" s="31" t="s">
        <v>79</v>
      </c>
      <c r="L17" s="80">
        <v>4.3499999999999997E-3</v>
      </c>
      <c r="M17" s="80">
        <v>5.0000000000000001E-4</v>
      </c>
      <c r="N17" s="80">
        <v>1.4999999999999999E-4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9" zoomScale="55" zoomScaleNormal="55" workbookViewId="0">
      <selection activeCell="B28" sqref="B28:F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68"/>
      <c r="H1" s="16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68"/>
      <c r="H2" s="168"/>
      <c r="I2" s="113" t="s">
        <v>19</v>
      </c>
      <c r="J2" s="114"/>
      <c r="K2" s="114"/>
      <c r="L2" s="114"/>
      <c r="M2" s="114"/>
      <c r="N2" s="114"/>
      <c r="O2" s="114"/>
      <c r="P2" s="114"/>
      <c r="Q2" s="11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68"/>
      <c r="H3" s="168"/>
      <c r="I3" s="116"/>
      <c r="J3" s="117"/>
      <c r="K3" s="117"/>
      <c r="L3" s="117"/>
      <c r="M3" s="117"/>
      <c r="N3" s="117"/>
      <c r="O3" s="117"/>
      <c r="P3" s="117"/>
      <c r="Q3" s="11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68"/>
      <c r="H4" s="168"/>
      <c r="I4" s="119"/>
      <c r="J4" s="120"/>
      <c r="K4" s="120"/>
      <c r="L4" s="120"/>
      <c r="M4" s="120"/>
      <c r="N4" s="120"/>
      <c r="O4" s="120"/>
      <c r="P4" s="120"/>
      <c r="Q4" s="12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68"/>
      <c r="H5" s="168"/>
      <c r="I5" s="122" t="s">
        <v>38</v>
      </c>
      <c r="J5" s="123"/>
      <c r="K5" s="123"/>
      <c r="L5" s="123"/>
      <c r="M5" s="123"/>
      <c r="N5" s="123"/>
      <c r="O5" s="123"/>
      <c r="P5" s="123"/>
      <c r="Q5" s="12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68"/>
      <c r="H6" s="168"/>
      <c r="I6" s="49" t="s">
        <v>49</v>
      </c>
      <c r="J6" s="49" t="s">
        <v>50</v>
      </c>
      <c r="K6" s="49" t="s">
        <v>46</v>
      </c>
      <c r="L6" s="165" t="s">
        <v>39</v>
      </c>
      <c r="M6" s="166"/>
      <c r="N6" s="166"/>
      <c r="O6" s="166"/>
      <c r="P6" s="166"/>
      <c r="Q6" s="16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68"/>
      <c r="H7" s="168"/>
      <c r="I7" s="50" t="s">
        <v>20</v>
      </c>
      <c r="J7" s="37">
        <f>SUM(J13,J19)</f>
        <v>150.1</v>
      </c>
      <c r="K7" s="38">
        <f>J7/J7</f>
        <v>1</v>
      </c>
      <c r="L7" s="159" t="s">
        <v>68</v>
      </c>
      <c r="M7" s="160"/>
      <c r="N7" s="160"/>
      <c r="O7" s="160"/>
      <c r="P7" s="160"/>
      <c r="Q7" s="161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0" t="s">
        <v>3</v>
      </c>
      <c r="C8" s="141"/>
      <c r="D8" s="141"/>
      <c r="E8" s="141"/>
      <c r="F8" s="142"/>
      <c r="G8" s="168"/>
      <c r="H8" s="168"/>
      <c r="I8" s="51" t="s">
        <v>6</v>
      </c>
      <c r="J8" s="37">
        <f>SUM(J14,J20)</f>
        <v>150.0093</v>
      </c>
      <c r="K8" s="39">
        <f>J8/J7</f>
        <v>0.99939573617588273</v>
      </c>
      <c r="L8" s="159" t="s">
        <v>69</v>
      </c>
      <c r="M8" s="160"/>
      <c r="N8" s="160"/>
      <c r="O8" s="160"/>
      <c r="P8" s="160"/>
      <c r="Q8" s="161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3"/>
      <c r="C9" s="144"/>
      <c r="D9" s="144"/>
      <c r="E9" s="144"/>
      <c r="F9" s="145"/>
      <c r="G9" s="168"/>
      <c r="H9" s="168"/>
      <c r="I9" s="50" t="s">
        <v>8</v>
      </c>
      <c r="J9" s="40">
        <f t="shared" ref="J9:J10" si="0">SUM(J15,J21)</f>
        <v>8.199999999999999E-2</v>
      </c>
      <c r="K9" s="39">
        <f>J9/J7</f>
        <v>5.4630246502331773E-4</v>
      </c>
      <c r="L9" s="159" t="s">
        <v>69</v>
      </c>
      <c r="M9" s="160"/>
      <c r="N9" s="160"/>
      <c r="O9" s="160"/>
      <c r="P9" s="160"/>
      <c r="Q9" s="161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6"/>
      <c r="C10" s="147"/>
      <c r="D10" s="147"/>
      <c r="E10" s="147"/>
      <c r="F10" s="148"/>
      <c r="G10" s="168"/>
      <c r="H10" s="168"/>
      <c r="I10" s="51" t="s">
        <v>9</v>
      </c>
      <c r="J10" s="40">
        <f t="shared" si="0"/>
        <v>8.6999999999999994E-3</v>
      </c>
      <c r="K10" s="39">
        <f>J10/J7</f>
        <v>5.7961359093937375E-5</v>
      </c>
      <c r="L10" s="159" t="s">
        <v>69</v>
      </c>
      <c r="M10" s="160"/>
      <c r="N10" s="160"/>
      <c r="O10" s="160"/>
      <c r="P10" s="160"/>
      <c r="Q10" s="161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9" t="s">
        <v>36</v>
      </c>
      <c r="C11" s="150"/>
      <c r="D11" s="150"/>
      <c r="E11" s="150"/>
      <c r="F11" s="151"/>
      <c r="G11" s="168"/>
      <c r="H11" s="168"/>
      <c r="I11" s="184"/>
      <c r="J11" s="184"/>
      <c r="K11" s="184"/>
      <c r="L11" s="184"/>
      <c r="M11" s="184"/>
      <c r="N11" s="184"/>
      <c r="O11" s="184"/>
      <c r="P11" s="184"/>
      <c r="Q11" s="18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2"/>
      <c r="C12" s="153"/>
      <c r="D12" s="153"/>
      <c r="E12" s="153"/>
      <c r="F12" s="154"/>
      <c r="G12" s="168"/>
      <c r="H12" s="168"/>
      <c r="I12" s="49" t="s">
        <v>51</v>
      </c>
      <c r="J12" s="49" t="s">
        <v>50</v>
      </c>
      <c r="K12" s="49" t="s">
        <v>46</v>
      </c>
      <c r="L12" s="165" t="s">
        <v>39</v>
      </c>
      <c r="M12" s="166"/>
      <c r="N12" s="166"/>
      <c r="O12" s="166"/>
      <c r="P12" s="166"/>
      <c r="Q12" s="16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28" t="s">
        <v>39</v>
      </c>
      <c r="E13" s="128"/>
      <c r="F13" s="128"/>
      <c r="G13" s="168"/>
      <c r="H13" s="168"/>
      <c r="I13" s="50" t="s">
        <v>5</v>
      </c>
      <c r="J13" s="41">
        <f>SUM(J14:J16)</f>
        <v>150</v>
      </c>
      <c r="K13" s="38">
        <f>J13/J13</f>
        <v>1</v>
      </c>
      <c r="L13" s="159" t="s">
        <v>71</v>
      </c>
      <c r="M13" s="160"/>
      <c r="N13" s="160"/>
      <c r="O13" s="160"/>
      <c r="P13" s="160"/>
      <c r="Q13" s="161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29" t="s">
        <v>17</v>
      </c>
      <c r="E14" s="129"/>
      <c r="F14" s="129"/>
      <c r="G14" s="168"/>
      <c r="H14" s="168"/>
      <c r="I14" s="51" t="s">
        <v>43</v>
      </c>
      <c r="J14" s="41">
        <f>C14-SUM(J15:J16)</f>
        <v>149.92230000000001</v>
      </c>
      <c r="K14" s="39">
        <f>J14/J13</f>
        <v>0.99948200000000009</v>
      </c>
      <c r="L14" s="162" t="s">
        <v>70</v>
      </c>
      <c r="M14" s="163"/>
      <c r="N14" s="163"/>
      <c r="O14" s="163"/>
      <c r="P14" s="163"/>
      <c r="Q14" s="164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0" t="s">
        <v>60</v>
      </c>
      <c r="E15" s="130"/>
      <c r="F15" s="130"/>
      <c r="G15" s="168"/>
      <c r="H15" s="16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7.1999999999999995E-2</v>
      </c>
      <c r="K15" s="39">
        <f>J15/J13</f>
        <v>4.7999999999999996E-4</v>
      </c>
      <c r="L15" s="159" t="s">
        <v>69</v>
      </c>
      <c r="M15" s="160"/>
      <c r="N15" s="160"/>
      <c r="O15" s="160"/>
      <c r="P15" s="160"/>
      <c r="Q15" s="161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1" t="s">
        <v>40</v>
      </c>
      <c r="E16" s="132"/>
      <c r="F16" s="133"/>
      <c r="G16" s="168"/>
      <c r="H16" s="16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5.6999999999999993E-3</v>
      </c>
      <c r="K16" s="39">
        <f>J16/J13</f>
        <v>3.7999999999999995E-5</v>
      </c>
      <c r="L16" s="159" t="s">
        <v>69</v>
      </c>
      <c r="M16" s="160"/>
      <c r="N16" s="160"/>
      <c r="O16" s="160"/>
      <c r="P16" s="160"/>
      <c r="Q16" s="161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4" t="s">
        <v>61</v>
      </c>
      <c r="E17" s="135"/>
      <c r="F17" s="136"/>
      <c r="G17" s="168"/>
      <c r="H17" s="168"/>
      <c r="I17" s="162"/>
      <c r="J17" s="163"/>
      <c r="K17" s="163"/>
      <c r="L17" s="163"/>
      <c r="M17" s="163"/>
      <c r="N17" s="163"/>
      <c r="O17" s="163"/>
      <c r="P17" s="163"/>
      <c r="Q17" s="164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1" t="s">
        <v>41</v>
      </c>
      <c r="E18" s="132"/>
      <c r="F18" s="133"/>
      <c r="G18" s="168"/>
      <c r="H18" s="168"/>
      <c r="I18" s="49" t="s">
        <v>29</v>
      </c>
      <c r="J18" s="49" t="s">
        <v>50</v>
      </c>
      <c r="K18" s="49" t="s">
        <v>46</v>
      </c>
      <c r="L18" s="165" t="s">
        <v>39</v>
      </c>
      <c r="M18" s="166"/>
      <c r="N18" s="166"/>
      <c r="O18" s="166"/>
      <c r="P18" s="166"/>
      <c r="Q18" s="16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0"/>
      <c r="C19" s="130"/>
      <c r="D19" s="130"/>
      <c r="E19" s="130"/>
      <c r="F19" s="130"/>
      <c r="G19" s="168"/>
      <c r="H19" s="168"/>
      <c r="I19" s="50" t="s">
        <v>5</v>
      </c>
      <c r="J19" s="41">
        <f>SUM(J20:J22)</f>
        <v>9.9999999999999992E-2</v>
      </c>
      <c r="K19" s="38">
        <f>J19/J19</f>
        <v>1</v>
      </c>
      <c r="L19" s="159" t="s">
        <v>55</v>
      </c>
      <c r="M19" s="160"/>
      <c r="N19" s="160"/>
      <c r="O19" s="160"/>
      <c r="P19" s="160"/>
      <c r="Q19" s="161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28" t="s">
        <v>39</v>
      </c>
      <c r="E20" s="128"/>
      <c r="F20" s="128"/>
      <c r="G20" s="168"/>
      <c r="H20" s="16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8.6999999999999994E-2</v>
      </c>
      <c r="K20" s="39">
        <f>J20/J19</f>
        <v>0.87</v>
      </c>
      <c r="L20" s="159" t="s">
        <v>69</v>
      </c>
      <c r="M20" s="160"/>
      <c r="N20" s="160"/>
      <c r="O20" s="160"/>
      <c r="P20" s="160"/>
      <c r="Q20" s="161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4" t="s">
        <v>61</v>
      </c>
      <c r="E21" s="135"/>
      <c r="F21" s="136"/>
      <c r="G21" s="168"/>
      <c r="H21" s="16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0.01</v>
      </c>
      <c r="K21" s="39">
        <f>J21/J19</f>
        <v>0.1</v>
      </c>
      <c r="L21" s="159" t="s">
        <v>69</v>
      </c>
      <c r="M21" s="160"/>
      <c r="N21" s="160"/>
      <c r="O21" s="160"/>
      <c r="P21" s="160"/>
      <c r="Q21" s="161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7" t="s">
        <v>67</v>
      </c>
      <c r="E22" s="137"/>
      <c r="F22" s="137"/>
      <c r="G22" s="168"/>
      <c r="H22" s="16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2.9999999999999996E-3</v>
      </c>
      <c r="K22" s="39">
        <f>J22/J19</f>
        <v>0.03</v>
      </c>
      <c r="L22" s="159" t="s">
        <v>69</v>
      </c>
      <c r="M22" s="160"/>
      <c r="N22" s="160"/>
      <c r="O22" s="160"/>
      <c r="P22" s="160"/>
      <c r="Q22" s="161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5"/>
      <c r="C23" s="126"/>
      <c r="D23" s="126"/>
      <c r="E23" s="126"/>
      <c r="F23" s="127"/>
      <c r="G23" s="168"/>
      <c r="H23" s="168"/>
      <c r="I23" s="179"/>
      <c r="J23" s="180"/>
      <c r="K23" s="180"/>
      <c r="L23" s="180"/>
      <c r="M23" s="180"/>
      <c r="N23" s="180"/>
      <c r="O23" s="180"/>
      <c r="P23" s="180"/>
      <c r="Q23" s="18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9" t="s">
        <v>37</v>
      </c>
      <c r="C24" s="150"/>
      <c r="D24" s="150"/>
      <c r="E24" s="150"/>
      <c r="F24" s="151"/>
      <c r="G24" s="168"/>
      <c r="H24" s="168"/>
      <c r="I24" s="173" t="s">
        <v>42</v>
      </c>
      <c r="J24" s="174"/>
      <c r="K24" s="174"/>
      <c r="L24" s="174"/>
      <c r="M24" s="174"/>
      <c r="N24" s="174"/>
      <c r="O24" s="174"/>
      <c r="P24" s="174"/>
      <c r="Q24" s="17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2"/>
      <c r="C25" s="153"/>
      <c r="D25" s="153"/>
      <c r="E25" s="153"/>
      <c r="F25" s="154"/>
      <c r="G25" s="168"/>
      <c r="H25" s="168"/>
      <c r="I25" s="176"/>
      <c r="J25" s="177"/>
      <c r="K25" s="177"/>
      <c r="L25" s="177"/>
      <c r="M25" s="177"/>
      <c r="N25" s="177"/>
      <c r="O25" s="177"/>
      <c r="P25" s="177"/>
      <c r="Q25" s="17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1" t="s">
        <v>11</v>
      </c>
      <c r="C26" s="171" t="s">
        <v>12</v>
      </c>
      <c r="D26" s="155" t="s">
        <v>47</v>
      </c>
      <c r="E26" s="155" t="s">
        <v>48</v>
      </c>
      <c r="F26" s="157" t="s">
        <v>66</v>
      </c>
      <c r="G26" s="168"/>
      <c r="H26" s="168"/>
      <c r="I26" s="182" t="s">
        <v>53</v>
      </c>
      <c r="J26" s="182" t="s">
        <v>54</v>
      </c>
      <c r="K26" s="169" t="s">
        <v>73</v>
      </c>
      <c r="L26" s="169" t="s">
        <v>52</v>
      </c>
      <c r="M26" s="169" t="s">
        <v>59</v>
      </c>
      <c r="N26" s="169" t="s">
        <v>62</v>
      </c>
      <c r="O26" s="169" t="s">
        <v>72</v>
      </c>
      <c r="P26" s="169" t="s">
        <v>64</v>
      </c>
      <c r="Q26" s="169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2"/>
      <c r="C27" s="172"/>
      <c r="D27" s="156"/>
      <c r="E27" s="156"/>
      <c r="F27" s="158"/>
      <c r="G27" s="168"/>
      <c r="H27" s="168"/>
      <c r="I27" s="183"/>
      <c r="J27" s="183"/>
      <c r="K27" s="170"/>
      <c r="L27" s="170"/>
      <c r="M27" s="170"/>
      <c r="N27" s="170"/>
      <c r="O27" s="170"/>
      <c r="P27" s="170"/>
      <c r="Q27" s="170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68"/>
      <c r="H28" s="16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9.6478749911243222E-3</v>
      </c>
      <c r="K28" s="93">
        <f t="shared" ref="K28:K47" si="3">IF(D28=0,"",1/(1+10^D28*$J$15/$J$14+10^E28*$J$16/$J$14+10^J28*$J$19/$J$14))</f>
        <v>0.9987156096434584</v>
      </c>
      <c r="L28" s="93">
        <f t="shared" ref="L28:L47" si="4">IF(D28=0,"",1/(1+10^I28/10^J28*$J$13/$J$19))</f>
        <v>6.8111975496257867E-4</v>
      </c>
      <c r="M28" s="93">
        <f t="shared" ref="M28:M47" si="5">IF(D28=0,"",1-L28)</f>
        <v>0.99931888024503746</v>
      </c>
      <c r="N28" s="93">
        <f t="shared" ref="N28:N47" si="6">IF(D28=0,"",1/(1/10^E28*$J$20/$J$22+10^D28/10^E28*$J$21/$J$22+10^I28/10^E28*$J$13/$J$22+1))</f>
        <v>2.4149762069976278E-5</v>
      </c>
      <c r="O28" s="40">
        <f t="shared" ref="O28:O47" si="7">IF(D28=0,"",F28*K28*$J$7/$J$14)</f>
        <v>9.9989936792247106E-7</v>
      </c>
      <c r="P28" s="40">
        <f t="shared" ref="P28:P47" si="8">IF(D28=0,"",O28*10^J28)</f>
        <v>1.0223607521988307E-6</v>
      </c>
      <c r="Q28" s="40">
        <f t="shared" ref="Q28:Q47" si="9">IF(D28=0,"",F28*N28*$J$7/$J$22)</f>
        <v>1.2082930955678132E-6</v>
      </c>
      <c r="R28" s="9">
        <f>F28*$C$14</f>
        <v>1.4999999999999999E-4</v>
      </c>
      <c r="S28" s="9">
        <f>$R28*L28</f>
        <v>1.021679632443868E-7</v>
      </c>
      <c r="T28" s="9">
        <f t="shared" ref="T28:T91" si="10">R28*K28</f>
        <v>1.4980734144651875E-4</v>
      </c>
      <c r="U28" s="9">
        <f t="shared" ref="U28:U91" si="11">$R28*M28</f>
        <v>1.4989783203675559E-4</v>
      </c>
      <c r="V28" s="100">
        <f>K28/M28</f>
        <v>0.99939631821883412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68"/>
      <c r="H29" s="168"/>
      <c r="I29" s="92">
        <f t="shared" si="1"/>
        <v>4.6078470391874224E-2</v>
      </c>
      <c r="J29" s="92">
        <f t="shared" si="2"/>
        <v>1.514455589262484</v>
      </c>
      <c r="K29" s="93">
        <f t="shared" si="3"/>
        <v>0.8815888877214012</v>
      </c>
      <c r="L29" s="93">
        <f t="shared" si="4"/>
        <v>1.9224518020125751E-2</v>
      </c>
      <c r="M29" s="93">
        <f t="shared" si="5"/>
        <v>0.9807754819798743</v>
      </c>
      <c r="N29" s="93">
        <f t="shared" si="6"/>
        <v>6.7068891090727965E-3</v>
      </c>
      <c r="O29" s="40">
        <f t="shared" si="7"/>
        <v>8.8263381796425414E-7</v>
      </c>
      <c r="P29" s="40">
        <f t="shared" si="8"/>
        <v>2.8856001548208755E-5</v>
      </c>
      <c r="Q29" s="40">
        <f t="shared" si="9"/>
        <v>3.3556801842394229E-4</v>
      </c>
      <c r="R29" s="9">
        <f t="shared" ref="R29:R92" si="12">F29*$C$14</f>
        <v>1.4999999999999999E-4</v>
      </c>
      <c r="S29" s="9">
        <f t="shared" ref="S29:S92" si="13">$R29*L29</f>
        <v>2.8836777030188623E-6</v>
      </c>
      <c r="T29" s="9">
        <f t="shared" si="10"/>
        <v>1.3223833315821016E-4</v>
      </c>
      <c r="U29" s="9">
        <f t="shared" si="11"/>
        <v>1.4711632229698113E-4</v>
      </c>
      <c r="V29" s="100">
        <f t="shared" ref="V29:V92" si="14">K29/M29</f>
        <v>0.89886921514570606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68"/>
      <c r="H30" s="168"/>
      <c r="I30" s="92">
        <f t="shared" si="1"/>
        <v>1.116379396238508</v>
      </c>
      <c r="J30" s="92">
        <f t="shared" si="2"/>
        <v>3.4024078837943859</v>
      </c>
      <c r="K30" s="93">
        <f t="shared" si="3"/>
        <v>6.7729230628749901E-2</v>
      </c>
      <c r="L30" s="93">
        <f t="shared" si="4"/>
        <v>0.1141084457134358</v>
      </c>
      <c r="M30" s="93">
        <f t="shared" si="5"/>
        <v>0.88589155428656419</v>
      </c>
      <c r="N30" s="93">
        <f t="shared" si="6"/>
        <v>5.9160408041155136E-4</v>
      </c>
      <c r="O30" s="40">
        <f t="shared" si="7"/>
        <v>6.7809508774714358E-8</v>
      </c>
      <c r="P30" s="40">
        <f t="shared" si="8"/>
        <v>1.7127677701586717E-4</v>
      </c>
      <c r="Q30" s="40">
        <f t="shared" si="9"/>
        <v>2.9599924156591286E-5</v>
      </c>
      <c r="R30" s="9">
        <f t="shared" si="12"/>
        <v>1.4999999999999999E-4</v>
      </c>
      <c r="S30" s="9">
        <f t="shared" si="13"/>
        <v>1.7116266857015367E-5</v>
      </c>
      <c r="T30" s="9">
        <f t="shared" si="10"/>
        <v>1.0159384594312484E-5</v>
      </c>
      <c r="U30" s="9">
        <f t="shared" si="11"/>
        <v>1.3288373314298462E-4</v>
      </c>
      <c r="V30" s="100">
        <f t="shared" si="14"/>
        <v>7.6453184705315702E-2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68"/>
      <c r="H31" s="168"/>
      <c r="I31" s="92">
        <f t="shared" si="1"/>
        <v>-1.9978935919434454E-4</v>
      </c>
      <c r="J31" s="92">
        <f t="shared" si="2"/>
        <v>-5.4306074131011448E-2</v>
      </c>
      <c r="K31" s="93">
        <f t="shared" si="3"/>
        <v>0.99935370400003509</v>
      </c>
      <c r="L31" s="93">
        <f t="shared" si="4"/>
        <v>5.8822965618584428E-4</v>
      </c>
      <c r="M31" s="93">
        <f t="shared" si="5"/>
        <v>0.99941177034381412</v>
      </c>
      <c r="N31" s="93">
        <f t="shared" si="6"/>
        <v>3.2513632535148238E-7</v>
      </c>
      <c r="O31" s="40">
        <f t="shared" si="7"/>
        <v>1.0005382185999364E-6</v>
      </c>
      <c r="P31" s="40">
        <f t="shared" si="8"/>
        <v>8.8293271393495245E-7</v>
      </c>
      <c r="Q31" s="40">
        <f t="shared" si="9"/>
        <v>1.6267654145085834E-8</v>
      </c>
      <c r="R31" s="9">
        <f t="shared" si="12"/>
        <v>1.4999999999999999E-4</v>
      </c>
      <c r="S31" s="9">
        <f t="shared" si="13"/>
        <v>8.8234448427876634E-8</v>
      </c>
      <c r="T31" s="9">
        <f t="shared" si="10"/>
        <v>1.4990305560000526E-4</v>
      </c>
      <c r="U31" s="9">
        <f t="shared" si="11"/>
        <v>1.4991176555157211E-4</v>
      </c>
      <c r="V31" s="100">
        <f t="shared" si="14"/>
        <v>0.99994189947977197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68"/>
      <c r="H32" s="168"/>
      <c r="I32" s="92">
        <f t="shared" si="1"/>
        <v>5.4311668398331027E-4</v>
      </c>
      <c r="J32" s="92">
        <f t="shared" si="2"/>
        <v>0.1081643537301431</v>
      </c>
      <c r="K32" s="93">
        <f t="shared" si="3"/>
        <v>0.99738095188543963</v>
      </c>
      <c r="L32" s="93">
        <f t="shared" si="4"/>
        <v>8.534128685152337E-4</v>
      </c>
      <c r="M32" s="93">
        <f t="shared" si="5"/>
        <v>0.99914658713148474</v>
      </c>
      <c r="N32" s="93">
        <f t="shared" si="6"/>
        <v>3.994640216346489E-5</v>
      </c>
      <c r="O32" s="40">
        <f t="shared" si="7"/>
        <v>9.9856312822044809E-7</v>
      </c>
      <c r="P32" s="40">
        <f t="shared" si="8"/>
        <v>1.2809727156413661E-6</v>
      </c>
      <c r="Q32" s="40">
        <f t="shared" si="9"/>
        <v>1.9986516549120264E-6</v>
      </c>
      <c r="R32" s="9">
        <f t="shared" si="12"/>
        <v>1.4999999999999999E-4</v>
      </c>
      <c r="S32" s="9">
        <f t="shared" si="13"/>
        <v>1.2801193027728506E-7</v>
      </c>
      <c r="T32" s="9">
        <f t="shared" si="10"/>
        <v>1.4960714278281593E-4</v>
      </c>
      <c r="U32" s="9">
        <f t="shared" si="11"/>
        <v>1.4987198806972271E-4</v>
      </c>
      <c r="V32" s="100">
        <f t="shared" si="14"/>
        <v>0.99823285665108041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68"/>
      <c r="H33" s="168"/>
      <c r="I33" s="92">
        <f t="shared" si="1"/>
        <v>1.0070969156464394E-2</v>
      </c>
      <c r="J33" s="92">
        <f t="shared" si="2"/>
        <v>0.87367564161458711</v>
      </c>
      <c r="K33" s="93">
        <f t="shared" si="3"/>
        <v>0.9718387298575617</v>
      </c>
      <c r="L33" s="93">
        <f t="shared" si="4"/>
        <v>4.8462253836291432E-3</v>
      </c>
      <c r="M33" s="93">
        <f t="shared" si="5"/>
        <v>0.99515377461637089</v>
      </c>
      <c r="N33" s="93">
        <f t="shared" si="6"/>
        <v>1.4183539863139266E-3</v>
      </c>
      <c r="O33" s="40">
        <f t="shared" si="7"/>
        <v>9.729906314912457E-7</v>
      </c>
      <c r="P33" s="40">
        <f t="shared" si="8"/>
        <v>7.2741843008273436E-6</v>
      </c>
      <c r="Q33" s="40">
        <f t="shared" si="9"/>
        <v>7.0964977781906799E-5</v>
      </c>
      <c r="R33" s="9">
        <f t="shared" si="12"/>
        <v>1.4999999999999999E-4</v>
      </c>
      <c r="S33" s="9">
        <f t="shared" si="13"/>
        <v>7.2693380754437146E-7</v>
      </c>
      <c r="T33" s="9">
        <f t="shared" si="10"/>
        <v>1.4577580947863425E-4</v>
      </c>
      <c r="U33" s="9">
        <f t="shared" si="11"/>
        <v>1.4927306619245563E-4</v>
      </c>
      <c r="V33" s="100">
        <f t="shared" si="14"/>
        <v>0.97657141503804568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68"/>
      <c r="H34" s="168"/>
      <c r="I34" s="92">
        <f t="shared" si="1"/>
        <v>3.1711948665398576E-4</v>
      </c>
      <c r="J34" s="92">
        <f t="shared" si="2"/>
        <v>6.3421506945535652E-2</v>
      </c>
      <c r="K34" s="93">
        <f t="shared" si="3"/>
        <v>0.99798307815306753</v>
      </c>
      <c r="L34" s="93">
        <f t="shared" si="4"/>
        <v>7.7033290300305719E-4</v>
      </c>
      <c r="M34" s="93">
        <f t="shared" si="5"/>
        <v>0.9992296670969969</v>
      </c>
      <c r="N34" s="93">
        <f t="shared" si="6"/>
        <v>2.4541641401058423E-5</v>
      </c>
      <c r="O34" s="40">
        <f t="shared" si="7"/>
        <v>9.9916596817668504E-7</v>
      </c>
      <c r="P34" s="40">
        <f t="shared" si="8"/>
        <v>1.1562696874075888E-6</v>
      </c>
      <c r="Q34" s="40">
        <f t="shared" si="9"/>
        <v>1.2279001247662897E-6</v>
      </c>
      <c r="R34" s="9">
        <f t="shared" si="12"/>
        <v>1.4999999999999999E-4</v>
      </c>
      <c r="S34" s="9">
        <f t="shared" si="13"/>
        <v>1.1554993545045857E-7</v>
      </c>
      <c r="T34" s="9">
        <f t="shared" si="10"/>
        <v>1.4969746172296012E-4</v>
      </c>
      <c r="U34" s="9">
        <f t="shared" si="11"/>
        <v>1.4988445006454952E-4</v>
      </c>
      <c r="V34" s="100">
        <f t="shared" si="14"/>
        <v>0.99875245002727853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68"/>
      <c r="H35" s="168"/>
      <c r="I35" s="92">
        <f t="shared" si="1"/>
        <v>1.8367979099029661E-4</v>
      </c>
      <c r="J35" s="92">
        <f t="shared" si="2"/>
        <v>3.5152646939541399E-2</v>
      </c>
      <c r="K35" s="93">
        <f t="shared" si="3"/>
        <v>0.99833800470544942</v>
      </c>
      <c r="L35" s="93">
        <f t="shared" si="4"/>
        <v>7.2204458420566E-4</v>
      </c>
      <c r="M35" s="93">
        <f t="shared" si="5"/>
        <v>0.99927795541579434</v>
      </c>
      <c r="N35" s="93">
        <f t="shared" si="6"/>
        <v>1.6518886079702098E-5</v>
      </c>
      <c r="O35" s="40">
        <f t="shared" si="7"/>
        <v>9.9952131541663862E-7</v>
      </c>
      <c r="P35" s="40">
        <f t="shared" si="8"/>
        <v>1.0837889208926956E-6</v>
      </c>
      <c r="Q35" s="40">
        <f t="shared" si="9"/>
        <v>8.2649493352109508E-7</v>
      </c>
      <c r="R35" s="9">
        <f t="shared" si="12"/>
        <v>1.4999999999999999E-4</v>
      </c>
      <c r="S35" s="9">
        <f t="shared" si="13"/>
        <v>1.08306687630849E-7</v>
      </c>
      <c r="T35" s="9">
        <f t="shared" si="10"/>
        <v>1.4975070070581741E-4</v>
      </c>
      <c r="U35" s="9">
        <f t="shared" si="11"/>
        <v>1.4989169331236914E-4</v>
      </c>
      <c r="V35" s="100">
        <f t="shared" si="14"/>
        <v>0.99905937011293944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68"/>
      <c r="H36" s="168"/>
      <c r="I36" s="92">
        <f t="shared" si="1"/>
        <v>0.45036614920415591</v>
      </c>
      <c r="J36" s="92">
        <f t="shared" si="2"/>
        <v>2.8252916173691829</v>
      </c>
      <c r="K36" s="93">
        <f t="shared" si="3"/>
        <v>0.30596806319823738</v>
      </c>
      <c r="L36" s="93">
        <f t="shared" si="4"/>
        <v>0.13649020263834274</v>
      </c>
      <c r="M36" s="93">
        <f t="shared" si="5"/>
        <v>0.86350979736165723</v>
      </c>
      <c r="N36" s="93">
        <f t="shared" si="6"/>
        <v>7.9982894339129446E-2</v>
      </c>
      <c r="O36" s="40">
        <f t="shared" si="7"/>
        <v>3.063307212206284E-7</v>
      </c>
      <c r="P36" s="40">
        <f t="shared" si="8"/>
        <v>2.0487179416015246E-4</v>
      </c>
      <c r="Q36" s="40">
        <f t="shared" si="9"/>
        <v>4.0018108134344437E-3</v>
      </c>
      <c r="R36" s="9">
        <f t="shared" si="12"/>
        <v>1.4999999999999999E-4</v>
      </c>
      <c r="S36" s="9">
        <f t="shared" si="13"/>
        <v>2.047353039575141E-5</v>
      </c>
      <c r="T36" s="9">
        <f t="shared" si="10"/>
        <v>4.5895209479735601E-5</v>
      </c>
      <c r="U36" s="9">
        <f t="shared" si="11"/>
        <v>1.2952646960424856E-4</v>
      </c>
      <c r="V36" s="100">
        <f t="shared" si="14"/>
        <v>0.35433073733857257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68"/>
      <c r="H37" s="168"/>
      <c r="I37" s="92">
        <f t="shared" si="1"/>
        <v>2.2002191789801899</v>
      </c>
      <c r="J37" s="92">
        <f t="shared" si="2"/>
        <v>5.0090720863344043</v>
      </c>
      <c r="K37" s="93">
        <f t="shared" si="3"/>
        <v>4.4099348782475961E-3</v>
      </c>
      <c r="L37" s="93">
        <f t="shared" si="4"/>
        <v>0.30035718567752751</v>
      </c>
      <c r="M37" s="93">
        <f t="shared" si="5"/>
        <v>0.69964281432247244</v>
      </c>
      <c r="N37" s="93">
        <f t="shared" si="6"/>
        <v>0.27685291169840454</v>
      </c>
      <c r="O37" s="40">
        <f t="shared" si="7"/>
        <v>4.4151618886914365E-9</v>
      </c>
      <c r="P37" s="40">
        <f t="shared" si="8"/>
        <v>4.5083613570196868E-4</v>
      </c>
      <c r="Q37" s="40">
        <f t="shared" si="9"/>
        <v>1.3851874015310173E-2</v>
      </c>
      <c r="R37" s="9">
        <f t="shared" si="12"/>
        <v>1.4999999999999999E-4</v>
      </c>
      <c r="S37" s="9">
        <f t="shared" si="13"/>
        <v>4.505357785162912E-5</v>
      </c>
      <c r="T37" s="9">
        <f t="shared" si="10"/>
        <v>6.6149023173713939E-7</v>
      </c>
      <c r="U37" s="9">
        <f t="shared" si="11"/>
        <v>1.0494642214837086E-4</v>
      </c>
      <c r="V37" s="100">
        <f t="shared" si="14"/>
        <v>6.3031232337005215E-3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68"/>
      <c r="H38" s="168"/>
      <c r="I38" s="92">
        <f t="shared" si="1"/>
        <v>-1.5970395933982679E-4</v>
      </c>
      <c r="J38" s="92">
        <f t="shared" si="2"/>
        <v>-4.4457083371635821E-2</v>
      </c>
      <c r="K38" s="93">
        <f t="shared" si="3"/>
        <v>0.99924804113942911</v>
      </c>
      <c r="L38" s="93">
        <f t="shared" si="4"/>
        <v>6.0165840211606921E-4</v>
      </c>
      <c r="M38" s="93">
        <f t="shared" si="5"/>
        <v>0.99939834159788388</v>
      </c>
      <c r="N38" s="93">
        <f t="shared" si="6"/>
        <v>1.2485953466847902E-6</v>
      </c>
      <c r="O38" s="40">
        <f t="shared" si="7"/>
        <v>1.0004324304991871E-6</v>
      </c>
      <c r="P38" s="40">
        <f t="shared" si="8"/>
        <v>9.0308926157621956E-7</v>
      </c>
      <c r="Q38" s="40">
        <f t="shared" si="9"/>
        <v>6.2471387179128997E-8</v>
      </c>
      <c r="R38" s="9">
        <f t="shared" si="12"/>
        <v>1.4999999999999999E-4</v>
      </c>
      <c r="S38" s="9">
        <f t="shared" si="13"/>
        <v>9.024876031741037E-8</v>
      </c>
      <c r="T38" s="9">
        <f t="shared" si="10"/>
        <v>1.4988720617091435E-4</v>
      </c>
      <c r="U38" s="9">
        <f t="shared" si="11"/>
        <v>1.4990975123968257E-4</v>
      </c>
      <c r="V38" s="100">
        <f t="shared" si="14"/>
        <v>0.99984960905757114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68"/>
      <c r="H39" s="168"/>
      <c r="I39" s="92">
        <f t="shared" si="1"/>
        <v>4.7752637245013392E-2</v>
      </c>
      <c r="J39" s="92">
        <f t="shared" si="2"/>
        <v>1.5025773317670659</v>
      </c>
      <c r="K39" s="93">
        <f t="shared" si="3"/>
        <v>0.87871599522071175</v>
      </c>
      <c r="L39" s="93">
        <f t="shared" si="4"/>
        <v>1.8644881498338452E-2</v>
      </c>
      <c r="M39" s="93">
        <f t="shared" si="5"/>
        <v>0.98135511850166157</v>
      </c>
      <c r="N39" s="93">
        <f t="shared" si="6"/>
        <v>5.2703025878478036E-3</v>
      </c>
      <c r="O39" s="40">
        <f t="shared" si="7"/>
        <v>8.7975752027969704E-7</v>
      </c>
      <c r="P39" s="40">
        <f t="shared" si="8"/>
        <v>2.7985967129006024E-5</v>
      </c>
      <c r="Q39" s="40">
        <f t="shared" si="9"/>
        <v>2.6369080614531849E-4</v>
      </c>
      <c r="R39" s="9">
        <f t="shared" si="12"/>
        <v>1.4999999999999999E-4</v>
      </c>
      <c r="S39" s="9">
        <f t="shared" si="13"/>
        <v>2.7967322247507675E-6</v>
      </c>
      <c r="T39" s="9">
        <f t="shared" si="10"/>
        <v>1.3180739928310675E-4</v>
      </c>
      <c r="U39" s="9">
        <f t="shared" si="11"/>
        <v>1.4720326777524923E-4</v>
      </c>
      <c r="V39" s="100">
        <f t="shared" si="14"/>
        <v>0.89541082392512528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68"/>
      <c r="H40" s="168"/>
      <c r="I40" s="92">
        <f t="shared" si="1"/>
        <v>5.4923561227077443E-2</v>
      </c>
      <c r="J40" s="92">
        <f t="shared" si="2"/>
        <v>1.6557511053520559</v>
      </c>
      <c r="K40" s="93">
        <f t="shared" si="3"/>
        <v>0.85793408352713629</v>
      </c>
      <c r="L40" s="93">
        <f t="shared" si="4"/>
        <v>2.590232753336531E-2</v>
      </c>
      <c r="M40" s="93">
        <f t="shared" si="5"/>
        <v>0.9740976724666347</v>
      </c>
      <c r="N40" s="93">
        <f t="shared" si="6"/>
        <v>1.2594071651044418E-2</v>
      </c>
      <c r="O40" s="40">
        <f t="shared" si="7"/>
        <v>8.5895097618848653E-7</v>
      </c>
      <c r="P40" s="40">
        <f t="shared" si="8"/>
        <v>3.8879393627581327E-5</v>
      </c>
      <c r="Q40" s="40">
        <f t="shared" si="9"/>
        <v>6.3012338494058907E-4</v>
      </c>
      <c r="R40" s="9">
        <f t="shared" si="12"/>
        <v>1.4999999999999999E-4</v>
      </c>
      <c r="S40" s="9">
        <f t="shared" si="13"/>
        <v>3.8853491300047959E-6</v>
      </c>
      <c r="T40" s="9">
        <f t="shared" si="10"/>
        <v>1.2869011252907044E-4</v>
      </c>
      <c r="U40" s="9">
        <f t="shared" si="11"/>
        <v>1.4611465086999519E-4</v>
      </c>
      <c r="V40" s="100">
        <f t="shared" si="14"/>
        <v>0.88074749358003701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68"/>
      <c r="H41" s="168"/>
      <c r="I41" s="92">
        <f t="shared" si="1"/>
        <v>6.6276677113325539E-3</v>
      </c>
      <c r="J41" s="92">
        <f t="shared" si="2"/>
        <v>0.68923958342305858</v>
      </c>
      <c r="K41" s="93">
        <f t="shared" si="3"/>
        <v>0.98119518178121368</v>
      </c>
      <c r="L41" s="93">
        <f t="shared" si="4"/>
        <v>3.1998436180264676E-3</v>
      </c>
      <c r="M41" s="93">
        <f t="shared" si="5"/>
        <v>0.9968001563819735</v>
      </c>
      <c r="N41" s="93">
        <f t="shared" si="6"/>
        <v>6.2911410941014594E-4</v>
      </c>
      <c r="O41" s="40">
        <f t="shared" si="7"/>
        <v>9.8235817343624093E-7</v>
      </c>
      <c r="P41" s="40">
        <f t="shared" si="8"/>
        <v>4.8029652706577279E-6</v>
      </c>
      <c r="Q41" s="40">
        <f t="shared" si="9"/>
        <v>3.147667594082097E-5</v>
      </c>
      <c r="R41" s="9">
        <f t="shared" si="12"/>
        <v>1.4999999999999999E-4</v>
      </c>
      <c r="S41" s="9">
        <f t="shared" si="13"/>
        <v>4.7997654270397013E-7</v>
      </c>
      <c r="T41" s="9">
        <f t="shared" si="10"/>
        <v>1.4717927726718203E-4</v>
      </c>
      <c r="U41" s="9">
        <f t="shared" si="11"/>
        <v>1.4952002345729602E-4</v>
      </c>
      <c r="V41" s="100">
        <f t="shared" si="14"/>
        <v>0.98434493162862224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68"/>
      <c r="H42" s="168"/>
      <c r="I42" s="92">
        <f t="shared" si="1"/>
        <v>2.8589842167479149E-2</v>
      </c>
      <c r="J42" s="92">
        <f t="shared" si="2"/>
        <v>1.3381242784059832</v>
      </c>
      <c r="K42" s="93">
        <f t="shared" si="3"/>
        <v>0.92325106535956381</v>
      </c>
      <c r="L42" s="93">
        <f t="shared" si="4"/>
        <v>1.3414604087963524E-2</v>
      </c>
      <c r="M42" s="93">
        <f t="shared" si="5"/>
        <v>0.98658539591203642</v>
      </c>
      <c r="N42" s="93">
        <f t="shared" si="6"/>
        <v>5.545910235793235E-3</v>
      </c>
      <c r="O42" s="40">
        <f t="shared" si="7"/>
        <v>9.2434537697507643E-7</v>
      </c>
      <c r="P42" s="40">
        <f t="shared" si="8"/>
        <v>2.0135320736033252E-5</v>
      </c>
      <c r="Q42" s="40">
        <f t="shared" si="9"/>
        <v>2.774803754641882E-4</v>
      </c>
      <c r="R42" s="9">
        <f t="shared" si="12"/>
        <v>1.4999999999999999E-4</v>
      </c>
      <c r="S42" s="9">
        <f t="shared" si="13"/>
        <v>2.0121906131945284E-6</v>
      </c>
      <c r="T42" s="9">
        <f t="shared" si="10"/>
        <v>1.3848765980393457E-4</v>
      </c>
      <c r="U42" s="9">
        <f t="shared" si="11"/>
        <v>1.4798780938680544E-4</v>
      </c>
      <c r="V42" s="100">
        <f t="shared" si="14"/>
        <v>0.93580451239710072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68"/>
      <c r="H43" s="168"/>
      <c r="I43" s="92">
        <f t="shared" si="1"/>
        <v>4.5043006346732313E-2</v>
      </c>
      <c r="J43" s="92">
        <f t="shared" si="2"/>
        <v>1.4898227768640917</v>
      </c>
      <c r="K43" s="93">
        <f t="shared" si="3"/>
        <v>0.88459267620910542</v>
      </c>
      <c r="L43" s="93">
        <f t="shared" si="4"/>
        <v>1.8226357314068988E-2</v>
      </c>
      <c r="M43" s="93">
        <f t="shared" si="5"/>
        <v>0.98177364268593104</v>
      </c>
      <c r="N43" s="93">
        <f t="shared" si="6"/>
        <v>5.7269495574213646E-3</v>
      </c>
      <c r="O43" s="40">
        <f t="shared" si="7"/>
        <v>8.8564116678430579E-7</v>
      </c>
      <c r="P43" s="40">
        <f t="shared" si="8"/>
        <v>2.7357762328417551E-5</v>
      </c>
      <c r="Q43" s="40">
        <f t="shared" si="9"/>
        <v>2.8653837618964896E-4</v>
      </c>
      <c r="R43" s="9">
        <f t="shared" si="12"/>
        <v>1.4999999999999999E-4</v>
      </c>
      <c r="S43" s="9">
        <f t="shared" si="13"/>
        <v>2.7339535971103482E-6</v>
      </c>
      <c r="T43" s="9">
        <f t="shared" si="10"/>
        <v>1.326889014313658E-4</v>
      </c>
      <c r="U43" s="9">
        <f t="shared" si="11"/>
        <v>1.4726604640288965E-4</v>
      </c>
      <c r="V43" s="100">
        <f t="shared" si="14"/>
        <v>0.90101489564238202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68"/>
      <c r="H44" s="168"/>
      <c r="I44" s="92">
        <f t="shared" si="1"/>
        <v>2.829962486439805</v>
      </c>
      <c r="J44" s="92">
        <f t="shared" si="2"/>
        <v>5.6026792956514546</v>
      </c>
      <c r="K44" s="93">
        <f t="shared" si="3"/>
        <v>1.0598154000780258E-3</v>
      </c>
      <c r="L44" s="93">
        <f t="shared" si="4"/>
        <v>0.28316742095450931</v>
      </c>
      <c r="M44" s="93">
        <f t="shared" si="5"/>
        <v>0.71683257904549069</v>
      </c>
      <c r="N44" s="93">
        <f t="shared" si="6"/>
        <v>0.2496279696498481</v>
      </c>
      <c r="O44" s="40">
        <f t="shared" si="7"/>
        <v>1.0610715787558734E-9</v>
      </c>
      <c r="P44" s="40">
        <f t="shared" si="8"/>
        <v>4.2503429885271869E-4</v>
      </c>
      <c r="Q44" s="40">
        <f t="shared" si="9"/>
        <v>1.2489719414814068E-2</v>
      </c>
      <c r="R44" s="9">
        <f t="shared" si="12"/>
        <v>1.4999999999999999E-4</v>
      </c>
      <c r="S44" s="9">
        <f t="shared" si="13"/>
        <v>4.247511314317639E-5</v>
      </c>
      <c r="T44" s="9">
        <f t="shared" si="10"/>
        <v>1.5897231001170387E-7</v>
      </c>
      <c r="U44" s="9">
        <f t="shared" si="11"/>
        <v>1.075248868568236E-4</v>
      </c>
      <c r="V44" s="100">
        <f t="shared" si="14"/>
        <v>1.4784699120249795E-3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68"/>
      <c r="H45" s="168"/>
      <c r="I45" s="92">
        <f t="shared" si="1"/>
        <v>3.957220636313619E-3</v>
      </c>
      <c r="J45" s="92">
        <f t="shared" si="2"/>
        <v>0.53532069811024507</v>
      </c>
      <c r="K45" s="93">
        <f t="shared" si="3"/>
        <v>0.98817697572336916</v>
      </c>
      <c r="L45" s="93">
        <f t="shared" si="4"/>
        <v>2.2609408082356511E-3</v>
      </c>
      <c r="M45" s="93">
        <f t="shared" si="5"/>
        <v>0.99773905919176431</v>
      </c>
      <c r="N45" s="93">
        <f t="shared" si="6"/>
        <v>4.8828766030598232E-4</v>
      </c>
      <c r="O45" s="40">
        <f t="shared" si="7"/>
        <v>9.8934824276360283E-7</v>
      </c>
      <c r="P45" s="40">
        <f t="shared" si="8"/>
        <v>3.393672153161712E-6</v>
      </c>
      <c r="Q45" s="40">
        <f t="shared" si="9"/>
        <v>2.4430659270642647E-5</v>
      </c>
      <c r="R45" s="9">
        <f t="shared" si="12"/>
        <v>1.4999999999999999E-4</v>
      </c>
      <c r="S45" s="9">
        <f t="shared" si="13"/>
        <v>3.3914112123534762E-7</v>
      </c>
      <c r="T45" s="9">
        <f t="shared" si="10"/>
        <v>1.4822654635850537E-4</v>
      </c>
      <c r="U45" s="9">
        <f t="shared" si="11"/>
        <v>1.4966085887876463E-4</v>
      </c>
      <c r="V45" s="100">
        <f t="shared" si="14"/>
        <v>0.99041624823614594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68"/>
      <c r="H46" s="168"/>
      <c r="I46" s="92">
        <f t="shared" si="1"/>
        <v>4.1980440605165602E-3</v>
      </c>
      <c r="J46" s="92">
        <f t="shared" si="2"/>
        <v>0.54673395685959203</v>
      </c>
      <c r="K46" s="93">
        <f t="shared" si="3"/>
        <v>0.9875709811570359</v>
      </c>
      <c r="L46" s="93">
        <f t="shared" si="4"/>
        <v>2.3197225310986344E-3</v>
      </c>
      <c r="M46" s="93">
        <f t="shared" si="5"/>
        <v>0.99768027746890131</v>
      </c>
      <c r="N46" s="93">
        <f t="shared" si="6"/>
        <v>4.653720954002119E-4</v>
      </c>
      <c r="O46" s="40">
        <f t="shared" si="7"/>
        <v>9.8874152992364087E-7</v>
      </c>
      <c r="P46" s="40">
        <f t="shared" si="8"/>
        <v>3.4819035191790503E-6</v>
      </c>
      <c r="Q46" s="40">
        <f t="shared" si="9"/>
        <v>2.3284117173190607E-5</v>
      </c>
      <c r="R46" s="9">
        <f t="shared" si="12"/>
        <v>1.4999999999999999E-4</v>
      </c>
      <c r="S46" s="9">
        <f t="shared" si="13"/>
        <v>3.4795837966479513E-7</v>
      </c>
      <c r="T46" s="9">
        <f t="shared" si="10"/>
        <v>1.4813564717355536E-4</v>
      </c>
      <c r="U46" s="9">
        <f t="shared" si="11"/>
        <v>1.4965204162033517E-4</v>
      </c>
      <c r="V46" s="100">
        <f t="shared" si="14"/>
        <v>0.98986719839995985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68"/>
      <c r="H47" s="168"/>
      <c r="I47" s="92">
        <f t="shared" si="1"/>
        <v>8.655050783580702E-2</v>
      </c>
      <c r="J47" s="92">
        <f t="shared" si="2"/>
        <v>1.8898039424848809</v>
      </c>
      <c r="K47" s="93">
        <f t="shared" si="3"/>
        <v>0.78559434679159379</v>
      </c>
      <c r="L47" s="93">
        <f t="shared" si="4"/>
        <v>4.0657067972439495E-2</v>
      </c>
      <c r="M47" s="93">
        <f t="shared" si="5"/>
        <v>0.95934293202756049</v>
      </c>
      <c r="N47" s="93">
        <f t="shared" si="6"/>
        <v>2.1830181494360872E-2</v>
      </c>
      <c r="O47" s="40">
        <f t="shared" si="7"/>
        <v>7.8652549656334124E-7</v>
      </c>
      <c r="P47" s="40">
        <f t="shared" si="8"/>
        <v>6.1026259026631681E-5</v>
      </c>
      <c r="Q47" s="40">
        <f t="shared" si="9"/>
        <v>1.0922367474345224E-3</v>
      </c>
      <c r="R47" s="9">
        <f t="shared" si="12"/>
        <v>1.4999999999999999E-4</v>
      </c>
      <c r="S47" s="9">
        <f t="shared" si="13"/>
        <v>6.0985601958659235E-6</v>
      </c>
      <c r="T47" s="9">
        <f t="shared" si="10"/>
        <v>1.1783915201873906E-4</v>
      </c>
      <c r="U47" s="9">
        <f t="shared" si="11"/>
        <v>1.4390143980413407E-4</v>
      </c>
      <c r="V47" s="100">
        <f t="shared" si="14"/>
        <v>0.81888792898202623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68"/>
      <c r="H48" s="16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4.6195916093205912E-2</v>
      </c>
      <c r="K48" s="93">
        <f t="shared" ref="K48:K50" si="17">IF(D48=0,"",1/(1+10^D48*$J$15/$J$14+10^E48*$J$16/$J$14+10^J48*$J$19/$J$14))</f>
        <v>0.99825887980837658</v>
      </c>
      <c r="L48" s="93">
        <f t="shared" ref="L48:L50" si="18">IF(D48=0,"",1/(1+10^I48/10^J48*$J$13/$J$19))</f>
        <v>7.4058150497025932E-4</v>
      </c>
      <c r="M48" s="93">
        <f t="shared" ref="M48:M92" si="19">IF(D48=0,"",1-L48)</f>
        <v>0.99925941849502975</v>
      </c>
      <c r="N48" s="93">
        <f t="shared" ref="N48:N50" si="20">IF(D48=0,"",1/(1/10^E48*$J$20/$J$22+10^D48/10^E48*$J$21/$J$22+10^I48/10^E48*$J$13/$J$22+1))</f>
        <v>3.0331801177111939E-5</v>
      </c>
      <c r="O48" s="40">
        <f t="shared" ref="O48:O92" si="21">IF(D48=0,"",F48*K48*$J$7/$J$14)</f>
        <v>9.9944209673435717E-7</v>
      </c>
      <c r="P48" s="40">
        <f t="shared" ref="P48:P50" si="22">IF(D48=0,"",O48*10^J48)</f>
        <v>1.1116128389603592E-6</v>
      </c>
      <c r="Q48" s="40">
        <f t="shared" ref="Q48:Q50" si="23">IF(D48=0,"",F48*N48*$J$7/$J$22)</f>
        <v>1.5176011188948341E-6</v>
      </c>
      <c r="R48" s="9">
        <f t="shared" si="12"/>
        <v>1.4999999999999999E-4</v>
      </c>
      <c r="S48" s="9">
        <f t="shared" si="13"/>
        <v>1.1108722574553889E-7</v>
      </c>
      <c r="T48" s="9">
        <f t="shared" si="10"/>
        <v>1.4973883197125646E-4</v>
      </c>
      <c r="U48" s="9">
        <f t="shared" si="11"/>
        <v>1.4988891277425444E-4</v>
      </c>
      <c r="V48" s="100">
        <f t="shared" si="14"/>
        <v>0.99899871978373733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68"/>
      <c r="H49" s="168"/>
      <c r="I49" s="92">
        <f t="shared" si="15"/>
        <v>9.6186457475178466E-3</v>
      </c>
      <c r="J49" s="92">
        <f t="shared" si="16"/>
        <v>0.86907068032969315</v>
      </c>
      <c r="K49" s="93">
        <f t="shared" si="17"/>
        <v>0.97289630779610803</v>
      </c>
      <c r="L49" s="93">
        <f t="shared" si="18"/>
        <v>4.800328952458471E-3</v>
      </c>
      <c r="M49" s="93">
        <f t="shared" si="19"/>
        <v>0.99519967104754148</v>
      </c>
      <c r="N49" s="93">
        <f t="shared" si="20"/>
        <v>1.5460536973650582E-3</v>
      </c>
      <c r="O49" s="40">
        <f t="shared" si="21"/>
        <v>9.7404946295644988E-7</v>
      </c>
      <c r="P49" s="40">
        <f t="shared" si="22"/>
        <v>7.205293757640165E-6</v>
      </c>
      <c r="Q49" s="40">
        <f t="shared" si="23"/>
        <v>7.7354219991498412E-5</v>
      </c>
      <c r="R49" s="9">
        <f t="shared" si="12"/>
        <v>1.4999999999999999E-4</v>
      </c>
      <c r="S49" s="9">
        <f t="shared" si="13"/>
        <v>7.2004934286877061E-7</v>
      </c>
      <c r="T49" s="9">
        <f t="shared" si="10"/>
        <v>1.4593444616941618E-4</v>
      </c>
      <c r="U49" s="9">
        <f t="shared" si="11"/>
        <v>1.4927995065713121E-4</v>
      </c>
      <c r="V49" s="100">
        <f t="shared" si="14"/>
        <v>0.97758905684930841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68"/>
      <c r="H50" s="168"/>
      <c r="I50" s="92">
        <f t="shared" si="15"/>
        <v>8.6760595853303396E-2</v>
      </c>
      <c r="J50" s="92">
        <f t="shared" si="16"/>
        <v>1.8284615251176457</v>
      </c>
      <c r="K50" s="93">
        <f t="shared" si="17"/>
        <v>0.78945584287140813</v>
      </c>
      <c r="L50" s="93">
        <f t="shared" si="18"/>
        <v>3.5475059475802477E-2</v>
      </c>
      <c r="M50" s="93">
        <f t="shared" si="19"/>
        <v>0.96452494052419757</v>
      </c>
      <c r="N50" s="93">
        <f t="shared" si="20"/>
        <v>1.4538274408015143E-2</v>
      </c>
      <c r="O50" s="40">
        <f t="shared" si="21"/>
        <v>7.9039156959970822E-7</v>
      </c>
      <c r="P50" s="40">
        <f t="shared" si="22"/>
        <v>5.3248064273179527E-5</v>
      </c>
      <c r="Q50" s="40">
        <f t="shared" si="23"/>
        <v>7.2739832954769109E-4</v>
      </c>
      <c r="R50" s="9">
        <f t="shared" si="12"/>
        <v>1.4999999999999999E-4</v>
      </c>
      <c r="S50" s="9">
        <f t="shared" si="13"/>
        <v>5.3212589213703708E-6</v>
      </c>
      <c r="T50" s="9">
        <f t="shared" si="10"/>
        <v>1.184183764307112E-4</v>
      </c>
      <c r="U50" s="9">
        <f t="shared" si="11"/>
        <v>1.4467874107862961E-4</v>
      </c>
      <c r="V50" s="100">
        <f t="shared" si="14"/>
        <v>0.81849189139925882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68"/>
      <c r="H51" s="16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4.6407720127189611</v>
      </c>
      <c r="K51" s="93">
        <f t="shared" ref="K51:K70" si="26">IF(D51=0,"",1/(1+10^D51*$J$15/$J$14+10^E51*$J$16/$J$14+10^J51*$J$19/$J$14))</f>
        <v>7.9911289849987511E-3</v>
      </c>
      <c r="L51" s="93">
        <f t="shared" ref="L51:L70" si="27">IF(D51=0,"",1/(1+10^I51/10^J51*$J$13/$J$19))</f>
        <v>0.23308478072020075</v>
      </c>
      <c r="M51" s="93">
        <f t="shared" ref="M51:M70" si="28">IF(D51=0,"",1-L51)</f>
        <v>0.76691521927979922</v>
      </c>
      <c r="N51" s="93">
        <f t="shared" ref="N51:N70" si="29">IF(D51=0,"",1/(1/10^E51*$J$20/$J$22+10^D51/10^E51*$J$21/$J$22+10^I51/10^E51*$J$13/$J$22+1))</f>
        <v>0.17344395144167715</v>
      </c>
      <c r="O51" s="40">
        <f t="shared" ref="O51:O70" si="30">IF(D51=0,"",F51*K51*$J$7/$J$14)</f>
        <v>8.0006007154927075E-9</v>
      </c>
      <c r="P51" s="40">
        <f t="shared" ref="P51:P70" si="31">IF(D51=0,"",O51*10^J51)</f>
        <v>3.4986025586102146E-4</v>
      </c>
      <c r="Q51" s="40">
        <f t="shared" ref="Q51:Q70" si="32">IF(D51=0,"",F51*N51*$J$7/$J$22)</f>
        <v>8.6779790371319145E-3</v>
      </c>
      <c r="R51" s="9">
        <f t="shared" si="12"/>
        <v>1.4999999999999999E-4</v>
      </c>
      <c r="S51" s="9">
        <f t="shared" si="13"/>
        <v>3.4962717108030111E-5</v>
      </c>
      <c r="T51" s="9">
        <f t="shared" si="10"/>
        <v>1.1986693477498126E-6</v>
      </c>
      <c r="U51" s="9">
        <f t="shared" si="11"/>
        <v>1.1503728289196988E-4</v>
      </c>
      <c r="V51" s="100">
        <f t="shared" si="14"/>
        <v>1.0419833619292525E-2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68"/>
      <c r="H52" s="168"/>
      <c r="I52" s="92">
        <f t="shared" si="24"/>
        <v>0.12726341031571042</v>
      </c>
      <c r="J52" s="92">
        <f t="shared" si="25"/>
        <v>2.0764178865334513</v>
      </c>
      <c r="K52" s="93">
        <f t="shared" si="26"/>
        <v>0.7038694523453547</v>
      </c>
      <c r="L52" s="93">
        <f t="shared" si="27"/>
        <v>5.598140160794584E-2</v>
      </c>
      <c r="M52" s="93">
        <f t="shared" si="28"/>
        <v>0.94401859839205415</v>
      </c>
      <c r="N52" s="93">
        <f t="shared" si="29"/>
        <v>3.018416289066635E-2</v>
      </c>
      <c r="O52" s="40">
        <f t="shared" si="30"/>
        <v>7.0470373518174235E-7</v>
      </c>
      <c r="P52" s="40">
        <f t="shared" si="31"/>
        <v>8.4028083813526705E-5</v>
      </c>
      <c r="Q52" s="40">
        <f t="shared" si="32"/>
        <v>1.5102142832963399E-3</v>
      </c>
      <c r="R52" s="9">
        <f t="shared" si="12"/>
        <v>1.4999999999999999E-4</v>
      </c>
      <c r="S52" s="9">
        <f t="shared" si="13"/>
        <v>8.397210241191875E-6</v>
      </c>
      <c r="T52" s="9">
        <f t="shared" si="10"/>
        <v>1.055804178518032E-4</v>
      </c>
      <c r="U52" s="9">
        <f t="shared" si="11"/>
        <v>1.4160278975880811E-4</v>
      </c>
      <c r="V52" s="100">
        <f t="shared" si="14"/>
        <v>0.74560973008821518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68"/>
      <c r="H53" s="168"/>
      <c r="I53" s="92">
        <f t="shared" si="24"/>
        <v>0.47104615060046062</v>
      </c>
      <c r="J53" s="92">
        <f t="shared" si="25"/>
        <v>2.8909048143104648</v>
      </c>
      <c r="K53" s="93">
        <f t="shared" si="26"/>
        <v>0.28746319936828829</v>
      </c>
      <c r="L53" s="93">
        <f t="shared" si="27"/>
        <v>0.1491491672531973</v>
      </c>
      <c r="M53" s="93">
        <f t="shared" si="28"/>
        <v>0.85085083274680273</v>
      </c>
      <c r="N53" s="93">
        <f t="shared" si="29"/>
        <v>9.6091566484995089E-2</v>
      </c>
      <c r="O53" s="40">
        <f t="shared" si="30"/>
        <v>2.8780392393379814E-7</v>
      </c>
      <c r="P53" s="40">
        <f t="shared" si="31"/>
        <v>2.2387290004704911E-4</v>
      </c>
      <c r="Q53" s="40">
        <f t="shared" si="32"/>
        <v>4.8077813764659215E-3</v>
      </c>
      <c r="R53" s="9">
        <f t="shared" si="12"/>
        <v>1.4999999999999999E-4</v>
      </c>
      <c r="S53" s="9">
        <f t="shared" si="13"/>
        <v>2.2372375087979592E-5</v>
      </c>
      <c r="T53" s="9">
        <f t="shared" si="10"/>
        <v>4.3119479905243242E-5</v>
      </c>
      <c r="U53" s="9">
        <f t="shared" si="11"/>
        <v>1.2762762491202041E-4</v>
      </c>
      <c r="V53" s="100">
        <f t="shared" si="14"/>
        <v>0.33785381444626494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68"/>
      <c r="H54" s="168"/>
      <c r="I54" s="92">
        <f t="shared" si="24"/>
        <v>0.17835694544431213</v>
      </c>
      <c r="J54" s="92">
        <f t="shared" si="25"/>
        <v>2.2596675735780232</v>
      </c>
      <c r="K54" s="93">
        <f t="shared" si="26"/>
        <v>0.61353054001374874</v>
      </c>
      <c r="L54" s="93">
        <f t="shared" si="27"/>
        <v>7.4411065457418615E-2</v>
      </c>
      <c r="M54" s="93">
        <f t="shared" si="28"/>
        <v>0.9255889345425814</v>
      </c>
      <c r="N54" s="93">
        <f t="shared" si="29"/>
        <v>4.1724121768306095E-2</v>
      </c>
      <c r="O54" s="40">
        <f t="shared" si="30"/>
        <v>6.1425774588612682E-7</v>
      </c>
      <c r="P54" s="40">
        <f t="shared" si="31"/>
        <v>1.1169100925158538E-4</v>
      </c>
      <c r="Q54" s="40">
        <f t="shared" si="32"/>
        <v>2.0875968924742483E-3</v>
      </c>
      <c r="R54" s="9">
        <f t="shared" si="12"/>
        <v>1.4999999999999999E-4</v>
      </c>
      <c r="S54" s="9">
        <f t="shared" si="13"/>
        <v>1.1161659818612791E-5</v>
      </c>
      <c r="T54" s="9">
        <f t="shared" si="10"/>
        <v>9.2029581002062307E-5</v>
      </c>
      <c r="U54" s="9">
        <f t="shared" si="11"/>
        <v>1.388383401813872E-4</v>
      </c>
      <c r="V54" s="100">
        <f t="shared" si="14"/>
        <v>0.6628542294716937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68"/>
      <c r="H55" s="168"/>
      <c r="I55" s="54">
        <f t="shared" si="24"/>
        <v>5.9812805986470914E-3</v>
      </c>
      <c r="J55" s="54">
        <f t="shared" si="25"/>
        <v>0.6838067096740571</v>
      </c>
      <c r="K55" s="55">
        <f t="shared" si="26"/>
        <v>0.98269110778120317</v>
      </c>
      <c r="L55" s="55">
        <f t="shared" si="27"/>
        <v>3.164881834626009E-3</v>
      </c>
      <c r="M55" s="55">
        <f t="shared" si="28"/>
        <v>0.99683511816537396</v>
      </c>
      <c r="N55" s="55">
        <f t="shared" si="29"/>
        <v>8.5609319460136946E-4</v>
      </c>
      <c r="O55" s="56">
        <f t="shared" si="30"/>
        <v>9.8385587252836034E-7</v>
      </c>
      <c r="P55" s="56">
        <f t="shared" si="31"/>
        <v>4.7504876337736401E-6</v>
      </c>
      <c r="Q55" s="56">
        <f t="shared" si="32"/>
        <v>4.2833196169888522E-5</v>
      </c>
      <c r="R55" s="9">
        <f t="shared" si="12"/>
        <v>1.4999999999999999E-4</v>
      </c>
      <c r="S55" s="9">
        <f t="shared" si="13"/>
        <v>4.7473227519390131E-7</v>
      </c>
      <c r="T55" s="9">
        <f t="shared" si="10"/>
        <v>1.4740366616718047E-4</v>
      </c>
      <c r="U55" s="9">
        <f t="shared" si="11"/>
        <v>1.4952526772480607E-4</v>
      </c>
      <c r="V55" s="100">
        <f t="shared" si="14"/>
        <v>0.98581108337133816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68"/>
      <c r="H56" s="168"/>
      <c r="I56" s="54">
        <f t="shared" si="24"/>
        <v>0.11910186422699467</v>
      </c>
      <c r="J56" s="54">
        <f t="shared" si="25"/>
        <v>2.0545505923588281</v>
      </c>
      <c r="K56" s="55">
        <f t="shared" si="26"/>
        <v>0.71847160256269071</v>
      </c>
      <c r="L56" s="55">
        <f t="shared" si="27"/>
        <v>5.4336788133611279E-2</v>
      </c>
      <c r="M56" s="55">
        <f t="shared" si="28"/>
        <v>0.94566321186638869</v>
      </c>
      <c r="N56" s="55">
        <f t="shared" si="29"/>
        <v>3.0383277899196613E-2</v>
      </c>
      <c r="O56" s="56">
        <f t="shared" si="30"/>
        <v>7.19323193045063E-7</v>
      </c>
      <c r="P56" s="56">
        <f t="shared" si="31"/>
        <v>8.1559518988550509E-5</v>
      </c>
      <c r="Q56" s="56">
        <f t="shared" si="32"/>
        <v>1.5201766708898038E-3</v>
      </c>
      <c r="R56" s="9">
        <f t="shared" si="12"/>
        <v>1.4999999999999999E-4</v>
      </c>
      <c r="S56" s="9">
        <f t="shared" si="13"/>
        <v>8.1505182200416907E-6</v>
      </c>
      <c r="T56" s="9">
        <f t="shared" si="10"/>
        <v>1.077707403844036E-4</v>
      </c>
      <c r="U56" s="9">
        <f t="shared" si="11"/>
        <v>1.4184948177995828E-4</v>
      </c>
      <c r="V56" s="100">
        <f t="shared" si="14"/>
        <v>0.75975420588128206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68"/>
      <c r="H57" s="168"/>
      <c r="I57" s="54">
        <f t="shared" si="24"/>
        <v>3.4503381608646556E-2</v>
      </c>
      <c r="J57" s="54">
        <f t="shared" si="25"/>
        <v>1.4348617200490665</v>
      </c>
      <c r="K57" s="55">
        <f t="shared" si="26"/>
        <v>0.90793186280451488</v>
      </c>
      <c r="L57" s="55">
        <f t="shared" si="27"/>
        <v>1.64834737658591E-2</v>
      </c>
      <c r="M57" s="55">
        <f t="shared" si="28"/>
        <v>0.98351652623414088</v>
      </c>
      <c r="N57" s="55">
        <f t="shared" si="29"/>
        <v>7.4156338110286622E-3</v>
      </c>
      <c r="O57" s="56">
        <f t="shared" si="30"/>
        <v>9.0900801686578749E-7</v>
      </c>
      <c r="P57" s="56">
        <f t="shared" si="31"/>
        <v>2.4741694122554508E-5</v>
      </c>
      <c r="Q57" s="56">
        <f t="shared" si="32"/>
        <v>3.7102887834513406E-4</v>
      </c>
      <c r="R57" s="9">
        <f t="shared" si="12"/>
        <v>1.4999999999999999E-4</v>
      </c>
      <c r="S57" s="9">
        <f t="shared" si="13"/>
        <v>2.4725210648788647E-6</v>
      </c>
      <c r="T57" s="9">
        <f t="shared" si="10"/>
        <v>1.3618977942067722E-4</v>
      </c>
      <c r="U57" s="9">
        <f t="shared" si="11"/>
        <v>1.4752747893512111E-4</v>
      </c>
      <c r="V57" s="100">
        <f t="shared" si="14"/>
        <v>0.92314855783965555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68"/>
      <c r="H58" s="168"/>
      <c r="I58" s="54">
        <f t="shared" si="24"/>
        <v>2.4527660835054643E-2</v>
      </c>
      <c r="J58" s="54">
        <f t="shared" si="25"/>
        <v>1.2562556297488592</v>
      </c>
      <c r="K58" s="55">
        <f t="shared" si="26"/>
        <v>0.93398228783475312</v>
      </c>
      <c r="L58" s="55">
        <f t="shared" si="27"/>
        <v>1.1239009383514265E-2</v>
      </c>
      <c r="M58" s="55">
        <f t="shared" si="28"/>
        <v>0.9887609906164857</v>
      </c>
      <c r="N58" s="55">
        <f t="shared" si="29"/>
        <v>4.1961949694123233E-3</v>
      </c>
      <c r="O58" s="56">
        <f t="shared" si="30"/>
        <v>9.3508931896053108E-7</v>
      </c>
      <c r="P58" s="56">
        <f t="shared" si="31"/>
        <v>1.6869753084654913E-5</v>
      </c>
      <c r="Q58" s="56">
        <f t="shared" si="32"/>
        <v>2.0994962163626326E-4</v>
      </c>
      <c r="R58" s="9">
        <f t="shared" si="12"/>
        <v>1.4999999999999999E-4</v>
      </c>
      <c r="S58" s="9">
        <f t="shared" si="13"/>
        <v>1.6858514075271396E-6</v>
      </c>
      <c r="T58" s="9">
        <f t="shared" si="10"/>
        <v>1.4009734317521296E-4</v>
      </c>
      <c r="U58" s="9">
        <f t="shared" si="11"/>
        <v>1.4831414859247283E-4</v>
      </c>
      <c r="V58" s="100">
        <f t="shared" si="14"/>
        <v>0.94459864082261336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68"/>
      <c r="H59" s="168"/>
      <c r="I59" s="54">
        <f t="shared" si="24"/>
        <v>6.9959414880738915E-3</v>
      </c>
      <c r="J59" s="54">
        <f t="shared" si="25"/>
        <v>0.77323378498268969</v>
      </c>
      <c r="K59" s="55">
        <f t="shared" si="26"/>
        <v>0.97969782543880746</v>
      </c>
      <c r="L59" s="55">
        <f t="shared" si="27"/>
        <v>3.876677671316847E-3</v>
      </c>
      <c r="M59" s="55">
        <f t="shared" si="28"/>
        <v>0.99612332232868317</v>
      </c>
      <c r="N59" s="55">
        <f t="shared" si="29"/>
        <v>1.3949516745747949E-3</v>
      </c>
      <c r="O59" s="56">
        <f t="shared" si="30"/>
        <v>9.8085904230634797E-7</v>
      </c>
      <c r="P59" s="56">
        <f t="shared" si="31"/>
        <v>5.8188931846465887E-6</v>
      </c>
      <c r="Q59" s="56">
        <f t="shared" si="32"/>
        <v>6.9794082117892242E-5</v>
      </c>
      <c r="R59" s="9">
        <f t="shared" si="12"/>
        <v>1.4999999999999999E-4</v>
      </c>
      <c r="S59" s="9">
        <f t="shared" si="13"/>
        <v>5.8150165069752699E-7</v>
      </c>
      <c r="T59" s="9">
        <f t="shared" si="10"/>
        <v>1.4695467381582109E-4</v>
      </c>
      <c r="U59" s="9">
        <f t="shared" si="11"/>
        <v>1.4941849834930246E-4</v>
      </c>
      <c r="V59" s="100">
        <f t="shared" si="14"/>
        <v>0.98351057893968685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68"/>
      <c r="H60" s="168"/>
      <c r="I60" s="54">
        <f t="shared" si="24"/>
        <v>0.12885708410514962</v>
      </c>
      <c r="J60" s="54">
        <f t="shared" si="25"/>
        <v>2.1053345617023167</v>
      </c>
      <c r="K60" s="55">
        <f t="shared" si="26"/>
        <v>0.69875123011270535</v>
      </c>
      <c r="L60" s="55">
        <f t="shared" si="27"/>
        <v>5.9400610825555429E-2</v>
      </c>
      <c r="M60" s="55">
        <f t="shared" si="28"/>
        <v>0.94059938917444452</v>
      </c>
      <c r="N60" s="55">
        <f t="shared" si="29"/>
        <v>3.4512592725591811E-2</v>
      </c>
      <c r="O60" s="56">
        <f t="shared" si="30"/>
        <v>6.9957944641935894E-7</v>
      </c>
      <c r="P60" s="56">
        <f t="shared" si="31"/>
        <v>8.9160316849158666E-5</v>
      </c>
      <c r="Q60" s="56">
        <f t="shared" si="32"/>
        <v>1.7267800560371105E-3</v>
      </c>
      <c r="R60" s="9">
        <f t="shared" si="12"/>
        <v>1.4999999999999999E-4</v>
      </c>
      <c r="S60" s="9">
        <f t="shared" si="13"/>
        <v>8.910091623833313E-6</v>
      </c>
      <c r="T60" s="9">
        <f t="shared" si="10"/>
        <v>1.0481268451690579E-4</v>
      </c>
      <c r="U60" s="9">
        <f t="shared" si="11"/>
        <v>1.4108990837616666E-4</v>
      </c>
      <c r="V60" s="100">
        <f t="shared" si="14"/>
        <v>0.74287867731446533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68"/>
      <c r="H61" s="168"/>
      <c r="I61" s="54">
        <f t="shared" si="24"/>
        <v>0.54169315053805034</v>
      </c>
      <c r="J61" s="54">
        <f t="shared" si="25"/>
        <v>3.0585769256489788</v>
      </c>
      <c r="K61" s="55">
        <f t="shared" si="26"/>
        <v>0.2355133381938852</v>
      </c>
      <c r="L61" s="55">
        <f t="shared" si="27"/>
        <v>0.17977371686464563</v>
      </c>
      <c r="M61" s="55">
        <f t="shared" si="28"/>
        <v>0.82022628313535439</v>
      </c>
      <c r="N61" s="55">
        <f t="shared" si="29"/>
        <v>0.13371203831410003</v>
      </c>
      <c r="O61" s="56">
        <f t="shared" si="30"/>
        <v>2.3579248759458843E-7</v>
      </c>
      <c r="P61" s="56">
        <f t="shared" si="31"/>
        <v>2.6984034901383322E-4</v>
      </c>
      <c r="Q61" s="56">
        <f t="shared" si="32"/>
        <v>6.6900589836488044E-3</v>
      </c>
      <c r="R61" s="9">
        <f t="shared" si="12"/>
        <v>1.4999999999999999E-4</v>
      </c>
      <c r="S61" s="9">
        <f t="shared" si="13"/>
        <v>2.6966057529696843E-5</v>
      </c>
      <c r="T61" s="9">
        <f t="shared" si="10"/>
        <v>3.5327000729082778E-5</v>
      </c>
      <c r="U61" s="9">
        <f t="shared" si="11"/>
        <v>1.2303394247030315E-4</v>
      </c>
      <c r="V61" s="100">
        <f t="shared" si="14"/>
        <v>0.2871321524758072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68"/>
      <c r="H62" s="168"/>
      <c r="I62" s="54">
        <f t="shared" si="24"/>
        <v>1.2755126419323455</v>
      </c>
      <c r="J62" s="54">
        <f t="shared" si="25"/>
        <v>3.9993799920849886</v>
      </c>
      <c r="K62" s="55">
        <f t="shared" si="26"/>
        <v>3.9170956551111157E-2</v>
      </c>
      <c r="L62" s="55">
        <f t="shared" si="27"/>
        <v>0.26090231519817825</v>
      </c>
      <c r="M62" s="55">
        <f t="shared" si="28"/>
        <v>0.73909768480182181</v>
      </c>
      <c r="N62" s="55">
        <f t="shared" si="29"/>
        <v>0.22234080726119596</v>
      </c>
      <c r="O62" s="56">
        <f t="shared" si="30"/>
        <v>3.921738512764134E-8</v>
      </c>
      <c r="P62" s="56">
        <f t="shared" si="31"/>
        <v>3.9161437511246565E-4</v>
      </c>
      <c r="Q62" s="56">
        <f t="shared" si="32"/>
        <v>1.1124451723301839E-2</v>
      </c>
      <c r="R62" s="9">
        <f t="shared" si="12"/>
        <v>1.4999999999999999E-4</v>
      </c>
      <c r="S62" s="9">
        <f t="shared" si="13"/>
        <v>3.9135347279726735E-5</v>
      </c>
      <c r="T62" s="9">
        <f t="shared" si="10"/>
        <v>5.8756434826666726E-6</v>
      </c>
      <c r="U62" s="9">
        <f t="shared" si="11"/>
        <v>1.1086465272027326E-4</v>
      </c>
      <c r="V62" s="100">
        <f t="shared" si="14"/>
        <v>5.2998348332824602E-2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68"/>
      <c r="H63" s="168"/>
      <c r="I63" s="54">
        <f t="shared" si="24"/>
        <v>2.3278344887119857</v>
      </c>
      <c r="J63" s="54">
        <f t="shared" si="25"/>
        <v>5.1439390371305249</v>
      </c>
      <c r="K63" s="55">
        <f t="shared" si="26"/>
        <v>3.2705894637506333E-3</v>
      </c>
      <c r="L63" s="55">
        <f t="shared" si="27"/>
        <v>0.30387770251099289</v>
      </c>
      <c r="M63" s="55">
        <f t="shared" si="28"/>
        <v>0.69612229748900711</v>
      </c>
      <c r="N63" s="55">
        <f t="shared" si="29"/>
        <v>0.28208567641392213</v>
      </c>
      <c r="O63" s="56">
        <f t="shared" si="30"/>
        <v>3.2744660301300738E-9</v>
      </c>
      <c r="P63" s="56">
        <f t="shared" si="31"/>
        <v>4.5612043146900041E-4</v>
      </c>
      <c r="Q63" s="56">
        <f t="shared" si="32"/>
        <v>1.4113686676576571E-2</v>
      </c>
      <c r="R63" s="9">
        <f t="shared" si="12"/>
        <v>1.4999999999999999E-4</v>
      </c>
      <c r="S63" s="9">
        <f t="shared" si="13"/>
        <v>4.5581655376648929E-5</v>
      </c>
      <c r="T63" s="9">
        <f t="shared" si="10"/>
        <v>4.9058841956259498E-7</v>
      </c>
      <c r="U63" s="9">
        <f t="shared" si="11"/>
        <v>1.0441834462335106E-4</v>
      </c>
      <c r="V63" s="100">
        <f t="shared" si="14"/>
        <v>4.6982972324662265E-3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68"/>
      <c r="H64" s="168"/>
      <c r="I64" s="54">
        <f t="shared" si="24"/>
        <v>1.6404345211947191</v>
      </c>
      <c r="J64" s="54">
        <f t="shared" si="25"/>
        <v>4.4070921357231763</v>
      </c>
      <c r="K64" s="55">
        <f t="shared" si="26"/>
        <v>1.646134796414167E-2</v>
      </c>
      <c r="L64" s="55">
        <f t="shared" si="27"/>
        <v>0.28034401877901405</v>
      </c>
      <c r="M64" s="55">
        <f t="shared" si="28"/>
        <v>0.71965598122098595</v>
      </c>
      <c r="N64" s="55">
        <f t="shared" si="29"/>
        <v>0.24815349504449855</v>
      </c>
      <c r="O64" s="56">
        <f t="shared" si="30"/>
        <v>1.6480859281225439E-8</v>
      </c>
      <c r="P64" s="56">
        <f t="shared" si="31"/>
        <v>4.2079637218730021E-4</v>
      </c>
      <c r="Q64" s="56">
        <f t="shared" si="32"/>
        <v>1.2415946535393078E-2</v>
      </c>
      <c r="R64" s="9">
        <f t="shared" si="12"/>
        <v>1.4999999999999999E-4</v>
      </c>
      <c r="S64" s="9">
        <f t="shared" si="13"/>
        <v>4.2051602816852101E-5</v>
      </c>
      <c r="T64" s="9">
        <f t="shared" si="10"/>
        <v>2.4692021946212505E-6</v>
      </c>
      <c r="U64" s="9">
        <f t="shared" si="11"/>
        <v>1.0794839718314788E-4</v>
      </c>
      <c r="V64" s="100">
        <f t="shared" si="14"/>
        <v>2.2873912527223001E-2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68"/>
      <c r="H65" s="168"/>
      <c r="I65" s="54">
        <f t="shared" si="24"/>
        <v>1.3777282566754774</v>
      </c>
      <c r="J65" s="54">
        <f t="shared" si="25"/>
        <v>4.1154371982960454</v>
      </c>
      <c r="K65" s="55">
        <f t="shared" si="26"/>
        <v>3.0696899296768665E-2</v>
      </c>
      <c r="L65" s="55">
        <f t="shared" si="27"/>
        <v>0.26709482374265858</v>
      </c>
      <c r="M65" s="55">
        <f t="shared" si="28"/>
        <v>0.73290517625734142</v>
      </c>
      <c r="N65" s="55">
        <f t="shared" si="29"/>
        <v>0.23032947118832833</v>
      </c>
      <c r="O65" s="56">
        <f t="shared" si="30"/>
        <v>3.073328373727575E-8</v>
      </c>
      <c r="P65" s="56">
        <f t="shared" si="31"/>
        <v>4.0090933043773075E-4</v>
      </c>
      <c r="Q65" s="56">
        <f t="shared" si="32"/>
        <v>1.1524151208456027E-2</v>
      </c>
      <c r="R65" s="9">
        <f t="shared" si="12"/>
        <v>1.4999999999999999E-4</v>
      </c>
      <c r="S65" s="9">
        <f t="shared" si="13"/>
        <v>4.0064223561398785E-5</v>
      </c>
      <c r="T65" s="9">
        <f t="shared" si="10"/>
        <v>4.6045348945152996E-6</v>
      </c>
      <c r="U65" s="9">
        <f t="shared" si="11"/>
        <v>1.0993577643860121E-4</v>
      </c>
      <c r="V65" s="100">
        <f t="shared" si="14"/>
        <v>4.1883862048192458E-2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68"/>
      <c r="H66" s="168"/>
      <c r="I66" s="54">
        <f t="shared" si="24"/>
        <v>1.6404345211947191</v>
      </c>
      <c r="J66" s="54">
        <f t="shared" si="25"/>
        <v>4.4070921357231763</v>
      </c>
      <c r="K66" s="55">
        <f t="shared" si="26"/>
        <v>1.646134796414167E-2</v>
      </c>
      <c r="L66" s="55">
        <f t="shared" si="27"/>
        <v>0.28034401877901405</v>
      </c>
      <c r="M66" s="55">
        <f t="shared" si="28"/>
        <v>0.71965598122098595</v>
      </c>
      <c r="N66" s="55">
        <f t="shared" si="29"/>
        <v>0.24815349504449855</v>
      </c>
      <c r="O66" s="56">
        <f t="shared" si="30"/>
        <v>1.6480859281225439E-8</v>
      </c>
      <c r="P66" s="56">
        <f t="shared" si="31"/>
        <v>4.2079637218730021E-4</v>
      </c>
      <c r="Q66" s="56">
        <f t="shared" si="32"/>
        <v>1.2415946535393078E-2</v>
      </c>
      <c r="R66" s="9">
        <f t="shared" si="12"/>
        <v>1.4999999999999999E-4</v>
      </c>
      <c r="S66" s="9">
        <f t="shared" si="13"/>
        <v>4.2051602816852101E-5</v>
      </c>
      <c r="T66" s="9">
        <f t="shared" si="10"/>
        <v>2.4692021946212505E-6</v>
      </c>
      <c r="U66" s="9">
        <f t="shared" si="11"/>
        <v>1.0794839718314788E-4</v>
      </c>
      <c r="V66" s="100">
        <f t="shared" si="14"/>
        <v>2.2873912527223001E-2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68"/>
      <c r="H67" s="168"/>
      <c r="I67" s="54">
        <f t="shared" si="24"/>
        <v>-1.8635683569884906E-4</v>
      </c>
      <c r="J67" s="54">
        <f t="shared" si="25"/>
        <v>-5.1002272670301683E-2</v>
      </c>
      <c r="K67" s="55">
        <f t="shared" si="26"/>
        <v>0.99931832442719748</v>
      </c>
      <c r="L67" s="55">
        <f t="shared" si="27"/>
        <v>5.9270056633095103E-4</v>
      </c>
      <c r="M67" s="55">
        <f t="shared" si="28"/>
        <v>0.99940729943366902</v>
      </c>
      <c r="N67" s="55">
        <f t="shared" si="29"/>
        <v>5.9489331026605008E-7</v>
      </c>
      <c r="O67" s="56">
        <f t="shared" si="30"/>
        <v>1.000502797092376E-6</v>
      </c>
      <c r="P67" s="56">
        <f t="shared" si="31"/>
        <v>8.8964355006275776E-7</v>
      </c>
      <c r="Q67" s="56">
        <f t="shared" si="32"/>
        <v>2.9764495290311374E-8</v>
      </c>
      <c r="R67" s="9">
        <f t="shared" si="12"/>
        <v>1.4999999999999999E-4</v>
      </c>
      <c r="S67" s="9">
        <f t="shared" si="13"/>
        <v>8.8905084949642652E-8</v>
      </c>
      <c r="T67" s="9">
        <f t="shared" si="10"/>
        <v>1.4989774866407962E-4</v>
      </c>
      <c r="U67" s="9">
        <f t="shared" si="11"/>
        <v>1.4991109491505034E-4</v>
      </c>
      <c r="V67" s="100">
        <f t="shared" si="14"/>
        <v>0.99991097222671677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68"/>
      <c r="H68" s="168"/>
      <c r="I68" s="54">
        <f t="shared" si="24"/>
        <v>1.7268855172909561</v>
      </c>
      <c r="J68" s="54">
        <f t="shared" si="25"/>
        <v>4.415376749895219</v>
      </c>
      <c r="K68" s="55">
        <f t="shared" si="26"/>
        <v>1.4143171524996457E-2</v>
      </c>
      <c r="L68" s="55">
        <f t="shared" si="27"/>
        <v>0.2455032931632784</v>
      </c>
      <c r="M68" s="55">
        <f t="shared" si="28"/>
        <v>0.75449670683672165</v>
      </c>
      <c r="N68" s="55">
        <f t="shared" si="29"/>
        <v>0.19381341188107093</v>
      </c>
      <c r="O68" s="56">
        <f t="shared" si="30"/>
        <v>1.4159935152422073E-8</v>
      </c>
      <c r="P68" s="56">
        <f t="shared" si="31"/>
        <v>3.6850044303808095E-4</v>
      </c>
      <c r="Q68" s="56">
        <f t="shared" si="32"/>
        <v>9.6971310411162488E-3</v>
      </c>
      <c r="R68" s="9">
        <f t="shared" si="12"/>
        <v>1.4999999999999999E-4</v>
      </c>
      <c r="S68" s="9">
        <f t="shared" si="13"/>
        <v>3.6825493974491757E-5</v>
      </c>
      <c r="T68" s="9">
        <f t="shared" si="10"/>
        <v>2.1214757287494683E-6</v>
      </c>
      <c r="U68" s="9">
        <f t="shared" si="11"/>
        <v>1.1317450602550824E-4</v>
      </c>
      <c r="V68" s="100">
        <f t="shared" si="14"/>
        <v>1.8745173301408641E-2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68"/>
      <c r="H69" s="168"/>
      <c r="I69" s="54">
        <f t="shared" si="24"/>
        <v>5.7919228101834593E-2</v>
      </c>
      <c r="J69" s="54">
        <f t="shared" si="25"/>
        <v>1.6825122730351272</v>
      </c>
      <c r="K69" s="55">
        <f t="shared" si="26"/>
        <v>0.85079705699578811</v>
      </c>
      <c r="L69" s="55">
        <f t="shared" si="27"/>
        <v>2.7319454023547171E-2</v>
      </c>
      <c r="M69" s="55">
        <f t="shared" si="28"/>
        <v>0.97268054597645282</v>
      </c>
      <c r="N69" s="55">
        <f t="shared" si="29"/>
        <v>1.3445624548690981E-2</v>
      </c>
      <c r="O69" s="56">
        <f t="shared" si="30"/>
        <v>8.5180549027774914E-7</v>
      </c>
      <c r="P69" s="56">
        <f t="shared" si="31"/>
        <v>4.1006500489344311E-5</v>
      </c>
      <c r="Q69" s="56">
        <f t="shared" si="32"/>
        <v>6.7272941491950539E-4</v>
      </c>
      <c r="R69" s="9">
        <f t="shared" si="12"/>
        <v>1.4999999999999999E-4</v>
      </c>
      <c r="S69" s="9">
        <f t="shared" si="13"/>
        <v>4.0979181035320751E-6</v>
      </c>
      <c r="T69" s="9">
        <f t="shared" si="10"/>
        <v>1.276195585493682E-4</v>
      </c>
      <c r="U69" s="9">
        <f t="shared" si="11"/>
        <v>1.4590208189646791E-4</v>
      </c>
      <c r="V69" s="100">
        <f t="shared" si="14"/>
        <v>0.87469319759211539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68"/>
      <c r="H70" s="168"/>
      <c r="I70" s="54">
        <f t="shared" si="24"/>
        <v>0.45156382049297444</v>
      </c>
      <c r="J70" s="54">
        <f t="shared" si="25"/>
        <v>2.913138997962994</v>
      </c>
      <c r="K70" s="55">
        <f t="shared" si="26"/>
        <v>0.29619831601204477</v>
      </c>
      <c r="L70" s="55">
        <f t="shared" si="27"/>
        <v>0.16175411833305942</v>
      </c>
      <c r="M70" s="55">
        <f t="shared" si="28"/>
        <v>0.83824588166694058</v>
      </c>
      <c r="N70" s="55">
        <f t="shared" si="29"/>
        <v>0.11723481530503357</v>
      </c>
      <c r="O70" s="56">
        <f t="shared" si="30"/>
        <v>2.9654939414221844E-7</v>
      </c>
      <c r="P70" s="56">
        <f t="shared" si="31"/>
        <v>2.4279293161792221E-4</v>
      </c>
      <c r="Q70" s="56">
        <f t="shared" si="32"/>
        <v>5.8656485924285136E-3</v>
      </c>
      <c r="R70" s="9">
        <f t="shared" si="12"/>
        <v>1.4999999999999999E-4</v>
      </c>
      <c r="S70" s="9">
        <f t="shared" si="13"/>
        <v>2.426311774995891E-5</v>
      </c>
      <c r="T70" s="9">
        <f t="shared" si="10"/>
        <v>4.4429747401806709E-5</v>
      </c>
      <c r="U70" s="9">
        <f t="shared" si="11"/>
        <v>1.2573688225004108E-4</v>
      </c>
      <c r="V70" s="100">
        <f t="shared" si="14"/>
        <v>0.35335493139915353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68"/>
      <c r="H71" s="168"/>
      <c r="I71" s="54">
        <f t="shared" ref="I71:I122" si="33">IF(D71=0,"",LOG($K$15*10^D71+$K$16*10^E71+$K$14))</f>
        <v>2.9114243406645759</v>
      </c>
      <c r="J71" s="54">
        <f t="shared" ref="J71:J122" si="34">IF(D71=0,"",LOG($K$21*10^D71+$K$22*10^E71+$K$20))</f>
        <v>5.6147977266030304</v>
      </c>
      <c r="K71" s="55">
        <f t="shared" ref="K71:K122" si="35">IF(D71=0,"",1/(1+10^D71*$J$15/$J$14+10^E71*$J$16/$J$14+10^J71*$J$19/$J$14))</f>
        <v>9.1686809777757222E-4</v>
      </c>
      <c r="L71" s="55">
        <f t="shared" ref="L71:L122" si="36">IF(D71=0,"",1/(1+10^I71/10^J71*$J$13/$J$19))</f>
        <v>0.25190590740462315</v>
      </c>
      <c r="M71" s="55">
        <f t="shared" si="19"/>
        <v>0.74809409259537685</v>
      </c>
      <c r="N71" s="55">
        <f t="shared" ref="N71:N122" si="37">IF(D71=0,"",1/(1/10^E71*$J$20/$J$22+10^D71/10^E71*$J$21/$J$22+10^I71/10^E71*$J$13/$J$22+1))</f>
        <v>0.20123424113021518</v>
      </c>
      <c r="O71" s="56">
        <f t="shared" si="21"/>
        <v>9.1795484378517122E-10</v>
      </c>
      <c r="P71" s="56">
        <f t="shared" ref="P71:P122" si="38">IF(D71=0,"",O71*10^J71)</f>
        <v>3.7811076701433949E-4</v>
      </c>
      <c r="Q71" s="56">
        <f t="shared" ref="Q71:Q122" si="39">IF(D71=0,"",F71*N71*$J$7/$J$22)</f>
        <v>1.0068419864548435E-2</v>
      </c>
      <c r="R71" s="9">
        <f t="shared" si="12"/>
        <v>1.4999999999999999E-4</v>
      </c>
      <c r="S71" s="9">
        <f t="shared" si="13"/>
        <v>3.7785886110693473E-5</v>
      </c>
      <c r="T71" s="9">
        <f t="shared" si="10"/>
        <v>1.3753021466663581E-7</v>
      </c>
      <c r="U71" s="9">
        <f t="shared" si="11"/>
        <v>1.1221411388930652E-4</v>
      </c>
      <c r="V71" s="100">
        <f t="shared" si="14"/>
        <v>1.2256053173694563E-3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68"/>
      <c r="H72" s="168"/>
      <c r="I72" s="54">
        <f t="shared" si="33"/>
        <v>2.4659786116205753</v>
      </c>
      <c r="J72" s="54">
        <f t="shared" si="34"/>
        <v>5.1323855239773488</v>
      </c>
      <c r="K72" s="55">
        <f t="shared" si="35"/>
        <v>2.6107926340984459E-3</v>
      </c>
      <c r="L72" s="55">
        <f t="shared" si="36"/>
        <v>0.23620640318976283</v>
      </c>
      <c r="M72" s="55">
        <f t="shared" si="19"/>
        <v>0.76379359681023717</v>
      </c>
      <c r="N72" s="55">
        <f t="shared" si="37"/>
        <v>0.17726271518294381</v>
      </c>
      <c r="O72" s="56">
        <f t="shared" si="21"/>
        <v>2.6138871560680207E-9</v>
      </c>
      <c r="P72" s="56">
        <f t="shared" si="38"/>
        <v>3.5454581118783414E-4</v>
      </c>
      <c r="Q72" s="56">
        <f t="shared" si="39"/>
        <v>8.8690445163199551E-3</v>
      </c>
      <c r="R72" s="9">
        <f t="shared" si="12"/>
        <v>1.4999999999999999E-4</v>
      </c>
      <c r="S72" s="9">
        <f t="shared" si="13"/>
        <v>3.543096047846442E-5</v>
      </c>
      <c r="T72" s="9">
        <f t="shared" si="10"/>
        <v>3.9161889511476685E-7</v>
      </c>
      <c r="U72" s="9">
        <f t="shared" si="11"/>
        <v>1.1456903952153556E-4</v>
      </c>
      <c r="V72" s="100">
        <f t="shared" si="14"/>
        <v>3.4181913084918038E-3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68"/>
      <c r="H73" s="168"/>
      <c r="I73" s="54">
        <f t="shared" si="33"/>
        <v>2.4593424067669152</v>
      </c>
      <c r="J73" s="54">
        <f t="shared" si="34"/>
        <v>5.1505570683328576</v>
      </c>
      <c r="K73" s="55">
        <f t="shared" si="35"/>
        <v>2.6146871031994126E-3</v>
      </c>
      <c r="L73" s="55">
        <f t="shared" si="36"/>
        <v>0.24666671883562205</v>
      </c>
      <c r="M73" s="55">
        <f t="shared" si="19"/>
        <v>0.75333328116437792</v>
      </c>
      <c r="N73" s="55">
        <f t="shared" si="37"/>
        <v>0.19344733150245577</v>
      </c>
      <c r="O73" s="56">
        <f t="shared" si="21"/>
        <v>2.6177862412078244E-9</v>
      </c>
      <c r="P73" s="56">
        <f t="shared" si="38"/>
        <v>3.7024674497226873E-4</v>
      </c>
      <c r="Q73" s="56">
        <f t="shared" si="39"/>
        <v>9.6788148195062051E-3</v>
      </c>
      <c r="R73" s="9">
        <f t="shared" si="12"/>
        <v>1.4999999999999999E-4</v>
      </c>
      <c r="S73" s="9">
        <f t="shared" si="13"/>
        <v>3.7000007825343304E-5</v>
      </c>
      <c r="T73" s="9">
        <f t="shared" si="10"/>
        <v>3.9220306547991185E-7</v>
      </c>
      <c r="U73" s="9">
        <f t="shared" si="11"/>
        <v>1.1299999217465668E-4</v>
      </c>
      <c r="V73" s="100">
        <f t="shared" si="14"/>
        <v>3.4708238286752205E-3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68"/>
      <c r="H74" s="168"/>
      <c r="I74" s="54">
        <f t="shared" si="33"/>
        <v>0.12015758400049081</v>
      </c>
      <c r="J74" s="54">
        <f t="shared" si="34"/>
        <v>2.0279953279061091</v>
      </c>
      <c r="K74" s="55">
        <f t="shared" si="35"/>
        <v>0.71913416338265013</v>
      </c>
      <c r="L74" s="55">
        <f t="shared" si="36"/>
        <v>5.1160998582025795E-2</v>
      </c>
      <c r="M74" s="55">
        <f t="shared" si="19"/>
        <v>0.94883900141797417</v>
      </c>
      <c r="N74" s="55">
        <f t="shared" si="37"/>
        <v>2.5594281334857201E-2</v>
      </c>
      <c r="O74" s="56">
        <f t="shared" si="21"/>
        <v>7.199865391855365E-7</v>
      </c>
      <c r="P74" s="56">
        <f t="shared" si="38"/>
        <v>7.6792658871620707E-5</v>
      </c>
      <c r="Q74" s="56">
        <f t="shared" si="39"/>
        <v>1.2805672094540221E-3</v>
      </c>
      <c r="R74" s="9">
        <f t="shared" si="12"/>
        <v>1.4999999999999999E-4</v>
      </c>
      <c r="S74" s="9">
        <f t="shared" si="13"/>
        <v>7.6741497873038691E-6</v>
      </c>
      <c r="T74" s="9">
        <f t="shared" si="10"/>
        <v>1.0787012450739751E-4</v>
      </c>
      <c r="U74" s="9">
        <f t="shared" si="11"/>
        <v>1.4232585021269612E-4</v>
      </c>
      <c r="V74" s="100">
        <f t="shared" si="14"/>
        <v>0.75790957402462789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68"/>
      <c r="H75" s="168"/>
      <c r="I75" s="54">
        <f t="shared" si="33"/>
        <v>1.0613094291357714</v>
      </c>
      <c r="J75" s="54">
        <f t="shared" si="34"/>
        <v>3.7492517444009614</v>
      </c>
      <c r="K75" s="55">
        <f t="shared" si="35"/>
        <v>6.5502457399779584E-2</v>
      </c>
      <c r="L75" s="55">
        <f t="shared" si="36"/>
        <v>0.24526924912889939</v>
      </c>
      <c r="M75" s="55">
        <f t="shared" si="19"/>
        <v>0.75473075087110064</v>
      </c>
      <c r="N75" s="55">
        <f t="shared" si="37"/>
        <v>0.20310124909969737</v>
      </c>
      <c r="O75" s="56">
        <f t="shared" si="21"/>
        <v>6.5580096194541538E-8</v>
      </c>
      <c r="P75" s="56">
        <f t="shared" si="38"/>
        <v>3.6814914294247807E-4</v>
      </c>
      <c r="Q75" s="56">
        <f t="shared" si="39"/>
        <v>1.0161832496621524E-2</v>
      </c>
      <c r="R75" s="9">
        <f t="shared" si="12"/>
        <v>1.4999999999999999E-4</v>
      </c>
      <c r="S75" s="9">
        <f t="shared" si="13"/>
        <v>3.6790387369334904E-5</v>
      </c>
      <c r="T75" s="9">
        <f t="shared" si="10"/>
        <v>9.8253686099669363E-6</v>
      </c>
      <c r="U75" s="9">
        <f t="shared" si="11"/>
        <v>1.1320961263066509E-4</v>
      </c>
      <c r="V75" s="100">
        <f t="shared" si="14"/>
        <v>8.6789172594567643E-2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68"/>
      <c r="H76" s="168"/>
      <c r="I76" s="54">
        <f t="shared" si="33"/>
        <v>1.080392983851221</v>
      </c>
      <c r="J76" s="54">
        <f t="shared" si="34"/>
        <v>3.7118118425949667</v>
      </c>
      <c r="K76" s="55">
        <f t="shared" si="35"/>
        <v>6.4620714043656283E-2</v>
      </c>
      <c r="L76" s="55">
        <f t="shared" si="36"/>
        <v>0.22198179502051468</v>
      </c>
      <c r="M76" s="55">
        <f t="shared" si="19"/>
        <v>0.77801820497948526</v>
      </c>
      <c r="N76" s="55">
        <f t="shared" si="37"/>
        <v>0.16690593155700401</v>
      </c>
      <c r="O76" s="56">
        <f t="shared" si="21"/>
        <v>6.4697307725086979E-8</v>
      </c>
      <c r="P76" s="56">
        <f t="shared" si="38"/>
        <v>3.3319467432579261E-4</v>
      </c>
      <c r="Q76" s="56">
        <f t="shared" si="39"/>
        <v>8.3508601089021008E-3</v>
      </c>
      <c r="R76" s="9">
        <f t="shared" si="12"/>
        <v>1.4999999999999999E-4</v>
      </c>
      <c r="S76" s="9">
        <f t="shared" si="13"/>
        <v>3.3297269253077201E-5</v>
      </c>
      <c r="T76" s="9">
        <f t="shared" si="10"/>
        <v>9.6931071065484417E-6</v>
      </c>
      <c r="U76" s="9">
        <f t="shared" si="11"/>
        <v>1.1670273074692278E-4</v>
      </c>
      <c r="V76" s="100">
        <f t="shared" si="14"/>
        <v>8.3058100221909584E-2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68"/>
      <c r="H77" s="168"/>
      <c r="I77" s="54">
        <f t="shared" si="33"/>
        <v>0.16668848098518507</v>
      </c>
      <c r="J77" s="54">
        <f t="shared" si="34"/>
        <v>2.2606800266912841</v>
      </c>
      <c r="K77" s="55">
        <f t="shared" si="35"/>
        <v>0.62885163214956286</v>
      </c>
      <c r="L77" s="55">
        <f t="shared" si="36"/>
        <v>7.6447270338245221E-2</v>
      </c>
      <c r="M77" s="55">
        <f t="shared" si="19"/>
        <v>0.92355272966175472</v>
      </c>
      <c r="N77" s="55">
        <f t="shared" si="37"/>
        <v>4.7753170469921287E-2</v>
      </c>
      <c r="O77" s="56">
        <f t="shared" si="21"/>
        <v>6.2959699781586445E-7</v>
      </c>
      <c r="P77" s="56">
        <f t="shared" si="38"/>
        <v>1.1474735277770607E-4</v>
      </c>
      <c r="Q77" s="56">
        <f t="shared" si="39"/>
        <v>2.3892502958450619E-3</v>
      </c>
      <c r="R77" s="9">
        <f t="shared" si="12"/>
        <v>1.4999999999999999E-4</v>
      </c>
      <c r="S77" s="9">
        <f t="shared" si="13"/>
        <v>1.1467090550736782E-5</v>
      </c>
      <c r="T77" s="9">
        <f t="shared" si="10"/>
        <v>9.4327744822434421E-5</v>
      </c>
      <c r="U77" s="9">
        <f t="shared" si="11"/>
        <v>1.3853290944926321E-4</v>
      </c>
      <c r="V77" s="100">
        <f t="shared" si="14"/>
        <v>0.6809049575110625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0.26960058474961779</v>
      </c>
      <c r="J78" s="54">
        <f t="shared" si="34"/>
        <v>2.5816370248013158</v>
      </c>
      <c r="K78" s="55">
        <f t="shared" si="35"/>
        <v>0.47261476207197012</v>
      </c>
      <c r="L78" s="55">
        <f t="shared" si="36"/>
        <v>0.12030344701743338</v>
      </c>
      <c r="M78" s="55">
        <f t="shared" si="19"/>
        <v>0.87969655298256666</v>
      </c>
      <c r="N78" s="55">
        <f t="shared" si="37"/>
        <v>8.6250634998779663E-2</v>
      </c>
      <c r="O78" s="56">
        <f t="shared" si="21"/>
        <v>4.7317494320059596E-7</v>
      </c>
      <c r="P78" s="56">
        <f t="shared" si="38"/>
        <v>1.8057547397316756E-4</v>
      </c>
      <c r="Q78" s="56">
        <f t="shared" si="39"/>
        <v>4.315406771105609E-3</v>
      </c>
      <c r="R78" s="9">
        <f t="shared" si="12"/>
        <v>1.4999999999999999E-4</v>
      </c>
      <c r="S78" s="9">
        <f t="shared" si="13"/>
        <v>1.8045517052615005E-5</v>
      </c>
      <c r="T78" s="9">
        <f t="shared" si="10"/>
        <v>7.0892214310795508E-5</v>
      </c>
      <c r="U78" s="9">
        <f t="shared" si="11"/>
        <v>1.3195448294738498E-4</v>
      </c>
      <c r="V78" s="100">
        <f t="shared" si="14"/>
        <v>0.53724748661296184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2.5355592122209871</v>
      </c>
      <c r="K79" s="55">
        <f t="shared" si="35"/>
        <v>0.44044633912894687</v>
      </c>
      <c r="L79" s="55">
        <f t="shared" si="36"/>
        <v>0.1008291208707968</v>
      </c>
      <c r="M79" s="55">
        <f t="shared" si="19"/>
        <v>0.89917087912920324</v>
      </c>
      <c r="N79" s="55">
        <f t="shared" si="37"/>
        <v>5.0076391151710531E-2</v>
      </c>
      <c r="O79" s="56">
        <f t="shared" si="21"/>
        <v>4.4096839164857339E-7</v>
      </c>
      <c r="P79" s="56">
        <f t="shared" si="38"/>
        <v>1.5134451042706599E-4</v>
      </c>
      <c r="Q79" s="56">
        <f t="shared" si="39"/>
        <v>2.5054887706239173E-3</v>
      </c>
      <c r="R79" s="9">
        <f t="shared" si="12"/>
        <v>1.4999999999999999E-4</v>
      </c>
      <c r="S79" s="9">
        <f t="shared" si="13"/>
        <v>1.5124368130619519E-5</v>
      </c>
      <c r="T79" s="9">
        <f t="shared" si="10"/>
        <v>6.6066950869342019E-5</v>
      </c>
      <c r="U79" s="9">
        <f t="shared" si="11"/>
        <v>1.3487563186938048E-4</v>
      </c>
      <c r="V79" s="100">
        <f t="shared" si="14"/>
        <v>0.48983608049617283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2.6167182318767161</v>
      </c>
      <c r="K80" s="55">
        <f t="shared" si="35"/>
        <v>0.39130243619383526</v>
      </c>
      <c r="L80" s="55">
        <f t="shared" si="36"/>
        <v>0.10798527718797958</v>
      </c>
      <c r="M80" s="55">
        <f t="shared" si="19"/>
        <v>0.89201472281202043</v>
      </c>
      <c r="N80" s="55">
        <f t="shared" si="37"/>
        <v>5.1914487409457366E-2</v>
      </c>
      <c r="O80" s="56">
        <f t="shared" si="21"/>
        <v>3.9176623939663857E-7</v>
      </c>
      <c r="P80" s="56">
        <f t="shared" si="38"/>
        <v>1.6208590105915735E-4</v>
      </c>
      <c r="Q80" s="56">
        <f t="shared" si="39"/>
        <v>2.5974548533865172E-3</v>
      </c>
      <c r="R80" s="9">
        <f t="shared" si="12"/>
        <v>1.4999999999999999E-4</v>
      </c>
      <c r="S80" s="9">
        <f t="shared" si="13"/>
        <v>1.6197791578196936E-5</v>
      </c>
      <c r="T80" s="9">
        <f t="shared" si="10"/>
        <v>5.8695365429075285E-5</v>
      </c>
      <c r="U80" s="9">
        <f t="shared" si="11"/>
        <v>1.3380220842180304E-4</v>
      </c>
      <c r="V80" s="100">
        <f t="shared" si="14"/>
        <v>0.43867262073912738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1.4796577057346771</v>
      </c>
      <c r="J81" s="54">
        <f t="shared" si="34"/>
        <v>4.195712087091966</v>
      </c>
      <c r="K81" s="55">
        <f t="shared" si="35"/>
        <v>2.4594841156280897E-2</v>
      </c>
      <c r="L81" s="55">
        <f t="shared" si="36"/>
        <v>0.25744820782233635</v>
      </c>
      <c r="M81" s="55">
        <f t="shared" si="19"/>
        <v>0.74255179217766365</v>
      </c>
      <c r="N81" s="55">
        <f t="shared" si="37"/>
        <v>0.21425799698347603</v>
      </c>
      <c r="O81" s="56">
        <f t="shared" si="21"/>
        <v>2.4623992945397464E-8</v>
      </c>
      <c r="P81" s="56">
        <f t="shared" si="38"/>
        <v>3.8642975994132697E-4</v>
      </c>
      <c r="Q81" s="56">
        <f t="shared" si="39"/>
        <v>1.0720041782406585E-2</v>
      </c>
      <c r="R81" s="9">
        <f t="shared" si="12"/>
        <v>1.4999999999999999E-4</v>
      </c>
      <c r="S81" s="9">
        <f t="shared" si="13"/>
        <v>3.8617231173350448E-5</v>
      </c>
      <c r="T81" s="9">
        <f t="shared" si="10"/>
        <v>3.6892261734421344E-6</v>
      </c>
      <c r="U81" s="9">
        <f t="shared" si="11"/>
        <v>1.1138276882664953E-4</v>
      </c>
      <c r="V81" s="100">
        <f t="shared" si="14"/>
        <v>3.3122054805298097E-2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3.9025095498636322</v>
      </c>
      <c r="K82" s="55">
        <f t="shared" si="35"/>
        <v>4.3259445893847129E-2</v>
      </c>
      <c r="L82" s="55">
        <f t="shared" si="36"/>
        <v>0.23052830971203958</v>
      </c>
      <c r="M82" s="55">
        <f t="shared" si="19"/>
        <v>0.76947169028796036</v>
      </c>
      <c r="N82" s="55">
        <f t="shared" si="37"/>
        <v>0.17611525291708874</v>
      </c>
      <c r="O82" s="56">
        <f t="shared" si="21"/>
        <v>4.3310720477650442E-8</v>
      </c>
      <c r="P82" s="56">
        <f t="shared" si="38"/>
        <v>3.4602299287777151E-4</v>
      </c>
      <c r="Q82" s="56">
        <f t="shared" si="39"/>
        <v>8.8116331542850077E-3</v>
      </c>
      <c r="R82" s="9">
        <f t="shared" si="12"/>
        <v>1.4999999999999999E-4</v>
      </c>
      <c r="S82" s="9">
        <f t="shared" si="13"/>
        <v>3.4579246456805934E-5</v>
      </c>
      <c r="T82" s="9">
        <f t="shared" si="10"/>
        <v>6.4889168840770686E-6</v>
      </c>
      <c r="U82" s="9">
        <f t="shared" si="11"/>
        <v>1.1542075354319405E-4</v>
      </c>
      <c r="V82" s="100">
        <f t="shared" si="14"/>
        <v>5.6219671808404141E-2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0.14841008082679891</v>
      </c>
      <c r="J83" s="54">
        <f t="shared" si="34"/>
        <v>2.2038999237977572</v>
      </c>
      <c r="K83" s="55">
        <f t="shared" si="35"/>
        <v>0.66016488306501253</v>
      </c>
      <c r="L83" s="55">
        <f t="shared" si="36"/>
        <v>7.041839240188065E-2</v>
      </c>
      <c r="M83" s="55">
        <f t="shared" si="19"/>
        <v>0.92958160759811936</v>
      </c>
      <c r="N83" s="55">
        <f t="shared" si="37"/>
        <v>4.4308947815300398E-2</v>
      </c>
      <c r="O83" s="56">
        <f t="shared" si="21"/>
        <v>6.6094736372146345E-7</v>
      </c>
      <c r="P83" s="56">
        <f t="shared" si="38"/>
        <v>1.0569800699522283E-4</v>
      </c>
      <c r="Q83" s="56">
        <f t="shared" si="39"/>
        <v>2.2169243556921965E-3</v>
      </c>
      <c r="R83" s="9">
        <f t="shared" si="12"/>
        <v>1.4999999999999999E-4</v>
      </c>
      <c r="S83" s="9">
        <f t="shared" si="13"/>
        <v>1.0562758860282096E-5</v>
      </c>
      <c r="T83" s="9">
        <f t="shared" si="10"/>
        <v>9.9024732459751874E-5</v>
      </c>
      <c r="U83" s="9">
        <f t="shared" si="11"/>
        <v>1.3943724113971788E-4</v>
      </c>
      <c r="V83" s="100">
        <f t="shared" si="14"/>
        <v>0.71017420920231655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3.9287211418950596</v>
      </c>
      <c r="K84" s="55">
        <f t="shared" si="35"/>
        <v>3.5949186605995165E-2</v>
      </c>
      <c r="L84" s="55">
        <f t="shared" si="36"/>
        <v>0.20349042276284887</v>
      </c>
      <c r="M84" s="55">
        <f t="shared" si="19"/>
        <v>0.7965095772371511</v>
      </c>
      <c r="N84" s="55">
        <f t="shared" si="37"/>
        <v>0.13290951917993521</v>
      </c>
      <c r="O84" s="56">
        <f t="shared" si="21"/>
        <v>3.59917964809763E-8</v>
      </c>
      <c r="P84" s="56">
        <f t="shared" si="38"/>
        <v>3.0543912456703623E-4</v>
      </c>
      <c r="Q84" s="56">
        <f t="shared" si="39"/>
        <v>6.649906276302759E-3</v>
      </c>
      <c r="R84" s="9">
        <f t="shared" si="12"/>
        <v>1.4999999999999999E-4</v>
      </c>
      <c r="S84" s="9">
        <f t="shared" si="13"/>
        <v>3.0523563414427328E-5</v>
      </c>
      <c r="T84" s="9">
        <f t="shared" si="10"/>
        <v>5.3923779908992739E-6</v>
      </c>
      <c r="U84" s="9">
        <f t="shared" si="11"/>
        <v>1.1947643658557266E-4</v>
      </c>
      <c r="V84" s="100">
        <f t="shared" si="14"/>
        <v>4.5133401572761918E-2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0.12747825886296762</v>
      </c>
      <c r="J85" s="54">
        <f t="shared" si="34"/>
        <v>2.1195388952426257</v>
      </c>
      <c r="K85" s="55">
        <f t="shared" si="35"/>
        <v>0.6994553162185565</v>
      </c>
      <c r="L85" s="55">
        <f t="shared" si="36"/>
        <v>6.1437372571431989E-2</v>
      </c>
      <c r="M85" s="55">
        <f t="shared" si="19"/>
        <v>0.938562627428568</v>
      </c>
      <c r="N85" s="55">
        <f t="shared" si="37"/>
        <v>3.779610039250033E-2</v>
      </c>
      <c r="O85" s="56">
        <f t="shared" si="21"/>
        <v>7.0028436706484178E-7</v>
      </c>
      <c r="P85" s="56">
        <f t="shared" si="38"/>
        <v>9.2217496229719413E-5</v>
      </c>
      <c r="Q85" s="56">
        <f t="shared" si="39"/>
        <v>1.8910648896381E-3</v>
      </c>
      <c r="R85" s="9">
        <f t="shared" si="12"/>
        <v>1.4999999999999999E-4</v>
      </c>
      <c r="S85" s="9">
        <f t="shared" si="13"/>
        <v>9.2156058857147979E-6</v>
      </c>
      <c r="T85" s="9">
        <f t="shared" si="10"/>
        <v>1.0491829743278347E-4</v>
      </c>
      <c r="U85" s="9">
        <f t="shared" si="11"/>
        <v>1.4078439411428518E-4</v>
      </c>
      <c r="V85" s="100">
        <f t="shared" si="14"/>
        <v>0.74524096291250475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3.1044657046165054</v>
      </c>
      <c r="K86" s="55">
        <f t="shared" si="35"/>
        <v>0.16621014963921832</v>
      </c>
      <c r="L86" s="55">
        <f t="shared" si="36"/>
        <v>0.14101230409612073</v>
      </c>
      <c r="M86" s="55">
        <f t="shared" si="19"/>
        <v>0.85898769590387924</v>
      </c>
      <c r="N86" s="55">
        <f t="shared" si="37"/>
        <v>6.0720111304848813E-2</v>
      </c>
      <c r="O86" s="56">
        <f t="shared" si="21"/>
        <v>1.6640715531209609E-7</v>
      </c>
      <c r="P86" s="56">
        <f t="shared" si="38"/>
        <v>2.1165946844827716E-4</v>
      </c>
      <c r="Q86" s="56">
        <f t="shared" si="39"/>
        <v>3.0380295689526023E-3</v>
      </c>
      <c r="R86" s="9">
        <f t="shared" si="12"/>
        <v>1.4999999999999999E-4</v>
      </c>
      <c r="S86" s="9">
        <f t="shared" si="13"/>
        <v>2.1151845614418106E-5</v>
      </c>
      <c r="T86" s="9">
        <f t="shared" si="10"/>
        <v>2.4931522445882745E-5</v>
      </c>
      <c r="U86" s="9">
        <f t="shared" si="11"/>
        <v>1.2884815438558188E-4</v>
      </c>
      <c r="V86" s="100">
        <f t="shared" si="14"/>
        <v>0.19349537884162807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1.8482687840458425</v>
      </c>
      <c r="K87" s="55">
        <f t="shared" si="35"/>
        <v>0.80010367691085715</v>
      </c>
      <c r="L87" s="55">
        <f t="shared" si="36"/>
        <v>3.7631264687000288E-2</v>
      </c>
      <c r="M87" s="55">
        <f t="shared" si="19"/>
        <v>0.96236873531299971</v>
      </c>
      <c r="N87" s="55">
        <f t="shared" si="37"/>
        <v>1.9874921270530452E-2</v>
      </c>
      <c r="O87" s="56">
        <f t="shared" si="21"/>
        <v>8.0105202431072395E-7</v>
      </c>
      <c r="P87" s="56">
        <f t="shared" si="38"/>
        <v>5.6484528295187432E-5</v>
      </c>
      <c r="Q87" s="56">
        <f t="shared" si="39"/>
        <v>9.9440856090220707E-4</v>
      </c>
      <c r="R87" s="9">
        <f t="shared" si="12"/>
        <v>1.4999999999999999E-4</v>
      </c>
      <c r="S87" s="9">
        <f t="shared" si="13"/>
        <v>5.6446897030500427E-6</v>
      </c>
      <c r="T87" s="9">
        <f t="shared" si="10"/>
        <v>1.2001555153662856E-4</v>
      </c>
      <c r="U87" s="9">
        <f t="shared" si="11"/>
        <v>1.4435531029694996E-4</v>
      </c>
      <c r="V87" s="100">
        <f t="shared" si="14"/>
        <v>0.83138993148050711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0.99628677044171088</v>
      </c>
      <c r="K88" s="55">
        <f t="shared" si="35"/>
        <v>0.95404805498069012</v>
      </c>
      <c r="L88" s="55">
        <f t="shared" si="36"/>
        <v>6.3094395631682074E-3</v>
      </c>
      <c r="M88" s="55">
        <f t="shared" si="19"/>
        <v>0.99369056043683179</v>
      </c>
      <c r="N88" s="55">
        <f t="shared" si="37"/>
        <v>3.3948865759660373E-4</v>
      </c>
      <c r="O88" s="56">
        <f t="shared" si="21"/>
        <v>9.551788696718338E-7</v>
      </c>
      <c r="P88" s="56">
        <f t="shared" si="38"/>
        <v>9.470468784315483E-6</v>
      </c>
      <c r="Q88" s="56">
        <f t="shared" si="39"/>
        <v>1.698574916841674E-5</v>
      </c>
      <c r="R88" s="9">
        <f t="shared" si="12"/>
        <v>1.4999999999999999E-4</v>
      </c>
      <c r="S88" s="9">
        <f t="shared" si="13"/>
        <v>9.4641593447523106E-7</v>
      </c>
      <c r="T88" s="9">
        <f t="shared" si="10"/>
        <v>1.4310720824710352E-4</v>
      </c>
      <c r="U88" s="9">
        <f t="shared" si="11"/>
        <v>1.4905358406552474E-4</v>
      </c>
      <c r="V88" s="100">
        <f t="shared" si="14"/>
        <v>0.96010578440162031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0.51886105197848853</v>
      </c>
      <c r="K89" s="55">
        <f t="shared" si="35"/>
        <v>0.98843226163799081</v>
      </c>
      <c r="L89" s="55">
        <f t="shared" si="36"/>
        <v>2.1774175937261525E-3</v>
      </c>
      <c r="M89" s="55">
        <f t="shared" si="19"/>
        <v>0.99782258240627386</v>
      </c>
      <c r="N89" s="55">
        <f t="shared" si="37"/>
        <v>4.0702896769310228E-4</v>
      </c>
      <c r="O89" s="56">
        <f t="shared" si="21"/>
        <v>9.8960383126367717E-7</v>
      </c>
      <c r="P89" s="56">
        <f t="shared" si="38"/>
        <v>3.2683038081829544E-6</v>
      </c>
      <c r="Q89" s="56">
        <f t="shared" si="39"/>
        <v>2.0365016016911551E-5</v>
      </c>
      <c r="R89" s="9">
        <f t="shared" si="12"/>
        <v>1.4999999999999999E-4</v>
      </c>
      <c r="S89" s="9">
        <f t="shared" si="13"/>
        <v>3.2661263905892287E-7</v>
      </c>
      <c r="T89" s="9">
        <f t="shared" si="10"/>
        <v>1.482648392456986E-4</v>
      </c>
      <c r="U89" s="9">
        <f t="shared" si="11"/>
        <v>1.4967338736094105E-4</v>
      </c>
      <c r="V89" s="100">
        <f t="shared" si="14"/>
        <v>0.99058918796401851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2.318135879654076E-2</v>
      </c>
      <c r="K90" s="55">
        <f t="shared" si="35"/>
        <v>0.99848282289610335</v>
      </c>
      <c r="L90" s="55">
        <f t="shared" si="36"/>
        <v>7.0251519235353243E-4</v>
      </c>
      <c r="M90" s="55">
        <f t="shared" si="19"/>
        <v>0.99929748480764646</v>
      </c>
      <c r="N90" s="55">
        <f t="shared" si="37"/>
        <v>1.3513622546476974E-5</v>
      </c>
      <c r="O90" s="56">
        <f t="shared" si="21"/>
        <v>9.996663052574906E-7</v>
      </c>
      <c r="P90" s="56">
        <f t="shared" si="38"/>
        <v>1.0544753037226522E-6</v>
      </c>
      <c r="Q90" s="56">
        <f t="shared" si="39"/>
        <v>6.7613158140873138E-7</v>
      </c>
      <c r="R90" s="9">
        <f t="shared" si="12"/>
        <v>1.4999999999999999E-4</v>
      </c>
      <c r="S90" s="9">
        <f t="shared" si="13"/>
        <v>1.0537727885302985E-7</v>
      </c>
      <c r="T90" s="9">
        <f t="shared" si="10"/>
        <v>1.4977242343441549E-4</v>
      </c>
      <c r="U90" s="9">
        <f t="shared" si="11"/>
        <v>1.4989462272114694E-4</v>
      </c>
      <c r="V90" s="100">
        <f t="shared" si="14"/>
        <v>0.99918476537374656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-1.1579999958037488E-2</v>
      </c>
      <c r="K91" s="55">
        <f t="shared" si="35"/>
        <v>0.99888639621555864</v>
      </c>
      <c r="L91" s="55">
        <f t="shared" si="36"/>
        <v>6.48738783871262E-4</v>
      </c>
      <c r="M91" s="55">
        <f t="shared" si="19"/>
        <v>0.99935126121612872</v>
      </c>
      <c r="N91" s="55">
        <f t="shared" si="37"/>
        <v>6.1401459934913741E-6</v>
      </c>
      <c r="O91" s="56">
        <f t="shared" si="21"/>
        <v>1.000070356924589E-6</v>
      </c>
      <c r="P91" s="56">
        <f t="shared" si="38"/>
        <v>9.7375691459076406E-7</v>
      </c>
      <c r="Q91" s="56">
        <f t="shared" si="39"/>
        <v>3.0721197120768513E-7</v>
      </c>
      <c r="R91" s="9">
        <f t="shared" si="12"/>
        <v>1.4999999999999999E-4</v>
      </c>
      <c r="S91" s="9">
        <f t="shared" si="13"/>
        <v>9.7310817580689288E-8</v>
      </c>
      <c r="T91" s="9">
        <f t="shared" si="10"/>
        <v>1.4983295943233379E-4</v>
      </c>
      <c r="U91" s="9">
        <f t="shared" si="11"/>
        <v>1.4990268918241929E-4</v>
      </c>
      <c r="V91" s="100">
        <f t="shared" si="14"/>
        <v>0.99953483322770376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0.60280413004727795</v>
      </c>
      <c r="K92" s="55">
        <f t="shared" si="35"/>
        <v>0.98549817427677155</v>
      </c>
      <c r="L92" s="55">
        <f t="shared" si="36"/>
        <v>2.6338662532071032E-3</v>
      </c>
      <c r="M92" s="55">
        <f t="shared" si="19"/>
        <v>0.99736613374679295</v>
      </c>
      <c r="N92" s="55">
        <f t="shared" si="37"/>
        <v>5.6194420270406359E-4</v>
      </c>
      <c r="O92" s="56">
        <f t="shared" si="21"/>
        <v>9.8666626618550661E-7</v>
      </c>
      <c r="P92" s="56">
        <f t="shared" si="38"/>
        <v>3.9534332460638627E-6</v>
      </c>
      <c r="Q92" s="56">
        <f t="shared" si="39"/>
        <v>2.8115941608626653E-5</v>
      </c>
      <c r="R92" s="9">
        <f t="shared" si="12"/>
        <v>1.4999999999999999E-4</v>
      </c>
      <c r="S92" s="9">
        <f t="shared" si="13"/>
        <v>3.9507993798106543E-7</v>
      </c>
      <c r="T92" s="9">
        <f t="shared" ref="T92:T143" si="40">R92*K92</f>
        <v>1.4782472614151572E-4</v>
      </c>
      <c r="U92" s="9">
        <f t="shared" ref="U92:U143" si="41">$R92*M92</f>
        <v>1.4960492006201894E-4</v>
      </c>
      <c r="V92" s="100">
        <f t="shared" si="14"/>
        <v>0.98810069936359557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-1.0168457529068075E-2</v>
      </c>
      <c r="K93" s="55">
        <f t="shared" si="35"/>
        <v>0.99887046756114439</v>
      </c>
      <c r="L93" s="55">
        <f t="shared" si="36"/>
        <v>6.5084036397887696E-4</v>
      </c>
      <c r="M93" s="55">
        <f t="shared" ref="M93:M127" si="42">IF(D93=0,"",1-L93)</f>
        <v>0.99934915963602111</v>
      </c>
      <c r="N93" s="55">
        <f t="shared" si="37"/>
        <v>6.3987978809244894E-6</v>
      </c>
      <c r="O93" s="56">
        <f t="shared" ref="O93:O127" si="43">IF(D93=0,"",F93*K93*$J$7/$J$14)</f>
        <v>1.0000544093902491E-6</v>
      </c>
      <c r="P93" s="56">
        <f t="shared" si="38"/>
        <v>9.7691138633229455E-7</v>
      </c>
      <c r="Q93" s="56">
        <f t="shared" si="39"/>
        <v>3.2015318730892195E-7</v>
      </c>
      <c r="R93" s="9">
        <f t="shared" ref="R93:R143" si="44">F93*$C$14</f>
        <v>1.4999999999999999E-4</v>
      </c>
      <c r="S93" s="9">
        <f t="shared" ref="S93:S143" si="45">$R93*L93</f>
        <v>9.7626054596831539E-8</v>
      </c>
      <c r="T93" s="9">
        <f t="shared" si="40"/>
        <v>1.4983057013417164E-4</v>
      </c>
      <c r="U93" s="9">
        <f t="shared" si="41"/>
        <v>1.4990237394540314E-4</v>
      </c>
      <c r="V93" s="100">
        <f t="shared" ref="V93:V143" si="46">K93/M93</f>
        <v>0.99952099617009627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-4.6114351669366088E-2</v>
      </c>
      <c r="K94" s="55">
        <f t="shared" si="35"/>
        <v>0.99926587213147999</v>
      </c>
      <c r="L94" s="55">
        <f t="shared" si="36"/>
        <v>5.9937754330055353E-4</v>
      </c>
      <c r="M94" s="55">
        <f t="shared" si="42"/>
        <v>0.99940062245669947</v>
      </c>
      <c r="N94" s="55">
        <f t="shared" si="37"/>
        <v>1.0700008087795667E-6</v>
      </c>
      <c r="O94" s="56">
        <f t="shared" si="43"/>
        <v>1.0004502826259678E-6</v>
      </c>
      <c r="P94" s="56">
        <f t="shared" si="38"/>
        <v>8.9966569249413117E-7</v>
      </c>
      <c r="Q94" s="56">
        <f t="shared" si="39"/>
        <v>5.3535707132604318E-8</v>
      </c>
      <c r="R94" s="9">
        <f t="shared" si="44"/>
        <v>1.4999999999999999E-4</v>
      </c>
      <c r="S94" s="9">
        <f t="shared" si="45"/>
        <v>8.9906631495083026E-8</v>
      </c>
      <c r="T94" s="9">
        <f t="shared" si="40"/>
        <v>1.4988988081972198E-4</v>
      </c>
      <c r="U94" s="9">
        <f t="shared" si="41"/>
        <v>1.4991009336850491E-4</v>
      </c>
      <c r="V94" s="100">
        <f t="shared" si="46"/>
        <v>0.99986516886002308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0.94867954725222914</v>
      </c>
      <c r="J95" s="54">
        <f t="shared" si="34"/>
        <v>3.6125247697901655</v>
      </c>
      <c r="K95" s="55">
        <f t="shared" si="35"/>
        <v>8.6035001185576387E-2</v>
      </c>
      <c r="L95" s="55">
        <f t="shared" si="36"/>
        <v>0.23514389222334978</v>
      </c>
      <c r="M95" s="55">
        <f t="shared" si="42"/>
        <v>0.76485610777665025</v>
      </c>
      <c r="N95" s="55">
        <f t="shared" si="37"/>
        <v>0.19129348095235413</v>
      </c>
      <c r="O95" s="56">
        <f t="shared" si="43"/>
        <v>8.613697680701946E-8</v>
      </c>
      <c r="P95" s="56">
        <f t="shared" si="38"/>
        <v>3.5295098222724815E-4</v>
      </c>
      <c r="Q95" s="56">
        <f t="shared" si="39"/>
        <v>9.5710504969827859E-3</v>
      </c>
      <c r="R95" s="9">
        <f t="shared" si="44"/>
        <v>1.4999999999999999E-4</v>
      </c>
      <c r="S95" s="9">
        <f t="shared" si="45"/>
        <v>3.5271583833502466E-5</v>
      </c>
      <c r="T95" s="9">
        <f t="shared" si="40"/>
        <v>1.2905250177836458E-5</v>
      </c>
      <c r="U95" s="9">
        <f t="shared" si="41"/>
        <v>1.1472841616649753E-4</v>
      </c>
      <c r="V95" s="100">
        <f t="shared" si="46"/>
        <v>0.11248521167683469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-6.0480673179556473E-2</v>
      </c>
      <c r="K96" s="55">
        <f t="shared" si="35"/>
        <v>0.99942003514588185</v>
      </c>
      <c r="L96" s="55">
        <f t="shared" si="36"/>
        <v>5.7996414084859622E-4</v>
      </c>
      <c r="M96" s="55">
        <f t="shared" si="42"/>
        <v>0.9994200358591514</v>
      </c>
      <c r="N96" s="55">
        <f t="shared" si="37"/>
        <v>3.4119532339610773E-14</v>
      </c>
      <c r="O96" s="56">
        <f t="shared" si="43"/>
        <v>1.0006046283668064E-6</v>
      </c>
      <c r="P96" s="56">
        <f t="shared" si="38"/>
        <v>8.7052617541374314E-7</v>
      </c>
      <c r="Q96" s="56">
        <f t="shared" si="39"/>
        <v>1.7071139347251923E-15</v>
      </c>
      <c r="R96" s="9">
        <f t="shared" si="44"/>
        <v>1.4999999999999999E-4</v>
      </c>
      <c r="S96" s="9">
        <f t="shared" si="45"/>
        <v>8.6994621127289419E-8</v>
      </c>
      <c r="T96" s="9">
        <f t="shared" si="40"/>
        <v>1.4991300527188227E-4</v>
      </c>
      <c r="U96" s="9">
        <f t="shared" si="41"/>
        <v>1.4991300537887269E-4</v>
      </c>
      <c r="V96" s="100">
        <f t="shared" si="46"/>
        <v>0.99999999928631655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300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1.4999999999999999E-4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301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3.602246950416589</v>
      </c>
      <c r="K98" s="55">
        <f t="shared" si="35"/>
        <v>4.7625196989035383E-2</v>
      </c>
      <c r="L98" s="55">
        <f t="shared" si="36"/>
        <v>0.12712105813769589</v>
      </c>
      <c r="M98" s="55">
        <f t="shared" si="42"/>
        <v>0.87287894186230408</v>
      </c>
      <c r="N98" s="55">
        <f t="shared" si="37"/>
        <v>1.6946959966192349E-2</v>
      </c>
      <c r="O98" s="56">
        <f t="shared" si="43"/>
        <v>4.7681646213099781E-8</v>
      </c>
      <c r="P98" s="56">
        <f t="shared" si="38"/>
        <v>1.9080870826468157E-4</v>
      </c>
      <c r="Q98" s="56">
        <f t="shared" si="39"/>
        <v>8.4791289697515727E-4</v>
      </c>
      <c r="R98" s="9">
        <f t="shared" si="44"/>
        <v>1.4999999999999999E-4</v>
      </c>
      <c r="S98" s="9">
        <f t="shared" si="45"/>
        <v>1.9068158720654381E-5</v>
      </c>
      <c r="T98" s="9">
        <f t="shared" si="40"/>
        <v>7.1437795483553066E-6</v>
      </c>
      <c r="U98" s="9">
        <f t="shared" si="41"/>
        <v>1.309318412793456E-4</v>
      </c>
      <c r="V98" s="100">
        <f t="shared" si="46"/>
        <v>5.4561056184292987E-2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302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1.873589036848633</v>
      </c>
      <c r="K99" s="55">
        <f t="shared" si="35"/>
        <v>0.7233335459320297</v>
      </c>
      <c r="L99" s="55">
        <f t="shared" si="36"/>
        <v>3.6062963091491408E-2</v>
      </c>
      <c r="M99" s="55">
        <f t="shared" si="42"/>
        <v>0.96393703690850863</v>
      </c>
      <c r="N99" s="55">
        <f t="shared" si="37"/>
        <v>3.0240824323654095E-3</v>
      </c>
      <c r="O99" s="56">
        <f t="shared" si="43"/>
        <v>7.2419089918176047E-7</v>
      </c>
      <c r="P99" s="56">
        <f t="shared" si="38"/>
        <v>5.4130507600328603E-5</v>
      </c>
      <c r="Q99" s="56">
        <f t="shared" si="39"/>
        <v>1.51304924366016E-4</v>
      </c>
      <c r="R99" s="9">
        <f t="shared" si="44"/>
        <v>1.4999999999999999E-4</v>
      </c>
      <c r="S99" s="9">
        <f t="shared" si="45"/>
        <v>5.4094444637237112E-6</v>
      </c>
      <c r="T99" s="9">
        <f t="shared" si="40"/>
        <v>1.0850003188980444E-4</v>
      </c>
      <c r="U99" s="9">
        <f t="shared" si="41"/>
        <v>1.4459055553627629E-4</v>
      </c>
      <c r="V99" s="100">
        <f t="shared" si="46"/>
        <v>0.75039501361195682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303</v>
      </c>
      <c r="C100" s="46" t="s">
        <v>215</v>
      </c>
      <c r="D100" s="47" t="s">
        <v>300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1.4999999999999999E-4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304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3.2266263303607148</v>
      </c>
      <c r="K101" s="55">
        <f t="shared" si="35"/>
        <v>0.10140641578224446</v>
      </c>
      <c r="L101" s="55">
        <f t="shared" si="36"/>
        <v>0.1139791796696973</v>
      </c>
      <c r="M101" s="55">
        <f t="shared" si="42"/>
        <v>0.88602082033030272</v>
      </c>
      <c r="N101" s="55">
        <f t="shared" si="37"/>
        <v>6.7192446054065071E-3</v>
      </c>
      <c r="O101" s="56">
        <f t="shared" si="43"/>
        <v>1.0152661084384973E-7</v>
      </c>
      <c r="P101" s="56">
        <f t="shared" si="38"/>
        <v>1.7108274868421562E-4</v>
      </c>
      <c r="Q101" s="56">
        <f t="shared" si="39"/>
        <v>3.361862050905056E-4</v>
      </c>
      <c r="R101" s="9">
        <f t="shared" si="44"/>
        <v>1.4999999999999999E-4</v>
      </c>
      <c r="S101" s="9">
        <f t="shared" si="45"/>
        <v>1.7096876950454593E-5</v>
      </c>
      <c r="T101" s="9">
        <f t="shared" si="40"/>
        <v>1.5210962367336668E-5</v>
      </c>
      <c r="U101" s="9">
        <f t="shared" si="41"/>
        <v>1.329031230495454E-4</v>
      </c>
      <c r="V101" s="100">
        <f t="shared" si="46"/>
        <v>0.11445150436130927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305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2.4413697323088819</v>
      </c>
      <c r="K102" s="55">
        <f t="shared" si="35"/>
        <v>0.39888221714925376</v>
      </c>
      <c r="L102" s="55">
        <f t="shared" si="36"/>
        <v>7.3510295954053936E-2</v>
      </c>
      <c r="M102" s="55">
        <f t="shared" si="42"/>
        <v>0.92648970404594611</v>
      </c>
      <c r="N102" s="55">
        <f t="shared" si="37"/>
        <v>9.1579708116149267E-9</v>
      </c>
      <c r="O102" s="56">
        <f t="shared" si="43"/>
        <v>3.993550045196944E-7</v>
      </c>
      <c r="P102" s="56">
        <f t="shared" si="38"/>
        <v>1.1033895422703498E-4</v>
      </c>
      <c r="Q102" s="56">
        <f t="shared" si="39"/>
        <v>4.5820380627446682E-10</v>
      </c>
      <c r="R102" s="9">
        <f t="shared" si="44"/>
        <v>1.4999999999999999E-4</v>
      </c>
      <c r="S102" s="9">
        <f t="shared" si="45"/>
        <v>1.102654439310809E-5</v>
      </c>
      <c r="T102" s="9">
        <f t="shared" si="40"/>
        <v>5.9832332572388058E-5</v>
      </c>
      <c r="U102" s="9">
        <f t="shared" si="41"/>
        <v>1.3897345560689189E-4</v>
      </c>
      <c r="V102" s="100">
        <f t="shared" si="46"/>
        <v>0.43053065285814829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306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3.4901223288361956</v>
      </c>
      <c r="K103" s="55">
        <f t="shared" si="35"/>
        <v>5.5856710517182329E-2</v>
      </c>
      <c r="L103" s="55">
        <f t="shared" si="36"/>
        <v>0.11516790016364693</v>
      </c>
      <c r="M103" s="55">
        <f t="shared" si="42"/>
        <v>0.88483209983635303</v>
      </c>
      <c r="N103" s="55">
        <f t="shared" si="37"/>
        <v>2.138601838008824E-8</v>
      </c>
      <c r="O103" s="56">
        <f t="shared" si="43"/>
        <v>5.5922916394886333E-8</v>
      </c>
      <c r="P103" s="56">
        <f t="shared" si="38"/>
        <v>1.7286701814563413E-4</v>
      </c>
      <c r="Q103" s="56">
        <f t="shared" si="39"/>
        <v>1.0700137862837484E-9</v>
      </c>
      <c r="R103" s="9">
        <f t="shared" si="44"/>
        <v>1.4999999999999999E-4</v>
      </c>
      <c r="S103" s="9">
        <f t="shared" si="45"/>
        <v>1.7275185024547038E-5</v>
      </c>
      <c r="T103" s="9">
        <f t="shared" si="40"/>
        <v>8.3785065775773478E-6</v>
      </c>
      <c r="U103" s="9">
        <f t="shared" si="41"/>
        <v>1.3272481497545295E-4</v>
      </c>
      <c r="V103" s="100">
        <f t="shared" si="46"/>
        <v>6.3126903428924935E-2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307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4.1995402918091864</v>
      </c>
      <c r="K104" s="55">
        <f t="shared" si="35"/>
        <v>1.1917171703713533E-2</v>
      </c>
      <c r="L104" s="55">
        <f t="shared" si="36"/>
        <v>0.1258482707308787</v>
      </c>
      <c r="M104" s="55">
        <f t="shared" si="42"/>
        <v>0.87415172926912132</v>
      </c>
      <c r="N104" s="55">
        <f t="shared" si="37"/>
        <v>8.2685282633357341E-3</v>
      </c>
      <c r="O104" s="56">
        <f t="shared" si="43"/>
        <v>1.19312968966418E-8</v>
      </c>
      <c r="P104" s="56">
        <f t="shared" si="38"/>
        <v>1.8889825436704902E-4</v>
      </c>
      <c r="Q104" s="56">
        <f t="shared" si="39"/>
        <v>4.1370203077556456E-4</v>
      </c>
      <c r="R104" s="9">
        <f t="shared" si="44"/>
        <v>1.4999999999999999E-4</v>
      </c>
      <c r="S104" s="9">
        <f t="shared" si="45"/>
        <v>1.8877240609631803E-5</v>
      </c>
      <c r="T104" s="9">
        <f t="shared" si="40"/>
        <v>1.7875757555570297E-6</v>
      </c>
      <c r="U104" s="9">
        <f t="shared" si="41"/>
        <v>1.311227593903682E-4</v>
      </c>
      <c r="V104" s="100">
        <f t="shared" si="46"/>
        <v>1.3632841193001455E-2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308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3.9076268809254704</v>
      </c>
      <c r="K105" s="55">
        <f t="shared" si="35"/>
        <v>2.7042497123603418E-2</v>
      </c>
      <c r="L105" s="55">
        <f t="shared" si="36"/>
        <v>0.14581675756766965</v>
      </c>
      <c r="M105" s="55">
        <f t="shared" si="42"/>
        <v>0.85418324243233035</v>
      </c>
      <c r="N105" s="55">
        <f t="shared" si="37"/>
        <v>4.200507946843831E-2</v>
      </c>
      <c r="O105" s="56">
        <f t="shared" si="43"/>
        <v>2.7074550071956426E-8</v>
      </c>
      <c r="P105" s="56">
        <f t="shared" si="38"/>
        <v>2.1887095310907224E-4</v>
      </c>
      <c r="Q105" s="56">
        <f t="shared" si="39"/>
        <v>2.1016541427375302E-3</v>
      </c>
      <c r="R105" s="9">
        <f t="shared" si="44"/>
        <v>1.4999999999999999E-4</v>
      </c>
      <c r="S105" s="9">
        <f t="shared" si="45"/>
        <v>2.1872513635150447E-5</v>
      </c>
      <c r="T105" s="9">
        <f t="shared" si="40"/>
        <v>4.0563745685405119E-6</v>
      </c>
      <c r="U105" s="9">
        <f t="shared" si="41"/>
        <v>1.2812748636484953E-4</v>
      </c>
      <c r="V105" s="100">
        <f t="shared" si="46"/>
        <v>3.165889446226846E-2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309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2.9426988771188993</v>
      </c>
      <c r="K106" s="55">
        <f t="shared" si="35"/>
        <v>0.17534482419798714</v>
      </c>
      <c r="L106" s="55">
        <f t="shared" si="36"/>
        <v>0.10250040747284066</v>
      </c>
      <c r="M106" s="55">
        <f t="shared" si="42"/>
        <v>0.89749959252715938</v>
      </c>
      <c r="N106" s="55">
        <f t="shared" si="37"/>
        <v>2.851989809912598E-3</v>
      </c>
      <c r="O106" s="56">
        <f t="shared" si="43"/>
        <v>1.7555265702379076E-7</v>
      </c>
      <c r="P106" s="56">
        <f t="shared" si="38"/>
        <v>1.5385311161673383E-4</v>
      </c>
      <c r="Q106" s="56">
        <f t="shared" si="39"/>
        <v>1.42694556822627E-4</v>
      </c>
      <c r="R106" s="9">
        <f t="shared" si="44"/>
        <v>1.4999999999999999E-4</v>
      </c>
      <c r="S106" s="9">
        <f t="shared" si="45"/>
        <v>1.5375061120926098E-5</v>
      </c>
      <c r="T106" s="9">
        <f t="shared" si="40"/>
        <v>2.6301723629698068E-5</v>
      </c>
      <c r="U106" s="9">
        <f t="shared" si="41"/>
        <v>1.346249388790739E-4</v>
      </c>
      <c r="V106" s="100">
        <f t="shared" si="46"/>
        <v>0.19537036635777749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310</v>
      </c>
      <c r="C107" s="46" t="s">
        <v>222</v>
      </c>
      <c r="D107" s="47" t="s">
        <v>300</v>
      </c>
      <c r="E107" s="47" t="s">
        <v>311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1.4999999999999999E-4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312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3.651216126776069</v>
      </c>
      <c r="K108" s="55">
        <f t="shared" si="35"/>
        <v>4.1554041328571122E-2</v>
      </c>
      <c r="L108" s="55">
        <f t="shared" si="36"/>
        <v>0.12415469802110961</v>
      </c>
      <c r="M108" s="55">
        <f t="shared" si="42"/>
        <v>0.87584530197889043</v>
      </c>
      <c r="N108" s="55">
        <f t="shared" si="37"/>
        <v>1.1216782167947413E-2</v>
      </c>
      <c r="O108" s="56">
        <f t="shared" si="43"/>
        <v>4.160329452935637E-8</v>
      </c>
      <c r="P108" s="56">
        <f t="shared" si="38"/>
        <v>1.8635620172968554E-4</v>
      </c>
      <c r="Q108" s="56">
        <f t="shared" si="39"/>
        <v>5.6121300113630217E-4</v>
      </c>
      <c r="R108" s="9">
        <f t="shared" si="44"/>
        <v>1.4999999999999999E-4</v>
      </c>
      <c r="S108" s="9">
        <f t="shared" si="45"/>
        <v>1.862320470316644E-5</v>
      </c>
      <c r="T108" s="9">
        <f t="shared" si="40"/>
        <v>6.2331061992856676E-6</v>
      </c>
      <c r="U108" s="9">
        <f t="shared" si="41"/>
        <v>1.3137679529683354E-4</v>
      </c>
      <c r="V108" s="100">
        <f t="shared" si="46"/>
        <v>4.7444498742738768E-2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313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3.926316338483836</v>
      </c>
      <c r="K109" s="55">
        <f t="shared" si="35"/>
        <v>2.4907440515447229E-2</v>
      </c>
      <c r="L109" s="55">
        <f t="shared" si="36"/>
        <v>0.14021006932998598</v>
      </c>
      <c r="M109" s="55">
        <f t="shared" si="42"/>
        <v>0.85978993067001408</v>
      </c>
      <c r="N109" s="55">
        <f t="shared" si="37"/>
        <v>3.2929422951478757E-2</v>
      </c>
      <c r="O109" s="56">
        <f t="shared" si="43"/>
        <v>2.4936962822532931E-8</v>
      </c>
      <c r="P109" s="56">
        <f t="shared" si="38"/>
        <v>2.1045531406430905E-4</v>
      </c>
      <c r="Q109" s="56">
        <f t="shared" si="39"/>
        <v>1.6475687950056538E-3</v>
      </c>
      <c r="R109" s="9">
        <f t="shared" si="44"/>
        <v>1.4999999999999999E-4</v>
      </c>
      <c r="S109" s="9">
        <f t="shared" si="45"/>
        <v>2.1031510399497893E-5</v>
      </c>
      <c r="T109" s="9">
        <f t="shared" si="40"/>
        <v>3.7361160773170841E-6</v>
      </c>
      <c r="U109" s="9">
        <f t="shared" si="41"/>
        <v>1.289684896005021E-4</v>
      </c>
      <c r="V109" s="100">
        <f t="shared" si="46"/>
        <v>2.8969216348041487E-2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2.1945288490758386</v>
      </c>
      <c r="K110" s="55">
        <f t="shared" si="35"/>
        <v>0.54078515696113216</v>
      </c>
      <c r="L110" s="55">
        <f t="shared" si="36"/>
        <v>5.6453045472391786E-2</v>
      </c>
      <c r="M110" s="55">
        <f t="shared" si="42"/>
        <v>0.94354695452760817</v>
      </c>
      <c r="N110" s="55">
        <f t="shared" si="37"/>
        <v>2.7181898185909219E-4</v>
      </c>
      <c r="O110" s="56">
        <f t="shared" si="43"/>
        <v>5.4142613913918029E-7</v>
      </c>
      <c r="P110" s="56">
        <f t="shared" si="38"/>
        <v>8.4736021254060086E-5</v>
      </c>
      <c r="Q110" s="56">
        <f t="shared" si="39"/>
        <v>1.3600009725683248E-5</v>
      </c>
      <c r="R110" s="9">
        <f t="shared" si="44"/>
        <v>1.4999999999999999E-4</v>
      </c>
      <c r="S110" s="9">
        <f t="shared" si="45"/>
        <v>8.4679568208587675E-6</v>
      </c>
      <c r="T110" s="9">
        <f t="shared" si="40"/>
        <v>8.1117773544169816E-5</v>
      </c>
      <c r="U110" s="9">
        <f t="shared" si="41"/>
        <v>1.4153204317914121E-4</v>
      </c>
      <c r="V110" s="100">
        <f t="shared" si="46"/>
        <v>0.5731406946587827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2.2518750175106685</v>
      </c>
      <c r="K111" s="55">
        <f t="shared" si="35"/>
        <v>0.62978940864931043</v>
      </c>
      <c r="L111" s="55">
        <f t="shared" si="36"/>
        <v>7.5024676936774323E-2</v>
      </c>
      <c r="M111" s="55">
        <f t="shared" si="42"/>
        <v>0.92497532306322572</v>
      </c>
      <c r="N111" s="55">
        <f t="shared" si="37"/>
        <v>4.5728376587544584E-2</v>
      </c>
      <c r="O111" s="56">
        <f t="shared" si="43"/>
        <v>6.3053588584394369E-7</v>
      </c>
      <c r="P111" s="56">
        <f t="shared" si="38"/>
        <v>1.1261204008209827E-4</v>
      </c>
      <c r="Q111" s="56">
        <f t="shared" si="39"/>
        <v>2.287943108596814E-3</v>
      </c>
      <c r="R111" s="9">
        <f t="shared" si="44"/>
        <v>1.4999999999999999E-4</v>
      </c>
      <c r="S111" s="9">
        <f t="shared" si="45"/>
        <v>1.1253701540516147E-5</v>
      </c>
      <c r="T111" s="9">
        <f t="shared" si="40"/>
        <v>9.4468411297396563E-5</v>
      </c>
      <c r="U111" s="9">
        <f t="shared" si="41"/>
        <v>1.3874629845948386E-4</v>
      </c>
      <c r="V111" s="100">
        <f t="shared" si="46"/>
        <v>0.68087157889104233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2.5219720041185627</v>
      </c>
      <c r="J112" s="54">
        <f t="shared" si="34"/>
        <v>5.2755325389810421</v>
      </c>
      <c r="K112" s="55">
        <f t="shared" si="35"/>
        <v>2.180519294651372E-3</v>
      </c>
      <c r="L112" s="55">
        <f t="shared" si="36"/>
        <v>0.27430027101588161</v>
      </c>
      <c r="M112" s="55">
        <f t="shared" si="42"/>
        <v>0.72569972898411839</v>
      </c>
      <c r="N112" s="55">
        <f t="shared" si="37"/>
        <v>0.2361195530296282</v>
      </c>
      <c r="O112" s="56">
        <f t="shared" si="43"/>
        <v>2.1831038219609153E-9</v>
      </c>
      <c r="P112" s="56">
        <f t="shared" si="38"/>
        <v>4.1172470679483824E-4</v>
      </c>
      <c r="Q112" s="56">
        <f t="shared" si="39"/>
        <v>1.1813848303249065E-2</v>
      </c>
      <c r="R112" s="9">
        <f t="shared" si="44"/>
        <v>1.4999999999999999E-4</v>
      </c>
      <c r="S112" s="9">
        <f t="shared" si="45"/>
        <v>4.1145040652382238E-5</v>
      </c>
      <c r="T112" s="9">
        <f t="shared" si="40"/>
        <v>3.2707789419770577E-7</v>
      </c>
      <c r="U112" s="9">
        <f t="shared" si="41"/>
        <v>1.0885495934761774E-4</v>
      </c>
      <c r="V112" s="100">
        <f t="shared" si="46"/>
        <v>3.0047128413618184E-3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5.6475701029544298</v>
      </c>
      <c r="K113" s="55">
        <f t="shared" si="35"/>
        <v>9.6789126362966174E-4</v>
      </c>
      <c r="L113" s="55">
        <f t="shared" si="36"/>
        <v>0.28676783434973868</v>
      </c>
      <c r="M113" s="55">
        <f t="shared" si="42"/>
        <v>0.71323216565026137</v>
      </c>
      <c r="N113" s="55">
        <f t="shared" si="37"/>
        <v>0.25518114885335336</v>
      </c>
      <c r="O113" s="56">
        <f t="shared" si="43"/>
        <v>9.6903848640804087E-10</v>
      </c>
      <c r="P113" s="56">
        <f t="shared" si="38"/>
        <v>4.3043851935895808E-4</v>
      </c>
      <c r="Q113" s="56">
        <f t="shared" si="39"/>
        <v>1.2767563480962783E-2</v>
      </c>
      <c r="R113" s="9">
        <f t="shared" si="44"/>
        <v>1.4999999999999999E-4</v>
      </c>
      <c r="S113" s="9">
        <f t="shared" si="45"/>
        <v>4.30151751524608E-5</v>
      </c>
      <c r="T113" s="9">
        <f t="shared" si="40"/>
        <v>1.4518368954444924E-7</v>
      </c>
      <c r="U113" s="9">
        <f t="shared" si="41"/>
        <v>1.0698482484753919E-4</v>
      </c>
      <c r="V113" s="100">
        <f t="shared" si="46"/>
        <v>1.3570493736036497E-3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6.0714479293479418</v>
      </c>
      <c r="K114" s="55">
        <f t="shared" si="35"/>
        <v>3.7877190405728148E-4</v>
      </c>
      <c r="L114" s="55">
        <f t="shared" si="36"/>
        <v>0.29782383404791651</v>
      </c>
      <c r="M114" s="55">
        <f t="shared" si="42"/>
        <v>0.70217616595208354</v>
      </c>
      <c r="N114" s="55">
        <f t="shared" si="37"/>
        <v>0.27217596764636326</v>
      </c>
      <c r="O114" s="56">
        <f t="shared" si="43"/>
        <v>3.7922085506290889E-10</v>
      </c>
      <c r="P114" s="56">
        <f t="shared" si="38"/>
        <v>4.4703357490592316E-4</v>
      </c>
      <c r="Q114" s="56">
        <f t="shared" si="39"/>
        <v>1.3617870914573043E-2</v>
      </c>
      <c r="R114" s="9">
        <f t="shared" si="44"/>
        <v>1.4999999999999999E-4</v>
      </c>
      <c r="S114" s="9">
        <f t="shared" si="45"/>
        <v>4.4673575107187476E-5</v>
      </c>
      <c r="T114" s="9">
        <f t="shared" si="40"/>
        <v>5.6815785608592218E-8</v>
      </c>
      <c r="U114" s="9">
        <f t="shared" si="41"/>
        <v>1.0532642489281252E-4</v>
      </c>
      <c r="V114" s="100">
        <f t="shared" si="46"/>
        <v>5.3942574872746225E-4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</v>
      </c>
      <c r="J115" s="54">
        <f t="shared" si="34"/>
        <v>4.6606520517271175</v>
      </c>
      <c r="K115" s="55">
        <f t="shared" si="35"/>
        <v>9.4897221035595801E-3</v>
      </c>
      <c r="L115" s="55">
        <f t="shared" si="36"/>
        <v>0.28976058532558968</v>
      </c>
      <c r="M115" s="55">
        <f t="shared" si="42"/>
        <v>0.71023941467441032</v>
      </c>
      <c r="N115" s="55">
        <f t="shared" si="37"/>
        <v>0.26141261738780869</v>
      </c>
      <c r="O115" s="56">
        <f t="shared" si="43"/>
        <v>9.5009700874672597E-9</v>
      </c>
      <c r="P115" s="56">
        <f t="shared" si="38"/>
        <v>4.3493063857370995E-4</v>
      </c>
      <c r="Q115" s="56">
        <f t="shared" si="39"/>
        <v>1.307934462330336E-2</v>
      </c>
      <c r="R115" s="9">
        <f t="shared" si="44"/>
        <v>1.4999999999999999E-4</v>
      </c>
      <c r="S115" s="9">
        <f t="shared" si="45"/>
        <v>4.3464087798838447E-5</v>
      </c>
      <c r="T115" s="9">
        <f t="shared" si="40"/>
        <v>1.4234583155339368E-6</v>
      </c>
      <c r="U115" s="9">
        <f t="shared" si="41"/>
        <v>1.0653591220116154E-4</v>
      </c>
      <c r="V115" s="100">
        <f t="shared" si="46"/>
        <v>1.3361300298871589E-2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-2.1299825578506845E-2</v>
      </c>
      <c r="K116" s="55">
        <f t="shared" si="35"/>
        <v>0.9989951123211851</v>
      </c>
      <c r="L116" s="55">
        <f t="shared" si="36"/>
        <v>6.3444985373519282E-4</v>
      </c>
      <c r="M116" s="55">
        <f t="shared" si="42"/>
        <v>0.99936555014626482</v>
      </c>
      <c r="N116" s="55">
        <f t="shared" si="37"/>
        <v>4.4595129294487174E-6</v>
      </c>
      <c r="O116" s="56">
        <f t="shared" si="43"/>
        <v>1.0001792018893111E-6</v>
      </c>
      <c r="P116" s="56">
        <f t="shared" si="38"/>
        <v>9.523092304565246E-7</v>
      </c>
      <c r="Q116" s="56">
        <f t="shared" si="39"/>
        <v>2.2312429690341749E-7</v>
      </c>
      <c r="R116" s="9">
        <f t="shared" si="44"/>
        <v>1.4999999999999999E-4</v>
      </c>
      <c r="S116" s="9">
        <f t="shared" si="45"/>
        <v>9.5167478060278909E-8</v>
      </c>
      <c r="T116" s="9">
        <f t="shared" si="40"/>
        <v>1.4984926684817775E-4</v>
      </c>
      <c r="U116" s="9">
        <f t="shared" si="41"/>
        <v>1.499048325219397E-4</v>
      </c>
      <c r="V116" s="100">
        <f t="shared" si="46"/>
        <v>0.99962932700149054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1.0476738921027908</v>
      </c>
      <c r="K117" s="55">
        <f t="shared" si="35"/>
        <v>0.95773394812893398</v>
      </c>
      <c r="L117" s="55">
        <f t="shared" si="36"/>
        <v>7.1293927097676223E-3</v>
      </c>
      <c r="M117" s="55">
        <f t="shared" si="42"/>
        <v>0.99287060729023235</v>
      </c>
      <c r="N117" s="55">
        <f t="shared" si="37"/>
        <v>2.3006412393388243E-3</v>
      </c>
      <c r="O117" s="56">
        <f t="shared" si="43"/>
        <v>9.5886913163787487E-7</v>
      </c>
      <c r="P117" s="56">
        <f t="shared" si="38"/>
        <v>1.0701218457361202E-5</v>
      </c>
      <c r="Q117" s="56">
        <f t="shared" si="39"/>
        <v>1.1510875000825252E-4</v>
      </c>
      <c r="R117" s="9">
        <f t="shared" si="44"/>
        <v>1.4999999999999999E-4</v>
      </c>
      <c r="S117" s="9">
        <f t="shared" si="45"/>
        <v>1.0694089064651433E-6</v>
      </c>
      <c r="T117" s="9">
        <f t="shared" si="40"/>
        <v>1.4366009221934009E-4</v>
      </c>
      <c r="U117" s="9">
        <f t="shared" si="41"/>
        <v>1.4893059109353485E-4</v>
      </c>
      <c r="V117" s="100">
        <f t="shared" si="46"/>
        <v>0.96461103903841583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2.2646182783534416</v>
      </c>
      <c r="K118" s="55">
        <f t="shared" si="35"/>
        <v>0.62348533150785346</v>
      </c>
      <c r="L118" s="55">
        <f t="shared" si="36"/>
        <v>7.6485354263637173E-2</v>
      </c>
      <c r="M118" s="55">
        <f t="shared" si="42"/>
        <v>0.92351464573636277</v>
      </c>
      <c r="N118" s="55">
        <f t="shared" si="37"/>
        <v>4.6803813645810072E-2</v>
      </c>
      <c r="O118" s="56">
        <f t="shared" si="43"/>
        <v>6.2422433660188506E-7</v>
      </c>
      <c r="P118" s="56">
        <f t="shared" si="38"/>
        <v>1.1480451674971941E-4</v>
      </c>
      <c r="Q118" s="56">
        <f t="shared" si="39"/>
        <v>2.3417508094120305E-3</v>
      </c>
      <c r="R118" s="9">
        <f t="shared" si="44"/>
        <v>1.4999999999999999E-4</v>
      </c>
      <c r="S118" s="9">
        <f t="shared" si="45"/>
        <v>1.1472803139545576E-5</v>
      </c>
      <c r="T118" s="9">
        <f t="shared" si="40"/>
        <v>9.3522799726178011E-5</v>
      </c>
      <c r="U118" s="9">
        <f t="shared" si="41"/>
        <v>1.3852719686045439E-4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-5.5209452123000199E-2</v>
      </c>
      <c r="K119" s="55">
        <f t="shared" si="35"/>
        <v>0.99936337641577866</v>
      </c>
      <c r="L119" s="55">
        <f t="shared" si="36"/>
        <v>5.8701303007029245E-4</v>
      </c>
      <c r="M119" s="55">
        <f t="shared" si="42"/>
        <v>0.99941298696992975</v>
      </c>
      <c r="N119" s="55">
        <f t="shared" si="37"/>
        <v>2.6016814687483345E-7</v>
      </c>
      <c r="O119" s="56">
        <f t="shared" si="43"/>
        <v>1.0005479024802072E-6</v>
      </c>
      <c r="P119" s="56">
        <f t="shared" si="38"/>
        <v>8.8110655813550895E-7</v>
      </c>
      <c r="Q119" s="56">
        <f t="shared" si="39"/>
        <v>1.3017079615304165E-8</v>
      </c>
      <c r="R119" s="9">
        <f t="shared" si="44"/>
        <v>1.4999999999999999E-4</v>
      </c>
      <c r="S119" s="9">
        <f t="shared" si="45"/>
        <v>8.805195451054386E-8</v>
      </c>
      <c r="T119" s="9">
        <f t="shared" si="40"/>
        <v>1.4990450646236678E-4</v>
      </c>
      <c r="U119" s="9">
        <f t="shared" si="41"/>
        <v>1.4991194804548944E-4</v>
      </c>
      <c r="V119" s="100">
        <f t="shared" si="46"/>
        <v>0.99995036030670215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-6.0480744491014246E-2</v>
      </c>
      <c r="K120" s="55">
        <f t="shared" si="35"/>
        <v>0.99942003592614004</v>
      </c>
      <c r="L120" s="55">
        <f t="shared" si="36"/>
        <v>5.7996404607087084E-4</v>
      </c>
      <c r="M120" s="55">
        <f t="shared" si="42"/>
        <v>0.99942003595392914</v>
      </c>
      <c r="N120" s="55">
        <f t="shared" si="37"/>
        <v>3.3740620893791543E-16</v>
      </c>
      <c r="O120" s="56">
        <f t="shared" si="43"/>
        <v>1.0006046291479893E-6</v>
      </c>
      <c r="P120" s="56">
        <f t="shared" si="38"/>
        <v>8.7052603315237695E-7</v>
      </c>
      <c r="Q120" s="56">
        <f t="shared" si="39"/>
        <v>1.6881557320527035E-17</v>
      </c>
      <c r="R120" s="9">
        <f t="shared" si="44"/>
        <v>1.4999999999999999E-4</v>
      </c>
      <c r="S120" s="9">
        <f t="shared" si="45"/>
        <v>8.6994606910630622E-8</v>
      </c>
      <c r="T120" s="9">
        <f t="shared" si="40"/>
        <v>1.49913005388921E-4</v>
      </c>
      <c r="U120" s="9">
        <f t="shared" si="41"/>
        <v>1.4991300539308935E-4</v>
      </c>
      <c r="V120" s="100">
        <f t="shared" si="46"/>
        <v>0.9999999999721948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0.26737328541626304</v>
      </c>
      <c r="K121" s="55">
        <f t="shared" si="35"/>
        <v>0.99475250489739631</v>
      </c>
      <c r="L121" s="55">
        <f t="shared" si="36"/>
        <v>1.2280670826569893E-3</v>
      </c>
      <c r="M121" s="55">
        <f t="shared" si="42"/>
        <v>0.99877193291734301</v>
      </c>
      <c r="N121" s="55">
        <f t="shared" si="37"/>
        <v>1.2573878919374155E-4</v>
      </c>
      <c r="O121" s="56">
        <f t="shared" si="43"/>
        <v>9.9593156578507112E-7</v>
      </c>
      <c r="P121" s="56">
        <f t="shared" si="38"/>
        <v>1.8433286910681408E-6</v>
      </c>
      <c r="Q121" s="56">
        <f t="shared" si="39"/>
        <v>6.2911307526602024E-6</v>
      </c>
      <c r="R121" s="9">
        <f t="shared" si="44"/>
        <v>1.4999999999999999E-4</v>
      </c>
      <c r="S121" s="9">
        <f t="shared" si="45"/>
        <v>1.8421006239854837E-7</v>
      </c>
      <c r="T121" s="9">
        <f t="shared" si="40"/>
        <v>1.4921287573460944E-4</v>
      </c>
      <c r="U121" s="9">
        <f t="shared" si="41"/>
        <v>1.4981578993760144E-4</v>
      </c>
      <c r="V121" s="100">
        <f t="shared" si="46"/>
        <v>0.99597562978346199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5.3121738751270531</v>
      </c>
      <c r="K122" s="55">
        <f t="shared" si="35"/>
        <v>2.249489368039365E-3</v>
      </c>
      <c r="L122" s="55">
        <f t="shared" si="36"/>
        <v>0.30788716433817148</v>
      </c>
      <c r="M122" s="55">
        <f t="shared" si="42"/>
        <v>0.69211283566182846</v>
      </c>
      <c r="N122" s="55">
        <f t="shared" si="37"/>
        <v>0.28809713928394337</v>
      </c>
      <c r="O122" s="56">
        <f t="shared" si="43"/>
        <v>2.252155644241775E-9</v>
      </c>
      <c r="P122" s="56">
        <f t="shared" si="38"/>
        <v>4.6213863367159562E-4</v>
      </c>
      <c r="Q122" s="56">
        <f t="shared" si="39"/>
        <v>1.4414460202173301E-2</v>
      </c>
      <c r="R122" s="9">
        <f t="shared" si="44"/>
        <v>1.4999999999999999E-4</v>
      </c>
      <c r="S122" s="9">
        <f t="shared" si="45"/>
        <v>4.618307465072572E-5</v>
      </c>
      <c r="T122" s="9">
        <f t="shared" si="40"/>
        <v>3.3742340520590474E-7</v>
      </c>
      <c r="U122" s="9">
        <f t="shared" si="41"/>
        <v>1.0381692534927427E-4</v>
      </c>
      <c r="V122" s="100">
        <f t="shared" si="46"/>
        <v>3.2501772140785469E-3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0.90660680878543065</v>
      </c>
      <c r="K123" s="55">
        <f t="shared" ref="K123:K127" si="49">IF(D123=0,"",1/(1+10^D123*$J$15/$J$14+10^E123*$J$16/$J$14+10^J123*$J$19/$J$14))</f>
        <v>0.97083835072646574</v>
      </c>
      <c r="L123" s="55">
        <f t="shared" ref="L123:L127" si="50">IF(D123=0,"",1/(1+10^I123/10^J123*$J$13/$J$19))</f>
        <v>5.2226088020422487E-3</v>
      </c>
      <c r="M123" s="55">
        <f t="shared" si="42"/>
        <v>0.99477739119795772</v>
      </c>
      <c r="N123" s="55">
        <f t="shared" ref="N123:N127" si="51">IF(D123=0,"",1/(1/10^E123*$J$20/$J$22+10^D123/10^E123*$J$21/$J$22+10^I123/10^E123*$J$13/$J$22+1))</f>
        <v>1.812720901078545E-3</v>
      </c>
      <c r="O123" s="56">
        <f t="shared" si="43"/>
        <v>9.7198906663013101E-7</v>
      </c>
      <c r="P123" s="56">
        <f t="shared" ref="P123:P127" si="52">IF(D123=0,"",O123*10^J123)</f>
        <v>7.8391358118654183E-6</v>
      </c>
      <c r="Q123" s="56">
        <f t="shared" ref="Q123:Q127" si="53">IF(D123=0,"",F123*N123*$J$7/$J$22)</f>
        <v>9.0696469083963201E-5</v>
      </c>
      <c r="R123" s="9">
        <f t="shared" si="44"/>
        <v>1.4999999999999999E-4</v>
      </c>
      <c r="S123" s="9">
        <f t="shared" si="45"/>
        <v>7.8339132030633725E-7</v>
      </c>
      <c r="T123" s="9">
        <f t="shared" si="40"/>
        <v>1.4562575260896986E-4</v>
      </c>
      <c r="U123" s="9">
        <f t="shared" si="41"/>
        <v>1.4921660867969365E-4</v>
      </c>
      <c r="V123" s="100">
        <f t="shared" si="46"/>
        <v>0.97593527890429488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1.0869139815525992</v>
      </c>
      <c r="K124" s="55">
        <f t="shared" si="49"/>
        <v>0.94609285513348595</v>
      </c>
      <c r="L124" s="55">
        <f t="shared" si="50"/>
        <v>7.7087064522492537E-3</v>
      </c>
      <c r="M124" s="55">
        <f t="shared" si="42"/>
        <v>0.9922912935477507</v>
      </c>
      <c r="N124" s="55">
        <f t="shared" si="51"/>
        <v>1.0096823887616631E-3</v>
      </c>
      <c r="O124" s="56">
        <f t="shared" si="43"/>
        <v>9.4721424068024708E-7</v>
      </c>
      <c r="P124" s="56">
        <f t="shared" si="52"/>
        <v>1.1570768384826128E-5</v>
      </c>
      <c r="Q124" s="56">
        <f t="shared" si="53"/>
        <v>5.0517775517708554E-5</v>
      </c>
      <c r="R124" s="9">
        <f t="shared" si="44"/>
        <v>1.4999999999999999E-4</v>
      </c>
      <c r="S124" s="9">
        <f t="shared" si="45"/>
        <v>1.156305967837388E-6</v>
      </c>
      <c r="T124" s="9">
        <f t="shared" si="40"/>
        <v>1.4191392827002288E-4</v>
      </c>
      <c r="U124" s="9">
        <f t="shared" si="41"/>
        <v>1.4884369403216259E-4</v>
      </c>
      <c r="V124" s="100">
        <f t="shared" si="46"/>
        <v>0.95344266475513362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0.11008125501635208</v>
      </c>
      <c r="K125" s="55">
        <f t="shared" si="49"/>
        <v>0.99728306612244388</v>
      </c>
      <c r="L125" s="55">
        <f t="shared" si="50"/>
        <v>8.571038848616371E-4</v>
      </c>
      <c r="M125" s="55">
        <f t="shared" si="42"/>
        <v>0.9991428961151384</v>
      </c>
      <c r="N125" s="55">
        <f t="shared" si="51"/>
        <v>2.7265185907635498E-5</v>
      </c>
      <c r="O125" s="56">
        <f t="shared" si="43"/>
        <v>9.9846512643535225E-7</v>
      </c>
      <c r="P125" s="56">
        <f t="shared" si="52"/>
        <v>1.2865129311773171E-6</v>
      </c>
      <c r="Q125" s="56">
        <f t="shared" si="53"/>
        <v>1.3641681349120294E-6</v>
      </c>
      <c r="R125" s="9">
        <f t="shared" si="44"/>
        <v>1.4999999999999999E-4</v>
      </c>
      <c r="S125" s="9">
        <f t="shared" si="45"/>
        <v>1.2856558272924556E-7</v>
      </c>
      <c r="T125" s="9">
        <f t="shared" si="40"/>
        <v>1.4959245991836656E-4</v>
      </c>
      <c r="U125" s="9">
        <f t="shared" si="41"/>
        <v>1.4987143441727075E-4</v>
      </c>
      <c r="V125" s="100">
        <f t="shared" si="46"/>
        <v>0.99813857457234001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4.2221364282428242</v>
      </c>
      <c r="K126" s="55">
        <f t="shared" si="49"/>
        <v>2.4477488736446475E-2</v>
      </c>
      <c r="L126" s="55">
        <f t="shared" si="50"/>
        <v>0.27229336025890749</v>
      </c>
      <c r="M126" s="55">
        <f t="shared" si="42"/>
        <v>0.72770663974109251</v>
      </c>
      <c r="N126" s="55">
        <f t="shared" si="51"/>
        <v>0.23720391922455833</v>
      </c>
      <c r="O126" s="56">
        <f t="shared" si="43"/>
        <v>2.4506501430011514E-8</v>
      </c>
      <c r="P126" s="56">
        <f t="shared" si="52"/>
        <v>4.087123337486202E-4</v>
      </c>
      <c r="Q126" s="56">
        <f t="shared" si="53"/>
        <v>1.1868102758535401E-2</v>
      </c>
      <c r="R126" s="9">
        <f t="shared" si="44"/>
        <v>1.4999999999999999E-4</v>
      </c>
      <c r="S126" s="9">
        <f t="shared" si="45"/>
        <v>4.0844004038836123E-5</v>
      </c>
      <c r="T126" s="9">
        <f t="shared" si="40"/>
        <v>3.6716233104669712E-6</v>
      </c>
      <c r="U126" s="9">
        <f t="shared" si="41"/>
        <v>1.0915599596116386E-4</v>
      </c>
      <c r="V126" s="100">
        <f t="shared" si="46"/>
        <v>3.363647849242548E-2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0.12683662687631939</v>
      </c>
      <c r="J127" s="54">
        <f t="shared" si="48"/>
        <v>2.0965431011809783</v>
      </c>
      <c r="K127" s="55">
        <f t="shared" si="49"/>
        <v>0.70265527148417506</v>
      </c>
      <c r="L127" s="55">
        <f t="shared" si="50"/>
        <v>5.8535478618886722E-2</v>
      </c>
      <c r="M127" s="55">
        <f t="shared" si="42"/>
        <v>0.94146452138111325</v>
      </c>
      <c r="N127" s="55">
        <f t="shared" si="51"/>
        <v>3.3907620187958835E-2</v>
      </c>
      <c r="O127" s="56">
        <f t="shared" si="43"/>
        <v>7.034881151754921E-7</v>
      </c>
      <c r="P127" s="56">
        <f t="shared" si="52"/>
        <v>8.7861753406948961E-5</v>
      </c>
      <c r="Q127" s="56">
        <f t="shared" si="53"/>
        <v>1.696511263404207E-3</v>
      </c>
      <c r="R127" s="9">
        <f t="shared" si="44"/>
        <v>1.4999999999999999E-4</v>
      </c>
      <c r="S127" s="9">
        <f t="shared" si="45"/>
        <v>8.7803217928330068E-6</v>
      </c>
      <c r="T127" s="9">
        <f t="shared" si="40"/>
        <v>1.0539829072262625E-4</v>
      </c>
      <c r="U127" s="9">
        <f t="shared" si="41"/>
        <v>1.4121967820716699E-4</v>
      </c>
      <c r="V127" s="100">
        <f t="shared" si="46"/>
        <v>0.74634280477546955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3.0063821040542344</v>
      </c>
      <c r="K128" s="55">
        <f t="shared" ref="K128:K134" si="56">IF(D128=0,"",1/(1+10^D128*$J$15/$J$14+10^E128*$J$16/$J$14+10^J128*$J$19/$J$14))</f>
        <v>0.22909249499306614</v>
      </c>
      <c r="L128" s="55">
        <f t="shared" ref="L128:L134" si="57">IF(D128=0,"",1/(1+10^I128/10^J128*$J$13/$J$19))</f>
        <v>0.15506962258384574</v>
      </c>
      <c r="M128" s="55">
        <f t="shared" ref="M128:M134" si="58">IF(D128=0,"",1-L128)</f>
        <v>0.84493037741615429</v>
      </c>
      <c r="N128" s="55">
        <f t="shared" ref="N128:N134" si="59">IF(D128=0,"",1/(1/10^E128*$J$20/$J$22+10^D128/10^E128*$J$21/$J$22+10^I128/10^E128*$J$13/$J$22+1))</f>
        <v>9.4284191339456383E-2</v>
      </c>
      <c r="O128" s="56">
        <f t="shared" ref="O128:O134" si="60">IF(D128=0,"",F128*K128*$J$7/$J$14)</f>
        <v>2.2936403389261788E-7</v>
      </c>
      <c r="P128" s="56">
        <f t="shared" ref="P128:P134" si="61">IF(D128=0,"",O128*10^J128)</f>
        <v>2.3275950349835249E-4</v>
      </c>
      <c r="Q128" s="56">
        <f t="shared" ref="Q128:Q134" si="62">IF(D128=0,"",F128*N128*$J$7/$J$22)</f>
        <v>4.717352373350801E-3</v>
      </c>
      <c r="R128" s="9">
        <f t="shared" si="44"/>
        <v>1.4999999999999999E-4</v>
      </c>
      <c r="S128" s="9">
        <f t="shared" si="45"/>
        <v>2.3260443387576858E-5</v>
      </c>
      <c r="T128" s="9">
        <f t="shared" si="40"/>
        <v>3.4363874248959917E-5</v>
      </c>
      <c r="U128" s="9">
        <f t="shared" si="41"/>
        <v>1.2673955661242313E-4</v>
      </c>
      <c r="V128" s="100">
        <f t="shared" si="46"/>
        <v>0.27113771870014208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-5.7683865092640584E-2</v>
      </c>
      <c r="K129" s="55">
        <f t="shared" si="56"/>
        <v>0.99938989287042135</v>
      </c>
      <c r="L129" s="55">
        <f t="shared" si="57"/>
        <v>5.8369349276382262E-4</v>
      </c>
      <c r="M129" s="55">
        <f t="shared" si="58"/>
        <v>0.99941630650723623</v>
      </c>
      <c r="N129" s="55">
        <f t="shared" si="59"/>
        <v>1.0648109519209726E-7</v>
      </c>
      <c r="O129" s="56">
        <f t="shared" si="60"/>
        <v>1.0005744503642903E-6</v>
      </c>
      <c r="P129" s="56">
        <f t="shared" si="61"/>
        <v>8.7612393263849784E-7</v>
      </c>
      <c r="Q129" s="56">
        <f t="shared" si="62"/>
        <v>5.3276041294446E-9</v>
      </c>
      <c r="R129" s="9">
        <f t="shared" si="44"/>
        <v>1.4999999999999999E-4</v>
      </c>
      <c r="S129" s="9">
        <f t="shared" si="45"/>
        <v>8.7554023914573391E-8</v>
      </c>
      <c r="T129" s="9">
        <f t="shared" si="40"/>
        <v>1.4990848393056319E-4</v>
      </c>
      <c r="U129" s="9">
        <f t="shared" si="41"/>
        <v>1.4991244597608542E-4</v>
      </c>
      <c r="V129" s="100">
        <f t="shared" si="46"/>
        <v>0.99997357093671291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1.4315693395149125</v>
      </c>
      <c r="K130" s="55">
        <f t="shared" si="56"/>
        <v>0.90740370663767667</v>
      </c>
      <c r="L130" s="55">
        <f t="shared" si="57"/>
        <v>1.6349469003950737E-2</v>
      </c>
      <c r="M130" s="55">
        <f t="shared" si="58"/>
        <v>0.98365053099604927</v>
      </c>
      <c r="N130" s="55">
        <f t="shared" si="59"/>
        <v>7.1090699447548394E-3</v>
      </c>
      <c r="O130" s="56">
        <f t="shared" si="60"/>
        <v>9.0847923468566896E-7</v>
      </c>
      <c r="P130" s="56">
        <f t="shared" si="61"/>
        <v>2.4540552974930059E-5</v>
      </c>
      <c r="Q130" s="56">
        <f t="shared" si="62"/>
        <v>3.5569046623590045E-4</v>
      </c>
      <c r="R130" s="9">
        <f t="shared" si="44"/>
        <v>1.4999999999999999E-4</v>
      </c>
      <c r="S130" s="9">
        <f t="shared" si="45"/>
        <v>2.4524203505926104E-6</v>
      </c>
      <c r="T130" s="9">
        <f t="shared" si="40"/>
        <v>1.3611055599565148E-4</v>
      </c>
      <c r="U130" s="9">
        <f t="shared" si="41"/>
        <v>1.4754757964940737E-4</v>
      </c>
      <c r="V130" s="100">
        <f t="shared" si="46"/>
        <v>0.92248586062250715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9.6499928315346095E-2</v>
      </c>
      <c r="K131" s="55">
        <f t="shared" si="56"/>
        <v>0.99754295478305421</v>
      </c>
      <c r="L131" s="55">
        <f t="shared" si="57"/>
        <v>8.3093164303533031E-4</v>
      </c>
      <c r="M131" s="55">
        <f t="shared" si="58"/>
        <v>0.99916906835696462</v>
      </c>
      <c r="N131" s="55">
        <f t="shared" si="59"/>
        <v>3.5603001023457223E-5</v>
      </c>
      <c r="O131" s="56">
        <f t="shared" si="60"/>
        <v>9.9872532313696112E-7</v>
      </c>
      <c r="P131" s="56">
        <f t="shared" si="61"/>
        <v>1.2472283961960311E-6</v>
      </c>
      <c r="Q131" s="56">
        <f t="shared" si="62"/>
        <v>1.7813368178736429E-6</v>
      </c>
      <c r="R131" s="9">
        <f t="shared" si="44"/>
        <v>1.4999999999999999E-4</v>
      </c>
      <c r="S131" s="9">
        <f t="shared" si="45"/>
        <v>1.2463974645529955E-7</v>
      </c>
      <c r="T131" s="9">
        <f t="shared" si="40"/>
        <v>1.4963144321745813E-4</v>
      </c>
      <c r="U131" s="9">
        <f t="shared" si="41"/>
        <v>1.4987536025354469E-4</v>
      </c>
      <c r="V131" s="100">
        <f t="shared" si="46"/>
        <v>0.99837253411318627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0.28153514162131194</v>
      </c>
      <c r="K132" s="55">
        <f t="shared" si="56"/>
        <v>0.99447556436212614</v>
      </c>
      <c r="L132" s="55">
        <f t="shared" si="57"/>
        <v>1.2684198263913076E-3</v>
      </c>
      <c r="M132" s="55">
        <f t="shared" si="58"/>
        <v>0.99873158017360875</v>
      </c>
      <c r="N132" s="55">
        <f t="shared" si="59"/>
        <v>1.3613672625146465E-4</v>
      </c>
      <c r="O132" s="56">
        <f t="shared" si="60"/>
        <v>9.9565429699754569E-7</v>
      </c>
      <c r="P132" s="56">
        <f t="shared" si="61"/>
        <v>1.9038981594133537E-6</v>
      </c>
      <c r="Q132" s="56">
        <f t="shared" si="62"/>
        <v>6.8113742034482806E-6</v>
      </c>
      <c r="R132" s="9">
        <f t="shared" si="44"/>
        <v>1.4999999999999999E-4</v>
      </c>
      <c r="S132" s="9">
        <f t="shared" si="45"/>
        <v>1.9026297395869613E-7</v>
      </c>
      <c r="T132" s="9">
        <f t="shared" si="40"/>
        <v>1.491713346543189E-4</v>
      </c>
      <c r="U132" s="9">
        <f t="shared" si="41"/>
        <v>1.4980973702604129E-4</v>
      </c>
      <c r="V132" s="100">
        <f t="shared" si="46"/>
        <v>0.99573857891752782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2.3235935260819955</v>
      </c>
      <c r="K133" s="55">
        <f t="shared" si="56"/>
        <v>0.5937973144145714</v>
      </c>
      <c r="L133" s="55">
        <f t="shared" si="57"/>
        <v>8.3438313808821163E-2</v>
      </c>
      <c r="M133" s="55">
        <f t="shared" si="58"/>
        <v>0.91656168619117884</v>
      </c>
      <c r="N133" s="55">
        <f t="shared" si="59"/>
        <v>5.1983114134500658E-2</v>
      </c>
      <c r="O133" s="56">
        <f t="shared" si="60"/>
        <v>5.9450113087664189E-7</v>
      </c>
      <c r="P133" s="56">
        <f t="shared" si="61"/>
        <v>1.2524090902704059E-4</v>
      </c>
      <c r="Q133" s="56">
        <f t="shared" si="62"/>
        <v>2.6008884771961832E-3</v>
      </c>
      <c r="R133" s="9">
        <f t="shared" si="44"/>
        <v>1.4999999999999999E-4</v>
      </c>
      <c r="S133" s="9">
        <f t="shared" si="45"/>
        <v>1.2515747071323174E-5</v>
      </c>
      <c r="T133" s="9">
        <f t="shared" si="40"/>
        <v>8.9069597162185705E-5</v>
      </c>
      <c r="U133" s="9">
        <f t="shared" si="41"/>
        <v>1.3748425292867681E-4</v>
      </c>
      <c r="V133" s="100">
        <f t="shared" si="46"/>
        <v>0.64785308327923674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-5.9601857638287271E-2</v>
      </c>
      <c r="K134" s="55">
        <f t="shared" si="56"/>
        <v>0.99941051772717393</v>
      </c>
      <c r="L134" s="55">
        <f t="shared" si="57"/>
        <v>5.8113337992539242E-4</v>
      </c>
      <c r="M134" s="55">
        <f t="shared" si="58"/>
        <v>0.99941886662007462</v>
      </c>
      <c r="N134" s="55">
        <f t="shared" si="59"/>
        <v>2.0774951268014976E-8</v>
      </c>
      <c r="O134" s="56">
        <f t="shared" si="60"/>
        <v>1.0005950996672863E-6</v>
      </c>
      <c r="P134" s="56">
        <f t="shared" si="61"/>
        <v>8.7228120326801435E-7</v>
      </c>
      <c r="Q134" s="56">
        <f t="shared" si="62"/>
        <v>1.0394400617763494E-9</v>
      </c>
      <c r="R134" s="9">
        <f t="shared" si="44"/>
        <v>1.4999999999999999E-4</v>
      </c>
      <c r="S134" s="9">
        <f t="shared" si="45"/>
        <v>8.717000698880886E-8</v>
      </c>
      <c r="T134" s="9">
        <f t="shared" si="40"/>
        <v>1.4991157765907609E-4</v>
      </c>
      <c r="U134" s="9">
        <f t="shared" si="41"/>
        <v>1.4991282999301118E-4</v>
      </c>
      <c r="V134" s="100">
        <f t="shared" si="46"/>
        <v>0.99999164625245773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0.42372554518401218</v>
      </c>
      <c r="K135" s="55">
        <f t="shared" ref="K135:K143" si="65">IF(D135=0,"",1/(1+10^D135*$J$15/$J$14+10^E135*$J$16/$J$14+10^J135*$J$19/$J$14))</f>
        <v>0.99120763228352216</v>
      </c>
      <c r="L135" s="55">
        <f t="shared" ref="L135:L143" si="66">IF(D135=0,"",1/(1+10^I135/10^J135*$J$13/$J$19))</f>
        <v>1.753977211055263E-3</v>
      </c>
      <c r="M135" s="55">
        <f t="shared" ref="M135:M143" si="67">IF(D135=0,"",1-L135)</f>
        <v>0.9982460227889447</v>
      </c>
      <c r="N135" s="55">
        <f t="shared" ref="N135:N143" si="68">IF(D135=0,"",1/(1/10^E135*$J$20/$J$22+10^D135/10^E135*$J$21/$J$22+10^I135/10^E135*$J$13/$J$22+1))</f>
        <v>2.7336171356285942E-4</v>
      </c>
      <c r="O135" s="56">
        <f t="shared" ref="O135:O143" si="69">IF(D135=0,"",F135*K135*$J$7/$J$14)</f>
        <v>9.9238249150230931E-7</v>
      </c>
      <c r="P135" s="56">
        <f t="shared" ref="P135:P143" si="70">IF(D135=0,"",O135*10^J135)</f>
        <v>2.6327197937939497E-6</v>
      </c>
      <c r="Q135" s="56">
        <f t="shared" ref="Q135:Q143" si="71">IF(D135=0,"",F135*N135*$J$7/$J$22)</f>
        <v>1.3677197735261734E-5</v>
      </c>
      <c r="R135" s="9">
        <f t="shared" si="44"/>
        <v>1.4999999999999999E-4</v>
      </c>
      <c r="S135" s="9">
        <f t="shared" si="45"/>
        <v>2.6309658165828945E-7</v>
      </c>
      <c r="T135" s="9">
        <f t="shared" si="40"/>
        <v>1.4868114484252831E-4</v>
      </c>
      <c r="U135" s="9">
        <f t="shared" si="41"/>
        <v>1.4973690341834169E-4</v>
      </c>
      <c r="V135" s="100">
        <f t="shared" si="46"/>
        <v>0.99294924262682427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-2.4928366809962146E-2</v>
      </c>
      <c r="K136" s="55">
        <f t="shared" si="65"/>
        <v>0.99903528065616665</v>
      </c>
      <c r="L136" s="55">
        <f t="shared" si="66"/>
        <v>6.2919639035529848E-4</v>
      </c>
      <c r="M136" s="55">
        <f t="shared" si="67"/>
        <v>0.9993708036096447</v>
      </c>
      <c r="N136" s="55">
        <f t="shared" si="68"/>
        <v>3.8787780924328565E-6</v>
      </c>
      <c r="O136" s="56">
        <f t="shared" si="69"/>
        <v>1.0002194178350426E-6</v>
      </c>
      <c r="P136" s="56">
        <f t="shared" si="70"/>
        <v>9.4442378192330285E-7</v>
      </c>
      <c r="Q136" s="56">
        <f t="shared" si="71"/>
        <v>1.9406819722472392E-7</v>
      </c>
      <c r="R136" s="9">
        <f t="shared" si="44"/>
        <v>1.4999999999999999E-4</v>
      </c>
      <c r="S136" s="9">
        <f t="shared" si="45"/>
        <v>9.4379458553294767E-8</v>
      </c>
      <c r="T136" s="9">
        <f t="shared" si="40"/>
        <v>1.4985529209842499E-4</v>
      </c>
      <c r="U136" s="9">
        <f t="shared" si="41"/>
        <v>1.4990562054144669E-4</v>
      </c>
      <c r="V136" s="100">
        <f t="shared" si="46"/>
        <v>0.99966426580377754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-6.0386215291542894E-2</v>
      </c>
      <c r="K137" s="55">
        <f t="shared" si="65"/>
        <v>0.99941900596013689</v>
      </c>
      <c r="L137" s="55">
        <f t="shared" si="66"/>
        <v>5.8008969784924984E-4</v>
      </c>
      <c r="M137" s="55">
        <f t="shared" si="67"/>
        <v>0.99941991030215072</v>
      </c>
      <c r="N137" s="55">
        <f t="shared" si="68"/>
        <v>8.8338650024226394E-10</v>
      </c>
      <c r="O137" s="56">
        <f t="shared" si="69"/>
        <v>1.0006035979611872E-6</v>
      </c>
      <c r="P137" s="56">
        <f t="shared" si="70"/>
        <v>8.7071463647172411E-7</v>
      </c>
      <c r="Q137" s="56">
        <f t="shared" si="71"/>
        <v>4.4198771228787942E-11</v>
      </c>
      <c r="R137" s="9">
        <f t="shared" si="44"/>
        <v>1.4999999999999999E-4</v>
      </c>
      <c r="S137" s="9">
        <f t="shared" si="45"/>
        <v>8.7013454677387473E-8</v>
      </c>
      <c r="T137" s="9">
        <f t="shared" si="40"/>
        <v>1.4991285089402051E-4</v>
      </c>
      <c r="U137" s="9">
        <f t="shared" si="41"/>
        <v>1.499129865453226E-4</v>
      </c>
      <c r="V137" s="100">
        <f t="shared" si="46"/>
        <v>0.99999909513308216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-2.8805707133247753E-2</v>
      </c>
      <c r="K138" s="55">
        <f t="shared" si="65"/>
        <v>0.9990779660135416</v>
      </c>
      <c r="L138" s="55">
        <f t="shared" si="66"/>
        <v>6.2363062995082286E-4</v>
      </c>
      <c r="M138" s="55">
        <f t="shared" si="67"/>
        <v>0.99937636937004914</v>
      </c>
      <c r="N138" s="55">
        <f t="shared" si="68"/>
        <v>3.2877923607605237E-6</v>
      </c>
      <c r="O138" s="56">
        <f t="shared" si="69"/>
        <v>1.0002621537865453E-6</v>
      </c>
      <c r="P138" s="56">
        <f t="shared" si="70"/>
        <v>9.3606957555618522E-7</v>
      </c>
      <c r="Q138" s="56">
        <f t="shared" si="71"/>
        <v>1.6449921111671822E-7</v>
      </c>
      <c r="R138" s="9">
        <f t="shared" si="44"/>
        <v>1.4999999999999999E-4</v>
      </c>
      <c r="S138" s="9">
        <f t="shared" si="45"/>
        <v>9.3544594492623421E-8</v>
      </c>
      <c r="T138" s="9">
        <f t="shared" si="40"/>
        <v>1.4986169490203123E-4</v>
      </c>
      <c r="U138" s="9">
        <f t="shared" si="41"/>
        <v>1.4990645540550736E-4</v>
      </c>
      <c r="V138" s="100">
        <f t="shared" si="46"/>
        <v>0.99970141043389327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0.32738996440137741</v>
      </c>
      <c r="K139" s="55">
        <f t="shared" si="65"/>
        <v>0.99324094146398045</v>
      </c>
      <c r="L139" s="55">
        <f t="shared" si="66"/>
        <v>1.4079211761221463E-3</v>
      </c>
      <c r="M139" s="55">
        <f t="shared" si="67"/>
        <v>0.9985920788238779</v>
      </c>
      <c r="N139" s="55">
        <f t="shared" si="68"/>
        <v>1.199945803930904E-4</v>
      </c>
      <c r="O139" s="56">
        <f t="shared" si="69"/>
        <v>9.9441821072477851E-7</v>
      </c>
      <c r="P139" s="56">
        <f t="shared" si="70"/>
        <v>2.1132896853593422E-6</v>
      </c>
      <c r="Q139" s="56">
        <f t="shared" si="71"/>
        <v>6.0037288390009562E-6</v>
      </c>
      <c r="R139" s="9">
        <f t="shared" si="44"/>
        <v>1.4999999999999999E-4</v>
      </c>
      <c r="S139" s="9">
        <f t="shared" si="45"/>
        <v>2.1118817641832191E-7</v>
      </c>
      <c r="T139" s="9">
        <f t="shared" si="40"/>
        <v>1.4898614121959706E-4</v>
      </c>
      <c r="U139" s="9">
        <f t="shared" si="41"/>
        <v>1.4978881182358168E-4</v>
      </c>
      <c r="V139" s="100">
        <f t="shared" si="46"/>
        <v>0.99464131803829259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-5.9764150402354006E-2</v>
      </c>
      <c r="K140" s="55">
        <f t="shared" si="65"/>
        <v>0.9994122695179356</v>
      </c>
      <c r="L140" s="55">
        <f t="shared" si="66"/>
        <v>5.8091727332330162E-4</v>
      </c>
      <c r="M140" s="55">
        <f t="shared" si="67"/>
        <v>0.99941908272667668</v>
      </c>
      <c r="N140" s="55">
        <f t="shared" si="68"/>
        <v>1.5566905024906675E-8</v>
      </c>
      <c r="O140" s="56">
        <f t="shared" si="69"/>
        <v>1.0005968535344114E-6</v>
      </c>
      <c r="P140" s="56">
        <f t="shared" si="70"/>
        <v>8.7195682725827566E-7</v>
      </c>
      <c r="Q140" s="56">
        <f t="shared" si="71"/>
        <v>7.7886414807949746E-10</v>
      </c>
      <c r="R140" s="9">
        <f t="shared" si="44"/>
        <v>1.4999999999999999E-4</v>
      </c>
      <c r="S140" s="9">
        <f t="shared" si="45"/>
        <v>8.713759099849524E-8</v>
      </c>
      <c r="T140" s="9">
        <f t="shared" si="40"/>
        <v>1.4991184042769033E-4</v>
      </c>
      <c r="U140" s="9">
        <f t="shared" si="41"/>
        <v>1.4991286240900148E-4</v>
      </c>
      <c r="V140" s="100">
        <f t="shared" si="46"/>
        <v>0.99999318283104777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-5.8688658104306464E-2</v>
      </c>
      <c r="K141" s="55">
        <f t="shared" si="65"/>
        <v>0.99940068408776672</v>
      </c>
      <c r="L141" s="55">
        <f t="shared" si="66"/>
        <v>5.8235089605160404E-4</v>
      </c>
      <c r="M141" s="55">
        <f t="shared" si="67"/>
        <v>0.99941764910394837</v>
      </c>
      <c r="N141" s="55">
        <f t="shared" si="68"/>
        <v>5.6827666102114967E-8</v>
      </c>
      <c r="O141" s="56">
        <f t="shared" si="69"/>
        <v>1.0005852543722567E-6</v>
      </c>
      <c r="P141" s="56">
        <f t="shared" si="70"/>
        <v>8.7410869497345792E-7</v>
      </c>
      <c r="Q141" s="56">
        <f t="shared" si="71"/>
        <v>2.8432775606424857E-9</v>
      </c>
      <c r="R141" s="9">
        <f t="shared" si="44"/>
        <v>1.4999999999999999E-4</v>
      </c>
      <c r="S141" s="9">
        <f t="shared" si="45"/>
        <v>8.7352634407740601E-8</v>
      </c>
      <c r="T141" s="9">
        <f t="shared" si="40"/>
        <v>1.4991010261316499E-4</v>
      </c>
      <c r="U141" s="9">
        <f t="shared" si="41"/>
        <v>1.4991264736559224E-4</v>
      </c>
      <c r="V141" s="100">
        <f t="shared" si="46"/>
        <v>0.99998302509846926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1.6178491507428934</v>
      </c>
      <c r="K142" s="55">
        <f t="shared" si="65"/>
        <v>0.86756751927204245</v>
      </c>
      <c r="L142" s="55">
        <f t="shared" si="66"/>
        <v>2.4004142632445866E-2</v>
      </c>
      <c r="M142" s="55">
        <f t="shared" si="67"/>
        <v>0.97599585736755412</v>
      </c>
      <c r="N142" s="55">
        <f t="shared" si="68"/>
        <v>1.1467292307677625E-2</v>
      </c>
      <c r="O142" s="56">
        <f t="shared" si="69"/>
        <v>8.6859583025829745E-7</v>
      </c>
      <c r="P142" s="56">
        <f t="shared" si="70"/>
        <v>3.6030218091301243E-5</v>
      </c>
      <c r="Q142" s="56">
        <f t="shared" si="71"/>
        <v>5.7374685846080383E-4</v>
      </c>
      <c r="R142" s="9">
        <f t="shared" si="44"/>
        <v>1.4999999999999999E-4</v>
      </c>
      <c r="S142" s="9">
        <f t="shared" si="45"/>
        <v>3.6006213948668795E-6</v>
      </c>
      <c r="T142" s="9">
        <f t="shared" si="40"/>
        <v>1.3013512789080634E-4</v>
      </c>
      <c r="U142" s="9">
        <f t="shared" si="41"/>
        <v>1.463993786051331E-4</v>
      </c>
      <c r="V142" s="100">
        <f t="shared" si="46"/>
        <v>0.88890491975246344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2.4798893228116805</v>
      </c>
      <c r="K143" s="55">
        <f t="shared" si="65"/>
        <v>0.38425166107823278</v>
      </c>
      <c r="L143" s="55">
        <f t="shared" si="66"/>
        <v>7.7381802212521902E-2</v>
      </c>
      <c r="M143" s="55">
        <f t="shared" si="67"/>
        <v>0.92261819778747811</v>
      </c>
      <c r="N143" s="55">
        <f t="shared" si="68"/>
        <v>3.2409382363334026E-3</v>
      </c>
      <c r="O143" s="56">
        <f t="shared" si="69"/>
        <v>3.8470710713378022E-7</v>
      </c>
      <c r="P143" s="56">
        <f t="shared" si="70"/>
        <v>1.1615008512099539E-4</v>
      </c>
      <c r="Q143" s="56">
        <f t="shared" si="71"/>
        <v>1.621549430912146E-4</v>
      </c>
      <c r="R143" s="9">
        <f t="shared" si="44"/>
        <v>1.4999999999999999E-4</v>
      </c>
      <c r="S143" s="9">
        <f t="shared" si="45"/>
        <v>1.1607270331878284E-5</v>
      </c>
      <c r="T143" s="9">
        <f t="shared" si="40"/>
        <v>5.763774916173491E-5</v>
      </c>
      <c r="U143" s="9">
        <f t="shared" si="41"/>
        <v>1.383927296681217E-4</v>
      </c>
      <c r="V143" s="100">
        <f t="shared" si="46"/>
        <v>0.41647960337190726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2025-02-02T14:53:03Z</dcterms:modified>
</cp:coreProperties>
</file>