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6BFFBFC1-6EB9-4784-9C11-1F786C16ABDE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R131" i="4"/>
  <c r="T131" i="4" s="1"/>
  <c r="V130" i="4"/>
  <c r="R130" i="4"/>
  <c r="U130" i="4" s="1"/>
  <c r="V127" i="4"/>
  <c r="U127" i="4"/>
  <c r="S127" i="4"/>
  <c r="R127" i="4"/>
  <c r="T127" i="4" s="1"/>
  <c r="V126" i="4"/>
  <c r="U126" i="4"/>
  <c r="T126" i="4"/>
  <c r="R126" i="4"/>
  <c r="S126" i="4" s="1"/>
  <c r="V124" i="4"/>
  <c r="U124" i="4"/>
  <c r="T124" i="4"/>
  <c r="S124" i="4"/>
  <c r="R124" i="4"/>
  <c r="V121" i="4"/>
  <c r="R121" i="4"/>
  <c r="U121" i="4" s="1"/>
  <c r="V120" i="4"/>
  <c r="R120" i="4"/>
  <c r="U120" i="4" s="1"/>
  <c r="V119" i="4"/>
  <c r="T119" i="4"/>
  <c r="R119" i="4"/>
  <c r="U119" i="4" s="1"/>
  <c r="V116" i="4"/>
  <c r="U116" i="4"/>
  <c r="R116" i="4"/>
  <c r="T116" i="4" s="1"/>
  <c r="V115" i="4"/>
  <c r="U115" i="4"/>
  <c r="T115" i="4"/>
  <c r="R115" i="4"/>
  <c r="S115" i="4" s="1"/>
  <c r="V114" i="4"/>
  <c r="U114" i="4"/>
  <c r="T114" i="4"/>
  <c r="S114" i="4"/>
  <c r="R114" i="4"/>
  <c r="V108" i="4"/>
  <c r="R108" i="4"/>
  <c r="U108" i="4" s="1"/>
  <c r="V107" i="4"/>
  <c r="U107" i="4"/>
  <c r="R107" i="4"/>
  <c r="T107" i="4" s="1"/>
  <c r="V93" i="4"/>
  <c r="R93" i="4"/>
  <c r="U93" i="4" s="1"/>
  <c r="V92" i="4"/>
  <c r="U92" i="4"/>
  <c r="S92" i="4"/>
  <c r="R92" i="4"/>
  <c r="T92" i="4" s="1"/>
  <c r="V91" i="4"/>
  <c r="U91" i="4"/>
  <c r="T91" i="4"/>
  <c r="R91" i="4"/>
  <c r="S91" i="4" s="1"/>
  <c r="V90" i="4"/>
  <c r="U90" i="4"/>
  <c r="T90" i="4"/>
  <c r="S90" i="4"/>
  <c r="R90" i="4"/>
  <c r="V89" i="4"/>
  <c r="R89" i="4"/>
  <c r="U89" i="4" s="1"/>
  <c r="V88" i="4"/>
  <c r="R88" i="4"/>
  <c r="U88" i="4" s="1"/>
  <c r="V86" i="4"/>
  <c r="T86" i="4"/>
  <c r="R86" i="4"/>
  <c r="U86" i="4" s="1"/>
  <c r="V85" i="4"/>
  <c r="U85" i="4"/>
  <c r="T85" i="4"/>
  <c r="R85" i="4"/>
  <c r="S85" i="4" s="1"/>
  <c r="V84" i="4"/>
  <c r="U84" i="4"/>
  <c r="T84" i="4"/>
  <c r="R84" i="4"/>
  <c r="S84" i="4" s="1"/>
  <c r="V83" i="4"/>
  <c r="U83" i="4"/>
  <c r="T83" i="4"/>
  <c r="S83" i="4"/>
  <c r="R83" i="4"/>
  <c r="V82" i="4"/>
  <c r="R82" i="4"/>
  <c r="U82" i="4" s="1"/>
  <c r="V81" i="4"/>
  <c r="U81" i="4"/>
  <c r="R81" i="4"/>
  <c r="T81" i="4" s="1"/>
  <c r="V80" i="4"/>
  <c r="R80" i="4"/>
  <c r="U80" i="4" s="1"/>
  <c r="V79" i="4"/>
  <c r="U79" i="4"/>
  <c r="S79" i="4"/>
  <c r="R79" i="4"/>
  <c r="T79" i="4" s="1"/>
  <c r="V78" i="4"/>
  <c r="U78" i="4"/>
  <c r="T78" i="4"/>
  <c r="S78" i="4"/>
  <c r="R78" i="4"/>
  <c r="V77" i="4"/>
  <c r="U77" i="4"/>
  <c r="T77" i="4"/>
  <c r="S77" i="4"/>
  <c r="R77" i="4"/>
  <c r="V76" i="4"/>
  <c r="R76" i="4"/>
  <c r="U76" i="4" s="1"/>
  <c r="V75" i="4"/>
  <c r="R75" i="4"/>
  <c r="U75" i="4" s="1"/>
  <c r="V74" i="4"/>
  <c r="T74" i="4"/>
  <c r="R74" i="4"/>
  <c r="U74" i="4" s="1"/>
  <c r="V73" i="4"/>
  <c r="U73" i="4"/>
  <c r="T73" i="4"/>
  <c r="R73" i="4"/>
  <c r="S73" i="4" s="1"/>
  <c r="V72" i="4"/>
  <c r="U72" i="4"/>
  <c r="T72" i="4"/>
  <c r="R72" i="4"/>
  <c r="S72" i="4" s="1"/>
  <c r="V71" i="4"/>
  <c r="U71" i="4"/>
  <c r="T71" i="4"/>
  <c r="S71" i="4"/>
  <c r="R71" i="4"/>
  <c r="V70" i="4"/>
  <c r="R70" i="4"/>
  <c r="T70" i="4" s="1"/>
  <c r="V69" i="4"/>
  <c r="U69" i="4"/>
  <c r="R69" i="4"/>
  <c r="T69" i="4" s="1"/>
  <c r="V68" i="4"/>
  <c r="R68" i="4"/>
  <c r="U68" i="4" s="1"/>
  <c r="V65" i="4"/>
  <c r="U65" i="4"/>
  <c r="S65" i="4"/>
  <c r="R65" i="4"/>
  <c r="T65" i="4" s="1"/>
  <c r="V64" i="4"/>
  <c r="U64" i="4"/>
  <c r="T64" i="4"/>
  <c r="S64" i="4"/>
  <c r="R64" i="4"/>
  <c r="V63" i="4"/>
  <c r="U63" i="4"/>
  <c r="T63" i="4"/>
  <c r="S63" i="4"/>
  <c r="R63" i="4"/>
  <c r="V62" i="4"/>
  <c r="R62" i="4"/>
  <c r="U62" i="4" s="1"/>
  <c r="V61" i="4"/>
  <c r="R61" i="4"/>
  <c r="S61" i="4" s="1"/>
  <c r="V60" i="4"/>
  <c r="T60" i="4"/>
  <c r="R60" i="4"/>
  <c r="U60" i="4" s="1"/>
  <c r="V58" i="4"/>
  <c r="U58" i="4"/>
  <c r="T58" i="4"/>
  <c r="S58" i="4"/>
  <c r="R58" i="4"/>
  <c r="V57" i="4"/>
  <c r="U57" i="4"/>
  <c r="T57" i="4"/>
  <c r="R57" i="4"/>
  <c r="S57" i="4" s="1"/>
  <c r="V49" i="4"/>
  <c r="U49" i="4"/>
  <c r="T49" i="4"/>
  <c r="S49" i="4"/>
  <c r="R49" i="4"/>
  <c r="V48" i="4"/>
  <c r="R48" i="4"/>
  <c r="T48" i="4" s="1"/>
  <c r="V47" i="4"/>
  <c r="U47" i="4"/>
  <c r="S47" i="4"/>
  <c r="R47" i="4"/>
  <c r="T47" i="4" s="1"/>
  <c r="V46" i="4"/>
  <c r="R46" i="4"/>
  <c r="U46" i="4" s="1"/>
  <c r="V45" i="4"/>
  <c r="U45" i="4"/>
  <c r="S45" i="4"/>
  <c r="R45" i="4"/>
  <c r="T45" i="4" s="1"/>
  <c r="V44" i="4"/>
  <c r="U44" i="4"/>
  <c r="T44" i="4"/>
  <c r="R44" i="4"/>
  <c r="S44" i="4" s="1"/>
  <c r="V43" i="4"/>
  <c r="U43" i="4"/>
  <c r="T43" i="4"/>
  <c r="S43" i="4"/>
  <c r="R43" i="4"/>
  <c r="V42" i="4"/>
  <c r="R42" i="4"/>
  <c r="U42" i="4" s="1"/>
  <c r="V41" i="4"/>
  <c r="R41" i="4"/>
  <c r="S41" i="4" s="1"/>
  <c r="V40" i="4"/>
  <c r="T40" i="4"/>
  <c r="R40" i="4"/>
  <c r="U40" i="4" s="1"/>
  <c r="V39" i="4"/>
  <c r="U39" i="4"/>
  <c r="T39" i="4"/>
  <c r="R39" i="4"/>
  <c r="S39" i="4" s="1"/>
  <c r="V38" i="4"/>
  <c r="U38" i="4"/>
  <c r="T38" i="4"/>
  <c r="R38" i="4"/>
  <c r="S38" i="4" s="1"/>
  <c r="V37" i="4"/>
  <c r="U37" i="4"/>
  <c r="T37" i="4"/>
  <c r="S37" i="4"/>
  <c r="R37" i="4"/>
  <c r="V36" i="4"/>
  <c r="R36" i="4"/>
  <c r="S36" i="4" s="1"/>
  <c r="V35" i="4"/>
  <c r="U35" i="4"/>
  <c r="R35" i="4"/>
  <c r="T35" i="4" s="1"/>
  <c r="V34" i="4"/>
  <c r="R34" i="4"/>
  <c r="U34" i="4" s="1"/>
  <c r="V33" i="4"/>
  <c r="U33" i="4"/>
  <c r="S33" i="4"/>
  <c r="R33" i="4"/>
  <c r="T33" i="4" s="1"/>
  <c r="V32" i="4"/>
  <c r="U32" i="4"/>
  <c r="T32" i="4"/>
  <c r="R32" i="4"/>
  <c r="S32" i="4" s="1"/>
  <c r="V31" i="4"/>
  <c r="U31" i="4"/>
  <c r="T31" i="4"/>
  <c r="S31" i="4"/>
  <c r="R31" i="4"/>
  <c r="V30" i="4"/>
  <c r="R30" i="4"/>
  <c r="U30" i="4" s="1"/>
  <c r="V29" i="4"/>
  <c r="R29" i="4"/>
  <c r="S29" i="4" s="1"/>
  <c r="V28" i="4"/>
  <c r="T28" i="4"/>
  <c r="R28" i="4"/>
  <c r="U28" i="4" s="1"/>
  <c r="S48" i="4" l="1"/>
  <c r="S82" i="4"/>
  <c r="S108" i="4"/>
  <c r="T36" i="4"/>
  <c r="S75" i="4"/>
  <c r="T82" i="4"/>
  <c r="S88" i="4"/>
  <c r="T108" i="4"/>
  <c r="S120" i="4"/>
  <c r="T29" i="4"/>
  <c r="S34" i="4"/>
  <c r="U36" i="4"/>
  <c r="T41" i="4"/>
  <c r="S46" i="4"/>
  <c r="U48" i="4"/>
  <c r="T61" i="4"/>
  <c r="S68" i="4"/>
  <c r="U70" i="4"/>
  <c r="T75" i="4"/>
  <c r="S80" i="4"/>
  <c r="T88" i="4"/>
  <c r="S93" i="4"/>
  <c r="T120" i="4"/>
  <c r="S130" i="4"/>
  <c r="U29" i="4"/>
  <c r="T34" i="4"/>
  <c r="U41" i="4"/>
  <c r="T46" i="4"/>
  <c r="U61" i="4"/>
  <c r="T68" i="4"/>
  <c r="T80" i="4"/>
  <c r="T93" i="4"/>
  <c r="S116" i="4"/>
  <c r="T130" i="4"/>
  <c r="S70" i="4"/>
  <c r="S30" i="4"/>
  <c r="S42" i="4"/>
  <c r="S62" i="4"/>
  <c r="S76" i="4"/>
  <c r="S89" i="4"/>
  <c r="S121" i="4"/>
  <c r="T30" i="4"/>
  <c r="S35" i="4"/>
  <c r="T42" i="4"/>
  <c r="T62" i="4"/>
  <c r="S69" i="4"/>
  <c r="T76" i="4"/>
  <c r="S81" i="4"/>
  <c r="T89" i="4"/>
  <c r="S107" i="4"/>
  <c r="T121" i="4"/>
  <c r="S131" i="4"/>
  <c r="S28" i="4"/>
  <c r="S40" i="4"/>
  <c r="S60" i="4"/>
  <c r="S74" i="4"/>
  <c r="S86" i="4"/>
  <c r="S119" i="4"/>
  <c r="I128" i="4" l="1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L130" i="4" s="1"/>
  <c r="M130" i="4" s="1"/>
  <c r="J130" i="4"/>
  <c r="K130" i="4" s="1"/>
  <c r="O130" i="4" s="1"/>
  <c r="P130" i="4" s="1"/>
  <c r="N130" i="4"/>
  <c r="Q130" i="4" s="1"/>
  <c r="I131" i="4"/>
  <c r="N131" i="4" s="1"/>
  <c r="Q131" i="4" s="1"/>
  <c r="J131" i="4"/>
  <c r="K131" i="4" s="1"/>
  <c r="O131" i="4" s="1"/>
  <c r="P131" i="4" s="1"/>
  <c r="L131" i="4"/>
  <c r="M131" i="4" s="1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 s="1"/>
  <c r="O119" i="4" s="1"/>
  <c r="P119" i="4" s="1"/>
  <c r="J72" i="4"/>
  <c r="K72" i="4" s="1"/>
  <c r="J103" i="4"/>
  <c r="K103" i="4"/>
  <c r="J118" i="4"/>
  <c r="K118" i="4"/>
  <c r="J104" i="4"/>
  <c r="K104" i="4"/>
  <c r="J90" i="4"/>
  <c r="K90" i="4" s="1"/>
  <c r="J71" i="4"/>
  <c r="K71" i="4" s="1"/>
  <c r="O71" i="4" s="1"/>
  <c r="P71" i="4" s="1"/>
  <c r="J110" i="4"/>
  <c r="K110" i="4"/>
  <c r="J82" i="4"/>
  <c r="K82" i="4" s="1"/>
  <c r="J113" i="4"/>
  <c r="K113" i="4"/>
  <c r="J97" i="4"/>
  <c r="K97" i="4"/>
  <c r="J81" i="4"/>
  <c r="K81" i="4" s="1"/>
  <c r="J116" i="4"/>
  <c r="K116" i="4"/>
  <c r="J100" i="4"/>
  <c r="K100" i="4"/>
  <c r="O100" i="4"/>
  <c r="J84" i="4"/>
  <c r="K84" i="4" s="1"/>
  <c r="J114" i="4"/>
  <c r="K114" i="4" s="1"/>
  <c r="O114" i="4" s="1"/>
  <c r="P114" i="4" s="1"/>
  <c r="J78" i="4"/>
  <c r="K78" i="4" s="1"/>
  <c r="J115" i="4"/>
  <c r="K115" i="4" s="1"/>
  <c r="O115" i="4" s="1"/>
  <c r="P115" i="4" s="1"/>
  <c r="J99" i="4"/>
  <c r="K99" i="4"/>
  <c r="J83" i="4"/>
  <c r="K83" i="4" s="1"/>
  <c r="J102" i="4"/>
  <c r="K102" i="4"/>
  <c r="J74" i="4"/>
  <c r="K74" i="4" s="1"/>
  <c r="J125" i="4"/>
  <c r="K125" i="4"/>
  <c r="J109" i="4"/>
  <c r="K109" i="4"/>
  <c r="J93" i="4"/>
  <c r="K93" i="4" s="1"/>
  <c r="J77" i="4"/>
  <c r="K77" i="4"/>
  <c r="J112" i="4"/>
  <c r="K112" i="4"/>
  <c r="J96" i="4"/>
  <c r="L96" i="4" s="1"/>
  <c r="K96" i="4"/>
  <c r="J80" i="4"/>
  <c r="K80" i="4" s="1"/>
  <c r="J106" i="4"/>
  <c r="K106" i="4"/>
  <c r="J127" i="4"/>
  <c r="K127" i="4"/>
  <c r="J111" i="4"/>
  <c r="K111" i="4"/>
  <c r="J95" i="4"/>
  <c r="K95" i="4" s="1"/>
  <c r="J79" i="4"/>
  <c r="K79" i="4" s="1"/>
  <c r="J126" i="4"/>
  <c r="K126" i="4" s="1"/>
  <c r="O126" i="4" s="1"/>
  <c r="P126" i="4" s="1"/>
  <c r="J94" i="4"/>
  <c r="K94" i="4" s="1"/>
  <c r="J121" i="4"/>
  <c r="K121" i="4" s="1"/>
  <c r="O121" i="4" s="1"/>
  <c r="P121" i="4" s="1"/>
  <c r="J105" i="4"/>
  <c r="K105" i="4"/>
  <c r="J89" i="4"/>
  <c r="K89" i="4" s="1"/>
  <c r="J73" i="4"/>
  <c r="K73" i="4"/>
  <c r="J124" i="4"/>
  <c r="K124" i="4" s="1"/>
  <c r="O124" i="4" s="1"/>
  <c r="P124" i="4" s="1"/>
  <c r="J108" i="4"/>
  <c r="K108" i="4" s="1"/>
  <c r="O108" i="4" s="1"/>
  <c r="P108" i="4" s="1"/>
  <c r="J92" i="4"/>
  <c r="J76" i="4"/>
  <c r="K76" i="4" s="1"/>
  <c r="J98" i="4"/>
  <c r="K98" i="4"/>
  <c r="J123" i="4"/>
  <c r="K123" i="4"/>
  <c r="J107" i="4"/>
  <c r="K107" i="4" s="1"/>
  <c r="O107" i="4" s="1"/>
  <c r="P107" i="4" s="1"/>
  <c r="J91" i="4"/>
  <c r="K91" i="4"/>
  <c r="O91" i="4" s="1"/>
  <c r="P91" i="4" s="1"/>
  <c r="J75" i="4"/>
  <c r="K75" i="4" s="1"/>
  <c r="P100" i="4"/>
  <c r="O112" i="4"/>
  <c r="P112" i="4"/>
  <c r="O98" i="4"/>
  <c r="P98" i="4"/>
  <c r="O105" i="4"/>
  <c r="P105" i="4"/>
  <c r="O111" i="4"/>
  <c r="P111" i="4"/>
  <c r="O104" i="4"/>
  <c r="P104" i="4"/>
  <c r="O127" i="4"/>
  <c r="P127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6" i="4"/>
  <c r="P116" i="4" s="1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L77" i="4" s="1"/>
  <c r="I81" i="4"/>
  <c r="I89" i="4"/>
  <c r="I90" i="4"/>
  <c r="L90" i="4" s="1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N92" i="4" s="1"/>
  <c r="Q92" i="4" s="1"/>
  <c r="I100" i="4"/>
  <c r="I103" i="4"/>
  <c r="I107" i="4"/>
  <c r="I109" i="4"/>
  <c r="I110" i="4"/>
  <c r="I117" i="4"/>
  <c r="I124" i="4"/>
  <c r="I72" i="4"/>
  <c r="L72" i="4" s="1"/>
  <c r="I106" i="4"/>
  <c r="I71" i="4"/>
  <c r="N71" i="4" s="1"/>
  <c r="Q71" i="4" s="1"/>
  <c r="I75" i="4"/>
  <c r="I80" i="4"/>
  <c r="L80" i="4" s="1"/>
  <c r="I83" i="4"/>
  <c r="L83" i="4" s="1"/>
  <c r="I86" i="4"/>
  <c r="L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I78" i="4"/>
  <c r="L78" i="4" s="1"/>
  <c r="I82" i="4"/>
  <c r="L82" i="4" s="1"/>
  <c r="I85" i="4"/>
  <c r="I93" i="4"/>
  <c r="N93" i="4" s="1"/>
  <c r="Q93" i="4" s="1"/>
  <c r="I112" i="4"/>
  <c r="I114" i="4"/>
  <c r="I121" i="4"/>
  <c r="I122" i="4"/>
  <c r="I84" i="4"/>
  <c r="L84" i="4" s="1"/>
  <c r="I87" i="4"/>
  <c r="I91" i="4"/>
  <c r="N91" i="4" s="1"/>
  <c r="Q91" i="4" s="1"/>
  <c r="I97" i="4"/>
  <c r="I105" i="4"/>
  <c r="I116" i="4"/>
  <c r="N116" i="4" s="1"/>
  <c r="Q116" i="4" s="1"/>
  <c r="I126" i="4"/>
  <c r="L105" i="4"/>
  <c r="N105" i="4"/>
  <c r="Q105" i="4"/>
  <c r="N121" i="4"/>
  <c r="Q121" i="4"/>
  <c r="L121" i="4"/>
  <c r="M121" i="4" s="1"/>
  <c r="N85" i="4"/>
  <c r="Q85" i="4" s="1"/>
  <c r="L73" i="4"/>
  <c r="N101" i="4"/>
  <c r="Q101" i="4"/>
  <c r="L101" i="4"/>
  <c r="N75" i="4"/>
  <c r="Q75" i="4"/>
  <c r="L106" i="4"/>
  <c r="N106" i="4"/>
  <c r="Q106" i="4"/>
  <c r="L124" i="4"/>
  <c r="M124" i="4" s="1"/>
  <c r="N124" i="4"/>
  <c r="Q124" i="4"/>
  <c r="N107" i="4"/>
  <c r="Q107" i="4" s="1"/>
  <c r="N79" i="4"/>
  <c r="Q79" i="4"/>
  <c r="L79" i="4"/>
  <c r="N119" i="4"/>
  <c r="Q119" i="4" s="1"/>
  <c r="L119" i="4"/>
  <c r="M119" i="4" s="1"/>
  <c r="N108" i="4"/>
  <c r="Q108" i="4"/>
  <c r="L108" i="4"/>
  <c r="M108" i="4" s="1"/>
  <c r="N96" i="4"/>
  <c r="Q96" i="4" s="1"/>
  <c r="N77" i="4"/>
  <c r="Q77" i="4" s="1"/>
  <c r="L97" i="4"/>
  <c r="N97" i="4"/>
  <c r="Q97" i="4"/>
  <c r="N114" i="4"/>
  <c r="Q114" i="4" s="1"/>
  <c r="L114" i="4"/>
  <c r="M114" i="4" s="1"/>
  <c r="N98" i="4"/>
  <c r="Q98" i="4"/>
  <c r="L98" i="4"/>
  <c r="N86" i="4"/>
  <c r="Q86" i="4" s="1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 s="1"/>
  <c r="L115" i="4"/>
  <c r="M115" i="4" s="1"/>
  <c r="L104" i="4"/>
  <c r="N104" i="4"/>
  <c r="Q104" i="4"/>
  <c r="N90" i="4"/>
  <c r="Q90" i="4" s="1"/>
  <c r="N76" i="4"/>
  <c r="Q76" i="4"/>
  <c r="L76" i="4"/>
  <c r="N126" i="4"/>
  <c r="Q126" i="4" s="1"/>
  <c r="L112" i="4"/>
  <c r="N112" i="4"/>
  <c r="Q112" i="4"/>
  <c r="N78" i="4"/>
  <c r="Q78" i="4" s="1"/>
  <c r="L127" i="4"/>
  <c r="M127" i="4" s="1"/>
  <c r="N127" i="4"/>
  <c r="Q127" i="4" s="1"/>
  <c r="N95" i="4"/>
  <c r="Q95" i="4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87" i="4"/>
  <c r="Q87" i="4" s="1"/>
  <c r="L87" i="4"/>
  <c r="N122" i="4"/>
  <c r="Q122" i="4"/>
  <c r="L122" i="4"/>
  <c r="N74" i="4"/>
  <c r="Q74" i="4" s="1"/>
  <c r="L74" i="4"/>
  <c r="N118" i="4"/>
  <c r="Q118" i="4"/>
  <c r="L118" i="4"/>
  <c r="L94" i="4"/>
  <c r="N94" i="4"/>
  <c r="Q94" i="4" s="1"/>
  <c r="N109" i="4"/>
  <c r="Q109" i="4"/>
  <c r="L109" i="4"/>
  <c r="N120" i="4"/>
  <c r="Q120" i="4"/>
  <c r="L120" i="4"/>
  <c r="M120" i="4" s="1"/>
  <c r="N111" i="4"/>
  <c r="Q111" i="4"/>
  <c r="L111" i="4"/>
  <c r="N99" i="4"/>
  <c r="Q99" i="4"/>
  <c r="L99" i="4"/>
  <c r="L81" i="4"/>
  <c r="N81" i="4"/>
  <c r="Q81" i="4" s="1"/>
  <c r="O74" i="4" l="1"/>
  <c r="P74" i="4" s="1"/>
  <c r="O83" i="4"/>
  <c r="P83" i="4" s="1"/>
  <c r="O76" i="4"/>
  <c r="P76" i="4" s="1"/>
  <c r="O79" i="4"/>
  <c r="P79" i="4" s="1"/>
  <c r="O90" i="4"/>
  <c r="P90" i="4" s="1"/>
  <c r="O86" i="4"/>
  <c r="P86" i="4" s="1"/>
  <c r="M84" i="4"/>
  <c r="M72" i="4"/>
  <c r="O89" i="4"/>
  <c r="P89" i="4" s="1"/>
  <c r="O93" i="4"/>
  <c r="P93" i="4" s="1"/>
  <c r="L91" i="4"/>
  <c r="M91" i="4" s="1"/>
  <c r="M79" i="4"/>
  <c r="M77" i="4"/>
  <c r="O81" i="4"/>
  <c r="P81" i="4" s="1"/>
  <c r="M74" i="4"/>
  <c r="O95" i="4"/>
  <c r="P95" i="4" s="1"/>
  <c r="N84" i="4"/>
  <c r="Q84" i="4" s="1"/>
  <c r="O97" i="4"/>
  <c r="P97" i="4" s="1"/>
  <c r="M95" i="4"/>
  <c r="L71" i="4"/>
  <c r="M71" i="4" s="1"/>
  <c r="M97" i="4"/>
  <c r="O85" i="4"/>
  <c r="P85" i="4" s="1"/>
  <c r="M81" i="4"/>
  <c r="M87" i="4"/>
  <c r="L126" i="4"/>
  <c r="M126" i="4" s="1"/>
  <c r="L107" i="4"/>
  <c r="M107" i="4" s="1"/>
  <c r="O78" i="4"/>
  <c r="P78" i="4" s="1"/>
  <c r="M76" i="4"/>
  <c r="M90" i="4"/>
  <c r="O73" i="4"/>
  <c r="P73" i="4" s="1"/>
  <c r="L92" i="4"/>
  <c r="O94" i="4"/>
  <c r="P94" i="4" s="1"/>
  <c r="O80" i="4"/>
  <c r="P80" i="4" s="1"/>
  <c r="O77" i="4"/>
  <c r="P77" i="4" s="1"/>
  <c r="M94" i="4"/>
  <c r="L116" i="4"/>
  <c r="M116" i="4" s="1"/>
  <c r="M86" i="4"/>
  <c r="O75" i="4"/>
  <c r="P75" i="4" s="1"/>
  <c r="O96" i="4"/>
  <c r="P96" i="4" s="1"/>
  <c r="O82" i="4"/>
  <c r="P82" i="4" s="1"/>
  <c r="O72" i="4"/>
  <c r="P72" i="4" s="1"/>
  <c r="M96" i="4"/>
  <c r="O84" i="4"/>
  <c r="P84" i="4" s="1"/>
  <c r="M82" i="4"/>
  <c r="L85" i="4"/>
  <c r="M78" i="4"/>
  <c r="M80" i="4"/>
  <c r="O87" i="4"/>
  <c r="P87" i="4" s="1"/>
  <c r="M73" i="4"/>
  <c r="M83" i="4"/>
  <c r="M89" i="4"/>
  <c r="O88" i="4"/>
  <c r="P88" i="4" s="1"/>
  <c r="L75" i="4"/>
  <c r="K92" i="4"/>
  <c r="L93" i="4"/>
  <c r="L88" i="4"/>
  <c r="N83" i="4"/>
  <c r="Q83" i="4" s="1"/>
  <c r="N80" i="4"/>
  <c r="Q80" i="4" s="1"/>
  <c r="N82" i="4"/>
  <c r="Q82" i="4" s="1"/>
  <c r="J14" i="4"/>
  <c r="J13" i="4" s="1"/>
  <c r="K16" i="4" s="1"/>
  <c r="M85" i="4" l="1"/>
  <c r="M88" i="4"/>
  <c r="M92" i="4"/>
  <c r="M93" i="4"/>
  <c r="O92" i="4"/>
  <c r="P92" i="4" s="1"/>
  <c r="M75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M57" i="4"/>
  <c r="M67" i="4"/>
  <c r="O69" i="4"/>
  <c r="P69" i="4" s="1"/>
  <c r="O66" i="4"/>
  <c r="P66" i="4" s="1"/>
  <c r="O67" i="4"/>
  <c r="P67" i="4" s="1"/>
  <c r="M68" i="4"/>
  <c r="M69" i="4"/>
  <c r="O65" i="4"/>
  <c r="P65" i="4" s="1"/>
  <c r="M66" i="4"/>
  <c r="O68" i="4"/>
  <c r="P68" i="4" s="1"/>
  <c r="O64" i="4"/>
  <c r="P64" i="4" s="1"/>
  <c r="M58" i="4"/>
  <c r="M65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J30" i="4"/>
  <c r="J43" i="4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O48" i="4" l="1"/>
  <c r="P48" i="4" s="1"/>
  <c r="O49" i="4"/>
  <c r="P49" i="4" s="1"/>
  <c r="M48" i="4"/>
  <c r="M49" i="4"/>
  <c r="M35" i="4"/>
  <c r="M47" i="4"/>
  <c r="M31" i="4"/>
  <c r="K35" i="4"/>
  <c r="M44" i="4"/>
  <c r="O45" i="4"/>
  <c r="P45" i="4" s="1"/>
  <c r="M45" i="4"/>
  <c r="O47" i="4"/>
  <c r="P47" i="4" s="1"/>
  <c r="O31" i="4"/>
  <c r="P31" i="4" s="1"/>
  <c r="O28" i="4"/>
  <c r="P28" i="4" s="1"/>
  <c r="O43" i="4"/>
  <c r="P43" i="4" s="1"/>
  <c r="M43" i="4"/>
  <c r="M39" i="4"/>
  <c r="O41" i="4"/>
  <c r="P41" i="4" s="1"/>
  <c r="O30" i="4"/>
  <c r="P30" i="4" s="1"/>
  <c r="O33" i="4"/>
  <c r="P33" i="4" s="1"/>
  <c r="O46" i="4"/>
  <c r="P46" i="4" s="1"/>
  <c r="O39" i="4"/>
  <c r="P39" i="4" s="1"/>
  <c r="K44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6" i="4" l="1"/>
  <c r="P36" i="4" s="1"/>
  <c r="O29" i="4"/>
  <c r="P29" i="4" s="1"/>
  <c r="O32" i="4"/>
  <c r="P32" i="4" s="1"/>
  <c r="M46" i="4"/>
  <c r="O38" i="4"/>
  <c r="P38" i="4" s="1"/>
  <c r="O40" i="4"/>
  <c r="P40" i="4" s="1"/>
  <c r="M33" i="4"/>
  <c r="O42" i="4"/>
  <c r="P42" i="4" s="1"/>
  <c r="M41" i="4"/>
  <c r="O44" i="4"/>
  <c r="P44" i="4" s="1"/>
  <c r="O35" i="4"/>
  <c r="P35" i="4" s="1"/>
  <c r="O34" i="4"/>
  <c r="P34" i="4" s="1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<sst xmlns="http://schemas.openxmlformats.org/spreadsheetml/2006/main" count="318" uniqueCount="294">
  <si>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</si>
  <si>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</si>
  <si>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</si>
  <si>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</si>
  <si>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</si>
  <si>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</si>
  <si>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</si>
  <si>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</si>
  <si>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</si>
  <si>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</si>
  <si>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</si>
  <si>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</si>
  <si>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</si>
  <si>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</si>
  <si>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</si>
  <si>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</si>
  <si>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</si>
  <si>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</si>
  <si>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</si>
  <si>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</si>
  <si>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</si>
  <si>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</si>
  <si>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</si>
  <si>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</si>
  <si>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</si>
  <si>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</si>
  <si>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</si>
  <si>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</si>
  <si>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</si>
  <si>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</si>
  <si>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</si>
  <si>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</si>
  <si>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</si>
  <si>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</si>
  <si>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</si>
  <si>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</si>
  <si>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</si>
  <si>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</si>
  <si>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</si>
  <si>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</si>
  <si>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</si>
  <si>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</si>
  <si>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</si>
  <si>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</si>
  <si>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</si>
  <si>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</si>
  <si>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</si>
  <si>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</si>
  <si>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</si>
  <si>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</si>
  <si>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</si>
  <si>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</si>
  <si>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</si>
  <si>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</si>
  <si>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</si>
  <si>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</si>
  <si>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</si>
  <si>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</si>
  <si>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</si>
  <si>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</si>
  <si>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</si>
  <si>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</si>
  <si>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</si>
  <si>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</si>
  <si>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</si>
  <si>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</si>
  <si>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</si>
  <si>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</si>
  <si>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</si>
  <si>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</si>
  <si>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</si>
  <si>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</si>
  <si>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</si>
  <si>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</si>
  <si>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</si>
  <si>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</si>
  <si>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</si>
  <si>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</si>
  <si>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</si>
  <si>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</si>
  <si>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</si>
  <si>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</si>
  <si>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</si>
  <si>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</si>
  <si>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</si>
  <si>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</si>
  <si>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</si>
  <si>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</si>
  <si>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</si>
  <si>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</si>
  <si>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</si>
  <si>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</si>
  <si>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</si>
  <si>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</si>
  <si>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</si>
  <si>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</si>
  <si>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</si>
  <si>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</si>
  <si>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</si>
  <si>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</si>
  <si>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</si>
  <si>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</si>
  <si>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</si>
  <si>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</si>
  <si>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</si>
  <si>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</si>
  <si>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</si>
  <si>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</si>
  <si>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</si>
  <si>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</si>
  <si>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</si>
  <si>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Default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</si>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</sst>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4.3499999999999997E-3</v>
      </c>
      <c r="M17" s="81">
        <v>5.0000000000000001E-4</v>
      </c>
      <c r="N17" s="81">
        <v>1.4999999999999999E-4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99" zoomScale="55" zoomScaleNormal="55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150.1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150.0093</v>
      </c>
      <c r="K8" s="39">
        <f>J8/J7</f>
        <v>0.99939573617588273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8.199999999999999E-2</v>
      </c>
      <c r="K9" s="39">
        <f>J9/J7</f>
        <v>5.4630246502331773E-4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8.6999999999999994E-3</v>
      </c>
      <c r="K10" s="39">
        <f>J10/J7</f>
        <v>5.7961359093937375E-5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150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9.9999999999999992E-2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8.6999999999999994E-2</v>
      </c>
      <c r="K20" s="39">
        <f>J20/J19</f>
        <v>0.87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0.01</v>
      </c>
      <c r="K21" s="39">
        <f>J21/J19</f>
        <v>0.1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2.9999999999999996E-3</v>
      </c>
      <c r="K22" s="39">
        <f>J22/J19</f>
        <v>0.03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0.88474709081801395</v>
      </c>
      <c r="K28" s="95">
        <f t="shared" ref="K28:K47" si="3">IF(D28=0,"",1/(1+10^D28*$J$15/$J$14+10^E28*$J$16/$J$14+10^J28*$J$19/$J$14))</f>
        <v>0.97153741891321632</v>
      </c>
      <c r="L28" s="95">
        <f t="shared" ref="L28:L47" si="4">IF(D28=0,"",1/(1+10^I28/10^J28*$J$13/$J$19))</f>
        <v>4.9698168793005796E-3</v>
      </c>
      <c r="M28" s="95">
        <f t="shared" ref="M28:M47" si="5">IF(D28=0,"",1-L28)</f>
        <v>0.99503018312069946</v>
      </c>
      <c r="N28" s="95">
        <f t="shared" ref="N28:N47" si="6">IF(D28=0,"",1/(1/10^E28*$J$20/$J$22+10^D28/10^E28*$J$21/$J$22+10^I28/10^E28*$J$13/$J$22+1))</f>
        <v>1.5529574291040821E-3</v>
      </c>
      <c r="O28" s="40">
        <f t="shared" ref="O28:O47" si="7">IF(D28=0,"",F28*K28*$J$7/$J$14)</f>
        <v>9.7268896340887075E-7</v>
      </c>
      <c r="P28" s="40">
        <f t="shared" ref="P28:P47" si="8">IF(D28=0,"",O28*10^J28)</f>
        <v>7.4596951358301708E-6</v>
      </c>
      <c r="Q28" s="40">
        <f t="shared" ref="Q28:Q47" si="9">IF(D28=0,"",F28*N28*$J$7/$J$22)</f>
        <v>7.7699636702840912E-5</v>
      </c>
      <c r="R28" s="9">
        <f>F28*$C$14</f>
        <v>1.4999999999999999E-4</v>
      </c>
      <c r="S28" s="9">
        <f>$R28*L28</f>
        <v>7.4547253189508691E-7</v>
      </c>
      <c r="T28" s="9">
        <f t="shared" ref="T28:T49" si="10">R28*K28</f>
        <v>1.4573061283698244E-4</v>
      </c>
      <c r="U28" s="9">
        <f t="shared" ref="U28:U49" si="11">$R28*M28</f>
        <v>1.492545274681049E-4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4.415376749895219</v>
      </c>
      <c r="K29" s="95">
        <f t="shared" si="3"/>
        <v>1.4143171524996457E-2</v>
      </c>
      <c r="L29" s="95">
        <f t="shared" si="4"/>
        <v>0.2455032931632784</v>
      </c>
      <c r="M29" s="95">
        <f t="shared" si="5"/>
        <v>0.75449670683672165</v>
      </c>
      <c r="N29" s="95">
        <f t="shared" si="6"/>
        <v>0.19381341188107093</v>
      </c>
      <c r="O29" s="40">
        <f t="shared" si="7"/>
        <v>1.4159935152422073E-8</v>
      </c>
      <c r="P29" s="40">
        <f t="shared" si="8"/>
        <v>3.6850044303808095E-4</v>
      </c>
      <c r="Q29" s="40">
        <f t="shared" si="9"/>
        <v>9.6971310411162488E-3</v>
      </c>
      <c r="R29" s="9">
        <f>F29*$C$14</f>
        <v>1.4999999999999999E-4</v>
      </c>
      <c r="S29" s="9">
        <f t="shared" ref="S29:S49" si="12">$R29*L29</f>
        <v>3.6825493974491757E-5</v>
      </c>
      <c r="T29" s="9">
        <f t="shared" si="10"/>
        <v>2.1214757287494683E-6</v>
      </c>
      <c r="U29" s="9">
        <f t="shared" si="11"/>
        <v>1.1317450602550824E-4</v>
      </c>
      <c r="V29" s="102">
        <f t="shared" ref="V29:V49" si="13">K29/M29</f>
        <v>1.8745173301408641E-2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7.7870173585309752</v>
      </c>
      <c r="K30" s="95">
        <f t="shared" si="3"/>
        <v>8.105793993164244E-6</v>
      </c>
      <c r="L30" s="95">
        <f t="shared" si="4"/>
        <v>0.33109047306161338</v>
      </c>
      <c r="M30" s="95">
        <f t="shared" si="5"/>
        <v>0.66890952693838668</v>
      </c>
      <c r="N30" s="95">
        <f t="shared" si="6"/>
        <v>0.32357546245884533</v>
      </c>
      <c r="O30" s="40">
        <f t="shared" si="7"/>
        <v>8.1154016338726988E-12</v>
      </c>
      <c r="P30" s="40">
        <f t="shared" si="8"/>
        <v>4.9696680006548234E-4</v>
      </c>
      <c r="Q30" s="40">
        <f t="shared" si="9"/>
        <v>1.6189558971690894E-2</v>
      </c>
      <c r="R30" s="9">
        <f t="shared" ref="R30:R49" si="14">F30*$C$14</f>
        <v>1.4999999999999999E-4</v>
      </c>
      <c r="S30" s="9">
        <f t="shared" si="12"/>
        <v>4.9663570959242005E-5</v>
      </c>
      <c r="T30" s="9">
        <f t="shared" si="10"/>
        <v>1.2158690989746364E-9</v>
      </c>
      <c r="U30" s="9">
        <f t="shared" si="11"/>
        <v>1.00336429040758E-4</v>
      </c>
      <c r="V30" s="102">
        <f t="shared" si="13"/>
        <v>1.2117922778383256E-5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2.913138997962994</v>
      </c>
      <c r="K31" s="95">
        <f t="shared" si="3"/>
        <v>0.29619831601204477</v>
      </c>
      <c r="L31" s="95">
        <f t="shared" si="4"/>
        <v>0.16175411833305942</v>
      </c>
      <c r="M31" s="95">
        <f t="shared" si="5"/>
        <v>0.83824588166694058</v>
      </c>
      <c r="N31" s="95">
        <f t="shared" si="6"/>
        <v>0.11723481530503357</v>
      </c>
      <c r="O31" s="40">
        <f t="shared" si="7"/>
        <v>2.9654939414221844E-7</v>
      </c>
      <c r="P31" s="40">
        <f t="shared" si="8"/>
        <v>2.4279293161792221E-4</v>
      </c>
      <c r="Q31" s="40">
        <f t="shared" si="9"/>
        <v>5.8656485924285136E-3</v>
      </c>
      <c r="R31" s="9">
        <f t="shared" si="14"/>
        <v>1.4999999999999999E-4</v>
      </c>
      <c r="S31" s="9">
        <f t="shared" si="12"/>
        <v>2.426311774995891E-5</v>
      </c>
      <c r="T31" s="9">
        <f t="shared" si="10"/>
        <v>4.4429747401806709E-5</v>
      </c>
      <c r="U31" s="9">
        <f t="shared" si="11"/>
        <v>1.2573688225004108E-4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2.9114243406645759</v>
      </c>
      <c r="J32" s="94">
        <f t="shared" si="2"/>
        <v>5.6147977266030304</v>
      </c>
      <c r="K32" s="95">
        <f t="shared" si="3"/>
        <v>9.1686809777757222E-4</v>
      </c>
      <c r="L32" s="95">
        <f t="shared" si="4"/>
        <v>0.25190590740462315</v>
      </c>
      <c r="M32" s="95">
        <f t="shared" si="5"/>
        <v>0.74809409259537685</v>
      </c>
      <c r="N32" s="95">
        <f t="shared" si="6"/>
        <v>0.20123424113021518</v>
      </c>
      <c r="O32" s="40">
        <f t="shared" si="7"/>
        <v>9.1795484378517122E-10</v>
      </c>
      <c r="P32" s="40">
        <f t="shared" si="8"/>
        <v>3.7811076701433949E-4</v>
      </c>
      <c r="Q32" s="40">
        <f t="shared" si="9"/>
        <v>1.0068419864548435E-2</v>
      </c>
      <c r="R32" s="9">
        <f t="shared" si="14"/>
        <v>1.4999999999999999E-4</v>
      </c>
      <c r="S32" s="9">
        <f t="shared" si="12"/>
        <v>3.7785886110693473E-5</v>
      </c>
      <c r="T32" s="9">
        <f t="shared" si="10"/>
        <v>1.3753021466663581E-7</v>
      </c>
      <c r="U32" s="9">
        <f t="shared" si="11"/>
        <v>1.1221411388930652E-4</v>
      </c>
      <c r="V32" s="102">
        <f t="shared" si="13"/>
        <v>1.2256053173694563E-3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5.1323855239773488</v>
      </c>
      <c r="K33" s="95">
        <f t="shared" si="3"/>
        <v>2.6107926340984459E-3</v>
      </c>
      <c r="L33" s="95">
        <f t="shared" si="4"/>
        <v>0.23620640318976283</v>
      </c>
      <c r="M33" s="95">
        <f t="shared" si="5"/>
        <v>0.76379359681023717</v>
      </c>
      <c r="N33" s="95">
        <f t="shared" si="6"/>
        <v>0.17726271518294381</v>
      </c>
      <c r="O33" s="40">
        <f t="shared" si="7"/>
        <v>2.6138871560680207E-9</v>
      </c>
      <c r="P33" s="40">
        <f t="shared" si="8"/>
        <v>3.5454581118783414E-4</v>
      </c>
      <c r="Q33" s="40">
        <f t="shared" si="9"/>
        <v>8.8690445163199551E-3</v>
      </c>
      <c r="R33" s="9">
        <f t="shared" si="14"/>
        <v>1.4999999999999999E-4</v>
      </c>
      <c r="S33" s="9">
        <f t="shared" si="12"/>
        <v>3.543096047846442E-5</v>
      </c>
      <c r="T33" s="9">
        <f t="shared" si="10"/>
        <v>3.9161889511476685E-7</v>
      </c>
      <c r="U33" s="9">
        <f t="shared" si="11"/>
        <v>1.1456903952153556E-4</v>
      </c>
      <c r="V33" s="102">
        <f t="shared" si="13"/>
        <v>3.4181913084918038E-3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5.1505570683328576</v>
      </c>
      <c r="K34" s="95">
        <f t="shared" si="3"/>
        <v>2.6146871031994126E-3</v>
      </c>
      <c r="L34" s="95">
        <f t="shared" si="4"/>
        <v>0.24666671883562205</v>
      </c>
      <c r="M34" s="95">
        <f t="shared" si="5"/>
        <v>0.75333328116437792</v>
      </c>
      <c r="N34" s="95">
        <f t="shared" si="6"/>
        <v>0.19344733150245577</v>
      </c>
      <c r="O34" s="40">
        <f t="shared" si="7"/>
        <v>2.6177862412078244E-9</v>
      </c>
      <c r="P34" s="40">
        <f t="shared" si="8"/>
        <v>3.7024674497226873E-4</v>
      </c>
      <c r="Q34" s="40">
        <f t="shared" si="9"/>
        <v>9.6788148195062051E-3</v>
      </c>
      <c r="R34" s="9">
        <f t="shared" si="14"/>
        <v>1.4999999999999999E-4</v>
      </c>
      <c r="S34" s="9">
        <f t="shared" si="12"/>
        <v>3.7000007825343304E-5</v>
      </c>
      <c r="T34" s="9">
        <f t="shared" si="10"/>
        <v>3.9220306547991185E-7</v>
      </c>
      <c r="U34" s="9">
        <f t="shared" si="11"/>
        <v>1.1299999217465668E-4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2.0279953279061091</v>
      </c>
      <c r="K35" s="95">
        <f t="shared" si="3"/>
        <v>0.71913416338265013</v>
      </c>
      <c r="L35" s="95">
        <f t="shared" si="4"/>
        <v>5.1160998582025795E-2</v>
      </c>
      <c r="M35" s="95">
        <f t="shared" si="5"/>
        <v>0.94883900141797417</v>
      </c>
      <c r="N35" s="95">
        <f t="shared" si="6"/>
        <v>2.5594281334857201E-2</v>
      </c>
      <c r="O35" s="40">
        <f t="shared" si="7"/>
        <v>7.199865391855365E-7</v>
      </c>
      <c r="P35" s="40">
        <f t="shared" si="8"/>
        <v>7.6792658871620707E-5</v>
      </c>
      <c r="Q35" s="40">
        <f t="shared" si="9"/>
        <v>1.2805672094540221E-3</v>
      </c>
      <c r="R35" s="9">
        <f t="shared" si="14"/>
        <v>1.4999999999999999E-4</v>
      </c>
      <c r="S35" s="9">
        <f t="shared" si="12"/>
        <v>7.6741497873038691E-6</v>
      </c>
      <c r="T35" s="9">
        <f t="shared" si="10"/>
        <v>1.0787012450739751E-4</v>
      </c>
      <c r="U35" s="9">
        <f t="shared" si="11"/>
        <v>1.4232585021269612E-4</v>
      </c>
      <c r="V35" s="102">
        <f t="shared" si="13"/>
        <v>0.75790957402462789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8.2323333278785089</v>
      </c>
      <c r="K36" s="95">
        <f t="shared" si="3"/>
        <v>2.9158899960471704E-6</v>
      </c>
      <c r="L36" s="95">
        <f t="shared" si="4"/>
        <v>0.33207656461477669</v>
      </c>
      <c r="M36" s="95">
        <f t="shared" si="5"/>
        <v>0.66792343538522325</v>
      </c>
      <c r="N36" s="95">
        <f t="shared" si="6"/>
        <v>0.3251001384053005</v>
      </c>
      <c r="O36" s="40">
        <f t="shared" si="7"/>
        <v>2.9193461440138008E-12</v>
      </c>
      <c r="P36" s="40">
        <f t="shared" si="8"/>
        <v>4.9844692348678058E-4</v>
      </c>
      <c r="Q36" s="40">
        <f t="shared" si="9"/>
        <v>1.6265843591545204E-2</v>
      </c>
      <c r="R36" s="9">
        <f t="shared" si="14"/>
        <v>1.4999999999999999E-4</v>
      </c>
      <c r="S36" s="9">
        <f t="shared" si="12"/>
        <v>4.9811484692216499E-5</v>
      </c>
      <c r="T36" s="9">
        <f t="shared" si="10"/>
        <v>4.3738349940707551E-10</v>
      </c>
      <c r="U36" s="9">
        <f t="shared" si="11"/>
        <v>1.0018851530778347E-4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3.7118118425949667</v>
      </c>
      <c r="K37" s="95">
        <f t="shared" si="3"/>
        <v>6.4620714043656283E-2</v>
      </c>
      <c r="L37" s="95">
        <f t="shared" si="4"/>
        <v>0.22198179502051468</v>
      </c>
      <c r="M37" s="95">
        <f t="shared" si="5"/>
        <v>0.77801820497948526</v>
      </c>
      <c r="N37" s="95">
        <f t="shared" si="6"/>
        <v>0.16690593155700401</v>
      </c>
      <c r="O37" s="40">
        <f t="shared" si="7"/>
        <v>6.4697307725086979E-8</v>
      </c>
      <c r="P37" s="40">
        <f t="shared" si="8"/>
        <v>3.3319467432579261E-4</v>
      </c>
      <c r="Q37" s="40">
        <f t="shared" si="9"/>
        <v>8.3508601089021008E-3</v>
      </c>
      <c r="R37" s="9">
        <f t="shared" si="14"/>
        <v>1.4999999999999999E-4</v>
      </c>
      <c r="S37" s="9">
        <f t="shared" si="12"/>
        <v>3.3297269253077201E-5</v>
      </c>
      <c r="T37" s="9">
        <f t="shared" si="10"/>
        <v>9.6931071065484417E-6</v>
      </c>
      <c r="U37" s="9">
        <f t="shared" si="11"/>
        <v>1.1670273074692278E-4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2.2606800266912841</v>
      </c>
      <c r="K38" s="95">
        <f t="shared" si="3"/>
        <v>0.62885163214956286</v>
      </c>
      <c r="L38" s="95">
        <f t="shared" si="4"/>
        <v>7.6447270338245221E-2</v>
      </c>
      <c r="M38" s="95">
        <f t="shared" si="5"/>
        <v>0.92355272966175472</v>
      </c>
      <c r="N38" s="95">
        <f t="shared" si="6"/>
        <v>4.7753170469921287E-2</v>
      </c>
      <c r="O38" s="40">
        <f t="shared" si="7"/>
        <v>6.2959699781586445E-7</v>
      </c>
      <c r="P38" s="40">
        <f t="shared" si="8"/>
        <v>1.1474735277770607E-4</v>
      </c>
      <c r="Q38" s="40">
        <f t="shared" si="9"/>
        <v>2.3892502958450619E-3</v>
      </c>
      <c r="R38" s="9">
        <f t="shared" si="14"/>
        <v>1.4999999999999999E-4</v>
      </c>
      <c r="S38" s="9">
        <f t="shared" si="12"/>
        <v>1.1467090550736782E-5</v>
      </c>
      <c r="T38" s="9">
        <f t="shared" si="10"/>
        <v>9.4327744822434421E-5</v>
      </c>
      <c r="U38" s="9">
        <f t="shared" si="11"/>
        <v>1.3853290944926321E-4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-1.2814749346534773E-2</v>
      </c>
      <c r="K39" s="95">
        <f t="shared" si="3"/>
        <v>0.99887410160016465</v>
      </c>
      <c r="L39" s="95">
        <f t="shared" si="4"/>
        <v>6.468890018341447E-4</v>
      </c>
      <c r="M39" s="95">
        <f t="shared" si="5"/>
        <v>0.99935311099816582</v>
      </c>
      <c r="N39" s="95">
        <f t="shared" si="6"/>
        <v>9.6817256418051321E-7</v>
      </c>
      <c r="O39" s="40">
        <f t="shared" si="7"/>
        <v>1.0000580477366255E-6</v>
      </c>
      <c r="P39" s="40">
        <f t="shared" si="8"/>
        <v>9.7098039175305127E-7</v>
      </c>
      <c r="Q39" s="40">
        <f t="shared" si="9"/>
        <v>4.8440900627831678E-8</v>
      </c>
      <c r="R39" s="9">
        <f t="shared" si="14"/>
        <v>1.4999999999999999E-4</v>
      </c>
      <c r="S39" s="9">
        <f t="shared" si="12"/>
        <v>9.7033350275121693E-8</v>
      </c>
      <c r="T39" s="9">
        <f t="shared" si="10"/>
        <v>1.4983111524002467E-4</v>
      </c>
      <c r="U39" s="9">
        <f t="shared" si="11"/>
        <v>1.4990296664972485E-4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2.5355592122209871</v>
      </c>
      <c r="K40" s="95">
        <f t="shared" si="3"/>
        <v>0.44044633912894687</v>
      </c>
      <c r="L40" s="95">
        <f t="shared" si="4"/>
        <v>0.1008291208707968</v>
      </c>
      <c r="M40" s="95">
        <f t="shared" si="5"/>
        <v>0.89917087912920324</v>
      </c>
      <c r="N40" s="95">
        <f t="shared" si="6"/>
        <v>5.0076391151710531E-2</v>
      </c>
      <c r="O40" s="40">
        <f t="shared" si="7"/>
        <v>4.4096839164857339E-7</v>
      </c>
      <c r="P40" s="40">
        <f t="shared" si="8"/>
        <v>1.5134451042706599E-4</v>
      </c>
      <c r="Q40" s="40">
        <f t="shared" si="9"/>
        <v>2.5054887706239173E-3</v>
      </c>
      <c r="R40" s="9">
        <f t="shared" si="14"/>
        <v>1.4999999999999999E-4</v>
      </c>
      <c r="S40" s="9">
        <f t="shared" si="12"/>
        <v>1.5124368130619519E-5</v>
      </c>
      <c r="T40" s="9">
        <f t="shared" si="10"/>
        <v>6.6066950869342019E-5</v>
      </c>
      <c r="U40" s="9">
        <f t="shared" si="11"/>
        <v>1.3487563186938048E-4</v>
      </c>
      <c r="V40" s="102">
        <f t="shared" si="13"/>
        <v>0.48983608049617283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2.6167182318767161</v>
      </c>
      <c r="K41" s="95">
        <f t="shared" si="3"/>
        <v>0.39130243619383526</v>
      </c>
      <c r="L41" s="95">
        <f t="shared" si="4"/>
        <v>0.10798527718797958</v>
      </c>
      <c r="M41" s="95">
        <f t="shared" si="5"/>
        <v>0.89201472281202043</v>
      </c>
      <c r="N41" s="95">
        <f t="shared" si="6"/>
        <v>5.1914487409457366E-2</v>
      </c>
      <c r="O41" s="40">
        <f t="shared" si="7"/>
        <v>3.9176623939663857E-7</v>
      </c>
      <c r="P41" s="40">
        <f t="shared" si="8"/>
        <v>1.6208590105915735E-4</v>
      </c>
      <c r="Q41" s="40">
        <f t="shared" si="9"/>
        <v>2.5974548533865172E-3</v>
      </c>
      <c r="R41" s="9">
        <f t="shared" si="14"/>
        <v>1.4999999999999999E-4</v>
      </c>
      <c r="S41" s="9">
        <f t="shared" si="12"/>
        <v>1.6197791578196936E-5</v>
      </c>
      <c r="T41" s="9">
        <f t="shared" si="10"/>
        <v>5.8695365429075285E-5</v>
      </c>
      <c r="U41" s="9">
        <f t="shared" si="11"/>
        <v>1.3380220842180304E-4</v>
      </c>
      <c r="V41" s="102">
        <f t="shared" si="13"/>
        <v>0.43867262073912738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1.4796577057346771</v>
      </c>
      <c r="J42" s="94">
        <f t="shared" si="2"/>
        <v>4.195712087091966</v>
      </c>
      <c r="K42" s="95">
        <f t="shared" si="3"/>
        <v>2.4594841156280897E-2</v>
      </c>
      <c r="L42" s="95">
        <f t="shared" si="4"/>
        <v>0.25744820782233635</v>
      </c>
      <c r="M42" s="95">
        <f t="shared" si="5"/>
        <v>0.74255179217766365</v>
      </c>
      <c r="N42" s="95">
        <f t="shared" si="6"/>
        <v>0.21425799698347603</v>
      </c>
      <c r="O42" s="40">
        <f t="shared" si="7"/>
        <v>2.4623992945397464E-8</v>
      </c>
      <c r="P42" s="40">
        <f t="shared" si="8"/>
        <v>3.8642975994132697E-4</v>
      </c>
      <c r="Q42" s="40">
        <f t="shared" si="9"/>
        <v>1.0720041782406585E-2</v>
      </c>
      <c r="R42" s="9">
        <f t="shared" si="14"/>
        <v>1.4999999999999999E-4</v>
      </c>
      <c r="S42" s="9">
        <f t="shared" si="12"/>
        <v>3.8617231173350448E-5</v>
      </c>
      <c r="T42" s="9">
        <f t="shared" si="10"/>
        <v>3.6892261734421344E-6</v>
      </c>
      <c r="U42" s="9">
        <f t="shared" si="11"/>
        <v>1.1138276882664953E-4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3.9025095498636322</v>
      </c>
      <c r="K43" s="95">
        <f t="shared" si="3"/>
        <v>4.3259445893847129E-2</v>
      </c>
      <c r="L43" s="95">
        <f t="shared" si="4"/>
        <v>0.23052830971203958</v>
      </c>
      <c r="M43" s="95">
        <f t="shared" si="5"/>
        <v>0.76947169028796036</v>
      </c>
      <c r="N43" s="95">
        <f t="shared" si="6"/>
        <v>0.17611525291708874</v>
      </c>
      <c r="O43" s="40">
        <f t="shared" si="7"/>
        <v>4.3310720477650442E-8</v>
      </c>
      <c r="P43" s="40">
        <f t="shared" si="8"/>
        <v>3.4602299287777151E-4</v>
      </c>
      <c r="Q43" s="40">
        <f t="shared" si="9"/>
        <v>8.8116331542850077E-3</v>
      </c>
      <c r="R43" s="9">
        <f t="shared" si="14"/>
        <v>1.4999999999999999E-4</v>
      </c>
      <c r="S43" s="9">
        <f t="shared" si="12"/>
        <v>3.4579246456805934E-5</v>
      </c>
      <c r="T43" s="9">
        <f t="shared" si="10"/>
        <v>6.4889168840770686E-6</v>
      </c>
      <c r="U43" s="9">
        <f t="shared" si="11"/>
        <v>1.1542075354319405E-4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0.14841008082679891</v>
      </c>
      <c r="J44" s="94">
        <f t="shared" si="2"/>
        <v>2.2038999237977572</v>
      </c>
      <c r="K44" s="95">
        <f t="shared" si="3"/>
        <v>0.66016488306501253</v>
      </c>
      <c r="L44" s="95">
        <f t="shared" si="4"/>
        <v>7.041839240188065E-2</v>
      </c>
      <c r="M44" s="95">
        <f t="shared" si="5"/>
        <v>0.92958160759811936</v>
      </c>
      <c r="N44" s="95">
        <f t="shared" si="6"/>
        <v>4.4308947815300398E-2</v>
      </c>
      <c r="O44" s="40">
        <f t="shared" si="7"/>
        <v>6.6094736372146345E-7</v>
      </c>
      <c r="P44" s="40">
        <f t="shared" si="8"/>
        <v>1.0569800699522283E-4</v>
      </c>
      <c r="Q44" s="40">
        <f t="shared" si="9"/>
        <v>2.2169243556921965E-3</v>
      </c>
      <c r="R44" s="9">
        <f t="shared" si="14"/>
        <v>1.4999999999999999E-4</v>
      </c>
      <c r="S44" s="9">
        <f t="shared" si="12"/>
        <v>1.0562758860282096E-5</v>
      </c>
      <c r="T44" s="9">
        <f t="shared" si="10"/>
        <v>9.9024732459751874E-5</v>
      </c>
      <c r="U44" s="9">
        <f t="shared" si="11"/>
        <v>1.3943724113971788E-4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3.9287211418950596</v>
      </c>
      <c r="K45" s="95">
        <f t="shared" si="3"/>
        <v>3.5949186605995165E-2</v>
      </c>
      <c r="L45" s="95">
        <f t="shared" si="4"/>
        <v>0.20349042276284887</v>
      </c>
      <c r="M45" s="95">
        <f t="shared" si="5"/>
        <v>0.7965095772371511</v>
      </c>
      <c r="N45" s="95">
        <f t="shared" si="6"/>
        <v>0.13290951917993521</v>
      </c>
      <c r="O45" s="40">
        <f t="shared" si="7"/>
        <v>3.59917964809763E-8</v>
      </c>
      <c r="P45" s="40">
        <f t="shared" si="8"/>
        <v>3.0543912456703623E-4</v>
      </c>
      <c r="Q45" s="40">
        <f t="shared" si="9"/>
        <v>6.649906276302759E-3</v>
      </c>
      <c r="R45" s="9">
        <f t="shared" si="14"/>
        <v>1.4999999999999999E-4</v>
      </c>
      <c r="S45" s="9">
        <f t="shared" si="12"/>
        <v>3.0523563414427328E-5</v>
      </c>
      <c r="T45" s="9">
        <f t="shared" si="10"/>
        <v>5.3923779908992739E-6</v>
      </c>
      <c r="U45" s="9">
        <f t="shared" si="11"/>
        <v>1.1947643658557266E-4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0.12747825886296762</v>
      </c>
      <c r="J46" s="94">
        <f t="shared" si="2"/>
        <v>2.1195388952426257</v>
      </c>
      <c r="K46" s="95">
        <f t="shared" si="3"/>
        <v>0.6994553162185565</v>
      </c>
      <c r="L46" s="95">
        <f t="shared" si="4"/>
        <v>6.1437372571431989E-2</v>
      </c>
      <c r="M46" s="95">
        <f t="shared" si="5"/>
        <v>0.938562627428568</v>
      </c>
      <c r="N46" s="95">
        <f t="shared" si="6"/>
        <v>3.779610039250033E-2</v>
      </c>
      <c r="O46" s="40">
        <f t="shared" si="7"/>
        <v>7.0028436706484178E-7</v>
      </c>
      <c r="P46" s="40">
        <f t="shared" si="8"/>
        <v>9.2217496229719413E-5</v>
      </c>
      <c r="Q46" s="40">
        <f t="shared" si="9"/>
        <v>1.8910648896381E-3</v>
      </c>
      <c r="R46" s="9">
        <f t="shared" si="14"/>
        <v>1.4999999999999999E-4</v>
      </c>
      <c r="S46" s="9">
        <f t="shared" si="12"/>
        <v>9.2156058857147979E-6</v>
      </c>
      <c r="T46" s="9">
        <f t="shared" si="10"/>
        <v>1.0491829743278347E-4</v>
      </c>
      <c r="U46" s="9">
        <f t="shared" si="11"/>
        <v>1.4078439411428518E-4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3.1044657046165054</v>
      </c>
      <c r="K47" s="95">
        <f t="shared" si="3"/>
        <v>0.16621014963921832</v>
      </c>
      <c r="L47" s="95">
        <f t="shared" si="4"/>
        <v>0.14101230409612073</v>
      </c>
      <c r="M47" s="95">
        <f t="shared" si="5"/>
        <v>0.85898769590387924</v>
      </c>
      <c r="N47" s="95">
        <f t="shared" si="6"/>
        <v>6.0720111304848813E-2</v>
      </c>
      <c r="O47" s="40">
        <f t="shared" si="7"/>
        <v>1.6640715531209609E-7</v>
      </c>
      <c r="P47" s="40">
        <f t="shared" si="8"/>
        <v>2.1165946844827716E-4</v>
      </c>
      <c r="Q47" s="40">
        <f t="shared" si="9"/>
        <v>3.0380295689526023E-3</v>
      </c>
      <c r="R47" s="9">
        <f t="shared" si="14"/>
        <v>1.4999999999999999E-4</v>
      </c>
      <c r="S47" s="9">
        <f t="shared" si="12"/>
        <v>2.1151845614418106E-5</v>
      </c>
      <c r="T47" s="9">
        <f t="shared" si="10"/>
        <v>2.4931522445882745E-5</v>
      </c>
      <c r="U47" s="9">
        <f t="shared" si="11"/>
        <v>1.2884815438558188E-4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1.2562556297488592</v>
      </c>
      <c r="K48" s="95">
        <f t="shared" ref="K48:K50" si="17">IF(D48=0,"",1/(1+10^D48*$J$15/$J$14+10^E48*$J$16/$J$14+10^J48*$J$19/$J$14))</f>
        <v>0.93398228783475312</v>
      </c>
      <c r="L48" s="95">
        <f t="shared" ref="L48:L50" si="18">IF(D48=0,"",1/(1+10^I48/10^J48*$J$13/$J$19))</f>
        <v>1.1239009383514265E-2</v>
      </c>
      <c r="M48" s="95">
        <f t="shared" ref="M48:M92" si="19">IF(D48=0,"",1-L48)</f>
        <v>0.9887609906164857</v>
      </c>
      <c r="N48" s="95">
        <f t="shared" ref="N48:N50" si="20">IF(D48=0,"",1/(1/10^E48*$J$20/$J$22+10^D48/10^E48*$J$21/$J$22+10^I48/10^E48*$J$13/$J$22+1))</f>
        <v>4.1961949694123233E-3</v>
      </c>
      <c r="O48" s="40">
        <f t="shared" ref="O48:O92" si="21">IF(D48=0,"",F48*K48*$J$7/$J$14)</f>
        <v>9.3508931896053108E-7</v>
      </c>
      <c r="P48" s="40">
        <f t="shared" ref="P48:P50" si="22">IF(D48=0,"",O48*10^J48)</f>
        <v>1.6869753084654913E-5</v>
      </c>
      <c r="Q48" s="40">
        <f t="shared" ref="Q48:Q50" si="23">IF(D48=0,"",F48*N48*$J$7/$J$22)</f>
        <v>2.0994962163626326E-4</v>
      </c>
      <c r="R48" s="9">
        <f t="shared" si="14"/>
        <v>1.4999999999999999E-4</v>
      </c>
      <c r="S48" s="9">
        <f t="shared" si="12"/>
        <v>1.6858514075271396E-6</v>
      </c>
      <c r="T48" s="9">
        <f t="shared" si="10"/>
        <v>1.4009734317521296E-4</v>
      </c>
      <c r="U48" s="9">
        <f t="shared" si="11"/>
        <v>1.4831414859247283E-4</v>
      </c>
      <c r="V48" s="102">
        <f t="shared" si="13"/>
        <v>0.94459864082261336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0.77323378498268969</v>
      </c>
      <c r="K49" s="95">
        <f t="shared" si="17"/>
        <v>0.97969782543880746</v>
      </c>
      <c r="L49" s="95">
        <f t="shared" si="18"/>
        <v>3.876677671316847E-3</v>
      </c>
      <c r="M49" s="95">
        <f t="shared" si="19"/>
        <v>0.99612332232868317</v>
      </c>
      <c r="N49" s="95">
        <f t="shared" si="20"/>
        <v>1.3949516745747949E-3</v>
      </c>
      <c r="O49" s="40">
        <f t="shared" si="21"/>
        <v>9.8085904230634797E-7</v>
      </c>
      <c r="P49" s="40">
        <f t="shared" si="22"/>
        <v>5.8188931846465887E-6</v>
      </c>
      <c r="Q49" s="40">
        <f t="shared" si="23"/>
        <v>6.9794082117892242E-5</v>
      </c>
      <c r="R49" s="9">
        <f t="shared" si="14"/>
        <v>1.4999999999999999E-4</v>
      </c>
      <c r="S49" s="9">
        <f t="shared" si="12"/>
        <v>5.8150165069752699E-7</v>
      </c>
      <c r="T49" s="9">
        <f t="shared" si="10"/>
        <v>1.4695467381582109E-4</v>
      </c>
      <c r="U49" s="9">
        <f t="shared" si="11"/>
        <v>1.4941849834930246E-4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9.6478749911243222E-3</v>
      </c>
      <c r="K57" s="55">
        <f t="shared" si="26"/>
        <v>0.9987156096434584</v>
      </c>
      <c r="L57" s="55">
        <f t="shared" si="27"/>
        <v>6.8111975496257867E-4</v>
      </c>
      <c r="M57" s="55">
        <f t="shared" si="28"/>
        <v>0.99931888024503746</v>
      </c>
      <c r="N57" s="55">
        <f t="shared" si="29"/>
        <v>2.4149762069976278E-5</v>
      </c>
      <c r="O57" s="56">
        <f t="shared" si="30"/>
        <v>9.9989936792247106E-7</v>
      </c>
      <c r="P57" s="56">
        <f t="shared" si="31"/>
        <v>1.0223607521988307E-6</v>
      </c>
      <c r="Q57" s="56">
        <f t="shared" si="32"/>
        <v>1.2082930955678132E-6</v>
      </c>
      <c r="R57" s="9">
        <f t="shared" ref="R57:R58" si="33">F57*$C$14</f>
        <v>1.4999999999999999E-4</v>
      </c>
      <c r="S57" s="9">
        <f t="shared" ref="S57:S58" si="34">$R57*L57</f>
        <v>1.021679632443868E-7</v>
      </c>
      <c r="T57" s="9">
        <f t="shared" ref="T57:T58" si="35">R57*K57</f>
        <v>1.4980734144651875E-4</v>
      </c>
      <c r="U57" s="9">
        <f t="shared" ref="U57:U58" si="36">$R57*M57</f>
        <v>1.4989783203675559E-4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1.4426793422998627</v>
      </c>
      <c r="K58" s="55">
        <f t="shared" si="26"/>
        <v>0.9039134668572123</v>
      </c>
      <c r="L58" s="55">
        <f t="shared" si="27"/>
        <v>1.6708596174475471E-2</v>
      </c>
      <c r="M58" s="55">
        <f t="shared" si="28"/>
        <v>0.98329140382552449</v>
      </c>
      <c r="N58" s="55">
        <f t="shared" si="29"/>
        <v>7.0089163245754963E-3</v>
      </c>
      <c r="O58" s="56">
        <f t="shared" si="30"/>
        <v>9.049848579915566E-7</v>
      </c>
      <c r="P58" s="56">
        <f t="shared" si="31"/>
        <v>2.507960285788768E-5</v>
      </c>
      <c r="Q58" s="56">
        <f t="shared" si="32"/>
        <v>3.5067944677292736E-4</v>
      </c>
      <c r="R58" s="9">
        <f t="shared" si="33"/>
        <v>1.4999999999999999E-4</v>
      </c>
      <c r="S58" s="9">
        <f t="shared" si="34"/>
        <v>2.5062894261713205E-6</v>
      </c>
      <c r="T58" s="9">
        <f t="shared" si="35"/>
        <v>1.3558702002858182E-4</v>
      </c>
      <c r="U58" s="9">
        <f t="shared" si="36"/>
        <v>1.4749371057382865E-4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1.5441639506710698</v>
      </c>
      <c r="K60" s="55">
        <f t="shared" si="26"/>
        <v>0.87098273383074754</v>
      </c>
      <c r="L60" s="55">
        <f t="shared" si="27"/>
        <v>2.0337953974610239E-2</v>
      </c>
      <c r="M60" s="55">
        <f t="shared" si="28"/>
        <v>0.97966204602538975</v>
      </c>
      <c r="N60" s="55">
        <f t="shared" si="29"/>
        <v>6.4367636731388102E-3</v>
      </c>
      <c r="O60" s="56">
        <f t="shared" si="30"/>
        <v>8.7201509280470754E-7</v>
      </c>
      <c r="P60" s="56">
        <f t="shared" si="31"/>
        <v>3.0527268915889971E-5</v>
      </c>
      <c r="Q60" s="56">
        <f t="shared" si="32"/>
        <v>3.2205274244604515E-4</v>
      </c>
      <c r="R60" s="9">
        <f>F60*$C$14</f>
        <v>1.4999999999999999E-4</v>
      </c>
      <c r="S60" s="9">
        <f t="shared" ref="S60:S93" si="38">$R60*L60</f>
        <v>3.0506930961915356E-6</v>
      </c>
      <c r="T60" s="9">
        <f t="shared" ref="T60:T93" si="39">R60*K60</f>
        <v>1.3064741007461211E-4</v>
      </c>
      <c r="U60" s="9">
        <f t="shared" ref="U60:U93" si="40">$R60*M60</f>
        <v>1.4694930690380844E-4</v>
      </c>
      <c r="V60" s="102">
        <f t="shared" ref="V60:V93" si="41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2.4948597555667229</v>
      </c>
      <c r="K61" s="55">
        <f t="shared" si="26"/>
        <v>0.44297280478542322</v>
      </c>
      <c r="L61" s="55">
        <f t="shared" si="27"/>
        <v>9.2335899431625235E-2</v>
      </c>
      <c r="M61" s="55">
        <f t="shared" si="28"/>
        <v>0.90766410056837477</v>
      </c>
      <c r="N61" s="55">
        <f t="shared" si="29"/>
        <v>3.7410635277500312E-2</v>
      </c>
      <c r="O61" s="56">
        <f t="shared" si="30"/>
        <v>4.4349785187588517E-7</v>
      </c>
      <c r="P61" s="56">
        <f t="shared" si="31"/>
        <v>1.3859618504686951E-4</v>
      </c>
      <c r="Q61" s="56">
        <f t="shared" si="32"/>
        <v>1.8717787850509324E-3</v>
      </c>
      <c r="R61" s="9">
        <f>F61*$C$14</f>
        <v>1.4999999999999999E-4</v>
      </c>
      <c r="S61" s="9">
        <f t="shared" si="38"/>
        <v>1.3850384914743784E-5</v>
      </c>
      <c r="T61" s="9">
        <f t="shared" si="39"/>
        <v>6.6445920717813478E-5</v>
      </c>
      <c r="U61" s="9">
        <f t="shared" si="40"/>
        <v>1.3614961508525621E-4</v>
      </c>
      <c r="V61" s="102">
        <f t="shared" si="41"/>
        <v>0.48803605266313371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2.201821660398279</v>
      </c>
      <c r="K62" s="55">
        <f t="shared" si="26"/>
        <v>0.62752299271554446</v>
      </c>
      <c r="L62" s="55">
        <f t="shared" si="27"/>
        <v>6.6616999444774561E-2</v>
      </c>
      <c r="M62" s="55">
        <f t="shared" si="28"/>
        <v>0.93338300055522549</v>
      </c>
      <c r="N62" s="55">
        <f t="shared" si="29"/>
        <v>3.2294432830932321E-2</v>
      </c>
      <c r="O62" s="56">
        <f t="shared" si="30"/>
        <v>6.2826678357124461E-7</v>
      </c>
      <c r="P62" s="56">
        <f t="shared" si="31"/>
        <v>9.9992116166606622E-5</v>
      </c>
      <c r="Q62" s="56">
        <f t="shared" si="32"/>
        <v>1.6157981226409804E-3</v>
      </c>
      <c r="R62" s="9">
        <f>F62*$C$14</f>
        <v>1.4999999999999999E-4</v>
      </c>
      <c r="S62" s="9">
        <f t="shared" si="38"/>
        <v>9.9925499167161831E-6</v>
      </c>
      <c r="T62" s="9">
        <f t="shared" si="39"/>
        <v>9.4128448907331667E-5</v>
      </c>
      <c r="U62" s="9">
        <f t="shared" si="40"/>
        <v>1.4000745008328381E-4</v>
      </c>
      <c r="V62" s="102">
        <f t="shared" si="41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2.1362952925392569</v>
      </c>
      <c r="K63" s="55">
        <f t="shared" si="26"/>
        <v>0.65866282601420423</v>
      </c>
      <c r="L63" s="55">
        <f t="shared" si="27"/>
        <v>6.0130139235591316E-2</v>
      </c>
      <c r="M63" s="55">
        <f t="shared" si="28"/>
        <v>0.9398698607644087</v>
      </c>
      <c r="N63" s="55">
        <f t="shared" si="29"/>
        <v>2.8109050235441801E-2</v>
      </c>
      <c r="O63" s="56">
        <f t="shared" si="30"/>
        <v>6.5944352631150961E-7</v>
      </c>
      <c r="P63" s="56">
        <f t="shared" si="31"/>
        <v>9.0255338992622543E-5</v>
      </c>
      <c r="Q63" s="56">
        <f t="shared" si="32"/>
        <v>1.4063894801132717E-3</v>
      </c>
      <c r="R63" s="9">
        <f>F63*$C$14</f>
        <v>1.4999999999999999E-4</v>
      </c>
      <c r="S63" s="9">
        <f t="shared" si="38"/>
        <v>9.0195208853386963E-6</v>
      </c>
      <c r="T63" s="9">
        <f t="shared" si="39"/>
        <v>9.8799423902130629E-5</v>
      </c>
      <c r="U63" s="9">
        <f t="shared" si="40"/>
        <v>1.409804791146613E-4</v>
      </c>
      <c r="V63" s="102">
        <f t="shared" si="41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1.3833712193731031</v>
      </c>
      <c r="K64" s="55">
        <f t="shared" si="26"/>
        <v>0.91911502310877013</v>
      </c>
      <c r="L64" s="55">
        <f t="shared" si="27"/>
        <v>1.4820909245891498E-2</v>
      </c>
      <c r="M64" s="55">
        <f t="shared" si="28"/>
        <v>0.98517909075410848</v>
      </c>
      <c r="N64" s="55">
        <f t="shared" si="29"/>
        <v>6.9445783694246366E-3</v>
      </c>
      <c r="O64" s="56">
        <f t="shared" si="30"/>
        <v>9.2020443235346842E-7</v>
      </c>
      <c r="P64" s="56">
        <f t="shared" si="31"/>
        <v>2.2246184778083144E-5</v>
      </c>
      <c r="Q64" s="56">
        <f t="shared" si="32"/>
        <v>3.4746040441687928E-4</v>
      </c>
      <c r="R64" s="9">
        <f>F64*$C$14</f>
        <v>1.4999999999999999E-4</v>
      </c>
      <c r="S64" s="9">
        <f t="shared" si="38"/>
        <v>2.2231363868837247E-6</v>
      </c>
      <c r="T64" s="9">
        <f t="shared" si="39"/>
        <v>1.378672534663155E-4</v>
      </c>
      <c r="U64" s="9">
        <f t="shared" si="40"/>
        <v>1.4777686361311626E-4</v>
      </c>
      <c r="V64" s="102">
        <f t="shared" si="41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2.8252916173691829</v>
      </c>
      <c r="K65" s="55">
        <f t="shared" si="26"/>
        <v>0.30596806319823738</v>
      </c>
      <c r="L65" s="55">
        <f t="shared" si="27"/>
        <v>0.13649020263834274</v>
      </c>
      <c r="M65" s="55">
        <f t="shared" si="28"/>
        <v>0.86350979736165723</v>
      </c>
      <c r="N65" s="55">
        <f t="shared" si="29"/>
        <v>7.9982894339129446E-2</v>
      </c>
      <c r="O65" s="56">
        <f t="shared" si="30"/>
        <v>3.063307212206284E-7</v>
      </c>
      <c r="P65" s="56">
        <f t="shared" si="31"/>
        <v>2.0487179416015246E-4</v>
      </c>
      <c r="Q65" s="56">
        <f t="shared" si="32"/>
        <v>4.0018108134344437E-3</v>
      </c>
      <c r="R65" s="9">
        <f>F65*$C$14</f>
        <v>1.4999999999999999E-4</v>
      </c>
      <c r="S65" s="9">
        <f t="shared" si="38"/>
        <v>2.047353039575141E-5</v>
      </c>
      <c r="T65" s="9">
        <f t="shared" si="39"/>
        <v>4.5895209479735601E-5</v>
      </c>
      <c r="U65" s="9">
        <f t="shared" si="40"/>
        <v>1.2952646960424856E-4</v>
      </c>
      <c r="V65" s="102">
        <f t="shared" si="41"/>
        <v>0.35433073733857257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1.5025773317670659</v>
      </c>
      <c r="K68" s="55">
        <f t="shared" si="26"/>
        <v>0.87871599522071175</v>
      </c>
      <c r="L68" s="55">
        <f t="shared" si="27"/>
        <v>1.8644881498338452E-2</v>
      </c>
      <c r="M68" s="55">
        <f t="shared" si="28"/>
        <v>0.98135511850166157</v>
      </c>
      <c r="N68" s="55">
        <f t="shared" si="29"/>
        <v>5.2703025878478036E-3</v>
      </c>
      <c r="O68" s="56">
        <f t="shared" si="30"/>
        <v>8.7975752027969704E-7</v>
      </c>
      <c r="P68" s="56">
        <f t="shared" si="31"/>
        <v>2.7985967129006024E-5</v>
      </c>
      <c r="Q68" s="56">
        <f t="shared" si="32"/>
        <v>2.6369080614531849E-4</v>
      </c>
      <c r="R68" s="9">
        <f>F68*$C$14</f>
        <v>1.4999999999999999E-4</v>
      </c>
      <c r="S68" s="9">
        <f t="shared" si="38"/>
        <v>2.7967322247507675E-6</v>
      </c>
      <c r="T68" s="9">
        <f t="shared" si="39"/>
        <v>1.3180739928310675E-4</v>
      </c>
      <c r="U68" s="9">
        <f t="shared" si="40"/>
        <v>1.4720326777524923E-4</v>
      </c>
      <c r="V68" s="102">
        <f t="shared" si="41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3.755700239680543</v>
      </c>
      <c r="K69" s="55">
        <f t="shared" si="26"/>
        <v>5.1065167988900068E-2</v>
      </c>
      <c r="L69" s="55">
        <f t="shared" si="27"/>
        <v>0.19407016200359317</v>
      </c>
      <c r="M69" s="55">
        <f t="shared" si="28"/>
        <v>0.80592983799640683</v>
      </c>
      <c r="N69" s="55">
        <f t="shared" si="29"/>
        <v>0.12117493165227483</v>
      </c>
      <c r="O69" s="56">
        <f t="shared" si="30"/>
        <v>5.1125694543999789E-8</v>
      </c>
      <c r="P69" s="56">
        <f t="shared" si="31"/>
        <v>2.9129931316739351E-4</v>
      </c>
      <c r="Q69" s="56">
        <f t="shared" si="32"/>
        <v>6.0627857470021522E-3</v>
      </c>
      <c r="R69" s="9">
        <f>F69*$C$14</f>
        <v>1.4999999999999999E-4</v>
      </c>
      <c r="S69" s="9">
        <f t="shared" si="38"/>
        <v>2.9110524300538973E-5</v>
      </c>
      <c r="T69" s="9">
        <f t="shared" si="39"/>
        <v>7.6597751983350099E-6</v>
      </c>
      <c r="U69" s="9">
        <f t="shared" si="40"/>
        <v>1.2088947569946101E-4</v>
      </c>
      <c r="V69" s="102">
        <f t="shared" si="41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0.68923958342305858</v>
      </c>
      <c r="K70" s="55">
        <f t="shared" si="26"/>
        <v>0.98119518178121368</v>
      </c>
      <c r="L70" s="55">
        <f t="shared" si="27"/>
        <v>3.1998436180264676E-3</v>
      </c>
      <c r="M70" s="55">
        <f t="shared" si="28"/>
        <v>0.9968001563819735</v>
      </c>
      <c r="N70" s="55">
        <f t="shared" si="29"/>
        <v>6.2911410941014594E-4</v>
      </c>
      <c r="O70" s="56">
        <f t="shared" si="30"/>
        <v>9.8235817343624093E-7</v>
      </c>
      <c r="P70" s="56">
        <f t="shared" si="31"/>
        <v>4.8029652706577279E-6</v>
      </c>
      <c r="Q70" s="56">
        <f t="shared" si="32"/>
        <v>3.147667594082097E-5</v>
      </c>
      <c r="R70" s="9">
        <f t="shared" ref="R70:R86" si="42">F70*$C$14</f>
        <v>1.4999999999999999E-4</v>
      </c>
      <c r="S70" s="9">
        <f t="shared" si="38"/>
        <v>4.7997654270397013E-7</v>
      </c>
      <c r="T70" s="9">
        <f t="shared" si="39"/>
        <v>1.4717927726718203E-4</v>
      </c>
      <c r="U70" s="9">
        <f t="shared" si="40"/>
        <v>1.4952002345729602E-4</v>
      </c>
      <c r="V70" s="102">
        <f t="shared" si="41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3">IF(D71=0,"",LOG($K$15*10^D71+$K$16*10^E71+$K$14))</f>
        <v>2.8589842167479149E-2</v>
      </c>
      <c r="J71" s="54">
        <f t="shared" ref="J71:J122" si="44">IF(D71=0,"",LOG($K$21*10^D71+$K$22*10^E71+$K$20))</f>
        <v>1.3381242784059832</v>
      </c>
      <c r="K71" s="55">
        <f t="shared" ref="K71:K122" si="45">IF(D71=0,"",1/(1+10^D71*$J$15/$J$14+10^E71*$J$16/$J$14+10^J71*$J$19/$J$14))</f>
        <v>0.92325106535956381</v>
      </c>
      <c r="L71" s="55">
        <f t="shared" ref="L71:L122" si="46">IF(D71=0,"",1/(1+10^I71/10^J71*$J$13/$J$19))</f>
        <v>1.3414604087963524E-2</v>
      </c>
      <c r="M71" s="55">
        <f t="shared" si="19"/>
        <v>0.98658539591203642</v>
      </c>
      <c r="N71" s="55">
        <f t="shared" ref="N71:N122" si="47">IF(D71=0,"",1/(1/10^E71*$J$20/$J$22+10^D71/10^E71*$J$21/$J$22+10^I71/10^E71*$J$13/$J$22+1))</f>
        <v>5.545910235793235E-3</v>
      </c>
      <c r="O71" s="56">
        <f t="shared" si="21"/>
        <v>9.2434537697507643E-7</v>
      </c>
      <c r="P71" s="56">
        <f t="shared" ref="P71:P122" si="48">IF(D71=0,"",O71*10^J71)</f>
        <v>2.0135320736033252E-5</v>
      </c>
      <c r="Q71" s="56">
        <f t="shared" ref="Q71:Q122" si="49">IF(D71=0,"",F71*N71*$J$7/$J$22)</f>
        <v>2.774803754641882E-4</v>
      </c>
      <c r="R71" s="9">
        <f t="shared" si="42"/>
        <v>1.4999999999999999E-4</v>
      </c>
      <c r="S71" s="9">
        <f t="shared" si="38"/>
        <v>2.0121906131945284E-6</v>
      </c>
      <c r="T71" s="9">
        <f t="shared" si="39"/>
        <v>1.3848765980393457E-4</v>
      </c>
      <c r="U71" s="9">
        <f t="shared" si="40"/>
        <v>1.4798780938680544E-4</v>
      </c>
      <c r="V71" s="102">
        <f t="shared" si="41"/>
        <v>0.93580451239710072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3"/>
        <v>4.5043006346732313E-2</v>
      </c>
      <c r="J72" s="54">
        <f t="shared" si="44"/>
        <v>1.4898227768640917</v>
      </c>
      <c r="K72" s="55">
        <f t="shared" si="45"/>
        <v>0.88459267620910542</v>
      </c>
      <c r="L72" s="55">
        <f t="shared" si="46"/>
        <v>1.8226357314068988E-2</v>
      </c>
      <c r="M72" s="55">
        <f t="shared" si="19"/>
        <v>0.98177364268593104</v>
      </c>
      <c r="N72" s="55">
        <f t="shared" si="47"/>
        <v>5.7269495574213646E-3</v>
      </c>
      <c r="O72" s="56">
        <f t="shared" si="21"/>
        <v>8.8564116678430579E-7</v>
      </c>
      <c r="P72" s="56">
        <f t="shared" si="48"/>
        <v>2.7357762328417551E-5</v>
      </c>
      <c r="Q72" s="56">
        <f t="shared" si="49"/>
        <v>2.8653837618964896E-4</v>
      </c>
      <c r="R72" s="9">
        <f t="shared" si="42"/>
        <v>1.4999999999999999E-4</v>
      </c>
      <c r="S72" s="9">
        <f t="shared" si="38"/>
        <v>2.7339535971103482E-6</v>
      </c>
      <c r="T72" s="9">
        <f t="shared" si="39"/>
        <v>1.326889014313658E-4</v>
      </c>
      <c r="U72" s="9">
        <f t="shared" si="40"/>
        <v>1.4726604640288965E-4</v>
      </c>
      <c r="V72" s="102">
        <f t="shared" si="41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3"/>
        <v>2.829962486439805</v>
      </c>
      <c r="J73" s="54">
        <f t="shared" si="44"/>
        <v>5.6026792956514546</v>
      </c>
      <c r="K73" s="55">
        <f t="shared" si="45"/>
        <v>1.0598154000780258E-3</v>
      </c>
      <c r="L73" s="55">
        <f t="shared" si="46"/>
        <v>0.28316742095450931</v>
      </c>
      <c r="M73" s="55">
        <f t="shared" si="19"/>
        <v>0.71683257904549069</v>
      </c>
      <c r="N73" s="55">
        <f t="shared" si="47"/>
        <v>0.2496279696498481</v>
      </c>
      <c r="O73" s="56">
        <f t="shared" si="21"/>
        <v>1.0610715787558734E-9</v>
      </c>
      <c r="P73" s="56">
        <f t="shared" si="48"/>
        <v>4.2503429885271869E-4</v>
      </c>
      <c r="Q73" s="56">
        <f t="shared" si="49"/>
        <v>1.2489719414814068E-2</v>
      </c>
      <c r="R73" s="9">
        <f t="shared" si="42"/>
        <v>1.4999999999999999E-4</v>
      </c>
      <c r="S73" s="9">
        <f t="shared" si="38"/>
        <v>4.247511314317639E-5</v>
      </c>
      <c r="T73" s="9">
        <f t="shared" si="39"/>
        <v>1.5897231001170387E-7</v>
      </c>
      <c r="U73" s="9">
        <f t="shared" si="40"/>
        <v>1.075248868568236E-4</v>
      </c>
      <c r="V73" s="102">
        <f t="shared" si="41"/>
        <v>1.4784699120249795E-3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3"/>
        <v>3.957220636313619E-3</v>
      </c>
      <c r="J74" s="54">
        <f t="shared" si="44"/>
        <v>0.53532069811024507</v>
      </c>
      <c r="K74" s="55">
        <f t="shared" si="45"/>
        <v>0.98817697572336916</v>
      </c>
      <c r="L74" s="55">
        <f t="shared" si="46"/>
        <v>2.2609408082356511E-3</v>
      </c>
      <c r="M74" s="55">
        <f t="shared" si="19"/>
        <v>0.99773905919176431</v>
      </c>
      <c r="N74" s="55">
        <f t="shared" si="47"/>
        <v>4.8828766030598232E-4</v>
      </c>
      <c r="O74" s="56">
        <f t="shared" si="21"/>
        <v>9.8934824276360283E-7</v>
      </c>
      <c r="P74" s="56">
        <f t="shared" si="48"/>
        <v>3.393672153161712E-6</v>
      </c>
      <c r="Q74" s="56">
        <f t="shared" si="49"/>
        <v>2.4430659270642647E-5</v>
      </c>
      <c r="R74" s="9">
        <f t="shared" si="42"/>
        <v>1.4999999999999999E-4</v>
      </c>
      <c r="S74" s="9">
        <f t="shared" si="38"/>
        <v>3.3914112123534762E-7</v>
      </c>
      <c r="T74" s="9">
        <f t="shared" si="39"/>
        <v>1.4822654635850537E-4</v>
      </c>
      <c r="U74" s="9">
        <f t="shared" si="40"/>
        <v>1.4966085887876463E-4</v>
      </c>
      <c r="V74" s="102">
        <f t="shared" si="41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3"/>
        <v>4.1980440605165602E-3</v>
      </c>
      <c r="J75" s="54">
        <f t="shared" si="44"/>
        <v>0.54673395685959203</v>
      </c>
      <c r="K75" s="55">
        <f t="shared" si="45"/>
        <v>0.9875709811570359</v>
      </c>
      <c r="L75" s="55">
        <f t="shared" si="46"/>
        <v>2.3197225310986344E-3</v>
      </c>
      <c r="M75" s="55">
        <f t="shared" si="19"/>
        <v>0.99768027746890131</v>
      </c>
      <c r="N75" s="55">
        <f t="shared" si="47"/>
        <v>4.653720954002119E-4</v>
      </c>
      <c r="O75" s="56">
        <f t="shared" si="21"/>
        <v>9.8874152992364087E-7</v>
      </c>
      <c r="P75" s="56">
        <f t="shared" si="48"/>
        <v>3.4819035191790503E-6</v>
      </c>
      <c r="Q75" s="56">
        <f t="shared" si="49"/>
        <v>2.3284117173190607E-5</v>
      </c>
      <c r="R75" s="9">
        <f t="shared" si="42"/>
        <v>1.4999999999999999E-4</v>
      </c>
      <c r="S75" s="9">
        <f t="shared" si="38"/>
        <v>3.4795837966479513E-7</v>
      </c>
      <c r="T75" s="9">
        <f t="shared" si="39"/>
        <v>1.4813564717355536E-4</v>
      </c>
      <c r="U75" s="9">
        <f t="shared" si="40"/>
        <v>1.4965204162033517E-4</v>
      </c>
      <c r="V75" s="102">
        <f t="shared" si="41"/>
        <v>0.98986719839995985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3"/>
        <v>0.35626551305621779</v>
      </c>
      <c r="J76" s="54">
        <f t="shared" si="44"/>
        <v>2.6329837818619519</v>
      </c>
      <c r="K76" s="55">
        <f t="shared" si="45"/>
        <v>0.3907890332275365</v>
      </c>
      <c r="L76" s="55">
        <f t="shared" si="46"/>
        <v>0.11195923263892398</v>
      </c>
      <c r="M76" s="55">
        <f t="shared" si="19"/>
        <v>0.88804076736107607</v>
      </c>
      <c r="N76" s="55">
        <f t="shared" si="47"/>
        <v>5.7966407562926224E-2</v>
      </c>
      <c r="O76" s="56">
        <f t="shared" si="21"/>
        <v>3.9125222790374227E-7</v>
      </c>
      <c r="P76" s="56">
        <f t="shared" si="48"/>
        <v>1.6805080819102489E-4</v>
      </c>
      <c r="Q76" s="56">
        <f t="shared" si="49"/>
        <v>2.9002525917317425E-3</v>
      </c>
      <c r="R76" s="9">
        <f t="shared" si="42"/>
        <v>1.4999999999999999E-4</v>
      </c>
      <c r="S76" s="9">
        <f t="shared" si="38"/>
        <v>1.6793884895838594E-5</v>
      </c>
      <c r="T76" s="9">
        <f t="shared" si="39"/>
        <v>5.861835498413047E-5</v>
      </c>
      <c r="U76" s="9">
        <f t="shared" si="40"/>
        <v>1.3320611510416139E-4</v>
      </c>
      <c r="V76" s="102">
        <f t="shared" si="41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3"/>
        <v>2.1004549420906745E-4</v>
      </c>
      <c r="J77" s="54">
        <f t="shared" si="44"/>
        <v>4.6195916093205912E-2</v>
      </c>
      <c r="K77" s="55">
        <f t="shared" si="45"/>
        <v>0.99825887980837658</v>
      </c>
      <c r="L77" s="55">
        <f t="shared" si="46"/>
        <v>7.4058150497025932E-4</v>
      </c>
      <c r="M77" s="55">
        <f t="shared" si="19"/>
        <v>0.99925941849502975</v>
      </c>
      <c r="N77" s="55">
        <f t="shared" si="47"/>
        <v>3.0331801177111939E-5</v>
      </c>
      <c r="O77" s="56">
        <f t="shared" si="21"/>
        <v>9.9944209673435717E-7</v>
      </c>
      <c r="P77" s="56">
        <f t="shared" si="48"/>
        <v>1.1116128389603592E-6</v>
      </c>
      <c r="Q77" s="56">
        <f t="shared" si="49"/>
        <v>1.5176011188948341E-6</v>
      </c>
      <c r="R77" s="9">
        <f t="shared" si="42"/>
        <v>1.4999999999999999E-4</v>
      </c>
      <c r="S77" s="9">
        <f t="shared" si="38"/>
        <v>1.1108722574553889E-7</v>
      </c>
      <c r="T77" s="9">
        <f t="shared" si="39"/>
        <v>1.4973883197125646E-4</v>
      </c>
      <c r="U77" s="9">
        <f t="shared" si="40"/>
        <v>1.4988891277425444E-4</v>
      </c>
      <c r="V77" s="102">
        <f t="shared" si="41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3"/>
        <v>9.6186457475178466E-3</v>
      </c>
      <c r="J78" s="54">
        <f t="shared" si="44"/>
        <v>0.86907068032969315</v>
      </c>
      <c r="K78" s="55">
        <f t="shared" si="45"/>
        <v>0.97289630779610803</v>
      </c>
      <c r="L78" s="55">
        <f t="shared" si="46"/>
        <v>4.800328952458471E-3</v>
      </c>
      <c r="M78" s="55">
        <f t="shared" si="19"/>
        <v>0.99519967104754148</v>
      </c>
      <c r="N78" s="55">
        <f t="shared" si="47"/>
        <v>1.5460536973650582E-3</v>
      </c>
      <c r="O78" s="56">
        <f t="shared" si="21"/>
        <v>9.7404946295644988E-7</v>
      </c>
      <c r="P78" s="56">
        <f t="shared" si="48"/>
        <v>7.205293757640165E-6</v>
      </c>
      <c r="Q78" s="56">
        <f t="shared" si="49"/>
        <v>7.7354219991498412E-5</v>
      </c>
      <c r="R78" s="9">
        <f t="shared" si="42"/>
        <v>1.4999999999999999E-4</v>
      </c>
      <c r="S78" s="9">
        <f t="shared" si="38"/>
        <v>7.2004934286877061E-7</v>
      </c>
      <c r="T78" s="9">
        <f t="shared" si="39"/>
        <v>1.4593444616941618E-4</v>
      </c>
      <c r="U78" s="9">
        <f t="shared" si="40"/>
        <v>1.4927995065713121E-4</v>
      </c>
      <c r="V78" s="102">
        <f t="shared" si="41"/>
        <v>0.97758905684930841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3"/>
        <v>8.6760595853303396E-2</v>
      </c>
      <c r="J79" s="54">
        <f t="shared" si="44"/>
        <v>1.8284615251176457</v>
      </c>
      <c r="K79" s="55">
        <f t="shared" si="45"/>
        <v>0.78945584287140813</v>
      </c>
      <c r="L79" s="55">
        <f t="shared" si="46"/>
        <v>3.5475059475802477E-2</v>
      </c>
      <c r="M79" s="55">
        <f t="shared" si="19"/>
        <v>0.96452494052419757</v>
      </c>
      <c r="N79" s="55">
        <f t="shared" si="47"/>
        <v>1.4538274408015143E-2</v>
      </c>
      <c r="O79" s="56">
        <f t="shared" si="21"/>
        <v>7.9039156959970822E-7</v>
      </c>
      <c r="P79" s="56">
        <f t="shared" si="48"/>
        <v>5.3248064273179527E-5</v>
      </c>
      <c r="Q79" s="56">
        <f t="shared" si="49"/>
        <v>7.2739832954769109E-4</v>
      </c>
      <c r="R79" s="9">
        <f t="shared" si="42"/>
        <v>1.4999999999999999E-4</v>
      </c>
      <c r="S79" s="9">
        <f t="shared" si="38"/>
        <v>5.3212589213703708E-6</v>
      </c>
      <c r="T79" s="9">
        <f t="shared" si="39"/>
        <v>1.184183764307112E-4</v>
      </c>
      <c r="U79" s="9">
        <f t="shared" si="40"/>
        <v>1.4467874107862961E-4</v>
      </c>
      <c r="V79" s="102">
        <f t="shared" si="41"/>
        <v>0.81849189139925882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3"/>
        <v>1.9819141928346475</v>
      </c>
      <c r="J80" s="54">
        <f t="shared" si="44"/>
        <v>4.6407720127189611</v>
      </c>
      <c r="K80" s="55">
        <f t="shared" si="45"/>
        <v>7.9911289849987511E-3</v>
      </c>
      <c r="L80" s="55">
        <f t="shared" si="46"/>
        <v>0.23308478072020075</v>
      </c>
      <c r="M80" s="55">
        <f t="shared" si="19"/>
        <v>0.76691521927979922</v>
      </c>
      <c r="N80" s="55">
        <f t="shared" si="47"/>
        <v>0.17344395144167715</v>
      </c>
      <c r="O80" s="56">
        <f t="shared" si="21"/>
        <v>8.0006007154927075E-9</v>
      </c>
      <c r="P80" s="56">
        <f t="shared" si="48"/>
        <v>3.4986025586102146E-4</v>
      </c>
      <c r="Q80" s="56">
        <f t="shared" si="49"/>
        <v>8.6779790371319145E-3</v>
      </c>
      <c r="R80" s="9">
        <f t="shared" si="42"/>
        <v>1.4999999999999999E-4</v>
      </c>
      <c r="S80" s="9">
        <f t="shared" si="38"/>
        <v>3.4962717108030111E-5</v>
      </c>
      <c r="T80" s="9">
        <f t="shared" si="39"/>
        <v>1.1986693477498126E-6</v>
      </c>
      <c r="U80" s="9">
        <f t="shared" si="40"/>
        <v>1.1503728289196988E-4</v>
      </c>
      <c r="V80" s="102">
        <f t="shared" si="41"/>
        <v>1.0419833619292525E-2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3"/>
        <v>0.12726341031571042</v>
      </c>
      <c r="J81" s="54">
        <f t="shared" si="44"/>
        <v>2.0764178865334513</v>
      </c>
      <c r="K81" s="55">
        <f t="shared" si="45"/>
        <v>0.7038694523453547</v>
      </c>
      <c r="L81" s="55">
        <f t="shared" si="46"/>
        <v>5.598140160794584E-2</v>
      </c>
      <c r="M81" s="55">
        <f t="shared" si="19"/>
        <v>0.94401859839205415</v>
      </c>
      <c r="N81" s="55">
        <f t="shared" si="47"/>
        <v>3.018416289066635E-2</v>
      </c>
      <c r="O81" s="56">
        <f t="shared" si="21"/>
        <v>7.0470373518174235E-7</v>
      </c>
      <c r="P81" s="56">
        <f t="shared" si="48"/>
        <v>8.4028083813526705E-5</v>
      </c>
      <c r="Q81" s="56">
        <f t="shared" si="49"/>
        <v>1.5102142832963399E-3</v>
      </c>
      <c r="R81" s="9">
        <f t="shared" si="42"/>
        <v>1.4999999999999999E-4</v>
      </c>
      <c r="S81" s="9">
        <f t="shared" si="38"/>
        <v>8.397210241191875E-6</v>
      </c>
      <c r="T81" s="9">
        <f t="shared" si="39"/>
        <v>1.055804178518032E-4</v>
      </c>
      <c r="U81" s="9">
        <f t="shared" si="40"/>
        <v>1.4160278975880811E-4</v>
      </c>
      <c r="V81" s="102">
        <f t="shared" si="41"/>
        <v>0.74560973008821518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3"/>
        <v>0.47104615060046062</v>
      </c>
      <c r="J82" s="54">
        <f t="shared" si="44"/>
        <v>2.8909048143104648</v>
      </c>
      <c r="K82" s="55">
        <f t="shared" si="45"/>
        <v>0.28746319936828829</v>
      </c>
      <c r="L82" s="55">
        <f t="shared" si="46"/>
        <v>0.1491491672531973</v>
      </c>
      <c r="M82" s="55">
        <f t="shared" si="19"/>
        <v>0.85085083274680273</v>
      </c>
      <c r="N82" s="55">
        <f t="shared" si="47"/>
        <v>9.6091566484995089E-2</v>
      </c>
      <c r="O82" s="56">
        <f t="shared" si="21"/>
        <v>2.8780392393379814E-7</v>
      </c>
      <c r="P82" s="56">
        <f t="shared" si="48"/>
        <v>2.2387290004704911E-4</v>
      </c>
      <c r="Q82" s="56">
        <f t="shared" si="49"/>
        <v>4.8077813764659215E-3</v>
      </c>
      <c r="R82" s="9">
        <f t="shared" si="42"/>
        <v>1.4999999999999999E-4</v>
      </c>
      <c r="S82" s="9">
        <f t="shared" si="38"/>
        <v>2.2372375087979592E-5</v>
      </c>
      <c r="T82" s="9">
        <f t="shared" si="39"/>
        <v>4.3119479905243242E-5</v>
      </c>
      <c r="U82" s="9">
        <f t="shared" si="40"/>
        <v>1.2762762491202041E-4</v>
      </c>
      <c r="V82" s="102">
        <f t="shared" si="41"/>
        <v>0.33785381444626494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3"/>
        <v>0.17835694544431213</v>
      </c>
      <c r="J83" s="54">
        <f t="shared" si="44"/>
        <v>2.2596675735780232</v>
      </c>
      <c r="K83" s="55">
        <f t="shared" si="45"/>
        <v>0.61353054001374874</v>
      </c>
      <c r="L83" s="55">
        <f t="shared" si="46"/>
        <v>7.4411065457418615E-2</v>
      </c>
      <c r="M83" s="55">
        <f t="shared" si="19"/>
        <v>0.9255889345425814</v>
      </c>
      <c r="N83" s="55">
        <f t="shared" si="47"/>
        <v>4.1724121768306095E-2</v>
      </c>
      <c r="O83" s="56">
        <f t="shared" si="21"/>
        <v>6.1425774588612682E-7</v>
      </c>
      <c r="P83" s="56">
        <f t="shared" si="48"/>
        <v>1.1169100925158538E-4</v>
      </c>
      <c r="Q83" s="56">
        <f t="shared" si="49"/>
        <v>2.0875968924742483E-3</v>
      </c>
      <c r="R83" s="9">
        <f t="shared" si="42"/>
        <v>1.4999999999999999E-4</v>
      </c>
      <c r="S83" s="9">
        <f t="shared" si="38"/>
        <v>1.1161659818612791E-5</v>
      </c>
      <c r="T83" s="9">
        <f t="shared" si="39"/>
        <v>9.2029581002062307E-5</v>
      </c>
      <c r="U83" s="9">
        <f t="shared" si="40"/>
        <v>1.388383401813872E-4</v>
      </c>
      <c r="V83" s="102">
        <f t="shared" si="41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3"/>
        <v>5.9812805986470914E-3</v>
      </c>
      <c r="J84" s="54">
        <f t="shared" si="44"/>
        <v>0.6838067096740571</v>
      </c>
      <c r="K84" s="55">
        <f t="shared" si="45"/>
        <v>0.98269110778120317</v>
      </c>
      <c r="L84" s="55">
        <f t="shared" si="46"/>
        <v>3.164881834626009E-3</v>
      </c>
      <c r="M84" s="55">
        <f t="shared" si="19"/>
        <v>0.99683511816537396</v>
      </c>
      <c r="N84" s="55">
        <f t="shared" si="47"/>
        <v>8.5609319460136946E-4</v>
      </c>
      <c r="O84" s="56">
        <f t="shared" si="21"/>
        <v>9.8385587252836034E-7</v>
      </c>
      <c r="P84" s="56">
        <f t="shared" si="48"/>
        <v>4.7504876337736401E-6</v>
      </c>
      <c r="Q84" s="56">
        <f t="shared" si="49"/>
        <v>4.2833196169888522E-5</v>
      </c>
      <c r="R84" s="9">
        <f t="shared" si="42"/>
        <v>1.4999999999999999E-4</v>
      </c>
      <c r="S84" s="9">
        <f t="shared" si="38"/>
        <v>4.7473227519390131E-7</v>
      </c>
      <c r="T84" s="9">
        <f t="shared" si="39"/>
        <v>1.4740366616718047E-4</v>
      </c>
      <c r="U84" s="9">
        <f t="shared" si="40"/>
        <v>1.4952526772480607E-4</v>
      </c>
      <c r="V84" s="102">
        <f t="shared" si="41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3"/>
        <v>0.11910186422699467</v>
      </c>
      <c r="J85" s="54">
        <f t="shared" si="44"/>
        <v>2.0545505923588281</v>
      </c>
      <c r="K85" s="55">
        <f t="shared" si="45"/>
        <v>0.71847160256269071</v>
      </c>
      <c r="L85" s="55">
        <f t="shared" si="46"/>
        <v>5.4336788133611279E-2</v>
      </c>
      <c r="M85" s="55">
        <f t="shared" si="19"/>
        <v>0.94566321186638869</v>
      </c>
      <c r="N85" s="55">
        <f t="shared" si="47"/>
        <v>3.0383277899196613E-2</v>
      </c>
      <c r="O85" s="56">
        <f t="shared" si="21"/>
        <v>7.19323193045063E-7</v>
      </c>
      <c r="P85" s="56">
        <f t="shared" si="48"/>
        <v>8.1559518988550509E-5</v>
      </c>
      <c r="Q85" s="56">
        <f t="shared" si="49"/>
        <v>1.5201766708898038E-3</v>
      </c>
      <c r="R85" s="9">
        <f t="shared" si="42"/>
        <v>1.4999999999999999E-4</v>
      </c>
      <c r="S85" s="9">
        <f t="shared" si="38"/>
        <v>8.1505182200416907E-6</v>
      </c>
      <c r="T85" s="9">
        <f t="shared" si="39"/>
        <v>1.077707403844036E-4</v>
      </c>
      <c r="U85" s="9">
        <f t="shared" si="40"/>
        <v>1.4184948177995828E-4</v>
      </c>
      <c r="V85" s="102">
        <f t="shared" si="41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3"/>
        <v>3.4503381608646556E-2</v>
      </c>
      <c r="J86" s="54">
        <f t="shared" si="44"/>
        <v>1.4348617200490665</v>
      </c>
      <c r="K86" s="55">
        <f t="shared" si="45"/>
        <v>0.90793186280451488</v>
      </c>
      <c r="L86" s="55">
        <f t="shared" si="46"/>
        <v>1.64834737658591E-2</v>
      </c>
      <c r="M86" s="55">
        <f t="shared" si="19"/>
        <v>0.98351652623414088</v>
      </c>
      <c r="N86" s="55">
        <f t="shared" si="47"/>
        <v>7.4156338110286622E-3</v>
      </c>
      <c r="O86" s="56">
        <f t="shared" si="21"/>
        <v>9.0900801686578749E-7</v>
      </c>
      <c r="P86" s="56">
        <f t="shared" si="48"/>
        <v>2.4741694122554508E-5</v>
      </c>
      <c r="Q86" s="56">
        <f t="shared" si="49"/>
        <v>3.7102887834513406E-4</v>
      </c>
      <c r="R86" s="9">
        <f t="shared" si="42"/>
        <v>1.4999999999999999E-4</v>
      </c>
      <c r="S86" s="9">
        <f t="shared" si="38"/>
        <v>2.4725210648788647E-6</v>
      </c>
      <c r="T86" s="9">
        <f t="shared" si="39"/>
        <v>1.3618977942067722E-4</v>
      </c>
      <c r="U86" s="9">
        <f t="shared" si="40"/>
        <v>1.4752747893512111E-4</v>
      </c>
      <c r="V86" s="102">
        <f t="shared" si="41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3"/>
        <v/>
      </c>
      <c r="J87" s="54" t="str">
        <f t="shared" si="44"/>
        <v/>
      </c>
      <c r="K87" s="55" t="str">
        <f t="shared" si="45"/>
        <v/>
      </c>
      <c r="L87" s="55" t="str">
        <f t="shared" si="46"/>
        <v/>
      </c>
      <c r="M87" s="55" t="str">
        <f t="shared" si="19"/>
        <v/>
      </c>
      <c r="N87" s="55" t="str">
        <f t="shared" si="47"/>
        <v/>
      </c>
      <c r="O87" s="56" t="str">
        <f t="shared" si="21"/>
        <v/>
      </c>
      <c r="P87" s="56" t="str">
        <f t="shared" si="48"/>
        <v/>
      </c>
      <c r="Q87" s="56" t="str">
        <f t="shared" si="49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3"/>
        <v>1.1640116161103842</v>
      </c>
      <c r="J88" s="54">
        <f t="shared" si="44"/>
        <v>3.8273795064858471</v>
      </c>
      <c r="K88" s="55">
        <f t="shared" si="45"/>
        <v>5.2414964349274409E-2</v>
      </c>
      <c r="L88" s="55">
        <f t="shared" si="46"/>
        <v>0.23494627564349141</v>
      </c>
      <c r="M88" s="55">
        <f t="shared" si="19"/>
        <v>0.76505372435650854</v>
      </c>
      <c r="N88" s="55">
        <f t="shared" si="47"/>
        <v>0.18467083514974444</v>
      </c>
      <c r="O88" s="56">
        <f t="shared" si="21"/>
        <v>5.2477090791870776E-8</v>
      </c>
      <c r="P88" s="56">
        <f t="shared" si="48"/>
        <v>3.5265435974088079E-4</v>
      </c>
      <c r="Q88" s="56">
        <f t="shared" si="49"/>
        <v>9.2396974519922126E-3</v>
      </c>
      <c r="R88" s="9">
        <f>F88*$C$14</f>
        <v>1.4999999999999999E-4</v>
      </c>
      <c r="S88" s="9">
        <f t="shared" si="38"/>
        <v>3.5241941346523711E-5</v>
      </c>
      <c r="T88" s="9">
        <f t="shared" si="39"/>
        <v>7.8622446523911603E-6</v>
      </c>
      <c r="U88" s="9">
        <f t="shared" si="40"/>
        <v>1.1475805865347627E-4</v>
      </c>
      <c r="V88" s="102">
        <f t="shared" si="41"/>
        <v>6.8511481848364267E-2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3"/>
        <v>2.5219720041185627</v>
      </c>
      <c r="J89" s="54">
        <f t="shared" si="44"/>
        <v>5.2755325389810421</v>
      </c>
      <c r="K89" s="55">
        <f t="shared" si="45"/>
        <v>2.180519294651372E-3</v>
      </c>
      <c r="L89" s="55">
        <f t="shared" si="46"/>
        <v>0.27430027101588161</v>
      </c>
      <c r="M89" s="55">
        <f t="shared" si="19"/>
        <v>0.72569972898411839</v>
      </c>
      <c r="N89" s="55">
        <f t="shared" si="47"/>
        <v>0.2361195530296282</v>
      </c>
      <c r="O89" s="56">
        <f t="shared" si="21"/>
        <v>2.1831038219609153E-9</v>
      </c>
      <c r="P89" s="56">
        <f t="shared" si="48"/>
        <v>4.1172470679483824E-4</v>
      </c>
      <c r="Q89" s="56">
        <f t="shared" si="49"/>
        <v>1.1813848303249065E-2</v>
      </c>
      <c r="R89" s="9">
        <f>F89*$C$14</f>
        <v>1.4999999999999999E-4</v>
      </c>
      <c r="S89" s="9">
        <f t="shared" si="38"/>
        <v>4.1145040652382238E-5</v>
      </c>
      <c r="T89" s="9">
        <f t="shared" si="39"/>
        <v>3.2707789419770577E-7</v>
      </c>
      <c r="U89" s="9">
        <f t="shared" si="40"/>
        <v>1.0885495934761774E-4</v>
      </c>
      <c r="V89" s="102">
        <f t="shared" si="41"/>
        <v>3.0047128413618184E-3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3"/>
        <v>2.8671793282646911</v>
      </c>
      <c r="J90" s="54">
        <f t="shared" si="44"/>
        <v>5.6475701029544298</v>
      </c>
      <c r="K90" s="55">
        <f t="shared" si="45"/>
        <v>9.6789126362966174E-4</v>
      </c>
      <c r="L90" s="55">
        <f t="shared" si="46"/>
        <v>0.28676783434973868</v>
      </c>
      <c r="M90" s="55">
        <f t="shared" si="19"/>
        <v>0.71323216565026137</v>
      </c>
      <c r="N90" s="55">
        <f t="shared" si="47"/>
        <v>0.25518114885335336</v>
      </c>
      <c r="O90" s="56">
        <f t="shared" si="21"/>
        <v>9.6903848640804087E-10</v>
      </c>
      <c r="P90" s="56">
        <f t="shared" si="48"/>
        <v>4.3043851935895808E-4</v>
      </c>
      <c r="Q90" s="56">
        <f t="shared" si="49"/>
        <v>1.2767563480962783E-2</v>
      </c>
      <c r="R90" s="9">
        <f>F90*$C$14</f>
        <v>1.4999999999999999E-4</v>
      </c>
      <c r="S90" s="9">
        <f t="shared" si="38"/>
        <v>4.30151751524608E-5</v>
      </c>
      <c r="T90" s="9">
        <f t="shared" si="39"/>
        <v>1.4518368954444924E-7</v>
      </c>
      <c r="U90" s="9">
        <f t="shared" si="40"/>
        <v>1.0698482484753919E-4</v>
      </c>
      <c r="V90" s="102">
        <f t="shared" si="41"/>
        <v>1.3570493736036497E-3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3"/>
        <v>3.2678433041260839</v>
      </c>
      <c r="J91" s="54">
        <f t="shared" si="44"/>
        <v>6.0714479293479418</v>
      </c>
      <c r="K91" s="55">
        <f t="shared" si="45"/>
        <v>3.7877190405728148E-4</v>
      </c>
      <c r="L91" s="55">
        <f t="shared" si="46"/>
        <v>0.29782383404791651</v>
      </c>
      <c r="M91" s="55">
        <f t="shared" si="19"/>
        <v>0.70217616595208354</v>
      </c>
      <c r="N91" s="55">
        <f t="shared" si="47"/>
        <v>0.27217596764636326</v>
      </c>
      <c r="O91" s="56">
        <f t="shared" si="21"/>
        <v>3.7922085506290889E-10</v>
      </c>
      <c r="P91" s="56">
        <f t="shared" si="48"/>
        <v>4.4703357490592316E-4</v>
      </c>
      <c r="Q91" s="56">
        <f t="shared" si="49"/>
        <v>1.3617870914573043E-2</v>
      </c>
      <c r="R91" s="9">
        <f t="shared" ref="R91:R92" si="50">F91*$C$14</f>
        <v>1.4999999999999999E-4</v>
      </c>
      <c r="S91" s="9">
        <f t="shared" si="38"/>
        <v>4.4673575107187476E-5</v>
      </c>
      <c r="T91" s="9">
        <f t="shared" si="39"/>
        <v>5.6815785608592218E-8</v>
      </c>
      <c r="U91" s="9">
        <f t="shared" si="40"/>
        <v>1.0532642489281252E-4</v>
      </c>
      <c r="V91" s="102">
        <f t="shared" si="41"/>
        <v>5.3942574872746225E-4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3"/>
        <v>4.4880081925943038</v>
      </c>
      <c r="J92" s="54">
        <f t="shared" si="44"/>
        <v>7.3264606898122624</v>
      </c>
      <c r="K92" s="55">
        <f t="shared" si="45"/>
        <v>2.2260701383931074E-5</v>
      </c>
      <c r="L92" s="55">
        <f t="shared" si="46"/>
        <v>0.31487145965823565</v>
      </c>
      <c r="M92" s="55">
        <f t="shared" si="19"/>
        <v>0.6851285403417644</v>
      </c>
      <c r="N92" s="55">
        <f t="shared" si="47"/>
        <v>0.29848455413019709</v>
      </c>
      <c r="O92" s="56">
        <f t="shared" si="21"/>
        <v>2.2287086562359663E-11</v>
      </c>
      <c r="P92" s="56">
        <f t="shared" si="48"/>
        <v>4.7262206094701221E-4</v>
      </c>
      <c r="Q92" s="56">
        <f t="shared" si="49"/>
        <v>1.4934177191647529E-2</v>
      </c>
      <c r="R92" s="9">
        <f t="shared" si="50"/>
        <v>1.4999999999999999E-4</v>
      </c>
      <c r="S92" s="9">
        <f t="shared" si="38"/>
        <v>4.7230718948735344E-5</v>
      </c>
      <c r="T92" s="9">
        <f t="shared" si="39"/>
        <v>3.3391052075896611E-9</v>
      </c>
      <c r="U92" s="9">
        <f t="shared" si="40"/>
        <v>1.0276928105126465E-4</v>
      </c>
      <c r="V92" s="102">
        <f t="shared" si="41"/>
        <v>3.2491277290574865E-5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3"/>
        <v>3.2311126461878961E-2</v>
      </c>
      <c r="J93" s="54">
        <f t="shared" si="44"/>
        <v>1.3221349530045283</v>
      </c>
      <c r="K93" s="55">
        <f t="shared" si="45"/>
        <v>0.91591908760592688</v>
      </c>
      <c r="L93" s="55">
        <f t="shared" si="46"/>
        <v>1.2827021613251612E-2</v>
      </c>
      <c r="M93" s="55">
        <f t="shared" ref="M93:M127" si="51">IF(D93=0,"",1-L93)</f>
        <v>0.98717297838674833</v>
      </c>
      <c r="N93" s="55">
        <f t="shared" si="47"/>
        <v>3.2592083794430651E-3</v>
      </c>
      <c r="O93" s="56">
        <f t="shared" ref="O93:O127" si="52">IF(D93=0,"",F93*K93*$J$7/$J$14)</f>
        <v>9.1700470877014025E-7</v>
      </c>
      <c r="P93" s="56">
        <f t="shared" si="48"/>
        <v>1.9253359441490674E-5</v>
      </c>
      <c r="Q93" s="56">
        <f t="shared" si="49"/>
        <v>1.63069059251468E-4</v>
      </c>
      <c r="R93" s="9">
        <f>F93*$C$14</f>
        <v>1.4999999999999999E-4</v>
      </c>
      <c r="S93" s="9">
        <f t="shared" si="38"/>
        <v>1.9240532419877417E-6</v>
      </c>
      <c r="T93" s="9">
        <f t="shared" si="39"/>
        <v>1.3738786314088902E-4</v>
      </c>
      <c r="U93" s="9">
        <f t="shared" si="40"/>
        <v>1.4807594675801225E-4</v>
      </c>
      <c r="V93" s="102">
        <f t="shared" si="41"/>
        <v>0.92782025810991553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3"/>
        <v/>
      </c>
      <c r="J94" s="54" t="str">
        <f t="shared" si="44"/>
        <v/>
      </c>
      <c r="K94" s="55" t="str">
        <f t="shared" si="45"/>
        <v/>
      </c>
      <c r="L94" s="55" t="str">
        <f t="shared" si="46"/>
        <v/>
      </c>
      <c r="M94" s="55" t="str">
        <f t="shared" si="51"/>
        <v/>
      </c>
      <c r="N94" s="55" t="str">
        <f t="shared" si="47"/>
        <v/>
      </c>
      <c r="O94" s="56" t="str">
        <f t="shared" si="52"/>
        <v/>
      </c>
      <c r="P94" s="56" t="str">
        <f t="shared" si="48"/>
        <v/>
      </c>
      <c r="Q94" s="56" t="str">
        <f t="shared" si="49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3"/>
        <v/>
      </c>
      <c r="J95" s="54" t="str">
        <f t="shared" si="44"/>
        <v/>
      </c>
      <c r="K95" s="55" t="str">
        <f t="shared" si="45"/>
        <v/>
      </c>
      <c r="L95" s="55" t="str">
        <f t="shared" si="46"/>
        <v/>
      </c>
      <c r="M95" s="55" t="str">
        <f t="shared" si="51"/>
        <v/>
      </c>
      <c r="N95" s="55" t="str">
        <f t="shared" si="47"/>
        <v/>
      </c>
      <c r="O95" s="56" t="str">
        <f t="shared" si="52"/>
        <v/>
      </c>
      <c r="P95" s="56" t="str">
        <f t="shared" si="48"/>
        <v/>
      </c>
      <c r="Q95" s="56" t="str">
        <f t="shared" si="49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3"/>
        <v/>
      </c>
      <c r="J96" s="54" t="str">
        <f t="shared" si="44"/>
        <v/>
      </c>
      <c r="K96" s="55" t="str">
        <f t="shared" si="45"/>
        <v/>
      </c>
      <c r="L96" s="55" t="str">
        <f t="shared" si="46"/>
        <v/>
      </c>
      <c r="M96" s="55" t="str">
        <f t="shared" si="51"/>
        <v/>
      </c>
      <c r="N96" s="55" t="str">
        <f t="shared" si="47"/>
        <v/>
      </c>
      <c r="O96" s="56" t="str">
        <f t="shared" si="52"/>
        <v/>
      </c>
      <c r="P96" s="56" t="str">
        <f t="shared" si="48"/>
        <v/>
      </c>
      <c r="Q96" s="56" t="str">
        <f t="shared" si="49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3"/>
        <v/>
      </c>
      <c r="J97" s="54" t="str">
        <f t="shared" si="44"/>
        <v/>
      </c>
      <c r="K97" s="55" t="str">
        <f t="shared" si="45"/>
        <v/>
      </c>
      <c r="L97" s="55" t="str">
        <f t="shared" si="46"/>
        <v/>
      </c>
      <c r="M97" s="55" t="str">
        <f t="shared" si="51"/>
        <v/>
      </c>
      <c r="N97" s="55" t="str">
        <f t="shared" si="47"/>
        <v/>
      </c>
      <c r="O97" s="56" t="str">
        <f t="shared" si="52"/>
        <v/>
      </c>
      <c r="P97" s="56" t="str">
        <f t="shared" si="48"/>
        <v/>
      </c>
      <c r="Q97" s="56" t="str">
        <f t="shared" si="49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3"/>
        <v/>
      </c>
      <c r="J98" s="54" t="str">
        <f t="shared" si="44"/>
        <v/>
      </c>
      <c r="K98" s="55" t="str">
        <f t="shared" si="45"/>
        <v/>
      </c>
      <c r="L98" s="55" t="str">
        <f t="shared" si="46"/>
        <v/>
      </c>
      <c r="M98" s="55" t="str">
        <f t="shared" si="51"/>
        <v/>
      </c>
      <c r="N98" s="55" t="str">
        <f t="shared" si="47"/>
        <v/>
      </c>
      <c r="O98" s="56" t="str">
        <f t="shared" si="52"/>
        <v/>
      </c>
      <c r="P98" s="56" t="str">
        <f t="shared" si="48"/>
        <v/>
      </c>
      <c r="Q98" s="56" t="str">
        <f t="shared" si="49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3"/>
        <v/>
      </c>
      <c r="J99" s="54" t="str">
        <f t="shared" si="44"/>
        <v/>
      </c>
      <c r="K99" s="55" t="str">
        <f t="shared" si="45"/>
        <v/>
      </c>
      <c r="L99" s="55" t="str">
        <f t="shared" si="46"/>
        <v/>
      </c>
      <c r="M99" s="55" t="str">
        <f t="shared" si="51"/>
        <v/>
      </c>
      <c r="N99" s="55" t="str">
        <f t="shared" si="47"/>
        <v/>
      </c>
      <c r="O99" s="56" t="str">
        <f t="shared" si="52"/>
        <v/>
      </c>
      <c r="P99" s="56" t="str">
        <f t="shared" si="48"/>
        <v/>
      </c>
      <c r="Q99" s="56" t="str">
        <f t="shared" si="49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3"/>
        <v/>
      </c>
      <c r="J100" s="54" t="str">
        <f t="shared" si="44"/>
        <v/>
      </c>
      <c r="K100" s="55" t="str">
        <f t="shared" si="45"/>
        <v/>
      </c>
      <c r="L100" s="55" t="str">
        <f t="shared" si="46"/>
        <v/>
      </c>
      <c r="M100" s="55" t="str">
        <f t="shared" si="51"/>
        <v/>
      </c>
      <c r="N100" s="55" t="str">
        <f t="shared" si="47"/>
        <v/>
      </c>
      <c r="O100" s="56" t="str">
        <f t="shared" si="52"/>
        <v/>
      </c>
      <c r="P100" s="56" t="str">
        <f t="shared" si="48"/>
        <v/>
      </c>
      <c r="Q100" s="56" t="str">
        <f t="shared" si="49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3"/>
        <v/>
      </c>
      <c r="J101" s="54" t="str">
        <f t="shared" si="44"/>
        <v/>
      </c>
      <c r="K101" s="55" t="str">
        <f t="shared" si="45"/>
        <v/>
      </c>
      <c r="L101" s="55" t="str">
        <f t="shared" si="46"/>
        <v/>
      </c>
      <c r="M101" s="55" t="str">
        <f t="shared" si="51"/>
        <v/>
      </c>
      <c r="N101" s="55" t="str">
        <f t="shared" si="47"/>
        <v/>
      </c>
      <c r="O101" s="56" t="str">
        <f t="shared" si="52"/>
        <v/>
      </c>
      <c r="P101" s="56" t="str">
        <f t="shared" si="48"/>
        <v/>
      </c>
      <c r="Q101" s="56" t="str">
        <f t="shared" si="49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3"/>
        <v/>
      </c>
      <c r="J102" s="54" t="str">
        <f t="shared" si="44"/>
        <v/>
      </c>
      <c r="K102" s="55" t="str">
        <f t="shared" si="45"/>
        <v/>
      </c>
      <c r="L102" s="55" t="str">
        <f t="shared" si="46"/>
        <v/>
      </c>
      <c r="M102" s="55" t="str">
        <f t="shared" si="51"/>
        <v/>
      </c>
      <c r="N102" s="55" t="str">
        <f t="shared" si="47"/>
        <v/>
      </c>
      <c r="O102" s="56" t="str">
        <f t="shared" si="52"/>
        <v/>
      </c>
      <c r="P102" s="56" t="str">
        <f t="shared" si="48"/>
        <v/>
      </c>
      <c r="Q102" s="56" t="str">
        <f t="shared" si="49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3"/>
        <v/>
      </c>
      <c r="J103" s="54" t="str">
        <f t="shared" si="44"/>
        <v/>
      </c>
      <c r="K103" s="55" t="str">
        <f t="shared" si="45"/>
        <v/>
      </c>
      <c r="L103" s="55" t="str">
        <f t="shared" si="46"/>
        <v/>
      </c>
      <c r="M103" s="55" t="str">
        <f t="shared" si="51"/>
        <v/>
      </c>
      <c r="N103" s="55" t="str">
        <f t="shared" si="47"/>
        <v/>
      </c>
      <c r="O103" s="56" t="str">
        <f t="shared" si="52"/>
        <v/>
      </c>
      <c r="P103" s="56" t="str">
        <f t="shared" si="48"/>
        <v/>
      </c>
      <c r="Q103" s="56" t="str">
        <f t="shared" si="49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3"/>
        <v/>
      </c>
      <c r="J104" s="54" t="str">
        <f t="shared" si="44"/>
        <v/>
      </c>
      <c r="K104" s="55" t="str">
        <f t="shared" si="45"/>
        <v/>
      </c>
      <c r="L104" s="55" t="str">
        <f t="shared" si="46"/>
        <v/>
      </c>
      <c r="M104" s="55" t="str">
        <f t="shared" si="51"/>
        <v/>
      </c>
      <c r="N104" s="55" t="str">
        <f t="shared" si="47"/>
        <v/>
      </c>
      <c r="O104" s="56" t="str">
        <f t="shared" si="52"/>
        <v/>
      </c>
      <c r="P104" s="56" t="str">
        <f t="shared" si="48"/>
        <v/>
      </c>
      <c r="Q104" s="56" t="str">
        <f t="shared" si="49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3"/>
        <v/>
      </c>
      <c r="J105" s="54" t="str">
        <f t="shared" si="44"/>
        <v/>
      </c>
      <c r="K105" s="55" t="str">
        <f t="shared" si="45"/>
        <v/>
      </c>
      <c r="L105" s="55" t="str">
        <f t="shared" si="46"/>
        <v/>
      </c>
      <c r="M105" s="55" t="str">
        <f t="shared" si="51"/>
        <v/>
      </c>
      <c r="N105" s="55" t="str">
        <f t="shared" si="47"/>
        <v/>
      </c>
      <c r="O105" s="56" t="str">
        <f t="shared" si="52"/>
        <v/>
      </c>
      <c r="P105" s="56" t="str">
        <f t="shared" si="48"/>
        <v/>
      </c>
      <c r="Q105" s="56" t="str">
        <f t="shared" si="49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3"/>
        <v/>
      </c>
      <c r="J106" s="54" t="str">
        <f t="shared" si="44"/>
        <v/>
      </c>
      <c r="K106" s="55" t="str">
        <f t="shared" si="45"/>
        <v/>
      </c>
      <c r="L106" s="55" t="str">
        <f t="shared" si="46"/>
        <v/>
      </c>
      <c r="M106" s="55" t="str">
        <f t="shared" si="51"/>
        <v/>
      </c>
      <c r="N106" s="55" t="str">
        <f t="shared" si="47"/>
        <v/>
      </c>
      <c r="O106" s="56" t="str">
        <f t="shared" si="52"/>
        <v/>
      </c>
      <c r="P106" s="56" t="str">
        <f t="shared" si="48"/>
        <v/>
      </c>
      <c r="Q106" s="56" t="str">
        <f t="shared" si="49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3"/>
        <v>1.9446765022663539E-3</v>
      </c>
      <c r="J107" s="54">
        <f t="shared" si="44"/>
        <v>0.33664255688928602</v>
      </c>
      <c r="K107" s="55">
        <f t="shared" si="45"/>
        <v>0.99358497464377271</v>
      </c>
      <c r="L107" s="55">
        <f t="shared" si="46"/>
        <v>1.4387367465143394E-3</v>
      </c>
      <c r="M107" s="55">
        <f t="shared" si="51"/>
        <v>0.99856126325348571</v>
      </c>
      <c r="N107" s="55">
        <f t="shared" si="47"/>
        <v>2.3231220866898349E-4</v>
      </c>
      <c r="O107" s="56">
        <f t="shared" si="52"/>
        <v>9.9476265168043885E-7</v>
      </c>
      <c r="P107" s="56">
        <f t="shared" si="48"/>
        <v>2.1595438565180234E-6</v>
      </c>
      <c r="Q107" s="56">
        <f t="shared" si="49"/>
        <v>1.1623354173738142E-5</v>
      </c>
      <c r="R107" s="9">
        <f>F107*$C$14</f>
        <v>1.4999999999999999E-4</v>
      </c>
      <c r="S107" s="9">
        <f t="shared" ref="S107:S108" si="53">$R107*L107</f>
        <v>2.1581051197715089E-7</v>
      </c>
      <c r="T107" s="9">
        <f t="shared" ref="T107:T108" si="54">R107*K107</f>
        <v>1.4903774619656588E-4</v>
      </c>
      <c r="U107" s="9">
        <f t="shared" ref="U107:U108" si="55">$R107*M107</f>
        <v>1.4978418948802285E-4</v>
      </c>
      <c r="V107" s="102">
        <f t="shared" ref="V107:V108" si="56">K107/M107</f>
        <v>0.99501654150542618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3"/>
        <v>1.5422749478710035E-2</v>
      </c>
      <c r="J108" s="54">
        <f t="shared" si="44"/>
        <v>1.0476738921027908</v>
      </c>
      <c r="K108" s="55">
        <f t="shared" si="45"/>
        <v>0.95773394812893398</v>
      </c>
      <c r="L108" s="55">
        <f t="shared" si="46"/>
        <v>7.1293927097676223E-3</v>
      </c>
      <c r="M108" s="55">
        <f t="shared" si="51"/>
        <v>0.99287060729023235</v>
      </c>
      <c r="N108" s="55">
        <f t="shared" si="47"/>
        <v>2.3006412393388243E-3</v>
      </c>
      <c r="O108" s="56">
        <f t="shared" si="52"/>
        <v>9.5886913163787487E-7</v>
      </c>
      <c r="P108" s="56">
        <f t="shared" si="48"/>
        <v>1.0701218457361202E-5</v>
      </c>
      <c r="Q108" s="56">
        <f t="shared" si="49"/>
        <v>1.1510875000825252E-4</v>
      </c>
      <c r="R108" s="9">
        <f>F108*$C$14</f>
        <v>1.4999999999999999E-4</v>
      </c>
      <c r="S108" s="9">
        <f t="shared" si="53"/>
        <v>1.0694089064651433E-6</v>
      </c>
      <c r="T108" s="9">
        <f t="shared" si="54"/>
        <v>1.4366009221934009E-4</v>
      </c>
      <c r="U108" s="9">
        <f t="shared" si="55"/>
        <v>1.4893059109353485E-4</v>
      </c>
      <c r="V108" s="102">
        <f t="shared" si="56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3"/>
        <v/>
      </c>
      <c r="J109" s="54" t="str">
        <f t="shared" si="44"/>
        <v/>
      </c>
      <c r="K109" s="55" t="str">
        <f t="shared" si="45"/>
        <v/>
      </c>
      <c r="L109" s="55" t="str">
        <f t="shared" si="46"/>
        <v/>
      </c>
      <c r="M109" s="55" t="str">
        <f t="shared" si="51"/>
        <v/>
      </c>
      <c r="N109" s="55" t="str">
        <f t="shared" si="47"/>
        <v/>
      </c>
      <c r="O109" s="56" t="str">
        <f t="shared" si="52"/>
        <v/>
      </c>
      <c r="P109" s="56" t="str">
        <f t="shared" si="48"/>
        <v/>
      </c>
      <c r="Q109" s="56" t="str">
        <f t="shared" si="49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3"/>
        <v/>
      </c>
      <c r="J110" s="54" t="str">
        <f t="shared" si="44"/>
        <v/>
      </c>
      <c r="K110" s="55" t="str">
        <f t="shared" si="45"/>
        <v/>
      </c>
      <c r="L110" s="55" t="str">
        <f t="shared" si="46"/>
        <v/>
      </c>
      <c r="M110" s="55" t="str">
        <f t="shared" si="51"/>
        <v/>
      </c>
      <c r="N110" s="55" t="str">
        <f t="shared" si="47"/>
        <v/>
      </c>
      <c r="O110" s="56" t="str">
        <f t="shared" si="52"/>
        <v/>
      </c>
      <c r="P110" s="56" t="str">
        <f t="shared" si="48"/>
        <v/>
      </c>
      <c r="Q110" s="56" t="str">
        <f t="shared" si="49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3"/>
        <v/>
      </c>
      <c r="J111" s="54" t="str">
        <f t="shared" si="44"/>
        <v/>
      </c>
      <c r="K111" s="55" t="str">
        <f t="shared" si="45"/>
        <v/>
      </c>
      <c r="L111" s="55" t="str">
        <f t="shared" si="46"/>
        <v/>
      </c>
      <c r="M111" s="55" t="str">
        <f t="shared" si="51"/>
        <v/>
      </c>
      <c r="N111" s="55" t="str">
        <f t="shared" si="47"/>
        <v/>
      </c>
      <c r="O111" s="56" t="str">
        <f t="shared" si="52"/>
        <v/>
      </c>
      <c r="P111" s="56" t="str">
        <f t="shared" si="48"/>
        <v/>
      </c>
      <c r="Q111" s="56" t="str">
        <f t="shared" si="49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3"/>
        <v/>
      </c>
      <c r="J112" s="54" t="str">
        <f t="shared" si="44"/>
        <v/>
      </c>
      <c r="K112" s="55" t="str">
        <f t="shared" si="45"/>
        <v/>
      </c>
      <c r="L112" s="55" t="str">
        <f t="shared" si="46"/>
        <v/>
      </c>
      <c r="M112" s="55" t="str">
        <f t="shared" si="51"/>
        <v/>
      </c>
      <c r="N112" s="55" t="str">
        <f t="shared" si="47"/>
        <v/>
      </c>
      <c r="O112" s="56" t="str">
        <f t="shared" si="52"/>
        <v/>
      </c>
      <c r="P112" s="56" t="str">
        <f t="shared" si="48"/>
        <v/>
      </c>
      <c r="Q112" s="56" t="str">
        <f t="shared" si="49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3"/>
        <v/>
      </c>
      <c r="J113" s="54" t="str">
        <f t="shared" si="44"/>
        <v/>
      </c>
      <c r="K113" s="55" t="str">
        <f t="shared" si="45"/>
        <v/>
      </c>
      <c r="L113" s="55" t="str">
        <f t="shared" si="46"/>
        <v/>
      </c>
      <c r="M113" s="55" t="str">
        <f t="shared" si="51"/>
        <v/>
      </c>
      <c r="N113" s="55" t="str">
        <f t="shared" si="47"/>
        <v/>
      </c>
      <c r="O113" s="56" t="str">
        <f t="shared" si="52"/>
        <v/>
      </c>
      <c r="P113" s="56" t="str">
        <f t="shared" si="48"/>
        <v/>
      </c>
      <c r="Q113" s="56" t="str">
        <f t="shared" si="49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3"/>
        <v>1.0353959656071578E-2</v>
      </c>
      <c r="J114" s="54">
        <f t="shared" si="44"/>
        <v>0.90660680878543065</v>
      </c>
      <c r="K114" s="55">
        <f t="shared" si="45"/>
        <v>0.97083835072646574</v>
      </c>
      <c r="L114" s="55">
        <f t="shared" si="46"/>
        <v>5.2226088020422487E-3</v>
      </c>
      <c r="M114" s="55">
        <f t="shared" si="51"/>
        <v>0.99477739119795772</v>
      </c>
      <c r="N114" s="55">
        <f t="shared" si="47"/>
        <v>1.812720901078545E-3</v>
      </c>
      <c r="O114" s="56">
        <f t="shared" si="52"/>
        <v>9.7198906663013101E-7</v>
      </c>
      <c r="P114" s="56">
        <f t="shared" si="48"/>
        <v>7.8391358118654183E-6</v>
      </c>
      <c r="Q114" s="56">
        <f t="shared" si="49"/>
        <v>9.0696469083963201E-5</v>
      </c>
      <c r="R114" s="9">
        <f>F114*$C$14</f>
        <v>1.4999999999999999E-4</v>
      </c>
      <c r="S114" s="9">
        <f t="shared" ref="S114:S116" si="57">$R114*L114</f>
        <v>7.8339132030633725E-7</v>
      </c>
      <c r="T114" s="9">
        <f t="shared" ref="T114:T116" si="58">R114*K114</f>
        <v>1.4562575260896986E-4</v>
      </c>
      <c r="U114" s="9">
        <f t="shared" ref="U114:U116" si="59">$R114*M114</f>
        <v>1.4921660867969365E-4</v>
      </c>
      <c r="V114" s="102">
        <f t="shared" ref="V114:V116" si="60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3"/>
        <v>2.0480395290290027E-2</v>
      </c>
      <c r="J115" s="54">
        <f t="shared" si="44"/>
        <v>1.0869139815525992</v>
      </c>
      <c r="K115" s="55">
        <f t="shared" si="45"/>
        <v>0.94609285513348595</v>
      </c>
      <c r="L115" s="55">
        <f t="shared" si="46"/>
        <v>7.7087064522492537E-3</v>
      </c>
      <c r="M115" s="55">
        <f t="shared" si="51"/>
        <v>0.9922912935477507</v>
      </c>
      <c r="N115" s="55">
        <f t="shared" si="47"/>
        <v>1.0096823887616631E-3</v>
      </c>
      <c r="O115" s="56">
        <f t="shared" si="52"/>
        <v>9.4721424068024708E-7</v>
      </c>
      <c r="P115" s="56">
        <f t="shared" si="48"/>
        <v>1.1570768384826128E-5</v>
      </c>
      <c r="Q115" s="56">
        <f t="shared" si="49"/>
        <v>5.0517775517708554E-5</v>
      </c>
      <c r="R115" s="9">
        <f>F115*$C$14</f>
        <v>1.4999999999999999E-4</v>
      </c>
      <c r="S115" s="9">
        <f t="shared" si="57"/>
        <v>1.156305967837388E-6</v>
      </c>
      <c r="T115" s="9">
        <f t="shared" si="58"/>
        <v>1.4191392827002288E-4</v>
      </c>
      <c r="U115" s="9">
        <f t="shared" si="59"/>
        <v>1.4884369403216259E-4</v>
      </c>
      <c r="V115" s="102">
        <f t="shared" si="60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3"/>
        <v>5.8413729360461944E-4</v>
      </c>
      <c r="J116" s="54">
        <f t="shared" si="44"/>
        <v>0.11008125501635208</v>
      </c>
      <c r="K116" s="55">
        <f t="shared" si="45"/>
        <v>0.99728306612244388</v>
      </c>
      <c r="L116" s="55">
        <f t="shared" si="46"/>
        <v>8.571038848616371E-4</v>
      </c>
      <c r="M116" s="55">
        <f t="shared" si="51"/>
        <v>0.9991428961151384</v>
      </c>
      <c r="N116" s="55">
        <f t="shared" si="47"/>
        <v>2.7265185907635498E-5</v>
      </c>
      <c r="O116" s="56">
        <f t="shared" si="52"/>
        <v>9.9846512643535225E-7</v>
      </c>
      <c r="P116" s="56">
        <f t="shared" si="48"/>
        <v>1.2865129311773171E-6</v>
      </c>
      <c r="Q116" s="56">
        <f t="shared" si="49"/>
        <v>1.3641681349120294E-6</v>
      </c>
      <c r="R116" s="9">
        <f>F116*$C$14</f>
        <v>1.4999999999999999E-4</v>
      </c>
      <c r="S116" s="9">
        <f t="shared" si="57"/>
        <v>1.2856558272924556E-7</v>
      </c>
      <c r="T116" s="9">
        <f t="shared" si="58"/>
        <v>1.4959245991836656E-4</v>
      </c>
      <c r="U116" s="9">
        <f t="shared" si="59"/>
        <v>1.4987143441727075E-4</v>
      </c>
      <c r="V116" s="102">
        <f t="shared" si="60"/>
        <v>0.99813857457234001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3"/>
        <v/>
      </c>
      <c r="J117" s="54" t="str">
        <f t="shared" si="44"/>
        <v/>
      </c>
      <c r="K117" s="55" t="str">
        <f t="shared" si="45"/>
        <v/>
      </c>
      <c r="L117" s="55" t="str">
        <f t="shared" si="46"/>
        <v/>
      </c>
      <c r="M117" s="55" t="str">
        <f t="shared" si="51"/>
        <v/>
      </c>
      <c r="N117" s="55" t="str">
        <f t="shared" si="47"/>
        <v/>
      </c>
      <c r="O117" s="56" t="str">
        <f t="shared" si="52"/>
        <v/>
      </c>
      <c r="P117" s="56" t="str">
        <f t="shared" si="48"/>
        <v/>
      </c>
      <c r="Q117" s="56" t="str">
        <f t="shared" si="49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3"/>
        <v/>
      </c>
      <c r="J118" s="54" t="str">
        <f t="shared" si="44"/>
        <v/>
      </c>
      <c r="K118" s="55" t="str">
        <f t="shared" si="45"/>
        <v/>
      </c>
      <c r="L118" s="55" t="str">
        <f t="shared" si="46"/>
        <v/>
      </c>
      <c r="M118" s="55" t="str">
        <f t="shared" si="51"/>
        <v/>
      </c>
      <c r="N118" s="55" t="str">
        <f t="shared" si="47"/>
        <v/>
      </c>
      <c r="O118" s="56" t="str">
        <f t="shared" si="52"/>
        <v/>
      </c>
      <c r="P118" s="56" t="str">
        <f t="shared" si="48"/>
        <v/>
      </c>
      <c r="Q118" s="56" t="str">
        <f t="shared" si="49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3"/>
        <v>0.56658503951123784</v>
      </c>
      <c r="J119" s="54">
        <f t="shared" si="44"/>
        <v>3.0063821040542344</v>
      </c>
      <c r="K119" s="55">
        <f t="shared" si="45"/>
        <v>0.22909249499306614</v>
      </c>
      <c r="L119" s="55">
        <f t="shared" si="46"/>
        <v>0.15506962258384574</v>
      </c>
      <c r="M119" s="55">
        <f t="shared" si="51"/>
        <v>0.84493037741615429</v>
      </c>
      <c r="N119" s="55">
        <f t="shared" si="47"/>
        <v>9.4284191339456383E-2</v>
      </c>
      <c r="O119" s="56">
        <f t="shared" si="52"/>
        <v>2.2936403389261788E-7</v>
      </c>
      <c r="P119" s="56">
        <f t="shared" si="48"/>
        <v>2.3275950349835249E-4</v>
      </c>
      <c r="Q119" s="56">
        <f t="shared" si="49"/>
        <v>4.717352373350801E-3</v>
      </c>
      <c r="R119" s="9">
        <f>F119*$C$14</f>
        <v>1.4999999999999999E-4</v>
      </c>
      <c r="S119" s="9">
        <f t="shared" ref="S119:S121" si="61">$R119*L119</f>
        <v>2.3260443387576858E-5</v>
      </c>
      <c r="T119" s="9">
        <f t="shared" ref="T119:T121" si="62">R119*K119</f>
        <v>3.4363874248959917E-5</v>
      </c>
      <c r="U119" s="9">
        <f t="shared" ref="U119:U121" si="63">$R119*M119</f>
        <v>1.2673955661242313E-4</v>
      </c>
      <c r="V119" s="102">
        <f t="shared" ref="V119:V121" si="64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3"/>
        <v>2.3514137427377815E-2</v>
      </c>
      <c r="J120" s="54">
        <f t="shared" si="44"/>
        <v>1.2095466574573663</v>
      </c>
      <c r="K120" s="55">
        <f t="shared" si="45"/>
        <v>0.93721647404494457</v>
      </c>
      <c r="L120" s="55">
        <f t="shared" si="46"/>
        <v>1.012792169948926E-2</v>
      </c>
      <c r="M120" s="55">
        <f t="shared" si="51"/>
        <v>0.98987207830051072</v>
      </c>
      <c r="N120" s="55">
        <f t="shared" si="47"/>
        <v>3.0848278448573296E-3</v>
      </c>
      <c r="O120" s="56">
        <f t="shared" si="52"/>
        <v>9.3832733858903025E-7</v>
      </c>
      <c r="P120" s="56">
        <f t="shared" si="48"/>
        <v>1.5202010470933382E-5</v>
      </c>
      <c r="Q120" s="56">
        <f t="shared" si="49"/>
        <v>1.5434421983769506E-4</v>
      </c>
      <c r="R120" s="9">
        <f>F120*$C$14</f>
        <v>1.4999999999999999E-4</v>
      </c>
      <c r="S120" s="9">
        <f t="shared" si="61"/>
        <v>1.5191882549233889E-6</v>
      </c>
      <c r="T120" s="9">
        <f t="shared" si="62"/>
        <v>1.4058247110674166E-4</v>
      </c>
      <c r="U120" s="9">
        <f t="shared" si="63"/>
        <v>1.4848081174507661E-4</v>
      </c>
      <c r="V120" s="102">
        <f t="shared" si="64"/>
        <v>0.94680564750753515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3"/>
        <v>1.0322461970770105</v>
      </c>
      <c r="J121" s="54">
        <f t="shared" si="44"/>
        <v>3.4992504399251074</v>
      </c>
      <c r="K121" s="55">
        <f t="shared" si="45"/>
        <v>7.7627825461659222E-2</v>
      </c>
      <c r="L121" s="55">
        <f t="shared" si="46"/>
        <v>0.16345628510439014</v>
      </c>
      <c r="M121" s="55">
        <f t="shared" si="51"/>
        <v>0.83654371489560986</v>
      </c>
      <c r="N121" s="55">
        <f t="shared" si="47"/>
        <v>7.880094745461777E-2</v>
      </c>
      <c r="O121" s="56">
        <f t="shared" si="52"/>
        <v>7.7719836220462517E-8</v>
      </c>
      <c r="P121" s="56">
        <f t="shared" si="48"/>
        <v>2.4534788394168963E-4</v>
      </c>
      <c r="Q121" s="56">
        <f t="shared" si="49"/>
        <v>3.9426740709793762E-3</v>
      </c>
      <c r="R121" s="9">
        <f>F121*$C$14</f>
        <v>1.4999999999999999E-4</v>
      </c>
      <c r="S121" s="9">
        <f t="shared" si="61"/>
        <v>2.451844276565852E-5</v>
      </c>
      <c r="T121" s="9">
        <f t="shared" si="62"/>
        <v>1.1644173819248883E-5</v>
      </c>
      <c r="U121" s="9">
        <f t="shared" si="63"/>
        <v>1.2548155723434147E-4</v>
      </c>
      <c r="V121" s="102">
        <f t="shared" si="64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3"/>
        <v/>
      </c>
      <c r="J122" s="54" t="str">
        <f t="shared" si="44"/>
        <v/>
      </c>
      <c r="K122" s="55" t="str">
        <f t="shared" si="45"/>
        <v/>
      </c>
      <c r="L122" s="55" t="str">
        <f t="shared" si="46"/>
        <v/>
      </c>
      <c r="M122" s="55" t="str">
        <f t="shared" si="51"/>
        <v/>
      </c>
      <c r="N122" s="55" t="str">
        <f t="shared" si="47"/>
        <v/>
      </c>
      <c r="O122" s="56" t="str">
        <f t="shared" si="52"/>
        <v/>
      </c>
      <c r="P122" s="56" t="str">
        <f t="shared" si="48"/>
        <v/>
      </c>
      <c r="Q122" s="56" t="str">
        <f t="shared" si="49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5">IF(D123=0,"",LOG($K$15*10^D123+$K$16*10^E123+$K$14))</f>
        <v/>
      </c>
      <c r="J123" s="54" t="str">
        <f t="shared" ref="J123:J127" si="66">IF(D123=0,"",LOG($K$21*10^D123+$K$22*10^E123+$K$20))</f>
        <v/>
      </c>
      <c r="K123" s="55" t="str">
        <f t="shared" ref="K123:K127" si="67">IF(D123=0,"",1/(1+10^D123*$J$15/$J$14+10^E123*$J$16/$J$14+10^J123*$J$19/$J$14))</f>
        <v/>
      </c>
      <c r="L123" s="55" t="str">
        <f t="shared" ref="L123:L127" si="68">IF(D123=0,"",1/(1+10^I123/10^J123*$J$13/$J$19))</f>
        <v/>
      </c>
      <c r="M123" s="55" t="str">
        <f t="shared" si="51"/>
        <v/>
      </c>
      <c r="N123" s="55" t="str">
        <f t="shared" ref="N123:N127" si="69">IF(D123=0,"",1/(1/10^E123*$J$20/$J$22+10^D123/10^E123*$J$21/$J$22+10^I123/10^E123*$J$13/$J$22+1))</f>
        <v/>
      </c>
      <c r="O123" s="56" t="str">
        <f t="shared" si="52"/>
        <v/>
      </c>
      <c r="P123" s="56" t="str">
        <f t="shared" ref="P123:P127" si="70">IF(D123=0,"",O123*10^J123)</f>
        <v/>
      </c>
      <c r="Q123" s="56" t="str">
        <f t="shared" ref="Q123:Q127" si="7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5"/>
        <v>0.13981203375224763</v>
      </c>
      <c r="J124" s="54">
        <f t="shared" si="66"/>
        <v>2.1544133005355879</v>
      </c>
      <c r="K124" s="55">
        <f t="shared" si="67"/>
        <v>0.67765261220090811</v>
      </c>
      <c r="L124" s="55">
        <f t="shared" si="68"/>
        <v>6.4499178180156075E-2</v>
      </c>
      <c r="M124" s="55">
        <f t="shared" si="51"/>
        <v>0.93550082181984395</v>
      </c>
      <c r="N124" s="55">
        <f t="shared" si="69"/>
        <v>3.8436703647825157E-2</v>
      </c>
      <c r="O124" s="56">
        <f t="shared" si="52"/>
        <v>6.7845582072417704E-7</v>
      </c>
      <c r="P124" s="56">
        <f t="shared" si="70"/>
        <v>9.6813266448414245E-5</v>
      </c>
      <c r="Q124" s="56">
        <f t="shared" si="71"/>
        <v>1.9231164058461853E-3</v>
      </c>
      <c r="R124" s="9">
        <f>F124*$C$14</f>
        <v>1.4999999999999999E-4</v>
      </c>
      <c r="S124" s="9">
        <f t="shared" ref="S124:S127" si="72">$R124*L124</f>
        <v>9.6748767270234106E-6</v>
      </c>
      <c r="T124" s="9">
        <f t="shared" ref="T124:T127" si="73">R124*K124</f>
        <v>1.0164789183013621E-4</v>
      </c>
      <c r="U124" s="9">
        <f t="shared" ref="U124:U127" si="74">$R124*M124</f>
        <v>1.4032512327297658E-4</v>
      </c>
      <c r="V124" s="102">
        <f t="shared" ref="V124:V127" si="75">K124/M124</f>
        <v>0.72437414954126944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5"/>
        <v/>
      </c>
      <c r="J125" s="54" t="str">
        <f t="shared" si="66"/>
        <v/>
      </c>
      <c r="K125" s="55" t="str">
        <f t="shared" si="67"/>
        <v/>
      </c>
      <c r="L125" s="55" t="str">
        <f t="shared" si="68"/>
        <v/>
      </c>
      <c r="M125" s="55" t="str">
        <f t="shared" si="51"/>
        <v/>
      </c>
      <c r="N125" s="55" t="str">
        <f t="shared" si="69"/>
        <v/>
      </c>
      <c r="O125" s="56" t="str">
        <f t="shared" si="52"/>
        <v/>
      </c>
      <c r="P125" s="56" t="str">
        <f t="shared" si="70"/>
        <v/>
      </c>
      <c r="Q125" s="56" t="str">
        <f t="shared" si="71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5"/>
        <v>4.9312922410980113E-2</v>
      </c>
      <c r="J126" s="54">
        <f t="shared" si="66"/>
        <v>1.5517614107472002</v>
      </c>
      <c r="K126" s="55">
        <f t="shared" si="67"/>
        <v>0.87367680321211905</v>
      </c>
      <c r="L126" s="55">
        <f t="shared" si="68"/>
        <v>2.0760890581194499E-2</v>
      </c>
      <c r="M126" s="55">
        <f t="shared" si="51"/>
        <v>0.97923910941880554</v>
      </c>
      <c r="N126" s="55">
        <f t="shared" si="69"/>
        <v>7.5973095770785655E-3</v>
      </c>
      <c r="O126" s="56">
        <f t="shared" si="52"/>
        <v>8.7471235541436502E-7</v>
      </c>
      <c r="P126" s="56">
        <f t="shared" si="70"/>
        <v>3.1162096762372953E-5</v>
      </c>
      <c r="Q126" s="56">
        <f t="shared" si="71"/>
        <v>3.8011872250649759E-4</v>
      </c>
      <c r="R126" s="9">
        <f>F126*$C$14</f>
        <v>1.4999999999999999E-4</v>
      </c>
      <c r="S126" s="9">
        <f t="shared" si="72"/>
        <v>3.1141335871791745E-6</v>
      </c>
      <c r="T126" s="9">
        <f t="shared" si="73"/>
        <v>1.3105152048181786E-4</v>
      </c>
      <c r="U126" s="9">
        <f t="shared" si="74"/>
        <v>1.4688586641282083E-4</v>
      </c>
      <c r="V126" s="102">
        <f t="shared" si="75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5"/>
        <v>5.4598878066109929E-5</v>
      </c>
      <c r="J127" s="54">
        <f t="shared" si="66"/>
        <v>1.2986163657413483E-2</v>
      </c>
      <c r="K127" s="55">
        <f t="shared" si="67"/>
        <v>0.9986704517676771</v>
      </c>
      <c r="L127" s="55">
        <f t="shared" si="68"/>
        <v>6.8634445251043372E-4</v>
      </c>
      <c r="M127" s="55">
        <f t="shared" si="51"/>
        <v>0.99931365554748952</v>
      </c>
      <c r="N127" s="55">
        <f t="shared" si="69"/>
        <v>2.374850190678955E-5</v>
      </c>
      <c r="O127" s="56">
        <f t="shared" si="52"/>
        <v>9.9985415652193375E-7</v>
      </c>
      <c r="P127" s="56">
        <f t="shared" si="70"/>
        <v>1.0302030232181609E-6</v>
      </c>
      <c r="Q127" s="56">
        <f t="shared" si="71"/>
        <v>1.188216712069704E-6</v>
      </c>
      <c r="R127" s="9">
        <f>F127*$C$14</f>
        <v>1.4999999999999999E-4</v>
      </c>
      <c r="S127" s="9">
        <f t="shared" si="72"/>
        <v>1.0295166787656505E-7</v>
      </c>
      <c r="T127" s="9">
        <f t="shared" si="73"/>
        <v>1.4980056776515155E-4</v>
      </c>
      <c r="U127" s="9">
        <f t="shared" si="74"/>
        <v>1.4989704833212342E-4</v>
      </c>
      <c r="V127" s="102">
        <f t="shared" si="75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6">IF(D128=0,"",LOG($K$15*10^D128+$K$16*10^E128+$K$14))</f>
        <v/>
      </c>
      <c r="J128" s="54" t="str">
        <f t="shared" ref="J128:J134" si="77">IF(D128=0,"",LOG($K$21*10^D128+$K$22*10^E128+$K$20))</f>
        <v/>
      </c>
      <c r="K128" s="55" t="str">
        <f t="shared" ref="K128:K134" si="78">IF(D128=0,"",1/(1+10^D128*$J$15/$J$14+10^E128*$J$16/$J$14+10^J128*$J$19/$J$14))</f>
        <v/>
      </c>
      <c r="L128" s="55" t="str">
        <f t="shared" ref="L128:L134" si="79">IF(D128=0,"",1/(1+10^I128/10^J128*$J$13/$J$19))</f>
        <v/>
      </c>
      <c r="M128" s="55" t="str">
        <f t="shared" ref="M128:M134" si="80">IF(D128=0,"",1-L128)</f>
        <v/>
      </c>
      <c r="N128" s="55" t="str">
        <f t="shared" ref="N128:N134" si="81">IF(D128=0,"",1/(1/10^E128*$J$20/$J$22+10^D128/10^E128*$J$21/$J$22+10^I128/10^E128*$J$13/$J$22+1))</f>
        <v/>
      </c>
      <c r="O128" s="56" t="str">
        <f t="shared" ref="O128:O134" si="82">IF(D128=0,"",F128*K128*$J$7/$J$14)</f>
        <v/>
      </c>
      <c r="P128" s="56" t="str">
        <f t="shared" ref="P128:P134" si="83">IF(D128=0,"",O128*10^J128)</f>
        <v/>
      </c>
      <c r="Q128" s="56" t="str">
        <f t="shared" ref="Q128:Q134" si="84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6"/>
        <v/>
      </c>
      <c r="J129" s="54" t="str">
        <f t="shared" si="77"/>
        <v/>
      </c>
      <c r="K129" s="55" t="str">
        <f t="shared" si="78"/>
        <v/>
      </c>
      <c r="L129" s="55" t="str">
        <f t="shared" si="79"/>
        <v/>
      </c>
      <c r="M129" s="55" t="str">
        <f t="shared" si="80"/>
        <v/>
      </c>
      <c r="N129" s="55" t="str">
        <f t="shared" si="81"/>
        <v/>
      </c>
      <c r="O129" s="56" t="str">
        <f t="shared" si="82"/>
        <v/>
      </c>
      <c r="P129" s="56" t="str">
        <f t="shared" si="83"/>
        <v/>
      </c>
      <c r="Q129" s="56" t="str">
        <f t="shared" si="84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6"/>
        <v>2.1084810301724875E-3</v>
      </c>
      <c r="J130" s="54">
        <f t="shared" si="77"/>
        <v>0.32738996440137741</v>
      </c>
      <c r="K130" s="55">
        <f t="shared" si="78"/>
        <v>0.99324094146398045</v>
      </c>
      <c r="L130" s="55">
        <f t="shared" si="79"/>
        <v>1.4079211761221463E-3</v>
      </c>
      <c r="M130" s="55">
        <f t="shared" si="80"/>
        <v>0.9985920788238779</v>
      </c>
      <c r="N130" s="55">
        <f t="shared" si="81"/>
        <v>1.199945803930904E-4</v>
      </c>
      <c r="O130" s="56">
        <f t="shared" si="82"/>
        <v>9.9441821072477851E-7</v>
      </c>
      <c r="P130" s="56">
        <f t="shared" si="83"/>
        <v>2.1132896853593422E-6</v>
      </c>
      <c r="Q130" s="56">
        <f t="shared" si="84"/>
        <v>6.0037288390009562E-6</v>
      </c>
      <c r="R130" s="9">
        <f>F130*$C$14</f>
        <v>1.4999999999999999E-4</v>
      </c>
      <c r="S130" s="9">
        <f t="shared" ref="S130:S131" si="85">$R130*L130</f>
        <v>2.1118817641832191E-7</v>
      </c>
      <c r="T130" s="9">
        <f t="shared" ref="T130:T131" si="86">R130*K130</f>
        <v>1.4898614121959706E-4</v>
      </c>
      <c r="U130" s="9">
        <f t="shared" ref="U130:U131" si="87">$R130*M130</f>
        <v>1.4978881182358168E-4</v>
      </c>
      <c r="V130" s="102">
        <f t="shared" ref="V130:V131" si="88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6"/>
        <v>-5.830329626681688E-5</v>
      </c>
      <c r="J131" s="54">
        <f t="shared" si="77"/>
        <v>-1.6576123285215592E-2</v>
      </c>
      <c r="K131" s="55">
        <f t="shared" si="78"/>
        <v>0.99897505855376745</v>
      </c>
      <c r="L131" s="55">
        <f t="shared" si="79"/>
        <v>6.413753812245166E-4</v>
      </c>
      <c r="M131" s="55">
        <f t="shared" si="80"/>
        <v>0.99935862461877545</v>
      </c>
      <c r="N131" s="55">
        <f t="shared" si="81"/>
        <v>1.1406559331294331E-5</v>
      </c>
      <c r="O131" s="56">
        <f t="shared" si="82"/>
        <v>1.0001591243525511E-6</v>
      </c>
      <c r="P131" s="56">
        <f t="shared" si="83"/>
        <v>9.6270444721799922E-7</v>
      </c>
      <c r="Q131" s="56">
        <f t="shared" si="84"/>
        <v>5.7070818520909309E-7</v>
      </c>
      <c r="R131" s="9">
        <f>F131*$C$14</f>
        <v>1.4999999999999999E-4</v>
      </c>
      <c r="S131" s="9">
        <f t="shared" si="85"/>
        <v>9.6206307183677477E-8</v>
      </c>
      <c r="T131" s="9">
        <f t="shared" si="86"/>
        <v>1.498462587830651E-4</v>
      </c>
      <c r="U131" s="9">
        <f t="shared" si="87"/>
        <v>1.4990379369281631E-4</v>
      </c>
      <c r="V131" s="102">
        <f t="shared" si="88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6"/>
        <v/>
      </c>
      <c r="J132" s="54" t="str">
        <f t="shared" si="77"/>
        <v/>
      </c>
      <c r="K132" s="55" t="str">
        <f t="shared" si="78"/>
        <v/>
      </c>
      <c r="L132" s="55" t="str">
        <f t="shared" si="79"/>
        <v/>
      </c>
      <c r="M132" s="55" t="str">
        <f t="shared" si="80"/>
        <v/>
      </c>
      <c r="N132" s="55" t="str">
        <f t="shared" si="81"/>
        <v/>
      </c>
      <c r="O132" s="56" t="str">
        <f t="shared" si="82"/>
        <v/>
      </c>
      <c r="P132" s="56" t="str">
        <f t="shared" si="83"/>
        <v/>
      </c>
      <c r="Q132" s="56" t="str">
        <f t="shared" si="84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6"/>
        <v/>
      </c>
      <c r="J133" s="54" t="str">
        <f t="shared" si="77"/>
        <v/>
      </c>
      <c r="K133" s="55" t="str">
        <f t="shared" si="78"/>
        <v/>
      </c>
      <c r="L133" s="55" t="str">
        <f t="shared" si="79"/>
        <v/>
      </c>
      <c r="M133" s="55" t="str">
        <f t="shared" si="80"/>
        <v/>
      </c>
      <c r="N133" s="55" t="str">
        <f t="shared" si="81"/>
        <v/>
      </c>
      <c r="O133" s="56" t="str">
        <f t="shared" si="82"/>
        <v/>
      </c>
      <c r="P133" s="56" t="str">
        <f t="shared" si="83"/>
        <v/>
      </c>
      <c r="Q133" s="56" t="str">
        <f t="shared" si="84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6"/>
        <v/>
      </c>
      <c r="J134" s="54" t="str">
        <f t="shared" si="77"/>
        <v/>
      </c>
      <c r="K134" s="55" t="str">
        <f t="shared" si="78"/>
        <v/>
      </c>
      <c r="L134" s="55" t="str">
        <f t="shared" si="79"/>
        <v/>
      </c>
      <c r="M134" s="55" t="str">
        <f t="shared" si="80"/>
        <v/>
      </c>
      <c r="N134" s="55" t="str">
        <f t="shared" si="81"/>
        <v/>
      </c>
      <c r="O134" s="56" t="str">
        <f t="shared" si="82"/>
        <v/>
      </c>
      <c r="P134" s="56" t="str">
        <f t="shared" si="83"/>
        <v/>
      </c>
      <c r="Q134" s="56" t="str">
        <f t="shared" si="84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2024-10-28T20:59:23Z</dcterms:modified>
</cp:coreProperties>
</file>