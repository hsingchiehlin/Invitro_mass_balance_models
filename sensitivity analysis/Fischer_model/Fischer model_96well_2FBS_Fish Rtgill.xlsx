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Sens_R\Fischer\96well_1um\"/>
    </mc:Choice>
  </mc:AlternateContent>
  <xr:revisionPtr revIDLastSave="0" documentId="13_ncr:1_{AAFAD6F2-A8B5-42D5-8A42-4EF78CCCDF4E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35" i="4" l="1"/>
  <c r="L135" i="4" s="1"/>
  <c r="M135" i="4" s="1"/>
  <c r="J135" i="4"/>
  <c r="K135" i="4" s="1"/>
  <c r="O135" i="4" s="1"/>
  <c r="N135" i="4"/>
  <c r="P135" i="4"/>
  <c r="Q135" i="4"/>
  <c r="I136" i="4"/>
  <c r="L136" i="4" s="1"/>
  <c r="M136" i="4" s="1"/>
  <c r="J136" i="4"/>
  <c r="K136" i="4"/>
  <c r="I137" i="4"/>
  <c r="L137" i="4" s="1"/>
  <c r="M137" i="4" s="1"/>
  <c r="J137" i="4"/>
  <c r="K137" i="4" s="1"/>
  <c r="N137" i="4"/>
  <c r="Q137" i="4" s="1"/>
  <c r="I138" i="4"/>
  <c r="J138" i="4"/>
  <c r="K138" i="4" s="1"/>
  <c r="N138" i="4"/>
  <c r="Q138" i="4" s="1"/>
  <c r="I139" i="4"/>
  <c r="J139" i="4"/>
  <c r="K139" i="4"/>
  <c r="L139" i="4"/>
  <c r="M139" i="4" s="1"/>
  <c r="U139" i="4" s="1"/>
  <c r="N139" i="4"/>
  <c r="O139" i="4"/>
  <c r="P139" i="4"/>
  <c r="Q139" i="4"/>
  <c r="I140" i="4"/>
  <c r="J140" i="4"/>
  <c r="K140" i="4"/>
  <c r="O140" i="4" s="1"/>
  <c r="P140" i="4" s="1"/>
  <c r="I141" i="4"/>
  <c r="J141" i="4"/>
  <c r="K141" i="4"/>
  <c r="O141" i="4" s="1"/>
  <c r="P141" i="4" s="1"/>
  <c r="L141" i="4"/>
  <c r="M141" i="4" s="1"/>
  <c r="U141" i="4" s="1"/>
  <c r="N141" i="4"/>
  <c r="Q141" i="4" s="1"/>
  <c r="I142" i="4"/>
  <c r="J142" i="4"/>
  <c r="K142" i="4" s="1"/>
  <c r="N142" i="4"/>
  <c r="Q142" i="4"/>
  <c r="I143" i="4"/>
  <c r="J143" i="4"/>
  <c r="K143" i="4" s="1"/>
  <c r="O143" i="4" s="1"/>
  <c r="P143" i="4" s="1"/>
  <c r="R143" i="4"/>
  <c r="R142" i="4"/>
  <c r="R141" i="4"/>
  <c r="T141" i="4" s="1"/>
  <c r="R140" i="4"/>
  <c r="R139" i="4"/>
  <c r="T139" i="4" s="1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O137" i="4" l="1"/>
  <c r="P137" i="4" s="1"/>
  <c r="V137" i="4"/>
  <c r="S141" i="4"/>
  <c r="N143" i="4"/>
  <c r="Q143" i="4" s="1"/>
  <c r="L143" i="4"/>
  <c r="M143" i="4" s="1"/>
  <c r="V135" i="4"/>
  <c r="L140" i="4"/>
  <c r="M140" i="4" s="1"/>
  <c r="V140" i="4" s="1"/>
  <c r="L142" i="4"/>
  <c r="M142" i="4" s="1"/>
  <c r="V142" i="4" s="1"/>
  <c r="L138" i="4"/>
  <c r="S139" i="4"/>
  <c r="V136" i="4"/>
  <c r="S135" i="4"/>
  <c r="V139" i="4"/>
  <c r="O138" i="4"/>
  <c r="P138" i="4" s="1"/>
  <c r="T138" i="4"/>
  <c r="M138" i="4"/>
  <c r="S138" i="4"/>
  <c r="O142" i="4"/>
  <c r="P142" i="4" s="1"/>
  <c r="V141" i="4"/>
  <c r="O136" i="4"/>
  <c r="P136" i="4" s="1"/>
  <c r="N140" i="4"/>
  <c r="Q140" i="4" s="1"/>
  <c r="N136" i="4"/>
  <c r="Q136" i="4" s="1"/>
  <c r="U136" i="4"/>
  <c r="U140" i="4"/>
  <c r="U137" i="4"/>
  <c r="T137" i="4"/>
  <c r="S137" i="4"/>
  <c r="T142" i="4"/>
  <c r="T135" i="4"/>
  <c r="U135" i="4"/>
  <c r="T140" i="4"/>
  <c r="S140" i="4"/>
  <c r="S136" i="4"/>
  <c r="T143" i="4"/>
  <c r="T136" i="4"/>
  <c r="V143" i="4" l="1"/>
  <c r="U143" i="4"/>
  <c r="S143" i="4"/>
  <c r="V138" i="4"/>
  <c r="U138" i="4"/>
  <c r="S142" i="4"/>
  <c r="U142" i="4"/>
  <c r="I128" i="4"/>
  <c r="J128" i="4"/>
  <c r="K128" i="4"/>
  <c r="I129" i="4"/>
  <c r="L129" i="4" s="1"/>
  <c r="J129" i="4"/>
  <c r="K129" i="4" s="1"/>
  <c r="I130" i="4"/>
  <c r="J130" i="4"/>
  <c r="K130" i="4"/>
  <c r="L130" i="4"/>
  <c r="S130" i="4" s="1"/>
  <c r="M130" i="4"/>
  <c r="U130" i="4" s="1"/>
  <c r="N130" i="4"/>
  <c r="Q130" i="4" s="1"/>
  <c r="O130" i="4"/>
  <c r="P130" i="4" s="1"/>
  <c r="I131" i="4"/>
  <c r="J131" i="4"/>
  <c r="K131" i="4" s="1"/>
  <c r="I132" i="4"/>
  <c r="J132" i="4"/>
  <c r="K132" i="4" s="1"/>
  <c r="N132" i="4"/>
  <c r="Q132" i="4"/>
  <c r="I133" i="4"/>
  <c r="L133" i="4" s="1"/>
  <c r="J133" i="4"/>
  <c r="K133" i="4"/>
  <c r="I134" i="4"/>
  <c r="N134" i="4" s="1"/>
  <c r="Q134" i="4" s="1"/>
  <c r="J134" i="4"/>
  <c r="K134" i="4"/>
  <c r="L134" i="4"/>
  <c r="S134" i="4" s="1"/>
  <c r="S129" i="4" l="1"/>
  <c r="M129" i="4"/>
  <c r="U129" i="4" s="1"/>
  <c r="O129" i="4"/>
  <c r="P129" i="4" s="1"/>
  <c r="T129" i="4"/>
  <c r="O134" i="4"/>
  <c r="P134" i="4" s="1"/>
  <c r="V134" i="4"/>
  <c r="T134" i="4"/>
  <c r="M133" i="4"/>
  <c r="U133" i="4" s="1"/>
  <c r="S133" i="4"/>
  <c r="O128" i="4"/>
  <c r="P128" i="4" s="1"/>
  <c r="T128" i="4"/>
  <c r="O132" i="4"/>
  <c r="P132" i="4" s="1"/>
  <c r="T132" i="4"/>
  <c r="O133" i="4"/>
  <c r="P133" i="4" s="1"/>
  <c r="T133" i="4"/>
  <c r="V130" i="4"/>
  <c r="T130" i="4"/>
  <c r="N129" i="4"/>
  <c r="Q129" i="4" s="1"/>
  <c r="L132" i="4"/>
  <c r="L128" i="4"/>
  <c r="M134" i="4"/>
  <c r="U134" i="4" s="1"/>
  <c r="O131" i="4"/>
  <c r="P131" i="4" s="1"/>
  <c r="T131" i="4"/>
  <c r="L131" i="4"/>
  <c r="N133" i="4"/>
  <c r="Q133" i="4" s="1"/>
  <c r="N128" i="4"/>
  <c r="Q128" i="4" s="1"/>
  <c r="N131" i="4"/>
  <c r="Q131" i="4" s="1"/>
  <c r="V129" i="4" l="1"/>
  <c r="M128" i="4"/>
  <c r="S128" i="4"/>
  <c r="M132" i="4"/>
  <c r="S132" i="4"/>
  <c r="V133" i="4"/>
  <c r="M131" i="4"/>
  <c r="S131" i="4"/>
  <c r="O15" i="1"/>
  <c r="L15" i="1"/>
  <c r="N15" i="1"/>
  <c r="M100" i="4"/>
  <c r="J16" i="4"/>
  <c r="J15" i="4"/>
  <c r="J87" i="4"/>
  <c r="K87" i="4" s="1"/>
  <c r="J122" i="4"/>
  <c r="K122" i="4" s="1"/>
  <c r="J117" i="4"/>
  <c r="K117" i="4"/>
  <c r="J120" i="4"/>
  <c r="J101" i="4"/>
  <c r="K101" i="4" s="1"/>
  <c r="J86" i="4"/>
  <c r="K86" i="4" s="1"/>
  <c r="J85" i="4"/>
  <c r="K85" i="4" s="1"/>
  <c r="J88" i="4"/>
  <c r="K88" i="4" s="1"/>
  <c r="J119" i="4"/>
  <c r="K119" i="4" s="1"/>
  <c r="J72" i="4"/>
  <c r="K72" i="4" s="1"/>
  <c r="J103" i="4"/>
  <c r="K103" i="4" s="1"/>
  <c r="J118" i="4"/>
  <c r="K118" i="4"/>
  <c r="J104" i="4"/>
  <c r="K104" i="4"/>
  <c r="J90" i="4"/>
  <c r="K90" i="4" s="1"/>
  <c r="J71" i="4"/>
  <c r="K71" i="4" s="1"/>
  <c r="J110" i="4"/>
  <c r="K110" i="4" s="1"/>
  <c r="J82" i="4"/>
  <c r="K82" i="4" s="1"/>
  <c r="J113" i="4"/>
  <c r="K113" i="4"/>
  <c r="J97" i="4"/>
  <c r="K97" i="4" s="1"/>
  <c r="J81" i="4"/>
  <c r="K81" i="4" s="1"/>
  <c r="J116" i="4"/>
  <c r="K116" i="4" s="1"/>
  <c r="J100" i="4"/>
  <c r="K100" i="4" s="1"/>
  <c r="O100" i="4" s="1"/>
  <c r="P100" i="4" s="1"/>
  <c r="J84" i="4"/>
  <c r="K84" i="4" s="1"/>
  <c r="J114" i="4"/>
  <c r="K114" i="4" s="1"/>
  <c r="J78" i="4"/>
  <c r="K78" i="4" s="1"/>
  <c r="J115" i="4"/>
  <c r="L115" i="4" s="1"/>
  <c r="S115" i="4" s="1"/>
  <c r="J99" i="4"/>
  <c r="K99" i="4"/>
  <c r="J83" i="4"/>
  <c r="K83" i="4" s="1"/>
  <c r="J102" i="4"/>
  <c r="K102" i="4" s="1"/>
  <c r="J74" i="4"/>
  <c r="K74" i="4" s="1"/>
  <c r="J125" i="4"/>
  <c r="L125" i="4" s="1"/>
  <c r="K125" i="4"/>
  <c r="J109" i="4"/>
  <c r="L109" i="4" s="1"/>
  <c r="K109" i="4"/>
  <c r="J93" i="4"/>
  <c r="K93" i="4" s="1"/>
  <c r="J77" i="4"/>
  <c r="K77" i="4" s="1"/>
  <c r="J112" i="4"/>
  <c r="K112" i="4"/>
  <c r="O112" i="4" s="1"/>
  <c r="P112" i="4" s="1"/>
  <c r="J96" i="4"/>
  <c r="K96" i="4" s="1"/>
  <c r="J80" i="4"/>
  <c r="K80" i="4" s="1"/>
  <c r="J106" i="4"/>
  <c r="K106" i="4" s="1"/>
  <c r="J127" i="4"/>
  <c r="K127" i="4" s="1"/>
  <c r="J111" i="4"/>
  <c r="K111" i="4"/>
  <c r="J95" i="4"/>
  <c r="K95" i="4" s="1"/>
  <c r="J79" i="4"/>
  <c r="K79" i="4" s="1"/>
  <c r="J126" i="4"/>
  <c r="K126" i="4" s="1"/>
  <c r="J94" i="4"/>
  <c r="K94" i="4" s="1"/>
  <c r="J121" i="4"/>
  <c r="K121" i="4" s="1"/>
  <c r="J105" i="4"/>
  <c r="K105" i="4" s="1"/>
  <c r="J89" i="4"/>
  <c r="K89" i="4" s="1"/>
  <c r="J73" i="4"/>
  <c r="K73" i="4" s="1"/>
  <c r="J124" i="4"/>
  <c r="K124" i="4"/>
  <c r="J108" i="4"/>
  <c r="K108" i="4" s="1"/>
  <c r="J92" i="4"/>
  <c r="K92" i="4" s="1"/>
  <c r="J76" i="4"/>
  <c r="K76" i="4" s="1"/>
  <c r="J98" i="4"/>
  <c r="K98" i="4" s="1"/>
  <c r="J123" i="4"/>
  <c r="K123" i="4" s="1"/>
  <c r="J107" i="4"/>
  <c r="K107" i="4" s="1"/>
  <c r="J91" i="4"/>
  <c r="K91" i="4" s="1"/>
  <c r="J75" i="4"/>
  <c r="K75" i="4"/>
  <c r="O125" i="4"/>
  <c r="P125" i="4" s="1"/>
  <c r="I76" i="4"/>
  <c r="N76" i="4" s="1"/>
  <c r="Q76" i="4" s="1"/>
  <c r="I77" i="4"/>
  <c r="N77" i="4" s="1"/>
  <c r="Q77" i="4" s="1"/>
  <c r="I81" i="4"/>
  <c r="N81" i="4" s="1"/>
  <c r="Q81" i="4" s="1"/>
  <c r="I89" i="4"/>
  <c r="N89" i="4" s="1"/>
  <c r="Q89" i="4" s="1"/>
  <c r="I90" i="4"/>
  <c r="N90" i="4" s="1"/>
  <c r="Q90" i="4" s="1"/>
  <c r="I96" i="4"/>
  <c r="I99" i="4"/>
  <c r="L99" i="4" s="1"/>
  <c r="I102" i="4"/>
  <c r="I104" i="4"/>
  <c r="I108" i="4"/>
  <c r="N108" i="4" s="1"/>
  <c r="Q108" i="4" s="1"/>
  <c r="I111" i="4"/>
  <c r="I113" i="4"/>
  <c r="N113" i="4" s="1"/>
  <c r="Q113" i="4" s="1"/>
  <c r="I115" i="4"/>
  <c r="N115" i="4" s="1"/>
  <c r="Q115" i="4" s="1"/>
  <c r="I119" i="4"/>
  <c r="L119" i="4" s="1"/>
  <c r="S119" i="4" s="1"/>
  <c r="I120" i="4"/>
  <c r="N120" i="4" s="1"/>
  <c r="Q120" i="4" s="1"/>
  <c r="I123" i="4"/>
  <c r="N123" i="4" s="1"/>
  <c r="Q123" i="4" s="1"/>
  <c r="I125" i="4"/>
  <c r="N125" i="4" s="1"/>
  <c r="Q125" i="4" s="1"/>
  <c r="I79" i="4"/>
  <c r="N79" i="4" s="1"/>
  <c r="Q79" i="4" s="1"/>
  <c r="I92" i="4"/>
  <c r="L92" i="4" s="1"/>
  <c r="S92" i="4" s="1"/>
  <c r="I100" i="4"/>
  <c r="I103" i="4"/>
  <c r="N103" i="4" s="1"/>
  <c r="Q103" i="4" s="1"/>
  <c r="I107" i="4"/>
  <c r="L107" i="4" s="1"/>
  <c r="I109" i="4"/>
  <c r="N109" i="4" s="1"/>
  <c r="Q109" i="4" s="1"/>
  <c r="I110" i="4"/>
  <c r="N110" i="4" s="1"/>
  <c r="Q110" i="4" s="1"/>
  <c r="I117" i="4"/>
  <c r="I124" i="4"/>
  <c r="L124" i="4" s="1"/>
  <c r="S124" i="4" s="1"/>
  <c r="I72" i="4"/>
  <c r="N72" i="4" s="1"/>
  <c r="Q72" i="4" s="1"/>
  <c r="I106" i="4"/>
  <c r="L106" i="4" s="1"/>
  <c r="I71" i="4"/>
  <c r="N71" i="4" s="1"/>
  <c r="Q71" i="4" s="1"/>
  <c r="I75" i="4"/>
  <c r="N75" i="4" s="1"/>
  <c r="Q75" i="4" s="1"/>
  <c r="I80" i="4"/>
  <c r="L80" i="4" s="1"/>
  <c r="S80" i="4" s="1"/>
  <c r="I83" i="4"/>
  <c r="N83" i="4" s="1"/>
  <c r="Q83" i="4" s="1"/>
  <c r="I86" i="4"/>
  <c r="I88" i="4"/>
  <c r="L88" i="4" s="1"/>
  <c r="S88" i="4" s="1"/>
  <c r="I94" i="4"/>
  <c r="I95" i="4"/>
  <c r="N95" i="4" s="1"/>
  <c r="Q95" i="4" s="1"/>
  <c r="I98" i="4"/>
  <c r="I101" i="4"/>
  <c r="N101" i="4" s="1"/>
  <c r="Q101" i="4" s="1"/>
  <c r="I118" i="4"/>
  <c r="N118" i="4" s="1"/>
  <c r="Q118" i="4" s="1"/>
  <c r="I127" i="4"/>
  <c r="N127" i="4" s="1"/>
  <c r="Q127" i="4" s="1"/>
  <c r="I73" i="4"/>
  <c r="I74" i="4"/>
  <c r="N74" i="4" s="1"/>
  <c r="Q74" i="4" s="1"/>
  <c r="I78" i="4"/>
  <c r="N78" i="4" s="1"/>
  <c r="Q78" i="4" s="1"/>
  <c r="I82" i="4"/>
  <c r="L82" i="4" s="1"/>
  <c r="S82" i="4" s="1"/>
  <c r="I85" i="4"/>
  <c r="N85" i="4" s="1"/>
  <c r="Q85" i="4" s="1"/>
  <c r="I93" i="4"/>
  <c r="I112" i="4"/>
  <c r="N112" i="4" s="1"/>
  <c r="Q112" i="4" s="1"/>
  <c r="I114" i="4"/>
  <c r="N114" i="4" s="1"/>
  <c r="Q114" i="4" s="1"/>
  <c r="I121" i="4"/>
  <c r="L121" i="4" s="1"/>
  <c r="S121" i="4" s="1"/>
  <c r="I122" i="4"/>
  <c r="L122" i="4" s="1"/>
  <c r="I84" i="4"/>
  <c r="N84" i="4" s="1"/>
  <c r="Q84" i="4" s="1"/>
  <c r="I87" i="4"/>
  <c r="N87" i="4" s="1"/>
  <c r="Q87" i="4" s="1"/>
  <c r="I91" i="4"/>
  <c r="N91" i="4" s="1"/>
  <c r="Q91" i="4" s="1"/>
  <c r="I97" i="4"/>
  <c r="N97" i="4" s="1"/>
  <c r="Q97" i="4" s="1"/>
  <c r="I105" i="4"/>
  <c r="L105" i="4" s="1"/>
  <c r="I116" i="4"/>
  <c r="N116" i="4" s="1"/>
  <c r="Q116" i="4" s="1"/>
  <c r="I126" i="4"/>
  <c r="L101" i="4"/>
  <c r="N106" i="4"/>
  <c r="Q106" i="4" s="1"/>
  <c r="N107" i="4"/>
  <c r="Q107" i="4" s="1"/>
  <c r="N119" i="4"/>
  <c r="Q119" i="4"/>
  <c r="N82" i="4"/>
  <c r="Q82" i="4" s="1"/>
  <c r="N98" i="4"/>
  <c r="Q98" i="4"/>
  <c r="L98" i="4"/>
  <c r="N86" i="4"/>
  <c r="Q86" i="4" s="1"/>
  <c r="N117" i="4"/>
  <c r="Q117" i="4" s="1"/>
  <c r="L76" i="4"/>
  <c r="S76" i="4" s="1"/>
  <c r="N126" i="4"/>
  <c r="Q126" i="4" s="1"/>
  <c r="L126" i="4"/>
  <c r="S126" i="4" s="1"/>
  <c r="L112" i="4"/>
  <c r="S112" i="4" s="1"/>
  <c r="L127" i="4"/>
  <c r="S127" i="4" s="1"/>
  <c r="L100" i="4"/>
  <c r="N100" i="4"/>
  <c r="Q100" i="4" s="1"/>
  <c r="L123" i="4"/>
  <c r="L102" i="4"/>
  <c r="N102" i="4"/>
  <c r="Q102" i="4" s="1"/>
  <c r="L116" i="4"/>
  <c r="S116" i="4" s="1"/>
  <c r="N122" i="4"/>
  <c r="Q122" i="4" s="1"/>
  <c r="N94" i="4"/>
  <c r="Q94" i="4" s="1"/>
  <c r="N111" i="4"/>
  <c r="Q111" i="4"/>
  <c r="L111" i="4"/>
  <c r="T83" i="4" l="1"/>
  <c r="O122" i="4"/>
  <c r="P122" i="4" s="1"/>
  <c r="V122" i="4"/>
  <c r="T122" i="4"/>
  <c r="M125" i="4"/>
  <c r="U125" i="4" s="1"/>
  <c r="S125" i="4"/>
  <c r="O103" i="4"/>
  <c r="P103" i="4" s="1"/>
  <c r="T103" i="4"/>
  <c r="T75" i="4"/>
  <c r="T87" i="4"/>
  <c r="M98" i="4"/>
  <c r="U98" i="4" s="1"/>
  <c r="S98" i="4"/>
  <c r="M101" i="4"/>
  <c r="U101" i="4" s="1"/>
  <c r="S101" i="4"/>
  <c r="O98" i="4"/>
  <c r="P98" i="4" s="1"/>
  <c r="V98" i="4"/>
  <c r="T98" i="4"/>
  <c r="T78" i="4"/>
  <c r="V76" i="4"/>
  <c r="T76" i="4"/>
  <c r="T90" i="4"/>
  <c r="O117" i="4"/>
  <c r="P117" i="4" s="1"/>
  <c r="T117" i="4"/>
  <c r="L89" i="4"/>
  <c r="S89" i="4" s="1"/>
  <c r="N121" i="4"/>
  <c r="Q121" i="4" s="1"/>
  <c r="V127" i="4"/>
  <c r="T127" i="4"/>
  <c r="T116" i="4"/>
  <c r="O118" i="4"/>
  <c r="P118" i="4" s="1"/>
  <c r="T118" i="4"/>
  <c r="L117" i="4"/>
  <c r="U131" i="4"/>
  <c r="V131" i="4"/>
  <c r="M99" i="4"/>
  <c r="U99" i="4" s="1"/>
  <c r="S99" i="4"/>
  <c r="O123" i="4"/>
  <c r="P123" i="4" s="1"/>
  <c r="T123" i="4"/>
  <c r="V93" i="4"/>
  <c r="T93" i="4"/>
  <c r="O110" i="4"/>
  <c r="P110" i="4" s="1"/>
  <c r="T110" i="4"/>
  <c r="M122" i="4"/>
  <c r="U122" i="4" s="1"/>
  <c r="S122" i="4"/>
  <c r="T79" i="4"/>
  <c r="V109" i="4"/>
  <c r="T109" i="4"/>
  <c r="V71" i="4"/>
  <c r="T71" i="4"/>
  <c r="L110" i="4"/>
  <c r="T95" i="4"/>
  <c r="M109" i="4"/>
  <c r="U109" i="4" s="1"/>
  <c r="S109" i="4"/>
  <c r="O101" i="4"/>
  <c r="P101" i="4" s="1"/>
  <c r="V101" i="4"/>
  <c r="T101" i="4"/>
  <c r="T92" i="4"/>
  <c r="O111" i="4"/>
  <c r="P111" i="4" s="1"/>
  <c r="V111" i="4"/>
  <c r="T111" i="4"/>
  <c r="T125" i="4"/>
  <c r="T84" i="4"/>
  <c r="T104" i="4"/>
  <c r="L120" i="4"/>
  <c r="S120" i="4" s="1"/>
  <c r="L114" i="4"/>
  <c r="S114" i="4" s="1"/>
  <c r="O109" i="4"/>
  <c r="P109" i="4" s="1"/>
  <c r="T108" i="4"/>
  <c r="T124" i="4"/>
  <c r="T74" i="4"/>
  <c r="N99" i="4"/>
  <c r="Q99" i="4" s="1"/>
  <c r="L103" i="4"/>
  <c r="L104" i="4"/>
  <c r="O104" i="4"/>
  <c r="P104" i="4" s="1"/>
  <c r="O106" i="4"/>
  <c r="P106" i="4" s="1"/>
  <c r="V106" i="4"/>
  <c r="T106" i="4"/>
  <c r="O102" i="4"/>
  <c r="P102" i="4" s="1"/>
  <c r="T102" i="4"/>
  <c r="T81" i="4"/>
  <c r="L118" i="4"/>
  <c r="T126" i="4"/>
  <c r="T85" i="4"/>
  <c r="T86" i="4"/>
  <c r="L87" i="4"/>
  <c r="T114" i="4"/>
  <c r="M111" i="4"/>
  <c r="U111" i="4" s="1"/>
  <c r="S111" i="4"/>
  <c r="L83" i="4"/>
  <c r="S83" i="4" s="1"/>
  <c r="T73" i="4"/>
  <c r="V80" i="4"/>
  <c r="T80" i="4"/>
  <c r="O96" i="4"/>
  <c r="P96" i="4" s="1"/>
  <c r="V96" i="4"/>
  <c r="T96" i="4"/>
  <c r="U132" i="4"/>
  <c r="V132" i="4"/>
  <c r="M102" i="4"/>
  <c r="U102" i="4" s="1"/>
  <c r="S102" i="4"/>
  <c r="L72" i="4"/>
  <c r="S72" i="4" s="1"/>
  <c r="L96" i="4"/>
  <c r="S96" i="4" s="1"/>
  <c r="O105" i="4"/>
  <c r="P105" i="4" s="1"/>
  <c r="V105" i="4"/>
  <c r="T105" i="4"/>
  <c r="V112" i="4"/>
  <c r="T112" i="4"/>
  <c r="O99" i="4"/>
  <c r="P99" i="4" s="1"/>
  <c r="T99" i="4"/>
  <c r="O113" i="4"/>
  <c r="P113" i="4" s="1"/>
  <c r="T113" i="4"/>
  <c r="T72" i="4"/>
  <c r="L71" i="4"/>
  <c r="S71" i="4" s="1"/>
  <c r="L73" i="4"/>
  <c r="S73" i="4" s="1"/>
  <c r="T91" i="4"/>
  <c r="V121" i="4"/>
  <c r="T121" i="4"/>
  <c r="L113" i="4"/>
  <c r="T119" i="4"/>
  <c r="U128" i="4"/>
  <c r="V128" i="4"/>
  <c r="M105" i="4"/>
  <c r="U105" i="4" s="1"/>
  <c r="S105" i="4"/>
  <c r="T89" i="4"/>
  <c r="N80" i="4"/>
  <c r="Q80" i="4" s="1"/>
  <c r="M123" i="4"/>
  <c r="U123" i="4" s="1"/>
  <c r="S123" i="4"/>
  <c r="M106" i="4"/>
  <c r="U106" i="4" s="1"/>
  <c r="S106" i="4"/>
  <c r="T94" i="4"/>
  <c r="T77" i="4"/>
  <c r="K115" i="4"/>
  <c r="V82" i="4"/>
  <c r="T82" i="4"/>
  <c r="V88" i="4"/>
  <c r="T88" i="4"/>
  <c r="M112" i="4"/>
  <c r="U112" i="4" s="1"/>
  <c r="O121" i="4"/>
  <c r="P121" i="4" s="1"/>
  <c r="M115" i="4"/>
  <c r="U115" i="4" s="1"/>
  <c r="M124" i="4"/>
  <c r="U124" i="4" s="1"/>
  <c r="O114" i="4"/>
  <c r="P114" i="4" s="1"/>
  <c r="O74" i="4"/>
  <c r="P74" i="4" s="1"/>
  <c r="M126" i="4"/>
  <c r="U126" i="4" s="1"/>
  <c r="M71" i="4"/>
  <c r="U71" i="4" s="1"/>
  <c r="L108" i="4"/>
  <c r="S108" i="4" s="1"/>
  <c r="O126" i="4"/>
  <c r="P126" i="4" s="1"/>
  <c r="O116" i="4"/>
  <c r="P116" i="4" s="1"/>
  <c r="K120" i="4"/>
  <c r="M127" i="4"/>
  <c r="U127" i="4" s="1"/>
  <c r="M119" i="4"/>
  <c r="U119" i="4" s="1"/>
  <c r="L78" i="4"/>
  <c r="S78" i="4" s="1"/>
  <c r="L90" i="4"/>
  <c r="S90" i="4" s="1"/>
  <c r="L85" i="4"/>
  <c r="S85" i="4" s="1"/>
  <c r="M107" i="4"/>
  <c r="O107" i="4"/>
  <c r="P107" i="4" s="1"/>
  <c r="O119" i="4"/>
  <c r="P119" i="4" s="1"/>
  <c r="M116" i="4"/>
  <c r="U116" i="4" s="1"/>
  <c r="O127" i="4"/>
  <c r="P127" i="4" s="1"/>
  <c r="M121" i="4"/>
  <c r="U121" i="4" s="1"/>
  <c r="N104" i="4"/>
  <c r="Q104" i="4" s="1"/>
  <c r="O108" i="4"/>
  <c r="P108" i="4" s="1"/>
  <c r="O124" i="4"/>
  <c r="P124" i="4" s="1"/>
  <c r="N92" i="4"/>
  <c r="Q92" i="4" s="1"/>
  <c r="L91" i="4"/>
  <c r="S91" i="4" s="1"/>
  <c r="N124" i="4"/>
  <c r="Q124" i="4" s="1"/>
  <c r="L97" i="4"/>
  <c r="M97" i="4" s="1"/>
  <c r="L94" i="4"/>
  <c r="S94" i="4" s="1"/>
  <c r="O91" i="4"/>
  <c r="P91" i="4" s="1"/>
  <c r="N105" i="4"/>
  <c r="Q105" i="4" s="1"/>
  <c r="O71" i="4"/>
  <c r="P71" i="4" s="1"/>
  <c r="L95" i="4"/>
  <c r="S95" i="4" s="1"/>
  <c r="L77" i="4"/>
  <c r="S77" i="4" s="1"/>
  <c r="L93" i="4"/>
  <c r="S93" i="4" s="1"/>
  <c r="O76" i="4"/>
  <c r="P76" i="4" s="1"/>
  <c r="O77" i="4"/>
  <c r="P77" i="4" s="1"/>
  <c r="O78" i="4"/>
  <c r="P78" i="4" s="1"/>
  <c r="O72" i="4"/>
  <c r="P72" i="4" s="1"/>
  <c r="O82" i="4"/>
  <c r="P82" i="4" s="1"/>
  <c r="L86" i="4"/>
  <c r="S86" i="4" s="1"/>
  <c r="O97" i="4"/>
  <c r="P97" i="4" s="1"/>
  <c r="O94" i="4"/>
  <c r="P94" i="4" s="1"/>
  <c r="O80" i="4"/>
  <c r="P80" i="4" s="1"/>
  <c r="M76" i="4"/>
  <c r="U76" i="4" s="1"/>
  <c r="O86" i="4"/>
  <c r="P86" i="4" s="1"/>
  <c r="O92" i="4"/>
  <c r="P92" i="4" s="1"/>
  <c r="O81" i="4"/>
  <c r="P81" i="4" s="1"/>
  <c r="L81" i="4"/>
  <c r="S81" i="4" s="1"/>
  <c r="M92" i="4"/>
  <c r="U92" i="4" s="1"/>
  <c r="O84" i="4"/>
  <c r="P84" i="4" s="1"/>
  <c r="O79" i="4"/>
  <c r="P79" i="4" s="1"/>
  <c r="O83" i="4"/>
  <c r="P83" i="4" s="1"/>
  <c r="M95" i="4"/>
  <c r="U95" i="4" s="1"/>
  <c r="M82" i="4"/>
  <c r="U82" i="4" s="1"/>
  <c r="M93" i="4"/>
  <c r="U93" i="4" s="1"/>
  <c r="M88" i="4"/>
  <c r="U88" i="4" s="1"/>
  <c r="O95" i="4"/>
  <c r="P95" i="4" s="1"/>
  <c r="M72" i="4"/>
  <c r="U72" i="4" s="1"/>
  <c r="O75" i="4"/>
  <c r="P75" i="4" s="1"/>
  <c r="O73" i="4"/>
  <c r="P73" i="4" s="1"/>
  <c r="O87" i="4"/>
  <c r="P87" i="4" s="1"/>
  <c r="N73" i="4"/>
  <c r="Q73" i="4" s="1"/>
  <c r="O89" i="4"/>
  <c r="P89" i="4" s="1"/>
  <c r="O93" i="4"/>
  <c r="P93" i="4" s="1"/>
  <c r="O88" i="4"/>
  <c r="P88" i="4" s="1"/>
  <c r="M96" i="4"/>
  <c r="U96" i="4" s="1"/>
  <c r="M80" i="4"/>
  <c r="U80" i="4" s="1"/>
  <c r="O90" i="4"/>
  <c r="P90" i="4" s="1"/>
  <c r="O85" i="4"/>
  <c r="P85" i="4" s="1"/>
  <c r="L79" i="4"/>
  <c r="S79" i="4" s="1"/>
  <c r="L75" i="4"/>
  <c r="S75" i="4" s="1"/>
  <c r="L74" i="4"/>
  <c r="S74" i="4" s="1"/>
  <c r="N96" i="4"/>
  <c r="Q96" i="4" s="1"/>
  <c r="N93" i="4"/>
  <c r="Q93" i="4" s="1"/>
  <c r="N88" i="4"/>
  <c r="Q88" i="4" s="1"/>
  <c r="L84" i="4"/>
  <c r="S84" i="4" s="1"/>
  <c r="J14" i="4"/>
  <c r="J13" i="4" s="1"/>
  <c r="K16" i="4" s="1"/>
  <c r="M87" i="4" l="1"/>
  <c r="S87" i="4"/>
  <c r="V116" i="4"/>
  <c r="M118" i="4"/>
  <c r="S118" i="4"/>
  <c r="V123" i="4"/>
  <c r="M73" i="4"/>
  <c r="V92" i="4"/>
  <c r="V115" i="4"/>
  <c r="T115" i="4"/>
  <c r="V126" i="4"/>
  <c r="M120" i="4"/>
  <c r="U120" i="4" s="1"/>
  <c r="O115" i="4"/>
  <c r="P115" i="4" s="1"/>
  <c r="M117" i="4"/>
  <c r="S117" i="4"/>
  <c r="M94" i="4"/>
  <c r="M104" i="4"/>
  <c r="S104" i="4"/>
  <c r="V72" i="4"/>
  <c r="M103" i="4"/>
  <c r="S103" i="4"/>
  <c r="M114" i="4"/>
  <c r="V119" i="4"/>
  <c r="M77" i="4"/>
  <c r="M113" i="4"/>
  <c r="S113" i="4"/>
  <c r="V125" i="4"/>
  <c r="V95" i="4"/>
  <c r="M83" i="4"/>
  <c r="M89" i="4"/>
  <c r="T120" i="4"/>
  <c r="V99" i="4"/>
  <c r="V102" i="4"/>
  <c r="V124" i="4"/>
  <c r="M110" i="4"/>
  <c r="S110" i="4"/>
  <c r="M90" i="4"/>
  <c r="M108" i="4"/>
  <c r="M78" i="4"/>
  <c r="O120" i="4"/>
  <c r="P120" i="4" s="1"/>
  <c r="M85" i="4"/>
  <c r="M91" i="4"/>
  <c r="M84" i="4"/>
  <c r="M74" i="4"/>
  <c r="M86" i="4"/>
  <c r="M75" i="4"/>
  <c r="M81" i="4"/>
  <c r="M79" i="4"/>
  <c r="K14" i="4"/>
  <c r="K13" i="4"/>
  <c r="K15" i="4"/>
  <c r="U81" i="4" l="1"/>
  <c r="V81" i="4"/>
  <c r="U77" i="4"/>
  <c r="V77" i="4"/>
  <c r="U86" i="4"/>
  <c r="V86" i="4"/>
  <c r="U84" i="4"/>
  <c r="V84" i="4"/>
  <c r="U103" i="4"/>
  <c r="V103" i="4"/>
  <c r="U91" i="4"/>
  <c r="V91" i="4"/>
  <c r="V120" i="4"/>
  <c r="U73" i="4"/>
  <c r="V73" i="4"/>
  <c r="U85" i="4"/>
  <c r="V85" i="4"/>
  <c r="U89" i="4"/>
  <c r="V89" i="4"/>
  <c r="U75" i="4"/>
  <c r="V75" i="4"/>
  <c r="U74" i="4"/>
  <c r="V74" i="4"/>
  <c r="U83" i="4"/>
  <c r="V83" i="4"/>
  <c r="U104" i="4"/>
  <c r="V104" i="4"/>
  <c r="U110" i="4"/>
  <c r="V110" i="4"/>
  <c r="U78" i="4"/>
  <c r="V78" i="4"/>
  <c r="U94" i="4"/>
  <c r="V94" i="4"/>
  <c r="U108" i="4"/>
  <c r="V108" i="4"/>
  <c r="U90" i="4"/>
  <c r="V90" i="4"/>
  <c r="U117" i="4"/>
  <c r="V117" i="4"/>
  <c r="U114" i="4"/>
  <c r="V114" i="4"/>
  <c r="U118" i="4"/>
  <c r="V118" i="4"/>
  <c r="U79" i="4"/>
  <c r="V79" i="4"/>
  <c r="U113" i="4"/>
  <c r="V113" i="4"/>
  <c r="U87" i="4"/>
  <c r="V87" i="4"/>
  <c r="I63" i="4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J60" i="4"/>
  <c r="K60" i="4" s="1"/>
  <c r="J56" i="4"/>
  <c r="K56" i="4" s="1"/>
  <c r="J58" i="4"/>
  <c r="K58" i="4" s="1"/>
  <c r="J55" i="4"/>
  <c r="K55" i="4" s="1"/>
  <c r="J61" i="4"/>
  <c r="K61" i="4" s="1"/>
  <c r="J57" i="4"/>
  <c r="K57" i="4" s="1"/>
  <c r="J59" i="4"/>
  <c r="K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T58" i="4" l="1"/>
  <c r="T63" i="4"/>
  <c r="O56" i="4"/>
  <c r="P56" i="4" s="1"/>
  <c r="T56" i="4"/>
  <c r="T60" i="4"/>
  <c r="T62" i="4"/>
  <c r="T57" i="4"/>
  <c r="O55" i="4"/>
  <c r="P55" i="4" s="1"/>
  <c r="T55" i="4"/>
  <c r="T61" i="4"/>
  <c r="O59" i="4"/>
  <c r="P59" i="4" s="1"/>
  <c r="T59" i="4"/>
  <c r="O61" i="4"/>
  <c r="P61" i="4" s="1"/>
  <c r="O62" i="4"/>
  <c r="P62" i="4" s="1"/>
  <c r="O60" i="4"/>
  <c r="P60" i="4" s="1"/>
  <c r="O57" i="4"/>
  <c r="P57" i="4" s="1"/>
  <c r="O58" i="4"/>
  <c r="P58" i="4" s="1"/>
  <c r="L66" i="4"/>
  <c r="S66" i="4" s="1"/>
  <c r="K66" i="4"/>
  <c r="K70" i="4"/>
  <c r="L70" i="4"/>
  <c r="S70" i="4" s="1"/>
  <c r="K64" i="4"/>
  <c r="L64" i="4"/>
  <c r="S64" i="4" s="1"/>
  <c r="O63" i="4"/>
  <c r="P63" i="4" s="1"/>
  <c r="L63" i="4"/>
  <c r="S63" i="4" s="1"/>
  <c r="K68" i="4"/>
  <c r="L68" i="4"/>
  <c r="S68" i="4" s="1"/>
  <c r="L67" i="4"/>
  <c r="S67" i="4" s="1"/>
  <c r="K67" i="4"/>
  <c r="L65" i="4"/>
  <c r="S65" i="4" s="1"/>
  <c r="K65" i="4"/>
  <c r="K69" i="4"/>
  <c r="L69" i="4"/>
  <c r="S69" i="4" s="1"/>
  <c r="N62" i="4"/>
  <c r="Q62" i="4" s="1"/>
  <c r="L62" i="4"/>
  <c r="S62" i="4" s="1"/>
  <c r="N55" i="4"/>
  <c r="Q55" i="4" s="1"/>
  <c r="L55" i="4"/>
  <c r="L56" i="4"/>
  <c r="N56" i="4"/>
  <c r="Q56" i="4" s="1"/>
  <c r="N59" i="4"/>
  <c r="Q59" i="4" s="1"/>
  <c r="L59" i="4"/>
  <c r="N57" i="4"/>
  <c r="Q57" i="4" s="1"/>
  <c r="L57" i="4"/>
  <c r="S57" i="4" s="1"/>
  <c r="L58" i="4"/>
  <c r="S58" i="4" s="1"/>
  <c r="N58" i="4"/>
  <c r="Q58" i="4" s="1"/>
  <c r="N61" i="4"/>
  <c r="Q61" i="4" s="1"/>
  <c r="L61" i="4"/>
  <c r="S61" i="4" s="1"/>
  <c r="L60" i="4"/>
  <c r="S60" i="4" s="1"/>
  <c r="N60" i="4"/>
  <c r="Q60" i="4" s="1"/>
  <c r="M56" i="4" l="1"/>
  <c r="S56" i="4"/>
  <c r="M55" i="4"/>
  <c r="S55" i="4"/>
  <c r="T68" i="4"/>
  <c r="V64" i="4"/>
  <c r="T64" i="4"/>
  <c r="V69" i="4"/>
  <c r="T69" i="4"/>
  <c r="V70" i="4"/>
  <c r="T70" i="4"/>
  <c r="T65" i="4"/>
  <c r="T66" i="4"/>
  <c r="M59" i="4"/>
  <c r="S59" i="4"/>
  <c r="T67" i="4"/>
  <c r="M61" i="4"/>
  <c r="M70" i="4"/>
  <c r="U70" i="4" s="1"/>
  <c r="M62" i="4"/>
  <c r="M60" i="4"/>
  <c r="M63" i="4"/>
  <c r="O64" i="4"/>
  <c r="P64" i="4" s="1"/>
  <c r="M64" i="4"/>
  <c r="U64" i="4" s="1"/>
  <c r="O65" i="4"/>
  <c r="P65" i="4" s="1"/>
  <c r="M58" i="4"/>
  <c r="M69" i="4"/>
  <c r="U69" i="4" s="1"/>
  <c r="M66" i="4"/>
  <c r="U66" i="4" s="1"/>
  <c r="M67" i="4"/>
  <c r="U67" i="4" s="1"/>
  <c r="M68" i="4"/>
  <c r="U68" i="4" s="1"/>
  <c r="M65" i="4"/>
  <c r="U65" i="4" s="1"/>
  <c r="O68" i="4"/>
  <c r="P68" i="4" s="1"/>
  <c r="M57" i="4"/>
  <c r="O69" i="4"/>
  <c r="P69" i="4" s="1"/>
  <c r="O66" i="4"/>
  <c r="P66" i="4" s="1"/>
  <c r="O67" i="4"/>
  <c r="P67" i="4" s="1"/>
  <c r="O70" i="4"/>
  <c r="P70" i="4" s="1"/>
  <c r="U57" i="4" l="1"/>
  <c r="V57" i="4"/>
  <c r="V67" i="4"/>
  <c r="U58" i="4"/>
  <c r="V58" i="4"/>
  <c r="U59" i="4"/>
  <c r="V59" i="4"/>
  <c r="V68" i="4"/>
  <c r="V66" i="4"/>
  <c r="U55" i="4"/>
  <c r="V55" i="4"/>
  <c r="U60" i="4"/>
  <c r="V60" i="4"/>
  <c r="U62" i="4"/>
  <c r="V62" i="4"/>
  <c r="U61" i="4"/>
  <c r="V61" i="4"/>
  <c r="U63" i="4"/>
  <c r="V63" i="4"/>
  <c r="V65" i="4"/>
  <c r="U56" i="4"/>
  <c r="V56" i="4"/>
  <c r="J21" i="4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39" i="4"/>
  <c r="J53" i="4"/>
  <c r="J54" i="4"/>
  <c r="J50" i="4"/>
  <c r="J48" i="4"/>
  <c r="J51" i="4"/>
  <c r="Q54" i="4"/>
  <c r="Q51" i="4"/>
  <c r="Q49" i="4"/>
  <c r="J45" i="4" l="1"/>
  <c r="J30" i="4"/>
  <c r="K30" i="4" s="1"/>
  <c r="J43" i="4"/>
  <c r="K43" i="4" s="1"/>
  <c r="J31" i="4"/>
  <c r="J44" i="4"/>
  <c r="L44" i="4" s="1"/>
  <c r="S44" i="4" s="1"/>
  <c r="J36" i="4"/>
  <c r="L36" i="4" s="1"/>
  <c r="S36" i="4" s="1"/>
  <c r="J46" i="4"/>
  <c r="K46" i="4" s="1"/>
  <c r="J35" i="4"/>
  <c r="L35" i="4" s="1"/>
  <c r="S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S34" i="4" s="1"/>
  <c r="J41" i="4"/>
  <c r="K41" i="4" s="1"/>
  <c r="J42" i="4"/>
  <c r="L42" i="4" s="1"/>
  <c r="S42" i="4" s="1"/>
  <c r="J32" i="4"/>
  <c r="L32" i="4" s="1"/>
  <c r="S32" i="4" s="1"/>
  <c r="J37" i="4"/>
  <c r="L37" i="4" s="1"/>
  <c r="S37" i="4" s="1"/>
  <c r="J40" i="4"/>
  <c r="L40" i="4" s="1"/>
  <c r="S40" i="4" s="1"/>
  <c r="J38" i="4"/>
  <c r="L38" i="4" s="1"/>
  <c r="S38" i="4" s="1"/>
  <c r="J29" i="4"/>
  <c r="L29" i="4" s="1"/>
  <c r="S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S31" i="4" s="1"/>
  <c r="L45" i="4"/>
  <c r="S45" i="4" s="1"/>
  <c r="K45" i="4"/>
  <c r="L47" i="4"/>
  <c r="S47" i="4" s="1"/>
  <c r="K52" i="4"/>
  <c r="L52" i="4"/>
  <c r="L43" i="4"/>
  <c r="S43" i="4" s="1"/>
  <c r="L54" i="4"/>
  <c r="K54" i="4"/>
  <c r="L51" i="4"/>
  <c r="K51" i="4"/>
  <c r="L53" i="4"/>
  <c r="K53" i="4"/>
  <c r="L48" i="4"/>
  <c r="S48" i="4" s="1"/>
  <c r="K48" i="4"/>
  <c r="L39" i="4"/>
  <c r="S39" i="4" s="1"/>
  <c r="K39" i="4"/>
  <c r="L50" i="4"/>
  <c r="K50" i="4"/>
  <c r="L49" i="4"/>
  <c r="S49" i="4" s="1"/>
  <c r="K49" i="4"/>
  <c r="L30" i="4"/>
  <c r="S30" i="4" s="1"/>
  <c r="T48" i="4" l="1"/>
  <c r="T33" i="4"/>
  <c r="T47" i="4"/>
  <c r="O51" i="4"/>
  <c r="P51" i="4" s="1"/>
  <c r="V51" i="4"/>
  <c r="T51" i="4"/>
  <c r="T28" i="4"/>
  <c r="T46" i="4"/>
  <c r="M51" i="4"/>
  <c r="U51" i="4" s="1"/>
  <c r="S51" i="4"/>
  <c r="T49" i="4"/>
  <c r="O54" i="4"/>
  <c r="P54" i="4" s="1"/>
  <c r="V54" i="4"/>
  <c r="T54" i="4"/>
  <c r="V43" i="4"/>
  <c r="T43" i="4"/>
  <c r="V31" i="4"/>
  <c r="T31" i="4"/>
  <c r="M54" i="4"/>
  <c r="U54" i="4" s="1"/>
  <c r="S54" i="4"/>
  <c r="T41" i="4"/>
  <c r="T30" i="4"/>
  <c r="V45" i="4"/>
  <c r="T45" i="4"/>
  <c r="O53" i="4"/>
  <c r="P53" i="4" s="1"/>
  <c r="T53" i="4"/>
  <c r="M53" i="4"/>
  <c r="U53" i="4" s="1"/>
  <c r="S53" i="4"/>
  <c r="O50" i="4"/>
  <c r="P50" i="4" s="1"/>
  <c r="V50" i="4"/>
  <c r="T50" i="4"/>
  <c r="M50" i="4"/>
  <c r="U50" i="4" s="1"/>
  <c r="S50" i="4"/>
  <c r="M52" i="4"/>
  <c r="U52" i="4" s="1"/>
  <c r="S52" i="4"/>
  <c r="T39" i="4"/>
  <c r="O52" i="4"/>
  <c r="P52" i="4" s="1"/>
  <c r="V52" i="4"/>
  <c r="T52" i="4"/>
  <c r="O48" i="4"/>
  <c r="P48" i="4" s="1"/>
  <c r="O49" i="4"/>
  <c r="P49" i="4" s="1"/>
  <c r="M49" i="4"/>
  <c r="U49" i="4" s="1"/>
  <c r="M48" i="4"/>
  <c r="U48" i="4" s="1"/>
  <c r="M35" i="4"/>
  <c r="U35" i="4" s="1"/>
  <c r="O43" i="4"/>
  <c r="P43" i="4" s="1"/>
  <c r="O28" i="4"/>
  <c r="P28" i="4" s="1"/>
  <c r="K35" i="4"/>
  <c r="O45" i="4"/>
  <c r="P45" i="4" s="1"/>
  <c r="O46" i="4"/>
  <c r="P46" i="4" s="1"/>
  <c r="M44" i="4"/>
  <c r="U44" i="4" s="1"/>
  <c r="O47" i="4"/>
  <c r="P47" i="4" s="1"/>
  <c r="O31" i="4"/>
  <c r="P31" i="4" s="1"/>
  <c r="M43" i="4"/>
  <c r="U43" i="4" s="1"/>
  <c r="O39" i="4"/>
  <c r="P39" i="4" s="1"/>
  <c r="M47" i="4"/>
  <c r="U47" i="4" s="1"/>
  <c r="M45" i="4"/>
  <c r="U45" i="4" s="1"/>
  <c r="M31" i="4"/>
  <c r="U31" i="4" s="1"/>
  <c r="O33" i="4"/>
  <c r="P33" i="4" s="1"/>
  <c r="O41" i="4"/>
  <c r="P41" i="4" s="1"/>
  <c r="O30" i="4"/>
  <c r="P30" i="4" s="1"/>
  <c r="M39" i="4"/>
  <c r="U39" i="4" s="1"/>
  <c r="K36" i="4"/>
  <c r="K44" i="4"/>
  <c r="L46" i="4"/>
  <c r="S46" i="4" s="1"/>
  <c r="K37" i="4"/>
  <c r="L41" i="4"/>
  <c r="S41" i="4" s="1"/>
  <c r="K42" i="4"/>
  <c r="K34" i="4"/>
  <c r="L33" i="4"/>
  <c r="S33" i="4" s="1"/>
  <c r="K38" i="4"/>
  <c r="K29" i="4"/>
  <c r="M32" i="4"/>
  <c r="U32" i="4" s="1"/>
  <c r="M40" i="4"/>
  <c r="U40" i="4" s="1"/>
  <c r="M34" i="4"/>
  <c r="U34" i="4" s="1"/>
  <c r="M29" i="4"/>
  <c r="U29" i="4" s="1"/>
  <c r="M37" i="4"/>
  <c r="U37" i="4" s="1"/>
  <c r="M42" i="4"/>
  <c r="U42" i="4" s="1"/>
  <c r="M38" i="4"/>
  <c r="U38" i="4" s="1"/>
  <c r="M30" i="4"/>
  <c r="U30" i="4" s="1"/>
  <c r="M36" i="4"/>
  <c r="U36" i="4" s="1"/>
  <c r="K40" i="4"/>
  <c r="K32" i="4"/>
  <c r="L28" i="4"/>
  <c r="S28" i="4" s="1"/>
  <c r="V39" i="4" l="1"/>
  <c r="V38" i="4"/>
  <c r="T38" i="4"/>
  <c r="V40" i="4"/>
  <c r="T40" i="4"/>
  <c r="V34" i="4"/>
  <c r="T34" i="4"/>
  <c r="V42" i="4"/>
  <c r="T42" i="4"/>
  <c r="V30" i="4"/>
  <c r="V47" i="4"/>
  <c r="V53" i="4"/>
  <c r="V29" i="4"/>
  <c r="T29" i="4"/>
  <c r="V32" i="4"/>
  <c r="T32" i="4"/>
  <c r="V37" i="4"/>
  <c r="T37" i="4"/>
  <c r="V36" i="4"/>
  <c r="T36" i="4"/>
  <c r="V35" i="4"/>
  <c r="T35" i="4"/>
  <c r="V49" i="4"/>
  <c r="V44" i="4"/>
  <c r="T44" i="4"/>
  <c r="V48" i="4"/>
  <c r="O29" i="4"/>
  <c r="P29" i="4" s="1"/>
  <c r="M46" i="4"/>
  <c r="O32" i="4"/>
  <c r="P32" i="4" s="1"/>
  <c r="O34" i="4"/>
  <c r="P34" i="4" s="1"/>
  <c r="O36" i="4"/>
  <c r="P36" i="4" s="1"/>
  <c r="O35" i="4"/>
  <c r="P35" i="4" s="1"/>
  <c r="O38" i="4"/>
  <c r="P38" i="4" s="1"/>
  <c r="O40" i="4"/>
  <c r="P40" i="4" s="1"/>
  <c r="O42" i="4"/>
  <c r="P42" i="4" s="1"/>
  <c r="M41" i="4"/>
  <c r="O44" i="4"/>
  <c r="P44" i="4" s="1"/>
  <c r="M33" i="4"/>
  <c r="O37" i="4"/>
  <c r="P37" i="4" s="1"/>
  <c r="M28" i="4"/>
  <c r="U41" i="4" l="1"/>
  <c r="V41" i="4"/>
  <c r="U46" i="4"/>
  <c r="V46" i="4"/>
  <c r="U33" i="4"/>
  <c r="V33" i="4"/>
  <c r="U28" i="4"/>
  <c r="V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<sst xmlns="http://schemas.openxmlformats.org/spreadsheetml/2006/main" count="340" uniqueCount="314">
  <si>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</si>
  <si>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</si>
  <si>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</si>
  <si>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</si>
  <si>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</si>
  <si>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</si>
  <si>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</si>
  <si>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</si>
  <si>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</si>
  <si>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</si>
  <si>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</si>
  <si>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</si>
  <si>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</si>
  <si>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</si>
  <si>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</si>
  <si>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</si>
  <si>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</si>
  <si>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</si>
  <si>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</si>
  <si>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</si>
  <si>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</si>
  <si>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</si>
  <si>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</si>
  <si>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</si>
  <si>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</si>
  <si>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</si>
  <si>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</si>
  <si>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</si>
  <si>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</si>
  <si>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</si>
  <si>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</si>
  <si>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</si>
  <si>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</si>
  <si>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</si>
  <si>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</si>
  <si>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</si>
  <si>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</si>
  <si>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</si>
  <si>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</si>
  <si>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</si>
  <si>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</si>
  <si>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</si>
  <si>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</si>
  <si>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</si>
  <si>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</si>
  <si>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</si>
  <si>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</si>
  <si>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</si>
  <si>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</si>
  <si>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</si>
  <si>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</si>
  <si>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</si>
  <si>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</si>
  <si>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</si>
  <si>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</si>
  <si>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</si>
  <si>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</si>
  <si>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</si>
  <si>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</si>
  <si>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</si>
  <si>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</si>
  <si>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</si>
  <si>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</si>
  <si>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</si>
  <si>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</si>
  <si>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</si>
  <si>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</si>
  <si>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</si>
  <si>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</si>
  <si>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</si>
  <si>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</si>
  <si>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</si>
  <si>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</si>
  <si>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</si>
  <si>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</si>
  <si>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</si>
  <si>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</si>
  <si>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</si>
  <si>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</si>
  <si>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</si>
  <si>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</si>
  <si>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</si>
  <si>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</si>
  <si>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</si>
  <si>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</si>
  <si>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</si>
  <si>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</si>
  <si>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</si>
  <si>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</si>
  <si>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</si>
  <si>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</si>
  <si>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</si>
  <si>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</si>
  <si>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</si>
  <si>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</si>
  <si>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</si>
  <si>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</si>
  <si>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</si>
  <si>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</si>
  <si>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</si>
  <si>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</si>
  <si>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</si>
  <si>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</si>
  <si>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</si>
  <si>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</si>
  <si>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</si>
  <si>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</si>
  <si>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</si>
  <si>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</si>
  <si>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</si>
  <si>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</si>
  <si>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Fish Rtgill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</si>
  <si>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</si>
  <si>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</si>
  <si>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</si>
  <si>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</si>
  <si>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</si>
  <si>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</si>
  <si>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</si>
  <si>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</si>
  <si>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</si>
  <si>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</si>
  <si>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</si>
  <si>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</si>
  <si>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</si>
  <si>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</si>
  <si>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</si>
  <si>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</si>
  <si>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</si>
  <si>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</si>
  <si>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</si>
  <si>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</si>
  <si>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</si>
  <si>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</si>
  <si>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</si>
  <si>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</si>
  <si>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</si>
  <si>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</si>
  <si>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</si>
  <si>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</si>
  <si>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</si>
  <si>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</si>
  <si>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</si>
  <si>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</si>
  <si>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</si>
  <si>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</si>
  <si>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</si>
  <si>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</si>
  <si>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</si>
  <si>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</si>
  <si>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</si>
  <si>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</si>
  <si>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</si>
  <si>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</si>
  <si>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</si>
  <si>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</si>
  <si>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</si>
  <si>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</si>
  <si>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</si>
  <si>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</si>
  <si>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</si>
  <si>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</si>
  <si>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</si>
  <si>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</si>
  <si>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</si>
  <si>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</si>
  <si>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</si>
  <si>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</si>
  <si>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</si>
  <si>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</si>
  <si>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</si>
  <si>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</si>
  <si>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</si>
  <si>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</si>
  <si>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</si>
  <si>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</si>
  <si>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</si>
  <si>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</si>
  <si>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</si>
  <si>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</si>
  <si>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</si>
  <si>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</si>
  <si>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</si>
  <si>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</si>
  <si>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</si>
  <si>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</si>
  <si>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</si>
  <si>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</si>
  <si>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</si>
  <si>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</si>
  <si>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</si>
  <si>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</si>
  <si>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</si>
  <si>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</si>
  <si>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</si>
  <si>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</si>
  <si>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</si>
  <si>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</si>
  <si>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</si>
  <si>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</si>
  <si>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</si>
  <si>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</si>
  <si>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</si>
  <si>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</si>
  <si>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</si>
  <si>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</si>
  <si>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</si>
  <si>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</si>
  <si>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</si>
  <si>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</si>
  <si>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</si>
  <si>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375-73-5</t>
  </si>
  <si>
    <t>757124-72-4</t>
  </si>
  <si>
    <t>375-95-1</t>
  </si>
  <si>
    <t>307-24-4</t>
  </si>
  <si>
    <t>375-22-4</t>
  </si>
  <si>
    <t>335-67-1</t>
  </si>
  <si>
    <t>27619-97-2</t>
  </si>
  <si>
    <t>39108-34-4</t>
  </si>
  <si>
    <t>2058-94-8</t>
  </si>
  <si>
    <t>1763-23-1</t>
  </si>
  <si>
    <t>375-85-9</t>
  </si>
  <si>
    <t>2706-90-3</t>
  </si>
  <si>
    <t>355-46-4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</si>
  <si>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</si>
  <si>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</si>
  <si>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</si>
  <si>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</si>
  <si>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</si>
  <si>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</si>
  <si>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</si>
  <si>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</si>
  <si>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</si>
  <si>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</si>
  <si>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</si>
  <si>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</si>
  <si>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</si>
  <si>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</si>
  <si>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</si>
  <si>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</si>
  <si>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</si>
  <si>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</si>
  <si>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</si>
  <si>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</si>
  <si>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</si>
  <si>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</si>
  <si>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</si>
  <si>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</si>
  <si>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</si>
  <si>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</si>
  <si>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</si>
  <si>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</si>
  <si>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</si>
  <si>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</si>
  <si>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</si>
  <si>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</si>
  <si>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</si>
  <si>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</si>
  <si>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</si>
  <si>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</si>
  <si>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</si>
  <si>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</si>
  <si>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</si>
  <si>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</si>
  <si>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</si>
  <si>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</si>
  <si>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</si>
  <si>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</si>
  <si>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</si>
  <si>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</si>
  <si>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</si>
  <si>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</si>
  <si>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</si>
  <si>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</si>
  <si>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</si>
  <si>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</si>
  <si>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</si>
  <si>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</si>
  <si>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</si>
  <si>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</si>
  <si>
    <t>Cisapride</t>
  </si>
  <si>
    <t>81098-60-4</t>
  </si>
  <si>
    <t>Citalopram hydrobromide</t>
  </si>
  <si>
    <t>59729-33-8</t>
  </si>
  <si>
    <t>Dofetilide</t>
  </si>
  <si>
    <t>115256-11-6</t>
  </si>
  <si>
    <t>Moxifloxacin hydrochloride</t>
  </si>
  <si>
    <t>186826-86-8</t>
  </si>
  <si>
    <t>N-acetylpro-cainamide</t>
  </si>
  <si>
    <t>32795-44-1</t>
  </si>
  <si>
    <t>Quinidine sulfate</t>
  </si>
  <si>
    <t>50-54-4</t>
  </si>
  <si>
    <t>Sematilide</t>
  </si>
  <si>
    <t>101526-83-4</t>
  </si>
  <si>
    <t>Sotalol hydrochloride</t>
  </si>
  <si>
    <t>959-24-0</t>
  </si>
  <si>
    <t>Mifepristone</t>
  </si>
  <si>
    <t>84371-65-3</t>
  </si>
  <si>
    <t>Perfluorobutanesulfonic_acid</t>
  </si>
  <si>
    <t>4_2_Fluorotelomer_sulfonic_acid</t>
  </si>
  <si>
    <t>˂1</t>
  </si>
  <si>
    <t>Perfluorononanoic_acid</t>
  </si>
  <si>
    <t>Perfluorohexanoic_acid</t>
  </si>
  <si>
    <t>Perfluorobutanoic_acid</t>
  </si>
  <si>
    <t>Perfluorooctanoic_acid</t>
  </si>
  <si>
    <t>6_2_Fluorotelomer_sulfonic_acid</t>
  </si>
  <si>
    <t>8_2_Fluorotelomer_sulfonic_acid</t>
  </si>
  <si>
    <t>Perfluoroundecanoic_acid</t>
  </si>
  <si>
    <t>Perfluorooctanesulfonic_acid</t>
  </si>
  <si>
    <t>Perfluoroheptanoic_acid</t>
  </si>
  <si>
    <t>Perfluoropentanoic_acid</t>
  </si>
  <si>
    <t>N/A</t>
  </si>
  <si>
    <t>Perfluorohexanesulfonic_acid</t>
  </si>
  <si>
    <t>Perfluorodecanoic_acid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</si>
</sst>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5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0" t="s">
        <v>57</v>
      </c>
      <c r="C2" s="111"/>
      <c r="D2" s="111"/>
      <c r="E2" s="111"/>
      <c r="F2" s="111"/>
      <c r="G2" s="111"/>
      <c r="H2" s="112"/>
      <c r="I2" s="7"/>
      <c r="J2" s="101" t="s">
        <v>56</v>
      </c>
      <c r="K2" s="102"/>
      <c r="L2" s="102"/>
      <c r="M2" s="102"/>
      <c r="N2" s="102"/>
      <c r="O2" s="103"/>
      <c r="P2" s="7"/>
      <c r="Q2" s="101" t="s">
        <v>58</v>
      </c>
      <c r="R2" s="102"/>
      <c r="S2" s="102"/>
      <c r="T2" s="102"/>
      <c r="U2" s="102"/>
      <c r="V2" s="103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4"/>
      <c r="K3" s="105"/>
      <c r="L3" s="105"/>
      <c r="M3" s="105"/>
      <c r="N3" s="105"/>
      <c r="O3" s="106"/>
      <c r="P3" s="7"/>
      <c r="Q3" s="104"/>
      <c r="R3" s="105"/>
      <c r="S3" s="105"/>
      <c r="T3" s="105"/>
      <c r="U3" s="105"/>
      <c r="V3" s="106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7"/>
      <c r="K4" s="108"/>
      <c r="L4" s="108"/>
      <c r="M4" s="108"/>
      <c r="N4" s="108"/>
      <c r="O4" s="109"/>
      <c r="P4" s="7"/>
      <c r="Q4" s="107"/>
      <c r="R4" s="108"/>
      <c r="S4" s="108"/>
      <c r="T4" s="108"/>
      <c r="U4" s="108"/>
      <c r="V4" s="109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8"/>
      <c r="R5" s="59"/>
      <c r="S5" s="59"/>
      <c r="T5" s="59"/>
      <c r="U5" s="59"/>
      <c r="V5" s="60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8"/>
      <c r="S6" s="79"/>
      <c r="T6" s="79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1" t="s">
        <v>74</v>
      </c>
      <c r="L7" s="82">
        <v>0</v>
      </c>
      <c r="M7" s="83">
        <v>0</v>
      </c>
      <c r="N7" s="13"/>
      <c r="O7" s="14"/>
      <c r="P7" s="7"/>
      <c r="Q7" s="11"/>
      <c r="R7" s="13"/>
      <c r="S7" s="61"/>
      <c r="T7" s="62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7"/>
      <c r="T8" s="78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4"/>
      <c r="R9" s="1"/>
      <c r="S9" s="75"/>
      <c r="T9" s="76"/>
      <c r="U9" s="1"/>
      <c r="V9" s="66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1" t="s">
        <v>16</v>
      </c>
      <c r="L10" s="82">
        <v>24</v>
      </c>
      <c r="M10" s="82">
        <v>1.9</v>
      </c>
      <c r="N10" s="13"/>
      <c r="O10" s="14"/>
      <c r="P10" s="7"/>
      <c r="Q10" s="12"/>
      <c r="R10" s="3"/>
      <c r="S10" s="77"/>
      <c r="T10" s="68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4"/>
      <c r="R11" s="1"/>
      <c r="S11" s="75"/>
      <c r="T11" s="75"/>
      <c r="U11" s="1"/>
      <c r="V11" s="66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1"/>
      <c r="T12" s="61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1"/>
      <c r="R14" s="72"/>
      <c r="S14" s="73"/>
      <c r="T14" s="73"/>
      <c r="U14" s="73"/>
      <c r="V14" s="74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7">
        <f>M15/0.029*(0.018)</f>
        <v>4.619905956112852E-5</v>
      </c>
      <c r="M15" s="57">
        <v>7.4431818181818174E-5</v>
      </c>
      <c r="N15" s="57">
        <f>M15/0.029*(0.953)</f>
        <v>2.4459835423197487E-3</v>
      </c>
      <c r="O15" s="98">
        <f>SUM(L15:N15)</f>
        <v>2.5666144200626952E-3</v>
      </c>
      <c r="P15" s="9"/>
      <c r="Q15" s="64"/>
      <c r="R15" s="1"/>
      <c r="S15" s="69"/>
      <c r="T15" s="69"/>
      <c r="U15" s="69"/>
      <c r="V15" s="66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7">
        <v>2.5484800000000001E-3</v>
      </c>
      <c r="M16" s="57">
        <v>2.2915000000000001E-4</v>
      </c>
      <c r="N16" s="57">
        <v>9.6669999999999994E-5</v>
      </c>
      <c r="O16" s="98"/>
      <c r="P16" s="9"/>
      <c r="Q16" s="12"/>
      <c r="R16" s="3"/>
      <c r="S16" s="70"/>
      <c r="T16" s="70"/>
      <c r="U16" s="70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99" t="s">
        <v>111</v>
      </c>
      <c r="K17" s="31" t="s">
        <v>79</v>
      </c>
      <c r="L17" s="80">
        <v>4.6725E-4</v>
      </c>
      <c r="M17" s="80">
        <v>3.15E-5</v>
      </c>
      <c r="N17" s="80">
        <v>2.6250000000000001E-5</v>
      </c>
      <c r="O17" s="98"/>
      <c r="P17" s="9"/>
      <c r="Q17" s="64"/>
      <c r="R17" s="1"/>
      <c r="S17" s="69"/>
      <c r="T17" s="69"/>
      <c r="U17" s="69"/>
      <c r="V17" s="66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7">
        <v>2.2457100000000002E-3</v>
      </c>
      <c r="M18" s="57">
        <v>3.0027E-4</v>
      </c>
      <c r="N18" s="57">
        <v>6.6229999999999994E-5</v>
      </c>
      <c r="O18" s="98"/>
      <c r="P18" s="9"/>
      <c r="Q18" s="11"/>
      <c r="R18" s="13"/>
      <c r="S18" s="63"/>
      <c r="T18" s="63"/>
      <c r="U18" s="63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7">
        <v>3.2730300000000001E-3</v>
      </c>
      <c r="M19" s="57">
        <v>3.9889999999999999E-4</v>
      </c>
      <c r="N19" s="57">
        <v>1.0728E-4</v>
      </c>
      <c r="O19" s="98"/>
      <c r="P19" s="9"/>
      <c r="Q19" s="12"/>
      <c r="R19" s="3"/>
      <c r="S19" s="70"/>
      <c r="T19" s="70"/>
      <c r="U19" s="70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4"/>
      <c r="R20" s="1"/>
      <c r="S20" s="1"/>
      <c r="T20" s="1"/>
      <c r="U20" s="1"/>
      <c r="V20" s="66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4"/>
      <c r="P23" s="7"/>
      <c r="Q23" s="64"/>
      <c r="R23" s="65"/>
      <c r="S23" s="65"/>
      <c r="T23" s="65"/>
      <c r="U23" s="65"/>
      <c r="V23" s="66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5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7"/>
      <c r="M25" s="7"/>
      <c r="N25" s="7"/>
      <c r="O25" s="86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4"/>
      <c r="R26" s="65"/>
      <c r="S26" s="65"/>
      <c r="T26" s="65"/>
      <c r="U26" s="65"/>
      <c r="V26" s="66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4"/>
      <c r="R28" s="67"/>
      <c r="S28" s="65"/>
      <c r="T28" s="65"/>
      <c r="U28" s="65"/>
      <c r="V28" s="66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4"/>
      <c r="R32" s="65"/>
      <c r="S32" s="67"/>
      <c r="T32" s="65"/>
      <c r="U32" s="65"/>
      <c r="V32" s="66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8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4"/>
      <c r="R36" s="65"/>
      <c r="S36" s="65"/>
      <c r="T36" s="65"/>
      <c r="U36" s="65"/>
      <c r="V36" s="66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4"/>
      <c r="R40" s="65"/>
      <c r="S40" s="65"/>
      <c r="T40" s="65"/>
      <c r="U40" s="65"/>
      <c r="V40" s="66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4"/>
      <c r="R43" s="65"/>
      <c r="S43" s="65"/>
      <c r="T43" s="65"/>
      <c r="U43" s="65"/>
      <c r="V43" s="66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zoomScale="70" zoomScaleNormal="70" workbookViewId="0">
      <selection activeCell="B28" sqref="B28:F143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68"/>
      <c r="H1" s="16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68"/>
      <c r="H2" s="168"/>
      <c r="I2" s="113" t="s">
        <v>19</v>
      </c>
      <c r="J2" s="114"/>
      <c r="K2" s="114"/>
      <c r="L2" s="114"/>
      <c r="M2" s="114"/>
      <c r="N2" s="114"/>
      <c r="O2" s="114"/>
      <c r="P2" s="114"/>
      <c r="Q2" s="115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68"/>
      <c r="H3" s="168"/>
      <c r="I3" s="116"/>
      <c r="J3" s="117"/>
      <c r="K3" s="117"/>
      <c r="L3" s="117"/>
      <c r="M3" s="117"/>
      <c r="N3" s="117"/>
      <c r="O3" s="117"/>
      <c r="P3" s="117"/>
      <c r="Q3" s="118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68"/>
      <c r="H4" s="168"/>
      <c r="I4" s="119"/>
      <c r="J4" s="120"/>
      <c r="K4" s="120"/>
      <c r="L4" s="120"/>
      <c r="M4" s="120"/>
      <c r="N4" s="120"/>
      <c r="O4" s="120"/>
      <c r="P4" s="120"/>
      <c r="Q4" s="12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68"/>
      <c r="H5" s="168"/>
      <c r="I5" s="122" t="s">
        <v>38</v>
      </c>
      <c r="J5" s="123"/>
      <c r="K5" s="123"/>
      <c r="L5" s="123"/>
      <c r="M5" s="123"/>
      <c r="N5" s="123"/>
      <c r="O5" s="123"/>
      <c r="P5" s="123"/>
      <c r="Q5" s="124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68"/>
      <c r="H6" s="168"/>
      <c r="I6" s="49" t="s">
        <v>49</v>
      </c>
      <c r="J6" s="49" t="s">
        <v>50</v>
      </c>
      <c r="K6" s="49" t="s">
        <v>46</v>
      </c>
      <c r="L6" s="165" t="s">
        <v>39</v>
      </c>
      <c r="M6" s="166"/>
      <c r="N6" s="166"/>
      <c r="O6" s="166"/>
      <c r="P6" s="166"/>
      <c r="Q6" s="16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68"/>
      <c r="H7" s="168"/>
      <c r="I7" s="50" t="s">
        <v>20</v>
      </c>
      <c r="J7" s="37">
        <f>SUM(J13,J19)</f>
        <v>150.01050000000001</v>
      </c>
      <c r="K7" s="38">
        <f>J7/J7</f>
        <v>1</v>
      </c>
      <c r="L7" s="159" t="s">
        <v>68</v>
      </c>
      <c r="M7" s="160"/>
      <c r="N7" s="160"/>
      <c r="O7" s="160"/>
      <c r="P7" s="160"/>
      <c r="Q7" s="161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0" t="s">
        <v>3</v>
      </c>
      <c r="C8" s="141"/>
      <c r="D8" s="141"/>
      <c r="E8" s="141"/>
      <c r="F8" s="142"/>
      <c r="G8" s="168"/>
      <c r="H8" s="168"/>
      <c r="I8" s="51" t="s">
        <v>6</v>
      </c>
      <c r="J8" s="37">
        <f>SUM(J14,J20)</f>
        <v>149.931645</v>
      </c>
      <c r="K8" s="39">
        <f>J8/J7</f>
        <v>0.99947433679642417</v>
      </c>
      <c r="L8" s="159" t="s">
        <v>69</v>
      </c>
      <c r="M8" s="160"/>
      <c r="N8" s="160"/>
      <c r="O8" s="160"/>
      <c r="P8" s="160"/>
      <c r="Q8" s="161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3"/>
      <c r="C9" s="144"/>
      <c r="D9" s="144"/>
      <c r="E9" s="144"/>
      <c r="F9" s="145"/>
      <c r="G9" s="168"/>
      <c r="H9" s="168"/>
      <c r="I9" s="50" t="s">
        <v>8</v>
      </c>
      <c r="J9" s="40">
        <f t="shared" ref="J9:J10" si="0">SUM(J15,J21)</f>
        <v>7.263E-2</v>
      </c>
      <c r="K9" s="39">
        <f>J9/J7</f>
        <v>4.8416610837241392E-4</v>
      </c>
      <c r="L9" s="159" t="s">
        <v>69</v>
      </c>
      <c r="M9" s="160"/>
      <c r="N9" s="160"/>
      <c r="O9" s="160"/>
      <c r="P9" s="160"/>
      <c r="Q9" s="161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6"/>
      <c r="C10" s="147"/>
      <c r="D10" s="147"/>
      <c r="E10" s="147"/>
      <c r="F10" s="148"/>
      <c r="G10" s="168"/>
      <c r="H10" s="168"/>
      <c r="I10" s="51" t="s">
        <v>9</v>
      </c>
      <c r="J10" s="40">
        <f t="shared" si="0"/>
        <v>6.2249999999999996E-3</v>
      </c>
      <c r="K10" s="39">
        <f>J10/J7</f>
        <v>4.149709520333576E-5</v>
      </c>
      <c r="L10" s="159" t="s">
        <v>69</v>
      </c>
      <c r="M10" s="160"/>
      <c r="N10" s="160"/>
      <c r="O10" s="160"/>
      <c r="P10" s="160"/>
      <c r="Q10" s="161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9" t="s">
        <v>36</v>
      </c>
      <c r="C11" s="150"/>
      <c r="D11" s="150"/>
      <c r="E11" s="150"/>
      <c r="F11" s="151"/>
      <c r="G11" s="168"/>
      <c r="H11" s="168"/>
      <c r="I11" s="184"/>
      <c r="J11" s="184"/>
      <c r="K11" s="184"/>
      <c r="L11" s="184"/>
      <c r="M11" s="184"/>
      <c r="N11" s="184"/>
      <c r="O11" s="184"/>
      <c r="P11" s="184"/>
      <c r="Q11" s="184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2"/>
      <c r="C12" s="153"/>
      <c r="D12" s="153"/>
      <c r="E12" s="153"/>
      <c r="F12" s="154"/>
      <c r="G12" s="168"/>
      <c r="H12" s="168"/>
      <c r="I12" s="49" t="s">
        <v>51</v>
      </c>
      <c r="J12" s="49" t="s">
        <v>50</v>
      </c>
      <c r="K12" s="49" t="s">
        <v>46</v>
      </c>
      <c r="L12" s="165" t="s">
        <v>39</v>
      </c>
      <c r="M12" s="166"/>
      <c r="N12" s="166"/>
      <c r="O12" s="166"/>
      <c r="P12" s="166"/>
      <c r="Q12" s="16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8" t="s">
        <v>4</v>
      </c>
      <c r="C13" s="139"/>
      <c r="D13" s="128" t="s">
        <v>39</v>
      </c>
      <c r="E13" s="128"/>
      <c r="F13" s="128"/>
      <c r="G13" s="168"/>
      <c r="H13" s="168"/>
      <c r="I13" s="50" t="s">
        <v>5</v>
      </c>
      <c r="J13" s="41">
        <f>SUM(J14:J16)</f>
        <v>150</v>
      </c>
      <c r="K13" s="38">
        <f>J13/J13</f>
        <v>1</v>
      </c>
      <c r="L13" s="159" t="s">
        <v>71</v>
      </c>
      <c r="M13" s="160"/>
      <c r="N13" s="160"/>
      <c r="O13" s="160"/>
      <c r="P13" s="160"/>
      <c r="Q13" s="161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150</v>
      </c>
      <c r="D14" s="129" t="s">
        <v>17</v>
      </c>
      <c r="E14" s="129"/>
      <c r="F14" s="129"/>
      <c r="G14" s="168"/>
      <c r="H14" s="168"/>
      <c r="I14" s="51" t="s">
        <v>43</v>
      </c>
      <c r="J14" s="41">
        <f>C14-SUM(J15:J16)</f>
        <v>149.92230000000001</v>
      </c>
      <c r="K14" s="39">
        <f>J14/J13</f>
        <v>0.99948200000000009</v>
      </c>
      <c r="L14" s="162" t="s">
        <v>70</v>
      </c>
      <c r="M14" s="163"/>
      <c r="N14" s="163"/>
      <c r="O14" s="163"/>
      <c r="P14" s="163"/>
      <c r="Q14" s="164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0" t="s">
        <v>60</v>
      </c>
      <c r="E15" s="130"/>
      <c r="F15" s="130"/>
      <c r="G15" s="168"/>
      <c r="H15" s="168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7.1999999999999995E-2</v>
      </c>
      <c r="K15" s="39">
        <f>J15/J13</f>
        <v>4.7999999999999996E-4</v>
      </c>
      <c r="L15" s="159" t="s">
        <v>69</v>
      </c>
      <c r="M15" s="160"/>
      <c r="N15" s="160"/>
      <c r="O15" s="160"/>
      <c r="P15" s="160"/>
      <c r="Q15" s="161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0.98</v>
      </c>
      <c r="D16" s="131" t="s">
        <v>40</v>
      </c>
      <c r="E16" s="132"/>
      <c r="F16" s="133"/>
      <c r="G16" s="168"/>
      <c r="H16" s="168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5.6999999999999993E-3</v>
      </c>
      <c r="K16" s="39">
        <f>J16/J13</f>
        <v>3.7999999999999995E-5</v>
      </c>
      <c r="L16" s="159" t="s">
        <v>69</v>
      </c>
      <c r="M16" s="160"/>
      <c r="N16" s="160"/>
      <c r="O16" s="160"/>
      <c r="P16" s="160"/>
      <c r="Q16" s="161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16</v>
      </c>
      <c r="D17" s="134" t="s">
        <v>61</v>
      </c>
      <c r="E17" s="135"/>
      <c r="F17" s="136"/>
      <c r="G17" s="168"/>
      <c r="H17" s="168"/>
      <c r="I17" s="162"/>
      <c r="J17" s="163"/>
      <c r="K17" s="163"/>
      <c r="L17" s="163"/>
      <c r="M17" s="163"/>
      <c r="N17" s="163"/>
      <c r="O17" s="163"/>
      <c r="P17" s="163"/>
      <c r="Q17" s="164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0.02</v>
      </c>
      <c r="D18" s="131" t="s">
        <v>41</v>
      </c>
      <c r="E18" s="132"/>
      <c r="F18" s="133"/>
      <c r="G18" s="168"/>
      <c r="H18" s="168"/>
      <c r="I18" s="49" t="s">
        <v>29</v>
      </c>
      <c r="J18" s="49" t="s">
        <v>50</v>
      </c>
      <c r="K18" s="49" t="s">
        <v>46</v>
      </c>
      <c r="L18" s="165" t="s">
        <v>39</v>
      </c>
      <c r="M18" s="166"/>
      <c r="N18" s="166"/>
      <c r="O18" s="166"/>
      <c r="P18" s="166"/>
      <c r="Q18" s="16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0"/>
      <c r="C19" s="130"/>
      <c r="D19" s="130"/>
      <c r="E19" s="130"/>
      <c r="F19" s="130"/>
      <c r="G19" s="168"/>
      <c r="H19" s="168"/>
      <c r="I19" s="50" t="s">
        <v>5</v>
      </c>
      <c r="J19" s="41">
        <f>SUM(J20:J22)</f>
        <v>1.0499999999999999E-2</v>
      </c>
      <c r="K19" s="38">
        <f>J19/J19</f>
        <v>1</v>
      </c>
      <c r="L19" s="159" t="s">
        <v>55</v>
      </c>
      <c r="M19" s="160"/>
      <c r="N19" s="160"/>
      <c r="O19" s="160"/>
      <c r="P19" s="160"/>
      <c r="Q19" s="161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8" t="s">
        <v>7</v>
      </c>
      <c r="C20" s="139"/>
      <c r="D20" s="128" t="s">
        <v>39</v>
      </c>
      <c r="E20" s="128"/>
      <c r="F20" s="128"/>
      <c r="G20" s="168"/>
      <c r="H20" s="168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9.3449999999999991E-3</v>
      </c>
      <c r="K20" s="39">
        <f>J20/J19</f>
        <v>0.89</v>
      </c>
      <c r="L20" s="159" t="s">
        <v>69</v>
      </c>
      <c r="M20" s="160"/>
      <c r="N20" s="160"/>
      <c r="O20" s="160"/>
      <c r="P20" s="160"/>
      <c r="Q20" s="161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79</v>
      </c>
      <c r="D21" s="134" t="s">
        <v>61</v>
      </c>
      <c r="E21" s="135"/>
      <c r="F21" s="136"/>
      <c r="G21" s="168"/>
      <c r="H21" s="168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6.3000000000000003E-4</v>
      </c>
      <c r="K21" s="39">
        <f>J21/J19</f>
        <v>6.0000000000000012E-2</v>
      </c>
      <c r="L21" s="159" t="s">
        <v>69</v>
      </c>
      <c r="M21" s="160"/>
      <c r="N21" s="160"/>
      <c r="O21" s="160"/>
      <c r="P21" s="160"/>
      <c r="Q21" s="161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20000</v>
      </c>
      <c r="D22" s="137" t="s">
        <v>67</v>
      </c>
      <c r="E22" s="137"/>
      <c r="F22" s="137"/>
      <c r="G22" s="168"/>
      <c r="H22" s="168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5.2500000000000008E-4</v>
      </c>
      <c r="K22" s="39">
        <f>J22/J19</f>
        <v>5.000000000000001E-2</v>
      </c>
      <c r="L22" s="159" t="s">
        <v>69</v>
      </c>
      <c r="M22" s="160"/>
      <c r="N22" s="160"/>
      <c r="O22" s="160"/>
      <c r="P22" s="160"/>
      <c r="Q22" s="161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5"/>
      <c r="C23" s="126"/>
      <c r="D23" s="126"/>
      <c r="E23" s="126"/>
      <c r="F23" s="127"/>
      <c r="G23" s="168"/>
      <c r="H23" s="168"/>
      <c r="I23" s="179"/>
      <c r="J23" s="180"/>
      <c r="K23" s="180"/>
      <c r="L23" s="180"/>
      <c r="M23" s="180"/>
      <c r="N23" s="180"/>
      <c r="O23" s="180"/>
      <c r="P23" s="180"/>
      <c r="Q23" s="181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9" t="s">
        <v>37</v>
      </c>
      <c r="C24" s="150"/>
      <c r="D24" s="150"/>
      <c r="E24" s="150"/>
      <c r="F24" s="151"/>
      <c r="G24" s="168"/>
      <c r="H24" s="168"/>
      <c r="I24" s="173" t="s">
        <v>42</v>
      </c>
      <c r="J24" s="174"/>
      <c r="K24" s="174"/>
      <c r="L24" s="174"/>
      <c r="M24" s="174"/>
      <c r="N24" s="174"/>
      <c r="O24" s="174"/>
      <c r="P24" s="174"/>
      <c r="Q24" s="175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2"/>
      <c r="C25" s="153"/>
      <c r="D25" s="153"/>
      <c r="E25" s="153"/>
      <c r="F25" s="154"/>
      <c r="G25" s="168"/>
      <c r="H25" s="168"/>
      <c r="I25" s="176"/>
      <c r="J25" s="177"/>
      <c r="K25" s="177"/>
      <c r="L25" s="177"/>
      <c r="M25" s="177"/>
      <c r="N25" s="177"/>
      <c r="O25" s="177"/>
      <c r="P25" s="177"/>
      <c r="Q25" s="178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1" t="s">
        <v>11</v>
      </c>
      <c r="C26" s="171" t="s">
        <v>12</v>
      </c>
      <c r="D26" s="155" t="s">
        <v>47</v>
      </c>
      <c r="E26" s="155" t="s">
        <v>48</v>
      </c>
      <c r="F26" s="157" t="s">
        <v>66</v>
      </c>
      <c r="G26" s="168"/>
      <c r="H26" s="168"/>
      <c r="I26" s="182" t="s">
        <v>53</v>
      </c>
      <c r="J26" s="182" t="s">
        <v>54</v>
      </c>
      <c r="K26" s="169" t="s">
        <v>73</v>
      </c>
      <c r="L26" s="169" t="s">
        <v>52</v>
      </c>
      <c r="M26" s="169" t="s">
        <v>59</v>
      </c>
      <c r="N26" s="169" t="s">
        <v>62</v>
      </c>
      <c r="O26" s="169" t="s">
        <v>72</v>
      </c>
      <c r="P26" s="169" t="s">
        <v>64</v>
      </c>
      <c r="Q26" s="169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2"/>
      <c r="C27" s="172"/>
      <c r="D27" s="156"/>
      <c r="E27" s="156"/>
      <c r="F27" s="158"/>
      <c r="G27" s="168"/>
      <c r="H27" s="168"/>
      <c r="I27" s="183"/>
      <c r="J27" s="183"/>
      <c r="K27" s="170"/>
      <c r="L27" s="170"/>
      <c r="M27" s="170"/>
      <c r="N27" s="170"/>
      <c r="O27" s="170"/>
      <c r="P27" s="170"/>
      <c r="Q27" s="170"/>
      <c r="R27" s="7" t="s">
        <v>78</v>
      </c>
      <c r="S27" s="7" t="s">
        <v>77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8"/>
      <c r="B28" s="46" t="s">
        <v>88</v>
      </c>
      <c r="C28" s="46" t="s">
        <v>89</v>
      </c>
      <c r="D28" s="47">
        <v>6.5247999999999973E-2</v>
      </c>
      <c r="E28" s="47">
        <v>8.2216000000000289E-2</v>
      </c>
      <c r="F28" s="96">
        <v>9.9999999999999995E-7</v>
      </c>
      <c r="G28" s="168"/>
      <c r="H28" s="168"/>
      <c r="I28" s="92">
        <f t="shared" ref="I28:I47" si="1">IF(D28=0,"",LOG($K$15*10^D28+$K$16*10^E28+$K$14))</f>
        <v>3.7232006014196545E-5</v>
      </c>
      <c r="J28" s="92">
        <f t="shared" ref="J28:J47" si="2">IF(D28=0,"",LOG($K$21*10^D28+$K$22*10^E28+$K$20))</f>
        <v>8.6629514448579737E-3</v>
      </c>
      <c r="K28" s="93">
        <f t="shared" ref="K28:K47" si="3">IF(D28=0,"",1/(1+10^D28*$J$15/$J$14+10^E28*$J$16/$J$14+10^J28*$J$19/$J$14))</f>
        <v>0.99932496221908862</v>
      </c>
      <c r="L28" s="93">
        <f t="shared" ref="L28:L47" si="4">IF(D28=0,"",1/(1+10^I28/10^J28*$J$13/$J$19))</f>
        <v>7.1399102082739762E-5</v>
      </c>
      <c r="M28" s="93">
        <f t="shared" ref="M28:M47" si="5">IF(D28=0,"",1-L28)</f>
        <v>0.99992860089791724</v>
      </c>
      <c r="N28" s="93">
        <f t="shared" ref="N28:N47" si="6">IF(D28=0,"",1/(1/10^E28*$J$20/$J$22+10^D28/10^E28*$J$21/$J$22+10^I28/10^E28*$J$13/$J$22+1))</f>
        <v>4.2287869250777686E-6</v>
      </c>
      <c r="O28" s="40">
        <f t="shared" ref="O28:O47" si="7">IF(D28=0,"",F28*K28*$J$7/$J$14)</f>
        <v>9.9991286983301724E-7</v>
      </c>
      <c r="P28" s="40">
        <f t="shared" ref="P28:P47" si="8">IF(D28=0,"",O28*10^J28)</f>
        <v>1.0200585717126507E-6</v>
      </c>
      <c r="Q28" s="40">
        <f t="shared" ref="Q28:Q47" si="9">IF(D28=0,"",F28*N28*$J$7/$J$22)</f>
        <v>1.2083094114750066E-6</v>
      </c>
      <c r="R28" s="9">
        <f>F28*$C$14</f>
        <v>1.4999999999999999E-4</v>
      </c>
      <c r="S28" s="9">
        <f>$R28*L28</f>
        <v>1.0709865312410963E-8</v>
      </c>
      <c r="T28" s="9">
        <f t="shared" ref="T28:T91" si="10">R28*K28</f>
        <v>1.4989874433286328E-4</v>
      </c>
      <c r="U28" s="9">
        <f t="shared" ref="U28:U91" si="11">$R28*M28</f>
        <v>1.4998929013468757E-4</v>
      </c>
      <c r="V28" s="100">
        <f>K28/M28</f>
        <v>0.99939631821883423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8"/>
      <c r="B29" s="46" t="s">
        <v>162</v>
      </c>
      <c r="C29" s="46" t="s">
        <v>163</v>
      </c>
      <c r="D29" s="47">
        <v>2.31</v>
      </c>
      <c r="E29" s="47">
        <v>2.58</v>
      </c>
      <c r="F29" s="96">
        <v>9.9999999999999995E-7</v>
      </c>
      <c r="G29" s="168"/>
      <c r="H29" s="168"/>
      <c r="I29" s="92">
        <f t="shared" si="1"/>
        <v>4.6078470391874224E-2</v>
      </c>
      <c r="J29" s="92">
        <f t="shared" si="2"/>
        <v>1.5071795924333535</v>
      </c>
      <c r="K29" s="93">
        <f t="shared" si="3"/>
        <v>0.8970536260401909</v>
      </c>
      <c r="L29" s="93">
        <f t="shared" si="4"/>
        <v>2.0198590350219672E-3</v>
      </c>
      <c r="M29" s="93">
        <f t="shared" si="5"/>
        <v>0.997980140964978</v>
      </c>
      <c r="N29" s="93">
        <f t="shared" si="6"/>
        <v>1.194294612539164E-3</v>
      </c>
      <c r="O29" s="40">
        <f t="shared" si="7"/>
        <v>8.9758136694208968E-7</v>
      </c>
      <c r="P29" s="40">
        <f t="shared" si="8"/>
        <v>2.8857148930777414E-5</v>
      </c>
      <c r="Q29" s="40">
        <f t="shared" si="9"/>
        <v>3.4125091804629759E-4</v>
      </c>
      <c r="R29" s="9">
        <f t="shared" ref="R29:R92" si="12">F29*$C$14</f>
        <v>1.4999999999999999E-4</v>
      </c>
      <c r="S29" s="9">
        <f t="shared" ref="S29:S92" si="13">$R29*L29</f>
        <v>3.0297885525329504E-7</v>
      </c>
      <c r="T29" s="9">
        <f t="shared" si="10"/>
        <v>1.3455804390602861E-4</v>
      </c>
      <c r="U29" s="9">
        <f t="shared" si="11"/>
        <v>1.4969702114474669E-4</v>
      </c>
      <c r="V29" s="100">
        <f t="shared" ref="V29:V92" si="14">K29/M29</f>
        <v>0.89886921514570606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89"/>
      <c r="B30" s="46" t="s">
        <v>164</v>
      </c>
      <c r="C30" s="46" t="s">
        <v>165</v>
      </c>
      <c r="D30" s="90">
        <v>4.4000000000000004</v>
      </c>
      <c r="E30" s="90">
        <v>2.64</v>
      </c>
      <c r="F30" s="96">
        <v>9.9999999999999995E-7</v>
      </c>
      <c r="G30" s="168"/>
      <c r="H30" s="168"/>
      <c r="I30" s="92">
        <f t="shared" si="1"/>
        <v>1.116379396238508</v>
      </c>
      <c r="J30" s="92">
        <f t="shared" si="2"/>
        <v>3.1846481838673784</v>
      </c>
      <c r="K30" s="93">
        <f t="shared" si="3"/>
        <v>7.5832002009136715E-2</v>
      </c>
      <c r="L30" s="93">
        <f t="shared" si="4"/>
        <v>8.1250074614065259E-3</v>
      </c>
      <c r="M30" s="93">
        <f t="shared" si="5"/>
        <v>0.99187499253859346</v>
      </c>
      <c r="N30" s="93">
        <f t="shared" si="6"/>
        <v>1.1591658792864395E-4</v>
      </c>
      <c r="O30" s="40">
        <f t="shared" si="7"/>
        <v>7.5876614335503147E-8</v>
      </c>
      <c r="P30" s="40">
        <f t="shared" si="8"/>
        <v>1.1607966017041184E-4</v>
      </c>
      <c r="Q30" s="40">
        <f t="shared" si="9"/>
        <v>3.3121343454228271E-5</v>
      </c>
      <c r="R30" s="9">
        <f t="shared" si="12"/>
        <v>1.4999999999999999E-4</v>
      </c>
      <c r="S30" s="9">
        <f t="shared" si="13"/>
        <v>1.2187511192109789E-6</v>
      </c>
      <c r="T30" s="9">
        <f t="shared" si="10"/>
        <v>1.1374800301370506E-5</v>
      </c>
      <c r="U30" s="9">
        <f t="shared" si="11"/>
        <v>1.4878124888078901E-4</v>
      </c>
      <c r="V30" s="100">
        <f t="shared" si="14"/>
        <v>7.6453184705315702E-2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89"/>
      <c r="B31" s="46" t="s">
        <v>90</v>
      </c>
      <c r="C31" s="46" t="s">
        <v>91</v>
      </c>
      <c r="D31" s="47">
        <v>-0.92190615231165807</v>
      </c>
      <c r="E31" s="47">
        <v>-1.7889087518799642</v>
      </c>
      <c r="F31" s="96">
        <v>9.9999999999999995E-7</v>
      </c>
      <c r="G31" s="168"/>
      <c r="H31" s="168"/>
      <c r="I31" s="92">
        <f t="shared" si="1"/>
        <v>-1.9978935919434454E-4</v>
      </c>
      <c r="J31" s="92">
        <f t="shared" si="2"/>
        <v>-4.6726110400890343E-2</v>
      </c>
      <c r="K31" s="93">
        <f t="shared" si="3"/>
        <v>0.99987901851821204</v>
      </c>
      <c r="L31" s="93">
        <f t="shared" si="4"/>
        <v>6.288461518869922E-5</v>
      </c>
      <c r="M31" s="93">
        <f t="shared" si="5"/>
        <v>0.99993711538481134</v>
      </c>
      <c r="N31" s="93">
        <f t="shared" si="6"/>
        <v>5.6928766062274178E-8</v>
      </c>
      <c r="O31" s="40">
        <f t="shared" si="7"/>
        <v>1.000467252086089E-6</v>
      </c>
      <c r="P31" s="40">
        <f t="shared" si="8"/>
        <v>8.9841453016803517E-7</v>
      </c>
      <c r="Q31" s="40">
        <f t="shared" si="9"/>
        <v>1.6266500307399581E-8</v>
      </c>
      <c r="R31" s="9">
        <f t="shared" si="12"/>
        <v>1.4999999999999999E-4</v>
      </c>
      <c r="S31" s="9">
        <f t="shared" si="13"/>
        <v>9.4326922783048826E-9</v>
      </c>
      <c r="T31" s="9">
        <f t="shared" si="10"/>
        <v>1.499818527777318E-4</v>
      </c>
      <c r="U31" s="9">
        <f t="shared" si="11"/>
        <v>1.4999056730772168E-4</v>
      </c>
      <c r="V31" s="100">
        <f t="shared" si="14"/>
        <v>0.99994189947977186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89"/>
      <c r="B32" s="46" t="s">
        <v>92</v>
      </c>
      <c r="C32" s="46" t="s">
        <v>93</v>
      </c>
      <c r="D32" s="47">
        <v>0.54749180498968375</v>
      </c>
      <c r="E32" s="47">
        <v>0.30136158174588817</v>
      </c>
      <c r="F32" s="96">
        <v>9.9999999999999995E-7</v>
      </c>
      <c r="G32" s="168"/>
      <c r="H32" s="168"/>
      <c r="I32" s="92">
        <f t="shared" si="1"/>
        <v>5.4311668398331027E-4</v>
      </c>
      <c r="J32" s="92">
        <f t="shared" si="2"/>
        <v>7.9809959531048913E-2</v>
      </c>
      <c r="K32" s="93">
        <f t="shared" si="3"/>
        <v>0.99814899560857695</v>
      </c>
      <c r="L32" s="93">
        <f t="shared" si="4"/>
        <v>8.4009499331516417E-5</v>
      </c>
      <c r="M32" s="93">
        <f t="shared" si="5"/>
        <v>0.99991599050066848</v>
      </c>
      <c r="N32" s="93">
        <f t="shared" si="6"/>
        <v>6.9960035795713203E-6</v>
      </c>
      <c r="O32" s="40">
        <f t="shared" si="7"/>
        <v>9.9873621139577236E-7</v>
      </c>
      <c r="P32" s="40">
        <f t="shared" si="8"/>
        <v>1.2002197142352809E-6</v>
      </c>
      <c r="Q32" s="40">
        <f t="shared" si="9"/>
        <v>1.998998085663397E-6</v>
      </c>
      <c r="R32" s="9">
        <f t="shared" si="12"/>
        <v>1.4999999999999999E-4</v>
      </c>
      <c r="S32" s="9">
        <f t="shared" si="13"/>
        <v>1.2601424899727462E-8</v>
      </c>
      <c r="T32" s="9">
        <f t="shared" si="10"/>
        <v>1.4972234934128653E-4</v>
      </c>
      <c r="U32" s="9">
        <f t="shared" si="11"/>
        <v>1.4998739857510025E-4</v>
      </c>
      <c r="V32" s="100">
        <f t="shared" si="14"/>
        <v>0.99823285665108052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89"/>
      <c r="B33" s="94" t="s">
        <v>166</v>
      </c>
      <c r="C33" s="94" t="s">
        <v>110</v>
      </c>
      <c r="D33" s="95">
        <v>1.6452318246143236</v>
      </c>
      <c r="E33" s="95">
        <v>1.8629354124795308</v>
      </c>
      <c r="F33" s="96">
        <v>9.9999999999999995E-7</v>
      </c>
      <c r="G33" s="168"/>
      <c r="H33" s="168"/>
      <c r="I33" s="92">
        <f t="shared" si="1"/>
        <v>1.0070969156464394E-2</v>
      </c>
      <c r="J33" s="92">
        <f t="shared" si="2"/>
        <v>0.85658284176588473</v>
      </c>
      <c r="K33" s="93">
        <f t="shared" si="3"/>
        <v>0.97609157058927665</v>
      </c>
      <c r="L33" s="93">
        <f t="shared" si="4"/>
        <v>4.9135622994911951E-4</v>
      </c>
      <c r="M33" s="93">
        <f t="shared" si="5"/>
        <v>0.99950864377005089</v>
      </c>
      <c r="N33" s="93">
        <f t="shared" si="6"/>
        <v>2.4929814210248235E-4</v>
      </c>
      <c r="O33" s="40">
        <f t="shared" si="7"/>
        <v>9.7666580988874028E-7</v>
      </c>
      <c r="P33" s="40">
        <f t="shared" si="8"/>
        <v>7.0198660697888019E-6</v>
      </c>
      <c r="Q33" s="40">
        <f t="shared" si="9"/>
        <v>7.1233026563551286E-5</v>
      </c>
      <c r="R33" s="9">
        <f t="shared" si="12"/>
        <v>1.4999999999999999E-4</v>
      </c>
      <c r="S33" s="9">
        <f t="shared" si="13"/>
        <v>7.3703434492367925E-8</v>
      </c>
      <c r="T33" s="9">
        <f t="shared" si="10"/>
        <v>1.4641373558839149E-4</v>
      </c>
      <c r="U33" s="9">
        <f t="shared" si="11"/>
        <v>1.4992629656550763E-4</v>
      </c>
      <c r="V33" s="100">
        <f t="shared" si="14"/>
        <v>0.97657141503804579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8"/>
      <c r="B34" s="46" t="s">
        <v>94</v>
      </c>
      <c r="C34" s="46" t="s">
        <v>95</v>
      </c>
      <c r="D34" s="90">
        <v>0.39857726844789648</v>
      </c>
      <c r="E34" s="90">
        <v>8.9525410045599246E-2</v>
      </c>
      <c r="F34" s="96">
        <v>9.9999999999999995E-7</v>
      </c>
      <c r="G34" s="168"/>
      <c r="H34" s="168"/>
      <c r="I34" s="92">
        <f t="shared" si="1"/>
        <v>3.1711948665398576E-4</v>
      </c>
      <c r="J34" s="92">
        <f t="shared" si="2"/>
        <v>4.2050150361398808E-2</v>
      </c>
      <c r="K34" s="93">
        <f t="shared" si="3"/>
        <v>0.99867549172774783</v>
      </c>
      <c r="L34" s="93">
        <f t="shared" si="4"/>
        <v>7.7054428781230612E-5</v>
      </c>
      <c r="M34" s="93">
        <f t="shared" si="5"/>
        <v>0.99992294557121875</v>
      </c>
      <c r="N34" s="93">
        <f t="shared" si="6"/>
        <v>4.2977670241554589E-6</v>
      </c>
      <c r="O34" s="40">
        <f t="shared" si="7"/>
        <v>9.9926301725510695E-7</v>
      </c>
      <c r="P34" s="40">
        <f t="shared" si="8"/>
        <v>1.1008546084463618E-6</v>
      </c>
      <c r="Q34" s="40">
        <f t="shared" si="9"/>
        <v>1.2280193908134711E-6</v>
      </c>
      <c r="R34" s="9">
        <f t="shared" si="12"/>
        <v>1.4999999999999999E-4</v>
      </c>
      <c r="S34" s="9">
        <f t="shared" si="13"/>
        <v>1.1558164317184591E-8</v>
      </c>
      <c r="T34" s="9">
        <f t="shared" si="10"/>
        <v>1.4980132375916216E-4</v>
      </c>
      <c r="U34" s="9">
        <f t="shared" si="11"/>
        <v>1.499884418356828E-4</v>
      </c>
      <c r="V34" s="100">
        <f t="shared" si="14"/>
        <v>0.99875245002727853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8"/>
      <c r="B35" s="46" t="s">
        <v>96</v>
      </c>
      <c r="C35" s="46" t="s">
        <v>97</v>
      </c>
      <c r="D35" s="90">
        <v>0.27761205565007074</v>
      </c>
      <c r="E35" s="90">
        <v>-8.2551864497786676E-2</v>
      </c>
      <c r="F35" s="96">
        <v>9.9999999999999995E-7</v>
      </c>
      <c r="G35" s="168"/>
      <c r="H35" s="168"/>
      <c r="I35" s="92">
        <f t="shared" si="1"/>
        <v>1.8367979099029661E-4</v>
      </c>
      <c r="J35" s="92">
        <f t="shared" si="2"/>
        <v>1.913510872444386E-2</v>
      </c>
      <c r="K35" s="93">
        <f t="shared" si="3"/>
        <v>0.99898632199837301</v>
      </c>
      <c r="L35" s="93">
        <f t="shared" si="4"/>
        <v>7.3116890498672166E-5</v>
      </c>
      <c r="M35" s="93">
        <f t="shared" si="5"/>
        <v>0.99992688310950129</v>
      </c>
      <c r="N35" s="93">
        <f t="shared" si="6"/>
        <v>2.8926823428900647E-6</v>
      </c>
      <c r="O35" s="40">
        <f t="shared" si="7"/>
        <v>9.9957403038865403E-7</v>
      </c>
      <c r="P35" s="40">
        <f t="shared" si="8"/>
        <v>1.0446001240143868E-6</v>
      </c>
      <c r="Q35" s="40">
        <f t="shared" si="9"/>
        <v>8.2653852304401906E-7</v>
      </c>
      <c r="R35" s="9">
        <f t="shared" si="12"/>
        <v>1.4999999999999999E-4</v>
      </c>
      <c r="S35" s="9">
        <f t="shared" si="13"/>
        <v>1.0967533574800824E-8</v>
      </c>
      <c r="T35" s="9">
        <f t="shared" si="10"/>
        <v>1.4984794829975593E-4</v>
      </c>
      <c r="U35" s="9">
        <f t="shared" si="11"/>
        <v>1.4998903246642517E-4</v>
      </c>
      <c r="V35" s="100">
        <f t="shared" si="14"/>
        <v>0.99905937011293922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8"/>
      <c r="B36" s="46" t="s">
        <v>167</v>
      </c>
      <c r="C36" s="46" t="s">
        <v>168</v>
      </c>
      <c r="D36" s="47">
        <v>3.4409280000000009</v>
      </c>
      <c r="E36" s="47">
        <v>4.1160660000000009</v>
      </c>
      <c r="F36" s="96">
        <v>9.9999999999999995E-7</v>
      </c>
      <c r="G36" s="168"/>
      <c r="H36" s="168"/>
      <c r="I36" s="92">
        <f t="shared" si="1"/>
        <v>0.45036614920415591</v>
      </c>
      <c r="J36" s="92">
        <f t="shared" si="2"/>
        <v>2.9136453532291715</v>
      </c>
      <c r="K36" s="93">
        <f t="shared" si="3"/>
        <v>0.34726690088966661</v>
      </c>
      <c r="L36" s="93">
        <f t="shared" si="4"/>
        <v>1.993571458678221E-2</v>
      </c>
      <c r="M36" s="93">
        <f t="shared" si="5"/>
        <v>0.98006428541321777</v>
      </c>
      <c r="N36" s="93">
        <f t="shared" si="6"/>
        <v>1.5886288985280123E-2</v>
      </c>
      <c r="O36" s="40">
        <f t="shared" si="7"/>
        <v>3.4747119965414971E-7</v>
      </c>
      <c r="P36" s="40">
        <f t="shared" si="8"/>
        <v>2.8481585838290415E-4</v>
      </c>
      <c r="Q36" s="40">
        <f t="shared" si="9"/>
        <v>4.5392574358597403E-3</v>
      </c>
      <c r="R36" s="9">
        <f t="shared" si="12"/>
        <v>1.4999999999999999E-4</v>
      </c>
      <c r="S36" s="9">
        <f t="shared" si="13"/>
        <v>2.990357188017331E-6</v>
      </c>
      <c r="T36" s="9">
        <f t="shared" si="10"/>
        <v>5.2090035133449987E-5</v>
      </c>
      <c r="U36" s="9">
        <f t="shared" si="11"/>
        <v>1.4700964281198265E-4</v>
      </c>
      <c r="V36" s="100">
        <f t="shared" si="14"/>
        <v>0.35433073733857251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8"/>
      <c r="B37" s="94" t="s">
        <v>169</v>
      </c>
      <c r="C37" s="94" t="s">
        <v>170</v>
      </c>
      <c r="D37" s="95">
        <v>4.9025336133267672</v>
      </c>
      <c r="E37" s="95">
        <v>6.4965619006479365</v>
      </c>
      <c r="F37" s="96">
        <v>9.9999999999999995E-7</v>
      </c>
      <c r="G37" s="168"/>
      <c r="H37" s="168"/>
      <c r="I37" s="92">
        <f t="shared" si="1"/>
        <v>2.2002191789801899</v>
      </c>
      <c r="J37" s="92">
        <f t="shared" si="2"/>
        <v>5.2086075661318931</v>
      </c>
      <c r="K37" s="93">
        <f t="shared" si="3"/>
        <v>5.8832630477194904E-3</v>
      </c>
      <c r="L37" s="93">
        <f t="shared" si="4"/>
        <v>6.6611451246294931E-2</v>
      </c>
      <c r="M37" s="93">
        <f t="shared" si="5"/>
        <v>0.93338854875370503</v>
      </c>
      <c r="N37" s="93">
        <f t="shared" si="6"/>
        <v>6.4635815778033165E-2</v>
      </c>
      <c r="O37" s="40">
        <f t="shared" si="7"/>
        <v>5.8867241992680517E-9</v>
      </c>
      <c r="P37" s="40">
        <f t="shared" si="8"/>
        <v>9.5165877211260245E-4</v>
      </c>
      <c r="Q37" s="40">
        <f t="shared" si="9"/>
        <v>1.8468668652896463E-2</v>
      </c>
      <c r="R37" s="9">
        <f t="shared" si="12"/>
        <v>1.4999999999999999E-4</v>
      </c>
      <c r="S37" s="9">
        <f t="shared" si="13"/>
        <v>9.991717686944238E-6</v>
      </c>
      <c r="T37" s="9">
        <f t="shared" si="10"/>
        <v>8.8248945715792347E-7</v>
      </c>
      <c r="U37" s="9">
        <f t="shared" si="11"/>
        <v>1.4000828231305575E-4</v>
      </c>
      <c r="V37" s="100">
        <f t="shared" si="14"/>
        <v>6.3031232337005215E-3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8"/>
      <c r="B38" s="46" t="s">
        <v>171</v>
      </c>
      <c r="C38" s="46" t="s">
        <v>172</v>
      </c>
      <c r="D38" s="90">
        <v>-0.51108880646233978</v>
      </c>
      <c r="E38" s="90">
        <v>-1.2045066120098076</v>
      </c>
      <c r="F38" s="96">
        <v>9.9999999999999995E-7</v>
      </c>
      <c r="G38" s="168"/>
      <c r="H38" s="168"/>
      <c r="I38" s="92">
        <f t="shared" si="1"/>
        <v>-1.5970395933982679E-4</v>
      </c>
      <c r="J38" s="92">
        <f t="shared" si="2"/>
        <v>-4.0187315675825341E-2</v>
      </c>
      <c r="K38" s="93">
        <f t="shared" si="3"/>
        <v>0.99978578603228851</v>
      </c>
      <c r="L38" s="93">
        <f t="shared" si="4"/>
        <v>6.3832625131177747E-5</v>
      </c>
      <c r="M38" s="93">
        <f t="shared" si="5"/>
        <v>0.99993616737486879</v>
      </c>
      <c r="N38" s="93">
        <f t="shared" si="6"/>
        <v>2.1862177360103746E-7</v>
      </c>
      <c r="O38" s="40">
        <f t="shared" si="7"/>
        <v>1.0003739647510518E-6</v>
      </c>
      <c r="P38" s="40">
        <f t="shared" si="8"/>
        <v>9.1195847735624168E-7</v>
      </c>
      <c r="Q38" s="40">
        <f t="shared" si="9"/>
        <v>6.2467736321482722E-8</v>
      </c>
      <c r="R38" s="9">
        <f t="shared" si="12"/>
        <v>1.4999999999999999E-4</v>
      </c>
      <c r="S38" s="9">
        <f t="shared" si="13"/>
        <v>9.5748937696766611E-9</v>
      </c>
      <c r="T38" s="9">
        <f t="shared" si="10"/>
        <v>1.4996786790484327E-4</v>
      </c>
      <c r="U38" s="9">
        <f t="shared" si="11"/>
        <v>1.4999042510623029E-4</v>
      </c>
      <c r="V38" s="100">
        <f t="shared" si="14"/>
        <v>0.99984960905757103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8"/>
      <c r="B39" s="46" t="s">
        <v>98</v>
      </c>
      <c r="C39" s="46" t="s">
        <v>99</v>
      </c>
      <c r="D39" s="90">
        <v>2.3414159999999997</v>
      </c>
      <c r="E39" s="90">
        <v>2.4767320000000002</v>
      </c>
      <c r="F39" s="96">
        <v>9.9999999999999995E-7</v>
      </c>
      <c r="G39" s="168"/>
      <c r="H39" s="168"/>
      <c r="I39" s="92">
        <f t="shared" si="1"/>
        <v>4.7752637245013392E-2</v>
      </c>
      <c r="J39" s="92">
        <f t="shared" si="2"/>
        <v>1.4630863314519811</v>
      </c>
      <c r="K39" s="93">
        <f t="shared" si="3"/>
        <v>0.89378278898346231</v>
      </c>
      <c r="L39" s="93">
        <f t="shared" si="4"/>
        <v>1.8181988626476367E-3</v>
      </c>
      <c r="M39" s="93">
        <f t="shared" si="5"/>
        <v>0.99818180113735233</v>
      </c>
      <c r="N39" s="93">
        <f t="shared" si="6"/>
        <v>9.3811710494673092E-4</v>
      </c>
      <c r="O39" s="40">
        <f t="shared" si="7"/>
        <v>8.9430860563641083E-7</v>
      </c>
      <c r="P39" s="40">
        <f t="shared" si="8"/>
        <v>2.5976087665257466E-5</v>
      </c>
      <c r="Q39" s="40">
        <f t="shared" si="9"/>
        <v>2.6805222089830774E-4</v>
      </c>
      <c r="R39" s="9">
        <f t="shared" si="12"/>
        <v>1.4999999999999999E-4</v>
      </c>
      <c r="S39" s="9">
        <f t="shared" si="13"/>
        <v>2.7272982939714548E-7</v>
      </c>
      <c r="T39" s="9">
        <f t="shared" si="10"/>
        <v>1.3406741834751933E-4</v>
      </c>
      <c r="U39" s="9">
        <f t="shared" si="11"/>
        <v>1.4972727017060285E-4</v>
      </c>
      <c r="V39" s="100">
        <f t="shared" si="14"/>
        <v>0.89541082392512539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8"/>
      <c r="B40" s="46" t="s">
        <v>173</v>
      </c>
      <c r="C40" s="46" t="s">
        <v>174</v>
      </c>
      <c r="D40" s="47">
        <v>2.349974877229557</v>
      </c>
      <c r="E40" s="47">
        <v>2.8654572197209189</v>
      </c>
      <c r="F40" s="96">
        <v>9.9999999999999995E-7</v>
      </c>
      <c r="G40" s="168"/>
      <c r="H40" s="168"/>
      <c r="I40" s="92">
        <f t="shared" si="1"/>
        <v>5.4923561227077443E-2</v>
      </c>
      <c r="J40" s="92">
        <f t="shared" si="2"/>
        <v>1.7075818611730447</v>
      </c>
      <c r="K40" s="93">
        <f t="shared" si="3"/>
        <v>0.87798536674254268</v>
      </c>
      <c r="L40" s="93">
        <f t="shared" si="4"/>
        <v>3.1361166028039543E-3</v>
      </c>
      <c r="M40" s="93">
        <f t="shared" si="5"/>
        <v>0.996863883397196</v>
      </c>
      <c r="N40" s="93">
        <f t="shared" si="6"/>
        <v>2.2554726466587705E-3</v>
      </c>
      <c r="O40" s="40">
        <f t="shared" si="7"/>
        <v>8.7850188969707774E-7</v>
      </c>
      <c r="P40" s="40">
        <f t="shared" si="8"/>
        <v>4.4804801870945017E-5</v>
      </c>
      <c r="Q40" s="40">
        <f t="shared" si="9"/>
        <v>6.4446586564115326E-4</v>
      </c>
      <c r="R40" s="9">
        <f t="shared" si="12"/>
        <v>1.4999999999999999E-4</v>
      </c>
      <c r="S40" s="9">
        <f t="shared" si="13"/>
        <v>4.704174904205931E-7</v>
      </c>
      <c r="T40" s="9">
        <f t="shared" si="10"/>
        <v>1.316978050113814E-4</v>
      </c>
      <c r="U40" s="9">
        <f t="shared" si="11"/>
        <v>1.4952958250957939E-4</v>
      </c>
      <c r="V40" s="100">
        <f t="shared" si="14"/>
        <v>0.88074749358003701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8"/>
      <c r="B41" s="94" t="s">
        <v>175</v>
      </c>
      <c r="C41" s="94" t="s">
        <v>176</v>
      </c>
      <c r="D41" s="95">
        <v>1.4854320000000003</v>
      </c>
      <c r="E41" s="95">
        <v>1.5057189999999996</v>
      </c>
      <c r="F41" s="96">
        <v>9.9999999999999995E-7</v>
      </c>
      <c r="G41" s="168"/>
      <c r="H41" s="168"/>
      <c r="I41" s="92">
        <f t="shared" si="1"/>
        <v>6.6276677113325539E-3</v>
      </c>
      <c r="J41" s="92">
        <f t="shared" si="2"/>
        <v>0.63617430590334978</v>
      </c>
      <c r="K41" s="93">
        <f t="shared" si="3"/>
        <v>0.98405139489347315</v>
      </c>
      <c r="L41" s="93">
        <f t="shared" si="4"/>
        <v>2.9820515727490378E-4</v>
      </c>
      <c r="M41" s="93">
        <f t="shared" si="5"/>
        <v>0.99970179484272514</v>
      </c>
      <c r="N41" s="93">
        <f t="shared" si="6"/>
        <v>1.1041545043358739E-4</v>
      </c>
      <c r="O41" s="40">
        <f t="shared" si="7"/>
        <v>9.8463031699531933E-7</v>
      </c>
      <c r="P41" s="40">
        <f t="shared" si="8"/>
        <v>4.260371880513044E-6</v>
      </c>
      <c r="Q41" s="40">
        <f t="shared" si="9"/>
        <v>3.1549479861462204E-5</v>
      </c>
      <c r="R41" s="9">
        <f t="shared" si="12"/>
        <v>1.4999999999999999E-4</v>
      </c>
      <c r="S41" s="9">
        <f t="shared" si="13"/>
        <v>4.4730773591235564E-8</v>
      </c>
      <c r="T41" s="9">
        <f t="shared" si="10"/>
        <v>1.4760770923402097E-4</v>
      </c>
      <c r="U41" s="9">
        <f t="shared" si="11"/>
        <v>1.4995526922640876E-4</v>
      </c>
      <c r="V41" s="100">
        <f t="shared" si="14"/>
        <v>0.98434493162862213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89"/>
      <c r="B42" s="46" t="s">
        <v>177</v>
      </c>
      <c r="C42" s="46" t="s">
        <v>178</v>
      </c>
      <c r="D42" s="90">
        <v>2.0758240000000003</v>
      </c>
      <c r="E42" s="90">
        <v>2.477398</v>
      </c>
      <c r="F42" s="96">
        <v>9.9999999999999995E-7</v>
      </c>
      <c r="G42" s="168"/>
      <c r="H42" s="168"/>
      <c r="I42" s="92">
        <f t="shared" si="1"/>
        <v>2.8589842167479149E-2</v>
      </c>
      <c r="J42" s="92">
        <f t="shared" si="2"/>
        <v>1.3625600825731248</v>
      </c>
      <c r="K42" s="93">
        <f t="shared" si="3"/>
        <v>0.93439328178776859</v>
      </c>
      <c r="L42" s="93">
        <f t="shared" si="4"/>
        <v>1.5080399705671365E-3</v>
      </c>
      <c r="M42" s="93">
        <f t="shared" si="5"/>
        <v>0.99849196002943286</v>
      </c>
      <c r="N42" s="93">
        <f t="shared" si="6"/>
        <v>9.8224714330373748E-4</v>
      </c>
      <c r="O42" s="40">
        <f t="shared" si="7"/>
        <v>9.3494298978620298E-7</v>
      </c>
      <c r="P42" s="40">
        <f t="shared" si="8"/>
        <v>2.1544936190929659E-5</v>
      </c>
      <c r="Q42" s="40">
        <f t="shared" si="9"/>
        <v>2.8066168588679102E-4</v>
      </c>
      <c r="R42" s="9">
        <f t="shared" si="12"/>
        <v>1.4999999999999999E-4</v>
      </c>
      <c r="S42" s="9">
        <f t="shared" si="13"/>
        <v>2.2620599558507045E-7</v>
      </c>
      <c r="T42" s="9">
        <f t="shared" si="10"/>
        <v>1.4015899226816527E-4</v>
      </c>
      <c r="U42" s="9">
        <f t="shared" si="11"/>
        <v>1.4977379400441491E-4</v>
      </c>
      <c r="V42" s="100">
        <f t="shared" si="14"/>
        <v>0.9358045123971005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89"/>
      <c r="B43" s="46" t="s">
        <v>179</v>
      </c>
      <c r="C43" s="46" t="s">
        <v>180</v>
      </c>
      <c r="D43" s="90">
        <v>2.3078000000000003</v>
      </c>
      <c r="E43" s="90">
        <v>2.5099249999999995</v>
      </c>
      <c r="F43" s="96">
        <v>9.9999999999999995E-7</v>
      </c>
      <c r="G43" s="168"/>
      <c r="H43" s="168"/>
      <c r="I43" s="92">
        <f t="shared" si="1"/>
        <v>4.5043006346732313E-2</v>
      </c>
      <c r="J43" s="92">
        <f t="shared" si="2"/>
        <v>1.4662062884307068</v>
      </c>
      <c r="K43" s="93">
        <f t="shared" si="3"/>
        <v>0.89935457384403816</v>
      </c>
      <c r="L43" s="93">
        <f t="shared" si="4"/>
        <v>1.8427240286190275E-3</v>
      </c>
      <c r="M43" s="93">
        <f t="shared" si="5"/>
        <v>0.99815727597138093</v>
      </c>
      <c r="N43" s="93">
        <f t="shared" si="6"/>
        <v>1.0189409464985309E-3</v>
      </c>
      <c r="O43" s="40">
        <f t="shared" si="7"/>
        <v>8.9988366840444076E-7</v>
      </c>
      <c r="P43" s="40">
        <f t="shared" si="8"/>
        <v>2.6326471704300442E-5</v>
      </c>
      <c r="Q43" s="40">
        <f t="shared" si="9"/>
        <v>2.9114636353279593E-4</v>
      </c>
      <c r="R43" s="9">
        <f t="shared" si="12"/>
        <v>1.4999999999999999E-4</v>
      </c>
      <c r="S43" s="9">
        <f t="shared" si="13"/>
        <v>2.7640860429285411E-7</v>
      </c>
      <c r="T43" s="9">
        <f t="shared" si="10"/>
        <v>1.3490318607660572E-4</v>
      </c>
      <c r="U43" s="9">
        <f t="shared" si="11"/>
        <v>1.4972359139570713E-4</v>
      </c>
      <c r="V43" s="100">
        <f t="shared" si="14"/>
        <v>0.90101489564238213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89"/>
      <c r="B44" s="46" t="s">
        <v>181</v>
      </c>
      <c r="C44" s="46" t="s">
        <v>182</v>
      </c>
      <c r="D44" s="90">
        <v>5.676184000000001</v>
      </c>
      <c r="E44" s="90">
        <v>7.0708080000000004</v>
      </c>
      <c r="F44" s="96">
        <v>9.9999999999999995E-7</v>
      </c>
      <c r="G44" s="168"/>
      <c r="H44" s="168"/>
      <c r="I44" s="92">
        <f t="shared" si="1"/>
        <v>2.829962486439805</v>
      </c>
      <c r="J44" s="92">
        <f t="shared" si="2"/>
        <v>5.7902923462368587</v>
      </c>
      <c r="K44" s="93">
        <f t="shared" si="3"/>
        <v>1.3896840198033072E-3</v>
      </c>
      <c r="L44" s="93">
        <f t="shared" si="4"/>
        <v>6.0052552642121358E-2</v>
      </c>
      <c r="M44" s="93">
        <f t="shared" si="5"/>
        <v>0.93994744735787861</v>
      </c>
      <c r="N44" s="93">
        <f t="shared" si="6"/>
        <v>5.7281862531191573E-2</v>
      </c>
      <c r="O44" s="40">
        <f t="shared" si="7"/>
        <v>1.3905015775018392E-9</v>
      </c>
      <c r="P44" s="40">
        <f t="shared" si="8"/>
        <v>8.5795366172580485E-4</v>
      </c>
      <c r="Q44" s="40">
        <f t="shared" si="9"/>
        <v>1.6367392074733929E-2</v>
      </c>
      <c r="R44" s="9">
        <f t="shared" si="12"/>
        <v>1.4999999999999999E-4</v>
      </c>
      <c r="S44" s="9">
        <f t="shared" si="13"/>
        <v>9.0078828963182027E-6</v>
      </c>
      <c r="T44" s="9">
        <f t="shared" si="10"/>
        <v>2.0845260297049605E-7</v>
      </c>
      <c r="U44" s="9">
        <f t="shared" si="11"/>
        <v>1.4099211710368178E-4</v>
      </c>
      <c r="V44" s="100">
        <f t="shared" si="14"/>
        <v>1.4784699120249799E-3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89"/>
      <c r="B45" s="46" t="s">
        <v>183</v>
      </c>
      <c r="C45" s="46" t="s">
        <v>184</v>
      </c>
      <c r="D45" s="90">
        <v>1.2599279999999999</v>
      </c>
      <c r="E45" s="90">
        <v>1.3925860000000003</v>
      </c>
      <c r="F45" s="96">
        <v>9.9999999999999995E-7</v>
      </c>
      <c r="G45" s="168"/>
      <c r="H45" s="168"/>
      <c r="I45" s="92">
        <f t="shared" si="1"/>
        <v>3.957220636313619E-3</v>
      </c>
      <c r="J45" s="92">
        <f t="shared" si="2"/>
        <v>0.50735979747220028</v>
      </c>
      <c r="K45" s="93">
        <f t="shared" si="3"/>
        <v>0.99019533512452207</v>
      </c>
      <c r="L45" s="93">
        <f t="shared" si="4"/>
        <v>2.2305077488101244E-4</v>
      </c>
      <c r="M45" s="93">
        <f t="shared" si="5"/>
        <v>0.99977694922511895</v>
      </c>
      <c r="N45" s="93">
        <f t="shared" si="6"/>
        <v>8.5624873559703773E-5</v>
      </c>
      <c r="O45" s="40">
        <f t="shared" si="7"/>
        <v>9.9077787173553989E-7</v>
      </c>
      <c r="P45" s="40">
        <f t="shared" si="8"/>
        <v>3.1866626919322019E-6</v>
      </c>
      <c r="Q45" s="40">
        <f t="shared" si="9"/>
        <v>2.4465962085957986E-5</v>
      </c>
      <c r="R45" s="9">
        <f t="shared" si="12"/>
        <v>1.4999999999999999E-4</v>
      </c>
      <c r="S45" s="9">
        <f t="shared" si="13"/>
        <v>3.3457616232151863E-8</v>
      </c>
      <c r="T45" s="9">
        <f t="shared" si="10"/>
        <v>1.485293002686783E-4</v>
      </c>
      <c r="U45" s="9">
        <f t="shared" si="11"/>
        <v>1.4996654238376783E-4</v>
      </c>
      <c r="V45" s="100">
        <f t="shared" si="14"/>
        <v>0.99041624823614594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8"/>
      <c r="B46" s="46" t="s">
        <v>185</v>
      </c>
      <c r="C46" s="46" t="s">
        <v>186</v>
      </c>
      <c r="D46" s="91">
        <v>1.2889359999999999</v>
      </c>
      <c r="E46" s="91">
        <v>1.371977</v>
      </c>
      <c r="F46" s="96">
        <v>9.9999999999999995E-7</v>
      </c>
      <c r="G46" s="168"/>
      <c r="H46" s="168"/>
      <c r="I46" s="92">
        <f t="shared" si="1"/>
        <v>4.1980440605165602E-3</v>
      </c>
      <c r="J46" s="92">
        <f t="shared" si="2"/>
        <v>0.50980800632319279</v>
      </c>
      <c r="K46" s="93">
        <f t="shared" si="3"/>
        <v>0.98964528293876808</v>
      </c>
      <c r="L46" s="93">
        <f t="shared" si="4"/>
        <v>2.2418710464431317E-4</v>
      </c>
      <c r="M46" s="93">
        <f t="shared" si="5"/>
        <v>0.99977581289535566</v>
      </c>
      <c r="N46" s="93">
        <f t="shared" si="6"/>
        <v>8.1611174150539762E-5</v>
      </c>
      <c r="O46" s="40">
        <f t="shared" si="7"/>
        <v>9.9022749595147673E-7</v>
      </c>
      <c r="P46" s="40">
        <f t="shared" si="8"/>
        <v>3.2028971105948337E-6</v>
      </c>
      <c r="Q46" s="40">
        <f t="shared" si="9"/>
        <v>2.3319110552208652E-5</v>
      </c>
      <c r="R46" s="9">
        <f t="shared" si="12"/>
        <v>1.4999999999999999E-4</v>
      </c>
      <c r="S46" s="9">
        <f t="shared" si="13"/>
        <v>3.3628065696646972E-8</v>
      </c>
      <c r="T46" s="9">
        <f t="shared" si="10"/>
        <v>1.4844679244081519E-4</v>
      </c>
      <c r="U46" s="9">
        <f t="shared" si="11"/>
        <v>1.4996637193430334E-4</v>
      </c>
      <c r="V46" s="100">
        <f t="shared" si="14"/>
        <v>0.98986719839995974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8"/>
      <c r="B47" s="46" t="s">
        <v>187</v>
      </c>
      <c r="C47" s="46" t="s">
        <v>188</v>
      </c>
      <c r="D47" s="90">
        <v>2.5448008164668257</v>
      </c>
      <c r="E47" s="90">
        <v>3.1426039783542175</v>
      </c>
      <c r="F47" s="96">
        <v>9.9999999999999995E-7</v>
      </c>
      <c r="G47" s="168"/>
      <c r="H47" s="168"/>
      <c r="I47" s="92">
        <f t="shared" si="1"/>
        <v>8.655050783580702E-2</v>
      </c>
      <c r="J47" s="92">
        <f t="shared" si="2"/>
        <v>1.9607549023758677</v>
      </c>
      <c r="K47" s="93">
        <f t="shared" si="3"/>
        <v>0.81461960582372073</v>
      </c>
      <c r="L47" s="93">
        <f t="shared" si="4"/>
        <v>5.212341038671341E-3</v>
      </c>
      <c r="M47" s="93">
        <f t="shared" si="5"/>
        <v>0.9947876589613287</v>
      </c>
      <c r="N47" s="93">
        <f t="shared" si="6"/>
        <v>3.9614292483255101E-3</v>
      </c>
      <c r="O47" s="40">
        <f t="shared" si="7"/>
        <v>8.1509885040063578E-7</v>
      </c>
      <c r="P47" s="40">
        <f t="shared" si="8"/>
        <v>7.4467227179200707E-5</v>
      </c>
      <c r="Q47" s="40">
        <f t="shared" si="9"/>
        <v>1.1319161566779694E-3</v>
      </c>
      <c r="R47" s="9">
        <f t="shared" si="12"/>
        <v>1.4999999999999999E-4</v>
      </c>
      <c r="S47" s="9">
        <f t="shared" si="13"/>
        <v>7.8185115580070113E-7</v>
      </c>
      <c r="T47" s="9">
        <f t="shared" si="10"/>
        <v>1.221929408735581E-4</v>
      </c>
      <c r="U47" s="9">
        <f t="shared" si="11"/>
        <v>1.4921814884419929E-4</v>
      </c>
      <c r="V47" s="100">
        <f t="shared" si="14"/>
        <v>0.81888792898202634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8"/>
      <c r="B48" s="46" t="s">
        <v>100</v>
      </c>
      <c r="C48" s="46" t="s">
        <v>101</v>
      </c>
      <c r="D48" s="90">
        <v>0.29376000000000013</v>
      </c>
      <c r="E48" s="90">
        <v>0.18140000000000034</v>
      </c>
      <c r="F48" s="96">
        <v>9.9999999999999995E-7</v>
      </c>
      <c r="G48" s="168"/>
      <c r="H48" s="168"/>
      <c r="I48" s="92">
        <f t="shared" ref="I48:I50" si="15">IF(D48=0,"",LOG($K$15*10^D48+$K$16*10^E48+$K$14))</f>
        <v>2.1004549420906745E-4</v>
      </c>
      <c r="J48" s="92">
        <f t="shared" ref="J48:J50" si="16">IF(D48=0,"",LOG($K$21*10^D48+$K$22*10^E48+$K$20))</f>
        <v>3.5001380315971067E-2</v>
      </c>
      <c r="K48" s="93">
        <f t="shared" ref="K48:K50" si="17">IF(D48=0,"",1/(1+10^D48*$J$15/$J$14+10^E48*$J$16/$J$14+10^J48*$J$19/$J$14))</f>
        <v>0.99892296302735473</v>
      </c>
      <c r="L48" s="93">
        <f t="shared" ref="L48:L50" si="18">IF(D48=0,"",1/(1+10^I48/10^J48*$J$13/$J$19))</f>
        <v>7.5832686150982361E-5</v>
      </c>
      <c r="M48" s="93">
        <f t="shared" ref="M48:M92" si="19">IF(D48=0,"",1-L48)</f>
        <v>0.99992416731384903</v>
      </c>
      <c r="N48" s="93">
        <f t="shared" ref="N48:N50" si="20">IF(D48=0,"",1/(1/10^E48*$J$20/$J$22+10^D48/10^E48*$J$21/$J$22+10^I48/10^E48*$J$13/$J$22+1))</f>
        <v>5.3115963511713007E-6</v>
      </c>
      <c r="O48" s="40">
        <f t="shared" ref="O48:O92" si="21">IF(D48=0,"",F48*K48*$J$7/$J$14)</f>
        <v>9.9951063414325292E-7</v>
      </c>
      <c r="P48" s="40">
        <f t="shared" ref="P48:P50" si="22">IF(D48=0,"",O48*10^J48)</f>
        <v>1.0833999205573276E-6</v>
      </c>
      <c r="Q48" s="40">
        <f t="shared" ref="Q48:Q50" si="23">IF(D48=0,"",F48*N48*$J$7/$J$22)</f>
        <v>1.5177051894045376E-6</v>
      </c>
      <c r="R48" s="9">
        <f t="shared" si="12"/>
        <v>1.4999999999999999E-4</v>
      </c>
      <c r="S48" s="9">
        <f t="shared" si="13"/>
        <v>1.1374902922647353E-8</v>
      </c>
      <c r="T48" s="9">
        <f t="shared" si="10"/>
        <v>1.498384444541032E-4</v>
      </c>
      <c r="U48" s="9">
        <f t="shared" si="11"/>
        <v>1.4998862509707733E-4</v>
      </c>
      <c r="V48" s="100">
        <f t="shared" si="14"/>
        <v>0.99899871978373733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8"/>
      <c r="B49" s="46" t="s">
        <v>189</v>
      </c>
      <c r="C49" s="46" t="s">
        <v>190</v>
      </c>
      <c r="D49" s="90">
        <v>1.6175039999999998</v>
      </c>
      <c r="E49" s="90">
        <v>1.8999029999999997</v>
      </c>
      <c r="F49" s="96">
        <v>9.9999999999999995E-7</v>
      </c>
      <c r="G49" s="168"/>
      <c r="H49" s="168"/>
      <c r="I49" s="92">
        <f t="shared" si="15"/>
        <v>9.6186457475178466E-3</v>
      </c>
      <c r="J49" s="92">
        <f t="shared" si="16"/>
        <v>0.86614766954915157</v>
      </c>
      <c r="K49" s="93">
        <f t="shared" si="17"/>
        <v>0.97709750993932731</v>
      </c>
      <c r="L49" s="93">
        <f t="shared" si="18"/>
        <v>5.028154790983956E-4</v>
      </c>
      <c r="M49" s="93">
        <f t="shared" si="19"/>
        <v>0.99949718452090164</v>
      </c>
      <c r="N49" s="93">
        <f t="shared" si="20"/>
        <v>2.7172773811449561E-4</v>
      </c>
      <c r="O49" s="40">
        <f t="shared" si="21"/>
        <v>9.7767234103768059E-7</v>
      </c>
      <c r="P49" s="40">
        <f t="shared" si="22"/>
        <v>7.1835810883133227E-6</v>
      </c>
      <c r="Q49" s="40">
        <f t="shared" si="23"/>
        <v>7.7641931158903873E-5</v>
      </c>
      <c r="R49" s="9">
        <f t="shared" si="12"/>
        <v>1.4999999999999999E-4</v>
      </c>
      <c r="S49" s="9">
        <f t="shared" si="13"/>
        <v>7.5422321864759334E-8</v>
      </c>
      <c r="T49" s="9">
        <f t="shared" si="10"/>
        <v>1.4656462649089908E-4</v>
      </c>
      <c r="U49" s="9">
        <f t="shared" si="11"/>
        <v>1.4992457767813524E-4</v>
      </c>
      <c r="V49" s="100">
        <f t="shared" si="14"/>
        <v>0.9775890568493083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8"/>
      <c r="B50" s="46" t="s">
        <v>191</v>
      </c>
      <c r="C50" s="46" t="s">
        <v>192</v>
      </c>
      <c r="D50" s="90">
        <v>2.5898400000000001</v>
      </c>
      <c r="E50" s="90">
        <v>2.96393</v>
      </c>
      <c r="F50" s="96">
        <v>9.9999999999999995E-7</v>
      </c>
      <c r="G50" s="168"/>
      <c r="H50" s="168"/>
      <c r="I50" s="92">
        <f t="shared" si="15"/>
        <v>8.6760595853303396E-2</v>
      </c>
      <c r="J50" s="92">
        <f t="shared" si="16"/>
        <v>1.8465793817928891</v>
      </c>
      <c r="K50" s="93">
        <f t="shared" si="17"/>
        <v>0.81520953242894634</v>
      </c>
      <c r="L50" s="93">
        <f t="shared" si="18"/>
        <v>4.0102522759279417E-3</v>
      </c>
      <c r="M50" s="93">
        <f t="shared" si="19"/>
        <v>0.99598974772407201</v>
      </c>
      <c r="N50" s="93">
        <f t="shared" si="20"/>
        <v>2.6271950460085972E-3</v>
      </c>
      <c r="O50" s="40">
        <f t="shared" si="21"/>
        <v>8.1568912406248056E-7</v>
      </c>
      <c r="P50" s="40">
        <f t="shared" si="22"/>
        <v>5.7293328479817953E-5</v>
      </c>
      <c r="Q50" s="40">
        <f t="shared" si="23"/>
        <v>7.5067969990337633E-4</v>
      </c>
      <c r="R50" s="9">
        <f t="shared" si="12"/>
        <v>1.4999999999999999E-4</v>
      </c>
      <c r="S50" s="9">
        <f t="shared" si="13"/>
        <v>6.0153784138919123E-7</v>
      </c>
      <c r="T50" s="9">
        <f t="shared" si="10"/>
        <v>1.2228142986434195E-4</v>
      </c>
      <c r="U50" s="9">
        <f t="shared" si="11"/>
        <v>1.493984621586108E-4</v>
      </c>
      <c r="V50" s="100">
        <f t="shared" si="14"/>
        <v>0.81849189139925882</v>
      </c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8"/>
      <c r="B51" s="46" t="s">
        <v>193</v>
      </c>
      <c r="C51" s="46" t="s">
        <v>194</v>
      </c>
      <c r="D51" s="90">
        <v>5.0487680000000008</v>
      </c>
      <c r="E51" s="90">
        <v>6.0352960000000007</v>
      </c>
      <c r="F51" s="96">
        <v>9.9999999999999995E-7</v>
      </c>
      <c r="G51" s="168"/>
      <c r="H51" s="168"/>
      <c r="I51" s="92">
        <f t="shared" ref="I51:I70" si="24">IF(D51=0,"",LOG($K$15*10^D51+$K$16*10^E51+$K$14))</f>
        <v>1.9819141928346475</v>
      </c>
      <c r="J51" s="92">
        <f t="shared" ref="J51:J70" si="25">IF(D51=0,"",LOG($K$21*10^D51+$K$22*10^E51+$K$20))</f>
        <v>4.7849539498028779</v>
      </c>
      <c r="K51" s="93">
        <f t="shared" ref="K51:K70" si="26">IF(D51=0,"",1/(1+10^D51*$J$15/$J$14+10^E51*$J$16/$J$14+10^J51*$J$19/$J$14))</f>
        <v>9.9761232256496933E-3</v>
      </c>
      <c r="L51" s="93">
        <f t="shared" ref="L51:L70" si="27">IF(D51=0,"",1/(1+10^I51/10^J51*$J$13/$J$19))</f>
        <v>4.2583251312314177E-2</v>
      </c>
      <c r="M51" s="93">
        <f t="shared" ref="M51:M70" si="28">IF(D51=0,"",1-L51)</f>
        <v>0.95741674868768578</v>
      </c>
      <c r="N51" s="93">
        <f t="shared" ref="N51:N70" si="29">IF(D51=0,"",1/(1/10^E51*$J$20/$J$22+10^D51/10^E51*$J$21/$J$22+10^I51/10^E51*$J$13/$J$22+1))</f>
        <v>3.7892291718159207E-2</v>
      </c>
      <c r="O51" s="40">
        <f t="shared" ref="O51:O70" si="30">IF(D51=0,"",F51*K51*$J$7/$J$14)</f>
        <v>9.9819922262486863E-9</v>
      </c>
      <c r="P51" s="40">
        <f t="shared" ref="P51:P70" si="31">IF(D51=0,"",O51*10^J51)</f>
        <v>6.0837474485580102E-4</v>
      </c>
      <c r="Q51" s="40">
        <f t="shared" ref="Q51:Q70" si="32">IF(D51=0,"",F51*N51*$J$7/$J$22)</f>
        <v>1.0827126908165563E-2</v>
      </c>
      <c r="R51" s="9">
        <f t="shared" si="12"/>
        <v>1.4999999999999999E-4</v>
      </c>
      <c r="S51" s="9">
        <f t="shared" si="13"/>
        <v>6.3874876968471258E-6</v>
      </c>
      <c r="T51" s="9">
        <f t="shared" si="10"/>
        <v>1.4964184838474539E-6</v>
      </c>
      <c r="U51" s="9">
        <f t="shared" si="11"/>
        <v>1.4361251230315286E-4</v>
      </c>
      <c r="V51" s="100">
        <f t="shared" si="14"/>
        <v>1.0419833619292527E-2</v>
      </c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195</v>
      </c>
      <c r="C52" s="46" t="s">
        <v>196</v>
      </c>
      <c r="D52" s="47">
        <v>2.7330160000000001</v>
      </c>
      <c r="E52" s="47">
        <v>3.3310319999999995</v>
      </c>
      <c r="F52" s="96">
        <v>9.9999999999999995E-7</v>
      </c>
      <c r="G52" s="168"/>
      <c r="H52" s="168"/>
      <c r="I52" s="92">
        <f t="shared" si="24"/>
        <v>0.12726341031571042</v>
      </c>
      <c r="J52" s="92">
        <f t="shared" si="25"/>
        <v>2.1476419495508856</v>
      </c>
      <c r="K52" s="93">
        <f t="shared" si="26"/>
        <v>0.74017955709502625</v>
      </c>
      <c r="L52" s="93">
        <f t="shared" si="27"/>
        <v>7.2828622992170263E-3</v>
      </c>
      <c r="M52" s="93">
        <f t="shared" si="28"/>
        <v>0.99271713770078296</v>
      </c>
      <c r="N52" s="93">
        <f t="shared" si="29"/>
        <v>5.5547197607728012E-3</v>
      </c>
      <c r="O52" s="40">
        <f t="shared" si="30"/>
        <v>7.4061500823829024E-7</v>
      </c>
      <c r="P52" s="40">
        <f t="shared" si="31"/>
        <v>1.0404817285111387E-4</v>
      </c>
      <c r="Q52" s="40">
        <f t="shared" si="32"/>
        <v>1.5871738831874441E-3</v>
      </c>
      <c r="R52" s="9">
        <f t="shared" si="12"/>
        <v>1.4999999999999999E-4</v>
      </c>
      <c r="S52" s="9">
        <f t="shared" si="13"/>
        <v>1.092429344882554E-6</v>
      </c>
      <c r="T52" s="9">
        <f t="shared" si="10"/>
        <v>1.1102693356425393E-4</v>
      </c>
      <c r="U52" s="9">
        <f t="shared" si="11"/>
        <v>1.4890757065511744E-4</v>
      </c>
      <c r="V52" s="100">
        <f t="shared" si="14"/>
        <v>0.74560973008821507</v>
      </c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197</v>
      </c>
      <c r="C53" s="46" t="s">
        <v>198</v>
      </c>
      <c r="D53" s="47">
        <v>3.4406639999999999</v>
      </c>
      <c r="E53" s="47">
        <v>4.222847999999999</v>
      </c>
      <c r="F53" s="96">
        <v>9.9999999999999995E-7</v>
      </c>
      <c r="G53" s="168"/>
      <c r="H53" s="168"/>
      <c r="I53" s="92">
        <f t="shared" si="24"/>
        <v>0.47104615060046062</v>
      </c>
      <c r="J53" s="92">
        <f t="shared" si="25"/>
        <v>3.0007157776870899</v>
      </c>
      <c r="K53" s="93">
        <f t="shared" si="26"/>
        <v>0.33003171481964799</v>
      </c>
      <c r="L53" s="93">
        <f t="shared" si="27"/>
        <v>2.3152320003955684E-2</v>
      </c>
      <c r="M53" s="93">
        <f t="shared" si="28"/>
        <v>0.97684767999604427</v>
      </c>
      <c r="N53" s="93">
        <f t="shared" si="29"/>
        <v>1.9306197432843755E-2</v>
      </c>
      <c r="O53" s="40">
        <f t="shared" si="30"/>
        <v>3.3022587404243934E-7</v>
      </c>
      <c r="P53" s="40">
        <f t="shared" si="31"/>
        <v>3.307705809479424E-4</v>
      </c>
      <c r="Q53" s="40">
        <f t="shared" si="32"/>
        <v>5.5164425333325863E-3</v>
      </c>
      <c r="R53" s="9">
        <f t="shared" si="12"/>
        <v>1.4999999999999999E-4</v>
      </c>
      <c r="S53" s="9">
        <f t="shared" si="13"/>
        <v>3.4728480005933522E-6</v>
      </c>
      <c r="T53" s="9">
        <f t="shared" si="10"/>
        <v>4.9504757222947193E-5</v>
      </c>
      <c r="U53" s="9">
        <f t="shared" si="11"/>
        <v>1.4652715199940663E-4</v>
      </c>
      <c r="V53" s="100">
        <f t="shared" si="14"/>
        <v>0.337853814446265</v>
      </c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199</v>
      </c>
      <c r="C54" s="46" t="s">
        <v>200</v>
      </c>
      <c r="D54" s="47">
        <v>2.8976480000000002</v>
      </c>
      <c r="E54" s="47">
        <v>3.5312959999999993</v>
      </c>
      <c r="F54" s="96">
        <v>9.9999999999999995E-7</v>
      </c>
      <c r="G54" s="168"/>
      <c r="H54" s="168"/>
      <c r="I54" s="92">
        <f t="shared" si="24"/>
        <v>0.17835694544431213</v>
      </c>
      <c r="J54" s="92">
        <f t="shared" si="25"/>
        <v>2.3388959370141773</v>
      </c>
      <c r="K54" s="93">
        <f t="shared" si="26"/>
        <v>0.65620643602282769</v>
      </c>
      <c r="L54" s="93">
        <f t="shared" si="27"/>
        <v>1.0029042817097756E-2</v>
      </c>
      <c r="M54" s="93">
        <f t="shared" si="28"/>
        <v>0.98997095718290229</v>
      </c>
      <c r="N54" s="93">
        <f t="shared" si="29"/>
        <v>7.8096137108367722E-3</v>
      </c>
      <c r="O54" s="40">
        <f t="shared" si="30"/>
        <v>6.5659248538077651E-7</v>
      </c>
      <c r="P54" s="40">
        <f t="shared" si="31"/>
        <v>1.4328206928707079E-4</v>
      </c>
      <c r="Q54" s="40">
        <f t="shared" si="32"/>
        <v>2.2314743953704371E-3</v>
      </c>
      <c r="R54" s="9">
        <f t="shared" si="12"/>
        <v>1.4999999999999999E-4</v>
      </c>
      <c r="S54" s="9">
        <f t="shared" si="13"/>
        <v>1.5043564225646633E-6</v>
      </c>
      <c r="T54" s="9">
        <f t="shared" si="10"/>
        <v>9.8430965403424145E-5</v>
      </c>
      <c r="U54" s="9">
        <f t="shared" si="11"/>
        <v>1.4849564357743533E-4</v>
      </c>
      <c r="V54" s="100">
        <f t="shared" si="14"/>
        <v>0.66285422947169359</v>
      </c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102</v>
      </c>
      <c r="C55" s="46" t="s">
        <v>103</v>
      </c>
      <c r="D55" s="47">
        <v>1.423632</v>
      </c>
      <c r="E55" s="47">
        <v>1.638849</v>
      </c>
      <c r="F55" s="96">
        <v>9.9999999999999995E-7</v>
      </c>
      <c r="G55" s="168"/>
      <c r="H55" s="168"/>
      <c r="I55" s="54">
        <f t="shared" si="24"/>
        <v>5.9812805986470914E-3</v>
      </c>
      <c r="J55" s="54">
        <f t="shared" si="25"/>
        <v>0.66821968451796954</v>
      </c>
      <c r="K55" s="55">
        <f t="shared" si="26"/>
        <v>0.98549413356751825</v>
      </c>
      <c r="L55" s="55">
        <f t="shared" si="27"/>
        <v>3.2151170662029826E-4</v>
      </c>
      <c r="M55" s="55">
        <f t="shared" si="28"/>
        <v>0.99967848829337969</v>
      </c>
      <c r="N55" s="55">
        <f t="shared" si="29"/>
        <v>1.5024364474004157E-4</v>
      </c>
      <c r="O55" s="56">
        <f t="shared" si="30"/>
        <v>9.8607390443936739E-7</v>
      </c>
      <c r="P55" s="56">
        <f t="shared" si="31"/>
        <v>4.5933458919965955E-6</v>
      </c>
      <c r="Q55" s="56">
        <f t="shared" si="32"/>
        <v>4.2929760512906673E-5</v>
      </c>
      <c r="R55" s="9">
        <f t="shared" si="12"/>
        <v>1.4999999999999999E-4</v>
      </c>
      <c r="S55" s="9">
        <f t="shared" si="13"/>
        <v>4.8226755993044735E-8</v>
      </c>
      <c r="T55" s="9">
        <f t="shared" si="10"/>
        <v>1.4782412003512771E-4</v>
      </c>
      <c r="U55" s="9">
        <f t="shared" si="11"/>
        <v>1.4995177324400694E-4</v>
      </c>
      <c r="V55" s="100">
        <f t="shared" si="14"/>
        <v>0.98581108337133816</v>
      </c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201</v>
      </c>
      <c r="C56" s="46" t="s">
        <v>202</v>
      </c>
      <c r="D56" s="47">
        <v>2.6912000000000003</v>
      </c>
      <c r="E56" s="47">
        <v>3.3249699999999995</v>
      </c>
      <c r="F56" s="96">
        <v>9.9999999999999995E-7</v>
      </c>
      <c r="G56" s="168"/>
      <c r="H56" s="168"/>
      <c r="I56" s="54">
        <f t="shared" si="24"/>
        <v>0.11910186422699467</v>
      </c>
      <c r="J56" s="54">
        <f t="shared" si="25"/>
        <v>2.1336193491516409</v>
      </c>
      <c r="K56" s="55">
        <f t="shared" si="26"/>
        <v>0.75429465952572194</v>
      </c>
      <c r="L56" s="55">
        <f t="shared" si="27"/>
        <v>7.185937653648531E-3</v>
      </c>
      <c r="M56" s="55">
        <f t="shared" si="28"/>
        <v>0.9928140623463515</v>
      </c>
      <c r="N56" s="55">
        <f t="shared" si="29"/>
        <v>5.5821833888609141E-3</v>
      </c>
      <c r="O56" s="56">
        <f t="shared" si="30"/>
        <v>7.5473841465067786E-7</v>
      </c>
      <c r="P56" s="56">
        <f t="shared" si="31"/>
        <v>1.0266343813263266E-4</v>
      </c>
      <c r="Q56" s="56">
        <f t="shared" si="32"/>
        <v>1.5950211833423238E-3</v>
      </c>
      <c r="R56" s="9">
        <f t="shared" si="12"/>
        <v>1.4999999999999999E-4</v>
      </c>
      <c r="S56" s="9">
        <f t="shared" si="13"/>
        <v>1.0778906480472795E-6</v>
      </c>
      <c r="T56" s="9">
        <f t="shared" si="10"/>
        <v>1.1314419892885828E-4</v>
      </c>
      <c r="U56" s="9">
        <f t="shared" si="11"/>
        <v>1.4892210935195271E-4</v>
      </c>
      <c r="V56" s="100">
        <f t="shared" si="14"/>
        <v>0.75975420588128206</v>
      </c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7" t="s">
        <v>104</v>
      </c>
      <c r="C57" s="87" t="s">
        <v>105</v>
      </c>
      <c r="D57" s="90">
        <v>2.1493200000000003</v>
      </c>
      <c r="E57" s="90">
        <v>2.6108399999999996</v>
      </c>
      <c r="F57" s="96">
        <v>9.9999999999999995E-7</v>
      </c>
      <c r="G57" s="168"/>
      <c r="H57" s="168"/>
      <c r="I57" s="54">
        <f t="shared" si="24"/>
        <v>3.4503381608646556E-2</v>
      </c>
      <c r="J57" s="54">
        <f t="shared" si="25"/>
        <v>1.4736389783743882</v>
      </c>
      <c r="K57" s="55">
        <f t="shared" si="26"/>
        <v>0.92137571434659726</v>
      </c>
      <c r="L57" s="55">
        <f t="shared" si="27"/>
        <v>1.9204314170268165E-3</v>
      </c>
      <c r="M57" s="55">
        <f t="shared" si="28"/>
        <v>0.9980795685829732</v>
      </c>
      <c r="N57" s="55">
        <f t="shared" si="29"/>
        <v>1.3169516419450457E-3</v>
      </c>
      <c r="O57" s="56">
        <f t="shared" si="30"/>
        <v>9.2191776404837847E-7</v>
      </c>
      <c r="P57" s="56">
        <f t="shared" si="31"/>
        <v>2.7436654960371551E-5</v>
      </c>
      <c r="Q57" s="56">
        <f t="shared" si="32"/>
        <v>3.7629823673142332E-4</v>
      </c>
      <c r="R57" s="9">
        <f t="shared" si="12"/>
        <v>1.4999999999999999E-4</v>
      </c>
      <c r="S57" s="9">
        <f t="shared" si="13"/>
        <v>2.8806471255402243E-7</v>
      </c>
      <c r="T57" s="9">
        <f t="shared" si="10"/>
        <v>1.3820635715198958E-4</v>
      </c>
      <c r="U57" s="9">
        <f t="shared" si="11"/>
        <v>1.4971193528744598E-4</v>
      </c>
      <c r="V57" s="100">
        <f t="shared" si="14"/>
        <v>0.92314855783965555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144</v>
      </c>
      <c r="C58" s="46" t="s">
        <v>145</v>
      </c>
      <c r="D58" s="47">
        <v>2.0184960000000003</v>
      </c>
      <c r="E58" s="47">
        <v>2.3512620000000002</v>
      </c>
      <c r="F58" s="96">
        <v>9.9999999999999995E-7</v>
      </c>
      <c r="G58" s="168"/>
      <c r="H58" s="168"/>
      <c r="I58" s="54">
        <f t="shared" si="24"/>
        <v>2.4527660835054643E-2</v>
      </c>
      <c r="J58" s="54">
        <f t="shared" si="25"/>
        <v>1.2642800792666067</v>
      </c>
      <c r="K58" s="55">
        <f t="shared" si="26"/>
        <v>0.94345162318926079</v>
      </c>
      <c r="L58" s="55">
        <f t="shared" si="27"/>
        <v>1.2142910054936766E-3</v>
      </c>
      <c r="M58" s="55">
        <f t="shared" si="28"/>
        <v>0.99878570899450636</v>
      </c>
      <c r="N58" s="55">
        <f t="shared" si="29"/>
        <v>7.4177928871702926E-4</v>
      </c>
      <c r="O58" s="56">
        <f t="shared" si="30"/>
        <v>9.4400666025289503E-7</v>
      </c>
      <c r="P58" s="56">
        <f t="shared" si="31"/>
        <v>1.7348228655200877E-5</v>
      </c>
      <c r="Q58" s="56">
        <f t="shared" si="32"/>
        <v>2.1195177521921124E-4</v>
      </c>
      <c r="R58" s="9">
        <f t="shared" si="12"/>
        <v>1.4999999999999999E-4</v>
      </c>
      <c r="S58" s="9">
        <f t="shared" si="13"/>
        <v>1.8214365082405148E-7</v>
      </c>
      <c r="T58" s="9">
        <f t="shared" si="10"/>
        <v>1.4151774347838912E-4</v>
      </c>
      <c r="U58" s="9">
        <f t="shared" si="11"/>
        <v>1.4981785634917593E-4</v>
      </c>
      <c r="V58" s="100">
        <f t="shared" si="14"/>
        <v>0.94459864082261324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146</v>
      </c>
      <c r="C59" s="46" t="s">
        <v>147</v>
      </c>
      <c r="D59" s="47">
        <v>1.4665360000000003</v>
      </c>
      <c r="E59" s="47">
        <v>1.8522119999999997</v>
      </c>
      <c r="F59" s="96">
        <v>9.9999999999999995E-7</v>
      </c>
      <c r="G59" s="168"/>
      <c r="H59" s="168"/>
      <c r="I59" s="54">
        <f t="shared" si="24"/>
        <v>6.9959414880738915E-3</v>
      </c>
      <c r="J59" s="54">
        <f t="shared" si="25"/>
        <v>0.79270412978539384</v>
      </c>
      <c r="K59" s="55">
        <f t="shared" si="26"/>
        <v>0.98309043345718317</v>
      </c>
      <c r="L59" s="55">
        <f t="shared" si="27"/>
        <v>4.2718959155136211E-4</v>
      </c>
      <c r="M59" s="55">
        <f t="shared" si="28"/>
        <v>0.99957281040844859</v>
      </c>
      <c r="N59" s="55">
        <f t="shared" si="29"/>
        <v>2.4496189732194383E-4</v>
      </c>
      <c r="O59" s="56">
        <f t="shared" si="30"/>
        <v>9.8366879022085968E-7</v>
      </c>
      <c r="P59" s="56">
        <f t="shared" si="31"/>
        <v>6.1031356403252994E-6</v>
      </c>
      <c r="Q59" s="56">
        <f t="shared" si="32"/>
        <v>6.999401275850181E-5</v>
      </c>
      <c r="R59" s="9">
        <f t="shared" si="12"/>
        <v>1.4999999999999999E-4</v>
      </c>
      <c r="S59" s="9">
        <f t="shared" si="13"/>
        <v>6.4078438732704305E-8</v>
      </c>
      <c r="T59" s="9">
        <f t="shared" si="10"/>
        <v>1.4746356501857747E-4</v>
      </c>
      <c r="U59" s="9">
        <f t="shared" si="11"/>
        <v>1.4993592156126729E-4</v>
      </c>
      <c r="V59" s="100">
        <f t="shared" si="14"/>
        <v>0.98351057893968685</v>
      </c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148</v>
      </c>
      <c r="C60" s="46" t="s">
        <v>149</v>
      </c>
      <c r="D60" s="47">
        <v>2.7203999877244023</v>
      </c>
      <c r="E60" s="47">
        <v>3.3923999825375306</v>
      </c>
      <c r="F60" s="96">
        <v>9.9999999999999995E-7</v>
      </c>
      <c r="G60" s="168"/>
      <c r="H60" s="168"/>
      <c r="I60" s="54">
        <f t="shared" si="24"/>
        <v>0.12885708410514962</v>
      </c>
      <c r="J60" s="54">
        <f t="shared" si="25"/>
        <v>2.1926316771695706</v>
      </c>
      <c r="K60" s="55">
        <f t="shared" si="26"/>
        <v>0.73690442176617321</v>
      </c>
      <c r="L60" s="55">
        <f t="shared" si="27"/>
        <v>8.0420339561894719E-3</v>
      </c>
      <c r="M60" s="55">
        <f t="shared" si="28"/>
        <v>0.99195796604381048</v>
      </c>
      <c r="N60" s="55">
        <f t="shared" si="29"/>
        <v>6.3694834309633592E-3</v>
      </c>
      <c r="O60" s="56">
        <f t="shared" si="30"/>
        <v>7.3733794613179316E-7</v>
      </c>
      <c r="P60" s="56">
        <f t="shared" si="31"/>
        <v>1.1489424140809152E-4</v>
      </c>
      <c r="Q60" s="56">
        <f t="shared" si="32"/>
        <v>1.8199797985152929E-3</v>
      </c>
      <c r="R60" s="9">
        <f t="shared" si="12"/>
        <v>1.4999999999999999E-4</v>
      </c>
      <c r="S60" s="9">
        <f t="shared" si="13"/>
        <v>1.2063050934284207E-6</v>
      </c>
      <c r="T60" s="9">
        <f t="shared" si="10"/>
        <v>1.1053566326492597E-4</v>
      </c>
      <c r="U60" s="9">
        <f t="shared" si="11"/>
        <v>1.4879369490657156E-4</v>
      </c>
      <c r="V60" s="100">
        <f t="shared" si="14"/>
        <v>0.74287867731446533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150</v>
      </c>
      <c r="C61" s="46" t="s">
        <v>151</v>
      </c>
      <c r="D61" s="47">
        <v>3.4658999877244021</v>
      </c>
      <c r="E61" s="47">
        <v>4.4528999825375299</v>
      </c>
      <c r="F61" s="96">
        <v>9.9999999999999995E-7</v>
      </c>
      <c r="G61" s="168"/>
      <c r="H61" s="168"/>
      <c r="I61" s="54">
        <f t="shared" si="24"/>
        <v>0.54169315053805034</v>
      </c>
      <c r="J61" s="54">
        <f t="shared" si="25"/>
        <v>3.2027420384680658</v>
      </c>
      <c r="K61" s="55">
        <f t="shared" si="26"/>
        <v>0.27820900419990519</v>
      </c>
      <c r="L61" s="55">
        <f t="shared" si="27"/>
        <v>3.1076799302905911E-2</v>
      </c>
      <c r="M61" s="55">
        <f t="shared" si="28"/>
        <v>0.96892320069709403</v>
      </c>
      <c r="N61" s="55">
        <f t="shared" si="29"/>
        <v>2.7641667049443822E-2</v>
      </c>
      <c r="O61" s="56">
        <f t="shared" si="30"/>
        <v>2.7837267587630306E-7</v>
      </c>
      <c r="P61" s="56">
        <f t="shared" si="31"/>
        <v>4.4398535255510185E-4</v>
      </c>
      <c r="Q61" s="56">
        <f t="shared" si="32"/>
        <v>7.8981719903249373E-3</v>
      </c>
      <c r="R61" s="9">
        <f t="shared" si="12"/>
        <v>1.4999999999999999E-4</v>
      </c>
      <c r="S61" s="9">
        <f t="shared" si="13"/>
        <v>4.6615198954358866E-6</v>
      </c>
      <c r="T61" s="9">
        <f t="shared" si="10"/>
        <v>4.1731350629985777E-5</v>
      </c>
      <c r="U61" s="9">
        <f t="shared" si="11"/>
        <v>1.4533848010456408E-4</v>
      </c>
      <c r="V61" s="100">
        <f t="shared" si="14"/>
        <v>0.28713215247580726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152</v>
      </c>
      <c r="C62" s="46" t="s">
        <v>153</v>
      </c>
      <c r="D62" s="47">
        <v>4.1687999877244026</v>
      </c>
      <c r="E62" s="47">
        <v>5.4527999825375302</v>
      </c>
      <c r="F62" s="96">
        <v>9.9999999999999995E-7</v>
      </c>
      <c r="G62" s="168"/>
      <c r="H62" s="168"/>
      <c r="I62" s="54">
        <f t="shared" si="24"/>
        <v>1.2755126419323455</v>
      </c>
      <c r="J62" s="54">
        <f t="shared" si="25"/>
        <v>4.1780835037756168</v>
      </c>
      <c r="K62" s="55">
        <f t="shared" si="26"/>
        <v>5.0191009502886748E-2</v>
      </c>
      <c r="L62" s="55">
        <f t="shared" si="27"/>
        <v>5.2970307910503917E-2</v>
      </c>
      <c r="M62" s="55">
        <f t="shared" si="28"/>
        <v>0.94702969208949606</v>
      </c>
      <c r="N62" s="55">
        <f t="shared" si="29"/>
        <v>4.9856177809287784E-2</v>
      </c>
      <c r="O62" s="56">
        <f t="shared" si="30"/>
        <v>5.0220537111775842E-8</v>
      </c>
      <c r="P62" s="56">
        <f t="shared" si="31"/>
        <v>7.5677165474368109E-4</v>
      </c>
      <c r="Q62" s="56">
        <f t="shared" si="32"/>
        <v>1.4245619354781264E-2</v>
      </c>
      <c r="R62" s="9">
        <f t="shared" si="12"/>
        <v>1.4999999999999999E-4</v>
      </c>
      <c r="S62" s="9">
        <f t="shared" si="13"/>
        <v>7.945546186575586E-6</v>
      </c>
      <c r="T62" s="9">
        <f t="shared" si="10"/>
        <v>7.5286514254330116E-6</v>
      </c>
      <c r="U62" s="9">
        <f t="shared" si="11"/>
        <v>1.4205445381342439E-4</v>
      </c>
      <c r="V62" s="100">
        <f t="shared" si="14"/>
        <v>5.2998348332824609E-2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154</v>
      </c>
      <c r="C63" s="46" t="s">
        <v>155</v>
      </c>
      <c r="D63" s="47">
        <v>4.999499987724402</v>
      </c>
      <c r="E63" s="47">
        <v>6.6344999825375304</v>
      </c>
      <c r="F63" s="96">
        <v>9.9999999999999995E-7</v>
      </c>
      <c r="G63" s="168"/>
      <c r="H63" s="168"/>
      <c r="I63" s="54">
        <f t="shared" si="24"/>
        <v>2.3278344887119857</v>
      </c>
      <c r="J63" s="54">
        <f t="shared" si="25"/>
        <v>5.3453840366218301</v>
      </c>
      <c r="K63" s="55">
        <f t="shared" si="26"/>
        <v>4.3791182673176866E-3</v>
      </c>
      <c r="L63" s="55">
        <f t="shared" si="27"/>
        <v>6.7935030364393703E-2</v>
      </c>
      <c r="M63" s="55">
        <f t="shared" si="28"/>
        <v>0.93206496963560626</v>
      </c>
      <c r="N63" s="55">
        <f t="shared" si="29"/>
        <v>6.6096691938629354E-2</v>
      </c>
      <c r="O63" s="56">
        <f t="shared" si="30"/>
        <v>4.3816945233594988E-9</v>
      </c>
      <c r="P63" s="56">
        <f t="shared" si="31"/>
        <v>9.7056836880741776E-4</v>
      </c>
      <c r="Q63" s="56">
        <f t="shared" si="32"/>
        <v>1.888609105916144E-2</v>
      </c>
      <c r="R63" s="9">
        <f t="shared" si="12"/>
        <v>1.4999999999999999E-4</v>
      </c>
      <c r="S63" s="9">
        <f t="shared" si="13"/>
        <v>1.0190254554659055E-5</v>
      </c>
      <c r="T63" s="9">
        <f t="shared" si="10"/>
        <v>6.5686774009765293E-7</v>
      </c>
      <c r="U63" s="9">
        <f t="shared" si="11"/>
        <v>1.3980974544534091E-4</v>
      </c>
      <c r="V63" s="100">
        <f t="shared" si="14"/>
        <v>4.6982972324662265E-3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156</v>
      </c>
      <c r="C64" s="46" t="s">
        <v>157</v>
      </c>
      <c r="D64" s="47">
        <v>4.4669999877244022</v>
      </c>
      <c r="E64" s="47">
        <v>5.8769999825375301</v>
      </c>
      <c r="F64" s="96">
        <v>9.9999999999999995E-7</v>
      </c>
      <c r="G64" s="168"/>
      <c r="H64" s="168"/>
      <c r="I64" s="54">
        <f t="shared" si="24"/>
        <v>1.6404345211947191</v>
      </c>
      <c r="J64" s="54">
        <f t="shared" si="25"/>
        <v>4.5957959641970998</v>
      </c>
      <c r="K64" s="55">
        <f t="shared" si="26"/>
        <v>2.1514972536880117E-2</v>
      </c>
      <c r="L64" s="55">
        <f t="shared" si="27"/>
        <v>5.9410037033479447E-2</v>
      </c>
      <c r="M64" s="55">
        <f t="shared" si="28"/>
        <v>0.94058996296652053</v>
      </c>
      <c r="N64" s="55">
        <f t="shared" si="29"/>
        <v>5.6758883745583251E-2</v>
      </c>
      <c r="O64" s="56">
        <f t="shared" si="30"/>
        <v>2.1527629897244472E-8</v>
      </c>
      <c r="P64" s="56">
        <f t="shared" si="31"/>
        <v>8.4877422480102605E-4</v>
      </c>
      <c r="Q64" s="56">
        <f t="shared" si="32"/>
        <v>1.6217959104984411E-2</v>
      </c>
      <c r="R64" s="9">
        <f t="shared" si="12"/>
        <v>1.4999999999999999E-4</v>
      </c>
      <c r="S64" s="9">
        <f t="shared" si="13"/>
        <v>8.9115055550219162E-6</v>
      </c>
      <c r="T64" s="9">
        <f t="shared" si="10"/>
        <v>3.2272458805320174E-6</v>
      </c>
      <c r="U64" s="9">
        <f t="shared" si="11"/>
        <v>1.4108849444497806E-4</v>
      </c>
      <c r="V64" s="100">
        <f t="shared" si="14"/>
        <v>2.2873912527223005E-2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158</v>
      </c>
      <c r="C65" s="46" t="s">
        <v>159</v>
      </c>
      <c r="D65" s="47">
        <v>4.2539999877244021</v>
      </c>
      <c r="E65" s="47">
        <v>5.5739999825375302</v>
      </c>
      <c r="F65" s="96">
        <v>9.9999999999999995E-7</v>
      </c>
      <c r="G65" s="168"/>
      <c r="H65" s="168"/>
      <c r="I65" s="54">
        <f t="shared" si="24"/>
        <v>1.3777282566754774</v>
      </c>
      <c r="J65" s="54">
        <f t="shared" si="25"/>
        <v>4.297243414913436</v>
      </c>
      <c r="K65" s="55">
        <f t="shared" si="26"/>
        <v>3.9581841511237115E-2</v>
      </c>
      <c r="L65" s="55">
        <f t="shared" si="27"/>
        <v>5.496199310146218E-2</v>
      </c>
      <c r="M65" s="55">
        <f t="shared" si="28"/>
        <v>0.94503800689853779</v>
      </c>
      <c r="N65" s="55">
        <f t="shared" si="29"/>
        <v>5.1974347433783097E-2</v>
      </c>
      <c r="O65" s="56">
        <f t="shared" si="30"/>
        <v>3.9605127696289578E-8</v>
      </c>
      <c r="P65" s="56">
        <f t="shared" si="31"/>
        <v>7.8522629201399033E-4</v>
      </c>
      <c r="Q65" s="56">
        <f t="shared" si="32"/>
        <v>1.485085303945813E-2</v>
      </c>
      <c r="R65" s="9">
        <f t="shared" si="12"/>
        <v>1.4999999999999999E-4</v>
      </c>
      <c r="S65" s="9">
        <f t="shared" si="13"/>
        <v>8.2442989652193268E-6</v>
      </c>
      <c r="T65" s="9">
        <f t="shared" si="10"/>
        <v>5.9372762266855663E-6</v>
      </c>
      <c r="U65" s="9">
        <f t="shared" si="11"/>
        <v>1.4175570103478065E-4</v>
      </c>
      <c r="V65" s="100">
        <f t="shared" si="14"/>
        <v>4.1883862048192465E-2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160</v>
      </c>
      <c r="C66" s="46" t="s">
        <v>161</v>
      </c>
      <c r="D66" s="47">
        <v>4.4669999877244022</v>
      </c>
      <c r="E66" s="47">
        <v>5.8769999825375301</v>
      </c>
      <c r="F66" s="96">
        <v>9.9999999999999995E-7</v>
      </c>
      <c r="G66" s="168"/>
      <c r="H66" s="168"/>
      <c r="I66" s="54">
        <f t="shared" si="24"/>
        <v>1.6404345211947191</v>
      </c>
      <c r="J66" s="54">
        <f t="shared" si="25"/>
        <v>4.5957959641970998</v>
      </c>
      <c r="K66" s="55">
        <f t="shared" si="26"/>
        <v>2.1514972536880117E-2</v>
      </c>
      <c r="L66" s="55">
        <f t="shared" si="27"/>
        <v>5.9410037033479447E-2</v>
      </c>
      <c r="M66" s="55">
        <f t="shared" si="28"/>
        <v>0.94058996296652053</v>
      </c>
      <c r="N66" s="55">
        <f t="shared" si="29"/>
        <v>5.6758883745583251E-2</v>
      </c>
      <c r="O66" s="56">
        <f t="shared" si="30"/>
        <v>2.1527629897244472E-8</v>
      </c>
      <c r="P66" s="56">
        <f t="shared" si="31"/>
        <v>8.4877422480102605E-4</v>
      </c>
      <c r="Q66" s="56">
        <f t="shared" si="32"/>
        <v>1.6217959104984411E-2</v>
      </c>
      <c r="R66" s="9">
        <f t="shared" si="12"/>
        <v>1.4999999999999999E-4</v>
      </c>
      <c r="S66" s="9">
        <f t="shared" si="13"/>
        <v>8.9115055550219162E-6</v>
      </c>
      <c r="T66" s="9">
        <f t="shared" si="10"/>
        <v>3.2272458805320174E-6</v>
      </c>
      <c r="U66" s="9">
        <f t="shared" si="11"/>
        <v>1.4108849444497806E-4</v>
      </c>
      <c r="V66" s="100">
        <f t="shared" si="14"/>
        <v>2.2873912527223005E-2</v>
      </c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114</v>
      </c>
      <c r="C67" s="46" t="s">
        <v>115</v>
      </c>
      <c r="D67" s="47">
        <v>-0.73745450190951667</v>
      </c>
      <c r="E67" s="47">
        <v>-1.5265197844064957</v>
      </c>
      <c r="F67" s="96">
        <v>9.9999999999999995E-7</v>
      </c>
      <c r="G67" s="168"/>
      <c r="H67" s="168"/>
      <c r="I67" s="54">
        <f t="shared" si="24"/>
        <v>-1.8635683569884906E-4</v>
      </c>
      <c r="J67" s="54">
        <f t="shared" si="25"/>
        <v>-4.4567291494222658E-2</v>
      </c>
      <c r="K67" s="55">
        <f t="shared" si="26"/>
        <v>0.99984778184296497</v>
      </c>
      <c r="L67" s="55">
        <f t="shared" si="27"/>
        <v>6.3196009951727223E-5</v>
      </c>
      <c r="M67" s="55">
        <f t="shared" si="28"/>
        <v>0.99993680399004825</v>
      </c>
      <c r="N67" s="55">
        <f t="shared" si="29"/>
        <v>1.0416148676413149E-7</v>
      </c>
      <c r="O67" s="56">
        <f t="shared" si="30"/>
        <v>1.0004359970341577E-6</v>
      </c>
      <c r="P67" s="56">
        <f t="shared" si="31"/>
        <v>9.0286333817748385E-7</v>
      </c>
      <c r="Q67" s="56">
        <f t="shared" si="32"/>
        <v>2.9762508019487133E-8</v>
      </c>
      <c r="R67" s="9">
        <f t="shared" si="12"/>
        <v>1.4999999999999999E-4</v>
      </c>
      <c r="S67" s="9">
        <f t="shared" si="13"/>
        <v>9.4794014927590832E-9</v>
      </c>
      <c r="T67" s="9">
        <f t="shared" si="10"/>
        <v>1.4997716727644473E-4</v>
      </c>
      <c r="U67" s="9">
        <f t="shared" si="11"/>
        <v>1.4999052059850722E-4</v>
      </c>
      <c r="V67" s="100">
        <f t="shared" si="14"/>
        <v>0.99991097222671665</v>
      </c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116</v>
      </c>
      <c r="C68" s="46" t="s">
        <v>117</v>
      </c>
      <c r="D68" s="47">
        <v>4.7386560000000006</v>
      </c>
      <c r="E68" s="47">
        <v>5.8355820000000005</v>
      </c>
      <c r="F68" s="96">
        <v>9.9999999999999995E-7</v>
      </c>
      <c r="G68" s="168"/>
      <c r="H68" s="168"/>
      <c r="I68" s="54">
        <f t="shared" si="24"/>
        <v>1.7268855172909561</v>
      </c>
      <c r="J68" s="54">
        <f t="shared" si="25"/>
        <v>4.5743714574945757</v>
      </c>
      <c r="K68" s="55">
        <f t="shared" si="26"/>
        <v>1.7864963667680079E-2</v>
      </c>
      <c r="L68" s="55">
        <f t="shared" si="27"/>
        <v>4.6956601551526908E-2</v>
      </c>
      <c r="M68" s="55">
        <f t="shared" si="28"/>
        <v>0.95304339844847308</v>
      </c>
      <c r="N68" s="55">
        <f t="shared" si="29"/>
        <v>4.2842736666444406E-2</v>
      </c>
      <c r="O68" s="56">
        <f t="shared" si="30"/>
        <v>1.7875473710518869E-8</v>
      </c>
      <c r="P68" s="56">
        <f t="shared" si="31"/>
        <v>6.7085555019479341E-4</v>
      </c>
      <c r="Q68" s="56">
        <f t="shared" si="32"/>
        <v>1.2241638759431728E-2</v>
      </c>
      <c r="R68" s="9">
        <f t="shared" si="12"/>
        <v>1.4999999999999999E-4</v>
      </c>
      <c r="S68" s="9">
        <f t="shared" si="13"/>
        <v>7.0434902327290359E-6</v>
      </c>
      <c r="T68" s="9">
        <f t="shared" si="10"/>
        <v>2.6797445501520115E-6</v>
      </c>
      <c r="U68" s="9">
        <f t="shared" si="11"/>
        <v>1.4295650976727095E-4</v>
      </c>
      <c r="V68" s="100">
        <f t="shared" si="14"/>
        <v>1.8745173301408645E-2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118</v>
      </c>
      <c r="C69" s="46" t="s">
        <v>119</v>
      </c>
      <c r="D69" s="47">
        <v>2.3724999877244022</v>
      </c>
      <c r="E69" s="47">
        <v>2.8974999825375303</v>
      </c>
      <c r="F69" s="96">
        <v>9.9999999999999995E-7</v>
      </c>
      <c r="G69" s="168"/>
      <c r="H69" s="168"/>
      <c r="I69" s="54">
        <f t="shared" si="24"/>
        <v>5.7919228101834593E-2</v>
      </c>
      <c r="J69" s="54">
        <f t="shared" si="25"/>
        <v>1.7365957830383387</v>
      </c>
      <c r="K69" s="55">
        <f t="shared" si="26"/>
        <v>0.8717812595924318</v>
      </c>
      <c r="L69" s="55">
        <f t="shared" si="27"/>
        <v>3.3290964279814178E-3</v>
      </c>
      <c r="M69" s="55">
        <f t="shared" si="28"/>
        <v>0.9966709035720186</v>
      </c>
      <c r="N69" s="55">
        <f t="shared" si="29"/>
        <v>2.4110186989004666E-3</v>
      </c>
      <c r="O69" s="56">
        <f t="shared" si="30"/>
        <v>8.722941326413114E-7</v>
      </c>
      <c r="P69" s="56">
        <f t="shared" si="31"/>
        <v>4.7561849496162522E-5</v>
      </c>
      <c r="Q69" s="56">
        <f t="shared" si="32"/>
        <v>6.8891070577411129E-4</v>
      </c>
      <c r="R69" s="9">
        <f t="shared" si="12"/>
        <v>1.4999999999999999E-4</v>
      </c>
      <c r="S69" s="9">
        <f t="shared" si="13"/>
        <v>4.9936446419721266E-7</v>
      </c>
      <c r="T69" s="9">
        <f t="shared" si="10"/>
        <v>1.3076718893886475E-4</v>
      </c>
      <c r="U69" s="9">
        <f t="shared" si="11"/>
        <v>1.4950063553580278E-4</v>
      </c>
      <c r="V69" s="100">
        <f t="shared" si="14"/>
        <v>0.87469319759211539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112</v>
      </c>
      <c r="C70" s="46" t="s">
        <v>113</v>
      </c>
      <c r="D70" s="47">
        <v>3.3511520000000004</v>
      </c>
      <c r="E70" s="47">
        <v>4.2962190000000007</v>
      </c>
      <c r="F70" s="96">
        <v>9.9999999999999995E-7</v>
      </c>
      <c r="G70" s="168"/>
      <c r="H70" s="168"/>
      <c r="I70" s="54">
        <f t="shared" si="24"/>
        <v>0.45156382049297444</v>
      </c>
      <c r="J70" s="54">
        <f t="shared" si="25"/>
        <v>3.0509801020444232</v>
      </c>
      <c r="K70" s="55">
        <f t="shared" si="26"/>
        <v>0.34378730610152347</v>
      </c>
      <c r="L70" s="55">
        <f t="shared" si="27"/>
        <v>2.7076529708375156E-2</v>
      </c>
      <c r="M70" s="55">
        <f t="shared" si="28"/>
        <v>0.97292347029162485</v>
      </c>
      <c r="N70" s="55">
        <f t="shared" si="29"/>
        <v>2.3812330632369084E-2</v>
      </c>
      <c r="O70" s="56">
        <f t="shared" si="30"/>
        <v>3.4398955780389296E-7</v>
      </c>
      <c r="P70" s="56">
        <f t="shared" si="31"/>
        <v>3.8683464379221059E-4</v>
      </c>
      <c r="Q70" s="56">
        <f t="shared" si="32"/>
        <v>6.8039992844323846E-3</v>
      </c>
      <c r="R70" s="9">
        <f t="shared" si="12"/>
        <v>1.4999999999999999E-4</v>
      </c>
      <c r="S70" s="9">
        <f t="shared" si="13"/>
        <v>4.0614794562562732E-6</v>
      </c>
      <c r="T70" s="9">
        <f t="shared" si="10"/>
        <v>5.1568095915228517E-5</v>
      </c>
      <c r="U70" s="9">
        <f t="shared" si="11"/>
        <v>1.4593852054374371E-4</v>
      </c>
      <c r="V70" s="100">
        <f t="shared" si="14"/>
        <v>0.35335493139915353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120</v>
      </c>
      <c r="C71" s="46" t="s">
        <v>121</v>
      </c>
      <c r="D71" s="47">
        <v>5.9183200000000005</v>
      </c>
      <c r="E71" s="47">
        <v>7.0401399999999992</v>
      </c>
      <c r="F71" s="96">
        <v>9.9999999999999995E-7</v>
      </c>
      <c r="G71" s="168"/>
      <c r="H71" s="168"/>
      <c r="I71" s="54">
        <f t="shared" ref="I71:I122" si="33">IF(D71=0,"",LOG($K$15*10^D71+$K$16*10^E71+$K$14))</f>
        <v>2.9114243406645759</v>
      </c>
      <c r="J71" s="54">
        <f t="shared" ref="J71:J122" si="34">IF(D71=0,"",LOG($K$21*10^D71+$K$22*10^E71+$K$20))</f>
        <v>5.7767955088211638</v>
      </c>
      <c r="K71" s="55">
        <f t="shared" ref="K71:K122" si="35">IF(D71=0,"",1/(1+10^D71*$J$15/$J$14+10^E71*$J$16/$J$14+10^J71*$J$19/$J$14))</f>
        <v>1.1657536842860886E-3</v>
      </c>
      <c r="L71" s="55">
        <f t="shared" ref="L71:L122" si="36">IF(D71=0,"",1/(1+10^I71/10^J71*$J$13/$J$19))</f>
        <v>4.8834345147774398E-2</v>
      </c>
      <c r="M71" s="55">
        <f t="shared" si="19"/>
        <v>0.95116565485222559</v>
      </c>
      <c r="N71" s="55">
        <f t="shared" ref="N71:N122" si="37">IF(D71=0,"",1/(1/10^E71*$J$20/$J$22+10^D71/10^E71*$J$21/$J$22+10^I71/10^E71*$J$13/$J$22+1))</f>
        <v>4.4775440164044632E-2</v>
      </c>
      <c r="O71" s="56">
        <f t="shared" si="21"/>
        <v>1.1664395027063906E-9</v>
      </c>
      <c r="P71" s="56">
        <f t="shared" ref="P71:P122" si="38">IF(D71=0,"",O71*10^J71)</f>
        <v>6.9768233645621091E-4</v>
      </c>
      <c r="Q71" s="56">
        <f t="shared" ref="Q71:Q122" si="39">IF(D71=0,"",F71*N71*$J$7/$J$22)</f>
        <v>1.2793878412816031E-2</v>
      </c>
      <c r="R71" s="9">
        <f t="shared" si="12"/>
        <v>1.4999999999999999E-4</v>
      </c>
      <c r="S71" s="9">
        <f t="shared" si="13"/>
        <v>7.3251517721661588E-6</v>
      </c>
      <c r="T71" s="9">
        <f t="shared" si="10"/>
        <v>1.7486305264291328E-7</v>
      </c>
      <c r="U71" s="9">
        <f t="shared" si="11"/>
        <v>1.4267484822783383E-4</v>
      </c>
      <c r="V71" s="100">
        <f t="shared" si="14"/>
        <v>1.2256053173694563E-3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122</v>
      </c>
      <c r="C72" s="46" t="s">
        <v>123</v>
      </c>
      <c r="D72" s="47">
        <v>5.5295200000000007</v>
      </c>
      <c r="E72" s="47">
        <v>6.5305900000000001</v>
      </c>
      <c r="F72" s="96">
        <v>9.9999999999999995E-7</v>
      </c>
      <c r="G72" s="168"/>
      <c r="H72" s="168"/>
      <c r="I72" s="54">
        <f t="shared" si="33"/>
        <v>2.4659786116205753</v>
      </c>
      <c r="J72" s="54">
        <f t="shared" si="34"/>
        <v>5.2786655449069544</v>
      </c>
      <c r="K72" s="55">
        <f t="shared" si="35"/>
        <v>3.2695063098724794E-3</v>
      </c>
      <c r="L72" s="55">
        <f t="shared" si="36"/>
        <v>4.3498150103520414E-2</v>
      </c>
      <c r="M72" s="55">
        <f t="shared" si="19"/>
        <v>0.95650184989647957</v>
      </c>
      <c r="N72" s="55">
        <f t="shared" si="37"/>
        <v>3.8847694255611291E-2</v>
      </c>
      <c r="O72" s="56">
        <f t="shared" si="21"/>
        <v>3.271429775938106E-9</v>
      </c>
      <c r="P72" s="56">
        <f t="shared" si="38"/>
        <v>6.2144564248610998E-4</v>
      </c>
      <c r="Q72" s="56">
        <f t="shared" si="39"/>
        <v>1.110011816977405E-2</v>
      </c>
      <c r="R72" s="9">
        <f t="shared" si="12"/>
        <v>1.4999999999999999E-4</v>
      </c>
      <c r="S72" s="9">
        <f t="shared" si="13"/>
        <v>6.5247225155280615E-6</v>
      </c>
      <c r="T72" s="9">
        <f t="shared" si="10"/>
        <v>4.9042594648087182E-7</v>
      </c>
      <c r="U72" s="9">
        <f t="shared" si="11"/>
        <v>1.4347527748447193E-4</v>
      </c>
      <c r="V72" s="100">
        <f t="shared" si="14"/>
        <v>3.4181913084918047E-3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124</v>
      </c>
      <c r="C73" s="46" t="s">
        <v>125</v>
      </c>
      <c r="D73" s="47">
        <v>5.4845040000000003</v>
      </c>
      <c r="E73" s="47">
        <v>6.5678879999999999</v>
      </c>
      <c r="F73" s="96">
        <v>9.9999999999999995E-7</v>
      </c>
      <c r="G73" s="168"/>
      <c r="H73" s="168"/>
      <c r="I73" s="54">
        <f t="shared" si="33"/>
        <v>2.4593424067669152</v>
      </c>
      <c r="J73" s="54">
        <f t="shared" si="34"/>
        <v>5.3078721995446587</v>
      </c>
      <c r="K73" s="55">
        <f t="shared" si="35"/>
        <v>3.3074719969775506E-3</v>
      </c>
      <c r="L73" s="55">
        <f t="shared" si="36"/>
        <v>4.7064282072772266E-2</v>
      </c>
      <c r="M73" s="55">
        <f t="shared" si="19"/>
        <v>0.95293571792722775</v>
      </c>
      <c r="N73" s="55">
        <f t="shared" si="37"/>
        <v>4.2823015202856377E-2</v>
      </c>
      <c r="O73" s="56">
        <f t="shared" si="21"/>
        <v>3.3094177984369294E-9</v>
      </c>
      <c r="P73" s="56">
        <f t="shared" si="38"/>
        <v>6.7239395103596241E-4</v>
      </c>
      <c r="Q73" s="56">
        <f t="shared" si="39"/>
        <v>1.2236003661120164E-2</v>
      </c>
      <c r="R73" s="9">
        <f t="shared" si="12"/>
        <v>1.4999999999999999E-4</v>
      </c>
      <c r="S73" s="9">
        <f t="shared" si="13"/>
        <v>7.0596423109158396E-6</v>
      </c>
      <c r="T73" s="9">
        <f t="shared" si="10"/>
        <v>4.9612079954663257E-7</v>
      </c>
      <c r="U73" s="9">
        <f t="shared" si="11"/>
        <v>1.4294035768908415E-4</v>
      </c>
      <c r="V73" s="100">
        <f t="shared" si="14"/>
        <v>3.4708238286752205E-3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126</v>
      </c>
      <c r="C74" s="46" t="s">
        <v>127</v>
      </c>
      <c r="D74" s="47">
        <v>2.7195840000000011</v>
      </c>
      <c r="E74" s="47">
        <v>3.2500779999999994</v>
      </c>
      <c r="F74" s="96">
        <v>9.9999999999999995E-7</v>
      </c>
      <c r="G74" s="168"/>
      <c r="H74" s="168"/>
      <c r="I74" s="54">
        <f t="shared" si="33"/>
        <v>0.12015758400049081</v>
      </c>
      <c r="J74" s="54">
        <f t="shared" si="34"/>
        <v>2.0837828896743456</v>
      </c>
      <c r="K74" s="55">
        <f t="shared" si="35"/>
        <v>0.75306167138244173</v>
      </c>
      <c r="L74" s="55">
        <f t="shared" si="36"/>
        <v>6.3964129868990405E-3</v>
      </c>
      <c r="M74" s="55">
        <f t="shared" si="19"/>
        <v>0.99360358701310092</v>
      </c>
      <c r="N74" s="55">
        <f t="shared" si="37"/>
        <v>4.6903106829326805E-3</v>
      </c>
      <c r="O74" s="56">
        <f t="shared" si="21"/>
        <v>7.5350470113462633E-7</v>
      </c>
      <c r="P74" s="56">
        <f t="shared" si="38"/>
        <v>9.1383724797258929E-5</v>
      </c>
      <c r="Q74" s="56">
        <f t="shared" si="39"/>
        <v>1.3401825727658529E-3</v>
      </c>
      <c r="R74" s="9">
        <f t="shared" si="12"/>
        <v>1.4999999999999999E-4</v>
      </c>
      <c r="S74" s="9">
        <f t="shared" si="13"/>
        <v>9.5946194803485595E-7</v>
      </c>
      <c r="T74" s="9">
        <f t="shared" si="10"/>
        <v>1.1295925070736624E-4</v>
      </c>
      <c r="U74" s="9">
        <f t="shared" si="11"/>
        <v>1.4904053805196512E-4</v>
      </c>
      <c r="V74" s="100">
        <f t="shared" si="14"/>
        <v>0.757909574024628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80</v>
      </c>
      <c r="C75" s="46" t="s">
        <v>81</v>
      </c>
      <c r="D75" s="47">
        <v>3.9841999877244016</v>
      </c>
      <c r="E75" s="47">
        <v>5.1901999825375293</v>
      </c>
      <c r="F75" s="96">
        <v>9.9999999999999995E-7</v>
      </c>
      <c r="G75" s="168"/>
      <c r="H75" s="168"/>
      <c r="I75" s="54">
        <f t="shared" si="33"/>
        <v>1.0613094291357714</v>
      </c>
      <c r="J75" s="54">
        <f t="shared" si="34"/>
        <v>3.9204939710794475</v>
      </c>
      <c r="K75" s="55">
        <f t="shared" si="35"/>
        <v>8.2607939569596472E-2</v>
      </c>
      <c r="L75" s="55">
        <f t="shared" si="36"/>
        <v>4.8176896955840681E-2</v>
      </c>
      <c r="M75" s="55">
        <f t="shared" si="19"/>
        <v>0.95182310304415929</v>
      </c>
      <c r="N75" s="55">
        <f t="shared" si="37"/>
        <v>4.4824436611654805E-2</v>
      </c>
      <c r="O75" s="56">
        <f t="shared" si="21"/>
        <v>8.2656538212160248E-8</v>
      </c>
      <c r="P75" s="56">
        <f t="shared" si="38"/>
        <v>6.8828956198039453E-4</v>
      </c>
      <c r="Q75" s="56">
        <f t="shared" si="39"/>
        <v>1.2807878377776461E-2</v>
      </c>
      <c r="R75" s="9">
        <f t="shared" si="12"/>
        <v>1.4999999999999999E-4</v>
      </c>
      <c r="S75" s="9">
        <f t="shared" si="13"/>
        <v>7.2265345433761019E-6</v>
      </c>
      <c r="T75" s="9">
        <f t="shared" si="10"/>
        <v>1.239119093543947E-5</v>
      </c>
      <c r="U75" s="9">
        <f t="shared" si="11"/>
        <v>1.4277346545662388E-4</v>
      </c>
      <c r="V75" s="100">
        <f t="shared" si="14"/>
        <v>8.6789172594567629E-2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128</v>
      </c>
      <c r="C76" s="46" t="s">
        <v>129</v>
      </c>
      <c r="D76" s="47">
        <v>4.10616</v>
      </c>
      <c r="E76" s="47">
        <v>5.1108449999999994</v>
      </c>
      <c r="F76" s="96">
        <v>9.9999999999999995E-7</v>
      </c>
      <c r="G76" s="168"/>
      <c r="H76" s="168"/>
      <c r="I76" s="54">
        <f t="shared" si="33"/>
        <v>1.080392983851221</v>
      </c>
      <c r="J76" s="54">
        <f t="shared" si="34"/>
        <v>3.8585870053842997</v>
      </c>
      <c r="K76" s="55">
        <f t="shared" si="35"/>
        <v>7.9709952493722147E-2</v>
      </c>
      <c r="L76" s="55">
        <f t="shared" si="36"/>
        <v>4.0310911509438142E-2</v>
      </c>
      <c r="M76" s="55">
        <f t="shared" si="19"/>
        <v>0.95968908849056189</v>
      </c>
      <c r="N76" s="55">
        <f t="shared" si="37"/>
        <v>3.6028868028442532E-2</v>
      </c>
      <c r="O76" s="56">
        <f t="shared" si="21"/>
        <v>7.9756846236747338E-8</v>
      </c>
      <c r="P76" s="56">
        <f t="shared" si="38"/>
        <v>5.7591047533205454E-4</v>
      </c>
      <c r="Q76" s="56">
        <f t="shared" si="39"/>
        <v>1.0294682871201291E-2</v>
      </c>
      <c r="R76" s="9">
        <f t="shared" si="12"/>
        <v>1.4999999999999999E-4</v>
      </c>
      <c r="S76" s="9">
        <f t="shared" si="13"/>
        <v>6.0466367264157207E-6</v>
      </c>
      <c r="T76" s="9">
        <f t="shared" si="10"/>
        <v>1.1956492874058321E-5</v>
      </c>
      <c r="U76" s="9">
        <f t="shared" si="11"/>
        <v>1.4395336327358428E-4</v>
      </c>
      <c r="V76" s="100">
        <f t="shared" si="14"/>
        <v>8.3058100221909584E-2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130</v>
      </c>
      <c r="C77" s="46" t="s">
        <v>131</v>
      </c>
      <c r="D77" s="47">
        <v>2.8295519999999996</v>
      </c>
      <c r="E77" s="47">
        <v>3.5791989999999991</v>
      </c>
      <c r="F77" s="96">
        <v>9.9999999999999995E-7</v>
      </c>
      <c r="G77" s="168"/>
      <c r="H77" s="168"/>
      <c r="I77" s="54">
        <f t="shared" si="33"/>
        <v>0.16668848098518507</v>
      </c>
      <c r="J77" s="54">
        <f t="shared" si="34"/>
        <v>2.3639081225718592</v>
      </c>
      <c r="K77" s="55">
        <f t="shared" si="35"/>
        <v>0.67348087231001064</v>
      </c>
      <c r="L77" s="55">
        <f t="shared" si="36"/>
        <v>1.0903262076677149E-2</v>
      </c>
      <c r="M77" s="55">
        <f t="shared" si="19"/>
        <v>0.98909673792332287</v>
      </c>
      <c r="N77" s="55">
        <f t="shared" si="37"/>
        <v>8.9498824848408699E-3</v>
      </c>
      <c r="O77" s="56">
        <f t="shared" si="21"/>
        <v>6.7387708430074011E-7</v>
      </c>
      <c r="P77" s="56">
        <f t="shared" si="38"/>
        <v>1.5577179007175026E-4</v>
      </c>
      <c r="Q77" s="56">
        <f t="shared" si="39"/>
        <v>2.5572882790328021E-3</v>
      </c>
      <c r="R77" s="9">
        <f t="shared" si="12"/>
        <v>1.4999999999999999E-4</v>
      </c>
      <c r="S77" s="9">
        <f t="shared" si="13"/>
        <v>1.6354893115015722E-6</v>
      </c>
      <c r="T77" s="9">
        <f t="shared" si="10"/>
        <v>1.0102213084650158E-4</v>
      </c>
      <c r="U77" s="9">
        <f t="shared" si="11"/>
        <v>1.4836451068849841E-4</v>
      </c>
      <c r="V77" s="100">
        <f t="shared" si="14"/>
        <v>0.6809049575110625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82</v>
      </c>
      <c r="C78" s="46" t="s">
        <v>83</v>
      </c>
      <c r="D78" s="47">
        <v>3.03</v>
      </c>
      <c r="E78" s="47">
        <v>3.96</v>
      </c>
      <c r="F78" s="96">
        <v>9.9999999999999995E-7</v>
      </c>
      <c r="G78" s="7"/>
      <c r="H78" s="7"/>
      <c r="I78" s="54">
        <f t="shared" si="33"/>
        <v>0.26960058474961779</v>
      </c>
      <c r="J78" s="54">
        <f t="shared" si="34"/>
        <v>2.7169932228905553</v>
      </c>
      <c r="K78" s="55">
        <f t="shared" si="35"/>
        <v>0.5269143842257703</v>
      </c>
      <c r="L78" s="55">
        <f t="shared" si="36"/>
        <v>1.923341224420768E-2</v>
      </c>
      <c r="M78" s="55">
        <f t="shared" si="19"/>
        <v>0.98076658775579229</v>
      </c>
      <c r="N78" s="55">
        <f t="shared" si="37"/>
        <v>1.682802396033712E-2</v>
      </c>
      <c r="O78" s="56">
        <f t="shared" si="21"/>
        <v>5.2722437045656251E-7</v>
      </c>
      <c r="P78" s="56">
        <f t="shared" si="38"/>
        <v>2.7478226547235401E-4</v>
      </c>
      <c r="Q78" s="56">
        <f t="shared" si="39"/>
        <v>4.8083434062898113E-3</v>
      </c>
      <c r="R78" s="9">
        <f t="shared" si="12"/>
        <v>1.4999999999999999E-4</v>
      </c>
      <c r="S78" s="9">
        <f t="shared" si="13"/>
        <v>2.8850118366311518E-6</v>
      </c>
      <c r="T78" s="9">
        <f t="shared" si="10"/>
        <v>7.9037157633865537E-5</v>
      </c>
      <c r="U78" s="9">
        <f t="shared" si="11"/>
        <v>1.4711498816336884E-4</v>
      </c>
      <c r="V78" s="100">
        <f t="shared" si="14"/>
        <v>0.53724748661296184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132</v>
      </c>
      <c r="C79" s="46" t="s">
        <v>133</v>
      </c>
      <c r="D79" s="47">
        <v>3.2352399999999997</v>
      </c>
      <c r="E79" s="47">
        <v>3.7544849999999994</v>
      </c>
      <c r="F79" s="96">
        <v>9.9999999999999995E-7</v>
      </c>
      <c r="G79" s="7"/>
      <c r="H79" s="7"/>
      <c r="I79" s="54">
        <f t="shared" si="33"/>
        <v>0.30972420580945559</v>
      </c>
      <c r="J79" s="54">
        <f t="shared" si="34"/>
        <v>2.5889557991870298</v>
      </c>
      <c r="K79" s="55">
        <f t="shared" si="35"/>
        <v>0.48339978336831824</v>
      </c>
      <c r="L79" s="55">
        <f t="shared" si="36"/>
        <v>1.313969587812914E-2</v>
      </c>
      <c r="M79" s="55">
        <f t="shared" si="19"/>
        <v>0.98686030412187087</v>
      </c>
      <c r="N79" s="55">
        <f t="shared" si="37"/>
        <v>9.6179943723303345E-3</v>
      </c>
      <c r="O79" s="56">
        <f t="shared" si="21"/>
        <v>4.8368416975308607E-7</v>
      </c>
      <c r="P79" s="56">
        <f t="shared" si="38"/>
        <v>1.8772308081200869E-4</v>
      </c>
      <c r="Q79" s="56">
        <f t="shared" si="39"/>
        <v>2.7481907519818277E-3</v>
      </c>
      <c r="R79" s="9">
        <f t="shared" si="12"/>
        <v>1.4999999999999999E-4</v>
      </c>
      <c r="S79" s="9">
        <f t="shared" si="13"/>
        <v>1.970954381719371E-6</v>
      </c>
      <c r="T79" s="9">
        <f t="shared" si="10"/>
        <v>7.2509967505247731E-5</v>
      </c>
      <c r="U79" s="9">
        <f t="shared" si="11"/>
        <v>1.4802904561828063E-4</v>
      </c>
      <c r="V79" s="100">
        <f t="shared" si="14"/>
        <v>0.48983608049617272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134</v>
      </c>
      <c r="C80" s="46" t="s">
        <v>135</v>
      </c>
      <c r="D80" s="47">
        <v>3.3303280000000011</v>
      </c>
      <c r="E80" s="47">
        <v>3.8215209999999997</v>
      </c>
      <c r="F80" s="96">
        <v>9.9999999999999995E-7</v>
      </c>
      <c r="G80" s="7"/>
      <c r="H80" s="7"/>
      <c r="I80" s="54">
        <f t="shared" si="33"/>
        <v>0.35763444792585858</v>
      </c>
      <c r="J80" s="54">
        <f t="shared" si="34"/>
        <v>2.6634845218157048</v>
      </c>
      <c r="K80" s="55">
        <f t="shared" si="35"/>
        <v>0.43254934561324249</v>
      </c>
      <c r="L80" s="55">
        <f t="shared" si="36"/>
        <v>1.395864441133275E-2</v>
      </c>
      <c r="M80" s="55">
        <f t="shared" si="19"/>
        <v>0.98604135558866723</v>
      </c>
      <c r="N80" s="55">
        <f t="shared" si="37"/>
        <v>1.0042682357578582E-2</v>
      </c>
      <c r="O80" s="56">
        <f t="shared" si="21"/>
        <v>4.3280381644435357E-7</v>
      </c>
      <c r="P80" s="56">
        <f t="shared" si="38"/>
        <v>1.994231645205935E-4</v>
      </c>
      <c r="Q80" s="56">
        <f t="shared" si="39"/>
        <v>2.8695386700981745E-3</v>
      </c>
      <c r="R80" s="9">
        <f t="shared" si="12"/>
        <v>1.4999999999999999E-4</v>
      </c>
      <c r="S80" s="9">
        <f t="shared" si="13"/>
        <v>2.0937966616999125E-6</v>
      </c>
      <c r="T80" s="9">
        <f t="shared" si="10"/>
        <v>6.4882401841986369E-5</v>
      </c>
      <c r="U80" s="9">
        <f t="shared" si="11"/>
        <v>1.4790620333830009E-4</v>
      </c>
      <c r="V80" s="100">
        <f t="shared" si="14"/>
        <v>0.43867262073912738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136</v>
      </c>
      <c r="C81" s="46" t="s">
        <v>137</v>
      </c>
      <c r="D81" s="47">
        <v>4.4202640000000004</v>
      </c>
      <c r="E81" s="47">
        <v>5.6388380000000007</v>
      </c>
      <c r="F81" s="96">
        <v>9.9999999999999995E-7</v>
      </c>
      <c r="G81" s="7"/>
      <c r="H81" s="7"/>
      <c r="I81" s="54">
        <f t="shared" si="33"/>
        <v>1.4796577057346771</v>
      </c>
      <c r="J81" s="54">
        <f t="shared" si="34"/>
        <v>4.3682400663002383</v>
      </c>
      <c r="K81" s="55">
        <f t="shared" si="35"/>
        <v>3.1420323260337071E-2</v>
      </c>
      <c r="L81" s="55">
        <f t="shared" si="36"/>
        <v>5.1377595833481393E-2</v>
      </c>
      <c r="M81" s="55">
        <f t="shared" si="19"/>
        <v>0.94862240416651855</v>
      </c>
      <c r="N81" s="55">
        <f t="shared" si="37"/>
        <v>4.7900684115922437E-2</v>
      </c>
      <c r="O81" s="56">
        <f t="shared" si="21"/>
        <v>3.1438807985501787E-8</v>
      </c>
      <c r="P81" s="56">
        <f t="shared" si="38"/>
        <v>7.3401703235985373E-4</v>
      </c>
      <c r="Q81" s="56">
        <f t="shared" si="39"/>
        <v>1.3686867761088727E-2</v>
      </c>
      <c r="R81" s="9">
        <f t="shared" si="12"/>
        <v>1.4999999999999999E-4</v>
      </c>
      <c r="S81" s="9">
        <f t="shared" si="13"/>
        <v>7.7066393750222078E-6</v>
      </c>
      <c r="T81" s="9">
        <f t="shared" si="10"/>
        <v>4.7130484890505599E-6</v>
      </c>
      <c r="U81" s="9">
        <f t="shared" si="11"/>
        <v>1.4229336062497776E-4</v>
      </c>
      <c r="V81" s="100">
        <f t="shared" si="14"/>
        <v>3.3122054805298097E-2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138</v>
      </c>
      <c r="C82" s="46" t="s">
        <v>139</v>
      </c>
      <c r="D82" s="47">
        <v>4.2752879999999998</v>
      </c>
      <c r="E82" s="47">
        <v>5.3084609999999994</v>
      </c>
      <c r="F82" s="96">
        <v>9.9999999999999995E-7</v>
      </c>
      <c r="G82" s="7"/>
      <c r="H82" s="7"/>
      <c r="I82" s="54">
        <f t="shared" si="33"/>
        <v>1.2498866711591912</v>
      </c>
      <c r="J82" s="54">
        <f t="shared" si="34"/>
        <v>4.0532477704684826</v>
      </c>
      <c r="K82" s="55">
        <f t="shared" si="35"/>
        <v>5.3823958875892697E-2</v>
      </c>
      <c r="L82" s="55">
        <f t="shared" si="36"/>
        <v>4.2613427923876873E-2</v>
      </c>
      <c r="M82" s="55">
        <f t="shared" si="19"/>
        <v>0.9573865720761231</v>
      </c>
      <c r="N82" s="55">
        <f t="shared" si="37"/>
        <v>3.834685092581451E-2</v>
      </c>
      <c r="O82" s="56">
        <f t="shared" si="21"/>
        <v>5.3855623766124855E-8</v>
      </c>
      <c r="P82" s="56">
        <f t="shared" si="38"/>
        <v>6.0880586948330797E-4</v>
      </c>
      <c r="Q82" s="56">
        <f t="shared" si="39"/>
        <v>1.0957010058679802E-2</v>
      </c>
      <c r="R82" s="9">
        <f t="shared" si="12"/>
        <v>1.4999999999999999E-4</v>
      </c>
      <c r="S82" s="9">
        <f t="shared" si="13"/>
        <v>6.3920141885815306E-6</v>
      </c>
      <c r="T82" s="9">
        <f t="shared" si="10"/>
        <v>8.0735938313839044E-6</v>
      </c>
      <c r="U82" s="9">
        <f t="shared" si="11"/>
        <v>1.4360798581141844E-4</v>
      </c>
      <c r="V82" s="100">
        <f t="shared" si="14"/>
        <v>5.6219671808404141E-2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84</v>
      </c>
      <c r="C83" s="46" t="s">
        <v>85</v>
      </c>
      <c r="D83" s="47">
        <v>2.7665919999999997</v>
      </c>
      <c r="E83" s="47">
        <v>3.5255839999999989</v>
      </c>
      <c r="F83" s="96">
        <v>9.9999999999999995E-7</v>
      </c>
      <c r="G83" s="7"/>
      <c r="H83" s="7"/>
      <c r="I83" s="54">
        <f t="shared" si="33"/>
        <v>0.14841008082679891</v>
      </c>
      <c r="J83" s="54">
        <f t="shared" si="34"/>
        <v>2.3088898400463114</v>
      </c>
      <c r="K83" s="55">
        <f t="shared" si="35"/>
        <v>0.7030528032462301</v>
      </c>
      <c r="L83" s="55">
        <f t="shared" si="36"/>
        <v>1.002768878932586E-2</v>
      </c>
      <c r="M83" s="55">
        <f t="shared" si="19"/>
        <v>0.98997231121067419</v>
      </c>
      <c r="N83" s="55">
        <f t="shared" si="37"/>
        <v>8.2578123809257005E-3</v>
      </c>
      <c r="O83" s="56">
        <f t="shared" si="21"/>
        <v>7.0346641254415508E-7</v>
      </c>
      <c r="P83" s="56">
        <f t="shared" si="38"/>
        <v>1.4326272467915873E-4</v>
      </c>
      <c r="Q83" s="56">
        <f t="shared" si="39"/>
        <v>2.3595401222263894E-3</v>
      </c>
      <c r="R83" s="9">
        <f t="shared" si="12"/>
        <v>1.4999999999999999E-4</v>
      </c>
      <c r="S83" s="9">
        <f t="shared" si="13"/>
        <v>1.5041533183988788E-6</v>
      </c>
      <c r="T83" s="9">
        <f t="shared" si="10"/>
        <v>1.0545792048693451E-4</v>
      </c>
      <c r="U83" s="9">
        <f t="shared" si="11"/>
        <v>1.4849584668160111E-4</v>
      </c>
      <c r="V83" s="100">
        <f t="shared" si="14"/>
        <v>0.71017420920231644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140</v>
      </c>
      <c r="C84" s="46" t="s">
        <v>141</v>
      </c>
      <c r="D84" s="47">
        <v>4.4687359999999998</v>
      </c>
      <c r="E84" s="47">
        <v>5.2666120000000003</v>
      </c>
      <c r="F84" s="96">
        <v>9.9999999999999995E-7</v>
      </c>
      <c r="G84" s="7"/>
      <c r="H84" s="7"/>
      <c r="I84" s="54">
        <f t="shared" si="33"/>
        <v>1.3452769109111</v>
      </c>
      <c r="J84" s="54">
        <f t="shared" si="34"/>
        <v>4.041572503575793</v>
      </c>
      <c r="K84" s="55">
        <f t="shared" si="35"/>
        <v>4.3616206164500571E-2</v>
      </c>
      <c r="L84" s="55">
        <f t="shared" si="36"/>
        <v>3.3615800169978324E-2</v>
      </c>
      <c r="M84" s="55">
        <f t="shared" si="19"/>
        <v>0.96638419983002166</v>
      </c>
      <c r="N84" s="55">
        <f t="shared" si="37"/>
        <v>2.8219736494447964E-2</v>
      </c>
      <c r="O84" s="56">
        <f t="shared" si="21"/>
        <v>4.3641865785408919E-8</v>
      </c>
      <c r="P84" s="56">
        <f t="shared" si="38"/>
        <v>4.8025933251414629E-4</v>
      </c>
      <c r="Q84" s="56">
        <f t="shared" si="39"/>
        <v>8.0633462502864486E-3</v>
      </c>
      <c r="R84" s="9">
        <f t="shared" si="12"/>
        <v>1.4999999999999999E-4</v>
      </c>
      <c r="S84" s="9">
        <f t="shared" si="13"/>
        <v>5.0423700254967486E-6</v>
      </c>
      <c r="T84" s="9">
        <f t="shared" si="10"/>
        <v>6.5424309246750846E-6</v>
      </c>
      <c r="U84" s="9">
        <f t="shared" si="11"/>
        <v>1.4495762997450323E-4</v>
      </c>
      <c r="V84" s="100">
        <f t="shared" si="14"/>
        <v>4.5133401572761925E-2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86</v>
      </c>
      <c r="C85" s="46" t="s">
        <v>87</v>
      </c>
      <c r="D85" s="47">
        <v>2.6972559999999999</v>
      </c>
      <c r="E85" s="47">
        <v>3.431432</v>
      </c>
      <c r="F85" s="96">
        <v>9.9999999999999995E-7</v>
      </c>
      <c r="G85" s="7"/>
      <c r="H85" s="7"/>
      <c r="I85" s="54">
        <f t="shared" si="33"/>
        <v>0.12747825886296762</v>
      </c>
      <c r="J85" s="54">
        <f t="shared" si="34"/>
        <v>2.21956631274778</v>
      </c>
      <c r="K85" s="55">
        <f t="shared" si="35"/>
        <v>0.73884743064595437</v>
      </c>
      <c r="L85" s="55">
        <f t="shared" si="36"/>
        <v>8.5791476646205917E-3</v>
      </c>
      <c r="M85" s="55">
        <f t="shared" si="19"/>
        <v>0.99142085233537935</v>
      </c>
      <c r="N85" s="55">
        <f t="shared" si="37"/>
        <v>6.9868245015585577E-3</v>
      </c>
      <c r="O85" s="56">
        <f t="shared" si="21"/>
        <v>7.3928209809291171E-7</v>
      </c>
      <c r="P85" s="56">
        <f t="shared" si="38"/>
        <v>1.2256783149938735E-4</v>
      </c>
      <c r="Q85" s="56">
        <f t="shared" si="39"/>
        <v>1.9963753083639046E-3</v>
      </c>
      <c r="R85" s="9">
        <f t="shared" si="12"/>
        <v>1.4999999999999999E-4</v>
      </c>
      <c r="S85" s="9">
        <f t="shared" si="13"/>
        <v>1.2868721496930887E-6</v>
      </c>
      <c r="T85" s="9">
        <f t="shared" si="10"/>
        <v>1.1082711459689315E-4</v>
      </c>
      <c r="U85" s="9">
        <f t="shared" si="11"/>
        <v>1.4871312785030689E-4</v>
      </c>
      <c r="V85" s="100">
        <f t="shared" si="14"/>
        <v>0.74524096291250486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142</v>
      </c>
      <c r="C86" s="46" t="s">
        <v>143</v>
      </c>
      <c r="D86" s="47">
        <v>3.859360000000001</v>
      </c>
      <c r="E86" s="47">
        <v>4.2614199999999993</v>
      </c>
      <c r="F86" s="96">
        <v>9.9999999999999995E-7</v>
      </c>
      <c r="G86" s="7"/>
      <c r="H86" s="7"/>
      <c r="I86" s="54">
        <f t="shared" si="33"/>
        <v>0.71310437974280194</v>
      </c>
      <c r="J86" s="54">
        <f t="shared" si="34"/>
        <v>3.1296066711876311</v>
      </c>
      <c r="K86" s="55">
        <f t="shared" si="35"/>
        <v>0.19002473171579251</v>
      </c>
      <c r="L86" s="55">
        <f t="shared" si="36"/>
        <v>1.7936589217855205E-2</v>
      </c>
      <c r="M86" s="55">
        <f t="shared" si="19"/>
        <v>0.98206341078214476</v>
      </c>
      <c r="N86" s="55">
        <f t="shared" si="37"/>
        <v>1.2148515027288823E-2</v>
      </c>
      <c r="O86" s="56">
        <f t="shared" si="21"/>
        <v>1.9013652416653086E-7</v>
      </c>
      <c r="P86" s="56">
        <f t="shared" si="38"/>
        <v>2.5625492541572081E-4</v>
      </c>
      <c r="Q86" s="56">
        <f t="shared" si="39"/>
        <v>3.4712472638116373E-3</v>
      </c>
      <c r="R86" s="9">
        <f t="shared" si="12"/>
        <v>1.4999999999999999E-4</v>
      </c>
      <c r="S86" s="9">
        <f t="shared" si="13"/>
        <v>2.6904883826782806E-6</v>
      </c>
      <c r="T86" s="9">
        <f t="shared" si="10"/>
        <v>2.8503709757368873E-5</v>
      </c>
      <c r="U86" s="9">
        <f t="shared" si="11"/>
        <v>1.473095116173217E-4</v>
      </c>
      <c r="V86" s="100">
        <f t="shared" si="14"/>
        <v>0.19349537884162807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280</v>
      </c>
      <c r="C87" s="46" t="s">
        <v>281</v>
      </c>
      <c r="D87" s="47">
        <v>2.5105662711924017</v>
      </c>
      <c r="E87" s="47">
        <v>3.0939041322596146</v>
      </c>
      <c r="F87" s="96">
        <v>9.9999999999999995E-7</v>
      </c>
      <c r="G87" s="7"/>
      <c r="H87" s="7"/>
      <c r="I87" s="54">
        <f t="shared" si="33"/>
        <v>7.9970216478940079E-2</v>
      </c>
      <c r="J87" s="54">
        <f t="shared" si="34"/>
        <v>1.9159264962867857</v>
      </c>
      <c r="K87" s="55">
        <f t="shared" si="35"/>
        <v>0.82742002435386131</v>
      </c>
      <c r="L87" s="55">
        <f t="shared" si="36"/>
        <v>4.7750243012642923E-3</v>
      </c>
      <c r="M87" s="55">
        <f t="shared" si="19"/>
        <v>0.99522497569873569</v>
      </c>
      <c r="N87" s="55">
        <f t="shared" si="37"/>
        <v>3.5968574515337173E-3</v>
      </c>
      <c r="O87" s="56">
        <f t="shared" si="21"/>
        <v>8.2790679947769539E-7</v>
      </c>
      <c r="P87" s="56">
        <f t="shared" si="38"/>
        <v>6.8219407899505438E-5</v>
      </c>
      <c r="Q87" s="56">
        <f t="shared" si="39"/>
        <v>1.0277454947300927E-3</v>
      </c>
      <c r="R87" s="9">
        <f t="shared" si="12"/>
        <v>1.4999999999999999E-4</v>
      </c>
      <c r="S87" s="9">
        <f t="shared" si="13"/>
        <v>7.1625364518964381E-7</v>
      </c>
      <c r="T87" s="9">
        <f t="shared" si="10"/>
        <v>1.2411300365307919E-4</v>
      </c>
      <c r="U87" s="9">
        <f t="shared" si="11"/>
        <v>1.4928374635481034E-4</v>
      </c>
      <c r="V87" s="100">
        <f t="shared" si="14"/>
        <v>0.83138993148050722</v>
      </c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282</v>
      </c>
      <c r="C88" s="46" t="s">
        <v>283</v>
      </c>
      <c r="D88" s="47">
        <v>1.93</v>
      </c>
      <c r="E88" s="47">
        <v>1.25</v>
      </c>
      <c r="F88" s="96">
        <v>9.9999999999999995E-7</v>
      </c>
      <c r="G88" s="7"/>
      <c r="H88" s="7"/>
      <c r="I88" s="54">
        <f t="shared" si="33"/>
        <v>1.7455890954858774E-2</v>
      </c>
      <c r="J88" s="54">
        <f t="shared" si="34"/>
        <v>0.83796499600185592</v>
      </c>
      <c r="K88" s="55">
        <f t="shared" si="35"/>
        <v>0.95966143439869356</v>
      </c>
      <c r="L88" s="55">
        <f t="shared" si="36"/>
        <v>4.6281358798788778E-4</v>
      </c>
      <c r="M88" s="55">
        <f t="shared" si="19"/>
        <v>0.99953718641201206</v>
      </c>
      <c r="N88" s="55">
        <f t="shared" si="37"/>
        <v>5.9760071646099227E-5</v>
      </c>
      <c r="O88" s="56">
        <f t="shared" si="21"/>
        <v>9.6022600777112687E-7</v>
      </c>
      <c r="P88" s="56">
        <f t="shared" si="38"/>
        <v>6.6120854991292435E-6</v>
      </c>
      <c r="Q88" s="56">
        <f t="shared" si="39"/>
        <v>1.70755013860327E-5</v>
      </c>
      <c r="R88" s="9">
        <f t="shared" si="12"/>
        <v>1.4999999999999999E-4</v>
      </c>
      <c r="S88" s="9">
        <f t="shared" si="13"/>
        <v>6.9422038198183161E-8</v>
      </c>
      <c r="T88" s="9">
        <f t="shared" si="10"/>
        <v>1.4394921515980402E-4</v>
      </c>
      <c r="U88" s="9">
        <f t="shared" si="11"/>
        <v>1.4993057796180179E-4</v>
      </c>
      <c r="V88" s="100">
        <f t="shared" si="14"/>
        <v>0.96010578440162042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284</v>
      </c>
      <c r="C89" s="46" t="s">
        <v>285</v>
      </c>
      <c r="D89" s="47">
        <v>1.25894119353766</v>
      </c>
      <c r="E89" s="47">
        <v>1.3134233879901926</v>
      </c>
      <c r="F89" s="96">
        <v>9.9999999999999995E-7</v>
      </c>
      <c r="G89" s="7"/>
      <c r="H89" s="7"/>
      <c r="I89" s="54">
        <f t="shared" si="33"/>
        <v>3.8813937169773554E-3</v>
      </c>
      <c r="J89" s="54">
        <f t="shared" si="34"/>
        <v>0.47829368809571582</v>
      </c>
      <c r="K89" s="55">
        <f t="shared" si="35"/>
        <v>0.99038250090170976</v>
      </c>
      <c r="L89" s="55">
        <f t="shared" si="36"/>
        <v>2.0865063420862206E-4</v>
      </c>
      <c r="M89" s="55">
        <f t="shared" si="19"/>
        <v>0.99979134936579139</v>
      </c>
      <c r="N89" s="55">
        <f t="shared" si="37"/>
        <v>7.1370610770716219E-5</v>
      </c>
      <c r="O89" s="56">
        <f t="shared" si="21"/>
        <v>9.9096514762324156E-7</v>
      </c>
      <c r="P89" s="56">
        <f t="shared" si="38"/>
        <v>2.9809319964716666E-6</v>
      </c>
      <c r="Q89" s="56">
        <f t="shared" si="39"/>
        <v>2.03930304895629E-5</v>
      </c>
      <c r="R89" s="9">
        <f t="shared" si="12"/>
        <v>1.4999999999999999E-4</v>
      </c>
      <c r="S89" s="9">
        <f t="shared" si="13"/>
        <v>3.129759513129331E-8</v>
      </c>
      <c r="T89" s="9">
        <f t="shared" si="10"/>
        <v>1.4855737513525644E-4</v>
      </c>
      <c r="U89" s="9">
        <f t="shared" si="11"/>
        <v>1.499687024048687E-4</v>
      </c>
      <c r="V89" s="100">
        <f t="shared" si="14"/>
        <v>0.99058918796401862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286</v>
      </c>
      <c r="C90" s="46" t="s">
        <v>287</v>
      </c>
      <c r="D90" s="47">
        <v>0.21626245461153099</v>
      </c>
      <c r="E90" s="47">
        <v>-0.16982383217232916</v>
      </c>
      <c r="F90" s="96">
        <v>9.9999999999999995E-7</v>
      </c>
      <c r="G90" s="7"/>
      <c r="H90" s="7"/>
      <c r="I90" s="54">
        <f t="shared" si="33"/>
        <v>1.2917346823443875E-4</v>
      </c>
      <c r="J90" s="54">
        <f t="shared" si="34"/>
        <v>9.6802248814160784E-3</v>
      </c>
      <c r="K90" s="55">
        <f t="shared" si="35"/>
        <v>0.99911327232464542</v>
      </c>
      <c r="L90" s="55">
        <f t="shared" si="36"/>
        <v>7.1551380263837176E-5</v>
      </c>
      <c r="M90" s="55">
        <f t="shared" si="19"/>
        <v>0.99992844861973618</v>
      </c>
      <c r="N90" s="55">
        <f t="shared" si="37"/>
        <v>2.3663771508222884E-6</v>
      </c>
      <c r="O90" s="56">
        <f t="shared" si="21"/>
        <v>9.9970105540040566E-7</v>
      </c>
      <c r="P90" s="56">
        <f t="shared" si="38"/>
        <v>1.0222341265779378E-6</v>
      </c>
      <c r="Q90" s="56">
        <f t="shared" si="39"/>
        <v>6.7615508492081301E-7</v>
      </c>
      <c r="R90" s="9">
        <f t="shared" si="12"/>
        <v>1.4999999999999999E-4</v>
      </c>
      <c r="S90" s="9">
        <f t="shared" si="13"/>
        <v>1.0732707039575575E-8</v>
      </c>
      <c r="T90" s="9">
        <f t="shared" si="10"/>
        <v>1.4986699084869681E-4</v>
      </c>
      <c r="U90" s="9">
        <f t="shared" si="11"/>
        <v>1.4998926729296042E-4</v>
      </c>
      <c r="V90" s="100">
        <f t="shared" si="14"/>
        <v>0.99918476537374645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288</v>
      </c>
      <c r="C91" s="46" t="s">
        <v>289</v>
      </c>
      <c r="D91" s="47">
        <v>-2.4693681101840836E-2</v>
      </c>
      <c r="E91" s="47">
        <v>-0.51259241959557644</v>
      </c>
      <c r="F91" s="96">
        <v>9.9999999999999995E-7</v>
      </c>
      <c r="G91" s="7"/>
      <c r="H91" s="7"/>
      <c r="I91" s="54">
        <f t="shared" si="33"/>
        <v>-2.2956464274597468E-5</v>
      </c>
      <c r="J91" s="54">
        <f t="shared" si="34"/>
        <v>-1.6805454315982515E-2</v>
      </c>
      <c r="K91" s="55">
        <f t="shared" si="35"/>
        <v>0.99946752250887327</v>
      </c>
      <c r="L91" s="55">
        <f t="shared" si="36"/>
        <v>6.7342044111686573E-5</v>
      </c>
      <c r="M91" s="55">
        <f t="shared" si="19"/>
        <v>0.99993265795588826</v>
      </c>
      <c r="N91" s="55">
        <f t="shared" si="37"/>
        <v>1.07515068005874E-6</v>
      </c>
      <c r="O91" s="56">
        <f t="shared" si="21"/>
        <v>1.0000555139916967E-6</v>
      </c>
      <c r="P91" s="56">
        <f t="shared" si="38"/>
        <v>9.6209654363963431E-7</v>
      </c>
      <c r="Q91" s="56">
        <f t="shared" si="39"/>
        <v>3.072074116018125E-7</v>
      </c>
      <c r="R91" s="9">
        <f t="shared" si="12"/>
        <v>1.4999999999999999E-4</v>
      </c>
      <c r="S91" s="9">
        <f t="shared" si="13"/>
        <v>1.0101306616752986E-8</v>
      </c>
      <c r="T91" s="9">
        <f t="shared" si="10"/>
        <v>1.4992012837633097E-4</v>
      </c>
      <c r="U91" s="9">
        <f t="shared" si="11"/>
        <v>1.4998989869338322E-4</v>
      </c>
      <c r="V91" s="100">
        <f t="shared" si="14"/>
        <v>0.99953483322770376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290</v>
      </c>
      <c r="C92" s="46" t="s">
        <v>291</v>
      </c>
      <c r="D92" s="47">
        <v>1.358312346903767</v>
      </c>
      <c r="E92" s="47">
        <v>1.454782352637753</v>
      </c>
      <c r="F92" s="96">
        <v>9.9999999999999995E-7</v>
      </c>
      <c r="G92" s="7"/>
      <c r="H92" s="7"/>
      <c r="I92" s="54">
        <f t="shared" si="33"/>
        <v>4.9737704902702096E-3</v>
      </c>
      <c r="J92" s="54">
        <f t="shared" si="34"/>
        <v>0.56631779831251772</v>
      </c>
      <c r="K92" s="55">
        <f t="shared" si="35"/>
        <v>0.98784885480690654</v>
      </c>
      <c r="L92" s="55">
        <f t="shared" si="36"/>
        <v>2.5487741973177698E-4</v>
      </c>
      <c r="M92" s="55">
        <f t="shared" si="19"/>
        <v>0.99974512258026826</v>
      </c>
      <c r="N92" s="55">
        <f t="shared" si="37"/>
        <v>9.8574803616399684E-5</v>
      </c>
      <c r="O92" s="56">
        <f t="shared" si="21"/>
        <v>9.8843001097242681E-7</v>
      </c>
      <c r="P92" s="56">
        <f t="shared" si="38"/>
        <v>3.6413608735879745E-6</v>
      </c>
      <c r="Q92" s="56">
        <f t="shared" si="39"/>
        <v>2.8166201100757948E-5</v>
      </c>
      <c r="R92" s="9">
        <f t="shared" si="12"/>
        <v>1.4999999999999999E-4</v>
      </c>
      <c r="S92" s="9">
        <f t="shared" si="13"/>
        <v>3.8231612959766544E-8</v>
      </c>
      <c r="T92" s="9">
        <f t="shared" ref="T92:T143" si="40">R92*K92</f>
        <v>1.4817732822103598E-4</v>
      </c>
      <c r="U92" s="9">
        <f t="shared" ref="U92:U143" si="41">$R92*M92</f>
        <v>1.4996176838704022E-4</v>
      </c>
      <c r="V92" s="100">
        <f t="shared" si="14"/>
        <v>0.98810069936359546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292</v>
      </c>
      <c r="C93" s="46" t="s">
        <v>293</v>
      </c>
      <c r="D93" s="47">
        <v>-1.2091799453325114E-2</v>
      </c>
      <c r="E93" s="47">
        <v>-0.49466579922233578</v>
      </c>
      <c r="F93" s="96">
        <v>9.9999999999999995E-7</v>
      </c>
      <c r="G93" s="7"/>
      <c r="H93" s="7"/>
      <c r="I93" s="54">
        <f t="shared" si="33"/>
        <v>-1.6944268240451622E-5</v>
      </c>
      <c r="J93" s="54">
        <f t="shared" si="34"/>
        <v>-1.5761133146324342E-2</v>
      </c>
      <c r="K93" s="55">
        <f t="shared" si="35"/>
        <v>0.9994535252775496</v>
      </c>
      <c r="L93" s="55">
        <f t="shared" si="36"/>
        <v>6.7503226850747003E-5</v>
      </c>
      <c r="M93" s="55">
        <f t="shared" ref="M93:M127" si="42">IF(D93=0,"",1-L93)</f>
        <v>0.99993249677314922</v>
      </c>
      <c r="N93" s="55">
        <f t="shared" si="37"/>
        <v>1.1204432694537325E-6</v>
      </c>
      <c r="O93" s="56">
        <f t="shared" ref="O93:O127" si="43">IF(D93=0,"",F93*K93*$J$7/$J$14)</f>
        <v>1.0000415085257353E-6</v>
      </c>
      <c r="P93" s="56">
        <f t="shared" si="38"/>
        <v>9.6439931538037961E-7</v>
      </c>
      <c r="Q93" s="56">
        <f t="shared" si="39"/>
        <v>3.2014905728074117E-7</v>
      </c>
      <c r="R93" s="9">
        <f t="shared" ref="R93:R143" si="44">F93*$C$14</f>
        <v>1.4999999999999999E-4</v>
      </c>
      <c r="S93" s="9">
        <f t="shared" ref="S93:S143" si="45">$R93*L93</f>
        <v>1.012548402761205E-8</v>
      </c>
      <c r="T93" s="9">
        <f t="shared" si="40"/>
        <v>1.4991802879163243E-4</v>
      </c>
      <c r="U93" s="9">
        <f t="shared" si="41"/>
        <v>1.4998987451597236E-4</v>
      </c>
      <c r="V93" s="100">
        <f t="shared" ref="V93:V143" si="46">K93/M93</f>
        <v>0.99952099617009615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294</v>
      </c>
      <c r="C94" s="46" t="s">
        <v>295</v>
      </c>
      <c r="D94" s="47">
        <v>-0.5582197001134892</v>
      </c>
      <c r="E94" s="47">
        <v>-1.2715519677670764</v>
      </c>
      <c r="F94" s="96">
        <v>9.9999999999999995E-7</v>
      </c>
      <c r="G94" s="7"/>
      <c r="H94" s="7"/>
      <c r="I94" s="54">
        <f t="shared" si="33"/>
        <v>-1.664624595209951E-4</v>
      </c>
      <c r="J94" s="54">
        <f t="shared" si="34"/>
        <v>-4.1307694405703282E-2</v>
      </c>
      <c r="K94" s="55">
        <f t="shared" si="35"/>
        <v>0.99980150827935288</v>
      </c>
      <c r="L94" s="55">
        <f t="shared" si="36"/>
        <v>6.3669165256213041E-5</v>
      </c>
      <c r="M94" s="55">
        <f t="shared" si="42"/>
        <v>0.99993633083474376</v>
      </c>
      <c r="N94" s="55">
        <f t="shared" si="37"/>
        <v>1.8735051316653637E-7</v>
      </c>
      <c r="O94" s="56">
        <f t="shared" si="43"/>
        <v>1.0003896962475887E-6</v>
      </c>
      <c r="P94" s="56">
        <f t="shared" si="38"/>
        <v>9.0962317282544264E-7</v>
      </c>
      <c r="Q94" s="56">
        <f t="shared" si="39"/>
        <v>5.3532465057845149E-8</v>
      </c>
      <c r="R94" s="9">
        <f t="shared" si="44"/>
        <v>1.4999999999999999E-4</v>
      </c>
      <c r="S94" s="9">
        <f t="shared" si="45"/>
        <v>9.5503747884319551E-9</v>
      </c>
      <c r="T94" s="9">
        <f t="shared" si="40"/>
        <v>1.4997022624190293E-4</v>
      </c>
      <c r="U94" s="9">
        <f t="shared" si="41"/>
        <v>1.4999044962521154E-4</v>
      </c>
      <c r="V94" s="100">
        <f t="shared" si="46"/>
        <v>0.99986516886002297</v>
      </c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296</v>
      </c>
      <c r="C95" s="46" t="s">
        <v>297</v>
      </c>
      <c r="D95" s="47">
        <v>3.8826699877244018</v>
      </c>
      <c r="E95" s="47">
        <v>5.0457699825375304</v>
      </c>
      <c r="F95" s="96">
        <v>9.9999999999999995E-7</v>
      </c>
      <c r="G95" s="7"/>
      <c r="H95" s="7"/>
      <c r="I95" s="54">
        <f t="shared" si="33"/>
        <v>0.94867954725222914</v>
      </c>
      <c r="J95" s="54">
        <f t="shared" si="34"/>
        <v>3.7792037681406625</v>
      </c>
      <c r="K95" s="55">
        <f t="shared" si="35"/>
        <v>0.10739644916181966</v>
      </c>
      <c r="L95" s="55">
        <f t="shared" si="36"/>
        <v>4.5239391375595427E-2</v>
      </c>
      <c r="M95" s="55">
        <f t="shared" si="42"/>
        <v>0.95476060862440459</v>
      </c>
      <c r="N95" s="55">
        <f t="shared" si="37"/>
        <v>4.1788133385508276E-2</v>
      </c>
      <c r="O95" s="56">
        <f t="shared" si="43"/>
        <v>1.0745963100212008E-7</v>
      </c>
      <c r="P95" s="56">
        <f t="shared" si="38"/>
        <v>6.4632225904273904E-4</v>
      </c>
      <c r="Q95" s="56">
        <f t="shared" si="39"/>
        <v>1.1940302444241503E-2</v>
      </c>
      <c r="R95" s="9">
        <f t="shared" si="44"/>
        <v>1.4999999999999999E-4</v>
      </c>
      <c r="S95" s="9">
        <f t="shared" si="45"/>
        <v>6.7859087063393135E-6</v>
      </c>
      <c r="T95" s="9">
        <f t="shared" si="40"/>
        <v>1.6109467374272948E-5</v>
      </c>
      <c r="U95" s="9">
        <f t="shared" si="41"/>
        <v>1.4321409129366069E-4</v>
      </c>
      <c r="V95" s="100">
        <f t="shared" si="46"/>
        <v>0.11248521167683467</v>
      </c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298</v>
      </c>
      <c r="C96" s="46" t="s">
        <v>211</v>
      </c>
      <c r="D96" s="47">
        <v>-5.8280000000154555</v>
      </c>
      <c r="E96" s="47">
        <v>-8.7680000000219867</v>
      </c>
      <c r="F96" s="96">
        <v>9.9999999999999995E-7</v>
      </c>
      <c r="G96" s="7"/>
      <c r="H96" s="7"/>
      <c r="I96" s="54">
        <f t="shared" si="33"/>
        <v>-2.2502251762220258E-4</v>
      </c>
      <c r="J96" s="54">
        <f t="shared" si="34"/>
        <v>-5.0609949807824094E-2</v>
      </c>
      <c r="K96" s="55">
        <f t="shared" si="35"/>
        <v>0.99993767087710284</v>
      </c>
      <c r="L96" s="55">
        <f t="shared" si="36"/>
        <v>6.2328409258150837E-5</v>
      </c>
      <c r="M96" s="55">
        <f t="shared" si="42"/>
        <v>0.99993767159074187</v>
      </c>
      <c r="N96" s="55">
        <f t="shared" si="37"/>
        <v>5.9740107135921271E-15</v>
      </c>
      <c r="O96" s="56">
        <f t="shared" si="43"/>
        <v>1.0005259389504405E-6</v>
      </c>
      <c r="P96" s="56">
        <f t="shared" si="38"/>
        <v>8.9046817495427023E-7</v>
      </c>
      <c r="Q96" s="56">
        <f t="shared" si="39"/>
        <v>1.7069796840977366E-15</v>
      </c>
      <c r="R96" s="9">
        <f t="shared" si="44"/>
        <v>1.4999999999999999E-4</v>
      </c>
      <c r="S96" s="9">
        <f t="shared" si="45"/>
        <v>9.3492613887226253E-9</v>
      </c>
      <c r="T96" s="9">
        <f t="shared" si="40"/>
        <v>1.4999065063156541E-4</v>
      </c>
      <c r="U96" s="9">
        <f t="shared" si="41"/>
        <v>1.4999065073861126E-4</v>
      </c>
      <c r="V96" s="100">
        <f t="shared" si="46"/>
        <v>0.99999999928631644</v>
      </c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299</v>
      </c>
      <c r="C97" s="46" t="s">
        <v>212</v>
      </c>
      <c r="D97" s="47" t="s">
        <v>300</v>
      </c>
      <c r="E97" s="47">
        <v>-4.1624004386372073</v>
      </c>
      <c r="F97" s="96">
        <v>9.9999999999999995E-7</v>
      </c>
      <c r="G97" s="7"/>
      <c r="H97" s="7"/>
      <c r="I97" s="54" t="e">
        <f t="shared" si="33"/>
        <v>#VALUE!</v>
      </c>
      <c r="J97" s="54" t="e">
        <f t="shared" si="34"/>
        <v>#VALUE!</v>
      </c>
      <c r="K97" s="55" t="e">
        <f t="shared" si="35"/>
        <v>#VALUE!</v>
      </c>
      <c r="L97" s="55" t="e">
        <f t="shared" si="36"/>
        <v>#VALUE!</v>
      </c>
      <c r="M97" s="55" t="e">
        <f t="shared" si="42"/>
        <v>#VALUE!</v>
      </c>
      <c r="N97" s="55" t="e">
        <f t="shared" si="37"/>
        <v>#VALUE!</v>
      </c>
      <c r="O97" s="56" t="e">
        <f t="shared" si="43"/>
        <v>#VALUE!</v>
      </c>
      <c r="P97" s="56" t="e">
        <f t="shared" si="38"/>
        <v>#VALUE!</v>
      </c>
      <c r="Q97" s="56" t="e">
        <f t="shared" si="39"/>
        <v>#VALUE!</v>
      </c>
      <c r="R97" s="9">
        <f t="shared" si="44"/>
        <v>1.4999999999999999E-4</v>
      </c>
      <c r="S97" s="9"/>
      <c r="T97" s="9"/>
      <c r="U97" s="9"/>
      <c r="V97" s="100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301</v>
      </c>
      <c r="C98" s="46" t="s">
        <v>213</v>
      </c>
      <c r="D98" s="47">
        <v>4.54</v>
      </c>
      <c r="E98" s="47">
        <v>4.25</v>
      </c>
      <c r="F98" s="96">
        <v>9.9999999999999995E-7</v>
      </c>
      <c r="G98" s="7"/>
      <c r="H98" s="7"/>
      <c r="I98" s="54">
        <f t="shared" si="33"/>
        <v>1.2628922084387679</v>
      </c>
      <c r="J98" s="54">
        <f t="shared" si="34"/>
        <v>3.4728223646217145</v>
      </c>
      <c r="K98" s="55">
        <f t="shared" si="35"/>
        <v>5.3948692928768395E-2</v>
      </c>
      <c r="L98" s="55">
        <f t="shared" si="36"/>
        <v>1.1223449440864593E-2</v>
      </c>
      <c r="M98" s="55">
        <f t="shared" si="42"/>
        <v>0.98877655055913538</v>
      </c>
      <c r="N98" s="55">
        <f t="shared" si="37"/>
        <v>3.3594949625715561E-3</v>
      </c>
      <c r="O98" s="56">
        <f t="shared" si="43"/>
        <v>5.3980431200635337E-8</v>
      </c>
      <c r="P98" s="56">
        <f t="shared" si="38"/>
        <v>1.603462154617923E-4</v>
      </c>
      <c r="Q98" s="56">
        <f t="shared" si="39"/>
        <v>9.599228934911245E-4</v>
      </c>
      <c r="R98" s="9">
        <f t="shared" si="44"/>
        <v>1.4999999999999999E-4</v>
      </c>
      <c r="S98" s="9">
        <f t="shared" si="45"/>
        <v>1.6835174161296887E-6</v>
      </c>
      <c r="T98" s="9">
        <f t="shared" si="40"/>
        <v>8.0923039393152593E-6</v>
      </c>
      <c r="U98" s="9">
        <f t="shared" si="41"/>
        <v>1.4831648258387031E-4</v>
      </c>
      <c r="V98" s="100">
        <f t="shared" si="46"/>
        <v>5.456105618429298E-2</v>
      </c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302</v>
      </c>
      <c r="C99" s="46" t="s">
        <v>214</v>
      </c>
      <c r="D99" s="47">
        <v>2.83</v>
      </c>
      <c r="E99" s="47">
        <v>2.3199999999999998</v>
      </c>
      <c r="F99" s="96">
        <v>9.9999999999999995E-7</v>
      </c>
      <c r="G99" s="7"/>
      <c r="H99" s="7"/>
      <c r="I99" s="54">
        <f t="shared" si="33"/>
        <v>0.12448503768629132</v>
      </c>
      <c r="J99" s="54">
        <f t="shared" si="34"/>
        <v>1.7151795679439035</v>
      </c>
      <c r="K99" s="55">
        <f t="shared" si="35"/>
        <v>0.74835374805135946</v>
      </c>
      <c r="L99" s="55">
        <f t="shared" si="36"/>
        <v>2.7202546972855133E-3</v>
      </c>
      <c r="M99" s="55">
        <f t="shared" si="42"/>
        <v>0.99727974530271446</v>
      </c>
      <c r="N99" s="55">
        <f t="shared" si="37"/>
        <v>5.4752002198122469E-4</v>
      </c>
      <c r="O99" s="56">
        <f t="shared" si="43"/>
        <v>7.4879400810992402E-7</v>
      </c>
      <c r="P99" s="56">
        <f t="shared" si="38"/>
        <v>3.8863501644490342E-5</v>
      </c>
      <c r="Q99" s="56">
        <f t="shared" si="39"/>
        <v>1.5644524239507521E-4</v>
      </c>
      <c r="R99" s="9">
        <f t="shared" si="44"/>
        <v>1.4999999999999999E-4</v>
      </c>
      <c r="S99" s="9">
        <f t="shared" si="45"/>
        <v>4.0803820459282697E-7</v>
      </c>
      <c r="T99" s="9">
        <f t="shared" si="40"/>
        <v>1.1225306220770391E-4</v>
      </c>
      <c r="U99" s="9">
        <f t="shared" si="41"/>
        <v>1.4959196179540715E-4</v>
      </c>
      <c r="V99" s="100">
        <f t="shared" si="46"/>
        <v>0.75039501361195704</v>
      </c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303</v>
      </c>
      <c r="C100" s="46" t="s">
        <v>215</v>
      </c>
      <c r="D100" s="47" t="s">
        <v>300</v>
      </c>
      <c r="E100" s="47">
        <v>1.7</v>
      </c>
      <c r="F100" s="96">
        <v>9.9999999999999995E-7</v>
      </c>
      <c r="G100" s="7"/>
      <c r="H100" s="7"/>
      <c r="I100" s="54" t="e">
        <f t="shared" si="33"/>
        <v>#VALUE!</v>
      </c>
      <c r="J100" s="54" t="e">
        <f t="shared" si="34"/>
        <v>#VALUE!</v>
      </c>
      <c r="K100" s="55" t="e">
        <f t="shared" si="35"/>
        <v>#VALUE!</v>
      </c>
      <c r="L100" s="55" t="e">
        <f t="shared" si="36"/>
        <v>#VALUE!</v>
      </c>
      <c r="M100" s="55" t="e">
        <f t="shared" si="42"/>
        <v>#VALUE!</v>
      </c>
      <c r="N100" s="55" t="e">
        <f t="shared" si="37"/>
        <v>#VALUE!</v>
      </c>
      <c r="O100" s="56" t="e">
        <f t="shared" si="43"/>
        <v>#VALUE!</v>
      </c>
      <c r="P100" s="56" t="e">
        <f t="shared" si="38"/>
        <v>#VALUE!</v>
      </c>
      <c r="Q100" s="56" t="e">
        <f t="shared" si="39"/>
        <v>#VALUE!</v>
      </c>
      <c r="R100" s="9">
        <f t="shared" si="44"/>
        <v>1.4999999999999999E-4</v>
      </c>
      <c r="S100" s="9"/>
      <c r="T100" s="9"/>
      <c r="U100" s="9"/>
      <c r="V100" s="100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304</v>
      </c>
      <c r="C101" s="46" t="s">
        <v>216</v>
      </c>
      <c r="D101" s="47">
        <v>4.2</v>
      </c>
      <c r="E101" s="47">
        <v>3.52</v>
      </c>
      <c r="F101" s="96">
        <v>9.9999999999999995E-7</v>
      </c>
      <c r="G101" s="7"/>
      <c r="H101" s="7"/>
      <c r="I101" s="54">
        <f t="shared" si="33"/>
        <v>0.94115347171694241</v>
      </c>
      <c r="J101" s="54">
        <f t="shared" si="34"/>
        <v>3.0482053541141561</v>
      </c>
      <c r="K101" s="55">
        <f t="shared" si="35"/>
        <v>0.1134354922559194</v>
      </c>
      <c r="L101" s="55">
        <f t="shared" si="36"/>
        <v>8.8772280544469374E-3</v>
      </c>
      <c r="M101" s="55">
        <f t="shared" si="42"/>
        <v>0.99112277194555309</v>
      </c>
      <c r="N101" s="55">
        <f t="shared" si="37"/>
        <v>1.3153521142273033E-3</v>
      </c>
      <c r="O101" s="56">
        <f t="shared" si="43"/>
        <v>1.1350222689390835E-7</v>
      </c>
      <c r="P101" s="56">
        <f t="shared" si="38"/>
        <v>1.268264208630107E-4</v>
      </c>
      <c r="Q101" s="56">
        <f t="shared" si="39"/>
        <v>3.7584119682151402E-4</v>
      </c>
      <c r="R101" s="9">
        <f t="shared" si="44"/>
        <v>1.4999999999999999E-4</v>
      </c>
      <c r="S101" s="9">
        <f t="shared" si="45"/>
        <v>1.3315842081670406E-6</v>
      </c>
      <c r="T101" s="9">
        <f t="shared" si="40"/>
        <v>1.7015323838387908E-5</v>
      </c>
      <c r="U101" s="9">
        <f t="shared" si="41"/>
        <v>1.4866841579183295E-4</v>
      </c>
      <c r="V101" s="100">
        <f t="shared" si="46"/>
        <v>0.11445150436130926</v>
      </c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305</v>
      </c>
      <c r="C102" s="46" t="s">
        <v>217</v>
      </c>
      <c r="D102" s="47">
        <v>3.44</v>
      </c>
      <c r="E102" s="47">
        <v>-2.9403004386372071</v>
      </c>
      <c r="F102" s="96">
        <v>9.9999999999999995E-7</v>
      </c>
      <c r="G102" s="7"/>
      <c r="H102" s="7"/>
      <c r="I102" s="54">
        <f t="shared" si="33"/>
        <v>0.36577089944725916</v>
      </c>
      <c r="J102" s="54">
        <f t="shared" si="34"/>
        <v>2.2204840859111705</v>
      </c>
      <c r="K102" s="55">
        <f t="shared" si="35"/>
        <v>0.42838457707829786</v>
      </c>
      <c r="L102" s="55">
        <f t="shared" si="36"/>
        <v>4.9847223783100322E-3</v>
      </c>
      <c r="M102" s="55">
        <f t="shared" si="42"/>
        <v>0.99501527762168995</v>
      </c>
      <c r="N102" s="55">
        <f t="shared" si="37"/>
        <v>1.721180651237687E-9</v>
      </c>
      <c r="O102" s="56">
        <f t="shared" si="43"/>
        <v>4.2863659775633112E-7</v>
      </c>
      <c r="P102" s="56">
        <f t="shared" si="38"/>
        <v>7.1215304412521667E-5</v>
      </c>
      <c r="Q102" s="56">
        <f t="shared" si="39"/>
        <v>4.9180032396664958E-10</v>
      </c>
      <c r="R102" s="9">
        <f t="shared" si="44"/>
        <v>1.4999999999999999E-4</v>
      </c>
      <c r="S102" s="9">
        <f t="shared" si="45"/>
        <v>7.4770835674650473E-7</v>
      </c>
      <c r="T102" s="9">
        <f t="shared" si="40"/>
        <v>6.4257686561744676E-5</v>
      </c>
      <c r="U102" s="9">
        <f t="shared" si="41"/>
        <v>1.4925229164325349E-4</v>
      </c>
      <c r="V102" s="100">
        <f t="shared" si="46"/>
        <v>0.43053065285814829</v>
      </c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306</v>
      </c>
      <c r="C103" s="46" t="s">
        <v>218</v>
      </c>
      <c r="D103" s="47">
        <v>4.49</v>
      </c>
      <c r="E103" s="47">
        <v>-1.7182004386372074</v>
      </c>
      <c r="F103" s="96">
        <v>9.9999999999999995E-7</v>
      </c>
      <c r="G103" s="7"/>
      <c r="H103" s="7"/>
      <c r="I103" s="54">
        <f t="shared" si="33"/>
        <v>1.199560490818528</v>
      </c>
      <c r="J103" s="54">
        <f t="shared" si="34"/>
        <v>3.2683598845020718</v>
      </c>
      <c r="K103" s="55">
        <f t="shared" si="35"/>
        <v>6.26133749338324E-2</v>
      </c>
      <c r="L103" s="55">
        <f t="shared" si="36"/>
        <v>8.134859579651715E-3</v>
      </c>
      <c r="M103" s="55">
        <f t="shared" si="42"/>
        <v>0.99186514042034823</v>
      </c>
      <c r="N103" s="55">
        <f t="shared" si="37"/>
        <v>4.1952683139730782E-9</v>
      </c>
      <c r="O103" s="56">
        <f t="shared" si="43"/>
        <v>6.2650210679209597E-8</v>
      </c>
      <c r="P103" s="56">
        <f t="shared" si="38"/>
        <v>1.1622041456888993E-4</v>
      </c>
      <c r="Q103" s="56">
        <f t="shared" si="39"/>
        <v>1.1987319950728731E-9</v>
      </c>
      <c r="R103" s="9">
        <f t="shared" si="44"/>
        <v>1.4999999999999999E-4</v>
      </c>
      <c r="S103" s="9">
        <f t="shared" si="45"/>
        <v>1.2202289369477571E-6</v>
      </c>
      <c r="T103" s="9">
        <f t="shared" si="40"/>
        <v>9.3920062400748589E-6</v>
      </c>
      <c r="U103" s="9">
        <f t="shared" si="41"/>
        <v>1.4877977106305223E-4</v>
      </c>
      <c r="V103" s="100">
        <f t="shared" si="46"/>
        <v>6.3126903428924935E-2</v>
      </c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307</v>
      </c>
      <c r="C104" s="46" t="s">
        <v>219</v>
      </c>
      <c r="D104" s="47">
        <v>5.17</v>
      </c>
      <c r="E104" s="47">
        <v>4.54</v>
      </c>
      <c r="F104" s="96">
        <v>9.9999999999999995E-7</v>
      </c>
      <c r="G104" s="7"/>
      <c r="H104" s="7"/>
      <c r="I104" s="54">
        <f t="shared" si="33"/>
        <v>1.8651886014657959</v>
      </c>
      <c r="J104" s="54">
        <f t="shared" si="34"/>
        <v>4.0256836428663529</v>
      </c>
      <c r="K104" s="55">
        <f t="shared" si="35"/>
        <v>1.3496130541881392E-2</v>
      </c>
      <c r="L104" s="55">
        <f t="shared" si="36"/>
        <v>1.0028038116533161E-2</v>
      </c>
      <c r="M104" s="55">
        <f t="shared" si="42"/>
        <v>0.98997196188346681</v>
      </c>
      <c r="N104" s="55">
        <f t="shared" si="37"/>
        <v>1.6387108813223871E-3</v>
      </c>
      <c r="O104" s="56">
        <f t="shared" si="43"/>
        <v>1.3504070379475894E-8</v>
      </c>
      <c r="P104" s="56">
        <f t="shared" si="38"/>
        <v>1.432677154171618E-4</v>
      </c>
      <c r="Q104" s="56">
        <f t="shared" si="39"/>
        <v>4.6823588316687986E-4</v>
      </c>
      <c r="R104" s="9">
        <f t="shared" si="44"/>
        <v>1.4999999999999999E-4</v>
      </c>
      <c r="S104" s="9">
        <f t="shared" si="45"/>
        <v>1.504205717479974E-6</v>
      </c>
      <c r="T104" s="9">
        <f t="shared" si="40"/>
        <v>2.0244195812822088E-6</v>
      </c>
      <c r="U104" s="9">
        <f t="shared" si="41"/>
        <v>1.4849579428252E-4</v>
      </c>
      <c r="V104" s="100">
        <f t="shared" si="46"/>
        <v>1.3632841193001455E-2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308</v>
      </c>
      <c r="C105" s="46" t="s">
        <v>220</v>
      </c>
      <c r="D105" s="47">
        <v>4.76</v>
      </c>
      <c r="E105" s="47">
        <v>4.8899999999999997</v>
      </c>
      <c r="F105" s="96">
        <v>9.9999999999999995E-7</v>
      </c>
      <c r="G105" s="7"/>
      <c r="H105" s="7"/>
      <c r="I105" s="54">
        <f t="shared" si="33"/>
        <v>1.4992792320699506</v>
      </c>
      <c r="J105" s="54">
        <f t="shared" si="34"/>
        <v>3.8653862162210095</v>
      </c>
      <c r="K105" s="55">
        <f t="shared" si="35"/>
        <v>3.1152260166442472E-2</v>
      </c>
      <c r="L105" s="55">
        <f t="shared" si="36"/>
        <v>1.6002905484580294E-2</v>
      </c>
      <c r="M105" s="55">
        <f t="shared" si="42"/>
        <v>0.98399709451541972</v>
      </c>
      <c r="N105" s="55">
        <f t="shared" si="37"/>
        <v>8.4680346877019589E-3</v>
      </c>
      <c r="O105" s="56">
        <f t="shared" si="43"/>
        <v>3.1170587188817937E-8</v>
      </c>
      <c r="P105" s="56">
        <f t="shared" si="38"/>
        <v>2.2862893839948893E-4</v>
      </c>
      <c r="Q105" s="56">
        <f t="shared" si="39"/>
        <v>2.4196078428943132E-3</v>
      </c>
      <c r="R105" s="9">
        <f t="shared" si="44"/>
        <v>1.4999999999999999E-4</v>
      </c>
      <c r="S105" s="9">
        <f t="shared" si="45"/>
        <v>2.4004358226870437E-6</v>
      </c>
      <c r="T105" s="9">
        <f t="shared" si="40"/>
        <v>4.6728390249663702E-6</v>
      </c>
      <c r="U105" s="9">
        <f t="shared" si="41"/>
        <v>1.4759956417731293E-4</v>
      </c>
      <c r="V105" s="100">
        <f t="shared" si="46"/>
        <v>3.1658894462268453E-2</v>
      </c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309</v>
      </c>
      <c r="C106" s="46" t="s">
        <v>221</v>
      </c>
      <c r="D106" s="47">
        <v>3.93</v>
      </c>
      <c r="E106" s="47">
        <v>2.91</v>
      </c>
      <c r="F106" s="96">
        <v>9.9999999999999995E-7</v>
      </c>
      <c r="G106" s="7"/>
      <c r="H106" s="7"/>
      <c r="I106" s="54">
        <f t="shared" si="33"/>
        <v>0.70891628628139558</v>
      </c>
      <c r="J106" s="54">
        <f t="shared" si="34"/>
        <v>2.7421076871513792</v>
      </c>
      <c r="K106" s="55">
        <f t="shared" si="35"/>
        <v>0.19390522692539627</v>
      </c>
      <c r="L106" s="55">
        <f t="shared" si="36"/>
        <v>7.4992920354058842E-3</v>
      </c>
      <c r="M106" s="55">
        <f t="shared" si="42"/>
        <v>0.99250070796459411</v>
      </c>
      <c r="N106" s="55">
        <f t="shared" si="37"/>
        <v>5.5192819871733917E-4</v>
      </c>
      <c r="O106" s="56">
        <f t="shared" si="43"/>
        <v>1.9401930228986722E-7</v>
      </c>
      <c r="P106" s="56">
        <f t="shared" si="38"/>
        <v>1.0714024265497665E-4</v>
      </c>
      <c r="Q106" s="56">
        <f t="shared" si="39"/>
        <v>1.5770480962607123E-4</v>
      </c>
      <c r="R106" s="9">
        <f t="shared" si="44"/>
        <v>1.4999999999999999E-4</v>
      </c>
      <c r="S106" s="9">
        <f t="shared" si="45"/>
        <v>1.1248938053108826E-6</v>
      </c>
      <c r="T106" s="9">
        <f t="shared" si="40"/>
        <v>2.9085784038809438E-5</v>
      </c>
      <c r="U106" s="9">
        <f t="shared" si="41"/>
        <v>1.4887510619468911E-4</v>
      </c>
      <c r="V106" s="100">
        <f t="shared" si="46"/>
        <v>0.19537036635777749</v>
      </c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310</v>
      </c>
      <c r="C107" s="46" t="s">
        <v>222</v>
      </c>
      <c r="D107" s="47" t="s">
        <v>300</v>
      </c>
      <c r="E107" s="47" t="s">
        <v>311</v>
      </c>
      <c r="F107" s="96">
        <v>9.9999999999999995E-7</v>
      </c>
      <c r="G107" s="7"/>
      <c r="H107" s="7"/>
      <c r="I107" s="54" t="e">
        <f t="shared" si="33"/>
        <v>#VALUE!</v>
      </c>
      <c r="J107" s="54" t="e">
        <f t="shared" si="34"/>
        <v>#VALUE!</v>
      </c>
      <c r="K107" s="55" t="e">
        <f t="shared" si="35"/>
        <v>#VALUE!</v>
      </c>
      <c r="L107" s="55" t="e">
        <f t="shared" si="36"/>
        <v>#VALUE!</v>
      </c>
      <c r="M107" s="55" t="e">
        <f t="shared" si="42"/>
        <v>#VALUE!</v>
      </c>
      <c r="N107" s="55" t="e">
        <f t="shared" si="37"/>
        <v>#VALUE!</v>
      </c>
      <c r="O107" s="56" t="e">
        <f t="shared" si="43"/>
        <v>#VALUE!</v>
      </c>
      <c r="P107" s="56" t="e">
        <f t="shared" si="38"/>
        <v>#VALUE!</v>
      </c>
      <c r="Q107" s="56" t="e">
        <f t="shared" si="39"/>
        <v>#VALUE!</v>
      </c>
      <c r="R107" s="9">
        <f t="shared" si="44"/>
        <v>1.4999999999999999E-4</v>
      </c>
      <c r="S107" s="9"/>
      <c r="T107" s="9"/>
      <c r="U107" s="9"/>
      <c r="V107" s="100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312</v>
      </c>
      <c r="C108" s="46" t="s">
        <v>223</v>
      </c>
      <c r="D108" s="47">
        <v>4.6100000000000003</v>
      </c>
      <c r="E108" s="47">
        <v>4.13</v>
      </c>
      <c r="F108" s="96">
        <v>9.9999999999999995E-7</v>
      </c>
      <c r="G108" s="7"/>
      <c r="H108" s="7"/>
      <c r="I108" s="54">
        <f t="shared" si="33"/>
        <v>1.3235891145541188</v>
      </c>
      <c r="J108" s="54">
        <f t="shared" si="34"/>
        <v>3.4941063050425578</v>
      </c>
      <c r="K108" s="55">
        <f t="shared" si="35"/>
        <v>4.695773039702146E-2</v>
      </c>
      <c r="L108" s="55">
        <f t="shared" si="36"/>
        <v>1.0259742617510587E-2</v>
      </c>
      <c r="M108" s="55">
        <f t="shared" si="42"/>
        <v>0.98974025738248939</v>
      </c>
      <c r="N108" s="55">
        <f t="shared" si="37"/>
        <v>2.2181972636540477E-3</v>
      </c>
      <c r="O108" s="56">
        <f t="shared" si="43"/>
        <v>4.6985355852480836E-8</v>
      </c>
      <c r="P108" s="56">
        <f t="shared" si="38"/>
        <v>1.4657801142134021E-4</v>
      </c>
      <c r="Q108" s="56">
        <f t="shared" si="39"/>
        <v>6.3381501070357228E-4</v>
      </c>
      <c r="R108" s="9">
        <f t="shared" si="44"/>
        <v>1.4999999999999999E-4</v>
      </c>
      <c r="S108" s="9">
        <f t="shared" si="45"/>
        <v>1.5389613926265879E-6</v>
      </c>
      <c r="T108" s="9">
        <f t="shared" si="40"/>
        <v>7.0436595595532188E-6</v>
      </c>
      <c r="U108" s="9">
        <f t="shared" si="41"/>
        <v>1.4846103860737339E-4</v>
      </c>
      <c r="V108" s="100">
        <f t="shared" si="46"/>
        <v>4.7444498742738768E-2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313</v>
      </c>
      <c r="C109" s="46" t="s">
        <v>224</v>
      </c>
      <c r="D109" s="47">
        <v>4.8099999999999996</v>
      </c>
      <c r="E109" s="47">
        <v>4.82</v>
      </c>
      <c r="F109" s="96">
        <v>9.9999999999999995E-7</v>
      </c>
      <c r="G109" s="7"/>
      <c r="H109" s="7"/>
      <c r="I109" s="54">
        <f t="shared" si="33"/>
        <v>1.537838229995057</v>
      </c>
      <c r="J109" s="54">
        <f t="shared" si="34"/>
        <v>3.8560205528257723</v>
      </c>
      <c r="K109" s="55">
        <f t="shared" si="35"/>
        <v>2.8553365428305347E-2</v>
      </c>
      <c r="L109" s="55">
        <f t="shared" si="36"/>
        <v>1.4354924715257537E-2</v>
      </c>
      <c r="M109" s="55">
        <f t="shared" si="42"/>
        <v>0.98564507528474243</v>
      </c>
      <c r="N109" s="55">
        <f t="shared" si="37"/>
        <v>6.6061795109534655E-3</v>
      </c>
      <c r="O109" s="56">
        <f t="shared" si="43"/>
        <v>2.8570163508582774E-8</v>
      </c>
      <c r="P109" s="56">
        <f t="shared" si="38"/>
        <v>2.0508470799982307E-4</v>
      </c>
      <c r="Q109" s="56">
        <f t="shared" si="39"/>
        <v>1.8876119838626374E-3</v>
      </c>
      <c r="R109" s="9">
        <f t="shared" si="44"/>
        <v>1.4999999999999999E-4</v>
      </c>
      <c r="S109" s="9">
        <f t="shared" si="45"/>
        <v>2.1532387072886302E-6</v>
      </c>
      <c r="T109" s="9">
        <f t="shared" si="40"/>
        <v>4.2830048142458016E-6</v>
      </c>
      <c r="U109" s="9">
        <f t="shared" si="41"/>
        <v>1.4784676129271136E-4</v>
      </c>
      <c r="V109" s="100">
        <f t="shared" si="46"/>
        <v>2.896921634804149E-2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203</v>
      </c>
      <c r="C110" s="46" t="s">
        <v>204</v>
      </c>
      <c r="D110" s="47">
        <v>3.19</v>
      </c>
      <c r="E110" s="47">
        <v>1.4</v>
      </c>
      <c r="F110" s="96">
        <v>9.9999999999999995E-7</v>
      </c>
      <c r="G110" s="7"/>
      <c r="H110" s="7"/>
      <c r="I110" s="54">
        <f t="shared" si="33"/>
        <v>0.24151373144665708</v>
      </c>
      <c r="J110" s="54">
        <f t="shared" si="34"/>
        <v>1.978066061609729</v>
      </c>
      <c r="K110" s="55">
        <f t="shared" si="35"/>
        <v>0.57096169409547026</v>
      </c>
      <c r="L110" s="55">
        <f t="shared" si="36"/>
        <v>3.8018597939717381E-3</v>
      </c>
      <c r="M110" s="55">
        <f t="shared" si="42"/>
        <v>0.99619814020602826</v>
      </c>
      <c r="N110" s="55">
        <f t="shared" si="37"/>
        <v>5.0222697988412742E-5</v>
      </c>
      <c r="O110" s="56">
        <f t="shared" si="43"/>
        <v>5.7129759356752488E-7</v>
      </c>
      <c r="P110" s="56">
        <f t="shared" si="38"/>
        <v>5.4316084630818798E-5</v>
      </c>
      <c r="Q110" s="56">
        <f t="shared" si="39"/>
        <v>1.4350346736363405E-5</v>
      </c>
      <c r="R110" s="9">
        <f t="shared" si="44"/>
        <v>1.4999999999999999E-4</v>
      </c>
      <c r="S110" s="9">
        <f t="shared" si="45"/>
        <v>5.7027896909576069E-7</v>
      </c>
      <c r="T110" s="9">
        <f t="shared" si="40"/>
        <v>8.5644254114320537E-5</v>
      </c>
      <c r="U110" s="9">
        <f t="shared" si="41"/>
        <v>1.4942972103090422E-4</v>
      </c>
      <c r="V110" s="100">
        <f t="shared" si="46"/>
        <v>0.57314069465878248</v>
      </c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205</v>
      </c>
      <c r="C111" s="46" t="s">
        <v>206</v>
      </c>
      <c r="D111" s="47">
        <v>2.8380318246143235</v>
      </c>
      <c r="E111" s="47">
        <v>3.5597354124795313</v>
      </c>
      <c r="F111" s="96">
        <v>9.9999999999999995E-7</v>
      </c>
      <c r="G111" s="7"/>
      <c r="H111" s="7"/>
      <c r="I111" s="54">
        <f t="shared" si="33"/>
        <v>0.16670977104284687</v>
      </c>
      <c r="J111" s="54">
        <f t="shared" si="34"/>
        <v>2.3495507007911449</v>
      </c>
      <c r="K111" s="55">
        <f t="shared" si="35"/>
        <v>0.67368706844072945</v>
      </c>
      <c r="L111" s="55">
        <f t="shared" si="36"/>
        <v>1.0551931778404499E-2</v>
      </c>
      <c r="M111" s="55">
        <f t="shared" si="42"/>
        <v>0.98944806822159548</v>
      </c>
      <c r="N111" s="55">
        <f t="shared" si="37"/>
        <v>8.5602547777520622E-3</v>
      </c>
      <c r="O111" s="56">
        <f t="shared" si="43"/>
        <v>6.7408340173762039E-7</v>
      </c>
      <c r="P111" s="56">
        <f t="shared" si="38"/>
        <v>1.5075243448041414E-4</v>
      </c>
      <c r="Q111" s="56">
        <f t="shared" si="39"/>
        <v>2.4459582844532863E-3</v>
      </c>
      <c r="R111" s="9">
        <f t="shared" si="44"/>
        <v>1.4999999999999999E-4</v>
      </c>
      <c r="S111" s="9">
        <f t="shared" si="45"/>
        <v>1.5827897667606748E-6</v>
      </c>
      <c r="T111" s="9">
        <f t="shared" si="40"/>
        <v>1.0105306026610941E-4</v>
      </c>
      <c r="U111" s="9">
        <f t="shared" si="41"/>
        <v>1.4841721023323932E-4</v>
      </c>
      <c r="V111" s="100">
        <f t="shared" si="46"/>
        <v>0.68087157889104233</v>
      </c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207</v>
      </c>
      <c r="C112" s="46" t="s">
        <v>208</v>
      </c>
      <c r="D112" s="47">
        <v>5.4191360000000008</v>
      </c>
      <c r="E112" s="47">
        <v>6.7333169999999996</v>
      </c>
      <c r="F112" s="96">
        <v>9.9999999999999995E-7</v>
      </c>
      <c r="G112" s="7"/>
      <c r="H112" s="7"/>
      <c r="I112" s="54">
        <f t="shared" si="33"/>
        <v>2.5219720041185627</v>
      </c>
      <c r="J112" s="54">
        <f t="shared" si="34"/>
        <v>5.4568603611336437</v>
      </c>
      <c r="K112" s="55">
        <f t="shared" si="35"/>
        <v>2.8339554854787279E-3</v>
      </c>
      <c r="L112" s="55">
        <f t="shared" si="36"/>
        <v>5.6829841951119148E-2</v>
      </c>
      <c r="M112" s="55">
        <f t="shared" si="42"/>
        <v>0.94317015804888082</v>
      </c>
      <c r="N112" s="55">
        <f t="shared" si="37"/>
        <v>5.370356191354643E-2</v>
      </c>
      <c r="O112" s="56">
        <f t="shared" si="43"/>
        <v>2.8356227149290444E-9</v>
      </c>
      <c r="P112" s="56">
        <f t="shared" si="38"/>
        <v>8.119117148579387E-4</v>
      </c>
      <c r="Q112" s="56">
        <f t="shared" si="39"/>
        <v>1.5344948903680105E-2</v>
      </c>
      <c r="R112" s="9">
        <f t="shared" si="44"/>
        <v>1.4999999999999999E-4</v>
      </c>
      <c r="S112" s="9">
        <f t="shared" si="45"/>
        <v>8.5244762926678713E-6</v>
      </c>
      <c r="T112" s="9">
        <f t="shared" si="40"/>
        <v>4.2509332282180914E-7</v>
      </c>
      <c r="U112" s="9">
        <f t="shared" si="41"/>
        <v>1.4147552370733212E-4</v>
      </c>
      <c r="V112" s="100">
        <f t="shared" si="46"/>
        <v>3.0047128413618184E-3</v>
      </c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209</v>
      </c>
      <c r="C113" s="46" t="s">
        <v>210</v>
      </c>
      <c r="D113" s="47">
        <v>5.6895360000000004</v>
      </c>
      <c r="E113" s="47">
        <v>7.1197670000000004</v>
      </c>
      <c r="F113" s="96">
        <v>9.9999999999999995E-7</v>
      </c>
      <c r="G113" s="7"/>
      <c r="H113" s="7"/>
      <c r="I113" s="54">
        <f t="shared" si="33"/>
        <v>2.8671793282646911</v>
      </c>
      <c r="J113" s="54">
        <f t="shared" si="34"/>
        <v>5.8376711731613922</v>
      </c>
      <c r="K113" s="55">
        <f t="shared" si="35"/>
        <v>1.2737441764866032E-3</v>
      </c>
      <c r="L113" s="55">
        <f t="shared" si="36"/>
        <v>6.1387005320100989E-2</v>
      </c>
      <c r="M113" s="55">
        <f t="shared" si="42"/>
        <v>0.938612994679899</v>
      </c>
      <c r="N113" s="55">
        <f t="shared" si="37"/>
        <v>5.8768185063875197E-2</v>
      </c>
      <c r="O113" s="56">
        <f t="shared" si="43"/>
        <v>1.274493526225542E-9</v>
      </c>
      <c r="P113" s="56">
        <f t="shared" si="38"/>
        <v>8.770186058639066E-4</v>
      </c>
      <c r="Q113" s="56">
        <f t="shared" si="39"/>
        <v>1.679208538195133E-2</v>
      </c>
      <c r="R113" s="9">
        <f t="shared" si="44"/>
        <v>1.4999999999999999E-4</v>
      </c>
      <c r="S113" s="9">
        <f t="shared" si="45"/>
        <v>9.2080507980151479E-6</v>
      </c>
      <c r="T113" s="9">
        <f t="shared" si="40"/>
        <v>1.9106162647299046E-7</v>
      </c>
      <c r="U113" s="9">
        <f t="shared" si="41"/>
        <v>1.4079194920198484E-4</v>
      </c>
      <c r="V113" s="100">
        <f t="shared" si="46"/>
        <v>1.3570493736036501E-3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106</v>
      </c>
      <c r="C114" s="46" t="s">
        <v>107</v>
      </c>
      <c r="D114" s="47">
        <v>6.0065360000000005</v>
      </c>
      <c r="E114" s="47">
        <v>7.5552170000000007</v>
      </c>
      <c r="F114" s="96">
        <v>9.9999999999999995E-7</v>
      </c>
      <c r="G114" s="7"/>
      <c r="H114" s="7"/>
      <c r="I114" s="54">
        <f t="shared" si="33"/>
        <v>3.2678433041260839</v>
      </c>
      <c r="J114" s="54">
        <f t="shared" si="34"/>
        <v>6.2686756056738835</v>
      </c>
      <c r="K114" s="55">
        <f t="shared" si="35"/>
        <v>5.0407295506328621E-4</v>
      </c>
      <c r="L114" s="55">
        <f t="shared" si="36"/>
        <v>6.5537831198409863E-2</v>
      </c>
      <c r="M114" s="55">
        <f t="shared" si="42"/>
        <v>0.93446216880159017</v>
      </c>
      <c r="N114" s="55">
        <f t="shared" si="37"/>
        <v>6.3387476728985676E-2</v>
      </c>
      <c r="O114" s="56">
        <f t="shared" si="43"/>
        <v>5.0436950357299139E-10</v>
      </c>
      <c r="P114" s="56">
        <f t="shared" si="38"/>
        <v>9.3632026923705489E-4</v>
      </c>
      <c r="Q114" s="56">
        <f t="shared" si="39"/>
        <v>1.8111975386387629E-2</v>
      </c>
      <c r="R114" s="9">
        <f t="shared" si="44"/>
        <v>1.4999999999999999E-4</v>
      </c>
      <c r="S114" s="9">
        <f t="shared" si="45"/>
        <v>9.8306746797614783E-6</v>
      </c>
      <c r="T114" s="9">
        <f t="shared" si="40"/>
        <v>7.561094325949293E-8</v>
      </c>
      <c r="U114" s="9">
        <f t="shared" si="41"/>
        <v>1.4016932532023851E-4</v>
      </c>
      <c r="V114" s="100">
        <f t="shared" si="46"/>
        <v>5.3942574872746247E-4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108</v>
      </c>
      <c r="C115" s="46" t="s">
        <v>109</v>
      </c>
      <c r="D115" s="47">
        <v>4.6510502998865109</v>
      </c>
      <c r="E115" s="47">
        <v>6.1388180322329244</v>
      </c>
      <c r="F115" s="96">
        <v>9.9999999999999995E-7</v>
      </c>
      <c r="G115" s="7"/>
      <c r="H115" s="7"/>
      <c r="I115" s="54">
        <f t="shared" si="33"/>
        <v>1.873926252180699</v>
      </c>
      <c r="J115" s="54">
        <f t="shared" si="34"/>
        <v>4.8544220902765449</v>
      </c>
      <c r="K115" s="55">
        <f t="shared" si="35"/>
        <v>1.252317612590066E-2</v>
      </c>
      <c r="L115" s="55">
        <f t="shared" si="36"/>
        <v>6.2727740131827581E-2</v>
      </c>
      <c r="M115" s="55">
        <f t="shared" si="42"/>
        <v>0.93727225986817242</v>
      </c>
      <c r="N115" s="55">
        <f t="shared" si="37"/>
        <v>6.0370613315867565E-2</v>
      </c>
      <c r="O115" s="56">
        <f t="shared" si="43"/>
        <v>1.2530543569798628E-8</v>
      </c>
      <c r="P115" s="56">
        <f t="shared" si="38"/>
        <v>8.9617330105195442E-4</v>
      </c>
      <c r="Q115" s="56">
        <f t="shared" si="39"/>
        <v>1.7249954073942763E-2</v>
      </c>
      <c r="R115" s="9">
        <f t="shared" si="44"/>
        <v>1.4999999999999999E-4</v>
      </c>
      <c r="S115" s="9">
        <f t="shared" si="45"/>
        <v>9.4091610197741362E-6</v>
      </c>
      <c r="T115" s="9">
        <f t="shared" si="40"/>
        <v>1.8784764188850989E-6</v>
      </c>
      <c r="U115" s="9">
        <f t="shared" si="41"/>
        <v>1.4059083898022585E-4</v>
      </c>
      <c r="V115" s="100">
        <f t="shared" si="46"/>
        <v>1.3361300298871587E-2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225</v>
      </c>
      <c r="C116" s="46" t="s">
        <v>226</v>
      </c>
      <c r="D116" s="47">
        <v>-0.1223633442417989</v>
      </c>
      <c r="E116" s="47">
        <v>-0.65153095448481257</v>
      </c>
      <c r="F116" s="96">
        <v>9.9999999999999995E-7</v>
      </c>
      <c r="G116" s="7"/>
      <c r="H116" s="7"/>
      <c r="I116" s="54">
        <f t="shared" si="33"/>
        <v>-6.4011746653915488E-5</v>
      </c>
      <c r="J116" s="54">
        <f t="shared" si="34"/>
        <v>-2.3915236456629588E-2</v>
      </c>
      <c r="K116" s="55">
        <f t="shared" si="35"/>
        <v>0.99956309665469134</v>
      </c>
      <c r="L116" s="55">
        <f t="shared" si="36"/>
        <v>6.6254905703649482E-5</v>
      </c>
      <c r="M116" s="55">
        <f t="shared" si="42"/>
        <v>0.99993374509429633</v>
      </c>
      <c r="N116" s="55">
        <f t="shared" si="37"/>
        <v>7.8085847189029508E-7</v>
      </c>
      <c r="O116" s="56">
        <f t="shared" si="43"/>
        <v>1.0001511443642379E-6</v>
      </c>
      <c r="P116" s="56">
        <f t="shared" si="38"/>
        <v>9.4656490781498221E-7</v>
      </c>
      <c r="Q116" s="56">
        <f t="shared" si="39"/>
        <v>2.231180377095221E-7</v>
      </c>
      <c r="R116" s="9">
        <f t="shared" si="44"/>
        <v>1.4999999999999999E-4</v>
      </c>
      <c r="S116" s="9">
        <f t="shared" si="45"/>
        <v>9.9382358555474216E-9</v>
      </c>
      <c r="T116" s="9">
        <f t="shared" si="40"/>
        <v>1.4993446449820369E-4</v>
      </c>
      <c r="U116" s="9">
        <f t="shared" si="41"/>
        <v>1.4999006176414444E-4</v>
      </c>
      <c r="V116" s="100">
        <f t="shared" si="46"/>
        <v>0.99962932700149043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227</v>
      </c>
      <c r="C117" s="46" t="s">
        <v>228</v>
      </c>
      <c r="D117" s="47">
        <v>1.8253520000000001</v>
      </c>
      <c r="E117" s="47">
        <v>2.0793489999999997</v>
      </c>
      <c r="F117" s="96">
        <v>9.9999999999999995E-7</v>
      </c>
      <c r="G117" s="7"/>
      <c r="H117" s="7"/>
      <c r="I117" s="54">
        <f t="shared" si="33"/>
        <v>1.5422749478710035E-2</v>
      </c>
      <c r="J117" s="54">
        <f t="shared" si="34"/>
        <v>1.0376508814998808</v>
      </c>
      <c r="K117" s="55">
        <f t="shared" si="35"/>
        <v>0.96390087521240519</v>
      </c>
      <c r="L117" s="55">
        <f t="shared" si="36"/>
        <v>7.3621780932393247E-4</v>
      </c>
      <c r="M117" s="55">
        <f t="shared" si="42"/>
        <v>0.99926378219067602</v>
      </c>
      <c r="N117" s="55">
        <f t="shared" si="37"/>
        <v>4.0520466981894379E-4</v>
      </c>
      <c r="O117" s="56">
        <f t="shared" si="43"/>
        <v>9.6446794266797188E-7</v>
      </c>
      <c r="P117" s="56">
        <f t="shared" si="38"/>
        <v>1.05181334938655E-5</v>
      </c>
      <c r="Q117" s="56">
        <f t="shared" si="39"/>
        <v>1.1578086689880887E-4</v>
      </c>
      <c r="R117" s="9">
        <f t="shared" si="44"/>
        <v>1.4999999999999999E-4</v>
      </c>
      <c r="S117" s="9">
        <f t="shared" si="45"/>
        <v>1.1043267139858986E-7</v>
      </c>
      <c r="T117" s="9">
        <f t="shared" si="40"/>
        <v>1.4458513128186076E-4</v>
      </c>
      <c r="U117" s="9">
        <f t="shared" si="41"/>
        <v>1.4988956732860139E-4</v>
      </c>
      <c r="V117" s="100">
        <f t="shared" si="46"/>
        <v>0.96461103903841583</v>
      </c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229</v>
      </c>
      <c r="C118" s="46" t="s">
        <v>230</v>
      </c>
      <c r="D118" s="47">
        <v>2.848199987724402</v>
      </c>
      <c r="E118" s="47">
        <v>3.5741999825375301</v>
      </c>
      <c r="F118" s="96">
        <v>9.9999999999999995E-7</v>
      </c>
      <c r="G118" s="7"/>
      <c r="H118" s="7"/>
      <c r="I118" s="54">
        <f t="shared" si="33"/>
        <v>0.17039252388598855</v>
      </c>
      <c r="J118" s="54">
        <f t="shared" si="34"/>
        <v>2.3631678945687002</v>
      </c>
      <c r="K118" s="55">
        <f t="shared" si="35"/>
        <v>0.66783539916468848</v>
      </c>
      <c r="L118" s="55">
        <f t="shared" si="36"/>
        <v>1.079345270529272E-2</v>
      </c>
      <c r="M118" s="55">
        <f t="shared" si="42"/>
        <v>0.98920654729470725</v>
      </c>
      <c r="N118" s="55">
        <f t="shared" si="37"/>
        <v>8.773290000700637E-3</v>
      </c>
      <c r="O118" s="56">
        <f t="shared" si="43"/>
        <v>6.6822828989679659E-7</v>
      </c>
      <c r="P118" s="56">
        <f t="shared" si="38"/>
        <v>1.5420297495688707E-4</v>
      </c>
      <c r="Q118" s="56">
        <f t="shared" si="39"/>
        <v>2.5068297517144814E-3</v>
      </c>
      <c r="R118" s="9">
        <f t="shared" si="44"/>
        <v>1.4999999999999999E-4</v>
      </c>
      <c r="S118" s="9">
        <f t="shared" si="45"/>
        <v>1.6190179057939078E-6</v>
      </c>
      <c r="T118" s="9">
        <f t="shared" si="40"/>
        <v>1.0017530987470326E-4</v>
      </c>
      <c r="U118" s="9">
        <f t="shared" si="41"/>
        <v>1.4838098209420607E-4</v>
      </c>
      <c r="V118" s="100">
        <f t="shared" si="46"/>
        <v>0.67512229977762672</v>
      </c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231</v>
      </c>
      <c r="C119" s="46" t="s">
        <v>232</v>
      </c>
      <c r="D119" s="47">
        <v>-0.98996462433878363</v>
      </c>
      <c r="E119" s="47">
        <v>-1.885724324763622</v>
      </c>
      <c r="F119" s="96">
        <v>9.9999999999999995E-7</v>
      </c>
      <c r="G119" s="7"/>
      <c r="H119" s="7"/>
      <c r="I119" s="54">
        <f t="shared" si="33"/>
        <v>-2.0346404759841822E-4</v>
      </c>
      <c r="J119" s="54">
        <f t="shared" si="34"/>
        <v>-4.7308877203311103E-2</v>
      </c>
      <c r="K119" s="55">
        <f t="shared" si="35"/>
        <v>0.99988756259868938</v>
      </c>
      <c r="L119" s="55">
        <f t="shared" si="36"/>
        <v>6.2800825426396825E-5</v>
      </c>
      <c r="M119" s="55">
        <f t="shared" si="42"/>
        <v>0.99993719917457358</v>
      </c>
      <c r="N119" s="55">
        <f t="shared" si="37"/>
        <v>4.5553306802236229E-8</v>
      </c>
      <c r="O119" s="56">
        <f t="shared" si="43"/>
        <v>1.0004758011930892E-6</v>
      </c>
      <c r="P119" s="56">
        <f t="shared" si="38"/>
        <v>8.9721744977395247E-7</v>
      </c>
      <c r="Q119" s="56">
        <f t="shared" si="39"/>
        <v>1.301614158106068E-8</v>
      </c>
      <c r="R119" s="9">
        <f t="shared" si="44"/>
        <v>1.4999999999999999E-4</v>
      </c>
      <c r="S119" s="9">
        <f t="shared" si="45"/>
        <v>9.4201238139595223E-9</v>
      </c>
      <c r="T119" s="9">
        <f t="shared" si="40"/>
        <v>1.4998313438980339E-4</v>
      </c>
      <c r="U119" s="9">
        <f t="shared" si="41"/>
        <v>1.4999057987618601E-4</v>
      </c>
      <c r="V119" s="100">
        <f t="shared" si="46"/>
        <v>0.99995036030670215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233</v>
      </c>
      <c r="C120" s="46" t="s">
        <v>234</v>
      </c>
      <c r="D120" s="47">
        <v>-7.2373500000194575</v>
      </c>
      <c r="E120" s="47">
        <v>-10.772850000027681</v>
      </c>
      <c r="F120" s="96">
        <v>9.9999999999999995E-7</v>
      </c>
      <c r="G120" s="7"/>
      <c r="H120" s="7"/>
      <c r="I120" s="54">
        <f t="shared" si="33"/>
        <v>-2.2502281549544107E-4</v>
      </c>
      <c r="J120" s="54">
        <f t="shared" si="34"/>
        <v>-5.0609991659574693E-2</v>
      </c>
      <c r="K120" s="55">
        <f t="shared" si="35"/>
        <v>0.99993767156890156</v>
      </c>
      <c r="L120" s="55">
        <f t="shared" si="36"/>
        <v>6.2328403294857203E-5</v>
      </c>
      <c r="M120" s="55">
        <f t="shared" si="42"/>
        <v>0.9999376715967051</v>
      </c>
      <c r="N120" s="55">
        <f t="shared" si="37"/>
        <v>5.9076668659623089E-17</v>
      </c>
      <c r="O120" s="56">
        <f t="shared" si="43"/>
        <v>1.0005259396426462E-6</v>
      </c>
      <c r="P120" s="56">
        <f t="shared" si="38"/>
        <v>8.9046808975839758E-7</v>
      </c>
      <c r="Q120" s="56">
        <f t="shared" si="39"/>
        <v>1.6880229721836929E-17</v>
      </c>
      <c r="R120" s="9">
        <f t="shared" si="44"/>
        <v>1.4999999999999999E-4</v>
      </c>
      <c r="S120" s="9">
        <f t="shared" si="45"/>
        <v>9.3492604942285791E-9</v>
      </c>
      <c r="T120" s="9">
        <f t="shared" si="40"/>
        <v>1.4999065073533521E-4</v>
      </c>
      <c r="U120" s="9">
        <f t="shared" si="41"/>
        <v>1.4999065073950576E-4</v>
      </c>
      <c r="V120" s="100">
        <f t="shared" si="46"/>
        <v>0.99999999997219469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235</v>
      </c>
      <c r="C121" s="46" t="s">
        <v>236</v>
      </c>
      <c r="D121" s="47">
        <v>0.89837073464087869</v>
      </c>
      <c r="E121" s="47">
        <v>0.80049921406660218</v>
      </c>
      <c r="F121" s="96">
        <v>9.9999999999999995E-7</v>
      </c>
      <c r="G121" s="7"/>
      <c r="H121" s="7"/>
      <c r="I121" s="54">
        <f t="shared" si="33"/>
        <v>1.5262652347248487E-3</v>
      </c>
      <c r="J121" s="54">
        <f t="shared" si="34"/>
        <v>0.22547827329253009</v>
      </c>
      <c r="K121" s="55">
        <f t="shared" si="35"/>
        <v>0.99585888221360652</v>
      </c>
      <c r="L121" s="55">
        <f t="shared" si="36"/>
        <v>1.1721930373010922E-4</v>
      </c>
      <c r="M121" s="55">
        <f t="shared" si="42"/>
        <v>0.9998827806962699</v>
      </c>
      <c r="N121" s="55">
        <f t="shared" si="37"/>
        <v>2.2028761578539873E-5</v>
      </c>
      <c r="O121" s="56">
        <f t="shared" si="43"/>
        <v>9.9644475071623223E-7</v>
      </c>
      <c r="P121" s="56">
        <f t="shared" si="38"/>
        <v>1.6746787011624331E-6</v>
      </c>
      <c r="Q121" s="56">
        <f t="shared" si="39"/>
        <v>6.2943724548143905E-6</v>
      </c>
      <c r="R121" s="9">
        <f t="shared" si="44"/>
        <v>1.4999999999999999E-4</v>
      </c>
      <c r="S121" s="9">
        <f t="shared" si="45"/>
        <v>1.758289555951638E-8</v>
      </c>
      <c r="T121" s="9">
        <f t="shared" si="40"/>
        <v>1.4937883233204097E-4</v>
      </c>
      <c r="U121" s="9">
        <f t="shared" si="41"/>
        <v>1.4998241710444048E-4</v>
      </c>
      <c r="V121" s="100">
        <f t="shared" si="46"/>
        <v>0.99597562978346188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237</v>
      </c>
      <c r="C122" s="46" t="s">
        <v>238</v>
      </c>
      <c r="D122" s="47">
        <v>5.1201999877244022</v>
      </c>
      <c r="E122" s="47">
        <v>6.8061999825375299</v>
      </c>
      <c r="F122" s="96">
        <v>9.9999999999999995E-7</v>
      </c>
      <c r="G122" s="7"/>
      <c r="H122" s="7"/>
      <c r="I122" s="54">
        <f t="shared" si="33"/>
        <v>2.4878679358864142</v>
      </c>
      <c r="J122" s="54">
        <f t="shared" si="34"/>
        <v>5.5157795819294879</v>
      </c>
      <c r="K122" s="55">
        <f t="shared" si="35"/>
        <v>3.0244150900780031E-3</v>
      </c>
      <c r="L122" s="55">
        <f t="shared" si="36"/>
        <v>6.9461481368655112E-2</v>
      </c>
      <c r="M122" s="55">
        <f t="shared" si="42"/>
        <v>0.93053851863134485</v>
      </c>
      <c r="N122" s="55">
        <f t="shared" si="37"/>
        <v>6.7785131982272012E-2</v>
      </c>
      <c r="O122" s="56">
        <f t="shared" si="43"/>
        <v>3.0261943678168376E-9</v>
      </c>
      <c r="P122" s="56">
        <f t="shared" si="38"/>
        <v>9.9237633817644225E-4</v>
      </c>
      <c r="Q122" s="56">
        <f t="shared" si="39"/>
        <v>1.9368536269003075E-2</v>
      </c>
      <c r="R122" s="9">
        <f t="shared" si="44"/>
        <v>1.4999999999999999E-4</v>
      </c>
      <c r="S122" s="9">
        <f t="shared" si="45"/>
        <v>1.0419222205298266E-5</v>
      </c>
      <c r="T122" s="9">
        <f t="shared" si="40"/>
        <v>4.5366226351170044E-7</v>
      </c>
      <c r="U122" s="9">
        <f t="shared" si="41"/>
        <v>1.3958077779470171E-4</v>
      </c>
      <c r="V122" s="100">
        <f t="shared" si="46"/>
        <v>3.2501772140785478E-3</v>
      </c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239</v>
      </c>
      <c r="C123" s="46" t="s">
        <v>240</v>
      </c>
      <c r="D123" s="47">
        <v>1.6430320000000003</v>
      </c>
      <c r="E123" s="47">
        <v>1.9699289999999996</v>
      </c>
      <c r="F123" s="96">
        <v>9.9999999999999995E-7</v>
      </c>
      <c r="G123" s="7"/>
      <c r="H123" s="7"/>
      <c r="I123" s="54">
        <f t="shared" ref="I123:I127" si="47">IF(D123=0,"",LOG($K$15*10^D123+$K$16*10^E123+$K$14))</f>
        <v>1.0353959656071578E-2</v>
      </c>
      <c r="J123" s="54">
        <f t="shared" ref="J123:J127" si="48">IF(D123=0,"",LOG($K$21*10^D123+$K$22*10^E123+$K$20))</f>
        <v>0.91344044901976251</v>
      </c>
      <c r="K123" s="55">
        <f t="shared" ref="K123:K127" si="49">IF(D123=0,"",1/(1+10^D123*$J$15/$J$14+10^E123*$J$16/$J$14+10^J123*$J$19/$J$14))</f>
        <v>0.97538906542665116</v>
      </c>
      <c r="L123" s="55">
        <f t="shared" ref="L123:L127" si="50">IF(D123=0,"",1/(1+10^I123/10^J123*$J$13/$J$19))</f>
        <v>5.5968207057426164E-4</v>
      </c>
      <c r="M123" s="55">
        <f t="shared" si="42"/>
        <v>0.99944031792942578</v>
      </c>
      <c r="N123" s="55">
        <f t="shared" ref="N123:N127" si="51">IF(D123=0,"",1/(1/10^E123*$J$20/$J$22+10^D123/10^E123*$J$21/$J$22+10^I123/10^E123*$J$13/$J$22+1))</f>
        <v>3.1871312587247784E-4</v>
      </c>
      <c r="O123" s="56">
        <f t="shared" si="43"/>
        <v>9.7596289143899644E-7</v>
      </c>
      <c r="P123" s="56">
        <f t="shared" ref="P123:P127" si="52">IF(D123=0,"",O123*10^J123)</f>
        <v>7.9960178331314569E-6</v>
      </c>
      <c r="Q123" s="56">
        <f t="shared" ref="Q123:Q127" si="53">IF(D123=0,"",F123*N123*$J$7/$J$22)</f>
        <v>9.1067267368939679E-5</v>
      </c>
      <c r="R123" s="9">
        <f t="shared" si="44"/>
        <v>1.4999999999999999E-4</v>
      </c>
      <c r="S123" s="9">
        <f t="shared" si="45"/>
        <v>8.3952310586139238E-8</v>
      </c>
      <c r="T123" s="9">
        <f t="shared" si="40"/>
        <v>1.4630835981399766E-4</v>
      </c>
      <c r="U123" s="9">
        <f t="shared" si="41"/>
        <v>1.4991604768941385E-4</v>
      </c>
      <c r="V123" s="100">
        <f t="shared" si="46"/>
        <v>0.97593527890429477</v>
      </c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241</v>
      </c>
      <c r="C124" s="46" t="s">
        <v>242</v>
      </c>
      <c r="D124" s="47">
        <v>1.9888079999999992</v>
      </c>
      <c r="E124" s="47">
        <v>1.7269960000000002</v>
      </c>
      <c r="F124" s="96">
        <v>9.9999999999999995E-7</v>
      </c>
      <c r="G124" s="7"/>
      <c r="H124" s="7"/>
      <c r="I124" s="54">
        <f t="shared" si="47"/>
        <v>2.0480395290290027E-2</v>
      </c>
      <c r="J124" s="54">
        <f t="shared" si="48"/>
        <v>0.97331271643662476</v>
      </c>
      <c r="K124" s="55">
        <f t="shared" si="49"/>
        <v>0.95284431886808951</v>
      </c>
      <c r="L124" s="55">
        <f t="shared" si="50"/>
        <v>6.2756357478262084E-4</v>
      </c>
      <c r="M124" s="55">
        <f t="shared" si="42"/>
        <v>0.99937243642521734</v>
      </c>
      <c r="N124" s="55">
        <f t="shared" si="51"/>
        <v>1.7795533650338176E-4</v>
      </c>
      <c r="O124" s="56">
        <f t="shared" si="43"/>
        <v>9.5340488169913048E-7</v>
      </c>
      <c r="P124" s="56">
        <f t="shared" si="52"/>
        <v>8.9658214890407966E-6</v>
      </c>
      <c r="Q124" s="56">
        <f t="shared" si="53"/>
        <v>5.0847940964839131E-5</v>
      </c>
      <c r="R124" s="9">
        <f t="shared" si="44"/>
        <v>1.4999999999999999E-4</v>
      </c>
      <c r="S124" s="9">
        <f t="shared" si="45"/>
        <v>9.4134536217393123E-8</v>
      </c>
      <c r="T124" s="9">
        <f t="shared" si="40"/>
        <v>1.4292664783021342E-4</v>
      </c>
      <c r="U124" s="9">
        <f t="shared" si="41"/>
        <v>1.499058654637826E-4</v>
      </c>
      <c r="V124" s="100">
        <f t="shared" si="46"/>
        <v>0.95344266475513351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243</v>
      </c>
      <c r="C125" s="46" t="s">
        <v>244</v>
      </c>
      <c r="D125" s="47">
        <v>0.57692000000000121</v>
      </c>
      <c r="E125" s="47">
        <v>0.1355349999999973</v>
      </c>
      <c r="F125" s="96">
        <v>9.9999999999999995E-7</v>
      </c>
      <c r="G125" s="7"/>
      <c r="H125" s="7"/>
      <c r="I125" s="54">
        <f t="shared" si="47"/>
        <v>5.8413729360461944E-4</v>
      </c>
      <c r="J125" s="54">
        <f t="shared" si="48"/>
        <v>7.3650487553540506E-2</v>
      </c>
      <c r="K125" s="55">
        <f t="shared" si="49"/>
        <v>0.99805591003089889</v>
      </c>
      <c r="L125" s="55">
        <f t="shared" si="50"/>
        <v>8.2818702279404598E-5</v>
      </c>
      <c r="M125" s="55">
        <f t="shared" si="42"/>
        <v>0.99991718129772056</v>
      </c>
      <c r="N125" s="55">
        <f t="shared" si="51"/>
        <v>4.775105133216517E-6</v>
      </c>
      <c r="O125" s="56">
        <f t="shared" si="43"/>
        <v>9.9864307105540773E-7</v>
      </c>
      <c r="P125" s="56">
        <f t="shared" si="52"/>
        <v>1.1832071369794884E-6</v>
      </c>
      <c r="Q125" s="56">
        <f t="shared" si="53"/>
        <v>1.3644112544502405E-6</v>
      </c>
      <c r="R125" s="9">
        <f t="shared" si="44"/>
        <v>1.4999999999999999E-4</v>
      </c>
      <c r="S125" s="9">
        <f t="shared" si="45"/>
        <v>1.2422805341910688E-8</v>
      </c>
      <c r="T125" s="9">
        <f t="shared" si="40"/>
        <v>1.4970838650463483E-4</v>
      </c>
      <c r="U125" s="9">
        <f t="shared" si="41"/>
        <v>1.4998757719465806E-4</v>
      </c>
      <c r="V125" s="100">
        <f t="shared" si="46"/>
        <v>0.99813857457234001</v>
      </c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245</v>
      </c>
      <c r="C126" s="46" t="s">
        <v>246</v>
      </c>
      <c r="D126" s="47">
        <v>4.3320999877244022</v>
      </c>
      <c r="E126" s="47">
        <v>5.6850999825375297</v>
      </c>
      <c r="F126" s="96">
        <v>9.9999999999999995E-7</v>
      </c>
      <c r="G126" s="7"/>
      <c r="H126" s="7"/>
      <c r="I126" s="54">
        <f t="shared" si="47"/>
        <v>1.4729644553070216</v>
      </c>
      <c r="J126" s="54">
        <f t="shared" si="48"/>
        <v>4.4066096160793258</v>
      </c>
      <c r="K126" s="55">
        <f t="shared" si="49"/>
        <v>3.1730077176096612E-2</v>
      </c>
      <c r="L126" s="55">
        <f t="shared" si="50"/>
        <v>5.6676602360683184E-2</v>
      </c>
      <c r="M126" s="55">
        <f t="shared" si="42"/>
        <v>0.94332339763931683</v>
      </c>
      <c r="N126" s="55">
        <f t="shared" si="51"/>
        <v>5.3810146959466405E-2</v>
      </c>
      <c r="O126" s="56">
        <f t="shared" si="43"/>
        <v>3.1748744130958771E-8</v>
      </c>
      <c r="P126" s="56">
        <f t="shared" si="52"/>
        <v>8.0972242461212066E-4</v>
      </c>
      <c r="Q126" s="56">
        <f t="shared" si="53"/>
        <v>1.5375403905643875E-2</v>
      </c>
      <c r="R126" s="9">
        <f t="shared" si="44"/>
        <v>1.4999999999999999E-4</v>
      </c>
      <c r="S126" s="9">
        <f t="shared" si="45"/>
        <v>8.5014903541024768E-6</v>
      </c>
      <c r="T126" s="9">
        <f t="shared" si="40"/>
        <v>4.7595115764144917E-6</v>
      </c>
      <c r="U126" s="9">
        <f t="shared" si="41"/>
        <v>1.4149850964589753E-4</v>
      </c>
      <c r="V126" s="100">
        <f t="shared" si="46"/>
        <v>3.363647849242548E-2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247</v>
      </c>
      <c r="C127" s="46" t="s">
        <v>248</v>
      </c>
      <c r="D127" s="47">
        <v>2.713299987724402</v>
      </c>
      <c r="E127" s="47">
        <v>3.3822999825375302</v>
      </c>
      <c r="F127" s="96">
        <v>9.9999999999999995E-7</v>
      </c>
      <c r="G127" s="7"/>
      <c r="H127" s="7"/>
      <c r="I127" s="54">
        <f t="shared" si="47"/>
        <v>0.12683662687631939</v>
      </c>
      <c r="J127" s="54">
        <f t="shared" si="48"/>
        <v>2.1831984223328189</v>
      </c>
      <c r="K127" s="55">
        <f t="shared" si="49"/>
        <v>0.74044146571996339</v>
      </c>
      <c r="L127" s="55">
        <f t="shared" si="50"/>
        <v>7.907008706651366E-3</v>
      </c>
      <c r="M127" s="55">
        <f t="shared" si="42"/>
        <v>0.9920929912933486</v>
      </c>
      <c r="N127" s="55">
        <f t="shared" si="51"/>
        <v>6.2529330907216615E-3</v>
      </c>
      <c r="O127" s="56">
        <f t="shared" si="43"/>
        <v>7.4087707094531345E-7</v>
      </c>
      <c r="P127" s="56">
        <f t="shared" si="52"/>
        <v>1.1296517424658332E-4</v>
      </c>
      <c r="Q127" s="56">
        <f t="shared" si="53"/>
        <v>1.7866773702965746E-3</v>
      </c>
      <c r="R127" s="9">
        <f t="shared" si="44"/>
        <v>1.4999999999999999E-4</v>
      </c>
      <c r="S127" s="9">
        <f t="shared" si="45"/>
        <v>1.1860513059977049E-6</v>
      </c>
      <c r="T127" s="9">
        <f t="shared" si="40"/>
        <v>1.110662198579945E-4</v>
      </c>
      <c r="U127" s="9">
        <f t="shared" si="41"/>
        <v>1.4881394869400229E-4</v>
      </c>
      <c r="V127" s="100">
        <f t="shared" si="46"/>
        <v>0.74634280477546966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249</v>
      </c>
      <c r="C128" s="46" t="s">
        <v>250</v>
      </c>
      <c r="D128" s="47">
        <v>3.598704000000001</v>
      </c>
      <c r="E128" s="47">
        <v>4.3131730000000008</v>
      </c>
      <c r="F128" s="96">
        <v>9.9999999999999995E-7</v>
      </c>
      <c r="G128" s="7"/>
      <c r="H128" s="7"/>
      <c r="I128" s="54">
        <f t="shared" ref="I128:I134" si="54">IF(D128=0,"",LOG($K$15*10^D128+$K$16*10^E128+$K$14))</f>
        <v>0.56658503951123784</v>
      </c>
      <c r="J128" s="54">
        <f t="shared" ref="J128:J134" si="55">IF(D128=0,"",LOG($K$21*10^D128+$K$22*10^E128+$K$20))</f>
        <v>3.1029128175372134</v>
      </c>
      <c r="K128" s="55">
        <f t="shared" ref="K128:K134" si="56">IF(D128=0,"",1/(1+10^D128*$J$15/$J$14+10^E128*$J$16/$J$14+10^J128*$J$19/$J$14))</f>
        <v>0.26476554958183651</v>
      </c>
      <c r="L128" s="55">
        <f t="shared" ref="L128:L134" si="57">IF(D128=0,"",1/(1+10^I128/10^J128*$J$13/$J$19))</f>
        <v>2.3501595974379084E-2</v>
      </c>
      <c r="M128" s="55">
        <f t="shared" ref="M128:M134" si="58">IF(D128=0,"",1-L128)</f>
        <v>0.97649840402562094</v>
      </c>
      <c r="N128" s="55">
        <f t="shared" ref="N128:N134" si="59">IF(D128=0,"",1/(1/10^E128*$J$20/$J$22+10^D128/10^E128*$J$21/$J$22+10^I128/10^E128*$J$13/$J$22+1))</f>
        <v>1.906898348671137E-2</v>
      </c>
      <c r="O128" s="56">
        <f t="shared" ref="O128:O134" si="60">IF(D128=0,"",F128*K128*$J$7/$J$14)</f>
        <v>2.649213124101357E-7</v>
      </c>
      <c r="P128" s="56">
        <f t="shared" ref="P128:P134" si="61">IF(D128=0,"",O128*10^J128)</f>
        <v>3.3576058694424695E-4</v>
      </c>
      <c r="Q128" s="56">
        <f t="shared" ref="Q128:Q134" si="62">IF(D128=0,"",F128*N128*$J$7/$J$22)</f>
        <v>5.448662375872982E-3</v>
      </c>
      <c r="R128" s="9">
        <f t="shared" si="44"/>
        <v>1.4999999999999999E-4</v>
      </c>
      <c r="S128" s="9">
        <f t="shared" si="45"/>
        <v>3.5252393961568624E-6</v>
      </c>
      <c r="T128" s="9">
        <f t="shared" si="40"/>
        <v>3.9714832437275476E-5</v>
      </c>
      <c r="U128" s="9">
        <f t="shared" si="41"/>
        <v>1.4647476060384313E-4</v>
      </c>
      <c r="V128" s="100">
        <f t="shared" si="46"/>
        <v>0.27113771870014208</v>
      </c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251</v>
      </c>
      <c r="C129" s="46" t="s">
        <v>252</v>
      </c>
      <c r="D129" s="47">
        <v>-1.2627122753537208</v>
      </c>
      <c r="E129" s="47">
        <v>-2.2737174621228986</v>
      </c>
      <c r="F129" s="96">
        <v>9.9999999999999995E-7</v>
      </c>
      <c r="G129" s="7"/>
      <c r="H129" s="7"/>
      <c r="I129" s="54">
        <f t="shared" si="54"/>
        <v>-2.135446795447277E-4</v>
      </c>
      <c r="J129" s="54">
        <f t="shared" si="55"/>
        <v>-4.8884570023902327E-2</v>
      </c>
      <c r="K129" s="55">
        <f t="shared" si="56"/>
        <v>0.99991099773752734</v>
      </c>
      <c r="L129" s="55">
        <f t="shared" si="57"/>
        <v>6.2574852980335332E-5</v>
      </c>
      <c r="M129" s="55">
        <f t="shared" si="58"/>
        <v>0.99993742514701967</v>
      </c>
      <c r="N129" s="55">
        <f t="shared" si="59"/>
        <v>1.8643907954566349E-8</v>
      </c>
      <c r="O129" s="56">
        <f t="shared" si="60"/>
        <v>1.0004992501189307E-6</v>
      </c>
      <c r="P129" s="56">
        <f t="shared" si="61"/>
        <v>8.9398904600062808E-7</v>
      </c>
      <c r="Q129" s="56">
        <f t="shared" si="62"/>
        <v>5.3272037223209046E-9</v>
      </c>
      <c r="R129" s="9">
        <f t="shared" si="44"/>
        <v>1.4999999999999999E-4</v>
      </c>
      <c r="S129" s="9">
        <f t="shared" si="45"/>
        <v>9.3862279470502983E-9</v>
      </c>
      <c r="T129" s="9">
        <f t="shared" si="40"/>
        <v>1.499866496606291E-4</v>
      </c>
      <c r="U129" s="9">
        <f t="shared" si="41"/>
        <v>1.4999061377205295E-4</v>
      </c>
      <c r="V129" s="100">
        <f t="shared" si="46"/>
        <v>0.99997357093671291</v>
      </c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253</v>
      </c>
      <c r="C130" s="46" t="s">
        <v>254</v>
      </c>
      <c r="D130" s="47">
        <v>2.1582748772295566</v>
      </c>
      <c r="E130" s="47">
        <v>2.5927572197209185</v>
      </c>
      <c r="F130" s="96">
        <v>9.9999999999999995E-7</v>
      </c>
      <c r="G130" s="7"/>
      <c r="H130" s="7"/>
      <c r="I130" s="54">
        <f t="shared" si="54"/>
        <v>3.4815258927436928E-2</v>
      </c>
      <c r="J130" s="54">
        <f t="shared" si="55"/>
        <v>1.4639587166510732</v>
      </c>
      <c r="K130" s="55">
        <f t="shared" si="56"/>
        <v>0.92075450870648967</v>
      </c>
      <c r="L130" s="55">
        <f t="shared" si="57"/>
        <v>1.8768330116727071E-3</v>
      </c>
      <c r="M130" s="55">
        <f t="shared" si="58"/>
        <v>0.99812316698832726</v>
      </c>
      <c r="N130" s="55">
        <f t="shared" si="59"/>
        <v>1.2623917308036594E-3</v>
      </c>
      <c r="O130" s="56">
        <f t="shared" si="60"/>
        <v>9.2129619295004722E-7</v>
      </c>
      <c r="P130" s="56">
        <f t="shared" si="61"/>
        <v>2.6813776999764641E-5</v>
      </c>
      <c r="Q130" s="56">
        <f t="shared" si="62"/>
        <v>3.6070859949280447E-4</v>
      </c>
      <c r="R130" s="9">
        <f t="shared" si="44"/>
        <v>1.4999999999999999E-4</v>
      </c>
      <c r="S130" s="9">
        <f t="shared" si="45"/>
        <v>2.8152495175090605E-7</v>
      </c>
      <c r="T130" s="9">
        <f t="shared" si="40"/>
        <v>1.3811317630597344E-4</v>
      </c>
      <c r="U130" s="9">
        <f t="shared" si="41"/>
        <v>1.4971847504824908E-4</v>
      </c>
      <c r="V130" s="100">
        <f t="shared" si="46"/>
        <v>0.92248586062250737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255</v>
      </c>
      <c r="C131" s="46" t="s">
        <v>256</v>
      </c>
      <c r="D131" s="47">
        <v>0.51229998772440222</v>
      </c>
      <c r="E131" s="47">
        <v>0.25129998253752994</v>
      </c>
      <c r="F131" s="96">
        <v>9.9999999999999995E-7</v>
      </c>
      <c r="G131" s="7"/>
      <c r="H131" s="7"/>
      <c r="I131" s="54">
        <f t="shared" si="54"/>
        <v>4.8235239734115414E-4</v>
      </c>
      <c r="J131" s="54">
        <f t="shared" si="55"/>
        <v>6.9804088254701052E-2</v>
      </c>
      <c r="K131" s="55">
        <f t="shared" si="56"/>
        <v>0.99829055999751437</v>
      </c>
      <c r="L131" s="55">
        <f t="shared" si="57"/>
        <v>8.2107743222887671E-5</v>
      </c>
      <c r="M131" s="55">
        <f t="shared" si="58"/>
        <v>0.99991789225677707</v>
      </c>
      <c r="N131" s="55">
        <f t="shared" si="59"/>
        <v>6.2351946252580769E-6</v>
      </c>
      <c r="O131" s="56">
        <f t="shared" si="60"/>
        <v>9.988778590677111E-7</v>
      </c>
      <c r="P131" s="56">
        <f t="shared" si="61"/>
        <v>1.1730498680701897E-6</v>
      </c>
      <c r="Q131" s="56">
        <f t="shared" si="62"/>
        <v>1.7816088825376697E-6</v>
      </c>
      <c r="R131" s="9">
        <f t="shared" si="44"/>
        <v>1.4999999999999999E-4</v>
      </c>
      <c r="S131" s="9">
        <f t="shared" si="45"/>
        <v>1.231616148343315E-8</v>
      </c>
      <c r="T131" s="9">
        <f t="shared" si="40"/>
        <v>1.4974358399962715E-4</v>
      </c>
      <c r="U131" s="9">
        <f t="shared" si="41"/>
        <v>1.4998768383851655E-4</v>
      </c>
      <c r="V131" s="100">
        <f t="shared" si="46"/>
        <v>0.99837253411318616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257</v>
      </c>
      <c r="C132" s="46" t="s">
        <v>258</v>
      </c>
      <c r="D132" s="47">
        <v>0.92271245461153151</v>
      </c>
      <c r="E132" s="47">
        <v>0.83512616782767168</v>
      </c>
      <c r="F132" s="96">
        <v>9.9999999999999995E-7</v>
      </c>
      <c r="G132" s="7"/>
      <c r="H132" s="7"/>
      <c r="I132" s="54">
        <f t="shared" si="54"/>
        <v>1.6296434031808995E-3</v>
      </c>
      <c r="J132" s="54">
        <f t="shared" si="55"/>
        <v>0.23910923501822964</v>
      </c>
      <c r="K132" s="55">
        <f t="shared" si="56"/>
        <v>0.99561816673061543</v>
      </c>
      <c r="L132" s="55">
        <f t="shared" si="57"/>
        <v>1.2092750995274448E-4</v>
      </c>
      <c r="M132" s="55">
        <f t="shared" si="58"/>
        <v>0.99987907249004726</v>
      </c>
      <c r="N132" s="55">
        <f t="shared" si="59"/>
        <v>2.3851299587107034E-5</v>
      </c>
      <c r="O132" s="56">
        <f t="shared" si="60"/>
        <v>9.9620389361918122E-7</v>
      </c>
      <c r="P132" s="56">
        <f t="shared" si="61"/>
        <v>1.727656783977731E-6</v>
      </c>
      <c r="Q132" s="56">
        <f t="shared" si="62"/>
        <v>6.8151340508794657E-6</v>
      </c>
      <c r="R132" s="9">
        <f t="shared" si="44"/>
        <v>1.4999999999999999E-4</v>
      </c>
      <c r="S132" s="9">
        <f t="shared" si="45"/>
        <v>1.8139126492911671E-8</v>
      </c>
      <c r="T132" s="9">
        <f t="shared" si="40"/>
        <v>1.493427250095923E-4</v>
      </c>
      <c r="U132" s="9">
        <f t="shared" si="41"/>
        <v>1.4998186087350707E-4</v>
      </c>
      <c r="V132" s="100">
        <f t="shared" si="46"/>
        <v>0.99573857891752782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259</v>
      </c>
      <c r="C133" s="46" t="s">
        <v>260</v>
      </c>
      <c r="D133" s="47">
        <v>2.8951366557581992</v>
      </c>
      <c r="E133" s="47">
        <v>3.6409690455151855</v>
      </c>
      <c r="F133" s="96">
        <v>9.9999999999999995E-7</v>
      </c>
      <c r="G133" s="7"/>
      <c r="H133" s="7"/>
      <c r="I133" s="54">
        <f t="shared" si="54"/>
        <v>0.18829844715874175</v>
      </c>
      <c r="J133" s="54">
        <f t="shared" si="55"/>
        <v>2.4261279148275907</v>
      </c>
      <c r="K133" s="55">
        <f t="shared" si="56"/>
        <v>0.64010527414778162</v>
      </c>
      <c r="L133" s="55">
        <f t="shared" si="57"/>
        <v>1.1959207004523355E-2</v>
      </c>
      <c r="M133" s="55">
        <f t="shared" si="58"/>
        <v>0.98804079299547665</v>
      </c>
      <c r="N133" s="55">
        <f t="shared" si="59"/>
        <v>9.8064883847815889E-3</v>
      </c>
      <c r="O133" s="56">
        <f t="shared" si="60"/>
        <v>6.4048185111585004E-7</v>
      </c>
      <c r="P133" s="56">
        <f t="shared" si="61"/>
        <v>1.7085777355733823E-4</v>
      </c>
      <c r="Q133" s="56">
        <f t="shared" si="62"/>
        <v>2.802049953991006E-3</v>
      </c>
      <c r="R133" s="9">
        <f t="shared" si="44"/>
        <v>1.4999999999999999E-4</v>
      </c>
      <c r="S133" s="9">
        <f t="shared" si="45"/>
        <v>1.7938810506785032E-6</v>
      </c>
      <c r="T133" s="9">
        <f t="shared" si="40"/>
        <v>9.6015791122167228E-5</v>
      </c>
      <c r="U133" s="9">
        <f t="shared" si="41"/>
        <v>1.4820611894932149E-4</v>
      </c>
      <c r="V133" s="100">
        <f t="shared" si="46"/>
        <v>0.64785308327923674</v>
      </c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261</v>
      </c>
      <c r="C134" s="46" t="s">
        <v>262</v>
      </c>
      <c r="D134" s="47">
        <v>-1.7616394390778063</v>
      </c>
      <c r="E134" s="47">
        <v>-2.9834589203782875</v>
      </c>
      <c r="F134" s="96">
        <v>9.9999999999999995E-7</v>
      </c>
      <c r="G134" s="7"/>
      <c r="H134" s="7"/>
      <c r="I134" s="54">
        <f t="shared" si="54"/>
        <v>-2.2139482595652795E-4</v>
      </c>
      <c r="J134" s="54">
        <f t="shared" si="55"/>
        <v>-5.0078092325288211E-2</v>
      </c>
      <c r="K134" s="55">
        <f t="shared" si="56"/>
        <v>0.99992924251344784</v>
      </c>
      <c r="L134" s="55">
        <f t="shared" si="57"/>
        <v>6.2404260319386538E-5</v>
      </c>
      <c r="M134" s="55">
        <f t="shared" si="58"/>
        <v>0.99993759573968066</v>
      </c>
      <c r="N134" s="55">
        <f t="shared" si="59"/>
        <v>3.6375034686311032E-9</v>
      </c>
      <c r="O134" s="56">
        <f t="shared" si="60"/>
        <v>1.0005175056283393E-6</v>
      </c>
      <c r="P134" s="56">
        <f t="shared" si="61"/>
        <v>8.9155183739441312E-7</v>
      </c>
      <c r="Q134" s="56">
        <f t="shared" si="62"/>
        <v>1.0393594553925447E-9</v>
      </c>
      <c r="R134" s="9">
        <f t="shared" si="44"/>
        <v>1.4999999999999999E-4</v>
      </c>
      <c r="S134" s="9">
        <f t="shared" si="45"/>
        <v>9.3606390479079793E-9</v>
      </c>
      <c r="T134" s="9">
        <f t="shared" si="40"/>
        <v>1.4998938637701716E-4</v>
      </c>
      <c r="U134" s="9">
        <f t="shared" si="41"/>
        <v>1.4999063936095209E-4</v>
      </c>
      <c r="V134" s="100">
        <f t="shared" si="46"/>
        <v>0.99999164625245773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 t="s">
        <v>263</v>
      </c>
      <c r="C135" s="46" t="s">
        <v>264</v>
      </c>
      <c r="D135" s="47">
        <v>1.1365502998865107</v>
      </c>
      <c r="E135" s="47">
        <v>1.1393180322329237</v>
      </c>
      <c r="F135" s="96">
        <v>9.9999999999999995E-7</v>
      </c>
      <c r="G135" s="7"/>
      <c r="H135" s="7"/>
      <c r="I135" s="54">
        <f t="shared" ref="I135:I143" si="63">IF(D135=0,"",LOG($K$15*10^D135+$K$16*10^E135+$K$14))</f>
        <v>2.8479282847897803E-3</v>
      </c>
      <c r="J135" s="54">
        <f t="shared" ref="J135:J143" si="64">IF(D135=0,"",LOG($K$21*10^D135+$K$22*10^E135+$K$20))</f>
        <v>0.38035362640036097</v>
      </c>
      <c r="K135" s="55">
        <f t="shared" ref="K135:K143" si="65">IF(D135=0,"",1/(1+10^D135*$J$15/$J$14+10^E135*$J$16/$J$14+10^J135*$J$19/$J$14))</f>
        <v>0.99278349081486161</v>
      </c>
      <c r="L135" s="55">
        <f t="shared" ref="L135:L143" si="66">IF(D135=0,"",1/(1+10^I135/10^J135*$J$13/$J$19))</f>
        <v>1.6692878633363601E-4</v>
      </c>
      <c r="M135" s="55">
        <f t="shared" ref="M135:M143" si="67">IF(D135=0,"",1-L135)</f>
        <v>0.99983307121366638</v>
      </c>
      <c r="N135" s="55">
        <f t="shared" ref="N135:N143" si="68">IF(D135=0,"",1/(1/10^E135*$J$20/$J$22+10^D135/10^E135*$J$21/$J$22+10^I135/10^E135*$J$13/$J$22+1))</f>
        <v>4.7914354970863571E-5</v>
      </c>
      <c r="O135" s="56">
        <f t="shared" ref="O135:O143" si="69">IF(D135=0,"",F135*K135*$J$7/$J$14)</f>
        <v>9.9336755005014468E-7</v>
      </c>
      <c r="P135" s="56">
        <f t="shared" ref="P135:P143" si="70">IF(D135=0,"",O135*10^J135)</f>
        <v>2.3848638764097057E-6</v>
      </c>
      <c r="Q135" s="56">
        <f t="shared" ref="Q135:Q143" si="71">IF(D135=0,"",F135*N135*$J$7/$J$22)</f>
        <v>1.3690773993060437E-5</v>
      </c>
      <c r="R135" s="9">
        <f t="shared" si="44"/>
        <v>1.4999999999999999E-4</v>
      </c>
      <c r="S135" s="9">
        <f t="shared" si="45"/>
        <v>2.50393179500454E-8</v>
      </c>
      <c r="T135" s="9">
        <f t="shared" si="40"/>
        <v>1.4891752362222922E-4</v>
      </c>
      <c r="U135" s="9">
        <f t="shared" si="41"/>
        <v>1.4997496068204995E-4</v>
      </c>
      <c r="V135" s="100">
        <f t="shared" si="46"/>
        <v>0.99294924262682416</v>
      </c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 t="s">
        <v>265</v>
      </c>
      <c r="C136" s="46" t="s">
        <v>266</v>
      </c>
      <c r="D136" s="47">
        <v>-0.16497034264114602</v>
      </c>
      <c r="E136" s="47">
        <v>-0.71214090995430623</v>
      </c>
      <c r="F136" s="96">
        <v>9.9999999999999995E-7</v>
      </c>
      <c r="G136" s="7"/>
      <c r="H136" s="7"/>
      <c r="I136" s="54">
        <f t="shared" si="63"/>
        <v>-7.9190837002413863E-5</v>
      </c>
      <c r="J136" s="54">
        <f t="shared" si="64"/>
        <v>-2.6530951628927751E-2</v>
      </c>
      <c r="K136" s="55">
        <f t="shared" si="65"/>
        <v>0.9995984285292685</v>
      </c>
      <c r="L136" s="55">
        <f t="shared" si="66"/>
        <v>6.5859385757178893E-5</v>
      </c>
      <c r="M136" s="55">
        <f t="shared" si="67"/>
        <v>0.99993414061424279</v>
      </c>
      <c r="N136" s="55">
        <f t="shared" si="68"/>
        <v>6.7916879228833518E-7</v>
      </c>
      <c r="O136" s="56">
        <f t="shared" si="69"/>
        <v>1.0001864970247243E-6</v>
      </c>
      <c r="P136" s="56">
        <f t="shared" si="70"/>
        <v>9.4091422734545562E-7</v>
      </c>
      <c r="Q136" s="56">
        <f t="shared" si="71"/>
        <v>1.940618097439415E-7</v>
      </c>
      <c r="R136" s="9">
        <f t="shared" si="44"/>
        <v>1.4999999999999999E-4</v>
      </c>
      <c r="S136" s="9">
        <f t="shared" si="45"/>
        <v>9.8789078635768329E-9</v>
      </c>
      <c r="T136" s="9">
        <f t="shared" si="40"/>
        <v>1.4993976427939027E-4</v>
      </c>
      <c r="U136" s="9">
        <f t="shared" si="41"/>
        <v>1.4999012109213642E-4</v>
      </c>
      <c r="V136" s="100">
        <f t="shared" si="46"/>
        <v>0.99966426580377776</v>
      </c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6" t="s">
        <v>267</v>
      </c>
      <c r="C137" s="46" t="s">
        <v>268</v>
      </c>
      <c r="D137" s="47">
        <v>-2.7256879443499291</v>
      </c>
      <c r="E137" s="47">
        <v>-4.3548518644977863</v>
      </c>
      <c r="F137" s="96">
        <v>9.9999999999999995E-7</v>
      </c>
      <c r="G137" s="7"/>
      <c r="H137" s="7"/>
      <c r="I137" s="54">
        <f t="shared" si="63"/>
        <v>-2.2462984868396082E-4</v>
      </c>
      <c r="J137" s="54">
        <f t="shared" si="64"/>
        <v>-5.0553856533599194E-2</v>
      </c>
      <c r="K137" s="55">
        <f t="shared" si="65"/>
        <v>0.99993675878626165</v>
      </c>
      <c r="L137" s="55">
        <f t="shared" si="66"/>
        <v>6.2336403226486618E-5</v>
      </c>
      <c r="M137" s="55">
        <f t="shared" si="67"/>
        <v>0.9999376635967735</v>
      </c>
      <c r="N137" s="55">
        <f t="shared" si="68"/>
        <v>1.5467272484762889E-10</v>
      </c>
      <c r="O137" s="56">
        <f t="shared" si="69"/>
        <v>1.0005250263230121E-6</v>
      </c>
      <c r="P137" s="56">
        <f t="shared" si="70"/>
        <v>8.9058238249589272E-7</v>
      </c>
      <c r="Q137" s="56">
        <f t="shared" si="71"/>
        <v>4.419530055381949E-11</v>
      </c>
      <c r="R137" s="9">
        <f t="shared" si="44"/>
        <v>1.4999999999999999E-4</v>
      </c>
      <c r="S137" s="9">
        <f t="shared" si="45"/>
        <v>9.3504604839729924E-9</v>
      </c>
      <c r="T137" s="9">
        <f t="shared" si="40"/>
        <v>1.4999051381793922E-4</v>
      </c>
      <c r="U137" s="9">
        <f t="shared" si="41"/>
        <v>1.4999064953951602E-4</v>
      </c>
      <c r="V137" s="100">
        <f t="shared" si="46"/>
        <v>0.99999909513308205</v>
      </c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6" t="s">
        <v>269</v>
      </c>
      <c r="C138" s="46" t="s">
        <v>270</v>
      </c>
      <c r="D138" s="47">
        <v>-0.21545001227559774</v>
      </c>
      <c r="E138" s="47">
        <v>-0.78395001746247006</v>
      </c>
      <c r="F138" s="96">
        <v>9.9999999999999995E-7</v>
      </c>
      <c r="G138" s="7"/>
      <c r="H138" s="7"/>
      <c r="I138" s="54">
        <f t="shared" si="63"/>
        <v>-9.5327662881748492E-5</v>
      </c>
      <c r="J138" s="54">
        <f t="shared" si="64"/>
        <v>-2.9301207680156056E-2</v>
      </c>
      <c r="K138" s="55">
        <f t="shared" si="65"/>
        <v>0.99963598689348898</v>
      </c>
      <c r="L138" s="55">
        <f t="shared" si="66"/>
        <v>6.5443081025473552E-5</v>
      </c>
      <c r="M138" s="55">
        <f t="shared" si="67"/>
        <v>0.99993455691897448</v>
      </c>
      <c r="N138" s="55">
        <f t="shared" si="68"/>
        <v>5.7568502437667147E-7</v>
      </c>
      <c r="O138" s="56">
        <f t="shared" si="69"/>
        <v>1.0002240774847086E-6</v>
      </c>
      <c r="P138" s="56">
        <f t="shared" si="70"/>
        <v>9.349666005877908E-7</v>
      </c>
      <c r="Q138" s="56">
        <f t="shared" si="71"/>
        <v>1.6449294923667937E-7</v>
      </c>
      <c r="R138" s="9">
        <f t="shared" si="44"/>
        <v>1.4999999999999999E-4</v>
      </c>
      <c r="S138" s="9">
        <f t="shared" si="45"/>
        <v>9.8164621538210327E-9</v>
      </c>
      <c r="T138" s="9">
        <f t="shared" si="40"/>
        <v>1.4994539803402335E-4</v>
      </c>
      <c r="U138" s="9">
        <f t="shared" si="41"/>
        <v>1.4999018353784615E-4</v>
      </c>
      <c r="V138" s="100">
        <f t="shared" si="46"/>
        <v>0.99970141043389338</v>
      </c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6" t="s">
        <v>271</v>
      </c>
      <c r="C139" s="46" t="s">
        <v>272</v>
      </c>
      <c r="D139" s="47">
        <v>1.0310160000000004</v>
      </c>
      <c r="E139" s="47">
        <v>0.78085199999999966</v>
      </c>
      <c r="F139" s="96">
        <v>9.9999999999999995E-7</v>
      </c>
      <c r="G139" s="7"/>
      <c r="H139" s="7"/>
      <c r="I139" s="54">
        <f t="shared" si="63"/>
        <v>2.1084810301724875E-3</v>
      </c>
      <c r="J139" s="54">
        <f t="shared" si="64"/>
        <v>0.26394098838273811</v>
      </c>
      <c r="K139" s="55">
        <f t="shared" si="65"/>
        <v>0.99451410210947078</v>
      </c>
      <c r="L139" s="55">
        <f t="shared" si="66"/>
        <v>1.2790131127135023E-4</v>
      </c>
      <c r="M139" s="55">
        <f t="shared" si="67"/>
        <v>0.99987209868872862</v>
      </c>
      <c r="N139" s="55">
        <f t="shared" si="68"/>
        <v>2.1025968669097428E-5</v>
      </c>
      <c r="O139" s="56">
        <f t="shared" si="69"/>
        <v>9.9509917947158485E-7</v>
      </c>
      <c r="P139" s="56">
        <f t="shared" si="70"/>
        <v>1.8272894909019898E-6</v>
      </c>
      <c r="Q139" s="56">
        <f t="shared" si="71"/>
        <v>6.0078401391155034E-6</v>
      </c>
      <c r="R139" s="9">
        <f t="shared" si="44"/>
        <v>1.4999999999999999E-4</v>
      </c>
      <c r="S139" s="9">
        <f t="shared" si="45"/>
        <v>1.9185196690702534E-8</v>
      </c>
      <c r="T139" s="9">
        <f t="shared" si="40"/>
        <v>1.491771153164206E-4</v>
      </c>
      <c r="U139" s="9">
        <f t="shared" si="41"/>
        <v>1.4998081480330927E-4</v>
      </c>
      <c r="V139" s="100">
        <f t="shared" si="46"/>
        <v>0.99464131803829259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6" t="s">
        <v>273</v>
      </c>
      <c r="C140" s="46" t="s">
        <v>274</v>
      </c>
      <c r="D140" s="47">
        <v>-1.8497486811018407</v>
      </c>
      <c r="E140" s="47">
        <v>-3.1087974195955765</v>
      </c>
      <c r="F140" s="96">
        <v>9.9999999999999995E-7</v>
      </c>
      <c r="G140" s="7"/>
      <c r="H140" s="7"/>
      <c r="I140" s="54">
        <f t="shared" si="63"/>
        <v>-2.2206215862113771E-4</v>
      </c>
      <c r="J140" s="54">
        <f t="shared" si="64"/>
        <v>-5.0177410945668542E-2</v>
      </c>
      <c r="K140" s="55">
        <f t="shared" si="65"/>
        <v>0.99993079316887201</v>
      </c>
      <c r="L140" s="55">
        <f t="shared" si="66"/>
        <v>6.2390087499568725E-5</v>
      </c>
      <c r="M140" s="55">
        <f t="shared" si="67"/>
        <v>0.99993760991250047</v>
      </c>
      <c r="N140" s="55">
        <f t="shared" si="68"/>
        <v>2.7256217765300468E-9</v>
      </c>
      <c r="O140" s="56">
        <f t="shared" si="69"/>
        <v>1.0005190571960214E-6</v>
      </c>
      <c r="P140" s="56">
        <f t="shared" si="70"/>
        <v>8.9134935436705308E-7</v>
      </c>
      <c r="Q140" s="56">
        <f t="shared" si="71"/>
        <v>7.7880359144411529E-10</v>
      </c>
      <c r="R140" s="9">
        <f t="shared" si="44"/>
        <v>1.4999999999999999E-4</v>
      </c>
      <c r="S140" s="9">
        <f t="shared" si="45"/>
        <v>9.3585131249353082E-9</v>
      </c>
      <c r="T140" s="9">
        <f t="shared" si="40"/>
        <v>1.4998961897533079E-4</v>
      </c>
      <c r="U140" s="9">
        <f t="shared" si="41"/>
        <v>1.4999064148687506E-4</v>
      </c>
      <c r="V140" s="100">
        <f t="shared" si="46"/>
        <v>0.99999318283104777</v>
      </c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6" t="s">
        <v>275</v>
      </c>
      <c r="C141" s="46" t="s">
        <v>276</v>
      </c>
      <c r="D141" s="47">
        <v>-1.4544244920654867</v>
      </c>
      <c r="E141" s="47">
        <v>-2.5464348408255515</v>
      </c>
      <c r="F141" s="96">
        <v>9.9999999999999995E-7</v>
      </c>
      <c r="G141" s="7"/>
      <c r="H141" s="7"/>
      <c r="I141" s="54">
        <f t="shared" si="63"/>
        <v>-2.1765065893421197E-4</v>
      </c>
      <c r="J141" s="54">
        <f t="shared" si="64"/>
        <v>-4.9513743875137496E-2</v>
      </c>
      <c r="K141" s="55">
        <f t="shared" si="65"/>
        <v>0.99992054129799024</v>
      </c>
      <c r="L141" s="55">
        <f t="shared" si="66"/>
        <v>6.2484861153218281E-5</v>
      </c>
      <c r="M141" s="55">
        <f t="shared" si="67"/>
        <v>0.99993751513884677</v>
      </c>
      <c r="N141" s="55">
        <f t="shared" si="68"/>
        <v>9.95001456572364E-9</v>
      </c>
      <c r="O141" s="56">
        <f t="shared" si="69"/>
        <v>1.0005087992939154E-6</v>
      </c>
      <c r="P141" s="56">
        <f t="shared" si="70"/>
        <v>8.9270335847855736E-7</v>
      </c>
      <c r="Q141" s="56">
        <f t="shared" si="71"/>
        <v>2.8430603047837823E-9</v>
      </c>
      <c r="R141" s="9">
        <f t="shared" si="44"/>
        <v>1.4999999999999999E-4</v>
      </c>
      <c r="S141" s="9">
        <f t="shared" si="45"/>
        <v>9.3727291729827413E-9</v>
      </c>
      <c r="T141" s="9">
        <f t="shared" si="40"/>
        <v>1.4998808119469852E-4</v>
      </c>
      <c r="U141" s="9">
        <f t="shared" si="41"/>
        <v>1.4999062727082702E-4</v>
      </c>
      <c r="V141" s="100">
        <f t="shared" si="46"/>
        <v>0.99998302509846915</v>
      </c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6" t="s">
        <v>277</v>
      </c>
      <c r="C142" s="46" t="s">
        <v>278</v>
      </c>
      <c r="D142" s="47">
        <v>2.3179513188981593</v>
      </c>
      <c r="E142" s="47">
        <v>2.8199025804044244</v>
      </c>
      <c r="F142" s="96">
        <v>9.9999999999999995E-7</v>
      </c>
      <c r="G142" s="7"/>
      <c r="H142" s="7"/>
      <c r="I142" s="54">
        <f t="shared" si="63"/>
        <v>5.0919667310397418E-2</v>
      </c>
      <c r="J142" s="54">
        <f t="shared" si="64"/>
        <v>1.6664622346062494</v>
      </c>
      <c r="K142" s="55">
        <f t="shared" si="65"/>
        <v>0.88634489975780817</v>
      </c>
      <c r="L142" s="55">
        <f t="shared" si="66"/>
        <v>2.8799705545201641E-3</v>
      </c>
      <c r="M142" s="55">
        <f t="shared" si="67"/>
        <v>0.99712002944547984</v>
      </c>
      <c r="N142" s="55">
        <f t="shared" si="68"/>
        <v>2.0502102365557882E-3</v>
      </c>
      <c r="O142" s="56">
        <f t="shared" si="69"/>
        <v>8.8686634066525566E-7</v>
      </c>
      <c r="P142" s="56">
        <f t="shared" si="70"/>
        <v>4.1145316463699735E-5</v>
      </c>
      <c r="Q142" s="56">
        <f t="shared" si="71"/>
        <v>5.858153575063849E-4</v>
      </c>
      <c r="R142" s="9">
        <f t="shared" si="44"/>
        <v>1.4999999999999999E-4</v>
      </c>
      <c r="S142" s="9">
        <f t="shared" si="45"/>
        <v>4.3199558317802459E-7</v>
      </c>
      <c r="T142" s="9">
        <f t="shared" si="40"/>
        <v>1.3295173496367122E-4</v>
      </c>
      <c r="U142" s="9">
        <f t="shared" si="41"/>
        <v>1.4956800441682196E-4</v>
      </c>
      <c r="V142" s="100">
        <f t="shared" si="46"/>
        <v>0.88890491975246333</v>
      </c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6" t="s">
        <v>96</v>
      </c>
      <c r="C143" s="46" t="s">
        <v>279</v>
      </c>
      <c r="D143" s="47">
        <v>3.46</v>
      </c>
      <c r="E143" s="47">
        <v>2.6247999825375303</v>
      </c>
      <c r="F143" s="96">
        <v>9.9999999999999995E-7</v>
      </c>
      <c r="G143" s="7"/>
      <c r="H143" s="7"/>
      <c r="I143" s="54">
        <f t="shared" si="63"/>
        <v>0.38018124000089604</v>
      </c>
      <c r="J143" s="54">
        <f t="shared" si="64"/>
        <v>2.2900502163435572</v>
      </c>
      <c r="K143" s="55">
        <f t="shared" si="65"/>
        <v>0.41412402562220296</v>
      </c>
      <c r="L143" s="55">
        <f t="shared" si="66"/>
        <v>5.655925837983489E-3</v>
      </c>
      <c r="M143" s="55">
        <f t="shared" si="67"/>
        <v>0.99434407416201653</v>
      </c>
      <c r="N143" s="55">
        <f t="shared" si="68"/>
        <v>6.112564808568498E-4</v>
      </c>
      <c r="O143" s="56">
        <f t="shared" si="69"/>
        <v>4.1436765675019309E-7</v>
      </c>
      <c r="P143" s="56">
        <f t="shared" si="70"/>
        <v>8.0804596468459267E-5</v>
      </c>
      <c r="Q143" s="56">
        <f t="shared" si="71"/>
        <v>1.7465693394585992E-4</v>
      </c>
      <c r="R143" s="9">
        <f t="shared" si="44"/>
        <v>1.4999999999999999E-4</v>
      </c>
      <c r="S143" s="9">
        <f t="shared" si="45"/>
        <v>8.4838887569752325E-7</v>
      </c>
      <c r="T143" s="9">
        <f t="shared" si="40"/>
        <v>6.2118603843330444E-5</v>
      </c>
      <c r="U143" s="9">
        <f t="shared" si="41"/>
        <v>1.4915161112430246E-4</v>
      </c>
      <c r="V143" s="100">
        <f t="shared" si="46"/>
        <v>0.41647960337190726</v>
      </c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2025-02-02T14:53:00Z</dcterms:modified>
</cp:coreProperties>
</file>