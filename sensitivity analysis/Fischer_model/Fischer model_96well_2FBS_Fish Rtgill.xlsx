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9B6679D5-3C89-437B-B26E-CCC6D9BDDCA2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S131" i="4"/>
  <c r="R131" i="4"/>
  <c r="V130" i="4"/>
  <c r="R130" i="4"/>
  <c r="U130" i="4" s="1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U121" i="4"/>
  <c r="T121" i="4"/>
  <c r="R121" i="4"/>
  <c r="S121" i="4" s="1"/>
  <c r="V120" i="4"/>
  <c r="R120" i="4"/>
  <c r="U120" i="4" s="1"/>
  <c r="V119" i="4"/>
  <c r="U119" i="4"/>
  <c r="T119" i="4"/>
  <c r="S119" i="4"/>
  <c r="R119" i="4"/>
  <c r="V116" i="4"/>
  <c r="R116" i="4"/>
  <c r="U116" i="4" s="1"/>
  <c r="V115" i="4"/>
  <c r="U115" i="4"/>
  <c r="T115" i="4"/>
  <c r="R115" i="4"/>
  <c r="S115" i="4" s="1"/>
  <c r="V114" i="4"/>
  <c r="U114" i="4"/>
  <c r="T114" i="4"/>
  <c r="S114" i="4"/>
  <c r="R114" i="4"/>
  <c r="V108" i="4"/>
  <c r="R108" i="4"/>
  <c r="U108" i="4" s="1"/>
  <c r="V107" i="4"/>
  <c r="U107" i="4"/>
  <c r="T107" i="4"/>
  <c r="S107" i="4"/>
  <c r="R107" i="4"/>
  <c r="V93" i="4"/>
  <c r="R93" i="4"/>
  <c r="U93" i="4" s="1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U89" i="4"/>
  <c r="T89" i="4"/>
  <c r="R89" i="4"/>
  <c r="S89" i="4" s="1"/>
  <c r="V88" i="4"/>
  <c r="R88" i="4"/>
  <c r="U88" i="4" s="1"/>
  <c r="V86" i="4"/>
  <c r="U86" i="4"/>
  <c r="T86" i="4"/>
  <c r="S86" i="4"/>
  <c r="R86" i="4"/>
  <c r="V85" i="4"/>
  <c r="R85" i="4"/>
  <c r="U85" i="4" s="1"/>
  <c r="V84" i="4"/>
  <c r="U84" i="4"/>
  <c r="T84" i="4"/>
  <c r="R84" i="4"/>
  <c r="S84" i="4" s="1"/>
  <c r="V83" i="4"/>
  <c r="U83" i="4"/>
  <c r="S83" i="4"/>
  <c r="R83" i="4"/>
  <c r="T83" i="4" s="1"/>
  <c r="V82" i="4"/>
  <c r="R82" i="4"/>
  <c r="S82" i="4" s="1"/>
  <c r="V81" i="4"/>
  <c r="U81" i="4"/>
  <c r="T81" i="4"/>
  <c r="S81" i="4"/>
  <c r="R81" i="4"/>
  <c r="V80" i="4"/>
  <c r="R80" i="4"/>
  <c r="S80" i="4" s="1"/>
  <c r="V79" i="4"/>
  <c r="U79" i="4"/>
  <c r="T79" i="4"/>
  <c r="S79" i="4"/>
  <c r="R79" i="4"/>
  <c r="V78" i="4"/>
  <c r="R78" i="4"/>
  <c r="U78" i="4" s="1"/>
  <c r="V77" i="4"/>
  <c r="U77" i="4"/>
  <c r="T77" i="4"/>
  <c r="S77" i="4"/>
  <c r="R77" i="4"/>
  <c r="V76" i="4"/>
  <c r="U76" i="4"/>
  <c r="T76" i="4"/>
  <c r="R76" i="4"/>
  <c r="S76" i="4" s="1"/>
  <c r="V75" i="4"/>
  <c r="R75" i="4"/>
  <c r="U75" i="4" s="1"/>
  <c r="V74" i="4"/>
  <c r="U74" i="4"/>
  <c r="T74" i="4"/>
  <c r="S74" i="4"/>
  <c r="R74" i="4"/>
  <c r="V73" i="4"/>
  <c r="R73" i="4"/>
  <c r="S73" i="4" s="1"/>
  <c r="V72" i="4"/>
  <c r="U72" i="4"/>
  <c r="T72" i="4"/>
  <c r="S72" i="4"/>
  <c r="R72" i="4"/>
  <c r="V71" i="4"/>
  <c r="U71" i="4"/>
  <c r="T71" i="4"/>
  <c r="S71" i="4"/>
  <c r="R71" i="4"/>
  <c r="V70" i="4"/>
  <c r="R70" i="4"/>
  <c r="T70" i="4" s="1"/>
  <c r="V69" i="4"/>
  <c r="U69" i="4"/>
  <c r="T69" i="4"/>
  <c r="S69" i="4"/>
  <c r="R69" i="4"/>
  <c r="V68" i="4"/>
  <c r="R68" i="4"/>
  <c r="T68" i="4" s="1"/>
  <c r="V65" i="4"/>
  <c r="U65" i="4"/>
  <c r="T65" i="4"/>
  <c r="S65" i="4"/>
  <c r="R65" i="4"/>
  <c r="V64" i="4"/>
  <c r="R64" i="4"/>
  <c r="U64" i="4" s="1"/>
  <c r="V63" i="4"/>
  <c r="U63" i="4"/>
  <c r="T63" i="4"/>
  <c r="S63" i="4"/>
  <c r="R63" i="4"/>
  <c r="V62" i="4"/>
  <c r="U62" i="4"/>
  <c r="T62" i="4"/>
  <c r="R62" i="4"/>
  <c r="S62" i="4" s="1"/>
  <c r="V61" i="4"/>
  <c r="R61" i="4"/>
  <c r="U61" i="4" s="1"/>
  <c r="V60" i="4"/>
  <c r="U60" i="4"/>
  <c r="T60" i="4"/>
  <c r="R60" i="4"/>
  <c r="S60" i="4" s="1"/>
  <c r="V58" i="4"/>
  <c r="R58" i="4"/>
  <c r="U58" i="4" s="1"/>
  <c r="V57" i="4"/>
  <c r="U57" i="4"/>
  <c r="T57" i="4"/>
  <c r="S57" i="4"/>
  <c r="R57" i="4"/>
  <c r="V49" i="4"/>
  <c r="U49" i="4"/>
  <c r="S49" i="4"/>
  <c r="R49" i="4"/>
  <c r="T49" i="4" s="1"/>
  <c r="V48" i="4"/>
  <c r="R48" i="4"/>
  <c r="S48" i="4" s="1"/>
  <c r="V47" i="4"/>
  <c r="U47" i="4"/>
  <c r="T47" i="4"/>
  <c r="S47" i="4"/>
  <c r="R47" i="4"/>
  <c r="V46" i="4"/>
  <c r="R46" i="4"/>
  <c r="S46" i="4" s="1"/>
  <c r="V45" i="4"/>
  <c r="U45" i="4"/>
  <c r="R45" i="4"/>
  <c r="T45" i="4" s="1"/>
  <c r="V44" i="4"/>
  <c r="R44" i="4"/>
  <c r="U44" i="4" s="1"/>
  <c r="V43" i="4"/>
  <c r="U43" i="4"/>
  <c r="T43" i="4"/>
  <c r="S43" i="4"/>
  <c r="R43" i="4"/>
  <c r="V42" i="4"/>
  <c r="U42" i="4"/>
  <c r="T42" i="4"/>
  <c r="R42" i="4"/>
  <c r="S42" i="4" s="1"/>
  <c r="V41" i="4"/>
  <c r="R41" i="4"/>
  <c r="T41" i="4" s="1"/>
  <c r="V40" i="4"/>
  <c r="U40" i="4"/>
  <c r="T40" i="4"/>
  <c r="S40" i="4"/>
  <c r="R40" i="4"/>
  <c r="V39" i="4"/>
  <c r="R39" i="4"/>
  <c r="S39" i="4" s="1"/>
  <c r="V38" i="4"/>
  <c r="U38" i="4"/>
  <c r="T38" i="4"/>
  <c r="R38" i="4"/>
  <c r="S38" i="4" s="1"/>
  <c r="V37" i="4"/>
  <c r="U37" i="4"/>
  <c r="S37" i="4"/>
  <c r="R37" i="4"/>
  <c r="T37" i="4" s="1"/>
  <c r="V36" i="4"/>
  <c r="R36" i="4"/>
  <c r="U36" i="4" s="1"/>
  <c r="V35" i="4"/>
  <c r="U35" i="4"/>
  <c r="T35" i="4"/>
  <c r="S35" i="4"/>
  <c r="R35" i="4"/>
  <c r="V34" i="4"/>
  <c r="R34" i="4"/>
  <c r="S34" i="4" s="1"/>
  <c r="V33" i="4"/>
  <c r="U33" i="4"/>
  <c r="R33" i="4"/>
  <c r="T33" i="4" s="1"/>
  <c r="V32" i="4"/>
  <c r="R32" i="4"/>
  <c r="U32" i="4" s="1"/>
  <c r="V31" i="4"/>
  <c r="U31" i="4"/>
  <c r="T31" i="4"/>
  <c r="S31" i="4"/>
  <c r="R31" i="4"/>
  <c r="V30" i="4"/>
  <c r="U30" i="4"/>
  <c r="T30" i="4"/>
  <c r="R30" i="4"/>
  <c r="S30" i="4" s="1"/>
  <c r="V29" i="4"/>
  <c r="R29" i="4"/>
  <c r="T29" i="4" s="1"/>
  <c r="V28" i="4"/>
  <c r="U28" i="4"/>
  <c r="T28" i="4"/>
  <c r="S28" i="4"/>
  <c r="R28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Q130" i="4" s="1"/>
  <c r="O130" i="4"/>
  <c r="P130" i="4" s="1"/>
  <c r="I131" i="4"/>
  <c r="L131" i="4" s="1"/>
  <c r="M131" i="4" s="1"/>
  <c r="J131" i="4"/>
  <c r="K131" i="4" s="1"/>
  <c r="O131" i="4" s="1"/>
  <c r="P131" i="4" s="1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36" i="4" l="1"/>
  <c r="S108" i="4"/>
  <c r="S29" i="4"/>
  <c r="S61" i="4"/>
  <c r="S75" i="4"/>
  <c r="T82" i="4"/>
  <c r="S88" i="4"/>
  <c r="T108" i="4"/>
  <c r="T61" i="4"/>
  <c r="U70" i="4"/>
  <c r="T75" i="4"/>
  <c r="U82" i="4"/>
  <c r="T88" i="4"/>
  <c r="S93" i="4"/>
  <c r="S130" i="4"/>
  <c r="U29" i="4"/>
  <c r="U41" i="4"/>
  <c r="T46" i="4"/>
  <c r="T80" i="4"/>
  <c r="S85" i="4"/>
  <c r="T93" i="4"/>
  <c r="S116" i="4"/>
  <c r="T130" i="4"/>
  <c r="S32" i="4"/>
  <c r="U34" i="4"/>
  <c r="T39" i="4"/>
  <c r="S44" i="4"/>
  <c r="U46" i="4"/>
  <c r="T58" i="4"/>
  <c r="S64" i="4"/>
  <c r="U68" i="4"/>
  <c r="T73" i="4"/>
  <c r="S78" i="4"/>
  <c r="U80" i="4"/>
  <c r="T85" i="4"/>
  <c r="S91" i="4"/>
  <c r="T116" i="4"/>
  <c r="S126" i="4"/>
  <c r="S70" i="4"/>
  <c r="S41" i="4"/>
  <c r="T48" i="4"/>
  <c r="S120" i="4"/>
  <c r="S68" i="4"/>
  <c r="T120" i="4"/>
  <c r="T34" i="4"/>
  <c r="S58" i="4"/>
  <c r="T32" i="4"/>
  <c r="U39" i="4"/>
  <c r="T44" i="4"/>
  <c r="T64" i="4"/>
  <c r="U73" i="4"/>
  <c r="T78" i="4"/>
  <c r="T91" i="4"/>
  <c r="T126" i="4"/>
  <c r="T36" i="4"/>
  <c r="U48" i="4"/>
  <c r="S33" i="4"/>
  <c r="S45" i="4"/>
  <c r="S92" i="4"/>
  <c r="S127" i="4"/>
  <c r="N131" i="4"/>
  <c r="Q131" i="4" s="1"/>
  <c r="O15" i="1" l="1"/>
  <c r="L15" i="1"/>
  <c r="N15" i="1"/>
  <c r="M8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5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/>
  <c r="J101" i="4"/>
  <c r="K101" i="4"/>
  <c r="J86" i="4"/>
  <c r="K86" i="4" s="1"/>
  <c r="J85" i="4"/>
  <c r="K85" i="4" s="1"/>
  <c r="J88" i="4"/>
  <c r="K88" i="4" s="1"/>
  <c r="J119" i="4"/>
  <c r="K119" i="4" s="1"/>
  <c r="O119" i="4" s="1"/>
  <c r="P119" i="4" s="1"/>
  <c r="J72" i="4"/>
  <c r="K72" i="4" s="1"/>
  <c r="J103" i="4"/>
  <c r="K103" i="4"/>
  <c r="J118" i="4"/>
  <c r="K118" i="4"/>
  <c r="J104" i="4"/>
  <c r="K104" i="4"/>
  <c r="J90" i="4"/>
  <c r="K90" i="4" s="1"/>
  <c r="J71" i="4"/>
  <c r="K71" i="4" s="1"/>
  <c r="O71" i="4" s="1"/>
  <c r="P71" i="4" s="1"/>
  <c r="J110" i="4"/>
  <c r="K110" i="4"/>
  <c r="J82" i="4"/>
  <c r="K82" i="4" s="1"/>
  <c r="J113" i="4"/>
  <c r="K113" i="4"/>
  <c r="J97" i="4"/>
  <c r="L97" i="4" s="1"/>
  <c r="K97" i="4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/>
  <c r="J78" i="4"/>
  <c r="K78" i="4" s="1"/>
  <c r="J115" i="4"/>
  <c r="K115" i="4"/>
  <c r="O115" i="4" s="1"/>
  <c r="P115" i="4" s="1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 s="1"/>
  <c r="J77" i="4"/>
  <c r="K77" i="4" s="1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 s="1"/>
  <c r="O126" i="4" s="1"/>
  <c r="P126" i="4" s="1"/>
  <c r="J94" i="4"/>
  <c r="K94" i="4"/>
  <c r="J121" i="4"/>
  <c r="K121" i="4"/>
  <c r="J105" i="4"/>
  <c r="K105" i="4"/>
  <c r="J89" i="4"/>
  <c r="K89" i="4" s="1"/>
  <c r="J73" i="4"/>
  <c r="K73" i="4" s="1"/>
  <c r="J124" i="4"/>
  <c r="K124" i="4"/>
  <c r="O124" i="4" s="1"/>
  <c r="P124" i="4" s="1"/>
  <c r="J108" i="4"/>
  <c r="K108" i="4" s="1"/>
  <c r="O108" i="4" s="1"/>
  <c r="P108" i="4" s="1"/>
  <c r="J92" i="4"/>
  <c r="K92" i="4" s="1"/>
  <c r="J76" i="4"/>
  <c r="K76" i="4" s="1"/>
  <c r="J98" i="4"/>
  <c r="K98" i="4"/>
  <c r="J123" i="4"/>
  <c r="K123" i="4"/>
  <c r="J107" i="4"/>
  <c r="K107" i="4" s="1"/>
  <c r="O107" i="4" s="1"/>
  <c r="P107" i="4" s="1"/>
  <c r="J91" i="4"/>
  <c r="K91" i="4" s="1"/>
  <c r="O91" i="4" s="1"/>
  <c r="P91" i="4" s="1"/>
  <c r="J75" i="4"/>
  <c r="K75" i="4"/>
  <c r="P100" i="4"/>
  <c r="O112" i="4"/>
  <c r="P112" i="4"/>
  <c r="O98" i="4"/>
  <c r="P98" i="4"/>
  <c r="O105" i="4"/>
  <c r="P105" i="4"/>
  <c r="O111" i="4"/>
  <c r="P111" i="4"/>
  <c r="O74" i="4"/>
  <c r="P74" i="4" s="1"/>
  <c r="O104" i="4"/>
  <c r="P104" i="4"/>
  <c r="O120" i="4"/>
  <c r="P120" i="4" s="1"/>
  <c r="O121" i="4"/>
  <c r="P121" i="4" s="1"/>
  <c r="O96" i="4"/>
  <c r="P96" i="4" s="1"/>
  <c r="O102" i="4"/>
  <c r="P102" i="4"/>
  <c r="O110" i="4"/>
  <c r="P110" i="4"/>
  <c r="O118" i="4"/>
  <c r="P118" i="4"/>
  <c r="O117" i="4"/>
  <c r="P117" i="4"/>
  <c r="O106" i="4"/>
  <c r="P106" i="4"/>
  <c r="O109" i="4"/>
  <c r="P109" i="4"/>
  <c r="O114" i="4"/>
  <c r="P114" i="4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I81" i="4"/>
  <c r="I89" i="4"/>
  <c r="I90" i="4"/>
  <c r="I96" i="4"/>
  <c r="L96" i="4" s="1"/>
  <c r="I99" i="4"/>
  <c r="I102" i="4"/>
  <c r="I104" i="4"/>
  <c r="I108" i="4"/>
  <c r="I111" i="4"/>
  <c r="I113" i="4"/>
  <c r="I115" i="4"/>
  <c r="I119" i="4"/>
  <c r="I120" i="4"/>
  <c r="I123" i="4"/>
  <c r="I125" i="4"/>
  <c r="I79" i="4"/>
  <c r="N79" i="4" s="1"/>
  <c r="Q79" i="4" s="1"/>
  <c r="I92" i="4"/>
  <c r="I100" i="4"/>
  <c r="I103" i="4"/>
  <c r="I107" i="4"/>
  <c r="I109" i="4"/>
  <c r="I110" i="4"/>
  <c r="I117" i="4"/>
  <c r="I124" i="4"/>
  <c r="I72" i="4"/>
  <c r="I106" i="4"/>
  <c r="I71" i="4"/>
  <c r="I75" i="4"/>
  <c r="N75" i="4" s="1"/>
  <c r="Q75" i="4" s="1"/>
  <c r="I80" i="4"/>
  <c r="I83" i="4"/>
  <c r="I86" i="4"/>
  <c r="I88" i="4"/>
  <c r="L88" i="4" s="1"/>
  <c r="I94" i="4"/>
  <c r="I95" i="4"/>
  <c r="I98" i="4"/>
  <c r="I101" i="4"/>
  <c r="I118" i="4"/>
  <c r="I127" i="4"/>
  <c r="I73" i="4"/>
  <c r="L73" i="4" s="1"/>
  <c r="I74" i="4"/>
  <c r="N74" i="4" s="1"/>
  <c r="Q74" i="4" s="1"/>
  <c r="I78" i="4"/>
  <c r="I82" i="4"/>
  <c r="I85" i="4"/>
  <c r="I93" i="4"/>
  <c r="L93" i="4" s="1"/>
  <c r="I112" i="4"/>
  <c r="I114" i="4"/>
  <c r="N114" i="4" s="1"/>
  <c r="Q114" i="4" s="1"/>
  <c r="I121" i="4"/>
  <c r="I122" i="4"/>
  <c r="I84" i="4"/>
  <c r="N84" i="4" s="1"/>
  <c r="Q84" i="4" s="1"/>
  <c r="I87" i="4"/>
  <c r="I91" i="4"/>
  <c r="I97" i="4"/>
  <c r="I105" i="4"/>
  <c r="I116" i="4"/>
  <c r="I126" i="4"/>
  <c r="L105" i="4"/>
  <c r="N105" i="4"/>
  <c r="Q105" i="4"/>
  <c r="N121" i="4"/>
  <c r="Q121" i="4" s="1"/>
  <c r="L121" i="4"/>
  <c r="M121" i="4" s="1"/>
  <c r="N85" i="4"/>
  <c r="Q85" i="4" s="1"/>
  <c r="L85" i="4"/>
  <c r="N101" i="4"/>
  <c r="Q101" i="4"/>
  <c r="L101" i="4"/>
  <c r="L106" i="4"/>
  <c r="N106" i="4"/>
  <c r="Q106" i="4"/>
  <c r="L124" i="4"/>
  <c r="M124" i="4" s="1"/>
  <c r="N124" i="4"/>
  <c r="Q124" i="4"/>
  <c r="N107" i="4"/>
  <c r="Q107" i="4" s="1"/>
  <c r="L107" i="4"/>
  <c r="M107" i="4" s="1"/>
  <c r="N119" i="4"/>
  <c r="Q119" i="4"/>
  <c r="L119" i="4"/>
  <c r="M119" i="4" s="1"/>
  <c r="N108" i="4"/>
  <c r="Q108" i="4" s="1"/>
  <c r="L108" i="4"/>
  <c r="M108" i="4" s="1"/>
  <c r="N77" i="4"/>
  <c r="Q77" i="4" s="1"/>
  <c r="L77" i="4"/>
  <c r="N97" i="4"/>
  <c r="Q97" i="4"/>
  <c r="L114" i="4"/>
  <c r="M114" i="4" s="1"/>
  <c r="L82" i="4"/>
  <c r="N82" i="4"/>
  <c r="Q82" i="4" s="1"/>
  <c r="N98" i="4"/>
  <c r="Q98" i="4"/>
  <c r="L98" i="4"/>
  <c r="N86" i="4"/>
  <c r="Q86" i="4" s="1"/>
  <c r="N71" i="4"/>
  <c r="Q71" i="4" s="1"/>
  <c r="L71" i="4"/>
  <c r="M71" i="4" s="1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 s="1"/>
  <c r="L115" i="4"/>
  <c r="L104" i="4"/>
  <c r="N104" i="4"/>
  <c r="Q104" i="4"/>
  <c r="N90" i="4"/>
  <c r="Q90" i="4" s="1"/>
  <c r="L90" i="4"/>
  <c r="N76" i="4"/>
  <c r="Q76" i="4" s="1"/>
  <c r="L76" i="4"/>
  <c r="N126" i="4"/>
  <c r="Q126" i="4"/>
  <c r="L126" i="4"/>
  <c r="M126" i="4" s="1"/>
  <c r="N91" i="4"/>
  <c r="Q91" i="4"/>
  <c r="L91" i="4"/>
  <c r="M91" i="4" s="1"/>
  <c r="L112" i="4"/>
  <c r="N112" i="4"/>
  <c r="Q112" i="4"/>
  <c r="L78" i="4"/>
  <c r="N78" i="4"/>
  <c r="Q78" i="4" s="1"/>
  <c r="L127" i="4"/>
  <c r="M127" i="4" s="1"/>
  <c r="N127" i="4"/>
  <c r="Q127" i="4"/>
  <c r="N95" i="4"/>
  <c r="Q95" i="4" s="1"/>
  <c r="L95" i="4"/>
  <c r="N83" i="4"/>
  <c r="Q83" i="4" s="1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116" i="4"/>
  <c r="Q116" i="4" s="1"/>
  <c r="L116" i="4"/>
  <c r="M116" i="4" s="1"/>
  <c r="N87" i="4"/>
  <c r="Q87" i="4" s="1"/>
  <c r="L87" i="4"/>
  <c r="N122" i="4"/>
  <c r="Q122" i="4"/>
  <c r="L122" i="4"/>
  <c r="N118" i="4"/>
  <c r="Q118" i="4"/>
  <c r="L118" i="4"/>
  <c r="L94" i="4"/>
  <c r="N94" i="4"/>
  <c r="Q94" i="4" s="1"/>
  <c r="L80" i="4"/>
  <c r="N80" i="4"/>
  <c r="Q80" i="4"/>
  <c r="N109" i="4"/>
  <c r="Q109" i="4"/>
  <c r="L109" i="4"/>
  <c r="L92" i="4"/>
  <c r="N92" i="4"/>
  <c r="Q92" i="4" s="1"/>
  <c r="N120" i="4"/>
  <c r="Q120" i="4" s="1"/>
  <c r="L120" i="4"/>
  <c r="M120" i="4" s="1"/>
  <c r="N111" i="4"/>
  <c r="Q111" i="4"/>
  <c r="L111" i="4"/>
  <c r="N99" i="4"/>
  <c r="Q99" i="4"/>
  <c r="L99" i="4"/>
  <c r="N81" i="4"/>
  <c r="Q81" i="4" s="1"/>
  <c r="O76" i="4" l="1"/>
  <c r="P76" i="4" s="1"/>
  <c r="O77" i="4"/>
  <c r="P77" i="4" s="1"/>
  <c r="M73" i="4"/>
  <c r="O78" i="4"/>
  <c r="P78" i="4" s="1"/>
  <c r="O72" i="4"/>
  <c r="P72" i="4" s="1"/>
  <c r="O82" i="4"/>
  <c r="P82" i="4" s="1"/>
  <c r="L86" i="4"/>
  <c r="O97" i="4"/>
  <c r="P97" i="4" s="1"/>
  <c r="M89" i="4"/>
  <c r="M78" i="4"/>
  <c r="M90" i="4"/>
  <c r="M77" i="4"/>
  <c r="M97" i="4"/>
  <c r="O94" i="4"/>
  <c r="P94" i="4" s="1"/>
  <c r="O80" i="4"/>
  <c r="P80" i="4" s="1"/>
  <c r="M76" i="4"/>
  <c r="O86" i="4"/>
  <c r="P86" i="4" s="1"/>
  <c r="M94" i="4"/>
  <c r="O92" i="4"/>
  <c r="P92" i="4" s="1"/>
  <c r="O81" i="4"/>
  <c r="P81" i="4" s="1"/>
  <c r="L81" i="4"/>
  <c r="M92" i="4"/>
  <c r="M83" i="4"/>
  <c r="O84" i="4"/>
  <c r="P84" i="4" s="1"/>
  <c r="O79" i="4"/>
  <c r="P79" i="4" s="1"/>
  <c r="O83" i="4"/>
  <c r="P83" i="4" s="1"/>
  <c r="M95" i="4"/>
  <c r="M82" i="4"/>
  <c r="M93" i="4"/>
  <c r="M88" i="4"/>
  <c r="O95" i="4"/>
  <c r="P95" i="4" s="1"/>
  <c r="M72" i="4"/>
  <c r="O75" i="4"/>
  <c r="P75" i="4" s="1"/>
  <c r="O73" i="4"/>
  <c r="P73" i="4" s="1"/>
  <c r="O87" i="4"/>
  <c r="P87" i="4" s="1"/>
  <c r="M85" i="4"/>
  <c r="N73" i="4"/>
  <c r="Q73" i="4" s="1"/>
  <c r="O89" i="4"/>
  <c r="P89" i="4" s="1"/>
  <c r="O93" i="4"/>
  <c r="P93" i="4" s="1"/>
  <c r="O88" i="4"/>
  <c r="P88" i="4" s="1"/>
  <c r="M96" i="4"/>
  <c r="M80" i="4"/>
  <c r="O90" i="4"/>
  <c r="P90" i="4" s="1"/>
  <c r="O85" i="4"/>
  <c r="P85" i="4" s="1"/>
  <c r="L79" i="4"/>
  <c r="L75" i="4"/>
  <c r="L74" i="4"/>
  <c r="N96" i="4"/>
  <c r="Q96" i="4" s="1"/>
  <c r="N93" i="4"/>
  <c r="Q93" i="4" s="1"/>
  <c r="N88" i="4"/>
  <c r="Q88" i="4" s="1"/>
  <c r="L84" i="4"/>
  <c r="J14" i="4"/>
  <c r="J13" i="4" s="1"/>
  <c r="K16" i="4" s="1"/>
  <c r="M84" i="4" l="1"/>
  <c r="M74" i="4"/>
  <c r="M86" i="4"/>
  <c r="M75" i="4"/>
  <c r="M81" i="4"/>
  <c r="M79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64" i="4"/>
  <c r="O65" i="4"/>
  <c r="P65" i="4" s="1"/>
  <c r="M58" i="4"/>
  <c r="M69" i="4"/>
  <c r="M66" i="4"/>
  <c r="M67" i="4"/>
  <c r="M68" i="4"/>
  <c r="M65" i="4"/>
  <c r="O68" i="4"/>
  <c r="P68" i="4" s="1"/>
  <c r="M57" i="4"/>
  <c r="O69" i="4"/>
  <c r="P69" i="4" s="1"/>
  <c r="O66" i="4"/>
  <c r="P66" i="4" s="1"/>
  <c r="O67" i="4"/>
  <c r="P67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K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O49" i="4"/>
  <c r="P49" i="4" s="1"/>
  <c r="M49" i="4"/>
  <c r="M48" i="4"/>
  <c r="M35" i="4"/>
  <c r="O43" i="4"/>
  <c r="P43" i="4" s="1"/>
  <c r="O28" i="4"/>
  <c r="P28" i="4" s="1"/>
  <c r="K35" i="4"/>
  <c r="O45" i="4"/>
  <c r="P45" i="4" s="1"/>
  <c r="O46" i="4"/>
  <c r="P46" i="4" s="1"/>
  <c r="M44" i="4"/>
  <c r="O47" i="4"/>
  <c r="P47" i="4" s="1"/>
  <c r="O31" i="4"/>
  <c r="P31" i="4" s="1"/>
  <c r="M43" i="4"/>
  <c r="O39" i="4"/>
  <c r="P39" i="4" s="1"/>
  <c r="M47" i="4"/>
  <c r="M45" i="4"/>
  <c r="M31" i="4"/>
  <c r="O33" i="4"/>
  <c r="P33" i="4" s="1"/>
  <c r="O41" i="4"/>
  <c r="P41" i="4" s="1"/>
  <c r="O30" i="4"/>
  <c r="P30" i="4" s="1"/>
  <c r="M39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29" i="4" l="1"/>
  <c r="P29" i="4" s="1"/>
  <c r="M46" i="4"/>
  <c r="O32" i="4"/>
  <c r="P32" i="4" s="1"/>
  <c r="O34" i="4"/>
  <c r="P34" i="4" s="1"/>
  <c r="O36" i="4"/>
  <c r="P36" i="4" s="1"/>
  <c r="O35" i="4"/>
  <c r="P35" i="4" s="1"/>
  <c r="O38" i="4"/>
  <c r="P38" i="4" s="1"/>
  <c r="O40" i="4"/>
  <c r="P40" i="4" s="1"/>
  <c r="O42" i="4"/>
  <c r="P42" i="4" s="1"/>
  <c r="M41" i="4"/>
  <c r="O44" i="4"/>
  <c r="P44" i="4" s="1"/>
  <c r="M33" i="4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<sst xmlns="http://schemas.openxmlformats.org/spreadsheetml/2006/main" count="318" uniqueCount="294">
  <si>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</si>
  <si>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</si>
  <si>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</si>
  <si>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</si>
  <si>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</si>
  <si>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</si>
  <si>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</si>
  <si>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</si>
  <si>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</si>
  <si>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</si>
  <si>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</si>
  <si>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</si>
  <si>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</si>
  <si>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</si>
  <si>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</si>
  <si>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</si>
  <si>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</si>
  <si>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</si>
  <si>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</si>
  <si>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</si>
  <si>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</si>
  <si>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</si>
  <si>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</si>
  <si>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</si>
  <si>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</si>
  <si>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</si>
  <si>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</si>
  <si>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</si>
  <si>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</si>
  <si>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</si>
  <si>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</si>
  <si>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</si>
  <si>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</si>
  <si>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</si>
  <si>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</si>
  <si>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</si>
  <si>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</si>
  <si>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</si>
  <si>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</si>
  <si>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</si>
  <si>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</si>
  <si>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</si>
  <si>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</si>
  <si>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</si>
  <si>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</si>
  <si>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</si>
  <si>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</si>
  <si>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</si>
  <si>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</si>
  <si>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</si>
  <si>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</si>
  <si>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</si>
  <si>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</si>
  <si>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</si>
  <si>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</si>
  <si>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</si>
  <si>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</si>
  <si>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</si>
  <si>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</si>
  <si>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</si>
  <si>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</si>
  <si>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</si>
  <si>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</si>
  <si>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</si>
  <si>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</si>
  <si>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</si>
  <si>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</si>
  <si>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</si>
  <si>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</si>
  <si>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</si>
  <si>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</si>
  <si>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</si>
  <si>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</si>
  <si>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</si>
  <si>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</si>
  <si>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</si>
  <si>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</si>
  <si>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</si>
  <si>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</si>
  <si>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</si>
  <si>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</si>
  <si>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</si>
  <si>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</si>
  <si>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</si>
  <si>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</si>
  <si>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</si>
  <si>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</si>
  <si>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</si>
  <si>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</si>
  <si>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</si>
  <si>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</si>
  <si>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</si>
  <si>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</si>
  <si>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</si>
  <si>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</si>
  <si>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</si>
  <si>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</si>
  <si>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</si>
  <si>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</si>
  <si>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</si>
  <si>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</si>
  <si>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</si>
  <si>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</si>
  <si>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</si>
  <si>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</si>
  <si>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</si>
  <si>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</si>
  <si>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</si>
  <si>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</si>
  <si>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</si>
  <si>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</si>
  <si>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Rtgill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</si>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</sst>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4.6725E-4</v>
      </c>
      <c r="M17" s="81">
        <v>3.15E-5</v>
      </c>
      <c r="N17" s="81">
        <v>2.6250000000000001E-5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11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150.01050000000001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149.931645</v>
      </c>
      <c r="K8" s="39">
        <f>J8/J7</f>
        <v>0.99947433679642417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7.263E-2</v>
      </c>
      <c r="K9" s="39">
        <f>J9/J7</f>
        <v>4.8416610837241392E-4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6.2249999999999996E-3</v>
      </c>
      <c r="K10" s="39">
        <f>J10/J7</f>
        <v>4.149709520333576E-5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150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1.0499999999999999E-2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9.3449999999999991E-3</v>
      </c>
      <c r="K20" s="39">
        <f>J20/J19</f>
        <v>0.89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6.3000000000000003E-4</v>
      </c>
      <c r="K21" s="39">
        <f>J21/J19</f>
        <v>6.0000000000000012E-2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5.2500000000000008E-4</v>
      </c>
      <c r="K22" s="39">
        <f>J22/J19</f>
        <v>5.000000000000001E-2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0.87654628857053851</v>
      </c>
      <c r="K28" s="95">
        <f t="shared" ref="K28:K47" si="3">IF(D28=0,"",1/(1+10^D28*$J$15/$J$14+10^E28*$J$16/$J$14+10^J28*$J$19/$J$14))</f>
        <v>0.97588767968914836</v>
      </c>
      <c r="L28" s="95">
        <f t="shared" ref="L28:L47" si="4">IF(D28=0,"",1/(1+10^I28/10^J28*$J$13/$J$19))</f>
        <v>5.1436236748109274E-4</v>
      </c>
      <c r="M28" s="95">
        <f t="shared" ref="M28:M47" si="5">IF(D28=0,"",1-L28)</f>
        <v>0.99948563763251885</v>
      </c>
      <c r="N28" s="95">
        <f t="shared" ref="N28:N47" si="6">IF(D28=0,"",1/(1/10^E28*$J$20/$J$22+10^D28/10^E28*$J$21/$J$22+10^I28/10^E28*$J$13/$J$22+1))</f>
        <v>2.729844457992637E-4</v>
      </c>
      <c r="O28" s="40">
        <f t="shared" ref="O28:O47" si="7">IF(D28=0,"",F28*K28*$J$7/$J$14)</f>
        <v>9.7646179903862863E-7</v>
      </c>
      <c r="P28" s="40">
        <f t="shared" ref="P28:P47" si="8">IF(D28=0,"",O28*10^J28)</f>
        <v>7.3485481835259516E-6</v>
      </c>
      <c r="Q28" s="40">
        <f t="shared" ref="Q28:Q47" si="9">IF(D28=0,"",F28*N28*$J$7/$J$22)</f>
        <v>7.800101563156275E-5</v>
      </c>
      <c r="R28" s="9">
        <f>F28*$C$14</f>
        <v>1.4999999999999999E-4</v>
      </c>
      <c r="S28" s="9">
        <f>$R28*L28</f>
        <v>7.7154355122163904E-8</v>
      </c>
      <c r="T28" s="9">
        <f t="shared" ref="T28:T49" si="10">R28*K28</f>
        <v>1.4638315195337223E-4</v>
      </c>
      <c r="U28" s="9">
        <f t="shared" ref="U28:U49" si="11">$R28*M28</f>
        <v>1.499228456448778E-4</v>
      </c>
      <c r="V28" s="102">
        <f>K28/M28</f>
        <v>0.9763898979086213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4.5743714574945757</v>
      </c>
      <c r="K29" s="95">
        <f t="shared" si="3"/>
        <v>1.7864963667680079E-2</v>
      </c>
      <c r="L29" s="95">
        <f t="shared" si="4"/>
        <v>4.6956601551526908E-2</v>
      </c>
      <c r="M29" s="95">
        <f t="shared" si="5"/>
        <v>0.95304339844847308</v>
      </c>
      <c r="N29" s="95">
        <f t="shared" si="6"/>
        <v>4.2842736666444406E-2</v>
      </c>
      <c r="O29" s="40">
        <f t="shared" si="7"/>
        <v>1.7875473710518869E-8</v>
      </c>
      <c r="P29" s="40">
        <f t="shared" si="8"/>
        <v>6.7085555019479341E-4</v>
      </c>
      <c r="Q29" s="40">
        <f t="shared" si="9"/>
        <v>1.2241638759431728E-2</v>
      </c>
      <c r="R29" s="9">
        <f>F29*$C$14</f>
        <v>1.4999999999999999E-4</v>
      </c>
      <c r="S29" s="9">
        <f t="shared" ref="S29:S49" si="12">$R29*L29</f>
        <v>7.0434902327290359E-6</v>
      </c>
      <c r="T29" s="9">
        <f t="shared" si="10"/>
        <v>2.6797445501520115E-6</v>
      </c>
      <c r="U29" s="9">
        <f t="shared" si="11"/>
        <v>1.4295650976727095E-4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8.0025110320676838</v>
      </c>
      <c r="K30" s="95">
        <f t="shared" si="3"/>
        <v>1.1164872033168764E-5</v>
      </c>
      <c r="L30" s="95">
        <f t="shared" si="4"/>
        <v>7.8648029257507066E-2</v>
      </c>
      <c r="M30" s="95">
        <f t="shared" si="5"/>
        <v>0.92135197074249298</v>
      </c>
      <c r="N30" s="95">
        <f t="shared" si="6"/>
        <v>7.7995907746086626E-2</v>
      </c>
      <c r="O30" s="40">
        <f t="shared" si="7"/>
        <v>1.1171440380328095E-11</v>
      </c>
      <c r="P30" s="40">
        <f t="shared" si="8"/>
        <v>1.1236219231365036E-3</v>
      </c>
      <c r="Q30" s="40">
        <f t="shared" si="9"/>
        <v>2.2286104988465383E-2</v>
      </c>
      <c r="R30" s="9">
        <f t="shared" ref="R30:R49" si="14">F30*$C$14</f>
        <v>1.4999999999999999E-4</v>
      </c>
      <c r="S30" s="9">
        <f t="shared" si="12"/>
        <v>1.1797204388626059E-5</v>
      </c>
      <c r="T30" s="9">
        <f t="shared" si="10"/>
        <v>1.6747308049753145E-9</v>
      </c>
      <c r="U30" s="9">
        <f t="shared" si="11"/>
        <v>1.3820279561137393E-4</v>
      </c>
      <c r="V30" s="102">
        <f t="shared" si="13"/>
        <v>1.2117922778383261E-5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3.0509801020444232</v>
      </c>
      <c r="K31" s="95">
        <f t="shared" si="3"/>
        <v>0.34378730610152347</v>
      </c>
      <c r="L31" s="95">
        <f t="shared" si="4"/>
        <v>2.7076529708375156E-2</v>
      </c>
      <c r="M31" s="95">
        <f t="shared" si="5"/>
        <v>0.97292347029162485</v>
      </c>
      <c r="N31" s="95">
        <f t="shared" si="6"/>
        <v>2.3812330632369084E-2</v>
      </c>
      <c r="O31" s="40">
        <f t="shared" si="7"/>
        <v>3.4398955780389296E-7</v>
      </c>
      <c r="P31" s="40">
        <f t="shared" si="8"/>
        <v>3.8683464379221059E-4</v>
      </c>
      <c r="Q31" s="40">
        <f t="shared" si="9"/>
        <v>6.8039992844323846E-3</v>
      </c>
      <c r="R31" s="9">
        <f t="shared" si="14"/>
        <v>1.4999999999999999E-4</v>
      </c>
      <c r="S31" s="9">
        <f t="shared" si="12"/>
        <v>4.0614794562562732E-6</v>
      </c>
      <c r="T31" s="9">
        <f t="shared" si="10"/>
        <v>5.1568095915228517E-5</v>
      </c>
      <c r="U31" s="9">
        <f t="shared" si="11"/>
        <v>1.4593852054374371E-4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2.9114243406645759</v>
      </c>
      <c r="J32" s="94">
        <f t="shared" si="2"/>
        <v>5.7767955088211638</v>
      </c>
      <c r="K32" s="95">
        <f t="shared" si="3"/>
        <v>1.1657536842860886E-3</v>
      </c>
      <c r="L32" s="95">
        <f t="shared" si="4"/>
        <v>4.8834345147774398E-2</v>
      </c>
      <c r="M32" s="95">
        <f t="shared" si="5"/>
        <v>0.95116565485222559</v>
      </c>
      <c r="N32" s="95">
        <f t="shared" si="6"/>
        <v>4.4775440164044632E-2</v>
      </c>
      <c r="O32" s="40">
        <f t="shared" si="7"/>
        <v>1.1664395027063906E-9</v>
      </c>
      <c r="P32" s="40">
        <f t="shared" si="8"/>
        <v>6.9768233645621091E-4</v>
      </c>
      <c r="Q32" s="40">
        <f t="shared" si="9"/>
        <v>1.2793878412816031E-2</v>
      </c>
      <c r="R32" s="9">
        <f t="shared" si="14"/>
        <v>1.4999999999999999E-4</v>
      </c>
      <c r="S32" s="9">
        <f t="shared" si="12"/>
        <v>7.3251517721661588E-6</v>
      </c>
      <c r="T32" s="9">
        <f t="shared" si="10"/>
        <v>1.7486305264291328E-7</v>
      </c>
      <c r="U32" s="9">
        <f t="shared" si="11"/>
        <v>1.4267484822783383E-4</v>
      </c>
      <c r="V32" s="102">
        <f t="shared" si="13"/>
        <v>1.2256053173694563E-3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5.2786655449069544</v>
      </c>
      <c r="K33" s="95">
        <f t="shared" si="3"/>
        <v>3.2695063098724794E-3</v>
      </c>
      <c r="L33" s="95">
        <f t="shared" si="4"/>
        <v>4.3498150103520414E-2</v>
      </c>
      <c r="M33" s="95">
        <f t="shared" si="5"/>
        <v>0.95650184989647957</v>
      </c>
      <c r="N33" s="95">
        <f t="shared" si="6"/>
        <v>3.8847694255611291E-2</v>
      </c>
      <c r="O33" s="40">
        <f t="shared" si="7"/>
        <v>3.271429775938106E-9</v>
      </c>
      <c r="P33" s="40">
        <f t="shared" si="8"/>
        <v>6.2144564248610998E-4</v>
      </c>
      <c r="Q33" s="40">
        <f t="shared" si="9"/>
        <v>1.110011816977405E-2</v>
      </c>
      <c r="R33" s="9">
        <f t="shared" si="14"/>
        <v>1.4999999999999999E-4</v>
      </c>
      <c r="S33" s="9">
        <f t="shared" si="12"/>
        <v>6.5247225155280615E-6</v>
      </c>
      <c r="T33" s="9">
        <f t="shared" si="10"/>
        <v>4.9042594648087182E-7</v>
      </c>
      <c r="U33" s="9">
        <f t="shared" si="11"/>
        <v>1.4347527748447193E-4</v>
      </c>
      <c r="V33" s="102">
        <f t="shared" si="13"/>
        <v>3.4181913084918047E-3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5.3078721995446587</v>
      </c>
      <c r="K34" s="95">
        <f t="shared" si="3"/>
        <v>3.3074719969775506E-3</v>
      </c>
      <c r="L34" s="95">
        <f t="shared" si="4"/>
        <v>4.7064282072772266E-2</v>
      </c>
      <c r="M34" s="95">
        <f t="shared" si="5"/>
        <v>0.95293571792722775</v>
      </c>
      <c r="N34" s="95">
        <f t="shared" si="6"/>
        <v>4.2823015202856377E-2</v>
      </c>
      <c r="O34" s="40">
        <f t="shared" si="7"/>
        <v>3.3094177984369294E-9</v>
      </c>
      <c r="P34" s="40">
        <f t="shared" si="8"/>
        <v>6.7239395103596241E-4</v>
      </c>
      <c r="Q34" s="40">
        <f t="shared" si="9"/>
        <v>1.2236003661120164E-2</v>
      </c>
      <c r="R34" s="9">
        <f t="shared" si="14"/>
        <v>1.4999999999999999E-4</v>
      </c>
      <c r="S34" s="9">
        <f t="shared" si="12"/>
        <v>7.0596423109158396E-6</v>
      </c>
      <c r="T34" s="9">
        <f t="shared" si="10"/>
        <v>4.9612079954663257E-7</v>
      </c>
      <c r="U34" s="9">
        <f t="shared" si="11"/>
        <v>1.4294035768908415E-4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2.0837828896743456</v>
      </c>
      <c r="K35" s="95">
        <f t="shared" si="3"/>
        <v>0.75306167138244173</v>
      </c>
      <c r="L35" s="95">
        <f t="shared" si="4"/>
        <v>6.3964129868990405E-3</v>
      </c>
      <c r="M35" s="95">
        <f t="shared" si="5"/>
        <v>0.99360358701310092</v>
      </c>
      <c r="N35" s="95">
        <f t="shared" si="6"/>
        <v>4.6903106829326805E-3</v>
      </c>
      <c r="O35" s="40">
        <f t="shared" si="7"/>
        <v>7.5350470113462633E-7</v>
      </c>
      <c r="P35" s="40">
        <f t="shared" si="8"/>
        <v>9.1383724797258929E-5</v>
      </c>
      <c r="Q35" s="40">
        <f t="shared" si="9"/>
        <v>1.3401825727658529E-3</v>
      </c>
      <c r="R35" s="9">
        <f t="shared" si="14"/>
        <v>1.4999999999999999E-4</v>
      </c>
      <c r="S35" s="9">
        <f t="shared" si="12"/>
        <v>9.5946194803485595E-7</v>
      </c>
      <c r="T35" s="9">
        <f t="shared" si="10"/>
        <v>1.1295925070736624E-4</v>
      </c>
      <c r="U35" s="9">
        <f t="shared" si="11"/>
        <v>1.4904053805196512E-4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8.4483031900032319</v>
      </c>
      <c r="K36" s="95">
        <f t="shared" si="3"/>
        <v>4.0205004973271736E-6</v>
      </c>
      <c r="L36" s="95">
        <f t="shared" si="4"/>
        <v>7.9050818863839731E-2</v>
      </c>
      <c r="M36" s="95">
        <f t="shared" si="5"/>
        <v>0.92094918113616031</v>
      </c>
      <c r="N36" s="95">
        <f t="shared" si="6"/>
        <v>7.8444804925602907E-2</v>
      </c>
      <c r="O36" s="40">
        <f t="shared" si="7"/>
        <v>4.0228657768343863E-12</v>
      </c>
      <c r="P36" s="40">
        <f t="shared" si="8"/>
        <v>1.1293764631594338E-3</v>
      </c>
      <c r="Q36" s="40">
        <f t="shared" si="9"/>
        <v>2.2414370303413627E-2</v>
      </c>
      <c r="R36" s="9">
        <f t="shared" si="14"/>
        <v>1.4999999999999999E-4</v>
      </c>
      <c r="S36" s="9">
        <f t="shared" si="12"/>
        <v>1.1857622829575959E-5</v>
      </c>
      <c r="T36" s="9">
        <f t="shared" si="10"/>
        <v>6.0307507459907593E-10</v>
      </c>
      <c r="U36" s="9">
        <f t="shared" si="11"/>
        <v>1.3814237717042402E-4</v>
      </c>
      <c r="V36" s="102">
        <f t="shared" si="13"/>
        <v>4.3656051600666457E-6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3.8585870053842997</v>
      </c>
      <c r="K37" s="95">
        <f t="shared" si="3"/>
        <v>7.9709952493722147E-2</v>
      </c>
      <c r="L37" s="95">
        <f t="shared" si="4"/>
        <v>4.0310911509438142E-2</v>
      </c>
      <c r="M37" s="95">
        <f t="shared" si="5"/>
        <v>0.95968908849056189</v>
      </c>
      <c r="N37" s="95">
        <f t="shared" si="6"/>
        <v>3.6028868028442532E-2</v>
      </c>
      <c r="O37" s="40">
        <f t="shared" si="7"/>
        <v>7.9756846236747338E-8</v>
      </c>
      <c r="P37" s="40">
        <f t="shared" si="8"/>
        <v>5.7591047533205454E-4</v>
      </c>
      <c r="Q37" s="40">
        <f t="shared" si="9"/>
        <v>1.0294682871201291E-2</v>
      </c>
      <c r="R37" s="9">
        <f t="shared" si="14"/>
        <v>1.4999999999999999E-4</v>
      </c>
      <c r="S37" s="9">
        <f t="shared" si="12"/>
        <v>6.0466367264157207E-6</v>
      </c>
      <c r="T37" s="9">
        <f t="shared" si="10"/>
        <v>1.1956492874058321E-5</v>
      </c>
      <c r="U37" s="9">
        <f t="shared" si="11"/>
        <v>1.4395336327358428E-4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2.3639081225718592</v>
      </c>
      <c r="K38" s="95">
        <f t="shared" si="3"/>
        <v>0.67348087231001064</v>
      </c>
      <c r="L38" s="95">
        <f t="shared" si="4"/>
        <v>1.0903262076677149E-2</v>
      </c>
      <c r="M38" s="95">
        <f t="shared" si="5"/>
        <v>0.98909673792332287</v>
      </c>
      <c r="N38" s="95">
        <f t="shared" si="6"/>
        <v>8.9498824848408699E-3</v>
      </c>
      <c r="O38" s="40">
        <f t="shared" si="7"/>
        <v>6.7387708430074011E-7</v>
      </c>
      <c r="P38" s="40">
        <f t="shared" si="8"/>
        <v>1.5577179007175026E-4</v>
      </c>
      <c r="Q38" s="40">
        <f t="shared" si="9"/>
        <v>2.5572882790328021E-3</v>
      </c>
      <c r="R38" s="9">
        <f t="shared" si="14"/>
        <v>1.4999999999999999E-4</v>
      </c>
      <c r="S38" s="9">
        <f t="shared" si="12"/>
        <v>1.6354893115015722E-6</v>
      </c>
      <c r="T38" s="9">
        <f t="shared" si="10"/>
        <v>1.0102213084650158E-4</v>
      </c>
      <c r="U38" s="9">
        <f t="shared" si="11"/>
        <v>1.4836451068849841E-4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-2.1315410513044985E-2</v>
      </c>
      <c r="K39" s="95">
        <f t="shared" si="3"/>
        <v>0.99945406703193618</v>
      </c>
      <c r="L39" s="95">
        <f t="shared" si="4"/>
        <v>6.6645448033155968E-5</v>
      </c>
      <c r="M39" s="95">
        <f t="shared" si="5"/>
        <v>0.99993335455196686</v>
      </c>
      <c r="N39" s="95">
        <f t="shared" si="6"/>
        <v>1.6952857314955213E-7</v>
      </c>
      <c r="O39" s="40">
        <f t="shared" si="7"/>
        <v>1.0000420505988386E-6</v>
      </c>
      <c r="P39" s="40">
        <f t="shared" si="8"/>
        <v>9.5214447449311847E-7</v>
      </c>
      <c r="Q39" s="40">
        <f t="shared" si="9"/>
        <v>4.8440125757049308E-8</v>
      </c>
      <c r="R39" s="9">
        <f t="shared" si="14"/>
        <v>1.4999999999999999E-4</v>
      </c>
      <c r="S39" s="9">
        <f t="shared" si="12"/>
        <v>9.9968172049733951E-9</v>
      </c>
      <c r="T39" s="9">
        <f t="shared" si="10"/>
        <v>1.4991811005479042E-4</v>
      </c>
      <c r="U39" s="9">
        <f t="shared" si="11"/>
        <v>1.49990003182795E-4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2.5889557991870298</v>
      </c>
      <c r="K40" s="95">
        <f t="shared" si="3"/>
        <v>0.48339978336831824</v>
      </c>
      <c r="L40" s="95">
        <f t="shared" si="4"/>
        <v>1.313969587812914E-2</v>
      </c>
      <c r="M40" s="95">
        <f t="shared" si="5"/>
        <v>0.98686030412187087</v>
      </c>
      <c r="N40" s="95">
        <f t="shared" si="6"/>
        <v>9.6179943723303345E-3</v>
      </c>
      <c r="O40" s="40">
        <f t="shared" si="7"/>
        <v>4.8368416975308607E-7</v>
      </c>
      <c r="P40" s="40">
        <f t="shared" si="8"/>
        <v>1.8772308081200869E-4</v>
      </c>
      <c r="Q40" s="40">
        <f t="shared" si="9"/>
        <v>2.7481907519818277E-3</v>
      </c>
      <c r="R40" s="9">
        <f t="shared" si="14"/>
        <v>1.4999999999999999E-4</v>
      </c>
      <c r="S40" s="9">
        <f t="shared" si="12"/>
        <v>1.970954381719371E-6</v>
      </c>
      <c r="T40" s="9">
        <f t="shared" si="10"/>
        <v>7.2509967505247731E-5</v>
      </c>
      <c r="U40" s="9">
        <f t="shared" si="11"/>
        <v>1.4802904561828063E-4</v>
      </c>
      <c r="V40" s="102">
        <f t="shared" si="13"/>
        <v>0.48983608049617272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2.6634845218157048</v>
      </c>
      <c r="K41" s="95">
        <f t="shared" si="3"/>
        <v>0.43254934561324249</v>
      </c>
      <c r="L41" s="95">
        <f t="shared" si="4"/>
        <v>1.395864441133275E-2</v>
      </c>
      <c r="M41" s="95">
        <f t="shared" si="5"/>
        <v>0.98604135558866723</v>
      </c>
      <c r="N41" s="95">
        <f t="shared" si="6"/>
        <v>1.0042682357578582E-2</v>
      </c>
      <c r="O41" s="40">
        <f t="shared" si="7"/>
        <v>4.3280381644435357E-7</v>
      </c>
      <c r="P41" s="40">
        <f t="shared" si="8"/>
        <v>1.994231645205935E-4</v>
      </c>
      <c r="Q41" s="40">
        <f t="shared" si="9"/>
        <v>2.8695386700981745E-3</v>
      </c>
      <c r="R41" s="9">
        <f t="shared" si="14"/>
        <v>1.4999999999999999E-4</v>
      </c>
      <c r="S41" s="9">
        <f t="shared" si="12"/>
        <v>2.0937966616999125E-6</v>
      </c>
      <c r="T41" s="9">
        <f t="shared" si="10"/>
        <v>6.4882401841986369E-5</v>
      </c>
      <c r="U41" s="9">
        <f t="shared" si="11"/>
        <v>1.4790620333830009E-4</v>
      </c>
      <c r="V41" s="102">
        <f t="shared" si="13"/>
        <v>0.43867262073912738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1.4796577057346771</v>
      </c>
      <c r="J42" s="94">
        <f t="shared" si="2"/>
        <v>4.3682400663002383</v>
      </c>
      <c r="K42" s="95">
        <f t="shared" si="3"/>
        <v>3.1420323260337071E-2</v>
      </c>
      <c r="L42" s="95">
        <f t="shared" si="4"/>
        <v>5.1377595833481393E-2</v>
      </c>
      <c r="M42" s="95">
        <f t="shared" si="5"/>
        <v>0.94862240416651855</v>
      </c>
      <c r="N42" s="95">
        <f t="shared" si="6"/>
        <v>4.7900684115922437E-2</v>
      </c>
      <c r="O42" s="40">
        <f t="shared" si="7"/>
        <v>3.1438807985501787E-8</v>
      </c>
      <c r="P42" s="40">
        <f t="shared" si="8"/>
        <v>7.3401703235985373E-4</v>
      </c>
      <c r="Q42" s="40">
        <f t="shared" si="9"/>
        <v>1.3686867761088727E-2</v>
      </c>
      <c r="R42" s="9">
        <f t="shared" si="14"/>
        <v>1.4999999999999999E-4</v>
      </c>
      <c r="S42" s="9">
        <f t="shared" si="12"/>
        <v>7.7066393750222078E-6</v>
      </c>
      <c r="T42" s="9">
        <f t="shared" si="10"/>
        <v>4.7130484890505599E-6</v>
      </c>
      <c r="U42" s="9">
        <f t="shared" si="11"/>
        <v>1.4229336062497776E-4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4.0532477704684826</v>
      </c>
      <c r="K43" s="95">
        <f t="shared" si="3"/>
        <v>5.3823958875892697E-2</v>
      </c>
      <c r="L43" s="95">
        <f t="shared" si="4"/>
        <v>4.2613427923876873E-2</v>
      </c>
      <c r="M43" s="95">
        <f t="shared" si="5"/>
        <v>0.9573865720761231</v>
      </c>
      <c r="N43" s="95">
        <f t="shared" si="6"/>
        <v>3.834685092581451E-2</v>
      </c>
      <c r="O43" s="40">
        <f t="shared" si="7"/>
        <v>5.3855623766124855E-8</v>
      </c>
      <c r="P43" s="40">
        <f t="shared" si="8"/>
        <v>6.0880586948330797E-4</v>
      </c>
      <c r="Q43" s="40">
        <f t="shared" si="9"/>
        <v>1.0957010058679802E-2</v>
      </c>
      <c r="R43" s="9">
        <f t="shared" si="14"/>
        <v>1.4999999999999999E-4</v>
      </c>
      <c r="S43" s="9">
        <f t="shared" si="12"/>
        <v>6.3920141885815306E-6</v>
      </c>
      <c r="T43" s="9">
        <f t="shared" si="10"/>
        <v>8.0735938313839044E-6</v>
      </c>
      <c r="U43" s="9">
        <f t="shared" si="11"/>
        <v>1.4360798581141844E-4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0.14841008082679891</v>
      </c>
      <c r="J44" s="94">
        <f t="shared" si="2"/>
        <v>2.3088898400463114</v>
      </c>
      <c r="K44" s="95">
        <f t="shared" si="3"/>
        <v>0.7030528032462301</v>
      </c>
      <c r="L44" s="95">
        <f t="shared" si="4"/>
        <v>1.002768878932586E-2</v>
      </c>
      <c r="M44" s="95">
        <f t="shared" si="5"/>
        <v>0.98997231121067419</v>
      </c>
      <c r="N44" s="95">
        <f t="shared" si="6"/>
        <v>8.2578123809257005E-3</v>
      </c>
      <c r="O44" s="40">
        <f t="shared" si="7"/>
        <v>7.0346641254415508E-7</v>
      </c>
      <c r="P44" s="40">
        <f t="shared" si="8"/>
        <v>1.4326272467915873E-4</v>
      </c>
      <c r="Q44" s="40">
        <f t="shared" si="9"/>
        <v>2.3595401222263894E-3</v>
      </c>
      <c r="R44" s="9">
        <f t="shared" si="14"/>
        <v>1.4999999999999999E-4</v>
      </c>
      <c r="S44" s="9">
        <f t="shared" si="12"/>
        <v>1.5041533183988788E-6</v>
      </c>
      <c r="T44" s="9">
        <f t="shared" si="10"/>
        <v>1.0545792048693451E-4</v>
      </c>
      <c r="U44" s="9">
        <f t="shared" si="11"/>
        <v>1.4849584668160111E-4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4.041572503575793</v>
      </c>
      <c r="K45" s="95">
        <f t="shared" si="3"/>
        <v>4.3616206164500571E-2</v>
      </c>
      <c r="L45" s="95">
        <f t="shared" si="4"/>
        <v>3.3615800169978324E-2</v>
      </c>
      <c r="M45" s="95">
        <f t="shared" si="5"/>
        <v>0.96638419983002166</v>
      </c>
      <c r="N45" s="95">
        <f t="shared" si="6"/>
        <v>2.8219736494447964E-2</v>
      </c>
      <c r="O45" s="40">
        <f t="shared" si="7"/>
        <v>4.3641865785408919E-8</v>
      </c>
      <c r="P45" s="40">
        <f t="shared" si="8"/>
        <v>4.8025933251414629E-4</v>
      </c>
      <c r="Q45" s="40">
        <f t="shared" si="9"/>
        <v>8.0633462502864486E-3</v>
      </c>
      <c r="R45" s="9">
        <f t="shared" si="14"/>
        <v>1.4999999999999999E-4</v>
      </c>
      <c r="S45" s="9">
        <f t="shared" si="12"/>
        <v>5.0423700254967486E-6</v>
      </c>
      <c r="T45" s="9">
        <f t="shared" si="10"/>
        <v>6.5424309246750846E-6</v>
      </c>
      <c r="U45" s="9">
        <f t="shared" si="11"/>
        <v>1.4495762997450323E-4</v>
      </c>
      <c r="V45" s="102">
        <f t="shared" si="13"/>
        <v>4.5133401572761925E-2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0.12747825886296762</v>
      </c>
      <c r="J46" s="94">
        <f t="shared" si="2"/>
        <v>2.21956631274778</v>
      </c>
      <c r="K46" s="95">
        <f t="shared" si="3"/>
        <v>0.73884743064595437</v>
      </c>
      <c r="L46" s="95">
        <f t="shared" si="4"/>
        <v>8.5791476646205917E-3</v>
      </c>
      <c r="M46" s="95">
        <f t="shared" si="5"/>
        <v>0.99142085233537935</v>
      </c>
      <c r="N46" s="95">
        <f t="shared" si="6"/>
        <v>6.9868245015585577E-3</v>
      </c>
      <c r="O46" s="40">
        <f t="shared" si="7"/>
        <v>7.3928209809291171E-7</v>
      </c>
      <c r="P46" s="40">
        <f t="shared" si="8"/>
        <v>1.2256783149938735E-4</v>
      </c>
      <c r="Q46" s="40">
        <f t="shared" si="9"/>
        <v>1.9963753083639046E-3</v>
      </c>
      <c r="R46" s="9">
        <f t="shared" si="14"/>
        <v>1.4999999999999999E-4</v>
      </c>
      <c r="S46" s="9">
        <f t="shared" si="12"/>
        <v>1.2868721496930887E-6</v>
      </c>
      <c r="T46" s="9">
        <f t="shared" si="10"/>
        <v>1.1082711459689315E-4</v>
      </c>
      <c r="U46" s="9">
        <f t="shared" si="11"/>
        <v>1.4871312785030689E-4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3.1296066711876311</v>
      </c>
      <c r="K47" s="95">
        <f t="shared" si="3"/>
        <v>0.19002473171579251</v>
      </c>
      <c r="L47" s="95">
        <f t="shared" si="4"/>
        <v>1.7936589217855205E-2</v>
      </c>
      <c r="M47" s="95">
        <f t="shared" si="5"/>
        <v>0.98206341078214476</v>
      </c>
      <c r="N47" s="95">
        <f t="shared" si="6"/>
        <v>1.2148515027288823E-2</v>
      </c>
      <c r="O47" s="40">
        <f t="shared" si="7"/>
        <v>1.9013652416653086E-7</v>
      </c>
      <c r="P47" s="40">
        <f t="shared" si="8"/>
        <v>2.5625492541572081E-4</v>
      </c>
      <c r="Q47" s="40">
        <f t="shared" si="9"/>
        <v>3.4712472638116373E-3</v>
      </c>
      <c r="R47" s="9">
        <f t="shared" si="14"/>
        <v>1.4999999999999999E-4</v>
      </c>
      <c r="S47" s="9">
        <f t="shared" si="12"/>
        <v>2.6904883826782806E-6</v>
      </c>
      <c r="T47" s="9">
        <f t="shared" si="10"/>
        <v>2.8503709757368873E-5</v>
      </c>
      <c r="U47" s="9">
        <f t="shared" si="11"/>
        <v>1.473095116173217E-4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1.2642800792666067</v>
      </c>
      <c r="K48" s="95">
        <f t="shared" ref="K48:K50" si="17">IF(D48=0,"",1/(1+10^D48*$J$15/$J$14+10^E48*$J$16/$J$14+10^J48*$J$19/$J$14))</f>
        <v>0.94345162318926079</v>
      </c>
      <c r="L48" s="95">
        <f t="shared" ref="L48:L50" si="18">IF(D48=0,"",1/(1+10^I48/10^J48*$J$13/$J$19))</f>
        <v>1.2142910054936766E-3</v>
      </c>
      <c r="M48" s="95">
        <f t="shared" ref="M48:M92" si="19">IF(D48=0,"",1-L48)</f>
        <v>0.99878570899450636</v>
      </c>
      <c r="N48" s="95">
        <f t="shared" ref="N48:N50" si="20">IF(D48=0,"",1/(1/10^E48*$J$20/$J$22+10^D48/10^E48*$J$21/$J$22+10^I48/10^E48*$J$13/$J$22+1))</f>
        <v>7.4177928871702926E-4</v>
      </c>
      <c r="O48" s="40">
        <f t="shared" ref="O48:O92" si="21">IF(D48=0,"",F48*K48*$J$7/$J$14)</f>
        <v>9.4400666025289503E-7</v>
      </c>
      <c r="P48" s="40">
        <f t="shared" ref="P48:P50" si="22">IF(D48=0,"",O48*10^J48)</f>
        <v>1.7348228655200877E-5</v>
      </c>
      <c r="Q48" s="40">
        <f t="shared" ref="Q48:Q50" si="23">IF(D48=0,"",F48*N48*$J$7/$J$22)</f>
        <v>2.1195177521921124E-4</v>
      </c>
      <c r="R48" s="9">
        <f t="shared" si="14"/>
        <v>1.4999999999999999E-4</v>
      </c>
      <c r="S48" s="9">
        <f t="shared" si="12"/>
        <v>1.8214365082405148E-7</v>
      </c>
      <c r="T48" s="9">
        <f t="shared" si="10"/>
        <v>1.4151774347838912E-4</v>
      </c>
      <c r="U48" s="9">
        <f t="shared" si="11"/>
        <v>1.4981785634917593E-4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0.79270412978539384</v>
      </c>
      <c r="K49" s="95">
        <f t="shared" si="17"/>
        <v>0.98309043345718317</v>
      </c>
      <c r="L49" s="95">
        <f t="shared" si="18"/>
        <v>4.2718959155136211E-4</v>
      </c>
      <c r="M49" s="95">
        <f t="shared" si="19"/>
        <v>0.99957281040844859</v>
      </c>
      <c r="N49" s="95">
        <f t="shared" si="20"/>
        <v>2.4496189732194383E-4</v>
      </c>
      <c r="O49" s="40">
        <f t="shared" si="21"/>
        <v>9.8366879022085968E-7</v>
      </c>
      <c r="P49" s="40">
        <f t="shared" si="22"/>
        <v>6.1031356403252994E-6</v>
      </c>
      <c r="Q49" s="40">
        <f t="shared" si="23"/>
        <v>6.999401275850181E-5</v>
      </c>
      <c r="R49" s="9">
        <f t="shared" si="14"/>
        <v>1.4999999999999999E-4</v>
      </c>
      <c r="S49" s="9">
        <f t="shared" si="12"/>
        <v>6.4078438732704305E-8</v>
      </c>
      <c r="T49" s="9">
        <f t="shared" si="10"/>
        <v>1.4746356501857747E-4</v>
      </c>
      <c r="U49" s="9">
        <f t="shared" si="11"/>
        <v>1.4993592156126729E-4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8.6629514448579737E-3</v>
      </c>
      <c r="K57" s="55">
        <f t="shared" si="26"/>
        <v>0.99932496221908862</v>
      </c>
      <c r="L57" s="55">
        <f t="shared" si="27"/>
        <v>7.1399102082739762E-5</v>
      </c>
      <c r="M57" s="55">
        <f t="shared" si="28"/>
        <v>0.99992860089791724</v>
      </c>
      <c r="N57" s="55">
        <f t="shared" si="29"/>
        <v>4.2287869250777686E-6</v>
      </c>
      <c r="O57" s="56">
        <f t="shared" si="30"/>
        <v>9.9991286983301724E-7</v>
      </c>
      <c r="P57" s="56">
        <f t="shared" si="31"/>
        <v>1.0200585717126507E-6</v>
      </c>
      <c r="Q57" s="56">
        <f t="shared" si="32"/>
        <v>1.2083094114750066E-6</v>
      </c>
      <c r="R57" s="9">
        <f t="shared" ref="R57:R58" si="33">F57*$C$14</f>
        <v>1.4999999999999999E-4</v>
      </c>
      <c r="S57" s="9">
        <f t="shared" ref="S57:S58" si="34">$R57*L57</f>
        <v>1.0709865312410963E-8</v>
      </c>
      <c r="T57" s="9">
        <f t="shared" ref="T57:T58" si="35">R57*K57</f>
        <v>1.4989874433286328E-4</v>
      </c>
      <c r="U57" s="9">
        <f t="shared" ref="U57:U58" si="36">$R57*M57</f>
        <v>1.4998929013468757E-4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1.4682817666499364</v>
      </c>
      <c r="K58" s="55">
        <f t="shared" si="26"/>
        <v>0.91753673958605708</v>
      </c>
      <c r="L58" s="55">
        <f t="shared" si="27"/>
        <v>1.888984057379059E-3</v>
      </c>
      <c r="M58" s="55">
        <f t="shared" si="28"/>
        <v>0.99811101594262097</v>
      </c>
      <c r="N58" s="55">
        <f t="shared" si="29"/>
        <v>1.2450463810406022E-3</v>
      </c>
      <c r="O58" s="56">
        <f t="shared" si="30"/>
        <v>9.1807653080078297E-7</v>
      </c>
      <c r="P58" s="56">
        <f t="shared" si="31"/>
        <v>2.6987375518043938E-5</v>
      </c>
      <c r="Q58" s="56">
        <f t="shared" si="32"/>
        <v>3.5575243836779278E-4</v>
      </c>
      <c r="R58" s="9">
        <f t="shared" si="33"/>
        <v>1.4999999999999999E-4</v>
      </c>
      <c r="S58" s="9">
        <f t="shared" si="34"/>
        <v>2.8334760860685883E-7</v>
      </c>
      <c r="T58" s="9">
        <f t="shared" si="35"/>
        <v>1.3763051093790854E-4</v>
      </c>
      <c r="U58" s="9">
        <f t="shared" si="36"/>
        <v>1.4971665239139312E-4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1.5210188025338833</v>
      </c>
      <c r="K60" s="55">
        <f t="shared" si="26"/>
        <v>0.88723085618458419</v>
      </c>
      <c r="L60" s="55">
        <f t="shared" si="27"/>
        <v>2.0624266065515794E-3</v>
      </c>
      <c r="M60" s="55">
        <f t="shared" si="28"/>
        <v>0.99793757339344846</v>
      </c>
      <c r="N60" s="55">
        <f t="shared" si="29"/>
        <v>1.1474471841024395E-3</v>
      </c>
      <c r="O60" s="56">
        <f t="shared" si="30"/>
        <v>8.877528183043987E-7</v>
      </c>
      <c r="P60" s="56">
        <f t="shared" si="31"/>
        <v>2.9465299663057694E-5</v>
      </c>
      <c r="Q60" s="56">
        <f t="shared" si="32"/>
        <v>3.2786500154437898E-4</v>
      </c>
      <c r="R60" s="9">
        <f>F60*$C$14</f>
        <v>1.4999999999999999E-4</v>
      </c>
      <c r="S60" s="9">
        <f t="shared" ref="S60:S93" si="38">$R60*L60</f>
        <v>3.0936399098273687E-7</v>
      </c>
      <c r="T60" s="9">
        <f t="shared" ref="T60:T93" si="39">R60*K60</f>
        <v>1.3308462842768763E-4</v>
      </c>
      <c r="U60" s="9">
        <f t="shared" ref="U60:U93" si="40">$R60*M60</f>
        <v>1.4969063600901725E-4</v>
      </c>
      <c r="V60" s="102">
        <f t="shared" ref="V60:V93" si="41">K60/M60</f>
        <v>0.88906448643635061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2.5091055968760121</v>
      </c>
      <c r="K61" s="55">
        <f t="shared" si="26"/>
        <v>0.48270804182418442</v>
      </c>
      <c r="L61" s="55">
        <f t="shared" si="27"/>
        <v>1.0917248448910845E-2</v>
      </c>
      <c r="M61" s="55">
        <f t="shared" si="28"/>
        <v>0.98908275155108916</v>
      </c>
      <c r="N61" s="55">
        <f t="shared" si="29"/>
        <v>7.1341231403945476E-3</v>
      </c>
      <c r="O61" s="56">
        <f t="shared" si="30"/>
        <v>4.8299202125412178E-7</v>
      </c>
      <c r="P61" s="56">
        <f t="shared" si="31"/>
        <v>1.5597160937574672E-4</v>
      </c>
      <c r="Q61" s="56">
        <f t="shared" si="32"/>
        <v>2.0384635797183926E-3</v>
      </c>
      <c r="R61" s="9">
        <f>F61*$C$14</f>
        <v>1.4999999999999999E-4</v>
      </c>
      <c r="S61" s="9">
        <f t="shared" si="38"/>
        <v>1.6375872673366266E-6</v>
      </c>
      <c r="T61" s="9">
        <f t="shared" si="39"/>
        <v>7.2406206273627652E-5</v>
      </c>
      <c r="U61" s="9">
        <f t="shared" si="40"/>
        <v>1.4836241273266337E-4</v>
      </c>
      <c r="V61" s="102">
        <f t="shared" si="41"/>
        <v>0.4880360526631336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2.2508102103882899</v>
      </c>
      <c r="K62" s="55">
        <f t="shared" si="26"/>
        <v>0.66671728765914162</v>
      </c>
      <c r="L62" s="55">
        <f t="shared" si="27"/>
        <v>8.3190740400166923E-3</v>
      </c>
      <c r="M62" s="55">
        <f t="shared" si="28"/>
        <v>0.99168092595998336</v>
      </c>
      <c r="N62" s="55">
        <f t="shared" si="29"/>
        <v>6.0045129180241619E-3</v>
      </c>
      <c r="O62" s="56">
        <f t="shared" si="30"/>
        <v>6.6710952060094907E-7</v>
      </c>
      <c r="P62" s="56">
        <f t="shared" si="31"/>
        <v>1.1885223393142137E-4</v>
      </c>
      <c r="Q62" s="56">
        <f t="shared" si="32"/>
        <v>1.7156952096938349E-3</v>
      </c>
      <c r="R62" s="9">
        <f>F62*$C$14</f>
        <v>1.4999999999999999E-4</v>
      </c>
      <c r="S62" s="9">
        <f t="shared" si="38"/>
        <v>1.2478611060025037E-6</v>
      </c>
      <c r="T62" s="9">
        <f t="shared" si="39"/>
        <v>1.0000759314887124E-4</v>
      </c>
      <c r="U62" s="9">
        <f t="shared" si="40"/>
        <v>1.487521388939975E-4</v>
      </c>
      <c r="V62" s="102">
        <f t="shared" si="41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2.1782102693561023</v>
      </c>
      <c r="K63" s="55">
        <f t="shared" si="26"/>
        <v>0.69565552666028052</v>
      </c>
      <c r="L63" s="55">
        <f t="shared" si="27"/>
        <v>7.3439138220178562E-3</v>
      </c>
      <c r="M63" s="55">
        <f t="shared" si="28"/>
        <v>0.99265608617798218</v>
      </c>
      <c r="N63" s="55">
        <f t="shared" si="29"/>
        <v>5.1953559397947572E-3</v>
      </c>
      <c r="O63" s="56">
        <f t="shared" si="30"/>
        <v>6.9606478410531324E-7</v>
      </c>
      <c r="P63" s="56">
        <f t="shared" si="31"/>
        <v>1.0492039851407713E-4</v>
      </c>
      <c r="Q63" s="56">
        <f t="shared" si="32"/>
        <v>1.4844913184887264E-3</v>
      </c>
      <c r="R63" s="9">
        <f>F63*$C$14</f>
        <v>1.4999999999999999E-4</v>
      </c>
      <c r="S63" s="9">
        <f t="shared" si="38"/>
        <v>1.1015870733026783E-6</v>
      </c>
      <c r="T63" s="9">
        <f t="shared" si="39"/>
        <v>1.0434832899904206E-4</v>
      </c>
      <c r="U63" s="9">
        <f t="shared" si="40"/>
        <v>1.4889841292669732E-4</v>
      </c>
      <c r="V63" s="102">
        <f t="shared" si="41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1.4306562944149122</v>
      </c>
      <c r="K64" s="55">
        <f t="shared" si="26"/>
        <v>0.93130176845030055</v>
      </c>
      <c r="L64" s="55">
        <f t="shared" si="27"/>
        <v>1.7582061097683778E-3</v>
      </c>
      <c r="M64" s="55">
        <f t="shared" si="28"/>
        <v>0.9982417938902316</v>
      </c>
      <c r="N64" s="55">
        <f t="shared" si="29"/>
        <v>1.2314151569131312E-3</v>
      </c>
      <c r="O64" s="56">
        <f t="shared" si="30"/>
        <v>9.3184965769677899E-7</v>
      </c>
      <c r="P64" s="56">
        <f t="shared" si="31"/>
        <v>2.5118988345658023E-5</v>
      </c>
      <c r="Q64" s="56">
        <f t="shared" si="32"/>
        <v>3.5185753027831856E-4</v>
      </c>
      <c r="R64" s="9">
        <f>F64*$C$14</f>
        <v>1.4999999999999999E-4</v>
      </c>
      <c r="S64" s="9">
        <f t="shared" si="38"/>
        <v>2.6373091646525665E-7</v>
      </c>
      <c r="T64" s="9">
        <f t="shared" si="39"/>
        <v>1.3969526526754508E-4</v>
      </c>
      <c r="U64" s="9">
        <f t="shared" si="40"/>
        <v>1.4973626908353473E-4</v>
      </c>
      <c r="V64" s="102">
        <f t="shared" si="41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2.9136453532291715</v>
      </c>
      <c r="K65" s="55">
        <f t="shared" si="26"/>
        <v>0.34726690088966661</v>
      </c>
      <c r="L65" s="55">
        <f t="shared" si="27"/>
        <v>1.993571458678221E-2</v>
      </c>
      <c r="M65" s="55">
        <f t="shared" si="28"/>
        <v>0.98006428541321777</v>
      </c>
      <c r="N65" s="55">
        <f t="shared" si="29"/>
        <v>1.5886288985280123E-2</v>
      </c>
      <c r="O65" s="56">
        <f t="shared" si="30"/>
        <v>3.4747119965414971E-7</v>
      </c>
      <c r="P65" s="56">
        <f t="shared" si="31"/>
        <v>2.8481585838290415E-4</v>
      </c>
      <c r="Q65" s="56">
        <f t="shared" si="32"/>
        <v>4.5392574358597403E-3</v>
      </c>
      <c r="R65" s="9">
        <f>F65*$C$14</f>
        <v>1.4999999999999999E-4</v>
      </c>
      <c r="S65" s="9">
        <f t="shared" si="38"/>
        <v>2.990357188017331E-6</v>
      </c>
      <c r="T65" s="9">
        <f t="shared" si="39"/>
        <v>5.2090035133449987E-5</v>
      </c>
      <c r="U65" s="9">
        <f t="shared" si="40"/>
        <v>1.4700964281198265E-4</v>
      </c>
      <c r="V65" s="102">
        <f t="shared" si="41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1.4630863314519811</v>
      </c>
      <c r="K68" s="55">
        <f t="shared" si="26"/>
        <v>0.89378278898346231</v>
      </c>
      <c r="L68" s="55">
        <f t="shared" si="27"/>
        <v>1.8181988626476367E-3</v>
      </c>
      <c r="M68" s="55">
        <f t="shared" si="28"/>
        <v>0.99818180113735233</v>
      </c>
      <c r="N68" s="55">
        <f t="shared" si="29"/>
        <v>9.3811710494673092E-4</v>
      </c>
      <c r="O68" s="56">
        <f t="shared" si="30"/>
        <v>8.9430860563641083E-7</v>
      </c>
      <c r="P68" s="56">
        <f t="shared" si="31"/>
        <v>2.5976087665257466E-5</v>
      </c>
      <c r="Q68" s="56">
        <f t="shared" si="32"/>
        <v>2.6805222089830774E-4</v>
      </c>
      <c r="R68" s="9">
        <f>F68*$C$14</f>
        <v>1.4999999999999999E-4</v>
      </c>
      <c r="S68" s="9">
        <f t="shared" si="38"/>
        <v>2.7272982939714548E-7</v>
      </c>
      <c r="T68" s="9">
        <f t="shared" si="39"/>
        <v>1.3406741834751933E-4</v>
      </c>
      <c r="U68" s="9">
        <f t="shared" si="40"/>
        <v>1.4972727017060285E-4</v>
      </c>
      <c r="V68" s="102">
        <f t="shared" si="41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3.8581605774828258</v>
      </c>
      <c r="K69" s="55">
        <f t="shared" si="26"/>
        <v>6.1396389636620127E-2</v>
      </c>
      <c r="L69" s="55">
        <f t="shared" si="27"/>
        <v>3.101890579971946E-2</v>
      </c>
      <c r="M69" s="55">
        <f t="shared" si="28"/>
        <v>0.96898109420028056</v>
      </c>
      <c r="N69" s="55">
        <f t="shared" si="29"/>
        <v>2.5495815090981998E-2</v>
      </c>
      <c r="O69" s="56">
        <f t="shared" si="30"/>
        <v>6.1432509423776206E-8</v>
      </c>
      <c r="P69" s="56">
        <f t="shared" si="31"/>
        <v>4.4315824461607796E-4</v>
      </c>
      <c r="Q69" s="56">
        <f t="shared" si="32"/>
        <v>7.2850285137252462E-3</v>
      </c>
      <c r="R69" s="9">
        <f>F69*$C$14</f>
        <v>1.4999999999999999E-4</v>
      </c>
      <c r="S69" s="9">
        <f t="shared" si="38"/>
        <v>4.652835869957919E-6</v>
      </c>
      <c r="T69" s="9">
        <f t="shared" si="39"/>
        <v>9.2094584454930185E-6</v>
      </c>
      <c r="U69" s="9">
        <f t="shared" si="40"/>
        <v>1.4534716413004207E-4</v>
      </c>
      <c r="V69" s="102">
        <f t="shared" si="41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0.63617430590334978</v>
      </c>
      <c r="K70" s="55">
        <f t="shared" si="26"/>
        <v>0.98405139489347315</v>
      </c>
      <c r="L70" s="55">
        <f t="shared" si="27"/>
        <v>2.9820515727490378E-4</v>
      </c>
      <c r="M70" s="55">
        <f t="shared" si="28"/>
        <v>0.99970179484272514</v>
      </c>
      <c r="N70" s="55">
        <f t="shared" si="29"/>
        <v>1.1041545043358739E-4</v>
      </c>
      <c r="O70" s="56">
        <f t="shared" si="30"/>
        <v>9.8463031699531933E-7</v>
      </c>
      <c r="P70" s="56">
        <f t="shared" si="31"/>
        <v>4.260371880513044E-6</v>
      </c>
      <c r="Q70" s="56">
        <f t="shared" si="32"/>
        <v>3.1549479861462204E-5</v>
      </c>
      <c r="R70" s="9">
        <f t="shared" ref="R70:R86" si="42">F70*$C$14</f>
        <v>1.4999999999999999E-4</v>
      </c>
      <c r="S70" s="9">
        <f t="shared" si="38"/>
        <v>4.4730773591235564E-8</v>
      </c>
      <c r="T70" s="9">
        <f t="shared" si="39"/>
        <v>1.4760770923402097E-4</v>
      </c>
      <c r="U70" s="9">
        <f t="shared" si="40"/>
        <v>1.4995526922640876E-4</v>
      </c>
      <c r="V70" s="102">
        <f t="shared" si="41"/>
        <v>0.98434493162862213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3">IF(D71=0,"",LOG($K$15*10^D71+$K$16*10^E71+$K$14))</f>
        <v>2.8589842167479149E-2</v>
      </c>
      <c r="J71" s="54">
        <f t="shared" ref="J71:J122" si="44">IF(D71=0,"",LOG($K$21*10^D71+$K$22*10^E71+$K$20))</f>
        <v>1.3625600825731248</v>
      </c>
      <c r="K71" s="55">
        <f t="shared" ref="K71:K122" si="45">IF(D71=0,"",1/(1+10^D71*$J$15/$J$14+10^E71*$J$16/$J$14+10^J71*$J$19/$J$14))</f>
        <v>0.93439328178776859</v>
      </c>
      <c r="L71" s="55">
        <f t="shared" ref="L71:L122" si="46">IF(D71=0,"",1/(1+10^I71/10^J71*$J$13/$J$19))</f>
        <v>1.5080399705671365E-3</v>
      </c>
      <c r="M71" s="55">
        <f t="shared" si="19"/>
        <v>0.99849196002943286</v>
      </c>
      <c r="N71" s="55">
        <f t="shared" ref="N71:N122" si="47">IF(D71=0,"",1/(1/10^E71*$J$20/$J$22+10^D71/10^E71*$J$21/$J$22+10^I71/10^E71*$J$13/$J$22+1))</f>
        <v>9.8224714330373748E-4</v>
      </c>
      <c r="O71" s="56">
        <f t="shared" si="21"/>
        <v>9.3494298978620298E-7</v>
      </c>
      <c r="P71" s="56">
        <f t="shared" ref="P71:P122" si="48">IF(D71=0,"",O71*10^J71)</f>
        <v>2.1544936190929659E-5</v>
      </c>
      <c r="Q71" s="56">
        <f t="shared" ref="Q71:Q122" si="49">IF(D71=0,"",F71*N71*$J$7/$J$22)</f>
        <v>2.8066168588679102E-4</v>
      </c>
      <c r="R71" s="9">
        <f t="shared" si="42"/>
        <v>1.4999999999999999E-4</v>
      </c>
      <c r="S71" s="9">
        <f t="shared" si="38"/>
        <v>2.2620599558507045E-7</v>
      </c>
      <c r="T71" s="9">
        <f t="shared" si="39"/>
        <v>1.4015899226816527E-4</v>
      </c>
      <c r="U71" s="9">
        <f t="shared" si="40"/>
        <v>1.4977379400441491E-4</v>
      </c>
      <c r="V71" s="102">
        <f t="shared" si="41"/>
        <v>0.9358045123971005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3"/>
        <v>4.5043006346732313E-2</v>
      </c>
      <c r="J72" s="54">
        <f t="shared" si="44"/>
        <v>1.4662062884307068</v>
      </c>
      <c r="K72" s="55">
        <f t="shared" si="45"/>
        <v>0.89935457384403816</v>
      </c>
      <c r="L72" s="55">
        <f t="shared" si="46"/>
        <v>1.8427240286190275E-3</v>
      </c>
      <c r="M72" s="55">
        <f t="shared" si="19"/>
        <v>0.99815727597138093</v>
      </c>
      <c r="N72" s="55">
        <f t="shared" si="47"/>
        <v>1.0189409464985309E-3</v>
      </c>
      <c r="O72" s="56">
        <f t="shared" si="21"/>
        <v>8.9988366840444076E-7</v>
      </c>
      <c r="P72" s="56">
        <f t="shared" si="48"/>
        <v>2.6326471704300442E-5</v>
      </c>
      <c r="Q72" s="56">
        <f t="shared" si="49"/>
        <v>2.9114636353279593E-4</v>
      </c>
      <c r="R72" s="9">
        <f t="shared" si="42"/>
        <v>1.4999999999999999E-4</v>
      </c>
      <c r="S72" s="9">
        <f t="shared" si="38"/>
        <v>2.7640860429285411E-7</v>
      </c>
      <c r="T72" s="9">
        <f t="shared" si="39"/>
        <v>1.3490318607660572E-4</v>
      </c>
      <c r="U72" s="9">
        <f t="shared" si="40"/>
        <v>1.4972359139570713E-4</v>
      </c>
      <c r="V72" s="102">
        <f t="shared" si="41"/>
        <v>0.90101489564238213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3"/>
        <v>2.829962486439805</v>
      </c>
      <c r="J73" s="54">
        <f t="shared" si="44"/>
        <v>5.7902923462368587</v>
      </c>
      <c r="K73" s="55">
        <f t="shared" si="45"/>
        <v>1.3896840198033072E-3</v>
      </c>
      <c r="L73" s="55">
        <f t="shared" si="46"/>
        <v>6.0052552642121358E-2</v>
      </c>
      <c r="M73" s="55">
        <f t="shared" si="19"/>
        <v>0.93994744735787861</v>
      </c>
      <c r="N73" s="55">
        <f t="shared" si="47"/>
        <v>5.7281862531191573E-2</v>
      </c>
      <c r="O73" s="56">
        <f t="shared" si="21"/>
        <v>1.3905015775018392E-9</v>
      </c>
      <c r="P73" s="56">
        <f t="shared" si="48"/>
        <v>8.5795366172580485E-4</v>
      </c>
      <c r="Q73" s="56">
        <f t="shared" si="49"/>
        <v>1.6367392074733929E-2</v>
      </c>
      <c r="R73" s="9">
        <f t="shared" si="42"/>
        <v>1.4999999999999999E-4</v>
      </c>
      <c r="S73" s="9">
        <f t="shared" si="38"/>
        <v>9.0078828963182027E-6</v>
      </c>
      <c r="T73" s="9">
        <f t="shared" si="39"/>
        <v>2.0845260297049605E-7</v>
      </c>
      <c r="U73" s="9">
        <f t="shared" si="40"/>
        <v>1.4099211710368178E-4</v>
      </c>
      <c r="V73" s="102">
        <f t="shared" si="41"/>
        <v>1.4784699120249799E-3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3"/>
        <v>3.957220636313619E-3</v>
      </c>
      <c r="J74" s="54">
        <f t="shared" si="44"/>
        <v>0.50735979747220028</v>
      </c>
      <c r="K74" s="55">
        <f t="shared" si="45"/>
        <v>0.99019533512452207</v>
      </c>
      <c r="L74" s="55">
        <f t="shared" si="46"/>
        <v>2.2305077488101244E-4</v>
      </c>
      <c r="M74" s="55">
        <f t="shared" si="19"/>
        <v>0.99977694922511895</v>
      </c>
      <c r="N74" s="55">
        <f t="shared" si="47"/>
        <v>8.5624873559703773E-5</v>
      </c>
      <c r="O74" s="56">
        <f t="shared" si="21"/>
        <v>9.9077787173553989E-7</v>
      </c>
      <c r="P74" s="56">
        <f t="shared" si="48"/>
        <v>3.1866626919322019E-6</v>
      </c>
      <c r="Q74" s="56">
        <f t="shared" si="49"/>
        <v>2.4465962085957986E-5</v>
      </c>
      <c r="R74" s="9">
        <f t="shared" si="42"/>
        <v>1.4999999999999999E-4</v>
      </c>
      <c r="S74" s="9">
        <f t="shared" si="38"/>
        <v>3.3457616232151863E-8</v>
      </c>
      <c r="T74" s="9">
        <f t="shared" si="39"/>
        <v>1.485293002686783E-4</v>
      </c>
      <c r="U74" s="9">
        <f t="shared" si="40"/>
        <v>1.4996654238376783E-4</v>
      </c>
      <c r="V74" s="102">
        <f t="shared" si="41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3"/>
        <v>4.1980440605165602E-3</v>
      </c>
      <c r="J75" s="54">
        <f t="shared" si="44"/>
        <v>0.50980800632319279</v>
      </c>
      <c r="K75" s="55">
        <f t="shared" si="45"/>
        <v>0.98964528293876808</v>
      </c>
      <c r="L75" s="55">
        <f t="shared" si="46"/>
        <v>2.2418710464431317E-4</v>
      </c>
      <c r="M75" s="55">
        <f t="shared" si="19"/>
        <v>0.99977581289535566</v>
      </c>
      <c r="N75" s="55">
        <f t="shared" si="47"/>
        <v>8.1611174150539762E-5</v>
      </c>
      <c r="O75" s="56">
        <f t="shared" si="21"/>
        <v>9.9022749595147673E-7</v>
      </c>
      <c r="P75" s="56">
        <f t="shared" si="48"/>
        <v>3.2028971105948337E-6</v>
      </c>
      <c r="Q75" s="56">
        <f t="shared" si="49"/>
        <v>2.3319110552208652E-5</v>
      </c>
      <c r="R75" s="9">
        <f t="shared" si="42"/>
        <v>1.4999999999999999E-4</v>
      </c>
      <c r="S75" s="9">
        <f t="shared" si="38"/>
        <v>3.3628065696646972E-8</v>
      </c>
      <c r="T75" s="9">
        <f t="shared" si="39"/>
        <v>1.4844679244081519E-4</v>
      </c>
      <c r="U75" s="9">
        <f t="shared" si="40"/>
        <v>1.4996637193430334E-4</v>
      </c>
      <c r="V75" s="102">
        <f t="shared" si="41"/>
        <v>0.98986719839995974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3"/>
        <v>0.35626551305621779</v>
      </c>
      <c r="J76" s="54">
        <f t="shared" si="44"/>
        <v>2.6948578399819088</v>
      </c>
      <c r="K76" s="55">
        <f t="shared" si="45"/>
        <v>0.43344115632308744</v>
      </c>
      <c r="L76" s="55">
        <f t="shared" si="46"/>
        <v>1.5035263686861745E-2</v>
      </c>
      <c r="M76" s="55">
        <f t="shared" si="19"/>
        <v>0.9849647363131383</v>
      </c>
      <c r="N76" s="55">
        <f t="shared" si="47"/>
        <v>1.125128727393097E-2</v>
      </c>
      <c r="O76" s="56">
        <f t="shared" si="21"/>
        <v>4.3369615181066801E-7</v>
      </c>
      <c r="P76" s="56">
        <f t="shared" si="48"/>
        <v>2.1480451650456901E-4</v>
      </c>
      <c r="Q76" s="56">
        <f t="shared" si="49"/>
        <v>3.2148785325828979E-3</v>
      </c>
      <c r="R76" s="9">
        <f t="shared" si="42"/>
        <v>1.4999999999999999E-4</v>
      </c>
      <c r="S76" s="9">
        <f t="shared" si="38"/>
        <v>2.2552895530292615E-6</v>
      </c>
      <c r="T76" s="9">
        <f t="shared" si="39"/>
        <v>6.5016173448463114E-5</v>
      </c>
      <c r="U76" s="9">
        <f t="shared" si="40"/>
        <v>1.4774471044697073E-4</v>
      </c>
      <c r="V76" s="102">
        <f t="shared" si="41"/>
        <v>0.4400575374358261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3"/>
        <v>2.1004549420906745E-4</v>
      </c>
      <c r="J77" s="54">
        <f t="shared" si="44"/>
        <v>3.5001380315971067E-2</v>
      </c>
      <c r="K77" s="55">
        <f t="shared" si="45"/>
        <v>0.99892296302735473</v>
      </c>
      <c r="L77" s="55">
        <f t="shared" si="46"/>
        <v>7.5832686150982361E-5</v>
      </c>
      <c r="M77" s="55">
        <f t="shared" si="19"/>
        <v>0.99992416731384903</v>
      </c>
      <c r="N77" s="55">
        <f t="shared" si="47"/>
        <v>5.3115963511713007E-6</v>
      </c>
      <c r="O77" s="56">
        <f t="shared" si="21"/>
        <v>9.9951063414325292E-7</v>
      </c>
      <c r="P77" s="56">
        <f t="shared" si="48"/>
        <v>1.0833999205573276E-6</v>
      </c>
      <c r="Q77" s="56">
        <f t="shared" si="49"/>
        <v>1.5177051894045376E-6</v>
      </c>
      <c r="R77" s="9">
        <f t="shared" si="42"/>
        <v>1.4999999999999999E-4</v>
      </c>
      <c r="S77" s="9">
        <f t="shared" si="38"/>
        <v>1.1374902922647353E-8</v>
      </c>
      <c r="T77" s="9">
        <f t="shared" si="39"/>
        <v>1.498384444541032E-4</v>
      </c>
      <c r="U77" s="9">
        <f t="shared" si="40"/>
        <v>1.4998862509707733E-4</v>
      </c>
      <c r="V77" s="102">
        <f t="shared" si="41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3"/>
        <v>9.6186457475178466E-3</v>
      </c>
      <c r="J78" s="54">
        <f t="shared" si="44"/>
        <v>0.86614766954915157</v>
      </c>
      <c r="K78" s="55">
        <f t="shared" si="45"/>
        <v>0.97709750993932731</v>
      </c>
      <c r="L78" s="55">
        <f t="shared" si="46"/>
        <v>5.028154790983956E-4</v>
      </c>
      <c r="M78" s="55">
        <f t="shared" si="19"/>
        <v>0.99949718452090164</v>
      </c>
      <c r="N78" s="55">
        <f t="shared" si="47"/>
        <v>2.7172773811449561E-4</v>
      </c>
      <c r="O78" s="56">
        <f t="shared" si="21"/>
        <v>9.7767234103768059E-7</v>
      </c>
      <c r="P78" s="56">
        <f t="shared" si="48"/>
        <v>7.1835810883133227E-6</v>
      </c>
      <c r="Q78" s="56">
        <f t="shared" si="49"/>
        <v>7.7641931158903873E-5</v>
      </c>
      <c r="R78" s="9">
        <f t="shared" si="42"/>
        <v>1.4999999999999999E-4</v>
      </c>
      <c r="S78" s="9">
        <f t="shared" si="38"/>
        <v>7.5422321864759334E-8</v>
      </c>
      <c r="T78" s="9">
        <f t="shared" si="39"/>
        <v>1.4656462649089908E-4</v>
      </c>
      <c r="U78" s="9">
        <f t="shared" si="40"/>
        <v>1.4992457767813524E-4</v>
      </c>
      <c r="V78" s="102">
        <f t="shared" si="41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3"/>
        <v>8.6760595853303396E-2</v>
      </c>
      <c r="J79" s="54">
        <f t="shared" si="44"/>
        <v>1.8465793817928891</v>
      </c>
      <c r="K79" s="55">
        <f t="shared" si="45"/>
        <v>0.81520953242894634</v>
      </c>
      <c r="L79" s="55">
        <f t="shared" si="46"/>
        <v>4.0102522759279417E-3</v>
      </c>
      <c r="M79" s="55">
        <f t="shared" si="19"/>
        <v>0.99598974772407201</v>
      </c>
      <c r="N79" s="55">
        <f t="shared" si="47"/>
        <v>2.6271950460085972E-3</v>
      </c>
      <c r="O79" s="56">
        <f t="shared" si="21"/>
        <v>8.1568912406248056E-7</v>
      </c>
      <c r="P79" s="56">
        <f t="shared" si="48"/>
        <v>5.7293328479817953E-5</v>
      </c>
      <c r="Q79" s="56">
        <f t="shared" si="49"/>
        <v>7.5067969990337633E-4</v>
      </c>
      <c r="R79" s="9">
        <f t="shared" si="42"/>
        <v>1.4999999999999999E-4</v>
      </c>
      <c r="S79" s="9">
        <f t="shared" si="38"/>
        <v>6.0153784138919123E-7</v>
      </c>
      <c r="T79" s="9">
        <f t="shared" si="39"/>
        <v>1.2228142986434195E-4</v>
      </c>
      <c r="U79" s="9">
        <f t="shared" si="40"/>
        <v>1.493984621586108E-4</v>
      </c>
      <c r="V79" s="102">
        <f t="shared" si="41"/>
        <v>0.81849189139925882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3"/>
        <v>1.9819141928346475</v>
      </c>
      <c r="J80" s="54">
        <f t="shared" si="44"/>
        <v>4.7849539498028779</v>
      </c>
      <c r="K80" s="55">
        <f t="shared" si="45"/>
        <v>9.9761232256496933E-3</v>
      </c>
      <c r="L80" s="55">
        <f t="shared" si="46"/>
        <v>4.2583251312314177E-2</v>
      </c>
      <c r="M80" s="55">
        <f t="shared" si="19"/>
        <v>0.95741674868768578</v>
      </c>
      <c r="N80" s="55">
        <f t="shared" si="47"/>
        <v>3.7892291718159207E-2</v>
      </c>
      <c r="O80" s="56">
        <f t="shared" si="21"/>
        <v>9.9819922262486863E-9</v>
      </c>
      <c r="P80" s="56">
        <f t="shared" si="48"/>
        <v>6.0837474485580102E-4</v>
      </c>
      <c r="Q80" s="56">
        <f t="shared" si="49"/>
        <v>1.0827126908165563E-2</v>
      </c>
      <c r="R80" s="9">
        <f t="shared" si="42"/>
        <v>1.4999999999999999E-4</v>
      </c>
      <c r="S80" s="9">
        <f t="shared" si="38"/>
        <v>6.3874876968471258E-6</v>
      </c>
      <c r="T80" s="9">
        <f t="shared" si="39"/>
        <v>1.4964184838474539E-6</v>
      </c>
      <c r="U80" s="9">
        <f t="shared" si="40"/>
        <v>1.4361251230315286E-4</v>
      </c>
      <c r="V80" s="102">
        <f t="shared" si="41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3"/>
        <v>0.12726341031571042</v>
      </c>
      <c r="J81" s="54">
        <f t="shared" si="44"/>
        <v>2.1476419495508856</v>
      </c>
      <c r="K81" s="55">
        <f t="shared" si="45"/>
        <v>0.74017955709502625</v>
      </c>
      <c r="L81" s="55">
        <f t="shared" si="46"/>
        <v>7.2828622992170263E-3</v>
      </c>
      <c r="M81" s="55">
        <f t="shared" si="19"/>
        <v>0.99271713770078296</v>
      </c>
      <c r="N81" s="55">
        <f t="shared" si="47"/>
        <v>5.5547197607728012E-3</v>
      </c>
      <c r="O81" s="56">
        <f t="shared" si="21"/>
        <v>7.4061500823829024E-7</v>
      </c>
      <c r="P81" s="56">
        <f t="shared" si="48"/>
        <v>1.0404817285111387E-4</v>
      </c>
      <c r="Q81" s="56">
        <f t="shared" si="49"/>
        <v>1.5871738831874441E-3</v>
      </c>
      <c r="R81" s="9">
        <f t="shared" si="42"/>
        <v>1.4999999999999999E-4</v>
      </c>
      <c r="S81" s="9">
        <f t="shared" si="38"/>
        <v>1.092429344882554E-6</v>
      </c>
      <c r="T81" s="9">
        <f t="shared" si="39"/>
        <v>1.1102693356425393E-4</v>
      </c>
      <c r="U81" s="9">
        <f t="shared" si="40"/>
        <v>1.4890757065511744E-4</v>
      </c>
      <c r="V81" s="102">
        <f t="shared" si="41"/>
        <v>0.74560973008821507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3"/>
        <v>0.47104615060046062</v>
      </c>
      <c r="J82" s="54">
        <f t="shared" si="44"/>
        <v>3.0007157776870899</v>
      </c>
      <c r="K82" s="55">
        <f t="shared" si="45"/>
        <v>0.33003171481964799</v>
      </c>
      <c r="L82" s="55">
        <f t="shared" si="46"/>
        <v>2.3152320003955684E-2</v>
      </c>
      <c r="M82" s="55">
        <f t="shared" si="19"/>
        <v>0.97684767999604427</v>
      </c>
      <c r="N82" s="55">
        <f t="shared" si="47"/>
        <v>1.9306197432843755E-2</v>
      </c>
      <c r="O82" s="56">
        <f t="shared" si="21"/>
        <v>3.3022587404243934E-7</v>
      </c>
      <c r="P82" s="56">
        <f t="shared" si="48"/>
        <v>3.307705809479424E-4</v>
      </c>
      <c r="Q82" s="56">
        <f t="shared" si="49"/>
        <v>5.5164425333325863E-3</v>
      </c>
      <c r="R82" s="9">
        <f t="shared" si="42"/>
        <v>1.4999999999999999E-4</v>
      </c>
      <c r="S82" s="9">
        <f t="shared" si="38"/>
        <v>3.4728480005933522E-6</v>
      </c>
      <c r="T82" s="9">
        <f t="shared" si="39"/>
        <v>4.9504757222947193E-5</v>
      </c>
      <c r="U82" s="9">
        <f t="shared" si="40"/>
        <v>1.4652715199940663E-4</v>
      </c>
      <c r="V82" s="102">
        <f t="shared" si="41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3"/>
        <v>0.17835694544431213</v>
      </c>
      <c r="J83" s="54">
        <f t="shared" si="44"/>
        <v>2.3388959370141773</v>
      </c>
      <c r="K83" s="55">
        <f t="shared" si="45"/>
        <v>0.65620643602282769</v>
      </c>
      <c r="L83" s="55">
        <f t="shared" si="46"/>
        <v>1.0029042817097756E-2</v>
      </c>
      <c r="M83" s="55">
        <f t="shared" si="19"/>
        <v>0.98997095718290229</v>
      </c>
      <c r="N83" s="55">
        <f t="shared" si="47"/>
        <v>7.8096137108367722E-3</v>
      </c>
      <c r="O83" s="56">
        <f t="shared" si="21"/>
        <v>6.5659248538077651E-7</v>
      </c>
      <c r="P83" s="56">
        <f t="shared" si="48"/>
        <v>1.4328206928707079E-4</v>
      </c>
      <c r="Q83" s="56">
        <f t="shared" si="49"/>
        <v>2.2314743953704371E-3</v>
      </c>
      <c r="R83" s="9">
        <f t="shared" si="42"/>
        <v>1.4999999999999999E-4</v>
      </c>
      <c r="S83" s="9">
        <f t="shared" si="38"/>
        <v>1.5043564225646633E-6</v>
      </c>
      <c r="T83" s="9">
        <f t="shared" si="39"/>
        <v>9.8430965403424145E-5</v>
      </c>
      <c r="U83" s="9">
        <f t="shared" si="40"/>
        <v>1.4849564357743533E-4</v>
      </c>
      <c r="V83" s="102">
        <f t="shared" si="41"/>
        <v>0.66285422947169359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3"/>
        <v>5.9812805986470914E-3</v>
      </c>
      <c r="J84" s="54">
        <f t="shared" si="44"/>
        <v>0.66821968451796954</v>
      </c>
      <c r="K84" s="55">
        <f t="shared" si="45"/>
        <v>0.98549413356751825</v>
      </c>
      <c r="L84" s="55">
        <f t="shared" si="46"/>
        <v>3.2151170662029826E-4</v>
      </c>
      <c r="M84" s="55">
        <f t="shared" si="19"/>
        <v>0.99967848829337969</v>
      </c>
      <c r="N84" s="55">
        <f t="shared" si="47"/>
        <v>1.5024364474004157E-4</v>
      </c>
      <c r="O84" s="56">
        <f t="shared" si="21"/>
        <v>9.8607390443936739E-7</v>
      </c>
      <c r="P84" s="56">
        <f t="shared" si="48"/>
        <v>4.5933458919965955E-6</v>
      </c>
      <c r="Q84" s="56">
        <f t="shared" si="49"/>
        <v>4.2929760512906673E-5</v>
      </c>
      <c r="R84" s="9">
        <f t="shared" si="42"/>
        <v>1.4999999999999999E-4</v>
      </c>
      <c r="S84" s="9">
        <f t="shared" si="38"/>
        <v>4.8226755993044735E-8</v>
      </c>
      <c r="T84" s="9">
        <f t="shared" si="39"/>
        <v>1.4782412003512771E-4</v>
      </c>
      <c r="U84" s="9">
        <f t="shared" si="40"/>
        <v>1.4995177324400694E-4</v>
      </c>
      <c r="V84" s="102">
        <f t="shared" si="41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3"/>
        <v>0.11910186422699467</v>
      </c>
      <c r="J85" s="54">
        <f t="shared" si="44"/>
        <v>2.1336193491516409</v>
      </c>
      <c r="K85" s="55">
        <f t="shared" si="45"/>
        <v>0.75429465952572194</v>
      </c>
      <c r="L85" s="55">
        <f t="shared" si="46"/>
        <v>7.185937653648531E-3</v>
      </c>
      <c r="M85" s="55">
        <f t="shared" si="19"/>
        <v>0.9928140623463515</v>
      </c>
      <c r="N85" s="55">
        <f t="shared" si="47"/>
        <v>5.5821833888609141E-3</v>
      </c>
      <c r="O85" s="56">
        <f t="shared" si="21"/>
        <v>7.5473841465067786E-7</v>
      </c>
      <c r="P85" s="56">
        <f t="shared" si="48"/>
        <v>1.0266343813263266E-4</v>
      </c>
      <c r="Q85" s="56">
        <f t="shared" si="49"/>
        <v>1.5950211833423238E-3</v>
      </c>
      <c r="R85" s="9">
        <f t="shared" si="42"/>
        <v>1.4999999999999999E-4</v>
      </c>
      <c r="S85" s="9">
        <f t="shared" si="38"/>
        <v>1.0778906480472795E-6</v>
      </c>
      <c r="T85" s="9">
        <f t="shared" si="39"/>
        <v>1.1314419892885828E-4</v>
      </c>
      <c r="U85" s="9">
        <f t="shared" si="40"/>
        <v>1.4892210935195271E-4</v>
      </c>
      <c r="V85" s="102">
        <f t="shared" si="41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3"/>
        <v>3.4503381608646556E-2</v>
      </c>
      <c r="J86" s="54">
        <f t="shared" si="44"/>
        <v>1.4736389783743882</v>
      </c>
      <c r="K86" s="55">
        <f t="shared" si="45"/>
        <v>0.92137571434659726</v>
      </c>
      <c r="L86" s="55">
        <f t="shared" si="46"/>
        <v>1.9204314170268165E-3</v>
      </c>
      <c r="M86" s="55">
        <f t="shared" si="19"/>
        <v>0.9980795685829732</v>
      </c>
      <c r="N86" s="55">
        <f t="shared" si="47"/>
        <v>1.3169516419450457E-3</v>
      </c>
      <c r="O86" s="56">
        <f t="shared" si="21"/>
        <v>9.2191776404837847E-7</v>
      </c>
      <c r="P86" s="56">
        <f t="shared" si="48"/>
        <v>2.7436654960371551E-5</v>
      </c>
      <c r="Q86" s="56">
        <f t="shared" si="49"/>
        <v>3.7629823673142332E-4</v>
      </c>
      <c r="R86" s="9">
        <f t="shared" si="42"/>
        <v>1.4999999999999999E-4</v>
      </c>
      <c r="S86" s="9">
        <f t="shared" si="38"/>
        <v>2.8806471255402243E-7</v>
      </c>
      <c r="T86" s="9">
        <f t="shared" si="39"/>
        <v>1.3820635715198958E-4</v>
      </c>
      <c r="U86" s="9">
        <f t="shared" si="40"/>
        <v>1.4971193528744598E-4</v>
      </c>
      <c r="V86" s="102">
        <f t="shared" si="41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3"/>
        <v/>
      </c>
      <c r="J87" s="54" t="str">
        <f t="shared" si="44"/>
        <v/>
      </c>
      <c r="K87" s="55" t="str">
        <f t="shared" si="45"/>
        <v/>
      </c>
      <c r="L87" s="55" t="str">
        <f t="shared" si="46"/>
        <v/>
      </c>
      <c r="M87" s="55" t="str">
        <f t="shared" si="19"/>
        <v/>
      </c>
      <c r="N87" s="55" t="str">
        <f t="shared" si="47"/>
        <v/>
      </c>
      <c r="O87" s="56" t="str">
        <f t="shared" si="21"/>
        <v/>
      </c>
      <c r="P87" s="56" t="str">
        <f t="shared" si="48"/>
        <v/>
      </c>
      <c r="Q87" s="56" t="str">
        <f t="shared" si="49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3"/>
        <v>1.1640116161103842</v>
      </c>
      <c r="J88" s="54">
        <f t="shared" si="44"/>
        <v>3.9852799121672531</v>
      </c>
      <c r="K88" s="55">
        <f t="shared" si="45"/>
        <v>6.5474524523179672E-2</v>
      </c>
      <c r="L88" s="55">
        <f t="shared" si="46"/>
        <v>4.4327713300761108E-2</v>
      </c>
      <c r="M88" s="55">
        <f t="shared" si="19"/>
        <v>0.95567228669923887</v>
      </c>
      <c r="N88" s="55">
        <f t="shared" si="47"/>
        <v>4.03695046461802E-2</v>
      </c>
      <c r="O88" s="56">
        <f t="shared" si="21"/>
        <v>6.5513043496427438E-8</v>
      </c>
      <c r="P88" s="56">
        <f t="shared" si="48"/>
        <v>6.3329737486703119E-4</v>
      </c>
      <c r="Q88" s="56">
        <f t="shared" si="49"/>
        <v>1.1534951574715836E-2</v>
      </c>
      <c r="R88" s="9">
        <f>F88*$C$14</f>
        <v>1.4999999999999999E-4</v>
      </c>
      <c r="S88" s="9">
        <f t="shared" si="38"/>
        <v>6.6491569951141654E-6</v>
      </c>
      <c r="T88" s="9">
        <f t="shared" si="39"/>
        <v>9.8211786784769499E-6</v>
      </c>
      <c r="U88" s="9">
        <f t="shared" si="40"/>
        <v>1.4335084300488583E-4</v>
      </c>
      <c r="V88" s="102">
        <f t="shared" si="41"/>
        <v>6.8511481848364267E-2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3"/>
        <v>2.5219720041185627</v>
      </c>
      <c r="J89" s="54">
        <f t="shared" si="44"/>
        <v>5.4568603611336437</v>
      </c>
      <c r="K89" s="55">
        <f t="shared" si="45"/>
        <v>2.8339554854787279E-3</v>
      </c>
      <c r="L89" s="55">
        <f t="shared" si="46"/>
        <v>5.6829841951119148E-2</v>
      </c>
      <c r="M89" s="55">
        <f t="shared" si="19"/>
        <v>0.94317015804888082</v>
      </c>
      <c r="N89" s="55">
        <f t="shared" si="47"/>
        <v>5.370356191354643E-2</v>
      </c>
      <c r="O89" s="56">
        <f t="shared" si="21"/>
        <v>2.8356227149290444E-9</v>
      </c>
      <c r="P89" s="56">
        <f t="shared" si="48"/>
        <v>8.119117148579387E-4</v>
      </c>
      <c r="Q89" s="56">
        <f t="shared" si="49"/>
        <v>1.5344948903680105E-2</v>
      </c>
      <c r="R89" s="9">
        <f>F89*$C$14</f>
        <v>1.4999999999999999E-4</v>
      </c>
      <c r="S89" s="9">
        <f t="shared" si="38"/>
        <v>8.5244762926678713E-6</v>
      </c>
      <c r="T89" s="9">
        <f t="shared" si="39"/>
        <v>4.2509332282180914E-7</v>
      </c>
      <c r="U89" s="9">
        <f t="shared" si="40"/>
        <v>1.4147552370733212E-4</v>
      </c>
      <c r="V89" s="102">
        <f t="shared" si="41"/>
        <v>3.0047128413618184E-3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3"/>
        <v>2.8671793282646911</v>
      </c>
      <c r="J90" s="54">
        <f t="shared" si="44"/>
        <v>5.8376711731613922</v>
      </c>
      <c r="K90" s="55">
        <f t="shared" si="45"/>
        <v>1.2737441764866032E-3</v>
      </c>
      <c r="L90" s="55">
        <f t="shared" si="46"/>
        <v>6.1387005320100989E-2</v>
      </c>
      <c r="M90" s="55">
        <f t="shared" si="19"/>
        <v>0.938612994679899</v>
      </c>
      <c r="N90" s="55">
        <f t="shared" si="47"/>
        <v>5.8768185063875197E-2</v>
      </c>
      <c r="O90" s="56">
        <f t="shared" si="21"/>
        <v>1.274493526225542E-9</v>
      </c>
      <c r="P90" s="56">
        <f t="shared" si="48"/>
        <v>8.770186058639066E-4</v>
      </c>
      <c r="Q90" s="56">
        <f t="shared" si="49"/>
        <v>1.679208538195133E-2</v>
      </c>
      <c r="R90" s="9">
        <f>F90*$C$14</f>
        <v>1.4999999999999999E-4</v>
      </c>
      <c r="S90" s="9">
        <f t="shared" si="38"/>
        <v>9.2080507980151479E-6</v>
      </c>
      <c r="T90" s="9">
        <f t="shared" si="39"/>
        <v>1.9106162647299046E-7</v>
      </c>
      <c r="U90" s="9">
        <f t="shared" si="40"/>
        <v>1.4079194920198484E-4</v>
      </c>
      <c r="V90" s="102">
        <f t="shared" si="41"/>
        <v>1.3570493736036501E-3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3"/>
        <v>3.2678433041260839</v>
      </c>
      <c r="J91" s="54">
        <f t="shared" si="44"/>
        <v>6.2686756056738835</v>
      </c>
      <c r="K91" s="55">
        <f t="shared" si="45"/>
        <v>5.0407295506328621E-4</v>
      </c>
      <c r="L91" s="55">
        <f t="shared" si="46"/>
        <v>6.5537831198409863E-2</v>
      </c>
      <c r="M91" s="55">
        <f t="shared" si="19"/>
        <v>0.93446216880159017</v>
      </c>
      <c r="N91" s="55">
        <f t="shared" si="47"/>
        <v>6.3387476728985676E-2</v>
      </c>
      <c r="O91" s="56">
        <f t="shared" si="21"/>
        <v>5.0436950357299139E-10</v>
      </c>
      <c r="P91" s="56">
        <f t="shared" si="48"/>
        <v>9.3632026923705489E-4</v>
      </c>
      <c r="Q91" s="56">
        <f t="shared" si="49"/>
        <v>1.8111975386387629E-2</v>
      </c>
      <c r="R91" s="9">
        <f t="shared" ref="R91:R92" si="50">F91*$C$14</f>
        <v>1.4999999999999999E-4</v>
      </c>
      <c r="S91" s="9">
        <f t="shared" si="38"/>
        <v>9.8306746797614783E-6</v>
      </c>
      <c r="T91" s="9">
        <f t="shared" si="39"/>
        <v>7.561094325949293E-8</v>
      </c>
      <c r="U91" s="9">
        <f t="shared" si="40"/>
        <v>1.4016932532023851E-4</v>
      </c>
      <c r="V91" s="102">
        <f t="shared" si="41"/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3"/>
        <v>4.4880081925943038</v>
      </c>
      <c r="J92" s="54">
        <f t="shared" si="44"/>
        <v>7.5335977384937181</v>
      </c>
      <c r="K92" s="55">
        <f t="shared" si="45"/>
        <v>3.0147387090591082E-5</v>
      </c>
      <c r="L92" s="55">
        <f t="shared" si="46"/>
        <v>7.213905993974945E-2</v>
      </c>
      <c r="M92" s="55">
        <f t="shared" si="19"/>
        <v>0.92786094006025055</v>
      </c>
      <c r="N92" s="55">
        <f t="shared" si="47"/>
        <v>7.0740926657131192E-2</v>
      </c>
      <c r="O92" s="56">
        <f t="shared" si="21"/>
        <v>3.0165122941371047E-11</v>
      </c>
      <c r="P92" s="56">
        <f t="shared" si="48"/>
        <v>1.030630138199219E-3</v>
      </c>
      <c r="Q92" s="56">
        <f t="shared" si="49"/>
        <v>2.021310814914205E-2</v>
      </c>
      <c r="R92" s="9">
        <f t="shared" si="50"/>
        <v>1.4999999999999999E-4</v>
      </c>
      <c r="S92" s="9">
        <f t="shared" si="38"/>
        <v>1.0820858990962417E-5</v>
      </c>
      <c r="T92" s="9">
        <f t="shared" si="39"/>
        <v>4.5221080635886621E-9</v>
      </c>
      <c r="U92" s="9">
        <f t="shared" si="40"/>
        <v>1.3917914100903758E-4</v>
      </c>
      <c r="V92" s="102">
        <f t="shared" si="41"/>
        <v>3.2491277290574885E-5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3"/>
        <v>3.2311126461878961E-2</v>
      </c>
      <c r="J93" s="54">
        <f t="shared" si="44"/>
        <v>1.270819636021709</v>
      </c>
      <c r="K93" s="55">
        <f t="shared" si="45"/>
        <v>0.92669683273715908</v>
      </c>
      <c r="L93" s="55">
        <f t="shared" si="46"/>
        <v>1.2108222071424823E-3</v>
      </c>
      <c r="M93" s="55">
        <f t="shared" ref="M93:M127" si="51">IF(D93=0,"",1-L93)</f>
        <v>0.99878917779285747</v>
      </c>
      <c r="N93" s="55">
        <f t="shared" si="47"/>
        <v>5.7707298775933069E-4</v>
      </c>
      <c r="O93" s="56">
        <f t="shared" ref="O93:O127" si="52">IF(D93=0,"",F93*K93*$J$7/$J$14)</f>
        <v>9.2724201287812152E-7</v>
      </c>
      <c r="P93" s="56">
        <f t="shared" si="48"/>
        <v>1.7298670924242605E-5</v>
      </c>
      <c r="Q93" s="56">
        <f t="shared" si="49"/>
        <v>1.6488953796242107E-4</v>
      </c>
      <c r="R93" s="9">
        <f>F93*$C$14</f>
        <v>1.4999999999999999E-4</v>
      </c>
      <c r="S93" s="9">
        <f t="shared" si="38"/>
        <v>1.8162333107137231E-7</v>
      </c>
      <c r="T93" s="9">
        <f t="shared" si="39"/>
        <v>1.3900452491057385E-4</v>
      </c>
      <c r="U93" s="9">
        <f t="shared" si="40"/>
        <v>1.498183766689286E-4</v>
      </c>
      <c r="V93" s="102">
        <f t="shared" si="41"/>
        <v>0.92782025810991531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3"/>
        <v/>
      </c>
      <c r="J94" s="54" t="str">
        <f t="shared" si="44"/>
        <v/>
      </c>
      <c r="K94" s="55" t="str">
        <f t="shared" si="45"/>
        <v/>
      </c>
      <c r="L94" s="55" t="str">
        <f t="shared" si="46"/>
        <v/>
      </c>
      <c r="M94" s="55" t="str">
        <f t="shared" si="51"/>
        <v/>
      </c>
      <c r="N94" s="55" t="str">
        <f t="shared" si="47"/>
        <v/>
      </c>
      <c r="O94" s="56" t="str">
        <f t="shared" si="52"/>
        <v/>
      </c>
      <c r="P94" s="56" t="str">
        <f t="shared" si="48"/>
        <v/>
      </c>
      <c r="Q94" s="56" t="str">
        <f t="shared" si="49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3"/>
        <v/>
      </c>
      <c r="J95" s="54" t="str">
        <f t="shared" si="44"/>
        <v/>
      </c>
      <c r="K95" s="55" t="str">
        <f t="shared" si="45"/>
        <v/>
      </c>
      <c r="L95" s="55" t="str">
        <f t="shared" si="46"/>
        <v/>
      </c>
      <c r="M95" s="55" t="str">
        <f t="shared" si="51"/>
        <v/>
      </c>
      <c r="N95" s="55" t="str">
        <f t="shared" si="47"/>
        <v/>
      </c>
      <c r="O95" s="56" t="str">
        <f t="shared" si="52"/>
        <v/>
      </c>
      <c r="P95" s="56" t="str">
        <f t="shared" si="48"/>
        <v/>
      </c>
      <c r="Q95" s="56" t="str">
        <f t="shared" si="49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3"/>
        <v/>
      </c>
      <c r="J96" s="54" t="str">
        <f t="shared" si="44"/>
        <v/>
      </c>
      <c r="K96" s="55" t="str">
        <f t="shared" si="45"/>
        <v/>
      </c>
      <c r="L96" s="55" t="str">
        <f t="shared" si="46"/>
        <v/>
      </c>
      <c r="M96" s="55" t="str">
        <f t="shared" si="51"/>
        <v/>
      </c>
      <c r="N96" s="55" t="str">
        <f t="shared" si="47"/>
        <v/>
      </c>
      <c r="O96" s="56" t="str">
        <f t="shared" si="52"/>
        <v/>
      </c>
      <c r="P96" s="56" t="str">
        <f t="shared" si="48"/>
        <v/>
      </c>
      <c r="Q96" s="56" t="str">
        <f t="shared" si="49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3"/>
        <v/>
      </c>
      <c r="J97" s="54" t="str">
        <f t="shared" si="44"/>
        <v/>
      </c>
      <c r="K97" s="55" t="str">
        <f t="shared" si="45"/>
        <v/>
      </c>
      <c r="L97" s="55" t="str">
        <f t="shared" si="46"/>
        <v/>
      </c>
      <c r="M97" s="55" t="str">
        <f t="shared" si="51"/>
        <v/>
      </c>
      <c r="N97" s="55" t="str">
        <f t="shared" si="47"/>
        <v/>
      </c>
      <c r="O97" s="56" t="str">
        <f t="shared" si="52"/>
        <v/>
      </c>
      <c r="P97" s="56" t="str">
        <f t="shared" si="48"/>
        <v/>
      </c>
      <c r="Q97" s="56" t="str">
        <f t="shared" si="49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3"/>
        <v/>
      </c>
      <c r="J98" s="54" t="str">
        <f t="shared" si="44"/>
        <v/>
      </c>
      <c r="K98" s="55" t="str">
        <f t="shared" si="45"/>
        <v/>
      </c>
      <c r="L98" s="55" t="str">
        <f t="shared" si="46"/>
        <v/>
      </c>
      <c r="M98" s="55" t="str">
        <f t="shared" si="51"/>
        <v/>
      </c>
      <c r="N98" s="55" t="str">
        <f t="shared" si="47"/>
        <v/>
      </c>
      <c r="O98" s="56" t="str">
        <f t="shared" si="52"/>
        <v/>
      </c>
      <c r="P98" s="56" t="str">
        <f t="shared" si="48"/>
        <v/>
      </c>
      <c r="Q98" s="56" t="str">
        <f t="shared" si="49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3"/>
        <v/>
      </c>
      <c r="J99" s="54" t="str">
        <f t="shared" si="44"/>
        <v/>
      </c>
      <c r="K99" s="55" t="str">
        <f t="shared" si="45"/>
        <v/>
      </c>
      <c r="L99" s="55" t="str">
        <f t="shared" si="46"/>
        <v/>
      </c>
      <c r="M99" s="55" t="str">
        <f t="shared" si="51"/>
        <v/>
      </c>
      <c r="N99" s="55" t="str">
        <f t="shared" si="47"/>
        <v/>
      </c>
      <c r="O99" s="56" t="str">
        <f t="shared" si="52"/>
        <v/>
      </c>
      <c r="P99" s="56" t="str">
        <f t="shared" si="48"/>
        <v/>
      </c>
      <c r="Q99" s="56" t="str">
        <f t="shared" si="49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3"/>
        <v/>
      </c>
      <c r="J100" s="54" t="str">
        <f t="shared" si="44"/>
        <v/>
      </c>
      <c r="K100" s="55" t="str">
        <f t="shared" si="45"/>
        <v/>
      </c>
      <c r="L100" s="55" t="str">
        <f t="shared" si="46"/>
        <v/>
      </c>
      <c r="M100" s="55" t="str">
        <f t="shared" si="51"/>
        <v/>
      </c>
      <c r="N100" s="55" t="str">
        <f t="shared" si="47"/>
        <v/>
      </c>
      <c r="O100" s="56" t="str">
        <f t="shared" si="52"/>
        <v/>
      </c>
      <c r="P100" s="56" t="str">
        <f t="shared" si="48"/>
        <v/>
      </c>
      <c r="Q100" s="56" t="str">
        <f t="shared" si="49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3"/>
        <v/>
      </c>
      <c r="J101" s="54" t="str">
        <f t="shared" si="44"/>
        <v/>
      </c>
      <c r="K101" s="55" t="str">
        <f t="shared" si="45"/>
        <v/>
      </c>
      <c r="L101" s="55" t="str">
        <f t="shared" si="46"/>
        <v/>
      </c>
      <c r="M101" s="55" t="str">
        <f t="shared" si="51"/>
        <v/>
      </c>
      <c r="N101" s="55" t="str">
        <f t="shared" si="47"/>
        <v/>
      </c>
      <c r="O101" s="56" t="str">
        <f t="shared" si="52"/>
        <v/>
      </c>
      <c r="P101" s="56" t="str">
        <f t="shared" si="48"/>
        <v/>
      </c>
      <c r="Q101" s="56" t="str">
        <f t="shared" si="49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3"/>
        <v/>
      </c>
      <c r="J102" s="54" t="str">
        <f t="shared" si="44"/>
        <v/>
      </c>
      <c r="K102" s="55" t="str">
        <f t="shared" si="45"/>
        <v/>
      </c>
      <c r="L102" s="55" t="str">
        <f t="shared" si="46"/>
        <v/>
      </c>
      <c r="M102" s="55" t="str">
        <f t="shared" si="51"/>
        <v/>
      </c>
      <c r="N102" s="55" t="str">
        <f t="shared" si="47"/>
        <v/>
      </c>
      <c r="O102" s="56" t="str">
        <f t="shared" si="52"/>
        <v/>
      </c>
      <c r="P102" s="56" t="str">
        <f t="shared" si="48"/>
        <v/>
      </c>
      <c r="Q102" s="56" t="str">
        <f t="shared" si="49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3"/>
        <v/>
      </c>
      <c r="J103" s="54" t="str">
        <f t="shared" si="44"/>
        <v/>
      </c>
      <c r="K103" s="55" t="str">
        <f t="shared" si="45"/>
        <v/>
      </c>
      <c r="L103" s="55" t="str">
        <f t="shared" si="46"/>
        <v/>
      </c>
      <c r="M103" s="55" t="str">
        <f t="shared" si="51"/>
        <v/>
      </c>
      <c r="N103" s="55" t="str">
        <f t="shared" si="47"/>
        <v/>
      </c>
      <c r="O103" s="56" t="str">
        <f t="shared" si="52"/>
        <v/>
      </c>
      <c r="P103" s="56" t="str">
        <f t="shared" si="48"/>
        <v/>
      </c>
      <c r="Q103" s="56" t="str">
        <f t="shared" si="49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3"/>
        <v/>
      </c>
      <c r="J104" s="54" t="str">
        <f t="shared" si="44"/>
        <v/>
      </c>
      <c r="K104" s="55" t="str">
        <f t="shared" si="45"/>
        <v/>
      </c>
      <c r="L104" s="55" t="str">
        <f t="shared" si="46"/>
        <v/>
      </c>
      <c r="M104" s="55" t="str">
        <f t="shared" si="51"/>
        <v/>
      </c>
      <c r="N104" s="55" t="str">
        <f t="shared" si="47"/>
        <v/>
      </c>
      <c r="O104" s="56" t="str">
        <f t="shared" si="52"/>
        <v/>
      </c>
      <c r="P104" s="56" t="str">
        <f t="shared" si="48"/>
        <v/>
      </c>
      <c r="Q104" s="56" t="str">
        <f t="shared" si="49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3"/>
        <v/>
      </c>
      <c r="J105" s="54" t="str">
        <f t="shared" si="44"/>
        <v/>
      </c>
      <c r="K105" s="55" t="str">
        <f t="shared" si="45"/>
        <v/>
      </c>
      <c r="L105" s="55" t="str">
        <f t="shared" si="46"/>
        <v/>
      </c>
      <c r="M105" s="55" t="str">
        <f t="shared" si="51"/>
        <v/>
      </c>
      <c r="N105" s="55" t="str">
        <f t="shared" si="47"/>
        <v/>
      </c>
      <c r="O105" s="56" t="str">
        <f t="shared" si="52"/>
        <v/>
      </c>
      <c r="P105" s="56" t="str">
        <f t="shared" si="48"/>
        <v/>
      </c>
      <c r="Q105" s="56" t="str">
        <f t="shared" si="49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3"/>
        <v/>
      </c>
      <c r="J106" s="54" t="str">
        <f t="shared" si="44"/>
        <v/>
      </c>
      <c r="K106" s="55" t="str">
        <f t="shared" si="45"/>
        <v/>
      </c>
      <c r="L106" s="55" t="str">
        <f t="shared" si="46"/>
        <v/>
      </c>
      <c r="M106" s="55" t="str">
        <f t="shared" si="51"/>
        <v/>
      </c>
      <c r="N106" s="55" t="str">
        <f t="shared" si="47"/>
        <v/>
      </c>
      <c r="O106" s="56" t="str">
        <f t="shared" si="52"/>
        <v/>
      </c>
      <c r="P106" s="56" t="str">
        <f t="shared" si="48"/>
        <v/>
      </c>
      <c r="Q106" s="56" t="str">
        <f t="shared" si="49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3"/>
        <v>1.9446765022663539E-3</v>
      </c>
      <c r="J107" s="54">
        <f t="shared" si="44"/>
        <v>0.3105773051978919</v>
      </c>
      <c r="K107" s="55">
        <f t="shared" si="45"/>
        <v>0.99487479932840317</v>
      </c>
      <c r="L107" s="55">
        <f t="shared" si="46"/>
        <v>1.4245208105631614E-4</v>
      </c>
      <c r="M107" s="55">
        <f t="shared" si="51"/>
        <v>0.99985754791894366</v>
      </c>
      <c r="N107" s="55">
        <f t="shared" si="47"/>
        <v>4.0707412429613676E-5</v>
      </c>
      <c r="O107" s="56">
        <f t="shared" si="52"/>
        <v>9.9546008889040135E-7</v>
      </c>
      <c r="P107" s="56">
        <f t="shared" si="48"/>
        <v>2.0351721814570016E-6</v>
      </c>
      <c r="Q107" s="56">
        <f t="shared" si="49"/>
        <v>1.1631503413852499E-5</v>
      </c>
      <c r="R107" s="9">
        <f>F107*$C$14</f>
        <v>1.4999999999999999E-4</v>
      </c>
      <c r="S107" s="9">
        <f t="shared" ref="S107:S108" si="53">$R107*L107</f>
        <v>2.1367812158447419E-8</v>
      </c>
      <c r="T107" s="9">
        <f t="shared" ref="T107:T108" si="54">R107*K107</f>
        <v>1.4923121989926047E-4</v>
      </c>
      <c r="U107" s="9">
        <f t="shared" ref="U107:U108" si="55">$R107*M107</f>
        <v>1.4997863218784154E-4</v>
      </c>
      <c r="V107" s="102">
        <f t="shared" ref="V107:V108" si="56">K107/M107</f>
        <v>0.99501654150542607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3"/>
        <v>1.5422749478710035E-2</v>
      </c>
      <c r="J108" s="54">
        <f t="shared" si="44"/>
        <v>1.0376508814998808</v>
      </c>
      <c r="K108" s="55">
        <f t="shared" si="45"/>
        <v>0.96390087521240519</v>
      </c>
      <c r="L108" s="55">
        <f t="shared" si="46"/>
        <v>7.3621780932393247E-4</v>
      </c>
      <c r="M108" s="55">
        <f t="shared" si="51"/>
        <v>0.99926378219067602</v>
      </c>
      <c r="N108" s="55">
        <f t="shared" si="47"/>
        <v>4.0520466981894379E-4</v>
      </c>
      <c r="O108" s="56">
        <f t="shared" si="52"/>
        <v>9.6446794266797188E-7</v>
      </c>
      <c r="P108" s="56">
        <f t="shared" si="48"/>
        <v>1.05181334938655E-5</v>
      </c>
      <c r="Q108" s="56">
        <f t="shared" si="49"/>
        <v>1.1578086689880887E-4</v>
      </c>
      <c r="R108" s="9">
        <f>F108*$C$14</f>
        <v>1.4999999999999999E-4</v>
      </c>
      <c r="S108" s="9">
        <f t="shared" si="53"/>
        <v>1.1043267139858986E-7</v>
      </c>
      <c r="T108" s="9">
        <f t="shared" si="54"/>
        <v>1.4458513128186076E-4</v>
      </c>
      <c r="U108" s="9">
        <f t="shared" si="55"/>
        <v>1.4988956732860139E-4</v>
      </c>
      <c r="V108" s="102">
        <f t="shared" si="56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3"/>
        <v/>
      </c>
      <c r="J109" s="54" t="str">
        <f t="shared" si="44"/>
        <v/>
      </c>
      <c r="K109" s="55" t="str">
        <f t="shared" si="45"/>
        <v/>
      </c>
      <c r="L109" s="55" t="str">
        <f t="shared" si="46"/>
        <v/>
      </c>
      <c r="M109" s="55" t="str">
        <f t="shared" si="51"/>
        <v/>
      </c>
      <c r="N109" s="55" t="str">
        <f t="shared" si="47"/>
        <v/>
      </c>
      <c r="O109" s="56" t="str">
        <f t="shared" si="52"/>
        <v/>
      </c>
      <c r="P109" s="56" t="str">
        <f t="shared" si="48"/>
        <v/>
      </c>
      <c r="Q109" s="56" t="str">
        <f t="shared" si="49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3"/>
        <v/>
      </c>
      <c r="J110" s="54" t="str">
        <f t="shared" si="44"/>
        <v/>
      </c>
      <c r="K110" s="55" t="str">
        <f t="shared" si="45"/>
        <v/>
      </c>
      <c r="L110" s="55" t="str">
        <f t="shared" si="46"/>
        <v/>
      </c>
      <c r="M110" s="55" t="str">
        <f t="shared" si="51"/>
        <v/>
      </c>
      <c r="N110" s="55" t="str">
        <f t="shared" si="47"/>
        <v/>
      </c>
      <c r="O110" s="56" t="str">
        <f t="shared" si="52"/>
        <v/>
      </c>
      <c r="P110" s="56" t="str">
        <f t="shared" si="48"/>
        <v/>
      </c>
      <c r="Q110" s="56" t="str">
        <f t="shared" si="49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3"/>
        <v/>
      </c>
      <c r="J111" s="54" t="str">
        <f t="shared" si="44"/>
        <v/>
      </c>
      <c r="K111" s="55" t="str">
        <f t="shared" si="45"/>
        <v/>
      </c>
      <c r="L111" s="55" t="str">
        <f t="shared" si="46"/>
        <v/>
      </c>
      <c r="M111" s="55" t="str">
        <f t="shared" si="51"/>
        <v/>
      </c>
      <c r="N111" s="55" t="str">
        <f t="shared" si="47"/>
        <v/>
      </c>
      <c r="O111" s="56" t="str">
        <f t="shared" si="52"/>
        <v/>
      </c>
      <c r="P111" s="56" t="str">
        <f t="shared" si="48"/>
        <v/>
      </c>
      <c r="Q111" s="56" t="str">
        <f t="shared" si="49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3"/>
        <v/>
      </c>
      <c r="J112" s="54" t="str">
        <f t="shared" si="44"/>
        <v/>
      </c>
      <c r="K112" s="55" t="str">
        <f t="shared" si="45"/>
        <v/>
      </c>
      <c r="L112" s="55" t="str">
        <f t="shared" si="46"/>
        <v/>
      </c>
      <c r="M112" s="55" t="str">
        <f t="shared" si="51"/>
        <v/>
      </c>
      <c r="N112" s="55" t="str">
        <f t="shared" si="47"/>
        <v/>
      </c>
      <c r="O112" s="56" t="str">
        <f t="shared" si="52"/>
        <v/>
      </c>
      <c r="P112" s="56" t="str">
        <f t="shared" si="48"/>
        <v/>
      </c>
      <c r="Q112" s="56" t="str">
        <f t="shared" si="49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3"/>
        <v/>
      </c>
      <c r="J113" s="54" t="str">
        <f t="shared" si="44"/>
        <v/>
      </c>
      <c r="K113" s="55" t="str">
        <f t="shared" si="45"/>
        <v/>
      </c>
      <c r="L113" s="55" t="str">
        <f t="shared" si="46"/>
        <v/>
      </c>
      <c r="M113" s="55" t="str">
        <f t="shared" si="51"/>
        <v/>
      </c>
      <c r="N113" s="55" t="str">
        <f t="shared" si="47"/>
        <v/>
      </c>
      <c r="O113" s="56" t="str">
        <f t="shared" si="52"/>
        <v/>
      </c>
      <c r="P113" s="56" t="str">
        <f t="shared" si="48"/>
        <v/>
      </c>
      <c r="Q113" s="56" t="str">
        <f t="shared" si="49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3"/>
        <v>1.0353959656071578E-2</v>
      </c>
      <c r="J114" s="54">
        <f t="shared" si="44"/>
        <v>0.91344044901976251</v>
      </c>
      <c r="K114" s="55">
        <f t="shared" si="45"/>
        <v>0.97538906542665116</v>
      </c>
      <c r="L114" s="55">
        <f t="shared" si="46"/>
        <v>5.5968207057426164E-4</v>
      </c>
      <c r="M114" s="55">
        <f t="shared" si="51"/>
        <v>0.99944031792942578</v>
      </c>
      <c r="N114" s="55">
        <f t="shared" si="47"/>
        <v>3.1871312587247784E-4</v>
      </c>
      <c r="O114" s="56">
        <f t="shared" si="52"/>
        <v>9.7596289143899644E-7</v>
      </c>
      <c r="P114" s="56">
        <f t="shared" si="48"/>
        <v>7.9960178331314569E-6</v>
      </c>
      <c r="Q114" s="56">
        <f t="shared" si="49"/>
        <v>9.1067267368939679E-5</v>
      </c>
      <c r="R114" s="9">
        <f>F114*$C$14</f>
        <v>1.4999999999999999E-4</v>
      </c>
      <c r="S114" s="9">
        <f t="shared" ref="S114:S116" si="57">$R114*L114</f>
        <v>8.3952310586139238E-8</v>
      </c>
      <c r="T114" s="9">
        <f t="shared" ref="T114:T116" si="58">R114*K114</f>
        <v>1.4630835981399766E-4</v>
      </c>
      <c r="U114" s="9">
        <f t="shared" ref="U114:U116" si="59">$R114*M114</f>
        <v>1.4991604768941385E-4</v>
      </c>
      <c r="V114" s="102">
        <f t="shared" ref="V114:V116" si="60">K114/M114</f>
        <v>0.97593527890429477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3"/>
        <v>2.0480395290290027E-2</v>
      </c>
      <c r="J115" s="54">
        <f t="shared" si="44"/>
        <v>0.97331271643662476</v>
      </c>
      <c r="K115" s="55">
        <f t="shared" si="45"/>
        <v>0.95284431886808951</v>
      </c>
      <c r="L115" s="55">
        <f t="shared" si="46"/>
        <v>6.2756357478262084E-4</v>
      </c>
      <c r="M115" s="55">
        <f t="shared" si="51"/>
        <v>0.99937243642521734</v>
      </c>
      <c r="N115" s="55">
        <f t="shared" si="47"/>
        <v>1.7795533650338176E-4</v>
      </c>
      <c r="O115" s="56">
        <f t="shared" si="52"/>
        <v>9.5340488169913048E-7</v>
      </c>
      <c r="P115" s="56">
        <f t="shared" si="48"/>
        <v>8.9658214890407966E-6</v>
      </c>
      <c r="Q115" s="56">
        <f t="shared" si="49"/>
        <v>5.0847940964839131E-5</v>
      </c>
      <c r="R115" s="9">
        <f>F115*$C$14</f>
        <v>1.4999999999999999E-4</v>
      </c>
      <c r="S115" s="9">
        <f t="shared" si="57"/>
        <v>9.4134536217393123E-8</v>
      </c>
      <c r="T115" s="9">
        <f t="shared" si="58"/>
        <v>1.4292664783021342E-4</v>
      </c>
      <c r="U115" s="9">
        <f t="shared" si="59"/>
        <v>1.499058654637826E-4</v>
      </c>
      <c r="V115" s="102">
        <f t="shared" si="60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3"/>
        <v>5.8413729360461944E-4</v>
      </c>
      <c r="J116" s="54">
        <f t="shared" si="44"/>
        <v>7.3650487553540506E-2</v>
      </c>
      <c r="K116" s="55">
        <f t="shared" si="45"/>
        <v>0.99805591003089889</v>
      </c>
      <c r="L116" s="55">
        <f t="shared" si="46"/>
        <v>8.2818702279404598E-5</v>
      </c>
      <c r="M116" s="55">
        <f t="shared" si="51"/>
        <v>0.99991718129772056</v>
      </c>
      <c r="N116" s="55">
        <f t="shared" si="47"/>
        <v>4.775105133216517E-6</v>
      </c>
      <c r="O116" s="56">
        <f t="shared" si="52"/>
        <v>9.9864307105540773E-7</v>
      </c>
      <c r="P116" s="56">
        <f t="shared" si="48"/>
        <v>1.1832071369794884E-6</v>
      </c>
      <c r="Q116" s="56">
        <f t="shared" si="49"/>
        <v>1.3644112544502405E-6</v>
      </c>
      <c r="R116" s="9">
        <f>F116*$C$14</f>
        <v>1.4999999999999999E-4</v>
      </c>
      <c r="S116" s="9">
        <f t="shared" si="57"/>
        <v>1.2422805341910688E-8</v>
      </c>
      <c r="T116" s="9">
        <f t="shared" si="58"/>
        <v>1.4970838650463483E-4</v>
      </c>
      <c r="U116" s="9">
        <f t="shared" si="59"/>
        <v>1.4998757719465806E-4</v>
      </c>
      <c r="V116" s="102">
        <f t="shared" si="60"/>
        <v>0.99813857457234001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3"/>
        <v/>
      </c>
      <c r="J117" s="54" t="str">
        <f t="shared" si="44"/>
        <v/>
      </c>
      <c r="K117" s="55" t="str">
        <f t="shared" si="45"/>
        <v/>
      </c>
      <c r="L117" s="55" t="str">
        <f t="shared" si="46"/>
        <v/>
      </c>
      <c r="M117" s="55" t="str">
        <f t="shared" si="51"/>
        <v/>
      </c>
      <c r="N117" s="55" t="str">
        <f t="shared" si="47"/>
        <v/>
      </c>
      <c r="O117" s="56" t="str">
        <f t="shared" si="52"/>
        <v/>
      </c>
      <c r="P117" s="56" t="str">
        <f t="shared" si="48"/>
        <v/>
      </c>
      <c r="Q117" s="56" t="str">
        <f t="shared" si="49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3"/>
        <v/>
      </c>
      <c r="J118" s="54" t="str">
        <f t="shared" si="44"/>
        <v/>
      </c>
      <c r="K118" s="55" t="str">
        <f t="shared" si="45"/>
        <v/>
      </c>
      <c r="L118" s="55" t="str">
        <f t="shared" si="46"/>
        <v/>
      </c>
      <c r="M118" s="55" t="str">
        <f t="shared" si="51"/>
        <v/>
      </c>
      <c r="N118" s="55" t="str">
        <f t="shared" si="47"/>
        <v/>
      </c>
      <c r="O118" s="56" t="str">
        <f t="shared" si="52"/>
        <v/>
      </c>
      <c r="P118" s="56" t="str">
        <f t="shared" si="48"/>
        <v/>
      </c>
      <c r="Q118" s="56" t="str">
        <f t="shared" si="49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3"/>
        <v>0.56658503951123784</v>
      </c>
      <c r="J119" s="54">
        <f t="shared" si="44"/>
        <v>3.1029128175372134</v>
      </c>
      <c r="K119" s="55">
        <f t="shared" si="45"/>
        <v>0.26476554958183651</v>
      </c>
      <c r="L119" s="55">
        <f t="shared" si="46"/>
        <v>2.3501595974379084E-2</v>
      </c>
      <c r="M119" s="55">
        <f t="shared" si="51"/>
        <v>0.97649840402562094</v>
      </c>
      <c r="N119" s="55">
        <f t="shared" si="47"/>
        <v>1.906898348671137E-2</v>
      </c>
      <c r="O119" s="56">
        <f t="shared" si="52"/>
        <v>2.649213124101357E-7</v>
      </c>
      <c r="P119" s="56">
        <f t="shared" si="48"/>
        <v>3.3576058694424695E-4</v>
      </c>
      <c r="Q119" s="56">
        <f t="shared" si="49"/>
        <v>5.448662375872982E-3</v>
      </c>
      <c r="R119" s="9">
        <f>F119*$C$14</f>
        <v>1.4999999999999999E-4</v>
      </c>
      <c r="S119" s="9">
        <f t="shared" ref="S119:S121" si="61">$R119*L119</f>
        <v>3.5252393961568624E-6</v>
      </c>
      <c r="T119" s="9">
        <f t="shared" ref="T119:T121" si="62">R119*K119</f>
        <v>3.9714832437275476E-5</v>
      </c>
      <c r="U119" s="9">
        <f t="shared" ref="U119:U121" si="63">$R119*M119</f>
        <v>1.4647476060384313E-4</v>
      </c>
      <c r="V119" s="102">
        <f t="shared" ref="V119:V121" si="64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3"/>
        <v>2.3514137427377815E-2</v>
      </c>
      <c r="J120" s="54">
        <f t="shared" si="44"/>
        <v>1.186174744063935</v>
      </c>
      <c r="K120" s="55">
        <f t="shared" si="45"/>
        <v>0.94584275548542462</v>
      </c>
      <c r="L120" s="55">
        <f t="shared" si="46"/>
        <v>1.0169901548909691E-3</v>
      </c>
      <c r="M120" s="55">
        <f t="shared" si="51"/>
        <v>0.99898300984510902</v>
      </c>
      <c r="N120" s="55">
        <f t="shared" si="47"/>
        <v>5.4481368628467731E-4</v>
      </c>
      <c r="O120" s="56">
        <f t="shared" si="52"/>
        <v>9.4639919926352721E-7</v>
      </c>
      <c r="P120" s="56">
        <f t="shared" si="48"/>
        <v>1.4529447774311598E-5</v>
      </c>
      <c r="Q120" s="56">
        <f t="shared" si="49"/>
        <v>1.5567194949791922E-4</v>
      </c>
      <c r="R120" s="9">
        <f>F120*$C$14</f>
        <v>1.4999999999999999E-4</v>
      </c>
      <c r="S120" s="9">
        <f t="shared" si="61"/>
        <v>1.5254852323364535E-7</v>
      </c>
      <c r="T120" s="9">
        <f t="shared" si="62"/>
        <v>1.4187641332281367E-4</v>
      </c>
      <c r="U120" s="9">
        <f t="shared" si="63"/>
        <v>1.4984745147676634E-4</v>
      </c>
      <c r="V120" s="102">
        <f t="shared" si="64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3"/>
        <v>1.0322461970770105</v>
      </c>
      <c r="J121" s="54">
        <f t="shared" si="44"/>
        <v>3.5462712425453593</v>
      </c>
      <c r="K121" s="55">
        <f t="shared" si="45"/>
        <v>9.0721774713706849E-2</v>
      </c>
      <c r="L121" s="55">
        <f t="shared" si="46"/>
        <v>2.2351457230877506E-2</v>
      </c>
      <c r="M121" s="55">
        <f t="shared" si="51"/>
        <v>0.9776485427691225</v>
      </c>
      <c r="N121" s="55">
        <f t="shared" si="47"/>
        <v>1.6116235485736929E-2</v>
      </c>
      <c r="O121" s="56">
        <f t="shared" si="52"/>
        <v>9.0775146763960539E-8</v>
      </c>
      <c r="P121" s="56">
        <f t="shared" si="48"/>
        <v>3.1932888332690963E-4</v>
      </c>
      <c r="Q121" s="56">
        <f t="shared" si="49"/>
        <v>4.6049610349202658E-3</v>
      </c>
      <c r="R121" s="9">
        <f>F121*$C$14</f>
        <v>1.4999999999999999E-4</v>
      </c>
      <c r="S121" s="9">
        <f t="shared" si="61"/>
        <v>3.3527185846316254E-6</v>
      </c>
      <c r="T121" s="9">
        <f t="shared" si="62"/>
        <v>1.3608266207056027E-5</v>
      </c>
      <c r="U121" s="9">
        <f t="shared" si="63"/>
        <v>1.4664728141536835E-4</v>
      </c>
      <c r="V121" s="102">
        <f t="shared" si="64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3"/>
        <v/>
      </c>
      <c r="J122" s="54" t="str">
        <f t="shared" si="44"/>
        <v/>
      </c>
      <c r="K122" s="55" t="str">
        <f t="shared" si="45"/>
        <v/>
      </c>
      <c r="L122" s="55" t="str">
        <f t="shared" si="46"/>
        <v/>
      </c>
      <c r="M122" s="55" t="str">
        <f t="shared" si="51"/>
        <v/>
      </c>
      <c r="N122" s="55" t="str">
        <f t="shared" si="47"/>
        <v/>
      </c>
      <c r="O122" s="56" t="str">
        <f t="shared" si="52"/>
        <v/>
      </c>
      <c r="P122" s="56" t="str">
        <f t="shared" si="48"/>
        <v/>
      </c>
      <c r="Q122" s="56" t="str">
        <f t="shared" si="49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5">IF(D123=0,"",LOG($K$15*10^D123+$K$16*10^E123+$K$14))</f>
        <v/>
      </c>
      <c r="J123" s="54" t="str">
        <f t="shared" ref="J123:J127" si="66">IF(D123=0,"",LOG($K$21*10^D123+$K$22*10^E123+$K$20))</f>
        <v/>
      </c>
      <c r="K123" s="55" t="str">
        <f t="shared" ref="K123:K127" si="67">IF(D123=0,"",1/(1+10^D123*$J$15/$J$14+10^E123*$J$16/$J$14+10^J123*$J$19/$J$14))</f>
        <v/>
      </c>
      <c r="L123" s="55" t="str">
        <f t="shared" ref="L123:L127" si="68">IF(D123=0,"",1/(1+10^I123/10^J123*$J$13/$J$19))</f>
        <v/>
      </c>
      <c r="M123" s="55" t="str">
        <f t="shared" si="51"/>
        <v/>
      </c>
      <c r="N123" s="55" t="str">
        <f t="shared" ref="N123:N127" si="69">IF(D123=0,"",1/(1/10^E123*$J$20/$J$22+10^D123/10^E123*$J$21/$J$22+10^I123/10^E123*$J$13/$J$22+1))</f>
        <v/>
      </c>
      <c r="O123" s="56" t="str">
        <f t="shared" si="52"/>
        <v/>
      </c>
      <c r="P123" s="56" t="str">
        <f t="shared" ref="P123:P127" si="70">IF(D123=0,"",O123*10^J123)</f>
        <v/>
      </c>
      <c r="Q123" s="56" t="str">
        <f t="shared" ref="Q123:Q127" si="7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5"/>
        <v>0.13981203375224763</v>
      </c>
      <c r="J124" s="54">
        <f t="shared" si="66"/>
        <v>2.2472155850103044</v>
      </c>
      <c r="K124" s="55">
        <f t="shared" si="67"/>
        <v>0.71793855216198277</v>
      </c>
      <c r="L124" s="55">
        <f t="shared" si="68"/>
        <v>8.8843553892173858E-3</v>
      </c>
      <c r="M124" s="55">
        <f t="shared" si="51"/>
        <v>0.99111564461078261</v>
      </c>
      <c r="N124" s="55">
        <f t="shared" si="69"/>
        <v>7.1263039531500516E-3</v>
      </c>
      <c r="O124" s="56">
        <f t="shared" si="52"/>
        <v>7.1836091881658103E-7</v>
      </c>
      <c r="P124" s="56">
        <f t="shared" si="70"/>
        <v>1.2692824705849473E-4</v>
      </c>
      <c r="Q124" s="56">
        <f t="shared" si="71"/>
        <v>2.0362293698362203E-3</v>
      </c>
      <c r="R124" s="9">
        <f>F124*$C$14</f>
        <v>1.4999999999999999E-4</v>
      </c>
      <c r="S124" s="9">
        <f t="shared" ref="S124:S127" si="72">$R124*L124</f>
        <v>1.3326533083826077E-6</v>
      </c>
      <c r="T124" s="9">
        <f t="shared" ref="T124:T127" si="73">R124*K124</f>
        <v>1.076907828242974E-4</v>
      </c>
      <c r="U124" s="9">
        <f t="shared" ref="U124:U127" si="74">$R124*M124</f>
        <v>1.4866734669161737E-4</v>
      </c>
      <c r="V124" s="102">
        <f t="shared" ref="V124:V127" si="75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5"/>
        <v/>
      </c>
      <c r="J125" s="54" t="str">
        <f t="shared" si="66"/>
        <v/>
      </c>
      <c r="K125" s="55" t="str">
        <f t="shared" si="67"/>
        <v/>
      </c>
      <c r="L125" s="55" t="str">
        <f t="shared" si="68"/>
        <v/>
      </c>
      <c r="M125" s="55" t="str">
        <f t="shared" si="51"/>
        <v/>
      </c>
      <c r="N125" s="55" t="str">
        <f t="shared" si="69"/>
        <v/>
      </c>
      <c r="O125" s="56" t="str">
        <f t="shared" si="52"/>
        <v/>
      </c>
      <c r="P125" s="56" t="str">
        <f t="shared" si="70"/>
        <v/>
      </c>
      <c r="Q125" s="56" t="str">
        <f t="shared" si="71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5"/>
        <v>4.9312922410980113E-2</v>
      </c>
      <c r="J126" s="54">
        <f t="shared" si="66"/>
        <v>1.5520519557651959</v>
      </c>
      <c r="K126" s="55">
        <f t="shared" si="67"/>
        <v>0.89021661687239662</v>
      </c>
      <c r="L126" s="55">
        <f t="shared" si="68"/>
        <v>2.2226481337628834E-3</v>
      </c>
      <c r="M126" s="55">
        <f t="shared" si="51"/>
        <v>0.99777735186623717</v>
      </c>
      <c r="N126" s="55">
        <f t="shared" si="69"/>
        <v>1.354698855149176E-3</v>
      </c>
      <c r="O126" s="56">
        <f t="shared" si="52"/>
        <v>8.9074033552938193E-7</v>
      </c>
      <c r="P126" s="56">
        <f t="shared" si="70"/>
        <v>3.1754338844746384E-5</v>
      </c>
      <c r="Q126" s="56">
        <f t="shared" si="71"/>
        <v>3.8708390973401038E-4</v>
      </c>
      <c r="R126" s="9">
        <f>F126*$C$14</f>
        <v>1.4999999999999999E-4</v>
      </c>
      <c r="S126" s="9">
        <f t="shared" si="72"/>
        <v>3.3339722006443245E-7</v>
      </c>
      <c r="T126" s="9">
        <f t="shared" si="73"/>
        <v>1.3353249253085948E-4</v>
      </c>
      <c r="U126" s="9">
        <f t="shared" si="74"/>
        <v>1.4966660277993557E-4</v>
      </c>
      <c r="V126" s="102">
        <f t="shared" si="75"/>
        <v>0.8921996627878358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5"/>
        <v>5.4598878066109929E-5</v>
      </c>
      <c r="J127" s="54">
        <f t="shared" si="66"/>
        <v>1.0401926303760755E-2</v>
      </c>
      <c r="K127" s="55">
        <f t="shared" si="67"/>
        <v>0.99928471791571127</v>
      </c>
      <c r="L127" s="55">
        <f t="shared" si="68"/>
        <v>7.1682680166446869E-5</v>
      </c>
      <c r="M127" s="55">
        <f t="shared" si="51"/>
        <v>0.99992831731983356</v>
      </c>
      <c r="N127" s="55">
        <f t="shared" si="69"/>
        <v>4.1585441150253832E-6</v>
      </c>
      <c r="O127" s="56">
        <f t="shared" si="52"/>
        <v>9.9987260185372554E-7</v>
      </c>
      <c r="P127" s="56">
        <f t="shared" si="70"/>
        <v>1.0241099707722645E-6</v>
      </c>
      <c r="Q127" s="56">
        <f t="shared" si="71"/>
        <v>1.1882386323181243E-6</v>
      </c>
      <c r="R127" s="9">
        <f>F127*$C$14</f>
        <v>1.4999999999999999E-4</v>
      </c>
      <c r="S127" s="9">
        <f t="shared" si="72"/>
        <v>1.0752402024967029E-8</v>
      </c>
      <c r="T127" s="9">
        <f t="shared" si="73"/>
        <v>1.4989270768735668E-4</v>
      </c>
      <c r="U127" s="9">
        <f t="shared" si="74"/>
        <v>1.4998924759797503E-4</v>
      </c>
      <c r="V127" s="102">
        <f t="shared" si="75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6">IF(D128=0,"",LOG($K$15*10^D128+$K$16*10^E128+$K$14))</f>
        <v/>
      </c>
      <c r="J128" s="54" t="str">
        <f t="shared" ref="J128:J134" si="77">IF(D128=0,"",LOG($K$21*10^D128+$K$22*10^E128+$K$20))</f>
        <v/>
      </c>
      <c r="K128" s="55" t="str">
        <f t="shared" ref="K128:K134" si="78">IF(D128=0,"",1/(1+10^D128*$J$15/$J$14+10^E128*$J$16/$J$14+10^J128*$J$19/$J$14))</f>
        <v/>
      </c>
      <c r="L128" s="55" t="str">
        <f t="shared" ref="L128:L134" si="79">IF(D128=0,"",1/(1+10^I128/10^J128*$J$13/$J$19))</f>
        <v/>
      </c>
      <c r="M128" s="55" t="str">
        <f t="shared" ref="M128:M134" si="80">IF(D128=0,"",1-L128)</f>
        <v/>
      </c>
      <c r="N128" s="55" t="str">
        <f t="shared" ref="N128:N134" si="81">IF(D128=0,"",1/(1/10^E128*$J$20/$J$22+10^D128/10^E128*$J$21/$J$22+10^I128/10^E128*$J$13/$J$22+1))</f>
        <v/>
      </c>
      <c r="O128" s="56" t="str">
        <f t="shared" ref="O128:O134" si="82">IF(D128=0,"",F128*K128*$J$7/$J$14)</f>
        <v/>
      </c>
      <c r="P128" s="56" t="str">
        <f t="shared" ref="P128:P134" si="83">IF(D128=0,"",O128*10^J128)</f>
        <v/>
      </c>
      <c r="Q128" s="56" t="str">
        <f t="shared" ref="Q128:Q134" si="84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6"/>
        <v/>
      </c>
      <c r="J129" s="54" t="str">
        <f t="shared" si="77"/>
        <v/>
      </c>
      <c r="K129" s="55" t="str">
        <f t="shared" si="78"/>
        <v/>
      </c>
      <c r="L129" s="55" t="str">
        <f t="shared" si="79"/>
        <v/>
      </c>
      <c r="M129" s="55" t="str">
        <f t="shared" si="80"/>
        <v/>
      </c>
      <c r="N129" s="55" t="str">
        <f t="shared" si="81"/>
        <v/>
      </c>
      <c r="O129" s="56" t="str">
        <f t="shared" si="82"/>
        <v/>
      </c>
      <c r="P129" s="56" t="str">
        <f t="shared" si="83"/>
        <v/>
      </c>
      <c r="Q129" s="56" t="str">
        <f t="shared" si="84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6"/>
        <v>2.1084810301724875E-3</v>
      </c>
      <c r="J130" s="54">
        <f t="shared" si="77"/>
        <v>0.26394098838273811</v>
      </c>
      <c r="K130" s="55">
        <f t="shared" si="78"/>
        <v>0.99451410210947078</v>
      </c>
      <c r="L130" s="55">
        <f t="shared" si="79"/>
        <v>1.2790131127135023E-4</v>
      </c>
      <c r="M130" s="55">
        <f t="shared" si="80"/>
        <v>0.99987209868872862</v>
      </c>
      <c r="N130" s="55">
        <f t="shared" si="81"/>
        <v>2.1025968669097428E-5</v>
      </c>
      <c r="O130" s="56">
        <f t="shared" si="82"/>
        <v>9.9509917947158485E-7</v>
      </c>
      <c r="P130" s="56">
        <f t="shared" si="83"/>
        <v>1.8272894909019898E-6</v>
      </c>
      <c r="Q130" s="56">
        <f t="shared" si="84"/>
        <v>6.0078401391155034E-6</v>
      </c>
      <c r="R130" s="9">
        <f>F130*$C$14</f>
        <v>1.4999999999999999E-4</v>
      </c>
      <c r="S130" s="9">
        <f t="shared" ref="S130:S131" si="85">$R130*L130</f>
        <v>1.9185196690702534E-8</v>
      </c>
      <c r="T130" s="9">
        <f t="shared" ref="T130:T131" si="86">R130*K130</f>
        <v>1.491771153164206E-4</v>
      </c>
      <c r="U130" s="9">
        <f t="shared" ref="U130:U131" si="87">$R130*M130</f>
        <v>1.4998081480330927E-4</v>
      </c>
      <c r="V130" s="102">
        <f t="shared" ref="V130:V131" si="88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6"/>
        <v>-5.830329626681688E-5</v>
      </c>
      <c r="J131" s="54">
        <f t="shared" si="77"/>
        <v>-1.6017347337335706E-2</v>
      </c>
      <c r="K131" s="55">
        <f t="shared" si="78"/>
        <v>0.99954874382101433</v>
      </c>
      <c r="L131" s="55">
        <f t="shared" si="79"/>
        <v>6.7469842011381857E-5</v>
      </c>
      <c r="M131" s="55">
        <f t="shared" si="80"/>
        <v>0.99993253015798866</v>
      </c>
      <c r="N131" s="55">
        <f t="shared" si="81"/>
        <v>1.9972942185350431E-6</v>
      </c>
      <c r="O131" s="56">
        <f t="shared" si="82"/>
        <v>1.0001367830867206E-6</v>
      </c>
      <c r="P131" s="56">
        <f t="shared" si="83"/>
        <v>9.6392235571889495E-7</v>
      </c>
      <c r="Q131" s="56">
        <f t="shared" si="84"/>
        <v>5.7069543689438289E-7</v>
      </c>
      <c r="R131" s="9">
        <f>F131*$C$14</f>
        <v>1.4999999999999999E-4</v>
      </c>
      <c r="S131" s="9">
        <f t="shared" si="85"/>
        <v>1.0120476301707278E-8</v>
      </c>
      <c r="T131" s="9">
        <f t="shared" si="86"/>
        <v>1.4993231157315213E-4</v>
      </c>
      <c r="U131" s="9">
        <f t="shared" si="87"/>
        <v>1.4998987952369829E-4</v>
      </c>
      <c r="V131" s="102">
        <f t="shared" si="88"/>
        <v>0.99961618776727501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6"/>
        <v/>
      </c>
      <c r="J132" s="54" t="str">
        <f t="shared" si="77"/>
        <v/>
      </c>
      <c r="K132" s="55" t="str">
        <f t="shared" si="78"/>
        <v/>
      </c>
      <c r="L132" s="55" t="str">
        <f t="shared" si="79"/>
        <v/>
      </c>
      <c r="M132" s="55" t="str">
        <f t="shared" si="80"/>
        <v/>
      </c>
      <c r="N132" s="55" t="str">
        <f t="shared" si="81"/>
        <v/>
      </c>
      <c r="O132" s="56" t="str">
        <f t="shared" si="82"/>
        <v/>
      </c>
      <c r="P132" s="56" t="str">
        <f t="shared" si="83"/>
        <v/>
      </c>
      <c r="Q132" s="56" t="str">
        <f t="shared" si="84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6"/>
        <v/>
      </c>
      <c r="J133" s="54" t="str">
        <f t="shared" si="77"/>
        <v/>
      </c>
      <c r="K133" s="55" t="str">
        <f t="shared" si="78"/>
        <v/>
      </c>
      <c r="L133" s="55" t="str">
        <f t="shared" si="79"/>
        <v/>
      </c>
      <c r="M133" s="55" t="str">
        <f t="shared" si="80"/>
        <v/>
      </c>
      <c r="N133" s="55" t="str">
        <f t="shared" si="81"/>
        <v/>
      </c>
      <c r="O133" s="56" t="str">
        <f t="shared" si="82"/>
        <v/>
      </c>
      <c r="P133" s="56" t="str">
        <f t="shared" si="83"/>
        <v/>
      </c>
      <c r="Q133" s="56" t="str">
        <f t="shared" si="84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6"/>
        <v/>
      </c>
      <c r="J134" s="54" t="str">
        <f t="shared" si="77"/>
        <v/>
      </c>
      <c r="K134" s="55" t="str">
        <f t="shared" si="78"/>
        <v/>
      </c>
      <c r="L134" s="55" t="str">
        <f t="shared" si="79"/>
        <v/>
      </c>
      <c r="M134" s="55" t="str">
        <f t="shared" si="80"/>
        <v/>
      </c>
      <c r="N134" s="55" t="str">
        <f t="shared" si="81"/>
        <v/>
      </c>
      <c r="O134" s="56" t="str">
        <f t="shared" si="82"/>
        <v/>
      </c>
      <c r="P134" s="56" t="str">
        <f t="shared" si="83"/>
        <v/>
      </c>
      <c r="Q134" s="56" t="str">
        <f t="shared" si="84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2024-10-28T20:59:18Z</dcterms:modified>
</cp:coreProperties>
</file>