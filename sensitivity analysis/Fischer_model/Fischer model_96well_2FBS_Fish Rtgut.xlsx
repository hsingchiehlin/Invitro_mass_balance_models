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0544560B-7D1A-4724-84C6-471C813996FD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T131" i="4"/>
  <c r="R131" i="4"/>
  <c r="S131" i="4" s="1"/>
  <c r="V130" i="4"/>
  <c r="R130" i="4"/>
  <c r="U130" i="4" s="1"/>
  <c r="V127" i="4"/>
  <c r="U127" i="4"/>
  <c r="T127" i="4"/>
  <c r="R127" i="4"/>
  <c r="S127" i="4" s="1"/>
  <c r="V126" i="4"/>
  <c r="R126" i="4"/>
  <c r="U126" i="4" s="1"/>
  <c r="V124" i="4"/>
  <c r="U124" i="4"/>
  <c r="T124" i="4"/>
  <c r="S124" i="4"/>
  <c r="R124" i="4"/>
  <c r="V121" i="4"/>
  <c r="U121" i="4"/>
  <c r="R121" i="4"/>
  <c r="T121" i="4" s="1"/>
  <c r="V120" i="4"/>
  <c r="R120" i="4"/>
  <c r="S120" i="4" s="1"/>
  <c r="V119" i="4"/>
  <c r="U119" i="4"/>
  <c r="T119" i="4"/>
  <c r="S119" i="4"/>
  <c r="R119" i="4"/>
  <c r="V116" i="4"/>
  <c r="R116" i="4"/>
  <c r="S116" i="4" s="1"/>
  <c r="V115" i="4"/>
  <c r="U115" i="4"/>
  <c r="T115" i="4"/>
  <c r="S115" i="4"/>
  <c r="R115" i="4"/>
  <c r="V114" i="4"/>
  <c r="U114" i="4"/>
  <c r="T114" i="4"/>
  <c r="S114" i="4"/>
  <c r="R114" i="4"/>
  <c r="V108" i="4"/>
  <c r="R108" i="4"/>
  <c r="U108" i="4" s="1"/>
  <c r="V107" i="4"/>
  <c r="U107" i="4"/>
  <c r="T107" i="4"/>
  <c r="S107" i="4"/>
  <c r="R107" i="4"/>
  <c r="V93" i="4"/>
  <c r="R93" i="4"/>
  <c r="T93" i="4" s="1"/>
  <c r="V92" i="4"/>
  <c r="U92" i="4"/>
  <c r="T92" i="4"/>
  <c r="S92" i="4"/>
  <c r="R92" i="4"/>
  <c r="V91" i="4"/>
  <c r="R91" i="4"/>
  <c r="U91" i="4" s="1"/>
  <c r="V90" i="4"/>
  <c r="U90" i="4"/>
  <c r="T90" i="4"/>
  <c r="S90" i="4"/>
  <c r="R90" i="4"/>
  <c r="V89" i="4"/>
  <c r="U89" i="4"/>
  <c r="R89" i="4"/>
  <c r="T89" i="4" s="1"/>
  <c r="V88" i="4"/>
  <c r="R88" i="4"/>
  <c r="U88" i="4" s="1"/>
  <c r="V86" i="4"/>
  <c r="U86" i="4"/>
  <c r="T86" i="4"/>
  <c r="S86" i="4"/>
  <c r="R86" i="4"/>
  <c r="V85" i="4"/>
  <c r="R85" i="4"/>
  <c r="S85" i="4" s="1"/>
  <c r="V84" i="4"/>
  <c r="U84" i="4"/>
  <c r="T84" i="4"/>
  <c r="S84" i="4"/>
  <c r="R84" i="4"/>
  <c r="V83" i="4"/>
  <c r="U83" i="4"/>
  <c r="S83" i="4"/>
  <c r="R83" i="4"/>
  <c r="T83" i="4" s="1"/>
  <c r="V82" i="4"/>
  <c r="R82" i="4"/>
  <c r="U82" i="4" s="1"/>
  <c r="V81" i="4"/>
  <c r="U81" i="4"/>
  <c r="T81" i="4"/>
  <c r="S81" i="4"/>
  <c r="R81" i="4"/>
  <c r="V80" i="4"/>
  <c r="R80" i="4"/>
  <c r="S80" i="4" s="1"/>
  <c r="V79" i="4"/>
  <c r="U79" i="4"/>
  <c r="T79" i="4"/>
  <c r="S79" i="4"/>
  <c r="R79" i="4"/>
  <c r="V78" i="4"/>
  <c r="R78" i="4"/>
  <c r="U78" i="4" s="1"/>
  <c r="V77" i="4"/>
  <c r="U77" i="4"/>
  <c r="T77" i="4"/>
  <c r="S77" i="4"/>
  <c r="R77" i="4"/>
  <c r="V76" i="4"/>
  <c r="U76" i="4"/>
  <c r="R76" i="4"/>
  <c r="T76" i="4" s="1"/>
  <c r="V75" i="4"/>
  <c r="R75" i="4"/>
  <c r="T75" i="4" s="1"/>
  <c r="V74" i="4"/>
  <c r="U74" i="4"/>
  <c r="T74" i="4"/>
  <c r="S74" i="4"/>
  <c r="R74" i="4"/>
  <c r="V73" i="4"/>
  <c r="R73" i="4"/>
  <c r="S73" i="4" s="1"/>
  <c r="V72" i="4"/>
  <c r="U72" i="4"/>
  <c r="T72" i="4"/>
  <c r="S72" i="4"/>
  <c r="R72" i="4"/>
  <c r="V71" i="4"/>
  <c r="U71" i="4"/>
  <c r="S71" i="4"/>
  <c r="R71" i="4"/>
  <c r="T71" i="4" s="1"/>
  <c r="V70" i="4"/>
  <c r="R70" i="4"/>
  <c r="U70" i="4" s="1"/>
  <c r="V69" i="4"/>
  <c r="U69" i="4"/>
  <c r="T69" i="4"/>
  <c r="S69" i="4"/>
  <c r="R69" i="4"/>
  <c r="V68" i="4"/>
  <c r="R68" i="4"/>
  <c r="T68" i="4" s="1"/>
  <c r="V65" i="4"/>
  <c r="U65" i="4"/>
  <c r="T65" i="4"/>
  <c r="S65" i="4"/>
  <c r="R65" i="4"/>
  <c r="V64" i="4"/>
  <c r="R64" i="4"/>
  <c r="U64" i="4" s="1"/>
  <c r="V63" i="4"/>
  <c r="U63" i="4"/>
  <c r="T63" i="4"/>
  <c r="S63" i="4"/>
  <c r="R63" i="4"/>
  <c r="V62" i="4"/>
  <c r="U62" i="4"/>
  <c r="R62" i="4"/>
  <c r="T62" i="4" s="1"/>
  <c r="V61" i="4"/>
  <c r="R61" i="4"/>
  <c r="S61" i="4" s="1"/>
  <c r="V60" i="4"/>
  <c r="U60" i="4"/>
  <c r="T60" i="4"/>
  <c r="S60" i="4"/>
  <c r="R60" i="4"/>
  <c r="V58" i="4"/>
  <c r="R58" i="4"/>
  <c r="S58" i="4" s="1"/>
  <c r="V57" i="4"/>
  <c r="U57" i="4"/>
  <c r="T57" i="4"/>
  <c r="S57" i="4"/>
  <c r="R57" i="4"/>
  <c r="V49" i="4"/>
  <c r="U49" i="4"/>
  <c r="S49" i="4"/>
  <c r="R49" i="4"/>
  <c r="T49" i="4" s="1"/>
  <c r="V48" i="4"/>
  <c r="R48" i="4"/>
  <c r="T48" i="4" s="1"/>
  <c r="V47" i="4"/>
  <c r="U47" i="4"/>
  <c r="T47" i="4"/>
  <c r="S47" i="4"/>
  <c r="R47" i="4"/>
  <c r="V46" i="4"/>
  <c r="R46" i="4"/>
  <c r="T46" i="4" s="1"/>
  <c r="V45" i="4"/>
  <c r="U45" i="4"/>
  <c r="T45" i="4"/>
  <c r="R45" i="4"/>
  <c r="S45" i="4" s="1"/>
  <c r="V44" i="4"/>
  <c r="R44" i="4"/>
  <c r="U44" i="4" s="1"/>
  <c r="V43" i="4"/>
  <c r="U43" i="4"/>
  <c r="T43" i="4"/>
  <c r="S43" i="4"/>
  <c r="R43" i="4"/>
  <c r="V42" i="4"/>
  <c r="U42" i="4"/>
  <c r="R42" i="4"/>
  <c r="T42" i="4" s="1"/>
  <c r="V41" i="4"/>
  <c r="R41" i="4"/>
  <c r="S41" i="4" s="1"/>
  <c r="V40" i="4"/>
  <c r="U40" i="4"/>
  <c r="T40" i="4"/>
  <c r="S40" i="4"/>
  <c r="R40" i="4"/>
  <c r="V39" i="4"/>
  <c r="R39" i="4"/>
  <c r="U39" i="4" s="1"/>
  <c r="V38" i="4"/>
  <c r="U38" i="4"/>
  <c r="T38" i="4"/>
  <c r="S38" i="4"/>
  <c r="R38" i="4"/>
  <c r="V37" i="4"/>
  <c r="U37" i="4"/>
  <c r="T37" i="4"/>
  <c r="S37" i="4"/>
  <c r="R37" i="4"/>
  <c r="V36" i="4"/>
  <c r="R36" i="4"/>
  <c r="U36" i="4" s="1"/>
  <c r="V35" i="4"/>
  <c r="U35" i="4"/>
  <c r="T35" i="4"/>
  <c r="R35" i="4"/>
  <c r="S35" i="4" s="1"/>
  <c r="V34" i="4"/>
  <c r="R34" i="4"/>
  <c r="T34" i="4" s="1"/>
  <c r="V33" i="4"/>
  <c r="U33" i="4"/>
  <c r="T33" i="4"/>
  <c r="S33" i="4"/>
  <c r="R33" i="4"/>
  <c r="V32" i="4"/>
  <c r="R32" i="4"/>
  <c r="U32" i="4" s="1"/>
  <c r="V31" i="4"/>
  <c r="U31" i="4"/>
  <c r="T31" i="4"/>
  <c r="S31" i="4"/>
  <c r="R31" i="4"/>
  <c r="V30" i="4"/>
  <c r="U30" i="4"/>
  <c r="R30" i="4"/>
  <c r="T30" i="4" s="1"/>
  <c r="V29" i="4"/>
  <c r="R29" i="4"/>
  <c r="S29" i="4" s="1"/>
  <c r="V28" i="4"/>
  <c r="U28" i="4"/>
  <c r="T28" i="4"/>
  <c r="S28" i="4"/>
  <c r="R28" i="4"/>
  <c r="I127" i="4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 s="1"/>
  <c r="I131" i="4"/>
  <c r="J131" i="4"/>
  <c r="K131" i="4"/>
  <c r="L131" i="4"/>
  <c r="M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T108" i="4" l="1"/>
  <c r="S36" i="4"/>
  <c r="S48" i="4"/>
  <c r="S82" i="4"/>
  <c r="S108" i="4"/>
  <c r="S75" i="4"/>
  <c r="T82" i="4"/>
  <c r="S88" i="4"/>
  <c r="T29" i="4"/>
  <c r="S34" i="4"/>
  <c r="T41" i="4"/>
  <c r="S46" i="4"/>
  <c r="U48" i="4"/>
  <c r="T61" i="4"/>
  <c r="S68" i="4"/>
  <c r="T88" i="4"/>
  <c r="S93" i="4"/>
  <c r="S130" i="4"/>
  <c r="S39" i="4"/>
  <c r="U75" i="4"/>
  <c r="T130" i="4"/>
  <c r="S32" i="4"/>
  <c r="U34" i="4"/>
  <c r="T39" i="4"/>
  <c r="S44" i="4"/>
  <c r="U46" i="4"/>
  <c r="T58" i="4"/>
  <c r="S64" i="4"/>
  <c r="U68" i="4"/>
  <c r="T73" i="4"/>
  <c r="S78" i="4"/>
  <c r="U80" i="4"/>
  <c r="T85" i="4"/>
  <c r="S91" i="4"/>
  <c r="U93" i="4"/>
  <c r="T116" i="4"/>
  <c r="S126" i="4"/>
  <c r="T120" i="4"/>
  <c r="U120" i="4"/>
  <c r="T32" i="4"/>
  <c r="T44" i="4"/>
  <c r="U58" i="4"/>
  <c r="T64" i="4"/>
  <c r="U73" i="4"/>
  <c r="T78" i="4"/>
  <c r="U85" i="4"/>
  <c r="T91" i="4"/>
  <c r="U116" i="4"/>
  <c r="T126" i="4"/>
  <c r="T36" i="4"/>
  <c r="U29" i="4"/>
  <c r="U41" i="4"/>
  <c r="U61" i="4"/>
  <c r="T80" i="4"/>
  <c r="S30" i="4"/>
  <c r="S42" i="4"/>
  <c r="S62" i="4"/>
  <c r="S76" i="4"/>
  <c r="S89" i="4"/>
  <c r="S121" i="4"/>
  <c r="S70" i="4"/>
  <c r="T70" i="4"/>
  <c r="O15" i="1" l="1"/>
  <c r="L15" i="1"/>
  <c r="N15" i="1"/>
  <c r="M97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4" i="4"/>
  <c r="M125" i="4"/>
  <c r="J16" i="4"/>
  <c r="J15" i="4"/>
  <c r="J87" i="4"/>
  <c r="K87" i="4"/>
  <c r="J122" i="4"/>
  <c r="K122" i="4"/>
  <c r="J117" i="4"/>
  <c r="K117" i="4"/>
  <c r="J120" i="4"/>
  <c r="K120" i="4" s="1"/>
  <c r="O120" i="4" s="1"/>
  <c r="P120" i="4" s="1"/>
  <c r="J101" i="4"/>
  <c r="K101" i="4"/>
  <c r="J86" i="4"/>
  <c r="K86" i="4" s="1"/>
  <c r="J85" i="4"/>
  <c r="K85" i="4"/>
  <c r="J88" i="4"/>
  <c r="K88" i="4" s="1"/>
  <c r="J119" i="4"/>
  <c r="K119" i="4"/>
  <c r="J72" i="4"/>
  <c r="K72" i="4" s="1"/>
  <c r="J103" i="4"/>
  <c r="K103" i="4"/>
  <c r="J118" i="4"/>
  <c r="K118" i="4"/>
  <c r="J104" i="4"/>
  <c r="K104" i="4"/>
  <c r="J90" i="4"/>
  <c r="K90" i="4" s="1"/>
  <c r="J71" i="4"/>
  <c r="K71" i="4" s="1"/>
  <c r="O71" i="4" s="1"/>
  <c r="P71" i="4" s="1"/>
  <c r="J110" i="4"/>
  <c r="K110" i="4"/>
  <c r="J82" i="4"/>
  <c r="K82" i="4"/>
  <c r="J113" i="4"/>
  <c r="K113" i="4"/>
  <c r="J97" i="4"/>
  <c r="K97" i="4" s="1"/>
  <c r="J81" i="4"/>
  <c r="K81" i="4" s="1"/>
  <c r="J116" i="4"/>
  <c r="K116" i="4"/>
  <c r="J100" i="4"/>
  <c r="K100" i="4"/>
  <c r="O100" i="4"/>
  <c r="J84" i="4"/>
  <c r="K84" i="4" s="1"/>
  <c r="J114" i="4"/>
  <c r="K114" i="4"/>
  <c r="O114" i="4" s="1"/>
  <c r="P114" i="4" s="1"/>
  <c r="J78" i="4"/>
  <c r="K78" i="4" s="1"/>
  <c r="J115" i="4"/>
  <c r="K115" i="4" s="1"/>
  <c r="O115" i="4" s="1"/>
  <c r="P115" i="4" s="1"/>
  <c r="J99" i="4"/>
  <c r="K99" i="4"/>
  <c r="J83" i="4"/>
  <c r="K83" i="4" s="1"/>
  <c r="J102" i="4"/>
  <c r="K102" i="4"/>
  <c r="J74" i="4"/>
  <c r="K74" i="4"/>
  <c r="J125" i="4"/>
  <c r="K125" i="4"/>
  <c r="J109" i="4"/>
  <c r="K109" i="4"/>
  <c r="J93" i="4"/>
  <c r="K93" i="4"/>
  <c r="J77" i="4"/>
  <c r="K77" i="4" s="1"/>
  <c r="J112" i="4"/>
  <c r="K112" i="4"/>
  <c r="J96" i="4"/>
  <c r="K96" i="4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 s="1"/>
  <c r="J126" i="4"/>
  <c r="K126" i="4"/>
  <c r="O126" i="4" s="1"/>
  <c r="P126" i="4" s="1"/>
  <c r="J94" i="4"/>
  <c r="K94" i="4"/>
  <c r="J121" i="4"/>
  <c r="K121" i="4"/>
  <c r="J105" i="4"/>
  <c r="K105" i="4"/>
  <c r="J89" i="4"/>
  <c r="K89" i="4" s="1"/>
  <c r="J73" i="4"/>
  <c r="K73" i="4"/>
  <c r="J124" i="4"/>
  <c r="K124" i="4"/>
  <c r="O124" i="4" s="1"/>
  <c r="P124" i="4" s="1"/>
  <c r="J108" i="4"/>
  <c r="K108" i="4" s="1"/>
  <c r="O108" i="4" s="1"/>
  <c r="P108" i="4" s="1"/>
  <c r="J92" i="4"/>
  <c r="K92" i="4"/>
  <c r="J76" i="4"/>
  <c r="K76" i="4" s="1"/>
  <c r="J98" i="4"/>
  <c r="K98" i="4"/>
  <c r="J123" i="4"/>
  <c r="K123" i="4"/>
  <c r="J107" i="4"/>
  <c r="K107" i="4"/>
  <c r="J91" i="4"/>
  <c r="K91" i="4" s="1"/>
  <c r="O91" i="4" s="1"/>
  <c r="P91" i="4" s="1"/>
  <c r="J75" i="4"/>
  <c r="K75" i="4"/>
  <c r="P100" i="4"/>
  <c r="O107" i="4"/>
  <c r="P107" i="4" s="1"/>
  <c r="O112" i="4"/>
  <c r="P112" i="4"/>
  <c r="O75" i="4"/>
  <c r="P75" i="4"/>
  <c r="O98" i="4"/>
  <c r="P98" i="4"/>
  <c r="O105" i="4"/>
  <c r="P105" i="4"/>
  <c r="O111" i="4"/>
  <c r="P111" i="4"/>
  <c r="O104" i="4"/>
  <c r="P104" i="4"/>
  <c r="O85" i="4"/>
  <c r="P85" i="4" s="1"/>
  <c r="O121" i="4"/>
  <c r="P121" i="4" s="1"/>
  <c r="O93" i="4"/>
  <c r="P93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6" i="4"/>
  <c r="P116" i="4"/>
  <c r="O113" i="4"/>
  <c r="P113" i="4"/>
  <c r="O103" i="4"/>
  <c r="P103" i="4"/>
  <c r="O119" i="4"/>
  <c r="P119" i="4"/>
  <c r="O122" i="4"/>
  <c r="P122" i="4"/>
  <c r="O123" i="4"/>
  <c r="P123" i="4"/>
  <c r="O92" i="4"/>
  <c r="P92" i="4" s="1"/>
  <c r="O94" i="4"/>
  <c r="P94" i="4"/>
  <c r="O125" i="4"/>
  <c r="P125" i="4"/>
  <c r="O99" i="4"/>
  <c r="P99" i="4"/>
  <c r="O101" i="4"/>
  <c r="P101" i="4"/>
  <c r="O87" i="4"/>
  <c r="P87" i="4" s="1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L119" i="4" s="1"/>
  <c r="M119" i="4" s="1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N75" i="4" s="1"/>
  <c r="Q75" i="4" s="1"/>
  <c r="I80" i="4"/>
  <c r="I83" i="4"/>
  <c r="N83" i="4" s="1"/>
  <c r="Q83" i="4" s="1"/>
  <c r="I86" i="4"/>
  <c r="L86" i="4" s="1"/>
  <c r="I88" i="4"/>
  <c r="N88" i="4" s="1"/>
  <c r="Q88" i="4" s="1"/>
  <c r="I94" i="4"/>
  <c r="I95" i="4"/>
  <c r="I98" i="4"/>
  <c r="I101" i="4"/>
  <c r="I118" i="4"/>
  <c r="I73" i="4"/>
  <c r="N73" i="4" s="1"/>
  <c r="Q73" i="4" s="1"/>
  <c r="I74" i="4"/>
  <c r="I78" i="4"/>
  <c r="I82" i="4"/>
  <c r="N82" i="4" s="1"/>
  <c r="Q82" i="4" s="1"/>
  <c r="I85" i="4"/>
  <c r="L85" i="4" s="1"/>
  <c r="I93" i="4"/>
  <c r="L93" i="4" s="1"/>
  <c r="I112" i="4"/>
  <c r="I114" i="4"/>
  <c r="I121" i="4"/>
  <c r="L121" i="4" s="1"/>
  <c r="M121" i="4" s="1"/>
  <c r="I122" i="4"/>
  <c r="I84" i="4"/>
  <c r="L84" i="4" s="1"/>
  <c r="I87" i="4"/>
  <c r="I91" i="4"/>
  <c r="I97" i="4"/>
  <c r="I105" i="4"/>
  <c r="I116" i="4"/>
  <c r="L116" i="4" s="1"/>
  <c r="M116" i="4" s="1"/>
  <c r="I126" i="4"/>
  <c r="L105" i="4"/>
  <c r="N105" i="4"/>
  <c r="Q105" i="4"/>
  <c r="N84" i="4"/>
  <c r="Q84" i="4" s="1"/>
  <c r="N121" i="4"/>
  <c r="Q121" i="4" s="1"/>
  <c r="L73" i="4"/>
  <c r="N101" i="4"/>
  <c r="Q101" i="4"/>
  <c r="L101" i="4"/>
  <c r="L75" i="4"/>
  <c r="L106" i="4"/>
  <c r="N106" i="4"/>
  <c r="Q106" i="4"/>
  <c r="L124" i="4"/>
  <c r="N124" i="4"/>
  <c r="Q124" i="4" s="1"/>
  <c r="N107" i="4"/>
  <c r="Q107" i="4"/>
  <c r="L107" i="4"/>
  <c r="M107" i="4" s="1"/>
  <c r="N79" i="4"/>
  <c r="Q79" i="4" s="1"/>
  <c r="L79" i="4"/>
  <c r="N119" i="4"/>
  <c r="Q119" i="4" s="1"/>
  <c r="N108" i="4"/>
  <c r="Q108" i="4"/>
  <c r="L96" i="4"/>
  <c r="N96" i="4"/>
  <c r="Q96" i="4"/>
  <c r="N77" i="4"/>
  <c r="Q77" i="4" s="1"/>
  <c r="L77" i="4"/>
  <c r="L97" i="4"/>
  <c r="N97" i="4"/>
  <c r="Q97" i="4"/>
  <c r="N114" i="4"/>
  <c r="Q114" i="4"/>
  <c r="L114" i="4"/>
  <c r="M114" i="4" s="1"/>
  <c r="N98" i="4"/>
  <c r="Q98" i="4"/>
  <c r="L98" i="4"/>
  <c r="N86" i="4"/>
  <c r="Q86" i="4" s="1"/>
  <c r="N71" i="4"/>
  <c r="Q71" i="4" s="1"/>
  <c r="L71" i="4"/>
  <c r="M71" i="4" s="1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M115" i="4" s="1"/>
  <c r="L104" i="4"/>
  <c r="N104" i="4"/>
  <c r="Q104" i="4"/>
  <c r="N90" i="4"/>
  <c r="Q90" i="4" s="1"/>
  <c r="L90" i="4"/>
  <c r="N76" i="4"/>
  <c r="Q76" i="4"/>
  <c r="N126" i="4"/>
  <c r="Q126" i="4" s="1"/>
  <c r="L126" i="4"/>
  <c r="M126" i="4" s="1"/>
  <c r="N91" i="4"/>
  <c r="Q91" i="4"/>
  <c r="L112" i="4"/>
  <c r="N112" i="4"/>
  <c r="Q112" i="4"/>
  <c r="L78" i="4"/>
  <c r="N78" i="4"/>
  <c r="Q78" i="4" s="1"/>
  <c r="L127" i="4"/>
  <c r="M127" i="4" s="1"/>
  <c r="N127" i="4"/>
  <c r="Q127" i="4" s="1"/>
  <c r="N95" i="4"/>
  <c r="Q95" i="4" s="1"/>
  <c r="L95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L89" i="4"/>
  <c r="N87" i="4"/>
  <c r="Q87" i="4" s="1"/>
  <c r="L87" i="4"/>
  <c r="N122" i="4"/>
  <c r="Q122" i="4"/>
  <c r="L122" i="4"/>
  <c r="N74" i="4"/>
  <c r="Q74" i="4" s="1"/>
  <c r="L74" i="4"/>
  <c r="N118" i="4"/>
  <c r="Q118" i="4"/>
  <c r="L118" i="4"/>
  <c r="L94" i="4"/>
  <c r="N94" i="4"/>
  <c r="Q94" i="4" s="1"/>
  <c r="L80" i="4"/>
  <c r="N80" i="4"/>
  <c r="Q80" i="4" s="1"/>
  <c r="N109" i="4"/>
  <c r="Q109" i="4"/>
  <c r="L109" i="4"/>
  <c r="L92" i="4"/>
  <c r="N92" i="4"/>
  <c r="Q92" i="4" s="1"/>
  <c r="N120" i="4"/>
  <c r="Q120" i="4" s="1"/>
  <c r="L120" i="4"/>
  <c r="M120" i="4" s="1"/>
  <c r="N111" i="4"/>
  <c r="Q111" i="4"/>
  <c r="L111" i="4"/>
  <c r="N99" i="4"/>
  <c r="Q99" i="4"/>
  <c r="L99" i="4"/>
  <c r="L81" i="4"/>
  <c r="N81" i="4"/>
  <c r="Q81" i="4" s="1"/>
  <c r="O83" i="4" l="1"/>
  <c r="P83" i="4" s="1"/>
  <c r="O79" i="4"/>
  <c r="P79" i="4" s="1"/>
  <c r="O77" i="4"/>
  <c r="P77" i="4" s="1"/>
  <c r="O72" i="4"/>
  <c r="P72" i="4" s="1"/>
  <c r="O76" i="4"/>
  <c r="P76" i="4" s="1"/>
  <c r="M94" i="4"/>
  <c r="O96" i="4"/>
  <c r="P96" i="4" s="1"/>
  <c r="N116" i="4"/>
  <c r="Q116" i="4" s="1"/>
  <c r="M77" i="4"/>
  <c r="L82" i="4"/>
  <c r="M89" i="4"/>
  <c r="O84" i="4"/>
  <c r="P84" i="4" s="1"/>
  <c r="O82" i="4"/>
  <c r="P82" i="4" s="1"/>
  <c r="M73" i="4"/>
  <c r="O73" i="4"/>
  <c r="P73" i="4" s="1"/>
  <c r="M92" i="4"/>
  <c r="M74" i="4"/>
  <c r="O95" i="4"/>
  <c r="P95" i="4" s="1"/>
  <c r="M81" i="4"/>
  <c r="M96" i="4"/>
  <c r="M84" i="4"/>
  <c r="O89" i="4"/>
  <c r="P89" i="4" s="1"/>
  <c r="L83" i="4"/>
  <c r="O88" i="4"/>
  <c r="P88" i="4" s="1"/>
  <c r="M90" i="4"/>
  <c r="O74" i="4"/>
  <c r="P74" i="4" s="1"/>
  <c r="L91" i="4"/>
  <c r="M91" i="4" s="1"/>
  <c r="L108" i="4"/>
  <c r="M108" i="4" s="1"/>
  <c r="O90" i="4"/>
  <c r="P90" i="4" s="1"/>
  <c r="M79" i="4"/>
  <c r="M78" i="4"/>
  <c r="M95" i="4"/>
  <c r="L76" i="4"/>
  <c r="O81" i="4"/>
  <c r="P81" i="4" s="1"/>
  <c r="O86" i="4"/>
  <c r="P86" i="4" s="1"/>
  <c r="M87" i="4"/>
  <c r="M72" i="4"/>
  <c r="O97" i="4"/>
  <c r="P97" i="4" s="1"/>
  <c r="M80" i="4"/>
  <c r="M93" i="4"/>
  <c r="M75" i="4"/>
  <c r="M85" i="4"/>
  <c r="M86" i="4"/>
  <c r="O80" i="4"/>
  <c r="P80" i="4" s="1"/>
  <c r="O78" i="4"/>
  <c r="P78" i="4" s="1"/>
  <c r="N85" i="4"/>
  <c r="Q85" i="4" s="1"/>
  <c r="L88" i="4"/>
  <c r="N93" i="4"/>
  <c r="Q93" i="4" s="1"/>
  <c r="J14" i="4"/>
  <c r="J13" i="4" s="1"/>
  <c r="K16" i="4" s="1"/>
  <c r="M83" i="4" l="1"/>
  <c r="M82" i="4"/>
  <c r="M88" i="4"/>
  <c r="M76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9" i="4" l="1"/>
  <c r="M64" i="4"/>
  <c r="O65" i="4"/>
  <c r="P65" i="4" s="1"/>
  <c r="M68" i="4"/>
  <c r="M57" i="4"/>
  <c r="M66" i="4"/>
  <c r="M67" i="4"/>
  <c r="O68" i="4"/>
  <c r="P68" i="4" s="1"/>
  <c r="O64" i="4"/>
  <c r="P64" i="4" s="1"/>
  <c r="M58" i="4"/>
  <c r="O66" i="4"/>
  <c r="P66" i="4" s="1"/>
  <c r="O67" i="4"/>
  <c r="P67" i="4" s="1"/>
  <c r="O69" i="4"/>
  <c r="P69" i="4" s="1"/>
  <c r="M65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L45" i="4" s="1"/>
  <c r="J30" i="4"/>
  <c r="K30" i="4" s="1"/>
  <c r="J43" i="4"/>
  <c r="J31" i="4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7" i="4"/>
  <c r="K47" i="4"/>
  <c r="K44" i="4"/>
  <c r="K52" i="4"/>
  <c r="O52" i="4" s="1"/>
  <c r="P52" i="4" s="1"/>
  <c r="L52" i="4"/>
  <c r="M52" i="4" s="1"/>
  <c r="L43" i="4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M48" i="4" l="1"/>
  <c r="O49" i="4"/>
  <c r="P49" i="4" s="1"/>
  <c r="M49" i="4"/>
  <c r="O48" i="4"/>
  <c r="P48" i="4" s="1"/>
  <c r="O35" i="4"/>
  <c r="P35" i="4" s="1"/>
  <c r="O47" i="4"/>
  <c r="P47" i="4" s="1"/>
  <c r="M31" i="4"/>
  <c r="O33" i="4"/>
  <c r="P33" i="4" s="1"/>
  <c r="L35" i="4"/>
  <c r="M44" i="4"/>
  <c r="M47" i="4"/>
  <c r="O46" i="4"/>
  <c r="P46" i="4" s="1"/>
  <c r="M43" i="4"/>
  <c r="O44" i="4"/>
  <c r="P44" i="4" s="1"/>
  <c r="O31" i="4"/>
  <c r="P31" i="4" s="1"/>
  <c r="O28" i="4"/>
  <c r="P28" i="4" s="1"/>
  <c r="O43" i="4"/>
  <c r="P43" i="4" s="1"/>
  <c r="O39" i="4"/>
  <c r="P39" i="4" s="1"/>
  <c r="O41" i="4"/>
  <c r="P41" i="4" s="1"/>
  <c r="O30" i="4"/>
  <c r="P30" i="4" s="1"/>
  <c r="M39" i="4"/>
  <c r="M45" i="4"/>
  <c r="K45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M35" i="4" l="1"/>
  <c r="M33" i="4"/>
  <c r="O34" i="4"/>
  <c r="P34" i="4" s="1"/>
  <c r="O36" i="4"/>
  <c r="P36" i="4" s="1"/>
  <c r="O29" i="4"/>
  <c r="P29" i="4" s="1"/>
  <c r="O38" i="4"/>
  <c r="P38" i="4" s="1"/>
  <c r="O45" i="4"/>
  <c r="P45" i="4" s="1"/>
  <c r="O32" i="4"/>
  <c r="P32" i="4" s="1"/>
  <c r="O40" i="4"/>
  <c r="P40" i="4" s="1"/>
  <c r="O42" i="4"/>
  <c r="P42" i="4" s="1"/>
  <c r="M41" i="4"/>
  <c r="O37" i="4"/>
  <c r="P37" i="4" s="1"/>
  <c r="M46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<sst xmlns="http://schemas.openxmlformats.org/spreadsheetml/2006/main" count="318" uniqueCount="294">
  <si>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</si>
  <si>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</si>
  <si>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</si>
  <si>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</si>
  <si>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</si>
  <si>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</si>
  <si>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</si>
  <si>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</si>
  <si>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</si>
  <si>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</si>
  <si>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</si>
  <si>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</si>
  <si>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</si>
  <si>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</si>
  <si>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</si>
  <si>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</si>
  <si>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</si>
  <si>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</si>
  <si>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</si>
  <si>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</si>
  <si>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</si>
  <si>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</si>
  <si>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</si>
  <si>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</si>
  <si>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</si>
  <si>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</si>
  <si>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</si>
  <si>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</si>
  <si>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</si>
  <si>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</si>
  <si>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</si>
  <si>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</si>
  <si>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</si>
  <si>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</si>
  <si>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</si>
  <si>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</si>
  <si>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</si>
  <si>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</si>
  <si>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</si>
  <si>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</si>
  <si>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</si>
  <si>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</si>
  <si>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</si>
  <si>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</si>
  <si>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</si>
  <si>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</si>
  <si>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</si>
  <si>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</si>
  <si>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</si>
  <si>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</si>
  <si>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</si>
  <si>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</si>
  <si>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</si>
  <si>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</si>
  <si>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</si>
  <si>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</si>
  <si>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</si>
  <si>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</si>
  <si>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</si>
  <si>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</si>
  <si>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</si>
  <si>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</si>
  <si>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</si>
  <si>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</si>
  <si>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</si>
  <si>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</si>
  <si>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</si>
  <si>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</si>
  <si>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</si>
  <si>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</si>
  <si>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</si>
  <si>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</si>
  <si>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</si>
  <si>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</si>
  <si>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</si>
  <si>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</si>
  <si>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</si>
  <si>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</si>
  <si>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</si>
  <si>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</si>
  <si>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</si>
  <si>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</si>
  <si>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</si>
  <si>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</si>
  <si>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</si>
  <si>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</si>
  <si>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</si>
  <si>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</si>
  <si>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</si>
  <si>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</si>
  <si>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</si>
  <si>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</si>
  <si>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</si>
  <si>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</si>
  <si>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</si>
  <si>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</si>
  <si>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</si>
  <si>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</si>
  <si>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</si>
  <si>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</si>
  <si>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</si>
  <si>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</si>
  <si>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</si>
  <si>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</si>
  <si>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</si>
  <si>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</si>
  <si>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</si>
  <si>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</si>
  <si>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</si>
  <si>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</si>
  <si>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</si>
  <si>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Fish Rtgut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</si>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</sst>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111</v>
      </c>
      <c r="K17" s="31" t="s">
        <v>79</v>
      </c>
      <c r="L17" s="81">
        <v>8.9000000000000006E-4</v>
      </c>
      <c r="M17" s="81">
        <v>6.0000000000000002E-5</v>
      </c>
      <c r="N17" s="81">
        <v>5.0000000000000002E-5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96" zoomScale="63" zoomScaleNormal="70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150.02000000000001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149.9401</v>
      </c>
      <c r="K8" s="39">
        <f>J8/J7</f>
        <v>0.99946740434608716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7.3200000000000001E-2</v>
      </c>
      <c r="K9" s="39">
        <f>J9/J7</f>
        <v>4.8793494200773227E-4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6.6999999999999994E-3</v>
      </c>
      <c r="K10" s="39">
        <f>J10/J7</f>
        <v>4.4660711905079316E-5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150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2.0000000000000004E-2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1.7800000000000003E-2</v>
      </c>
      <c r="K20" s="39">
        <f>J20/J19</f>
        <v>0.89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1.2000000000000001E-3</v>
      </c>
      <c r="K21" s="39">
        <f>J21/J19</f>
        <v>5.9999999999999991E-2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1.0000000000000002E-3</v>
      </c>
      <c r="K22" s="39">
        <f>J22/J19</f>
        <v>0.05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1.0151699775534529E-2</v>
      </c>
      <c r="J28" s="94">
        <f t="shared" ref="J28:J47" si="2">IF(D28=0,"",LOG($K$21*10^D28+$K$22*10^E28+$K$20))</f>
        <v>0.87654628857053851</v>
      </c>
      <c r="K28" s="95">
        <f t="shared" ref="K28:K47" si="3">IF(D28=0,"",1/(1+10^D28*$J$15/$J$14+10^E28*$J$16/$J$14+10^J28*$J$19/$J$14))</f>
        <v>0.97543373675024547</v>
      </c>
      <c r="L28" s="95">
        <f t="shared" ref="L28:L47" si="4">IF(D28=0,"",1/(1+10^I28/10^J28*$J$13/$J$19))</f>
        <v>9.7928210894418738E-4</v>
      </c>
      <c r="M28" s="95">
        <f t="shared" ref="M28:M47" si="5">IF(D28=0,"",1-L28)</f>
        <v>0.99902071789105584</v>
      </c>
      <c r="N28" s="95">
        <f t="shared" ref="N28:N47" si="6">IF(D28=0,"",1/(1/10^E28*$J$20/$J$22+10^D28/10^E28*$J$21/$J$22+10^I28/10^E28*$J$13/$J$22+1))</f>
        <v>5.1972850405135784E-4</v>
      </c>
      <c r="O28" s="40">
        <f t="shared" ref="O28:O47" si="7">IF(D28=0,"",F28*K28*$J$7/$J$14)</f>
        <v>9.760693985302509E-7</v>
      </c>
      <c r="P28" s="40">
        <f t="shared" ref="P28:P47" si="8">IF(D28=0,"",O28*10^J28)</f>
        <v>7.3455950991903509E-6</v>
      </c>
      <c r="Q28" s="40">
        <f t="shared" ref="Q28:Q47" si="9">IF(D28=0,"",F28*N28*$J$7/$J$22)</f>
        <v>7.7969670177784685E-5</v>
      </c>
      <c r="R28" s="9">
        <f>F28*$C$14</f>
        <v>1.4999999999999999E-4</v>
      </c>
      <c r="S28" s="9">
        <f>$R28*L28</f>
        <v>1.4689231634162811E-7</v>
      </c>
      <c r="T28" s="9">
        <f t="shared" ref="T28:T49" si="10">R28*K28</f>
        <v>1.4631506051253682E-4</v>
      </c>
      <c r="U28" s="9">
        <f t="shared" ref="U28:U49" si="11">$R28*M28</f>
        <v>1.4985310768365835E-4</v>
      </c>
      <c r="V28" s="102">
        <f>K28/M28</f>
        <v>0.97638989790862118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1.7268855172909561</v>
      </c>
      <c r="J29" s="94">
        <f t="shared" si="2"/>
        <v>4.5743714574945749</v>
      </c>
      <c r="K29" s="95">
        <f t="shared" si="3"/>
        <v>1.7136909862146572E-2</v>
      </c>
      <c r="L29" s="95">
        <f t="shared" si="4"/>
        <v>8.5796136072063822E-2</v>
      </c>
      <c r="M29" s="95">
        <f t="shared" si="5"/>
        <v>0.91420386392793618</v>
      </c>
      <c r="N29" s="95">
        <f t="shared" si="6"/>
        <v>7.8279542029896801E-2</v>
      </c>
      <c r="O29" s="40">
        <f t="shared" si="7"/>
        <v>1.7148077487600102E-8</v>
      </c>
      <c r="P29" s="40">
        <f t="shared" si="8"/>
        <v>6.4355681667655092E-4</v>
      </c>
      <c r="Q29" s="40">
        <f t="shared" si="9"/>
        <v>1.1743496895325117E-2</v>
      </c>
      <c r="R29" s="9">
        <f>F29*$C$14</f>
        <v>1.4999999999999999E-4</v>
      </c>
      <c r="S29" s="9">
        <f t="shared" ref="S29:S49" si="12">$R29*L29</f>
        <v>1.2869420410809572E-5</v>
      </c>
      <c r="T29" s="9">
        <f t="shared" si="10"/>
        <v>2.5705364793219857E-6</v>
      </c>
      <c r="U29" s="9">
        <f t="shared" si="11"/>
        <v>1.3713057958919043E-4</v>
      </c>
      <c r="V29" s="102">
        <f t="shared" ref="V29:V49" si="13">K29/M29</f>
        <v>1.8745173301408645E-2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4.916346796550199</v>
      </c>
      <c r="J30" s="94">
        <f t="shared" si="2"/>
        <v>8.0025110320676838</v>
      </c>
      <c r="K30" s="95">
        <f t="shared" si="3"/>
        <v>1.0423181953836772E-5</v>
      </c>
      <c r="L30" s="95">
        <f t="shared" si="4"/>
        <v>0.13985407033371086</v>
      </c>
      <c r="M30" s="95">
        <f t="shared" si="5"/>
        <v>0.86014592966628911</v>
      </c>
      <c r="N30" s="95">
        <f t="shared" si="6"/>
        <v>0.13869445007894629</v>
      </c>
      <c r="O30" s="40">
        <f t="shared" si="7"/>
        <v>1.0429974438189599E-11</v>
      </c>
      <c r="P30" s="40">
        <f t="shared" si="8"/>
        <v>1.0490453815731669E-3</v>
      </c>
      <c r="Q30" s="40">
        <f t="shared" si="9"/>
        <v>2.0806941400843521E-2</v>
      </c>
      <c r="R30" s="9">
        <f t="shared" ref="R30:R49" si="14">F30*$C$14</f>
        <v>1.4999999999999999E-4</v>
      </c>
      <c r="S30" s="9">
        <f t="shared" si="12"/>
        <v>2.0978110550056629E-5</v>
      </c>
      <c r="T30" s="9">
        <f t="shared" si="10"/>
        <v>1.5634772930755156E-9</v>
      </c>
      <c r="U30" s="9">
        <f t="shared" si="11"/>
        <v>1.2902188944994335E-4</v>
      </c>
      <c r="V30" s="102">
        <f t="shared" si="13"/>
        <v>1.2117922778383261E-5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0.45156382049297444</v>
      </c>
      <c r="J31" s="94">
        <f t="shared" si="2"/>
        <v>3.0509801020444232</v>
      </c>
      <c r="K31" s="95">
        <f t="shared" si="3"/>
        <v>0.33556665702516358</v>
      </c>
      <c r="L31" s="95">
        <f t="shared" si="4"/>
        <v>5.034109557649305E-2</v>
      </c>
      <c r="M31" s="95">
        <f t="shared" si="5"/>
        <v>0.94965890442350698</v>
      </c>
      <c r="N31" s="95">
        <f t="shared" si="6"/>
        <v>4.4272247041036369E-2</v>
      </c>
      <c r="O31" s="40">
        <f t="shared" si="7"/>
        <v>3.3578533605017425E-7</v>
      </c>
      <c r="P31" s="40">
        <f t="shared" si="8"/>
        <v>3.7760855791927435E-4</v>
      </c>
      <c r="Q31" s="40">
        <f t="shared" si="9"/>
        <v>6.6417225010962748E-3</v>
      </c>
      <c r="R31" s="9">
        <f t="shared" si="14"/>
        <v>1.4999999999999999E-4</v>
      </c>
      <c r="S31" s="9">
        <f t="shared" si="12"/>
        <v>7.5511643364739565E-6</v>
      </c>
      <c r="T31" s="9">
        <f t="shared" si="10"/>
        <v>5.0334998553774535E-5</v>
      </c>
      <c r="U31" s="9">
        <f t="shared" si="11"/>
        <v>1.4244883566352602E-4</v>
      </c>
      <c r="V31" s="102">
        <f t="shared" si="13"/>
        <v>0.35335493139915353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2.9114243406645759</v>
      </c>
      <c r="J32" s="94">
        <f t="shared" si="2"/>
        <v>5.7767955088211638</v>
      </c>
      <c r="K32" s="95">
        <f t="shared" si="3"/>
        <v>1.1164261208647687E-3</v>
      </c>
      <c r="L32" s="95">
        <f t="shared" si="4"/>
        <v>8.9081856089708644E-2</v>
      </c>
      <c r="M32" s="95">
        <f t="shared" si="5"/>
        <v>0.91091814391029136</v>
      </c>
      <c r="N32" s="95">
        <f t="shared" si="6"/>
        <v>8.1677747597042702E-2</v>
      </c>
      <c r="O32" s="40">
        <f t="shared" si="7"/>
        <v>1.1171536632784623E-9</v>
      </c>
      <c r="P32" s="40">
        <f t="shared" si="8"/>
        <v>6.6820300252890474E-4</v>
      </c>
      <c r="Q32" s="40">
        <f t="shared" si="9"/>
        <v>1.2253295694508342E-2</v>
      </c>
      <c r="R32" s="9">
        <f t="shared" si="14"/>
        <v>1.4999999999999999E-4</v>
      </c>
      <c r="S32" s="9">
        <f t="shared" si="12"/>
        <v>1.3362278413456296E-5</v>
      </c>
      <c r="T32" s="9">
        <f t="shared" si="10"/>
        <v>1.674639181297153E-7</v>
      </c>
      <c r="U32" s="9">
        <f t="shared" si="11"/>
        <v>1.3663772158654369E-4</v>
      </c>
      <c r="V32" s="102">
        <f t="shared" si="13"/>
        <v>1.2256053173694563E-3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2.4659786116205753</v>
      </c>
      <c r="J33" s="94">
        <f t="shared" si="2"/>
        <v>5.2786655449069544</v>
      </c>
      <c r="K33" s="95">
        <f t="shared" si="3"/>
        <v>3.1457055905750493E-3</v>
      </c>
      <c r="L33" s="95">
        <f t="shared" si="4"/>
        <v>7.971634508572395E-2</v>
      </c>
      <c r="M33" s="95">
        <f t="shared" si="5"/>
        <v>0.92028365491427611</v>
      </c>
      <c r="N33" s="95">
        <f t="shared" si="6"/>
        <v>7.1193744876391268E-2</v>
      </c>
      <c r="O33" s="40">
        <f t="shared" si="7"/>
        <v>3.1477555553648049E-9</v>
      </c>
      <c r="P33" s="40">
        <f t="shared" si="8"/>
        <v>5.9795230448801565E-4</v>
      </c>
      <c r="Q33" s="40">
        <f t="shared" si="9"/>
        <v>1.0680485606356215E-2</v>
      </c>
      <c r="R33" s="9">
        <f t="shared" si="14"/>
        <v>1.4999999999999999E-4</v>
      </c>
      <c r="S33" s="9">
        <f t="shared" si="12"/>
        <v>1.1957451762858592E-5</v>
      </c>
      <c r="T33" s="9">
        <f t="shared" si="10"/>
        <v>4.7185583858625737E-7</v>
      </c>
      <c r="U33" s="9">
        <f t="shared" si="11"/>
        <v>1.380425482371414E-4</v>
      </c>
      <c r="V33" s="102">
        <f t="shared" si="13"/>
        <v>3.4181913084918043E-3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2.4593424067669152</v>
      </c>
      <c r="J34" s="94">
        <f t="shared" si="2"/>
        <v>5.3078721995446587</v>
      </c>
      <c r="K34" s="95">
        <f t="shared" si="3"/>
        <v>3.1723855713536534E-3</v>
      </c>
      <c r="L34" s="95">
        <f t="shared" si="4"/>
        <v>8.5984847417472712E-2</v>
      </c>
      <c r="M34" s="95">
        <f t="shared" si="5"/>
        <v>0.9140151525825273</v>
      </c>
      <c r="N34" s="95">
        <f t="shared" si="6"/>
        <v>7.8236196665664517E-2</v>
      </c>
      <c r="O34" s="40">
        <f t="shared" si="7"/>
        <v>3.1744529227104646E-9</v>
      </c>
      <c r="P34" s="40">
        <f t="shared" si="8"/>
        <v>6.4497234047846276E-4</v>
      </c>
      <c r="Q34" s="40">
        <f t="shared" si="9"/>
        <v>1.1736994223782988E-2</v>
      </c>
      <c r="R34" s="9">
        <f t="shared" si="14"/>
        <v>1.4999999999999999E-4</v>
      </c>
      <c r="S34" s="9">
        <f t="shared" si="12"/>
        <v>1.2897727112620905E-5</v>
      </c>
      <c r="T34" s="9">
        <f t="shared" si="10"/>
        <v>4.75857835703048E-7</v>
      </c>
      <c r="U34" s="9">
        <f t="shared" si="11"/>
        <v>1.3710227288737909E-4</v>
      </c>
      <c r="V34" s="102">
        <f t="shared" si="13"/>
        <v>3.4708238286752205E-3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0.12015758400049081</v>
      </c>
      <c r="J35" s="94">
        <f t="shared" si="2"/>
        <v>2.0837828896743456</v>
      </c>
      <c r="K35" s="95">
        <f t="shared" si="3"/>
        <v>0.74872860613392656</v>
      </c>
      <c r="L35" s="95">
        <f t="shared" si="4"/>
        <v>1.211353993319938E-2</v>
      </c>
      <c r="M35" s="95">
        <f t="shared" si="5"/>
        <v>0.98788646006680059</v>
      </c>
      <c r="N35" s="95">
        <f t="shared" si="6"/>
        <v>8.8825199175203689E-3</v>
      </c>
      <c r="O35" s="40">
        <f t="shared" si="7"/>
        <v>7.492165307776872E-7</v>
      </c>
      <c r="P35" s="40">
        <f t="shared" si="8"/>
        <v>9.0863663038928531E-5</v>
      </c>
      <c r="Q35" s="40">
        <f t="shared" si="9"/>
        <v>1.3325556380264054E-3</v>
      </c>
      <c r="R35" s="9">
        <f t="shared" si="14"/>
        <v>1.4999999999999999E-4</v>
      </c>
      <c r="S35" s="9">
        <f t="shared" si="12"/>
        <v>1.8170309899799068E-6</v>
      </c>
      <c r="T35" s="9">
        <f t="shared" si="10"/>
        <v>1.1230929092008897E-4</v>
      </c>
      <c r="U35" s="9">
        <f t="shared" si="11"/>
        <v>1.4818296901002008E-4</v>
      </c>
      <c r="V35" s="102">
        <f t="shared" si="13"/>
        <v>0.757909574024628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80</v>
      </c>
      <c r="C36" s="46" t="s">
        <v>81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5.3597305230687828</v>
      </c>
      <c r="J36" s="94">
        <f t="shared" si="2"/>
        <v>8.4483031900032319</v>
      </c>
      <c r="K36" s="95">
        <f t="shared" si="3"/>
        <v>3.7521393508801306E-6</v>
      </c>
      <c r="L36" s="95">
        <f t="shared" si="4"/>
        <v>0.14052251330423801</v>
      </c>
      <c r="M36" s="95">
        <f t="shared" si="5"/>
        <v>0.85947748669576196</v>
      </c>
      <c r="N36" s="95">
        <f t="shared" si="6"/>
        <v>0.1394452492996093</v>
      </c>
      <c r="O36" s="40">
        <f t="shared" si="7"/>
        <v>3.7545845109035629E-12</v>
      </c>
      <c r="P36" s="40">
        <f t="shared" si="8"/>
        <v>1.0540593722950914E-3</v>
      </c>
      <c r="Q36" s="40">
        <f t="shared" si="9"/>
        <v>2.091957629992738E-2</v>
      </c>
      <c r="R36" s="9">
        <f t="shared" si="14"/>
        <v>1.4999999999999999E-4</v>
      </c>
      <c r="S36" s="9">
        <f t="shared" si="12"/>
        <v>2.1078376995635698E-5</v>
      </c>
      <c r="T36" s="9">
        <f t="shared" si="10"/>
        <v>5.6282090263201954E-10</v>
      </c>
      <c r="U36" s="9">
        <f t="shared" si="11"/>
        <v>1.2892162300436429E-4</v>
      </c>
      <c r="V36" s="102">
        <f t="shared" si="13"/>
        <v>4.3656051600666465E-6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1.080392983851221</v>
      </c>
      <c r="J37" s="94">
        <f t="shared" si="2"/>
        <v>3.8585870053842997</v>
      </c>
      <c r="K37" s="95">
        <f t="shared" si="3"/>
        <v>7.6905087293633281E-2</v>
      </c>
      <c r="L37" s="95">
        <f t="shared" si="4"/>
        <v>7.4080829104410745E-2</v>
      </c>
      <c r="M37" s="95">
        <f t="shared" si="5"/>
        <v>0.92591917089558928</v>
      </c>
      <c r="N37" s="95">
        <f t="shared" si="6"/>
        <v>6.6211561964196822E-2</v>
      </c>
      <c r="O37" s="40">
        <f t="shared" si="7"/>
        <v>7.6955204100996743E-8</v>
      </c>
      <c r="P37" s="40">
        <f t="shared" si="8"/>
        <v>5.5568029911218502E-4</v>
      </c>
      <c r="Q37" s="40">
        <f t="shared" si="9"/>
        <v>9.9330585258688032E-3</v>
      </c>
      <c r="R37" s="9">
        <f t="shared" si="14"/>
        <v>1.4999999999999999E-4</v>
      </c>
      <c r="S37" s="9">
        <f t="shared" si="12"/>
        <v>1.1112124365661612E-5</v>
      </c>
      <c r="T37" s="9">
        <f t="shared" si="10"/>
        <v>1.1535763094044992E-5</v>
      </c>
      <c r="U37" s="9">
        <f t="shared" si="11"/>
        <v>1.3888787563433837E-4</v>
      </c>
      <c r="V37" s="102">
        <f t="shared" si="13"/>
        <v>8.3058100221909584E-2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0.16668848098518507</v>
      </c>
      <c r="J38" s="94">
        <f t="shared" si="2"/>
        <v>2.3639081225718592</v>
      </c>
      <c r="K38" s="95">
        <f t="shared" si="3"/>
        <v>0.66690198019944769</v>
      </c>
      <c r="L38" s="95">
        <f t="shared" si="4"/>
        <v>2.056524505681433E-2</v>
      </c>
      <c r="M38" s="95">
        <f t="shared" si="5"/>
        <v>0.97943475494318566</v>
      </c>
      <c r="N38" s="95">
        <f t="shared" si="6"/>
        <v>1.6880867875693165E-2</v>
      </c>
      <c r="O38" s="40">
        <f t="shared" si="7"/>
        <v>6.6733658081233506E-7</v>
      </c>
      <c r="P38" s="40">
        <f t="shared" si="8"/>
        <v>1.5425990317116426E-4</v>
      </c>
      <c r="Q38" s="40">
        <f t="shared" si="9"/>
        <v>2.5324677987114881E-3</v>
      </c>
      <c r="R38" s="9">
        <f t="shared" si="14"/>
        <v>1.4999999999999999E-4</v>
      </c>
      <c r="S38" s="9">
        <f t="shared" si="12"/>
        <v>3.0847867585221494E-6</v>
      </c>
      <c r="T38" s="9">
        <f t="shared" si="10"/>
        <v>1.0003529702991714E-4</v>
      </c>
      <c r="U38" s="9">
        <f t="shared" si="11"/>
        <v>1.4691521324147785E-4</v>
      </c>
      <c r="V38" s="102">
        <f t="shared" si="13"/>
        <v>0.68090495751106239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82</v>
      </c>
      <c r="C39" s="46" t="s">
        <v>83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-1.6807124166640264E-5</v>
      </c>
      <c r="J39" s="94">
        <f t="shared" si="2"/>
        <v>-2.1315410513044985E-2</v>
      </c>
      <c r="K39" s="95">
        <f t="shared" si="3"/>
        <v>0.99939380532191591</v>
      </c>
      <c r="L39" s="95">
        <f t="shared" si="4"/>
        <v>1.2693605651568744E-4</v>
      </c>
      <c r="M39" s="95">
        <f t="shared" si="5"/>
        <v>0.9998730639434843</v>
      </c>
      <c r="N39" s="95">
        <f t="shared" si="6"/>
        <v>3.2289209807141821E-7</v>
      </c>
      <c r="O39" s="40">
        <f t="shared" si="7"/>
        <v>1.0000450811813442E-6</v>
      </c>
      <c r="P39" s="40">
        <f t="shared" si="8"/>
        <v>9.5214735992417151E-7</v>
      </c>
      <c r="Q39" s="40">
        <f t="shared" si="9"/>
        <v>4.8440272552674152E-8</v>
      </c>
      <c r="R39" s="9">
        <f t="shared" si="14"/>
        <v>1.4999999999999999E-4</v>
      </c>
      <c r="S39" s="9">
        <f t="shared" si="12"/>
        <v>1.9040408477353115E-8</v>
      </c>
      <c r="T39" s="9">
        <f t="shared" si="10"/>
        <v>1.4990907079828736E-4</v>
      </c>
      <c r="U39" s="9">
        <f t="shared" si="11"/>
        <v>1.4998095959152264E-4</v>
      </c>
      <c r="V39" s="102">
        <f t="shared" si="13"/>
        <v>0.99952068053550902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0.30972420580945559</v>
      </c>
      <c r="J40" s="94">
        <f t="shared" si="2"/>
        <v>2.5889557991870298</v>
      </c>
      <c r="K40" s="95">
        <f t="shared" si="3"/>
        <v>0.47772050052351323</v>
      </c>
      <c r="L40" s="95">
        <f t="shared" si="4"/>
        <v>2.4733947651196304E-2</v>
      </c>
      <c r="M40" s="95">
        <f t="shared" si="5"/>
        <v>0.9752660523488037</v>
      </c>
      <c r="N40" s="95">
        <f t="shared" si="6"/>
        <v>1.8104754594106369E-2</v>
      </c>
      <c r="O40" s="40">
        <f t="shared" si="7"/>
        <v>4.7803181707149268E-7</v>
      </c>
      <c r="P40" s="40">
        <f t="shared" si="8"/>
        <v>1.855293413316234E-4</v>
      </c>
      <c r="Q40" s="40">
        <f t="shared" si="9"/>
        <v>2.716075284207837E-3</v>
      </c>
      <c r="R40" s="9">
        <f t="shared" si="14"/>
        <v>1.4999999999999999E-4</v>
      </c>
      <c r="S40" s="9">
        <f t="shared" si="12"/>
        <v>3.7100921476794452E-6</v>
      </c>
      <c r="T40" s="9">
        <f t="shared" si="10"/>
        <v>7.1658075078526984E-5</v>
      </c>
      <c r="U40" s="9">
        <f t="shared" si="11"/>
        <v>1.4628990785232055E-4</v>
      </c>
      <c r="V40" s="102">
        <f t="shared" si="13"/>
        <v>0.48983608049617272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0.35763444792585858</v>
      </c>
      <c r="J41" s="94">
        <f t="shared" si="2"/>
        <v>2.6634845218157044</v>
      </c>
      <c r="K41" s="95">
        <f t="shared" si="3"/>
        <v>0.42715470221608071</v>
      </c>
      <c r="L41" s="95">
        <f t="shared" si="4"/>
        <v>2.6256296788342789E-2</v>
      </c>
      <c r="M41" s="95">
        <f t="shared" si="5"/>
        <v>0.97374370321165726</v>
      </c>
      <c r="N41" s="95">
        <f t="shared" si="6"/>
        <v>1.8890347856240105E-2</v>
      </c>
      <c r="O41" s="40">
        <f t="shared" si="7"/>
        <v>4.2743306650482567E-7</v>
      </c>
      <c r="P41" s="40">
        <f t="shared" si="8"/>
        <v>1.9694848220935926E-4</v>
      </c>
      <c r="Q41" s="40">
        <f t="shared" si="9"/>
        <v>2.8339299853931397E-3</v>
      </c>
      <c r="R41" s="9">
        <f t="shared" si="14"/>
        <v>1.4999999999999999E-4</v>
      </c>
      <c r="S41" s="9">
        <f t="shared" si="12"/>
        <v>3.9384445182514182E-6</v>
      </c>
      <c r="T41" s="9">
        <f t="shared" si="10"/>
        <v>6.4073205332412106E-5</v>
      </c>
      <c r="U41" s="9">
        <f t="shared" si="11"/>
        <v>1.4606155548174858E-4</v>
      </c>
      <c r="V41" s="102">
        <f t="shared" si="13"/>
        <v>0.43867262073912733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1.4796577057346771</v>
      </c>
      <c r="J42" s="94">
        <f t="shared" si="2"/>
        <v>4.3682400663002383</v>
      </c>
      <c r="K42" s="95">
        <f t="shared" si="3"/>
        <v>3.0024642999008273E-2</v>
      </c>
      <c r="L42" s="95">
        <f t="shared" si="4"/>
        <v>9.3515086080781684E-2</v>
      </c>
      <c r="M42" s="95">
        <f t="shared" si="5"/>
        <v>0.90648491391921837</v>
      </c>
      <c r="N42" s="95">
        <f t="shared" si="6"/>
        <v>8.7186574726988111E-2</v>
      </c>
      <c r="O42" s="40">
        <f t="shared" si="7"/>
        <v>3.0044209185099355E-8</v>
      </c>
      <c r="P42" s="40">
        <f t="shared" si="8"/>
        <v>7.0145666069194336E-4</v>
      </c>
      <c r="Q42" s="40">
        <f t="shared" si="9"/>
        <v>1.3079729940542753E-2</v>
      </c>
      <c r="R42" s="9">
        <f t="shared" si="14"/>
        <v>1.4999999999999999E-4</v>
      </c>
      <c r="S42" s="9">
        <f t="shared" si="12"/>
        <v>1.4027262912117251E-5</v>
      </c>
      <c r="T42" s="9">
        <f t="shared" si="10"/>
        <v>4.5036964498512409E-6</v>
      </c>
      <c r="U42" s="9">
        <f t="shared" si="11"/>
        <v>1.3597273708788275E-4</v>
      </c>
      <c r="V42" s="102">
        <f t="shared" si="13"/>
        <v>3.312205480529809E-2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1.2498866711591912</v>
      </c>
      <c r="J43" s="94">
        <f t="shared" si="2"/>
        <v>4.0532477704684826</v>
      </c>
      <c r="K43" s="95">
        <f t="shared" si="3"/>
        <v>5.1825814283980962E-2</v>
      </c>
      <c r="L43" s="95">
        <f t="shared" si="4"/>
        <v>7.8155161406800455E-2</v>
      </c>
      <c r="M43" s="95">
        <f t="shared" si="5"/>
        <v>0.92184483859319954</v>
      </c>
      <c r="N43" s="95">
        <f t="shared" si="6"/>
        <v>7.0330045470720914E-2</v>
      </c>
      <c r="O43" s="40">
        <f t="shared" si="7"/>
        <v>5.1859587658959499E-8</v>
      </c>
      <c r="P43" s="40">
        <f t="shared" si="8"/>
        <v>5.8624186571241033E-4</v>
      </c>
      <c r="Q43" s="40">
        <f t="shared" si="9"/>
        <v>1.0550913421517547E-2</v>
      </c>
      <c r="R43" s="9">
        <f t="shared" si="14"/>
        <v>1.4999999999999999E-4</v>
      </c>
      <c r="S43" s="9">
        <f t="shared" si="12"/>
        <v>1.1723274211020067E-5</v>
      </c>
      <c r="T43" s="9">
        <f t="shared" si="10"/>
        <v>7.7738721425971432E-6</v>
      </c>
      <c r="U43" s="9">
        <f t="shared" si="11"/>
        <v>1.3827672578897992E-4</v>
      </c>
      <c r="V43" s="102">
        <f t="shared" si="13"/>
        <v>5.6219671808404134E-2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84</v>
      </c>
      <c r="C44" s="46" t="s">
        <v>85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0.14841008082679891</v>
      </c>
      <c r="J44" s="94">
        <f t="shared" si="2"/>
        <v>2.3088898400463114</v>
      </c>
      <c r="K44" s="95">
        <f t="shared" si="3"/>
        <v>0.69673158691564052</v>
      </c>
      <c r="L44" s="95">
        <f t="shared" si="4"/>
        <v>1.8928626402492186E-2</v>
      </c>
      <c r="M44" s="95">
        <f t="shared" si="5"/>
        <v>0.98107137359750785</v>
      </c>
      <c r="N44" s="95">
        <f t="shared" si="6"/>
        <v>1.5587743970156198E-2</v>
      </c>
      <c r="O44" s="40">
        <f t="shared" si="7"/>
        <v>6.9718562661514923E-7</v>
      </c>
      <c r="P44" s="40">
        <f t="shared" si="8"/>
        <v>1.4198362664509385E-4</v>
      </c>
      <c r="Q44" s="40">
        <f t="shared" si="9"/>
        <v>2.3384733504028324E-3</v>
      </c>
      <c r="R44" s="9">
        <f t="shared" si="14"/>
        <v>1.4999999999999999E-4</v>
      </c>
      <c r="S44" s="9">
        <f t="shared" si="12"/>
        <v>2.8392939603738276E-6</v>
      </c>
      <c r="T44" s="9">
        <f t="shared" si="10"/>
        <v>1.0450973803734607E-4</v>
      </c>
      <c r="U44" s="9">
        <f t="shared" si="11"/>
        <v>1.4716070603962617E-4</v>
      </c>
      <c r="V44" s="102">
        <f t="shared" si="13"/>
        <v>0.71017420920231644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1.3452769109111</v>
      </c>
      <c r="J45" s="94">
        <f t="shared" si="2"/>
        <v>4.041572503575793</v>
      </c>
      <c r="K45" s="95">
        <f t="shared" si="3"/>
        <v>4.2328805374262146E-2</v>
      </c>
      <c r="L45" s="95">
        <f t="shared" si="4"/>
        <v>6.21401467819424E-2</v>
      </c>
      <c r="M45" s="95">
        <f t="shared" si="5"/>
        <v>0.93785985321805765</v>
      </c>
      <c r="N45" s="95">
        <f t="shared" si="6"/>
        <v>5.2165307951789384E-2</v>
      </c>
      <c r="O45" s="40">
        <f t="shared" si="7"/>
        <v>4.2356389824908017E-8</v>
      </c>
      <c r="P45" s="40">
        <f t="shared" si="8"/>
        <v>4.6611324101135008E-4</v>
      </c>
      <c r="Q45" s="40">
        <f t="shared" si="9"/>
        <v>7.8258394989274404E-3</v>
      </c>
      <c r="R45" s="9">
        <f t="shared" si="14"/>
        <v>1.4999999999999999E-4</v>
      </c>
      <c r="S45" s="9">
        <f t="shared" si="12"/>
        <v>9.3210220172913589E-6</v>
      </c>
      <c r="T45" s="9">
        <f t="shared" si="10"/>
        <v>6.3493208061393215E-6</v>
      </c>
      <c r="U45" s="9">
        <f t="shared" si="11"/>
        <v>1.4067897798270863E-4</v>
      </c>
      <c r="V45" s="102">
        <f t="shared" si="13"/>
        <v>4.5133401572761918E-2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86</v>
      </c>
      <c r="C46" s="46" t="s">
        <v>87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0.12747825886296762</v>
      </c>
      <c r="J46" s="94">
        <f t="shared" si="2"/>
        <v>2.21956631274778</v>
      </c>
      <c r="K46" s="95">
        <f t="shared" si="3"/>
        <v>0.73315660603146471</v>
      </c>
      <c r="L46" s="95">
        <f t="shared" si="4"/>
        <v>1.6215368561884731E-2</v>
      </c>
      <c r="M46" s="95">
        <f t="shared" si="5"/>
        <v>0.98378463143811523</v>
      </c>
      <c r="N46" s="95">
        <f t="shared" si="6"/>
        <v>1.3205733109967274E-2</v>
      </c>
      <c r="O46" s="40">
        <f t="shared" si="7"/>
        <v>7.3363438285592155E-7</v>
      </c>
      <c r="P46" s="40">
        <f t="shared" si="8"/>
        <v>1.2163147958269733E-4</v>
      </c>
      <c r="Q46" s="40">
        <f t="shared" si="9"/>
        <v>1.98112408115729E-3</v>
      </c>
      <c r="R46" s="9">
        <f t="shared" si="14"/>
        <v>1.4999999999999999E-4</v>
      </c>
      <c r="S46" s="9">
        <f t="shared" si="12"/>
        <v>2.4323052842827092E-6</v>
      </c>
      <c r="T46" s="9">
        <f t="shared" si="10"/>
        <v>1.0997349090471969E-4</v>
      </c>
      <c r="U46" s="9">
        <f t="shared" si="11"/>
        <v>1.4756769471571728E-4</v>
      </c>
      <c r="V46" s="102">
        <f t="shared" si="13"/>
        <v>0.74524096291250486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0.71310437974280194</v>
      </c>
      <c r="J47" s="94">
        <f t="shared" si="2"/>
        <v>3.1296066711876311</v>
      </c>
      <c r="K47" s="95">
        <f t="shared" si="3"/>
        <v>0.1869901908313405</v>
      </c>
      <c r="L47" s="95">
        <f t="shared" si="4"/>
        <v>3.3619345584536775E-2</v>
      </c>
      <c r="M47" s="95">
        <f t="shared" si="5"/>
        <v>0.96638065441546317</v>
      </c>
      <c r="N47" s="95">
        <f t="shared" si="6"/>
        <v>2.2770501129322242E-2</v>
      </c>
      <c r="O47" s="40">
        <f t="shared" si="7"/>
        <v>1.8711204689707734E-7</v>
      </c>
      <c r="P47" s="40">
        <f t="shared" si="8"/>
        <v>2.5217871122961029E-4</v>
      </c>
      <c r="Q47" s="40">
        <f t="shared" si="9"/>
        <v>3.4160305794209219E-3</v>
      </c>
      <c r="R47" s="9">
        <f t="shared" si="14"/>
        <v>1.4999999999999999E-4</v>
      </c>
      <c r="S47" s="9">
        <f t="shared" si="12"/>
        <v>5.0429018376805158E-6</v>
      </c>
      <c r="T47" s="9">
        <f t="shared" si="10"/>
        <v>2.8048528624701074E-5</v>
      </c>
      <c r="U47" s="9">
        <f t="shared" si="11"/>
        <v>1.4495709816231947E-4</v>
      </c>
      <c r="V47" s="102">
        <f t="shared" si="13"/>
        <v>0.19349537884162807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2.4527660835054643E-2</v>
      </c>
      <c r="J48" s="94">
        <f t="shared" ref="J48:J50" si="16">IF(D48=0,"",LOG($K$21*10^D48+$K$22*10^E48+$K$20))</f>
        <v>1.2642800792666067</v>
      </c>
      <c r="K48" s="95">
        <f t="shared" ref="K48:K50" si="17">IF(D48=0,"",1/(1+10^D48*$J$15/$J$14+10^E48*$J$16/$J$14+10^J48*$J$19/$J$14))</f>
        <v>0.94241624300930693</v>
      </c>
      <c r="L48" s="95">
        <f t="shared" ref="L48:L50" si="18">IF(D48=0,"",1/(1+10^I48/10^J48*$J$13/$J$19))</f>
        <v>2.3103969442573799E-3</v>
      </c>
      <c r="M48" s="95">
        <f t="shared" ref="M48:M92" si="19">IF(D48=0,"",1-L48)</f>
        <v>0.99768960305574261</v>
      </c>
      <c r="N48" s="95">
        <f t="shared" ref="N48:N50" si="20">IF(D48=0,"",1/(1/10^E48*$J$20/$J$22+10^D48/10^E48*$J$21/$J$22+10^I48/10^E48*$J$13/$J$22+1))</f>
        <v>1.4113623457735157E-3</v>
      </c>
      <c r="O48" s="40">
        <f t="shared" ref="O48:O92" si="21">IF(D48=0,"",F48*K48*$J$7/$J$14)</f>
        <v>9.4303038824948807E-7</v>
      </c>
      <c r="P48" s="40">
        <f t="shared" ref="P48:P50" si="22">IF(D48=0,"",O48*10^J48)</f>
        <v>1.7330287478874603E-5</v>
      </c>
      <c r="Q48" s="40">
        <f t="shared" ref="Q48:Q50" si="23">IF(D48=0,"",F48*N48*$J$7/$J$22)</f>
        <v>2.1173257911294278E-4</v>
      </c>
      <c r="R48" s="9">
        <f t="shared" si="14"/>
        <v>1.4999999999999999E-4</v>
      </c>
      <c r="S48" s="9">
        <f t="shared" si="12"/>
        <v>3.4655954163860697E-7</v>
      </c>
      <c r="T48" s="9">
        <f t="shared" si="10"/>
        <v>1.4136243645139604E-4</v>
      </c>
      <c r="U48" s="9">
        <f t="shared" si="11"/>
        <v>1.4965344045836138E-4</v>
      </c>
      <c r="V48" s="102">
        <f t="shared" si="13"/>
        <v>0.94459864082261313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6.9959414880738915E-3</v>
      </c>
      <c r="J49" s="94">
        <f t="shared" si="16"/>
        <v>0.79270412978539373</v>
      </c>
      <c r="K49" s="95">
        <f t="shared" si="17"/>
        <v>0.98271061102165103</v>
      </c>
      <c r="L49" s="95">
        <f t="shared" si="18"/>
        <v>8.1338008473510397E-4</v>
      </c>
      <c r="M49" s="95">
        <f t="shared" si="19"/>
        <v>0.99918661991526492</v>
      </c>
      <c r="N49" s="95">
        <f t="shared" si="20"/>
        <v>4.6641381892526391E-4</v>
      </c>
      <c r="O49" s="40">
        <f t="shared" si="21"/>
        <v>9.8335101492885374E-7</v>
      </c>
      <c r="P49" s="40">
        <f t="shared" si="22"/>
        <v>6.1011640155980151E-6</v>
      </c>
      <c r="Q49" s="40">
        <f t="shared" si="23"/>
        <v>6.997140111516807E-5</v>
      </c>
      <c r="R49" s="9">
        <f t="shared" si="14"/>
        <v>1.4999999999999999E-4</v>
      </c>
      <c r="S49" s="9">
        <f t="shared" si="12"/>
        <v>1.2200701271026559E-7</v>
      </c>
      <c r="T49" s="9">
        <f t="shared" si="10"/>
        <v>1.4740659165324765E-4</v>
      </c>
      <c r="U49" s="9">
        <f t="shared" si="11"/>
        <v>1.4987799298728973E-4</v>
      </c>
      <c r="V49" s="102">
        <f t="shared" si="13"/>
        <v>0.98351057893968685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88</v>
      </c>
      <c r="C57" s="88" t="s">
        <v>89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3.7232006014196545E-5</v>
      </c>
      <c r="J57" s="54">
        <f t="shared" si="25"/>
        <v>8.6629514448579737E-3</v>
      </c>
      <c r="K57" s="55">
        <f t="shared" si="26"/>
        <v>0.99926041080835082</v>
      </c>
      <c r="L57" s="55">
        <f t="shared" si="27"/>
        <v>1.3598950486987257E-4</v>
      </c>
      <c r="M57" s="55">
        <f t="shared" si="28"/>
        <v>0.99986401049513007</v>
      </c>
      <c r="N57" s="55">
        <f t="shared" si="29"/>
        <v>8.0543119362356236E-6</v>
      </c>
      <c r="O57" s="56">
        <f t="shared" si="30"/>
        <v>9.9991159973845644E-7</v>
      </c>
      <c r="P57" s="56">
        <f t="shared" si="31"/>
        <v>1.0200572760289139E-6</v>
      </c>
      <c r="Q57" s="56">
        <f t="shared" si="32"/>
        <v>1.2083078766740679E-6</v>
      </c>
      <c r="R57" s="9">
        <f t="shared" ref="R57:R58" si="33">F57*$C$14</f>
        <v>1.4999999999999999E-4</v>
      </c>
      <c r="S57" s="9">
        <f t="shared" ref="S57:S58" si="34">$R57*L57</f>
        <v>2.0398425730480884E-8</v>
      </c>
      <c r="T57" s="9">
        <f t="shared" ref="T57:T58" si="35">R57*K57</f>
        <v>1.4988906162125262E-4</v>
      </c>
      <c r="U57" s="9">
        <f t="shared" ref="U57:U58" si="36">$R57*M57</f>
        <v>1.4997960157426949E-4</v>
      </c>
      <c r="V57" s="102">
        <f t="shared" ref="V57:V58" si="37">K57/M57</f>
        <v>0.99939631821883423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3.6330362911661196E-2</v>
      </c>
      <c r="J58" s="54">
        <f t="shared" si="25"/>
        <v>1.4682817666499361</v>
      </c>
      <c r="K58" s="55">
        <f t="shared" si="26"/>
        <v>0.91597127066136008</v>
      </c>
      <c r="L58" s="55">
        <f t="shared" si="27"/>
        <v>3.5919259794221169E-3</v>
      </c>
      <c r="M58" s="55">
        <f t="shared" si="28"/>
        <v>0.99640807402057785</v>
      </c>
      <c r="N58" s="55">
        <f t="shared" si="29"/>
        <v>2.3674707174872775E-3</v>
      </c>
      <c r="O58" s="56">
        <f t="shared" si="30"/>
        <v>9.1656818248264089E-7</v>
      </c>
      <c r="P58" s="56">
        <f t="shared" si="31"/>
        <v>2.6943036771645295E-5</v>
      </c>
      <c r="Q58" s="56">
        <f t="shared" si="32"/>
        <v>3.551679570374413E-4</v>
      </c>
      <c r="R58" s="9">
        <f t="shared" si="33"/>
        <v>1.4999999999999999E-4</v>
      </c>
      <c r="S58" s="9">
        <f t="shared" si="34"/>
        <v>5.387888969133175E-7</v>
      </c>
      <c r="T58" s="9">
        <f t="shared" si="35"/>
        <v>1.37395690599204E-4</v>
      </c>
      <c r="U58" s="9">
        <f t="shared" si="36"/>
        <v>1.4946121110308666E-4</v>
      </c>
      <c r="V58" s="102">
        <f t="shared" si="37"/>
        <v>0.91927323206580458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90</v>
      </c>
      <c r="C60" s="46" t="s">
        <v>91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5.084171441621077E-2</v>
      </c>
      <c r="J60" s="54">
        <f t="shared" si="25"/>
        <v>1.5210188025338833</v>
      </c>
      <c r="K60" s="55">
        <f t="shared" si="26"/>
        <v>0.88557836251013089</v>
      </c>
      <c r="L60" s="55">
        <f t="shared" si="27"/>
        <v>3.9211148115848972E-3</v>
      </c>
      <c r="M60" s="55">
        <f t="shared" si="28"/>
        <v>0.99607888518841514</v>
      </c>
      <c r="N60" s="55">
        <f t="shared" si="29"/>
        <v>2.1815429139649891E-3</v>
      </c>
      <c r="O60" s="56">
        <f t="shared" si="30"/>
        <v>8.8615546815763793E-7</v>
      </c>
      <c r="P60" s="56">
        <f t="shared" si="31"/>
        <v>2.9412282201698311E-5</v>
      </c>
      <c r="Q60" s="56">
        <f t="shared" si="32"/>
        <v>3.2727506795302756E-4</v>
      </c>
      <c r="R60" s="9">
        <f>F60*$C$14</f>
        <v>1.4999999999999999E-4</v>
      </c>
      <c r="S60" s="9">
        <f t="shared" ref="S60:S93" si="38">$R60*L60</f>
        <v>5.881672217377345E-7</v>
      </c>
      <c r="T60" s="9">
        <f t="shared" ref="T60:T93" si="39">R60*K60</f>
        <v>1.3283675437651961E-4</v>
      </c>
      <c r="U60" s="9">
        <f t="shared" ref="U60:U93" si="40">$R60*M60</f>
        <v>1.4941183277826227E-4</v>
      </c>
      <c r="V60" s="102">
        <f t="shared" ref="V60:V93" si="41">K60/M60</f>
        <v>0.8890644864363505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92</v>
      </c>
      <c r="C61" s="46" t="s">
        <v>93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0.31132307136990117</v>
      </c>
      <c r="J61" s="54">
        <f t="shared" si="25"/>
        <v>2.5091055968760121</v>
      </c>
      <c r="K61" s="55">
        <f t="shared" si="26"/>
        <v>0.47798672294873079</v>
      </c>
      <c r="L61" s="55">
        <f t="shared" si="27"/>
        <v>2.0591367501571513E-2</v>
      </c>
      <c r="M61" s="55">
        <f t="shared" si="28"/>
        <v>0.97940863249842847</v>
      </c>
      <c r="N61" s="55">
        <f t="shared" si="29"/>
        <v>1.3455895235212413E-2</v>
      </c>
      <c r="O61" s="56">
        <f t="shared" si="30"/>
        <v>4.7829821298611747E-7</v>
      </c>
      <c r="P61" s="56">
        <f t="shared" si="31"/>
        <v>1.5445584762928792E-4</v>
      </c>
      <c r="Q61" s="56">
        <f t="shared" si="32"/>
        <v>2.0186534031865658E-3</v>
      </c>
      <c r="R61" s="9">
        <f>F61*$C$14</f>
        <v>1.4999999999999999E-4</v>
      </c>
      <c r="S61" s="9">
        <f t="shared" si="38"/>
        <v>3.0887051252357268E-6</v>
      </c>
      <c r="T61" s="9">
        <f t="shared" si="39"/>
        <v>7.1698008442309613E-5</v>
      </c>
      <c r="U61" s="9">
        <f t="shared" si="40"/>
        <v>1.4691129487476426E-4</v>
      </c>
      <c r="V61" s="102">
        <f t="shared" si="41"/>
        <v>0.48803605266313371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110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0.17220522092565899</v>
      </c>
      <c r="J62" s="54">
        <f t="shared" si="25"/>
        <v>2.2508102103882899</v>
      </c>
      <c r="K62" s="55">
        <f t="shared" si="26"/>
        <v>0.66173654145043193</v>
      </c>
      <c r="L62" s="55">
        <f t="shared" si="27"/>
        <v>1.5727478027210331E-2</v>
      </c>
      <c r="M62" s="55">
        <f t="shared" si="28"/>
        <v>0.98427252197278969</v>
      </c>
      <c r="N62" s="55">
        <f t="shared" si="29"/>
        <v>1.1351725507919158E-2</v>
      </c>
      <c r="O62" s="56">
        <f t="shared" si="30"/>
        <v>6.6216777589720671E-7</v>
      </c>
      <c r="P62" s="56">
        <f t="shared" si="31"/>
        <v>1.1797181268210468E-4</v>
      </c>
      <c r="Q62" s="56">
        <f t="shared" si="32"/>
        <v>1.7029858606980317E-3</v>
      </c>
      <c r="R62" s="9">
        <f>F62*$C$14</f>
        <v>1.4999999999999999E-4</v>
      </c>
      <c r="S62" s="9">
        <f t="shared" si="38"/>
        <v>2.3591217040815493E-6</v>
      </c>
      <c r="T62" s="9">
        <f t="shared" si="39"/>
        <v>9.9260481217564774E-5</v>
      </c>
      <c r="U62" s="9">
        <f t="shared" si="40"/>
        <v>1.4764087829591843E-4</v>
      </c>
      <c r="V62" s="102">
        <f t="shared" si="41"/>
        <v>0.67231028671216497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94</v>
      </c>
      <c r="C63" s="46" t="s">
        <v>95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0.15417954710270029</v>
      </c>
      <c r="J63" s="54">
        <f t="shared" si="25"/>
        <v>2.1782102693561018</v>
      </c>
      <c r="K63" s="55">
        <f t="shared" si="26"/>
        <v>0.6910637580409057</v>
      </c>
      <c r="L63" s="55">
        <f t="shared" si="27"/>
        <v>1.3896074901260477E-2</v>
      </c>
      <c r="M63" s="55">
        <f t="shared" si="28"/>
        <v>0.98610392509873956</v>
      </c>
      <c r="N63" s="55">
        <f t="shared" si="29"/>
        <v>9.8305967400717387E-3</v>
      </c>
      <c r="O63" s="56">
        <f t="shared" si="30"/>
        <v>6.91514104181277E-7</v>
      </c>
      <c r="P63" s="56">
        <f t="shared" si="31"/>
        <v>1.0423445783435482E-4</v>
      </c>
      <c r="Q63" s="56">
        <f t="shared" si="32"/>
        <v>1.474786122945562E-3</v>
      </c>
      <c r="R63" s="9">
        <f>F63*$C$14</f>
        <v>1.4999999999999999E-4</v>
      </c>
      <c r="S63" s="9">
        <f t="shared" si="38"/>
        <v>2.0844112351890714E-6</v>
      </c>
      <c r="T63" s="9">
        <f t="shared" si="39"/>
        <v>1.0365956370613585E-4</v>
      </c>
      <c r="U63" s="9">
        <f t="shared" si="40"/>
        <v>1.4791558876481092E-4</v>
      </c>
      <c r="V63" s="102">
        <f t="shared" si="41"/>
        <v>0.70080215730984829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96</v>
      </c>
      <c r="C64" s="46" t="s">
        <v>97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2.9920298270100572E-2</v>
      </c>
      <c r="J64" s="54">
        <f t="shared" si="25"/>
        <v>1.4306562944149122</v>
      </c>
      <c r="K64" s="55">
        <f t="shared" si="26"/>
        <v>0.92982264572280038</v>
      </c>
      <c r="L64" s="55">
        <f t="shared" si="27"/>
        <v>3.3436450887371792E-3</v>
      </c>
      <c r="M64" s="55">
        <f t="shared" si="28"/>
        <v>0.99665635491126281</v>
      </c>
      <c r="N64" s="55">
        <f t="shared" si="29"/>
        <v>2.3418273993778419E-3</v>
      </c>
      <c r="O64" s="56">
        <f t="shared" si="30"/>
        <v>9.3042858408211799E-7</v>
      </c>
      <c r="P64" s="56">
        <f t="shared" si="31"/>
        <v>2.5080681810617574E-5</v>
      </c>
      <c r="Q64" s="56">
        <f t="shared" si="32"/>
        <v>3.5132094645466379E-4</v>
      </c>
      <c r="R64" s="9">
        <f>F64*$C$14</f>
        <v>1.4999999999999999E-4</v>
      </c>
      <c r="S64" s="9">
        <f t="shared" si="38"/>
        <v>5.015467633105768E-7</v>
      </c>
      <c r="T64" s="9">
        <f t="shared" si="39"/>
        <v>1.3947339685842005E-4</v>
      </c>
      <c r="U64" s="9">
        <f t="shared" si="40"/>
        <v>1.4949845323668941E-4</v>
      </c>
      <c r="V64" s="102">
        <f t="shared" si="41"/>
        <v>0.93294207290293862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0.45036614920415591</v>
      </c>
      <c r="J65" s="54">
        <f t="shared" si="25"/>
        <v>2.9136453532291715</v>
      </c>
      <c r="K65" s="55">
        <f t="shared" si="26"/>
        <v>0.34111419847333313</v>
      </c>
      <c r="L65" s="55">
        <f t="shared" si="27"/>
        <v>3.7300006667529466E-2</v>
      </c>
      <c r="M65" s="55">
        <f t="shared" si="28"/>
        <v>0.96269999333247058</v>
      </c>
      <c r="N65" s="55">
        <f t="shared" si="29"/>
        <v>2.9723473542610162E-2</v>
      </c>
      <c r="O65" s="56">
        <f t="shared" si="30"/>
        <v>3.4133649266966583E-7</v>
      </c>
      <c r="P65" s="56">
        <f t="shared" si="31"/>
        <v>2.7978735001313857E-4</v>
      </c>
      <c r="Q65" s="56">
        <f t="shared" si="32"/>
        <v>4.4591155008623755E-3</v>
      </c>
      <c r="R65" s="9">
        <f>F65*$C$14</f>
        <v>1.4999999999999999E-4</v>
      </c>
      <c r="S65" s="9">
        <f t="shared" si="38"/>
        <v>5.595001000129419E-6</v>
      </c>
      <c r="T65" s="9">
        <f t="shared" si="39"/>
        <v>5.1167129770999962E-5</v>
      </c>
      <c r="U65" s="9">
        <f t="shared" si="40"/>
        <v>1.4440499899987059E-4</v>
      </c>
      <c r="V65" s="102">
        <f t="shared" si="41"/>
        <v>0.35433073733857251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98</v>
      </c>
      <c r="C68" s="46" t="s">
        <v>99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4.7752637245013392E-2</v>
      </c>
      <c r="J68" s="54">
        <f t="shared" si="25"/>
        <v>1.4630863314519809</v>
      </c>
      <c r="K68" s="55">
        <f t="shared" si="26"/>
        <v>0.89231489790168717</v>
      </c>
      <c r="L68" s="55">
        <f t="shared" si="27"/>
        <v>3.4575481340139999E-3</v>
      </c>
      <c r="M68" s="55">
        <f t="shared" si="28"/>
        <v>0.996542451865986</v>
      </c>
      <c r="N68" s="55">
        <f t="shared" si="29"/>
        <v>1.7839550515238588E-3</v>
      </c>
      <c r="O68" s="56">
        <f t="shared" si="30"/>
        <v>8.9289639355326805E-7</v>
      </c>
      <c r="P68" s="56">
        <f t="shared" si="31"/>
        <v>2.5935068553239015E-5</v>
      </c>
      <c r="Q68" s="56">
        <f t="shared" si="32"/>
        <v>2.6762893682960923E-4</v>
      </c>
      <c r="R68" s="9">
        <f>F68*$C$14</f>
        <v>1.4999999999999999E-4</v>
      </c>
      <c r="S68" s="9">
        <f t="shared" si="38"/>
        <v>5.1863222010209996E-7</v>
      </c>
      <c r="T68" s="9">
        <f t="shared" si="39"/>
        <v>1.3384723468525306E-4</v>
      </c>
      <c r="U68" s="9">
        <f t="shared" si="40"/>
        <v>1.494813677798979E-4</v>
      </c>
      <c r="V68" s="102">
        <f t="shared" si="41"/>
        <v>0.89541082392512539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1.1979474472139457</v>
      </c>
      <c r="J69" s="54">
        <f t="shared" si="25"/>
        <v>3.8581605774828258</v>
      </c>
      <c r="K69" s="55">
        <f t="shared" si="26"/>
        <v>5.9720354356797831E-2</v>
      </c>
      <c r="L69" s="55">
        <f t="shared" si="27"/>
        <v>5.7470729904891465E-2</v>
      </c>
      <c r="M69" s="55">
        <f t="shared" si="28"/>
        <v>0.94252927009510856</v>
      </c>
      <c r="N69" s="55">
        <f t="shared" si="29"/>
        <v>4.7237743080290544E-2</v>
      </c>
      <c r="O69" s="56">
        <f t="shared" si="30"/>
        <v>5.9759272373801695E-8</v>
      </c>
      <c r="P69" s="56">
        <f t="shared" si="31"/>
        <v>4.3108794501659094E-4</v>
      </c>
      <c r="Q69" s="56">
        <f t="shared" si="32"/>
        <v>7.0866062169051862E-3</v>
      </c>
      <c r="R69" s="9">
        <f>F69*$C$14</f>
        <v>1.4999999999999999E-4</v>
      </c>
      <c r="S69" s="9">
        <f t="shared" si="38"/>
        <v>8.6206094857337182E-6</v>
      </c>
      <c r="T69" s="9">
        <f t="shared" si="39"/>
        <v>8.958053153519673E-6</v>
      </c>
      <c r="U69" s="9">
        <f t="shared" si="40"/>
        <v>1.4137939051426626E-4</v>
      </c>
      <c r="V69" s="102">
        <f t="shared" si="41"/>
        <v>6.3361803449108356E-2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6.6276677113325539E-3</v>
      </c>
      <c r="J70" s="54">
        <f t="shared" si="25"/>
        <v>0.63617430590334967</v>
      </c>
      <c r="K70" s="55">
        <f t="shared" si="26"/>
        <v>0.98378596484970737</v>
      </c>
      <c r="L70" s="55">
        <f t="shared" si="27"/>
        <v>5.6785661301689814E-4</v>
      </c>
      <c r="M70" s="55">
        <f t="shared" si="28"/>
        <v>0.99943214338698305</v>
      </c>
      <c r="N70" s="55">
        <f t="shared" si="29"/>
        <v>2.102584149815736E-4</v>
      </c>
      <c r="O70" s="56">
        <f t="shared" si="30"/>
        <v>9.8442706953370582E-7</v>
      </c>
      <c r="P70" s="56">
        <f t="shared" si="31"/>
        <v>4.2594924542397531E-6</v>
      </c>
      <c r="Q70" s="56">
        <f t="shared" si="32"/>
        <v>3.1542967415535671E-5</v>
      </c>
      <c r="R70" s="9">
        <f t="shared" ref="R70:R86" si="42">F70*$C$14</f>
        <v>1.4999999999999999E-4</v>
      </c>
      <c r="S70" s="9">
        <f t="shared" si="38"/>
        <v>8.5178491952534717E-8</v>
      </c>
      <c r="T70" s="9">
        <f t="shared" si="39"/>
        <v>1.4756789472745608E-4</v>
      </c>
      <c r="U70" s="9">
        <f t="shared" si="40"/>
        <v>1.4991482150804745E-4</v>
      </c>
      <c r="V70" s="102">
        <f t="shared" si="41"/>
        <v>0.98434493162862235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3">IF(D71=0,"",LOG($K$15*10^D71+$K$16*10^E71+$K$14))</f>
        <v>2.8589842167479149E-2</v>
      </c>
      <c r="J71" s="54">
        <f t="shared" ref="J71:J122" si="44">IF(D71=0,"",LOG($K$21*10^D71+$K$22*10^E71+$K$20))</f>
        <v>1.3625600825731248</v>
      </c>
      <c r="K71" s="55">
        <f t="shared" ref="K71:K122" si="45">IF(D71=0,"",1/(1+10^D71*$J$15/$J$14+10^E71*$J$16/$J$14+10^J71*$J$19/$J$14))</f>
        <v>0.93312011672900752</v>
      </c>
      <c r="L71" s="55">
        <f t="shared" ref="L71:L122" si="46">IF(D71=0,"",1/(1+10^I71/10^J71*$J$13/$J$19))</f>
        <v>2.8685431973574345E-3</v>
      </c>
      <c r="M71" s="55">
        <f t="shared" si="19"/>
        <v>0.99713145680264259</v>
      </c>
      <c r="N71" s="55">
        <f t="shared" ref="N71:N122" si="47">IF(D71=0,"",1/(1/10^E71*$J$20/$J$22+10^D71/10^E71*$J$21/$J$22+10^I71/10^E71*$J$13/$J$22+1))</f>
        <v>1.868397665870933E-3</v>
      </c>
      <c r="O71" s="56">
        <f t="shared" si="21"/>
        <v>9.3372820395421976E-7</v>
      </c>
      <c r="P71" s="56">
        <f t="shared" ref="P71:P122" si="48">IF(D71=0,"",O71*10^J71)</f>
        <v>2.1516942523378113E-5</v>
      </c>
      <c r="Q71" s="56">
        <f t="shared" ref="Q71:Q122" si="49">IF(D71=0,"",F71*N71*$J$7/$J$22)</f>
        <v>2.8029701783395728E-4</v>
      </c>
      <c r="R71" s="9">
        <f t="shared" si="42"/>
        <v>1.4999999999999999E-4</v>
      </c>
      <c r="S71" s="9">
        <f t="shared" si="38"/>
        <v>4.3028147960361514E-7</v>
      </c>
      <c r="T71" s="9">
        <f t="shared" si="39"/>
        <v>1.3996801750935112E-4</v>
      </c>
      <c r="U71" s="9">
        <f t="shared" si="40"/>
        <v>1.4956971852039637E-4</v>
      </c>
      <c r="V71" s="102">
        <f t="shared" si="41"/>
        <v>0.93580451239710061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3"/>
        <v>4.5043006346732313E-2</v>
      </c>
      <c r="J72" s="54">
        <f t="shared" si="44"/>
        <v>1.4662062884307066</v>
      </c>
      <c r="K72" s="55">
        <f t="shared" si="45"/>
        <v>0.89785764178854977</v>
      </c>
      <c r="L72" s="55">
        <f t="shared" si="46"/>
        <v>3.5041083883317076E-3</v>
      </c>
      <c r="M72" s="55">
        <f t="shared" si="19"/>
        <v>0.99649589161166829</v>
      </c>
      <c r="N72" s="55">
        <f t="shared" si="47"/>
        <v>1.9376094642429653E-3</v>
      </c>
      <c r="O72" s="56">
        <f t="shared" si="21"/>
        <v>8.9844274948502145E-7</v>
      </c>
      <c r="P72" s="56">
        <f t="shared" si="48"/>
        <v>2.6284317020876131E-5</v>
      </c>
      <c r="Q72" s="56">
        <f t="shared" si="49"/>
        <v>2.9068017182572962E-4</v>
      </c>
      <c r="R72" s="9">
        <f t="shared" si="42"/>
        <v>1.4999999999999999E-4</v>
      </c>
      <c r="S72" s="9">
        <f t="shared" si="38"/>
        <v>5.2561625824975613E-7</v>
      </c>
      <c r="T72" s="9">
        <f t="shared" si="39"/>
        <v>1.3467864626828246E-4</v>
      </c>
      <c r="U72" s="9">
        <f t="shared" si="40"/>
        <v>1.4947438374175023E-4</v>
      </c>
      <c r="V72" s="102">
        <f t="shared" si="41"/>
        <v>0.90101489564238202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3"/>
        <v>2.829962486439805</v>
      </c>
      <c r="J73" s="54">
        <f t="shared" si="44"/>
        <v>5.7902923462368587</v>
      </c>
      <c r="K73" s="55">
        <f t="shared" si="45"/>
        <v>1.318069029976468E-3</v>
      </c>
      <c r="L73" s="55">
        <f t="shared" si="46"/>
        <v>0.1084911371844013</v>
      </c>
      <c r="M73" s="55">
        <f t="shared" si="19"/>
        <v>0.89150886281559871</v>
      </c>
      <c r="N73" s="55">
        <f t="shared" si="47"/>
        <v>0.10348559940632014</v>
      </c>
      <c r="O73" s="56">
        <f t="shared" si="21"/>
        <v>1.3189279772059909E-9</v>
      </c>
      <c r="P73" s="56">
        <f t="shared" si="48"/>
        <v>8.1379202002019452E-4</v>
      </c>
      <c r="Q73" s="56">
        <f t="shared" si="49"/>
        <v>1.5524909622936144E-2</v>
      </c>
      <c r="R73" s="9">
        <f t="shared" si="42"/>
        <v>1.4999999999999999E-4</v>
      </c>
      <c r="S73" s="9">
        <f t="shared" si="38"/>
        <v>1.6273670577660194E-5</v>
      </c>
      <c r="T73" s="9">
        <f t="shared" si="39"/>
        <v>1.9771035449647018E-7</v>
      </c>
      <c r="U73" s="9">
        <f t="shared" si="40"/>
        <v>1.337263294223398E-4</v>
      </c>
      <c r="V73" s="102">
        <f t="shared" si="41"/>
        <v>1.4784699120249797E-3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3"/>
        <v>3.957220636313619E-3</v>
      </c>
      <c r="J74" s="54">
        <f t="shared" si="44"/>
        <v>0.50735979747220017</v>
      </c>
      <c r="K74" s="55">
        <f t="shared" si="45"/>
        <v>0.98999554625782171</v>
      </c>
      <c r="L74" s="55">
        <f t="shared" si="46"/>
        <v>4.2477289631860578E-4</v>
      </c>
      <c r="M74" s="55">
        <f t="shared" si="19"/>
        <v>0.99957522710368141</v>
      </c>
      <c r="N74" s="55">
        <f t="shared" si="47"/>
        <v>1.6306209004775775E-4</v>
      </c>
      <c r="O74" s="56">
        <f t="shared" si="21"/>
        <v>9.9064069754531793E-7</v>
      </c>
      <c r="P74" s="56">
        <f t="shared" si="48"/>
        <v>3.186221495285862E-6</v>
      </c>
      <c r="Q74" s="56">
        <f t="shared" si="49"/>
        <v>2.4462574748964615E-5</v>
      </c>
      <c r="R74" s="9">
        <f t="shared" si="42"/>
        <v>1.4999999999999999E-4</v>
      </c>
      <c r="S74" s="9">
        <f t="shared" si="38"/>
        <v>6.3715934447790861E-8</v>
      </c>
      <c r="T74" s="9">
        <f t="shared" si="39"/>
        <v>1.4849933193867323E-4</v>
      </c>
      <c r="U74" s="9">
        <f t="shared" si="40"/>
        <v>1.499362840655522E-4</v>
      </c>
      <c r="V74" s="102">
        <f t="shared" si="41"/>
        <v>0.99041624823614594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3"/>
        <v>4.1980440605165602E-3</v>
      </c>
      <c r="J75" s="54">
        <f t="shared" si="44"/>
        <v>0.50980800632319279</v>
      </c>
      <c r="K75" s="55">
        <f t="shared" si="45"/>
        <v>0.98944458800398605</v>
      </c>
      <c r="L75" s="55">
        <f t="shared" si="46"/>
        <v>4.2693645840245146E-4</v>
      </c>
      <c r="M75" s="55">
        <f t="shared" si="19"/>
        <v>0.99957306354159758</v>
      </c>
      <c r="N75" s="55">
        <f t="shared" si="47"/>
        <v>1.5541833109971863E-4</v>
      </c>
      <c r="O75" s="56">
        <f t="shared" si="21"/>
        <v>9.900893802480217E-7</v>
      </c>
      <c r="P75" s="56">
        <f t="shared" si="48"/>
        <v>3.2024503744767877E-6</v>
      </c>
      <c r="Q75" s="56">
        <f t="shared" si="49"/>
        <v>2.3315858031579784E-5</v>
      </c>
      <c r="R75" s="9">
        <f t="shared" si="42"/>
        <v>1.4999999999999999E-4</v>
      </c>
      <c r="S75" s="9">
        <f t="shared" si="38"/>
        <v>6.4040468760367712E-8</v>
      </c>
      <c r="T75" s="9">
        <f t="shared" si="39"/>
        <v>1.4841668820059789E-4</v>
      </c>
      <c r="U75" s="9">
        <f t="shared" si="40"/>
        <v>1.4993595953123961E-4</v>
      </c>
      <c r="V75" s="102">
        <f t="shared" si="41"/>
        <v>0.98986719839995962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3"/>
        <v>0.35626551305621779</v>
      </c>
      <c r="J76" s="54">
        <f t="shared" si="44"/>
        <v>2.6948578399819088</v>
      </c>
      <c r="K76" s="55">
        <f t="shared" si="45"/>
        <v>0.42762404371048951</v>
      </c>
      <c r="L76" s="55">
        <f t="shared" si="46"/>
        <v>2.8254245564762782E-2</v>
      </c>
      <c r="M76" s="55">
        <f t="shared" si="19"/>
        <v>0.97174575443523725</v>
      </c>
      <c r="N76" s="55">
        <f t="shared" si="47"/>
        <v>2.1143402615221407E-2</v>
      </c>
      <c r="O76" s="56">
        <f t="shared" si="21"/>
        <v>4.2790271385542806E-7</v>
      </c>
      <c r="P76" s="56">
        <f t="shared" si="48"/>
        <v>2.1193509598128567E-4</v>
      </c>
      <c r="Q76" s="56">
        <f t="shared" si="49"/>
        <v>3.1719332603355149E-3</v>
      </c>
      <c r="R76" s="9">
        <f t="shared" si="42"/>
        <v>1.4999999999999999E-4</v>
      </c>
      <c r="S76" s="9">
        <f t="shared" si="38"/>
        <v>4.2381368347144169E-6</v>
      </c>
      <c r="T76" s="9">
        <f t="shared" si="39"/>
        <v>6.4143606556573427E-5</v>
      </c>
      <c r="U76" s="9">
        <f t="shared" si="40"/>
        <v>1.4576186316528559E-4</v>
      </c>
      <c r="V76" s="102">
        <f t="shared" si="41"/>
        <v>0.4400575374358261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100</v>
      </c>
      <c r="C77" s="46" t="s">
        <v>101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3"/>
        <v>2.1004549420906745E-4</v>
      </c>
      <c r="J77" s="54">
        <f t="shared" si="44"/>
        <v>3.5001380315971067E-2</v>
      </c>
      <c r="K77" s="55">
        <f t="shared" si="45"/>
        <v>0.99885443109987393</v>
      </c>
      <c r="L77" s="55">
        <f t="shared" si="46"/>
        <v>1.4443330207139268E-4</v>
      </c>
      <c r="M77" s="55">
        <f t="shared" si="19"/>
        <v>0.99985556669792863</v>
      </c>
      <c r="N77" s="55">
        <f t="shared" si="47"/>
        <v>1.0116632275726045E-5</v>
      </c>
      <c r="O77" s="56">
        <f t="shared" si="21"/>
        <v>9.9950535546481798E-7</v>
      </c>
      <c r="P77" s="56">
        <f t="shared" si="48"/>
        <v>1.0833941988375163E-6</v>
      </c>
      <c r="Q77" s="56">
        <f t="shared" si="49"/>
        <v>1.5176971740044209E-6</v>
      </c>
      <c r="R77" s="9">
        <f t="shared" si="42"/>
        <v>1.4999999999999999E-4</v>
      </c>
      <c r="S77" s="9">
        <f t="shared" si="38"/>
        <v>2.1664995310708901E-8</v>
      </c>
      <c r="T77" s="9">
        <f t="shared" si="39"/>
        <v>1.4982816466498108E-4</v>
      </c>
      <c r="U77" s="9">
        <f t="shared" si="40"/>
        <v>1.4997833500468929E-4</v>
      </c>
      <c r="V77" s="102">
        <f t="shared" si="41"/>
        <v>0.99899871978373733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3"/>
        <v>9.6186457475178466E-3</v>
      </c>
      <c r="J78" s="54">
        <f t="shared" si="44"/>
        <v>0.86614766954915146</v>
      </c>
      <c r="K78" s="55">
        <f t="shared" si="45"/>
        <v>0.97665320276727086</v>
      </c>
      <c r="L78" s="55">
        <f t="shared" si="46"/>
        <v>9.5730826309950846E-4</v>
      </c>
      <c r="M78" s="55">
        <f t="shared" si="19"/>
        <v>0.99904269173690052</v>
      </c>
      <c r="N78" s="55">
        <f t="shared" si="47"/>
        <v>5.173412908385061E-4</v>
      </c>
      <c r="O78" s="56">
        <f t="shared" si="21"/>
        <v>9.772896592377916E-7</v>
      </c>
      <c r="P78" s="56">
        <f t="shared" si="48"/>
        <v>7.1807692815094113E-6</v>
      </c>
      <c r="Q78" s="56">
        <f t="shared" si="49"/>
        <v>7.7611540451592685E-5</v>
      </c>
      <c r="R78" s="9">
        <f t="shared" si="42"/>
        <v>1.4999999999999999E-4</v>
      </c>
      <c r="S78" s="9">
        <f t="shared" si="38"/>
        <v>1.4359623946492625E-7</v>
      </c>
      <c r="T78" s="9">
        <f t="shared" si="39"/>
        <v>1.4649798041509063E-4</v>
      </c>
      <c r="U78" s="9">
        <f t="shared" si="40"/>
        <v>1.4985640376053507E-4</v>
      </c>
      <c r="V78" s="102">
        <f t="shared" si="41"/>
        <v>0.9775890568493083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3"/>
        <v>8.6760595853303396E-2</v>
      </c>
      <c r="J79" s="54">
        <f t="shared" si="44"/>
        <v>1.8465793817928891</v>
      </c>
      <c r="K79" s="55">
        <f t="shared" si="45"/>
        <v>0.81226238175102805</v>
      </c>
      <c r="L79" s="55">
        <f t="shared" si="46"/>
        <v>7.6109607360692931E-3</v>
      </c>
      <c r="M79" s="55">
        <f t="shared" si="19"/>
        <v>0.99238903926393074</v>
      </c>
      <c r="N79" s="55">
        <f t="shared" si="47"/>
        <v>4.9860898929457971E-3</v>
      </c>
      <c r="O79" s="56">
        <f t="shared" si="21"/>
        <v>8.1279170950745306E-7</v>
      </c>
      <c r="P79" s="56">
        <f t="shared" si="48"/>
        <v>5.7089816481255763E-5</v>
      </c>
      <c r="Q79" s="56">
        <f t="shared" si="49"/>
        <v>7.4801320573972838E-4</v>
      </c>
      <c r="R79" s="9">
        <f t="shared" si="42"/>
        <v>1.4999999999999999E-4</v>
      </c>
      <c r="S79" s="9">
        <f t="shared" si="38"/>
        <v>1.141644110410394E-6</v>
      </c>
      <c r="T79" s="9">
        <f t="shared" si="39"/>
        <v>1.2183935726265419E-4</v>
      </c>
      <c r="U79" s="9">
        <f t="shared" si="40"/>
        <v>1.4885835588958958E-4</v>
      </c>
      <c r="V79" s="102">
        <f t="shared" si="41"/>
        <v>0.81849189139925893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3"/>
        <v>1.9819141928346475</v>
      </c>
      <c r="J80" s="54">
        <f t="shared" si="44"/>
        <v>4.7849539498028779</v>
      </c>
      <c r="K80" s="55">
        <f t="shared" si="45"/>
        <v>9.6060251367129298E-3</v>
      </c>
      <c r="L80" s="55">
        <f t="shared" si="46"/>
        <v>7.8101869215340902E-2</v>
      </c>
      <c r="M80" s="55">
        <f t="shared" si="19"/>
        <v>0.9218981307846591</v>
      </c>
      <c r="N80" s="55">
        <f t="shared" si="47"/>
        <v>6.9498188157027879E-2</v>
      </c>
      <c r="O80" s="56">
        <f t="shared" si="21"/>
        <v>9.6122851037482318E-9</v>
      </c>
      <c r="P80" s="56">
        <f t="shared" si="48"/>
        <v>5.8584212098427223E-4</v>
      </c>
      <c r="Q80" s="56">
        <f t="shared" si="49"/>
        <v>1.0426118187317319E-2</v>
      </c>
      <c r="R80" s="9">
        <f t="shared" si="42"/>
        <v>1.4999999999999999E-4</v>
      </c>
      <c r="S80" s="9">
        <f t="shared" si="38"/>
        <v>1.1715280382301134E-5</v>
      </c>
      <c r="T80" s="9">
        <f t="shared" si="39"/>
        <v>1.4409037705069394E-6</v>
      </c>
      <c r="U80" s="9">
        <f t="shared" si="40"/>
        <v>1.3828471961769886E-4</v>
      </c>
      <c r="V80" s="102">
        <f t="shared" si="41"/>
        <v>1.0419833619292527E-2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3"/>
        <v>0.12726341031571042</v>
      </c>
      <c r="J81" s="54">
        <f t="shared" si="44"/>
        <v>2.1476419495508856</v>
      </c>
      <c r="K81" s="55">
        <f t="shared" si="45"/>
        <v>0.7353342511992047</v>
      </c>
      <c r="L81" s="55">
        <f t="shared" si="46"/>
        <v>1.3781310079999411E-2</v>
      </c>
      <c r="M81" s="55">
        <f t="shared" si="19"/>
        <v>0.98621868992000061</v>
      </c>
      <c r="N81" s="55">
        <f t="shared" si="47"/>
        <v>1.0511157877987076E-2</v>
      </c>
      <c r="O81" s="56">
        <f t="shared" si="21"/>
        <v>7.3581344713164552E-7</v>
      </c>
      <c r="P81" s="56">
        <f t="shared" si="48"/>
        <v>1.0337360691007556E-4</v>
      </c>
      <c r="Q81" s="56">
        <f t="shared" si="49"/>
        <v>1.5768839048556208E-3</v>
      </c>
      <c r="R81" s="9">
        <f t="shared" si="42"/>
        <v>1.4999999999999999E-4</v>
      </c>
      <c r="S81" s="9">
        <f t="shared" si="38"/>
        <v>2.0671965119999114E-6</v>
      </c>
      <c r="T81" s="9">
        <f t="shared" si="39"/>
        <v>1.1030013767988069E-4</v>
      </c>
      <c r="U81" s="9">
        <f t="shared" si="40"/>
        <v>1.4793280348800007E-4</v>
      </c>
      <c r="V81" s="102">
        <f t="shared" si="41"/>
        <v>0.74560973008821507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3"/>
        <v>0.47104615060046062</v>
      </c>
      <c r="J82" s="54">
        <f t="shared" si="44"/>
        <v>3.0007157776870899</v>
      </c>
      <c r="K82" s="55">
        <f t="shared" si="45"/>
        <v>0.32326027289722098</v>
      </c>
      <c r="L82" s="55">
        <f t="shared" si="46"/>
        <v>4.3194840268305147E-2</v>
      </c>
      <c r="M82" s="55">
        <f t="shared" si="19"/>
        <v>0.95680515973169489</v>
      </c>
      <c r="N82" s="55">
        <f t="shared" si="47"/>
        <v>3.6019203006764255E-2</v>
      </c>
      <c r="O82" s="56">
        <f t="shared" si="21"/>
        <v>3.2347093220982527E-7</v>
      </c>
      <c r="P82" s="56">
        <f t="shared" si="48"/>
        <v>3.2400449685255695E-4</v>
      </c>
      <c r="Q82" s="56">
        <f t="shared" si="49"/>
        <v>5.4036008350747721E-3</v>
      </c>
      <c r="R82" s="9">
        <f t="shared" si="42"/>
        <v>1.4999999999999999E-4</v>
      </c>
      <c r="S82" s="9">
        <f t="shared" si="38"/>
        <v>6.4792260402457719E-6</v>
      </c>
      <c r="T82" s="9">
        <f t="shared" si="39"/>
        <v>4.8489040934583146E-5</v>
      </c>
      <c r="U82" s="9">
        <f t="shared" si="40"/>
        <v>1.4352077395975423E-4</v>
      </c>
      <c r="V82" s="102">
        <f t="shared" si="41"/>
        <v>0.337853814446265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3"/>
        <v>0.17835694544431213</v>
      </c>
      <c r="J83" s="54">
        <f t="shared" si="44"/>
        <v>2.3388959370141773</v>
      </c>
      <c r="K83" s="55">
        <f t="shared" si="45"/>
        <v>0.65030563044064249</v>
      </c>
      <c r="L83" s="55">
        <f t="shared" si="46"/>
        <v>1.8931159330540376E-2</v>
      </c>
      <c r="M83" s="55">
        <f t="shared" si="19"/>
        <v>0.98106884066945965</v>
      </c>
      <c r="N83" s="55">
        <f t="shared" si="47"/>
        <v>1.4741690125978299E-2</v>
      </c>
      <c r="O83" s="56">
        <f t="shared" si="21"/>
        <v>6.5072941569536476E-7</v>
      </c>
      <c r="P83" s="56">
        <f t="shared" si="48"/>
        <v>1.4200262613838337E-4</v>
      </c>
      <c r="Q83" s="56">
        <f t="shared" si="49"/>
        <v>2.2115483526992637E-3</v>
      </c>
      <c r="R83" s="9">
        <f t="shared" si="42"/>
        <v>1.4999999999999999E-4</v>
      </c>
      <c r="S83" s="9">
        <f t="shared" si="38"/>
        <v>2.8396738995810561E-6</v>
      </c>
      <c r="T83" s="9">
        <f t="shared" si="39"/>
        <v>9.7545844566096368E-5</v>
      </c>
      <c r="U83" s="9">
        <f t="shared" si="40"/>
        <v>1.4716032610041893E-4</v>
      </c>
      <c r="V83" s="102">
        <f t="shared" si="41"/>
        <v>0.6628542294716937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102</v>
      </c>
      <c r="C84" s="46" t="s">
        <v>103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3"/>
        <v>5.9812805986470914E-3</v>
      </c>
      <c r="J84" s="54">
        <f t="shared" si="44"/>
        <v>0.66821968451796943</v>
      </c>
      <c r="K84" s="55">
        <f t="shared" si="45"/>
        <v>0.98520754502350216</v>
      </c>
      <c r="L84" s="55">
        <f t="shared" si="46"/>
        <v>6.1222515958333102E-4</v>
      </c>
      <c r="M84" s="55">
        <f t="shared" si="19"/>
        <v>0.99938777484041663</v>
      </c>
      <c r="N84" s="55">
        <f t="shared" si="47"/>
        <v>2.8609514827397588E-4</v>
      </c>
      <c r="O84" s="56">
        <f t="shared" si="21"/>
        <v>9.8584957610993027E-7</v>
      </c>
      <c r="P84" s="56">
        <f t="shared" si="48"/>
        <v>4.5923009220345664E-6</v>
      </c>
      <c r="Q84" s="56">
        <f t="shared" si="49"/>
        <v>4.2919994144061852E-5</v>
      </c>
      <c r="R84" s="9">
        <f t="shared" si="42"/>
        <v>1.4999999999999999E-4</v>
      </c>
      <c r="S84" s="9">
        <f t="shared" si="38"/>
        <v>9.183377393749965E-8</v>
      </c>
      <c r="T84" s="9">
        <f t="shared" si="39"/>
        <v>1.4778113175352531E-4</v>
      </c>
      <c r="U84" s="9">
        <f t="shared" si="40"/>
        <v>1.4990816622606248E-4</v>
      </c>
      <c r="V84" s="102">
        <f t="shared" si="41"/>
        <v>0.98581108337133827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3"/>
        <v>0.11910186422699467</v>
      </c>
      <c r="J85" s="54">
        <f t="shared" si="44"/>
        <v>2.1336193491516409</v>
      </c>
      <c r="K85" s="55">
        <f t="shared" si="45"/>
        <v>0.74942224386416756</v>
      </c>
      <c r="L85" s="55">
        <f t="shared" si="46"/>
        <v>1.359908498976959E-2</v>
      </c>
      <c r="M85" s="55">
        <f t="shared" si="19"/>
        <v>0.98640091501023042</v>
      </c>
      <c r="N85" s="55">
        <f t="shared" si="47"/>
        <v>1.0564047448290391E-2</v>
      </c>
      <c r="O85" s="56">
        <f t="shared" si="21"/>
        <v>7.4991062053145144E-7</v>
      </c>
      <c r="P85" s="56">
        <f t="shared" si="48"/>
        <v>1.0200673650826167E-4</v>
      </c>
      <c r="Q85" s="56">
        <f t="shared" si="49"/>
        <v>1.5848183981925241E-3</v>
      </c>
      <c r="R85" s="9">
        <f t="shared" si="42"/>
        <v>1.4999999999999999E-4</v>
      </c>
      <c r="S85" s="9">
        <f t="shared" si="38"/>
        <v>2.0398627484654384E-6</v>
      </c>
      <c r="T85" s="9">
        <f t="shared" si="39"/>
        <v>1.1241333657962513E-4</v>
      </c>
      <c r="U85" s="9">
        <f t="shared" si="40"/>
        <v>1.4796013725153456E-4</v>
      </c>
      <c r="V85" s="102">
        <f t="shared" si="41"/>
        <v>0.75975420588128206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104</v>
      </c>
      <c r="C86" s="46" t="s">
        <v>105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3"/>
        <v>3.4503381608646556E-2</v>
      </c>
      <c r="J86" s="54">
        <f t="shared" si="44"/>
        <v>1.473638978374388</v>
      </c>
      <c r="K86" s="55">
        <f t="shared" si="45"/>
        <v>0.91977757029370655</v>
      </c>
      <c r="L86" s="55">
        <f t="shared" si="46"/>
        <v>3.6516197932840722E-3</v>
      </c>
      <c r="M86" s="55">
        <f t="shared" si="19"/>
        <v>0.9963483802067159</v>
      </c>
      <c r="N86" s="55">
        <f t="shared" si="47"/>
        <v>2.5041283119444698E-3</v>
      </c>
      <c r="O86" s="56">
        <f t="shared" si="21"/>
        <v>9.2037696256968999E-7</v>
      </c>
      <c r="P86" s="56">
        <f t="shared" si="48"/>
        <v>2.7390800069423822E-5</v>
      </c>
      <c r="Q86" s="56">
        <f t="shared" si="49"/>
        <v>3.756693293579093E-4</v>
      </c>
      <c r="R86" s="9">
        <f t="shared" si="42"/>
        <v>1.4999999999999999E-4</v>
      </c>
      <c r="S86" s="9">
        <f t="shared" si="38"/>
        <v>5.4774296899261078E-7</v>
      </c>
      <c r="T86" s="9">
        <f t="shared" si="39"/>
        <v>1.3796663554405597E-4</v>
      </c>
      <c r="U86" s="9">
        <f t="shared" si="40"/>
        <v>1.4945225703100738E-4</v>
      </c>
      <c r="V86" s="102">
        <f t="shared" si="41"/>
        <v>0.92314855783965555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3"/>
        <v/>
      </c>
      <c r="J87" s="54" t="str">
        <f t="shared" si="44"/>
        <v/>
      </c>
      <c r="K87" s="55" t="str">
        <f t="shared" si="45"/>
        <v/>
      </c>
      <c r="L87" s="55" t="str">
        <f t="shared" si="46"/>
        <v/>
      </c>
      <c r="M87" s="55" t="str">
        <f t="shared" si="19"/>
        <v/>
      </c>
      <c r="N87" s="55" t="str">
        <f t="shared" si="47"/>
        <v/>
      </c>
      <c r="O87" s="56" t="str">
        <f t="shared" si="21"/>
        <v/>
      </c>
      <c r="P87" s="56" t="str">
        <f t="shared" si="48"/>
        <v/>
      </c>
      <c r="Q87" s="56" t="str">
        <f t="shared" si="49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3"/>
        <v>1.1640116161103842</v>
      </c>
      <c r="J88" s="54">
        <f t="shared" si="44"/>
        <v>3.9852799121672526</v>
      </c>
      <c r="K88" s="55">
        <f t="shared" si="45"/>
        <v>6.2949855943871175E-2</v>
      </c>
      <c r="L88" s="55">
        <f t="shared" si="46"/>
        <v>8.1178012129449653E-2</v>
      </c>
      <c r="M88" s="55">
        <f t="shared" si="19"/>
        <v>0.91882198787055036</v>
      </c>
      <c r="N88" s="55">
        <f t="shared" si="47"/>
        <v>7.3929284725165995E-2</v>
      </c>
      <c r="O88" s="56">
        <f t="shared" si="21"/>
        <v>6.299087853307716E-8</v>
      </c>
      <c r="P88" s="56">
        <f t="shared" si="48"/>
        <v>6.0891626898300203E-4</v>
      </c>
      <c r="Q88" s="56">
        <f t="shared" si="49"/>
        <v>1.1090871294469399E-2</v>
      </c>
      <c r="R88" s="9">
        <f>F88*$C$14</f>
        <v>1.4999999999999999E-4</v>
      </c>
      <c r="S88" s="9">
        <f t="shared" si="38"/>
        <v>1.2176701819417446E-5</v>
      </c>
      <c r="T88" s="9">
        <f t="shared" si="39"/>
        <v>9.4424783915806748E-6</v>
      </c>
      <c r="U88" s="9">
        <f t="shared" si="40"/>
        <v>1.3782329818058255E-4</v>
      </c>
      <c r="V88" s="102">
        <f t="shared" si="41"/>
        <v>6.8511481848364253E-2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3"/>
        <v>2.5219720041185627</v>
      </c>
      <c r="J89" s="54">
        <f t="shared" si="44"/>
        <v>5.4568603611336437</v>
      </c>
      <c r="K89" s="55">
        <f t="shared" si="45"/>
        <v>2.6953665409126509E-3</v>
      </c>
      <c r="L89" s="55">
        <f t="shared" si="46"/>
        <v>0.10295369866657972</v>
      </c>
      <c r="M89" s="55">
        <f t="shared" si="19"/>
        <v>0.89704630133342023</v>
      </c>
      <c r="N89" s="55">
        <f t="shared" si="47"/>
        <v>9.7290088107668635E-2</v>
      </c>
      <c r="O89" s="56">
        <f t="shared" si="21"/>
        <v>2.6971230328491214E-9</v>
      </c>
      <c r="P89" s="56">
        <f t="shared" si="48"/>
        <v>7.7225569369801387E-4</v>
      </c>
      <c r="Q89" s="56">
        <f t="shared" si="49"/>
        <v>1.4595459017912446E-2</v>
      </c>
      <c r="R89" s="9">
        <f>F89*$C$14</f>
        <v>1.4999999999999999E-4</v>
      </c>
      <c r="S89" s="9">
        <f t="shared" si="38"/>
        <v>1.5443054799986957E-5</v>
      </c>
      <c r="T89" s="9">
        <f t="shared" si="39"/>
        <v>4.0430498113689757E-7</v>
      </c>
      <c r="U89" s="9">
        <f t="shared" si="40"/>
        <v>1.3455694520001302E-4</v>
      </c>
      <c r="V89" s="102">
        <f t="shared" si="41"/>
        <v>3.0047128413618184E-3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3"/>
        <v>2.8671793282646911</v>
      </c>
      <c r="J90" s="54">
        <f t="shared" si="44"/>
        <v>5.8376711731613922</v>
      </c>
      <c r="K90" s="55">
        <f t="shared" si="45"/>
        <v>1.2067220793714186E-3</v>
      </c>
      <c r="L90" s="55">
        <f t="shared" si="46"/>
        <v>0.11077511043908211</v>
      </c>
      <c r="M90" s="55">
        <f t="shared" si="19"/>
        <v>0.88922488956091783</v>
      </c>
      <c r="N90" s="55">
        <f t="shared" si="47"/>
        <v>0.10604935290145998</v>
      </c>
      <c r="O90" s="56">
        <f t="shared" si="21"/>
        <v>1.2075084650335554E-9</v>
      </c>
      <c r="P90" s="56">
        <f t="shared" si="48"/>
        <v>8.3092410340355571E-4</v>
      </c>
      <c r="Q90" s="56">
        <f t="shared" si="49"/>
        <v>1.590952392227702E-2</v>
      </c>
      <c r="R90" s="9">
        <f>F90*$C$14</f>
        <v>1.4999999999999999E-4</v>
      </c>
      <c r="S90" s="9">
        <f t="shared" si="38"/>
        <v>1.6616266565862314E-5</v>
      </c>
      <c r="T90" s="9">
        <f t="shared" si="39"/>
        <v>1.8100831190571279E-7</v>
      </c>
      <c r="U90" s="9">
        <f t="shared" si="40"/>
        <v>1.3338373343413766E-4</v>
      </c>
      <c r="V90" s="102">
        <f t="shared" si="41"/>
        <v>1.3570493736036503E-3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106</v>
      </c>
      <c r="C91" s="46" t="s">
        <v>107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3"/>
        <v>3.2678433041260839</v>
      </c>
      <c r="J91" s="54">
        <f t="shared" si="44"/>
        <v>6.2686756056738835</v>
      </c>
      <c r="K91" s="55">
        <f t="shared" si="45"/>
        <v>4.7585650448938509E-4</v>
      </c>
      <c r="L91" s="55">
        <f t="shared" si="46"/>
        <v>0.11784614358517562</v>
      </c>
      <c r="M91" s="55">
        <f t="shared" si="19"/>
        <v>0.88215385641482436</v>
      </c>
      <c r="N91" s="55">
        <f t="shared" si="47"/>
        <v>0.11397950691244824</v>
      </c>
      <c r="O91" s="56">
        <f t="shared" si="21"/>
        <v>4.7616660632539345E-10</v>
      </c>
      <c r="P91" s="56">
        <f t="shared" si="48"/>
        <v>8.8396392303240309E-4</v>
      </c>
      <c r="Q91" s="56">
        <f t="shared" si="49"/>
        <v>1.7099205627005482E-2</v>
      </c>
      <c r="R91" s="9">
        <f t="shared" ref="R91:R92" si="50">F91*$C$14</f>
        <v>1.4999999999999999E-4</v>
      </c>
      <c r="S91" s="9">
        <f t="shared" si="38"/>
        <v>1.767692153777634E-5</v>
      </c>
      <c r="T91" s="9">
        <f t="shared" si="39"/>
        <v>7.1378475673407758E-8</v>
      </c>
      <c r="U91" s="9">
        <f t="shared" si="40"/>
        <v>1.3232307846222364E-4</v>
      </c>
      <c r="V91" s="102">
        <f t="shared" si="41"/>
        <v>5.3942574872746247E-4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108</v>
      </c>
      <c r="C92" s="46" t="s">
        <v>109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3"/>
        <v>4.4880081925943038</v>
      </c>
      <c r="J92" s="54">
        <f t="shared" si="44"/>
        <v>7.5335977384937181</v>
      </c>
      <c r="K92" s="55">
        <f t="shared" si="45"/>
        <v>2.830026625846376E-5</v>
      </c>
      <c r="L92" s="55">
        <f t="shared" si="46"/>
        <v>0.12898880504543442</v>
      </c>
      <c r="M92" s="55">
        <f t="shared" si="19"/>
        <v>0.87101119495456558</v>
      </c>
      <c r="N92" s="55">
        <f t="shared" si="47"/>
        <v>0.12648886199696938</v>
      </c>
      <c r="O92" s="56">
        <f t="shared" si="21"/>
        <v>2.8318708718414359E-11</v>
      </c>
      <c r="P92" s="56">
        <f t="shared" si="48"/>
        <v>9.6754502664580448E-4</v>
      </c>
      <c r="Q92" s="56">
        <f t="shared" si="49"/>
        <v>1.8975859076785343E-2</v>
      </c>
      <c r="R92" s="9">
        <f t="shared" si="50"/>
        <v>1.4999999999999999E-4</v>
      </c>
      <c r="S92" s="9">
        <f t="shared" si="38"/>
        <v>1.934832075681516E-5</v>
      </c>
      <c r="T92" s="9">
        <f t="shared" si="39"/>
        <v>4.2450399387695637E-9</v>
      </c>
      <c r="U92" s="9">
        <f t="shared" si="40"/>
        <v>1.3065167924318483E-4</v>
      </c>
      <c r="V92" s="102">
        <f t="shared" si="41"/>
        <v>3.2491277290574872E-5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3"/>
        <v>3.2311126461878961E-2</v>
      </c>
      <c r="J93" s="54">
        <f t="shared" si="44"/>
        <v>1.270819636021709</v>
      </c>
      <c r="K93" s="55">
        <f t="shared" si="45"/>
        <v>0.92568274191844568</v>
      </c>
      <c r="L93" s="55">
        <f t="shared" si="46"/>
        <v>2.3038041827455791E-3</v>
      </c>
      <c r="M93" s="55">
        <f t="shared" ref="M93:M127" si="51">IF(D93=0,"",1-L93)</f>
        <v>0.99769619581725444</v>
      </c>
      <c r="N93" s="55">
        <f t="shared" si="47"/>
        <v>1.0979837957274853E-3</v>
      </c>
      <c r="O93" s="56">
        <f t="shared" ref="O93:O127" si="52">IF(D93=0,"",F93*K93*$J$7/$J$14)</f>
        <v>9.262859824229299E-7</v>
      </c>
      <c r="P93" s="56">
        <f t="shared" si="48"/>
        <v>1.7280835174774591E-5</v>
      </c>
      <c r="Q93" s="56">
        <f t="shared" si="49"/>
        <v>1.6471952903503731E-4</v>
      </c>
      <c r="R93" s="9">
        <f>F93*$C$14</f>
        <v>1.4999999999999999E-4</v>
      </c>
      <c r="S93" s="9">
        <f t="shared" si="38"/>
        <v>3.4557062741183683E-7</v>
      </c>
      <c r="T93" s="9">
        <f t="shared" si="39"/>
        <v>1.3885241128776683E-4</v>
      </c>
      <c r="U93" s="9">
        <f t="shared" si="40"/>
        <v>1.4965442937258814E-4</v>
      </c>
      <c r="V93" s="102">
        <f t="shared" si="41"/>
        <v>0.92782025810991542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3"/>
        <v/>
      </c>
      <c r="J94" s="54" t="str">
        <f t="shared" si="44"/>
        <v/>
      </c>
      <c r="K94" s="55" t="str">
        <f t="shared" si="45"/>
        <v/>
      </c>
      <c r="L94" s="55" t="str">
        <f t="shared" si="46"/>
        <v/>
      </c>
      <c r="M94" s="55" t="str">
        <f t="shared" si="51"/>
        <v/>
      </c>
      <c r="N94" s="55" t="str">
        <f t="shared" si="47"/>
        <v/>
      </c>
      <c r="O94" s="56" t="str">
        <f t="shared" si="52"/>
        <v/>
      </c>
      <c r="P94" s="56" t="str">
        <f t="shared" si="48"/>
        <v/>
      </c>
      <c r="Q94" s="56" t="str">
        <f t="shared" si="49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3"/>
        <v/>
      </c>
      <c r="J95" s="54" t="str">
        <f t="shared" si="44"/>
        <v/>
      </c>
      <c r="K95" s="55" t="str">
        <f t="shared" si="45"/>
        <v/>
      </c>
      <c r="L95" s="55" t="str">
        <f t="shared" si="46"/>
        <v/>
      </c>
      <c r="M95" s="55" t="str">
        <f t="shared" si="51"/>
        <v/>
      </c>
      <c r="N95" s="55" t="str">
        <f t="shared" si="47"/>
        <v/>
      </c>
      <c r="O95" s="56" t="str">
        <f t="shared" si="52"/>
        <v/>
      </c>
      <c r="P95" s="56" t="str">
        <f t="shared" si="48"/>
        <v/>
      </c>
      <c r="Q95" s="56" t="str">
        <f t="shared" si="49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3"/>
        <v/>
      </c>
      <c r="J96" s="54" t="str">
        <f t="shared" si="44"/>
        <v/>
      </c>
      <c r="K96" s="55" t="str">
        <f t="shared" si="45"/>
        <v/>
      </c>
      <c r="L96" s="55" t="str">
        <f t="shared" si="46"/>
        <v/>
      </c>
      <c r="M96" s="55" t="str">
        <f t="shared" si="51"/>
        <v/>
      </c>
      <c r="N96" s="55" t="str">
        <f t="shared" si="47"/>
        <v/>
      </c>
      <c r="O96" s="56" t="str">
        <f t="shared" si="52"/>
        <v/>
      </c>
      <c r="P96" s="56" t="str">
        <f t="shared" si="48"/>
        <v/>
      </c>
      <c r="Q96" s="56" t="str">
        <f t="shared" si="49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3"/>
        <v/>
      </c>
      <c r="J97" s="54" t="str">
        <f t="shared" si="44"/>
        <v/>
      </c>
      <c r="K97" s="55" t="str">
        <f t="shared" si="45"/>
        <v/>
      </c>
      <c r="L97" s="55" t="str">
        <f t="shared" si="46"/>
        <v/>
      </c>
      <c r="M97" s="55" t="str">
        <f t="shared" si="51"/>
        <v/>
      </c>
      <c r="N97" s="55" t="str">
        <f t="shared" si="47"/>
        <v/>
      </c>
      <c r="O97" s="56" t="str">
        <f t="shared" si="52"/>
        <v/>
      </c>
      <c r="P97" s="56" t="str">
        <f t="shared" si="48"/>
        <v/>
      </c>
      <c r="Q97" s="56" t="str">
        <f t="shared" si="49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3"/>
        <v/>
      </c>
      <c r="J98" s="54" t="str">
        <f t="shared" si="44"/>
        <v/>
      </c>
      <c r="K98" s="55" t="str">
        <f t="shared" si="45"/>
        <v/>
      </c>
      <c r="L98" s="55" t="str">
        <f t="shared" si="46"/>
        <v/>
      </c>
      <c r="M98" s="55" t="str">
        <f t="shared" si="51"/>
        <v/>
      </c>
      <c r="N98" s="55" t="str">
        <f t="shared" si="47"/>
        <v/>
      </c>
      <c r="O98" s="56" t="str">
        <f t="shared" si="52"/>
        <v/>
      </c>
      <c r="P98" s="56" t="str">
        <f t="shared" si="48"/>
        <v/>
      </c>
      <c r="Q98" s="56" t="str">
        <f t="shared" si="49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3"/>
        <v/>
      </c>
      <c r="J99" s="54" t="str">
        <f t="shared" si="44"/>
        <v/>
      </c>
      <c r="K99" s="55" t="str">
        <f t="shared" si="45"/>
        <v/>
      </c>
      <c r="L99" s="55" t="str">
        <f t="shared" si="46"/>
        <v/>
      </c>
      <c r="M99" s="55" t="str">
        <f t="shared" si="51"/>
        <v/>
      </c>
      <c r="N99" s="55" t="str">
        <f t="shared" si="47"/>
        <v/>
      </c>
      <c r="O99" s="56" t="str">
        <f t="shared" si="52"/>
        <v/>
      </c>
      <c r="P99" s="56" t="str">
        <f t="shared" si="48"/>
        <v/>
      </c>
      <c r="Q99" s="56" t="str">
        <f t="shared" si="49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3"/>
        <v/>
      </c>
      <c r="J100" s="54" t="str">
        <f t="shared" si="44"/>
        <v/>
      </c>
      <c r="K100" s="55" t="str">
        <f t="shared" si="45"/>
        <v/>
      </c>
      <c r="L100" s="55" t="str">
        <f t="shared" si="46"/>
        <v/>
      </c>
      <c r="M100" s="55" t="str">
        <f t="shared" si="51"/>
        <v/>
      </c>
      <c r="N100" s="55" t="str">
        <f t="shared" si="47"/>
        <v/>
      </c>
      <c r="O100" s="56" t="str">
        <f t="shared" si="52"/>
        <v/>
      </c>
      <c r="P100" s="56" t="str">
        <f t="shared" si="48"/>
        <v/>
      </c>
      <c r="Q100" s="56" t="str">
        <f t="shared" si="49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3"/>
        <v/>
      </c>
      <c r="J101" s="54" t="str">
        <f t="shared" si="44"/>
        <v/>
      </c>
      <c r="K101" s="55" t="str">
        <f t="shared" si="45"/>
        <v/>
      </c>
      <c r="L101" s="55" t="str">
        <f t="shared" si="46"/>
        <v/>
      </c>
      <c r="M101" s="55" t="str">
        <f t="shared" si="51"/>
        <v/>
      </c>
      <c r="N101" s="55" t="str">
        <f t="shared" si="47"/>
        <v/>
      </c>
      <c r="O101" s="56" t="str">
        <f t="shared" si="52"/>
        <v/>
      </c>
      <c r="P101" s="56" t="str">
        <f t="shared" si="48"/>
        <v/>
      </c>
      <c r="Q101" s="56" t="str">
        <f t="shared" si="49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3"/>
        <v/>
      </c>
      <c r="J102" s="54" t="str">
        <f t="shared" si="44"/>
        <v/>
      </c>
      <c r="K102" s="55" t="str">
        <f t="shared" si="45"/>
        <v/>
      </c>
      <c r="L102" s="55" t="str">
        <f t="shared" si="46"/>
        <v/>
      </c>
      <c r="M102" s="55" t="str">
        <f t="shared" si="51"/>
        <v/>
      </c>
      <c r="N102" s="55" t="str">
        <f t="shared" si="47"/>
        <v/>
      </c>
      <c r="O102" s="56" t="str">
        <f t="shared" si="52"/>
        <v/>
      </c>
      <c r="P102" s="56" t="str">
        <f t="shared" si="48"/>
        <v/>
      </c>
      <c r="Q102" s="56" t="str">
        <f t="shared" si="49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3"/>
        <v/>
      </c>
      <c r="J103" s="54" t="str">
        <f t="shared" si="44"/>
        <v/>
      </c>
      <c r="K103" s="55" t="str">
        <f t="shared" si="45"/>
        <v/>
      </c>
      <c r="L103" s="55" t="str">
        <f t="shared" si="46"/>
        <v/>
      </c>
      <c r="M103" s="55" t="str">
        <f t="shared" si="51"/>
        <v/>
      </c>
      <c r="N103" s="55" t="str">
        <f t="shared" si="47"/>
        <v/>
      </c>
      <c r="O103" s="56" t="str">
        <f t="shared" si="52"/>
        <v/>
      </c>
      <c r="P103" s="56" t="str">
        <f t="shared" si="48"/>
        <v/>
      </c>
      <c r="Q103" s="56" t="str">
        <f t="shared" si="49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3"/>
        <v/>
      </c>
      <c r="J104" s="54" t="str">
        <f t="shared" si="44"/>
        <v/>
      </c>
      <c r="K104" s="55" t="str">
        <f t="shared" si="45"/>
        <v/>
      </c>
      <c r="L104" s="55" t="str">
        <f t="shared" si="46"/>
        <v/>
      </c>
      <c r="M104" s="55" t="str">
        <f t="shared" si="51"/>
        <v/>
      </c>
      <c r="N104" s="55" t="str">
        <f t="shared" si="47"/>
        <v/>
      </c>
      <c r="O104" s="56" t="str">
        <f t="shared" si="52"/>
        <v/>
      </c>
      <c r="P104" s="56" t="str">
        <f t="shared" si="48"/>
        <v/>
      </c>
      <c r="Q104" s="56" t="str">
        <f t="shared" si="49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3"/>
        <v/>
      </c>
      <c r="J105" s="54" t="str">
        <f t="shared" si="44"/>
        <v/>
      </c>
      <c r="K105" s="55" t="str">
        <f t="shared" si="45"/>
        <v/>
      </c>
      <c r="L105" s="55" t="str">
        <f t="shared" si="46"/>
        <v/>
      </c>
      <c r="M105" s="55" t="str">
        <f t="shared" si="51"/>
        <v/>
      </c>
      <c r="N105" s="55" t="str">
        <f t="shared" si="47"/>
        <v/>
      </c>
      <c r="O105" s="56" t="str">
        <f t="shared" si="52"/>
        <v/>
      </c>
      <c r="P105" s="56" t="str">
        <f t="shared" si="48"/>
        <v/>
      </c>
      <c r="Q105" s="56" t="str">
        <f t="shared" si="49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3"/>
        <v/>
      </c>
      <c r="J106" s="54" t="str">
        <f t="shared" si="44"/>
        <v/>
      </c>
      <c r="K106" s="55" t="str">
        <f t="shared" si="45"/>
        <v/>
      </c>
      <c r="L106" s="55" t="str">
        <f t="shared" si="46"/>
        <v/>
      </c>
      <c r="M106" s="55" t="str">
        <f t="shared" si="51"/>
        <v/>
      </c>
      <c r="N106" s="55" t="str">
        <f t="shared" si="47"/>
        <v/>
      </c>
      <c r="O106" s="56" t="str">
        <f t="shared" si="52"/>
        <v/>
      </c>
      <c r="P106" s="56" t="str">
        <f t="shared" si="48"/>
        <v/>
      </c>
      <c r="Q106" s="56" t="str">
        <f t="shared" si="49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3"/>
        <v>1.9446765022663539E-3</v>
      </c>
      <c r="J107" s="54">
        <f t="shared" si="44"/>
        <v>0.3105773051978919</v>
      </c>
      <c r="K107" s="55">
        <f t="shared" si="45"/>
        <v>0.9947465911989386</v>
      </c>
      <c r="L107" s="55">
        <f t="shared" si="46"/>
        <v>2.7130233039061977E-4</v>
      </c>
      <c r="M107" s="55">
        <f t="shared" si="51"/>
        <v>0.99972869766960937</v>
      </c>
      <c r="N107" s="55">
        <f t="shared" si="47"/>
        <v>7.7527936232537004E-5</v>
      </c>
      <c r="O107" s="56">
        <f t="shared" si="52"/>
        <v>9.9539483860416207E-7</v>
      </c>
      <c r="P107" s="56">
        <f t="shared" si="48"/>
        <v>2.0350387802600392E-6</v>
      </c>
      <c r="Q107" s="56">
        <f t="shared" si="49"/>
        <v>1.1630740993605199E-5</v>
      </c>
      <c r="R107" s="9">
        <f>F107*$C$14</f>
        <v>1.4999999999999999E-4</v>
      </c>
      <c r="S107" s="9">
        <f t="shared" ref="S107:S108" si="53">$R107*L107</f>
        <v>4.069534955859296E-8</v>
      </c>
      <c r="T107" s="9">
        <f t="shared" ref="T107:T108" si="54">R107*K107</f>
        <v>1.4921198867984077E-4</v>
      </c>
      <c r="U107" s="9">
        <f t="shared" ref="U107:U108" si="55">$R107*M107</f>
        <v>1.4995930465044139E-4</v>
      </c>
      <c r="V107" s="102">
        <f t="shared" ref="V107:V108" si="56">K107/M107</f>
        <v>0.99501654150542629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3"/>
        <v>1.5422749478710035E-2</v>
      </c>
      <c r="J108" s="54">
        <f t="shared" si="44"/>
        <v>1.0376508814998808</v>
      </c>
      <c r="K108" s="55">
        <f t="shared" si="45"/>
        <v>0.96325924646799255</v>
      </c>
      <c r="L108" s="55">
        <f t="shared" si="46"/>
        <v>1.401386170918032E-3</v>
      </c>
      <c r="M108" s="55">
        <f t="shared" si="51"/>
        <v>0.99859861382908199</v>
      </c>
      <c r="N108" s="55">
        <f t="shared" si="47"/>
        <v>7.7130465126499582E-4</v>
      </c>
      <c r="O108" s="56">
        <f t="shared" si="52"/>
        <v>9.6388697448697255E-7</v>
      </c>
      <c r="P108" s="56">
        <f t="shared" si="48"/>
        <v>1.0511797668056158E-5</v>
      </c>
      <c r="Q108" s="56">
        <f t="shared" si="49"/>
        <v>1.1571112378277466E-4</v>
      </c>
      <c r="R108" s="9">
        <f>F108*$C$14</f>
        <v>1.4999999999999999E-4</v>
      </c>
      <c r="S108" s="9">
        <f t="shared" si="53"/>
        <v>2.1020792563770479E-7</v>
      </c>
      <c r="T108" s="9">
        <f t="shared" si="54"/>
        <v>1.4448888697019886E-4</v>
      </c>
      <c r="U108" s="9">
        <f t="shared" si="55"/>
        <v>1.4978979207436229E-4</v>
      </c>
      <c r="V108" s="102">
        <f t="shared" si="56"/>
        <v>0.96461103903841583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3"/>
        <v/>
      </c>
      <c r="J109" s="54" t="str">
        <f t="shared" si="44"/>
        <v/>
      </c>
      <c r="K109" s="55" t="str">
        <f t="shared" si="45"/>
        <v/>
      </c>
      <c r="L109" s="55" t="str">
        <f t="shared" si="46"/>
        <v/>
      </c>
      <c r="M109" s="55" t="str">
        <f t="shared" si="51"/>
        <v/>
      </c>
      <c r="N109" s="55" t="str">
        <f t="shared" si="47"/>
        <v/>
      </c>
      <c r="O109" s="56" t="str">
        <f t="shared" si="52"/>
        <v/>
      </c>
      <c r="P109" s="56" t="str">
        <f t="shared" si="48"/>
        <v/>
      </c>
      <c r="Q109" s="56" t="str">
        <f t="shared" si="49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3"/>
        <v/>
      </c>
      <c r="J110" s="54" t="str">
        <f t="shared" si="44"/>
        <v/>
      </c>
      <c r="K110" s="55" t="str">
        <f t="shared" si="45"/>
        <v/>
      </c>
      <c r="L110" s="55" t="str">
        <f t="shared" si="46"/>
        <v/>
      </c>
      <c r="M110" s="55" t="str">
        <f t="shared" si="51"/>
        <v/>
      </c>
      <c r="N110" s="55" t="str">
        <f t="shared" si="47"/>
        <v/>
      </c>
      <c r="O110" s="56" t="str">
        <f t="shared" si="52"/>
        <v/>
      </c>
      <c r="P110" s="56" t="str">
        <f t="shared" si="48"/>
        <v/>
      </c>
      <c r="Q110" s="56" t="str">
        <f t="shared" si="49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3"/>
        <v/>
      </c>
      <c r="J111" s="54" t="str">
        <f t="shared" si="44"/>
        <v/>
      </c>
      <c r="K111" s="55" t="str">
        <f t="shared" si="45"/>
        <v/>
      </c>
      <c r="L111" s="55" t="str">
        <f t="shared" si="46"/>
        <v/>
      </c>
      <c r="M111" s="55" t="str">
        <f t="shared" si="51"/>
        <v/>
      </c>
      <c r="N111" s="55" t="str">
        <f t="shared" si="47"/>
        <v/>
      </c>
      <c r="O111" s="56" t="str">
        <f t="shared" si="52"/>
        <v/>
      </c>
      <c r="P111" s="56" t="str">
        <f t="shared" si="48"/>
        <v/>
      </c>
      <c r="Q111" s="56" t="str">
        <f t="shared" si="49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3"/>
        <v/>
      </c>
      <c r="J112" s="54" t="str">
        <f t="shared" si="44"/>
        <v/>
      </c>
      <c r="K112" s="55" t="str">
        <f t="shared" si="45"/>
        <v/>
      </c>
      <c r="L112" s="55" t="str">
        <f t="shared" si="46"/>
        <v/>
      </c>
      <c r="M112" s="55" t="str">
        <f t="shared" si="51"/>
        <v/>
      </c>
      <c r="N112" s="55" t="str">
        <f t="shared" si="47"/>
        <v/>
      </c>
      <c r="O112" s="56" t="str">
        <f t="shared" si="52"/>
        <v/>
      </c>
      <c r="P112" s="56" t="str">
        <f t="shared" si="48"/>
        <v/>
      </c>
      <c r="Q112" s="56" t="str">
        <f t="shared" si="49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3"/>
        <v/>
      </c>
      <c r="J113" s="54" t="str">
        <f t="shared" si="44"/>
        <v/>
      </c>
      <c r="K113" s="55" t="str">
        <f t="shared" si="45"/>
        <v/>
      </c>
      <c r="L113" s="55" t="str">
        <f t="shared" si="46"/>
        <v/>
      </c>
      <c r="M113" s="55" t="str">
        <f t="shared" si="51"/>
        <v/>
      </c>
      <c r="N113" s="55" t="str">
        <f t="shared" si="47"/>
        <v/>
      </c>
      <c r="O113" s="56" t="str">
        <f t="shared" si="52"/>
        <v/>
      </c>
      <c r="P113" s="56" t="str">
        <f t="shared" si="48"/>
        <v/>
      </c>
      <c r="Q113" s="56" t="str">
        <f t="shared" si="49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3"/>
        <v>1.0353959656071578E-2</v>
      </c>
      <c r="J114" s="54">
        <f t="shared" si="44"/>
        <v>0.9134404490197624</v>
      </c>
      <c r="K114" s="55">
        <f t="shared" si="45"/>
        <v>0.97489539885364873</v>
      </c>
      <c r="L114" s="55">
        <f t="shared" si="46"/>
        <v>1.0655215290644542E-3</v>
      </c>
      <c r="M114" s="55">
        <f t="shared" si="51"/>
        <v>0.99893447847093553</v>
      </c>
      <c r="N114" s="55">
        <f t="shared" si="47"/>
        <v>6.0676536745962273E-4</v>
      </c>
      <c r="O114" s="56">
        <f t="shared" si="52"/>
        <v>9.7553070981451316E-7</v>
      </c>
      <c r="P114" s="56">
        <f t="shared" si="48"/>
        <v>7.9924769895124706E-6</v>
      </c>
      <c r="Q114" s="56">
        <f t="shared" si="49"/>
        <v>9.1026940426292577E-5</v>
      </c>
      <c r="R114" s="9">
        <f>F114*$C$14</f>
        <v>1.4999999999999999E-4</v>
      </c>
      <c r="S114" s="9">
        <f t="shared" ref="S114:S116" si="57">$R114*L114</f>
        <v>1.5982822935966811E-7</v>
      </c>
      <c r="T114" s="9">
        <f t="shared" ref="T114:T116" si="58">R114*K114</f>
        <v>1.462343098280473E-4</v>
      </c>
      <c r="U114" s="9">
        <f t="shared" ref="U114:U116" si="59">$R114*M114</f>
        <v>1.4984017177064032E-4</v>
      </c>
      <c r="V114" s="102">
        <f t="shared" ref="V114:V116" si="60">K114/M114</f>
        <v>0.97593527890429477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3"/>
        <v>2.0480395290290027E-2</v>
      </c>
      <c r="J115" s="54">
        <f t="shared" si="44"/>
        <v>0.97331271643662465</v>
      </c>
      <c r="K115" s="55">
        <f t="shared" si="45"/>
        <v>0.9523036050567234</v>
      </c>
      <c r="L115" s="55">
        <f t="shared" si="46"/>
        <v>1.1946808555107179E-3</v>
      </c>
      <c r="M115" s="55">
        <f t="shared" si="51"/>
        <v>0.99880531914448933</v>
      </c>
      <c r="N115" s="55">
        <f t="shared" si="47"/>
        <v>3.3877019349027606E-4</v>
      </c>
      <c r="O115" s="56">
        <f t="shared" si="52"/>
        <v>9.5292419360301747E-7</v>
      </c>
      <c r="P115" s="56">
        <f t="shared" si="48"/>
        <v>8.9613010971858951E-6</v>
      </c>
      <c r="Q115" s="56">
        <f t="shared" si="49"/>
        <v>5.0822304427411206E-5</v>
      </c>
      <c r="R115" s="9">
        <f>F115*$C$14</f>
        <v>1.4999999999999999E-4</v>
      </c>
      <c r="S115" s="9">
        <f t="shared" si="57"/>
        <v>1.7920212832660765E-7</v>
      </c>
      <c r="T115" s="9">
        <f t="shared" si="58"/>
        <v>1.4284554075850851E-4</v>
      </c>
      <c r="U115" s="9">
        <f t="shared" si="59"/>
        <v>1.4982079787167338E-4</v>
      </c>
      <c r="V115" s="102">
        <f t="shared" si="60"/>
        <v>0.9534426647551334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3"/>
        <v>5.8413729360461944E-4</v>
      </c>
      <c r="J116" s="54">
        <f t="shared" si="44"/>
        <v>7.3650487553540506E-2</v>
      </c>
      <c r="K116" s="55">
        <f t="shared" si="45"/>
        <v>0.99798113010043255</v>
      </c>
      <c r="L116" s="55">
        <f t="shared" si="46"/>
        <v>1.5773808959821211E-4</v>
      </c>
      <c r="M116" s="55">
        <f t="shared" si="51"/>
        <v>0.99984226191040182</v>
      </c>
      <c r="N116" s="55">
        <f t="shared" si="47"/>
        <v>9.0947568678759609E-6</v>
      </c>
      <c r="O116" s="56">
        <f t="shared" si="52"/>
        <v>9.9863148536052944E-7</v>
      </c>
      <c r="P116" s="56">
        <f t="shared" si="48"/>
        <v>1.1831934100761891E-6</v>
      </c>
      <c r="Q116" s="56">
        <f t="shared" si="49"/>
        <v>1.3643954253187512E-6</v>
      </c>
      <c r="R116" s="9">
        <f>F116*$C$14</f>
        <v>1.4999999999999999E-4</v>
      </c>
      <c r="S116" s="9">
        <f t="shared" si="57"/>
        <v>2.3660713439731815E-8</v>
      </c>
      <c r="T116" s="9">
        <f t="shared" si="58"/>
        <v>1.4969716951506487E-4</v>
      </c>
      <c r="U116" s="9">
        <f t="shared" si="59"/>
        <v>1.4997633928656026E-4</v>
      </c>
      <c r="V116" s="102">
        <f t="shared" si="60"/>
        <v>0.99813857457233979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3"/>
        <v/>
      </c>
      <c r="J117" s="54" t="str">
        <f t="shared" si="44"/>
        <v/>
      </c>
      <c r="K117" s="55" t="str">
        <f t="shared" si="45"/>
        <v/>
      </c>
      <c r="L117" s="55" t="str">
        <f t="shared" si="46"/>
        <v/>
      </c>
      <c r="M117" s="55" t="str">
        <f t="shared" si="51"/>
        <v/>
      </c>
      <c r="N117" s="55" t="str">
        <f t="shared" si="47"/>
        <v/>
      </c>
      <c r="O117" s="56" t="str">
        <f t="shared" si="52"/>
        <v/>
      </c>
      <c r="P117" s="56" t="str">
        <f t="shared" si="48"/>
        <v/>
      </c>
      <c r="Q117" s="56" t="str">
        <f t="shared" si="49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3"/>
        <v/>
      </c>
      <c r="J118" s="54" t="str">
        <f t="shared" si="44"/>
        <v/>
      </c>
      <c r="K118" s="55" t="str">
        <f t="shared" si="45"/>
        <v/>
      </c>
      <c r="L118" s="55" t="str">
        <f t="shared" si="46"/>
        <v/>
      </c>
      <c r="M118" s="55" t="str">
        <f t="shared" si="51"/>
        <v/>
      </c>
      <c r="N118" s="55" t="str">
        <f t="shared" si="47"/>
        <v/>
      </c>
      <c r="O118" s="56" t="str">
        <f t="shared" si="52"/>
        <v/>
      </c>
      <c r="P118" s="56" t="str">
        <f t="shared" si="48"/>
        <v/>
      </c>
      <c r="Q118" s="56" t="str">
        <f t="shared" si="49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3"/>
        <v>0.56658503951123784</v>
      </c>
      <c r="J119" s="54">
        <f t="shared" si="44"/>
        <v>3.1029128175372134</v>
      </c>
      <c r="K119" s="55">
        <f t="shared" si="45"/>
        <v>0.25925296340931658</v>
      </c>
      <c r="L119" s="55">
        <f t="shared" si="46"/>
        <v>4.3832910256094502E-2</v>
      </c>
      <c r="M119" s="55">
        <f t="shared" si="51"/>
        <v>0.95616708974390552</v>
      </c>
      <c r="N119" s="55">
        <f t="shared" si="47"/>
        <v>3.5565628936825883E-2</v>
      </c>
      <c r="O119" s="56">
        <f t="shared" si="52"/>
        <v>2.5942191102101333E-7</v>
      </c>
      <c r="P119" s="56">
        <f t="shared" si="48"/>
        <v>3.2879065983096469E-4</v>
      </c>
      <c r="Q119" s="56">
        <f t="shared" si="49"/>
        <v>5.3355556531026176E-3</v>
      </c>
      <c r="R119" s="9">
        <f>F119*$C$14</f>
        <v>1.4999999999999999E-4</v>
      </c>
      <c r="S119" s="9">
        <f t="shared" ref="S119:S121" si="61">$R119*L119</f>
        <v>6.5749365384141751E-6</v>
      </c>
      <c r="T119" s="9">
        <f t="shared" ref="T119:T121" si="62">R119*K119</f>
        <v>3.8887944511397481E-5</v>
      </c>
      <c r="U119" s="9">
        <f t="shared" ref="U119:U121" si="63">$R119*M119</f>
        <v>1.4342506346158582E-4</v>
      </c>
      <c r="V119" s="102">
        <f t="shared" ref="V119:V121" si="64">K119/M119</f>
        <v>0.27113771870014208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3"/>
        <v>2.3514137427377815E-2</v>
      </c>
      <c r="J120" s="54">
        <f t="shared" si="44"/>
        <v>1.1861747440639347</v>
      </c>
      <c r="K120" s="55">
        <f t="shared" si="45"/>
        <v>0.94497325351334327</v>
      </c>
      <c r="L120" s="55">
        <f t="shared" si="46"/>
        <v>1.9353433294525422E-3</v>
      </c>
      <c r="M120" s="55">
        <f t="shared" si="51"/>
        <v>0.99806465667054745</v>
      </c>
      <c r="N120" s="55">
        <f t="shared" si="47"/>
        <v>1.0367863724880825E-3</v>
      </c>
      <c r="O120" s="56">
        <f t="shared" si="52"/>
        <v>9.4558906508285796E-7</v>
      </c>
      <c r="P120" s="56">
        <f t="shared" si="48"/>
        <v>1.4517010314223517E-5</v>
      </c>
      <c r="Q120" s="56">
        <f t="shared" si="49"/>
        <v>1.5553869160066209E-4</v>
      </c>
      <c r="R120" s="9">
        <f>F120*$C$14</f>
        <v>1.4999999999999999E-4</v>
      </c>
      <c r="S120" s="9">
        <f t="shared" si="61"/>
        <v>2.9030149941788131E-7</v>
      </c>
      <c r="T120" s="9">
        <f t="shared" si="62"/>
        <v>1.4174598802700147E-4</v>
      </c>
      <c r="U120" s="9">
        <f t="shared" si="63"/>
        <v>1.4970969850058209E-4</v>
      </c>
      <c r="V120" s="102">
        <f t="shared" si="64"/>
        <v>0.94680564750753493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3"/>
        <v>1.0322461970770105</v>
      </c>
      <c r="J121" s="54">
        <f t="shared" si="44"/>
        <v>3.5462712425453593</v>
      </c>
      <c r="K121" s="55">
        <f t="shared" si="45"/>
        <v>8.8923497323344328E-2</v>
      </c>
      <c r="L121" s="55">
        <f t="shared" si="46"/>
        <v>4.1730302890925559E-2</v>
      </c>
      <c r="M121" s="55">
        <f t="shared" si="51"/>
        <v>0.95826969710907439</v>
      </c>
      <c r="N121" s="55">
        <f t="shared" si="47"/>
        <v>3.0089107002482511E-2</v>
      </c>
      <c r="O121" s="56">
        <f t="shared" si="52"/>
        <v>8.8981446178774719E-8</v>
      </c>
      <c r="P121" s="56">
        <f t="shared" si="48"/>
        <v>3.1301900198483265E-4</v>
      </c>
      <c r="Q121" s="56">
        <f t="shared" si="49"/>
        <v>4.513967832512426E-3</v>
      </c>
      <c r="R121" s="9">
        <f>F121*$C$14</f>
        <v>1.4999999999999999E-4</v>
      </c>
      <c r="S121" s="9">
        <f t="shared" si="61"/>
        <v>6.259545433638833E-6</v>
      </c>
      <c r="T121" s="9">
        <f t="shared" si="62"/>
        <v>1.3338524598501648E-5</v>
      </c>
      <c r="U121" s="9">
        <f t="shared" si="63"/>
        <v>1.4374045456636114E-4</v>
      </c>
      <c r="V121" s="102">
        <f t="shared" si="64"/>
        <v>9.2795898264977347E-2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3"/>
        <v/>
      </c>
      <c r="J122" s="54" t="str">
        <f t="shared" si="44"/>
        <v/>
      </c>
      <c r="K122" s="55" t="str">
        <f t="shared" si="45"/>
        <v/>
      </c>
      <c r="L122" s="55" t="str">
        <f t="shared" si="46"/>
        <v/>
      </c>
      <c r="M122" s="55" t="str">
        <f t="shared" si="51"/>
        <v/>
      </c>
      <c r="N122" s="55" t="str">
        <f t="shared" si="47"/>
        <v/>
      </c>
      <c r="O122" s="56" t="str">
        <f t="shared" si="52"/>
        <v/>
      </c>
      <c r="P122" s="56" t="str">
        <f t="shared" si="48"/>
        <v/>
      </c>
      <c r="Q122" s="56" t="str">
        <f t="shared" si="49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5">IF(D123=0,"",LOG($K$15*10^D123+$K$16*10^E123+$K$14))</f>
        <v/>
      </c>
      <c r="J123" s="54" t="str">
        <f t="shared" ref="J123:J127" si="66">IF(D123=0,"",LOG($K$21*10^D123+$K$22*10^E123+$K$20))</f>
        <v/>
      </c>
      <c r="K123" s="55" t="str">
        <f t="shared" ref="K123:K127" si="67">IF(D123=0,"",1/(1+10^D123*$J$15/$J$14+10^E123*$J$16/$J$14+10^J123*$J$19/$J$14))</f>
        <v/>
      </c>
      <c r="L123" s="55" t="str">
        <f t="shared" ref="L123:L127" si="68">IF(D123=0,"",1/(1+10^I123/10^J123*$J$13/$J$19))</f>
        <v/>
      </c>
      <c r="M123" s="55" t="str">
        <f t="shared" si="51"/>
        <v/>
      </c>
      <c r="N123" s="55" t="str">
        <f t="shared" ref="N123:N127" si="69">IF(D123=0,"",1/(1/10^E123*$J$20/$J$22+10^D123/10^E123*$J$21/$J$22+10^I123/10^E123*$J$13/$J$22+1))</f>
        <v/>
      </c>
      <c r="O123" s="56" t="str">
        <f t="shared" si="52"/>
        <v/>
      </c>
      <c r="P123" s="56" t="str">
        <f t="shared" ref="P123:P127" si="70">IF(D123=0,"",O123*10^J123)</f>
        <v/>
      </c>
      <c r="Q123" s="56" t="str">
        <f t="shared" ref="Q123:Q127" si="71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5"/>
        <v>0.13981203375224763</v>
      </c>
      <c r="J124" s="54">
        <f t="shared" si="66"/>
        <v>2.2472155850103039</v>
      </c>
      <c r="K124" s="55">
        <f t="shared" si="67"/>
        <v>0.71221361792394211</v>
      </c>
      <c r="L124" s="55">
        <f t="shared" si="68"/>
        <v>1.6787638853524044E-2</v>
      </c>
      <c r="M124" s="55">
        <f t="shared" si="51"/>
        <v>0.98321236114647592</v>
      </c>
      <c r="N124" s="55">
        <f t="shared" si="69"/>
        <v>1.3465672171457594E-2</v>
      </c>
      <c r="O124" s="56">
        <f t="shared" si="52"/>
        <v>7.1267774681251416E-7</v>
      </c>
      <c r="P124" s="56">
        <f t="shared" si="70"/>
        <v>1.2592407904028381E-4</v>
      </c>
      <c r="Q124" s="56">
        <f t="shared" si="71"/>
        <v>2.0201201391620675E-3</v>
      </c>
      <c r="R124" s="9">
        <f>F124*$C$14</f>
        <v>1.4999999999999999E-4</v>
      </c>
      <c r="S124" s="9">
        <f t="shared" ref="S124:S127" si="72">$R124*L124</f>
        <v>2.5181458280286063E-6</v>
      </c>
      <c r="T124" s="9">
        <f t="shared" ref="T124:T127" si="73">R124*K124</f>
        <v>1.0683204268859131E-4</v>
      </c>
      <c r="U124" s="9">
        <f t="shared" ref="U124:U127" si="74">$R124*M124</f>
        <v>1.4748185417197139E-4</v>
      </c>
      <c r="V124" s="102">
        <f t="shared" ref="V124:V127" si="75">K124/M124</f>
        <v>0.72437414954126955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5"/>
        <v/>
      </c>
      <c r="J125" s="54" t="str">
        <f t="shared" si="66"/>
        <v/>
      </c>
      <c r="K125" s="55" t="str">
        <f t="shared" si="67"/>
        <v/>
      </c>
      <c r="L125" s="55" t="str">
        <f t="shared" si="68"/>
        <v/>
      </c>
      <c r="M125" s="55" t="str">
        <f t="shared" si="51"/>
        <v/>
      </c>
      <c r="N125" s="55" t="str">
        <f t="shared" si="69"/>
        <v/>
      </c>
      <c r="O125" s="56" t="str">
        <f t="shared" si="52"/>
        <v/>
      </c>
      <c r="P125" s="56" t="str">
        <f t="shared" si="70"/>
        <v/>
      </c>
      <c r="Q125" s="56" t="str">
        <f t="shared" si="71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5"/>
        <v>4.9312922410980113E-2</v>
      </c>
      <c r="J126" s="54">
        <f t="shared" si="66"/>
        <v>1.5520519557651959</v>
      </c>
      <c r="K126" s="55">
        <f t="shared" si="67"/>
        <v>0.88843001311516057</v>
      </c>
      <c r="L126" s="55">
        <f t="shared" si="68"/>
        <v>4.225118916651901E-3</v>
      </c>
      <c r="M126" s="55">
        <f t="shared" si="51"/>
        <v>0.99577488108334811</v>
      </c>
      <c r="N126" s="55">
        <f t="shared" si="69"/>
        <v>2.5752001283114835E-3</v>
      </c>
      <c r="O126" s="56">
        <f t="shared" si="52"/>
        <v>8.8900897710038064E-7</v>
      </c>
      <c r="P126" s="56">
        <f t="shared" si="70"/>
        <v>3.1692616993805908E-5</v>
      </c>
      <c r="Q126" s="56">
        <f t="shared" si="71"/>
        <v>3.8633152324928869E-4</v>
      </c>
      <c r="R126" s="9">
        <f>F126*$C$14</f>
        <v>1.4999999999999999E-4</v>
      </c>
      <c r="S126" s="9">
        <f t="shared" si="72"/>
        <v>6.3376783749778515E-7</v>
      </c>
      <c r="T126" s="9">
        <f t="shared" si="73"/>
        <v>1.3326450196727408E-4</v>
      </c>
      <c r="U126" s="9">
        <f t="shared" si="74"/>
        <v>1.493662321625022E-4</v>
      </c>
      <c r="V126" s="102">
        <f t="shared" si="75"/>
        <v>0.89219966278783591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>IF(D127=0,"",LOG($K$15*10^D127+$K$16*10^E127+$K$14))</f>
        <v>5.4598878066109929E-5</v>
      </c>
      <c r="J127" s="54">
        <f t="shared" si="66"/>
        <v>1.0401926303760755E-2</v>
      </c>
      <c r="K127" s="55">
        <f t="shared" si="67"/>
        <v>0.9992199127506155</v>
      </c>
      <c r="L127" s="55">
        <f t="shared" si="68"/>
        <v>1.3652958368260708E-4</v>
      </c>
      <c r="M127" s="55">
        <f t="shared" si="51"/>
        <v>0.9998634704163174</v>
      </c>
      <c r="N127" s="55">
        <f t="shared" si="69"/>
        <v>7.9205227180655742E-6</v>
      </c>
      <c r="O127" s="56">
        <f t="shared" si="52"/>
        <v>9.9987107528931549E-7</v>
      </c>
      <c r="P127" s="56">
        <f t="shared" si="70"/>
        <v>1.0241084072032354E-6</v>
      </c>
      <c r="Q127" s="56">
        <f t="shared" si="71"/>
        <v>1.1882368181641972E-6</v>
      </c>
      <c r="R127" s="9">
        <f>F127*$C$14</f>
        <v>1.4999999999999999E-4</v>
      </c>
      <c r="S127" s="9">
        <f t="shared" si="72"/>
        <v>2.0479437552391062E-8</v>
      </c>
      <c r="T127" s="9">
        <f t="shared" si="73"/>
        <v>1.4988298691259231E-4</v>
      </c>
      <c r="U127" s="9">
        <f t="shared" si="74"/>
        <v>1.4997952056244759E-4</v>
      </c>
      <c r="V127" s="102">
        <f t="shared" si="75"/>
        <v>0.99935635445764015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6">IF(D128=0,"",LOG($K$15*10^D128+$K$16*10^E128+$K$14))</f>
        <v/>
      </c>
      <c r="J128" s="54" t="str">
        <f t="shared" ref="J128:J134" si="77">IF(D128=0,"",LOG($K$21*10^D128+$K$22*10^E128+$K$20))</f>
        <v/>
      </c>
      <c r="K128" s="55" t="str">
        <f t="shared" ref="K128:K134" si="78">IF(D128=0,"",1/(1+10^D128*$J$15/$J$14+10^E128*$J$16/$J$14+10^J128*$J$19/$J$14))</f>
        <v/>
      </c>
      <c r="L128" s="55" t="str">
        <f t="shared" ref="L128:L134" si="79">IF(D128=0,"",1/(1+10^I128/10^J128*$J$13/$J$19))</f>
        <v/>
      </c>
      <c r="M128" s="55" t="str">
        <f t="shared" ref="M128:M134" si="80">IF(D128=0,"",1-L128)</f>
        <v/>
      </c>
      <c r="N128" s="55" t="str">
        <f t="shared" ref="N128:N134" si="81">IF(D128=0,"",1/(1/10^E128*$J$20/$J$22+10^D128/10^E128*$J$21/$J$22+10^I128/10^E128*$J$13/$J$22+1))</f>
        <v/>
      </c>
      <c r="O128" s="56" t="str">
        <f t="shared" ref="O128:O134" si="82">IF(D128=0,"",F128*K128*$J$7/$J$14)</f>
        <v/>
      </c>
      <c r="P128" s="56" t="str">
        <f t="shared" ref="P128:P134" si="83">IF(D128=0,"",O128*10^J128)</f>
        <v/>
      </c>
      <c r="Q128" s="56" t="str">
        <f t="shared" ref="Q128:Q134" si="84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6"/>
        <v/>
      </c>
      <c r="J129" s="54" t="str">
        <f t="shared" si="77"/>
        <v/>
      </c>
      <c r="K129" s="55" t="str">
        <f t="shared" si="78"/>
        <v/>
      </c>
      <c r="L129" s="55" t="str">
        <f t="shared" si="79"/>
        <v/>
      </c>
      <c r="M129" s="55" t="str">
        <f t="shared" si="80"/>
        <v/>
      </c>
      <c r="N129" s="55" t="str">
        <f t="shared" si="81"/>
        <v/>
      </c>
      <c r="O129" s="56" t="str">
        <f t="shared" si="82"/>
        <v/>
      </c>
      <c r="P129" s="56" t="str">
        <f t="shared" si="83"/>
        <v/>
      </c>
      <c r="Q129" s="56" t="str">
        <f t="shared" si="84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6"/>
        <v>2.1084810301724875E-3</v>
      </c>
      <c r="J130" s="54">
        <f t="shared" si="77"/>
        <v>0.263940988382738</v>
      </c>
      <c r="K130" s="55">
        <f t="shared" si="78"/>
        <v>0.99439903002102004</v>
      </c>
      <c r="L130" s="55">
        <f t="shared" si="79"/>
        <v>2.4359335659853421E-4</v>
      </c>
      <c r="M130" s="55">
        <f t="shared" si="80"/>
        <v>0.99975640664340149</v>
      </c>
      <c r="N130" s="55">
        <f t="shared" si="81"/>
        <v>4.0044830134500194E-5</v>
      </c>
      <c r="O130" s="56">
        <f t="shared" si="82"/>
        <v>9.9504705093073822E-7</v>
      </c>
      <c r="P130" s="56">
        <f t="shared" si="83"/>
        <v>1.8271937678456046E-6</v>
      </c>
      <c r="Q130" s="56">
        <f t="shared" si="84"/>
        <v>6.0075254167777189E-6</v>
      </c>
      <c r="R130" s="9">
        <f>F130*$C$14</f>
        <v>1.4999999999999999E-4</v>
      </c>
      <c r="S130" s="9">
        <f t="shared" ref="S130:S131" si="85">$R130*L130</f>
        <v>3.6539003489780131E-8</v>
      </c>
      <c r="T130" s="9">
        <f t="shared" ref="T130:T131" si="86">R130*K130</f>
        <v>1.49159854503153E-4</v>
      </c>
      <c r="U130" s="9">
        <f t="shared" ref="U130:U131" si="87">$R130*M130</f>
        <v>1.499634609965102E-4</v>
      </c>
      <c r="V130" s="102">
        <f t="shared" ref="V130:V131" si="88">K130/M130</f>
        <v>0.99464131803829259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6"/>
        <v>-5.830329626681688E-5</v>
      </c>
      <c r="J131" s="54">
        <f t="shared" si="77"/>
        <v>-1.6017347337335754E-2</v>
      </c>
      <c r="K131" s="55">
        <f t="shared" si="78"/>
        <v>0.99948773094926713</v>
      </c>
      <c r="L131" s="55">
        <f t="shared" si="79"/>
        <v>1.2850614023641281E-4</v>
      </c>
      <c r="M131" s="55">
        <f t="shared" si="80"/>
        <v>0.99987149385976359</v>
      </c>
      <c r="N131" s="55">
        <f t="shared" si="81"/>
        <v>3.8041377197406607E-6</v>
      </c>
      <c r="O131" s="56">
        <f t="shared" si="82"/>
        <v>1.0001390680172935E-6</v>
      </c>
      <c r="P131" s="56">
        <f t="shared" si="83"/>
        <v>9.6392455791333215E-7</v>
      </c>
      <c r="Q131" s="56">
        <f t="shared" si="84"/>
        <v>5.7069674071549373E-7</v>
      </c>
      <c r="R131" s="9">
        <f>F131*$C$14</f>
        <v>1.4999999999999999E-4</v>
      </c>
      <c r="S131" s="9">
        <f t="shared" si="85"/>
        <v>1.9275921035461919E-8</v>
      </c>
      <c r="T131" s="9">
        <f t="shared" si="86"/>
        <v>1.4992315964239007E-4</v>
      </c>
      <c r="U131" s="9">
        <f t="shared" si="87"/>
        <v>1.4998072407896454E-4</v>
      </c>
      <c r="V131" s="102">
        <f t="shared" si="88"/>
        <v>0.9996161877672749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6"/>
        <v/>
      </c>
      <c r="J132" s="54" t="str">
        <f t="shared" si="77"/>
        <v/>
      </c>
      <c r="K132" s="55" t="str">
        <f t="shared" si="78"/>
        <v/>
      </c>
      <c r="L132" s="55" t="str">
        <f t="shared" si="79"/>
        <v/>
      </c>
      <c r="M132" s="55" t="str">
        <f t="shared" si="80"/>
        <v/>
      </c>
      <c r="N132" s="55" t="str">
        <f t="shared" si="81"/>
        <v/>
      </c>
      <c r="O132" s="56" t="str">
        <f t="shared" si="82"/>
        <v/>
      </c>
      <c r="P132" s="56" t="str">
        <f t="shared" si="83"/>
        <v/>
      </c>
      <c r="Q132" s="56" t="str">
        <f t="shared" si="84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6"/>
        <v/>
      </c>
      <c r="J133" s="54" t="str">
        <f t="shared" si="77"/>
        <v/>
      </c>
      <c r="K133" s="55" t="str">
        <f t="shared" si="78"/>
        <v/>
      </c>
      <c r="L133" s="55" t="str">
        <f t="shared" si="79"/>
        <v/>
      </c>
      <c r="M133" s="55" t="str">
        <f t="shared" si="80"/>
        <v/>
      </c>
      <c r="N133" s="55" t="str">
        <f t="shared" si="81"/>
        <v/>
      </c>
      <c r="O133" s="56" t="str">
        <f t="shared" si="82"/>
        <v/>
      </c>
      <c r="P133" s="56" t="str">
        <f t="shared" si="83"/>
        <v/>
      </c>
      <c r="Q133" s="56" t="str">
        <f t="shared" si="84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96</v>
      </c>
      <c r="C134" s="46" t="s">
        <v>293</v>
      </c>
      <c r="D134" s="46"/>
      <c r="E134" s="46"/>
      <c r="F134" s="46"/>
      <c r="G134" s="7"/>
      <c r="H134" s="7"/>
      <c r="I134" s="54" t="str">
        <f t="shared" si="76"/>
        <v/>
      </c>
      <c r="J134" s="54" t="str">
        <f t="shared" si="77"/>
        <v/>
      </c>
      <c r="K134" s="55" t="str">
        <f t="shared" si="78"/>
        <v/>
      </c>
      <c r="L134" s="55" t="str">
        <f t="shared" si="79"/>
        <v/>
      </c>
      <c r="M134" s="55" t="str">
        <f t="shared" si="80"/>
        <v/>
      </c>
      <c r="N134" s="55" t="str">
        <f t="shared" si="81"/>
        <v/>
      </c>
      <c r="O134" s="56" t="str">
        <f t="shared" si="82"/>
        <v/>
      </c>
      <c r="P134" s="56" t="str">
        <f t="shared" si="83"/>
        <v/>
      </c>
      <c r="Q134" s="56" t="str">
        <f t="shared" si="84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2024-10-28T20:57:36Z</dcterms:modified>
</cp:coreProperties>
</file>