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BBB59A10-71C0-4F95-8DB3-21E148CCCEB1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7" i="4" l="1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I135" i="4"/>
  <c r="N135" i="4" s="1"/>
  <c r="Q135" i="4" s="1"/>
  <c r="J135" i="4"/>
  <c r="K135" i="4" s="1"/>
  <c r="I136" i="4"/>
  <c r="N136" i="4" s="1"/>
  <c r="Q136" i="4" s="1"/>
  <c r="J136" i="4"/>
  <c r="I137" i="4"/>
  <c r="J137" i="4"/>
  <c r="K137" i="4" s="1"/>
  <c r="I138" i="4"/>
  <c r="J138" i="4"/>
  <c r="K138" i="4" s="1"/>
  <c r="O138" i="4" s="1"/>
  <c r="P138" i="4" s="1"/>
  <c r="I139" i="4"/>
  <c r="N139" i="4" s="1"/>
  <c r="Q139" i="4" s="1"/>
  <c r="J139" i="4"/>
  <c r="K139" i="4"/>
  <c r="O139" i="4" s="1"/>
  <c r="P139" i="4" s="1"/>
  <c r="L139" i="4"/>
  <c r="M139" i="4" s="1"/>
  <c r="I140" i="4"/>
  <c r="L140" i="4" s="1"/>
  <c r="J140" i="4"/>
  <c r="K140" i="4" s="1"/>
  <c r="I141" i="4"/>
  <c r="L141" i="4" s="1"/>
  <c r="M141" i="4" s="1"/>
  <c r="J141" i="4"/>
  <c r="K141" i="4"/>
  <c r="N141" i="4"/>
  <c r="Q141" i="4" s="1"/>
  <c r="O141" i="4"/>
  <c r="P141" i="4" s="1"/>
  <c r="I142" i="4"/>
  <c r="J142" i="4"/>
  <c r="K142" i="4" s="1"/>
  <c r="O142" i="4" s="1"/>
  <c r="P142" i="4" s="1"/>
  <c r="I143" i="4"/>
  <c r="N143" i="4" s="1"/>
  <c r="Q143" i="4" s="1"/>
  <c r="J143" i="4"/>
  <c r="K143" i="4" s="1"/>
  <c r="L136" i="4" l="1"/>
  <c r="M136" i="4" s="1"/>
  <c r="K136" i="4"/>
  <c r="S136" i="4"/>
  <c r="L142" i="4"/>
  <c r="M142" i="4" s="1"/>
  <c r="U142" i="4" s="1"/>
  <c r="T142" i="4"/>
  <c r="L137" i="4"/>
  <c r="M137" i="4" s="1"/>
  <c r="V137" i="4" s="1"/>
  <c r="T141" i="4"/>
  <c r="U141" i="4"/>
  <c r="T140" i="4"/>
  <c r="O140" i="4"/>
  <c r="P140" i="4" s="1"/>
  <c r="O143" i="4"/>
  <c r="P143" i="4" s="1"/>
  <c r="M140" i="4"/>
  <c r="U140" i="4" s="1"/>
  <c r="S140" i="4"/>
  <c r="O135" i="4"/>
  <c r="P135" i="4" s="1"/>
  <c r="T135" i="4"/>
  <c r="T143" i="4"/>
  <c r="S139" i="4"/>
  <c r="S142" i="4"/>
  <c r="T139" i="4"/>
  <c r="L143" i="4"/>
  <c r="L138" i="4"/>
  <c r="L135" i="4"/>
  <c r="V141" i="4"/>
  <c r="O137" i="4"/>
  <c r="P137" i="4" s="1"/>
  <c r="T138" i="4"/>
  <c r="V139" i="4"/>
  <c r="N140" i="4"/>
  <c r="Q140" i="4" s="1"/>
  <c r="N137" i="4"/>
  <c r="Q137" i="4" s="1"/>
  <c r="S141" i="4"/>
  <c r="T137" i="4"/>
  <c r="U139" i="4"/>
  <c r="T136" i="4"/>
  <c r="U136" i="4"/>
  <c r="N142" i="4"/>
  <c r="Q142" i="4" s="1"/>
  <c r="N138" i="4"/>
  <c r="Q138" i="4" s="1"/>
  <c r="V140" i="4" l="1"/>
  <c r="V142" i="4"/>
  <c r="U137" i="4"/>
  <c r="O136" i="4"/>
  <c r="P136" i="4" s="1"/>
  <c r="V136" i="4"/>
  <c r="S137" i="4"/>
  <c r="M135" i="4"/>
  <c r="S135" i="4"/>
  <c r="M143" i="4"/>
  <c r="S143" i="4"/>
  <c r="M138" i="4"/>
  <c r="S138" i="4"/>
  <c r="U135" i="4" l="1"/>
  <c r="V135" i="4"/>
  <c r="V138" i="4"/>
  <c r="U138" i="4"/>
  <c r="V143" i="4"/>
  <c r="U143" i="4"/>
  <c r="R28" i="4" l="1"/>
  <c r="I127" i="4"/>
  <c r="I128" i="4"/>
  <c r="J128" i="4"/>
  <c r="K128" i="4" s="1"/>
  <c r="I129" i="4"/>
  <c r="N129" i="4" s="1"/>
  <c r="Q129" i="4" s="1"/>
  <c r="J129" i="4"/>
  <c r="K129" i="4" s="1"/>
  <c r="I130" i="4"/>
  <c r="J130" i="4"/>
  <c r="K130" i="4" s="1"/>
  <c r="I131" i="4"/>
  <c r="J131" i="4"/>
  <c r="K131" i="4" s="1"/>
  <c r="I132" i="4"/>
  <c r="N132" i="4" s="1"/>
  <c r="Q132" i="4" s="1"/>
  <c r="J132" i="4"/>
  <c r="K132" i="4" s="1"/>
  <c r="I133" i="4"/>
  <c r="J133" i="4"/>
  <c r="K133" i="4" s="1"/>
  <c r="N133" i="4"/>
  <c r="Q133" i="4" s="1"/>
  <c r="I134" i="4"/>
  <c r="J134" i="4"/>
  <c r="K134" i="4" s="1"/>
  <c r="L131" i="4" l="1"/>
  <c r="L130" i="4"/>
  <c r="M130" i="4" s="1"/>
  <c r="U130" i="4" s="1"/>
  <c r="L129" i="4"/>
  <c r="S129" i="4" s="1"/>
  <c r="T130" i="4"/>
  <c r="S130" i="4"/>
  <c r="O128" i="4"/>
  <c r="P128" i="4" s="1"/>
  <c r="T128" i="4"/>
  <c r="O134" i="4"/>
  <c r="P134" i="4" s="1"/>
  <c r="T134" i="4"/>
  <c r="O133" i="4"/>
  <c r="P133" i="4" s="1"/>
  <c r="T133" i="4"/>
  <c r="L134" i="4"/>
  <c r="M131" i="4"/>
  <c r="U131" i="4" s="1"/>
  <c r="S131" i="4"/>
  <c r="M129" i="4"/>
  <c r="U129" i="4" s="1"/>
  <c r="O129" i="4"/>
  <c r="P129" i="4" s="1"/>
  <c r="T129" i="4"/>
  <c r="V129" i="4"/>
  <c r="L133" i="4"/>
  <c r="L128" i="4"/>
  <c r="O132" i="4"/>
  <c r="P132" i="4" s="1"/>
  <c r="T132" i="4"/>
  <c r="V131" i="4"/>
  <c r="T131" i="4"/>
  <c r="O131" i="4"/>
  <c r="P131" i="4" s="1"/>
  <c r="O130" i="4"/>
  <c r="P130" i="4" s="1"/>
  <c r="N130" i="4"/>
  <c r="Q130" i="4" s="1"/>
  <c r="L132" i="4"/>
  <c r="N134" i="4"/>
  <c r="Q134" i="4" s="1"/>
  <c r="N131" i="4"/>
  <c r="Q131" i="4" s="1"/>
  <c r="N128" i="4"/>
  <c r="Q128" i="4" s="1"/>
  <c r="M132" i="4" l="1"/>
  <c r="S132" i="4"/>
  <c r="M128" i="4"/>
  <c r="S128" i="4"/>
  <c r="M133" i="4"/>
  <c r="S133" i="4"/>
  <c r="M134" i="4"/>
  <c r="S134" i="4"/>
  <c r="V130" i="4"/>
  <c r="O15" i="1"/>
  <c r="L15" i="1"/>
  <c r="N15" i="1"/>
  <c r="J16" i="4"/>
  <c r="J15" i="4"/>
  <c r="J87" i="4"/>
  <c r="K87" i="4" s="1"/>
  <c r="J122" i="4"/>
  <c r="K122" i="4" s="1"/>
  <c r="J117" i="4"/>
  <c r="K117" i="4"/>
  <c r="J120" i="4"/>
  <c r="K120" i="4" s="1"/>
  <c r="J101" i="4"/>
  <c r="L101" i="4" s="1"/>
  <c r="K101" i="4"/>
  <c r="J86" i="4"/>
  <c r="K86" i="4" s="1"/>
  <c r="J85" i="4"/>
  <c r="K85" i="4"/>
  <c r="J88" i="4"/>
  <c r="K88" i="4" s="1"/>
  <c r="J119" i="4"/>
  <c r="K119" i="4"/>
  <c r="J72" i="4"/>
  <c r="K72" i="4" s="1"/>
  <c r="J103" i="4"/>
  <c r="K103" i="4"/>
  <c r="J118" i="4"/>
  <c r="L118" i="4" s="1"/>
  <c r="K118" i="4"/>
  <c r="J104" i="4"/>
  <c r="K104" i="4"/>
  <c r="J90" i="4"/>
  <c r="K90" i="4" s="1"/>
  <c r="J71" i="4"/>
  <c r="K71" i="4" s="1"/>
  <c r="J110" i="4"/>
  <c r="K110" i="4" s="1"/>
  <c r="J82" i="4"/>
  <c r="K82" i="4" s="1"/>
  <c r="J113" i="4"/>
  <c r="K113" i="4"/>
  <c r="J97" i="4"/>
  <c r="K97" i="4" s="1"/>
  <c r="J81" i="4"/>
  <c r="K81" i="4" s="1"/>
  <c r="J116" i="4"/>
  <c r="K116" i="4"/>
  <c r="J100" i="4"/>
  <c r="K100" i="4" s="1"/>
  <c r="O100" i="4" s="1"/>
  <c r="P100" i="4" s="1"/>
  <c r="J84" i="4"/>
  <c r="K84" i="4" s="1"/>
  <c r="J114" i="4"/>
  <c r="K114" i="4" s="1"/>
  <c r="J78" i="4"/>
  <c r="K78" i="4" s="1"/>
  <c r="J115" i="4"/>
  <c r="K115" i="4" s="1"/>
  <c r="J99" i="4"/>
  <c r="K99" i="4"/>
  <c r="J83" i="4"/>
  <c r="K83" i="4" s="1"/>
  <c r="J102" i="4"/>
  <c r="K102" i="4" s="1"/>
  <c r="J74" i="4"/>
  <c r="K74" i="4" s="1"/>
  <c r="J125" i="4"/>
  <c r="K125" i="4"/>
  <c r="J109" i="4"/>
  <c r="K109" i="4" s="1"/>
  <c r="J93" i="4"/>
  <c r="K93" i="4"/>
  <c r="J77" i="4"/>
  <c r="K77" i="4" s="1"/>
  <c r="J112" i="4"/>
  <c r="K112" i="4" s="1"/>
  <c r="J96" i="4"/>
  <c r="K96" i="4" s="1"/>
  <c r="J80" i="4"/>
  <c r="K80" i="4" s="1"/>
  <c r="J106" i="4"/>
  <c r="K106" i="4"/>
  <c r="J127" i="4"/>
  <c r="K127" i="4" s="1"/>
  <c r="J111" i="4"/>
  <c r="K111" i="4"/>
  <c r="J95" i="4"/>
  <c r="K95" i="4" s="1"/>
  <c r="J79" i="4"/>
  <c r="K79" i="4" s="1"/>
  <c r="J126" i="4"/>
  <c r="K126" i="4" s="1"/>
  <c r="J94" i="4"/>
  <c r="K94" i="4" s="1"/>
  <c r="J121" i="4"/>
  <c r="K121" i="4" s="1"/>
  <c r="J105" i="4"/>
  <c r="K105" i="4"/>
  <c r="J89" i="4"/>
  <c r="K89" i="4" s="1"/>
  <c r="J73" i="4"/>
  <c r="K73" i="4"/>
  <c r="J124" i="4"/>
  <c r="K124" i="4"/>
  <c r="J108" i="4"/>
  <c r="K108" i="4" s="1"/>
  <c r="J92" i="4"/>
  <c r="K92" i="4" s="1"/>
  <c r="J76" i="4"/>
  <c r="K76" i="4" s="1"/>
  <c r="J98" i="4"/>
  <c r="K98" i="4" s="1"/>
  <c r="J123" i="4"/>
  <c r="K123" i="4" s="1"/>
  <c r="J107" i="4"/>
  <c r="K107" i="4" s="1"/>
  <c r="J91" i="4"/>
  <c r="K91" i="4" s="1"/>
  <c r="J75" i="4"/>
  <c r="K75" i="4"/>
  <c r="O105" i="4"/>
  <c r="P105" i="4"/>
  <c r="O111" i="4"/>
  <c r="P111" i="4"/>
  <c r="O117" i="4"/>
  <c r="P117" i="4" s="1"/>
  <c r="O113" i="4"/>
  <c r="P113" i="4"/>
  <c r="O103" i="4"/>
  <c r="P103" i="4"/>
  <c r="O119" i="4"/>
  <c r="P119" i="4" s="1"/>
  <c r="O125" i="4"/>
  <c r="P125" i="4" s="1"/>
  <c r="O99" i="4"/>
  <c r="P99" i="4" s="1"/>
  <c r="I76" i="4"/>
  <c r="I77" i="4"/>
  <c r="I81" i="4"/>
  <c r="I89" i="4"/>
  <c r="N89" i="4" s="1"/>
  <c r="Q89" i="4" s="1"/>
  <c r="I90" i="4"/>
  <c r="N90" i="4" s="1"/>
  <c r="Q90" i="4" s="1"/>
  <c r="I96" i="4"/>
  <c r="I99" i="4"/>
  <c r="N99" i="4" s="1"/>
  <c r="Q99" i="4" s="1"/>
  <c r="I102" i="4"/>
  <c r="L102" i="4" s="1"/>
  <c r="I104" i="4"/>
  <c r="N104" i="4" s="1"/>
  <c r="Q104" i="4" s="1"/>
  <c r="I108" i="4"/>
  <c r="N108" i="4" s="1"/>
  <c r="Q108" i="4" s="1"/>
  <c r="I111" i="4"/>
  <c r="N111" i="4" s="1"/>
  <c r="Q111" i="4" s="1"/>
  <c r="I113" i="4"/>
  <c r="I115" i="4"/>
  <c r="L115" i="4" s="1"/>
  <c r="S115" i="4" s="1"/>
  <c r="I119" i="4"/>
  <c r="L119" i="4" s="1"/>
  <c r="S119" i="4" s="1"/>
  <c r="I120" i="4"/>
  <c r="I123" i="4"/>
  <c r="L123" i="4" s="1"/>
  <c r="I125" i="4"/>
  <c r="N125" i="4" s="1"/>
  <c r="Q125" i="4" s="1"/>
  <c r="I79" i="4"/>
  <c r="N79" i="4" s="1"/>
  <c r="Q79" i="4" s="1"/>
  <c r="I92" i="4"/>
  <c r="N92" i="4" s="1"/>
  <c r="Q92" i="4" s="1"/>
  <c r="I100" i="4"/>
  <c r="I103" i="4"/>
  <c r="N103" i="4" s="1"/>
  <c r="Q103" i="4" s="1"/>
  <c r="I107" i="4"/>
  <c r="N107" i="4" s="1"/>
  <c r="Q107" i="4" s="1"/>
  <c r="I109" i="4"/>
  <c r="N109" i="4" s="1"/>
  <c r="Q109" i="4" s="1"/>
  <c r="I110" i="4"/>
  <c r="I117" i="4"/>
  <c r="I124" i="4"/>
  <c r="I72" i="4"/>
  <c r="I106" i="4"/>
  <c r="L106" i="4" s="1"/>
  <c r="I71" i="4"/>
  <c r="N71" i="4" s="1"/>
  <c r="Q71" i="4" s="1"/>
  <c r="I75" i="4"/>
  <c r="N75" i="4" s="1"/>
  <c r="Q75" i="4" s="1"/>
  <c r="I80" i="4"/>
  <c r="L80" i="4" s="1"/>
  <c r="S80" i="4" s="1"/>
  <c r="I83" i="4"/>
  <c r="N83" i="4" s="1"/>
  <c r="Q83" i="4" s="1"/>
  <c r="I86" i="4"/>
  <c r="L86" i="4" s="1"/>
  <c r="S86" i="4" s="1"/>
  <c r="I88" i="4"/>
  <c r="N88" i="4" s="1"/>
  <c r="Q88" i="4" s="1"/>
  <c r="I94" i="4"/>
  <c r="L94" i="4" s="1"/>
  <c r="S94" i="4" s="1"/>
  <c r="I95" i="4"/>
  <c r="I98" i="4"/>
  <c r="I101" i="4"/>
  <c r="N101" i="4" s="1"/>
  <c r="Q101" i="4" s="1"/>
  <c r="I118" i="4"/>
  <c r="N118" i="4" s="1"/>
  <c r="Q118" i="4" s="1"/>
  <c r="I73" i="4"/>
  <c r="N73" i="4" s="1"/>
  <c r="Q73" i="4" s="1"/>
  <c r="I74" i="4"/>
  <c r="L74" i="4" s="1"/>
  <c r="S74" i="4" s="1"/>
  <c r="I78" i="4"/>
  <c r="I82" i="4"/>
  <c r="N82" i="4" s="1"/>
  <c r="Q82" i="4" s="1"/>
  <c r="I85" i="4"/>
  <c r="I93" i="4"/>
  <c r="L93" i="4" s="1"/>
  <c r="S93" i="4" s="1"/>
  <c r="I112" i="4"/>
  <c r="N112" i="4" s="1"/>
  <c r="Q112" i="4" s="1"/>
  <c r="I114" i="4"/>
  <c r="L114" i="4" s="1"/>
  <c r="S114" i="4" s="1"/>
  <c r="I121" i="4"/>
  <c r="L121" i="4" s="1"/>
  <c r="S121" i="4" s="1"/>
  <c r="I122" i="4"/>
  <c r="I84" i="4"/>
  <c r="I87" i="4"/>
  <c r="I91" i="4"/>
  <c r="N91" i="4" s="1"/>
  <c r="Q91" i="4" s="1"/>
  <c r="I97" i="4"/>
  <c r="L97" i="4" s="1"/>
  <c r="M97" i="4" s="1"/>
  <c r="I105" i="4"/>
  <c r="I116" i="4"/>
  <c r="L116" i="4" s="1"/>
  <c r="S116" i="4" s="1"/>
  <c r="I126" i="4"/>
  <c r="N126" i="4" s="1"/>
  <c r="Q126" i="4" s="1"/>
  <c r="L105" i="4"/>
  <c r="N105" i="4"/>
  <c r="Q105" i="4" s="1"/>
  <c r="N121" i="4"/>
  <c r="Q121" i="4" s="1"/>
  <c r="N124" i="4"/>
  <c r="Q124" i="4" s="1"/>
  <c r="N119" i="4"/>
  <c r="Q119" i="4" s="1"/>
  <c r="L96" i="4"/>
  <c r="S96" i="4" s="1"/>
  <c r="N96" i="4"/>
  <c r="Q96" i="4"/>
  <c r="N77" i="4"/>
  <c r="Q77" i="4" s="1"/>
  <c r="N114" i="4"/>
  <c r="Q114" i="4" s="1"/>
  <c r="N98" i="4"/>
  <c r="Q98" i="4"/>
  <c r="L98" i="4"/>
  <c r="L72" i="4"/>
  <c r="S72" i="4" s="1"/>
  <c r="N72" i="4"/>
  <c r="Q72" i="4" s="1"/>
  <c r="N117" i="4"/>
  <c r="Q117" i="4"/>
  <c r="L117" i="4"/>
  <c r="L103" i="4"/>
  <c r="N115" i="4"/>
  <c r="Q115" i="4" s="1"/>
  <c r="N76" i="4"/>
  <c r="Q76" i="4"/>
  <c r="N78" i="4"/>
  <c r="Q78" i="4" s="1"/>
  <c r="N127" i="4"/>
  <c r="Q127" i="4" s="1"/>
  <c r="N95" i="4"/>
  <c r="Q95" i="4" s="1"/>
  <c r="N110" i="4"/>
  <c r="Q110" i="4" s="1"/>
  <c r="L110" i="4"/>
  <c r="N113" i="4"/>
  <c r="Q113" i="4"/>
  <c r="L113" i="4"/>
  <c r="L89" i="4"/>
  <c r="S89" i="4" s="1"/>
  <c r="N87" i="4"/>
  <c r="Q87" i="4" s="1"/>
  <c r="L87" i="4"/>
  <c r="S87" i="4" s="1"/>
  <c r="N122" i="4"/>
  <c r="Q122" i="4"/>
  <c r="L122" i="4"/>
  <c r="N74" i="4"/>
  <c r="Q74" i="4" s="1"/>
  <c r="N120" i="4"/>
  <c r="Q120" i="4" s="1"/>
  <c r="L99" i="4"/>
  <c r="L81" i="4"/>
  <c r="S81" i="4" s="1"/>
  <c r="N81" i="4"/>
  <c r="Q81" i="4" s="1"/>
  <c r="O98" i="4" l="1"/>
  <c r="P98" i="4" s="1"/>
  <c r="T98" i="4"/>
  <c r="M106" i="4"/>
  <c r="U106" i="4" s="1"/>
  <c r="S106" i="4"/>
  <c r="O112" i="4"/>
  <c r="P112" i="4" s="1"/>
  <c r="T112" i="4"/>
  <c r="M103" i="4"/>
  <c r="U103" i="4" s="1"/>
  <c r="S103" i="4"/>
  <c r="T78" i="4"/>
  <c r="V78" i="4"/>
  <c r="T90" i="4"/>
  <c r="V86" i="4"/>
  <c r="T86" i="4"/>
  <c r="L111" i="4"/>
  <c r="L85" i="4"/>
  <c r="S85" i="4" s="1"/>
  <c r="O109" i="4"/>
  <c r="P109" i="4" s="1"/>
  <c r="T109" i="4"/>
  <c r="V75" i="4"/>
  <c r="T75" i="4"/>
  <c r="M101" i="4"/>
  <c r="U101" i="4" s="1"/>
  <c r="S101" i="4"/>
  <c r="T73" i="4"/>
  <c r="M118" i="4"/>
  <c r="U118" i="4" s="1"/>
  <c r="S118" i="4"/>
  <c r="T91" i="4"/>
  <c r="V106" i="4"/>
  <c r="T106" i="4"/>
  <c r="V74" i="4"/>
  <c r="T74" i="4"/>
  <c r="T81" i="4"/>
  <c r="T103" i="4"/>
  <c r="V117" i="4"/>
  <c r="T117" i="4"/>
  <c r="M110" i="4"/>
  <c r="U110" i="4" s="1"/>
  <c r="S110" i="4"/>
  <c r="T79" i="4"/>
  <c r="V114" i="4"/>
  <c r="T114" i="4"/>
  <c r="M105" i="4"/>
  <c r="U105" i="4" s="1"/>
  <c r="S105" i="4"/>
  <c r="T108" i="4"/>
  <c r="T84" i="4"/>
  <c r="L100" i="4"/>
  <c r="M100" i="4" s="1"/>
  <c r="M102" i="4"/>
  <c r="U102" i="4" s="1"/>
  <c r="S102" i="4"/>
  <c r="T111" i="4"/>
  <c r="O101" i="4"/>
  <c r="P101" i="4" s="1"/>
  <c r="V101" i="4"/>
  <c r="T101" i="4"/>
  <c r="T116" i="4"/>
  <c r="T118" i="4"/>
  <c r="L78" i="4"/>
  <c r="S78" i="4" s="1"/>
  <c r="L75" i="4"/>
  <c r="S75" i="4" s="1"/>
  <c r="N86" i="4"/>
  <c r="Q86" i="4" s="1"/>
  <c r="L109" i="4"/>
  <c r="M113" i="4"/>
  <c r="U113" i="4" s="1"/>
  <c r="S113" i="4"/>
  <c r="M98" i="4"/>
  <c r="U98" i="4" s="1"/>
  <c r="S98" i="4"/>
  <c r="O106" i="4"/>
  <c r="P106" i="4" s="1"/>
  <c r="T89" i="4"/>
  <c r="O102" i="4"/>
  <c r="P102" i="4" s="1"/>
  <c r="T102" i="4"/>
  <c r="T77" i="4"/>
  <c r="V85" i="4"/>
  <c r="T85" i="4"/>
  <c r="T92" i="4"/>
  <c r="T80" i="4"/>
  <c r="T113" i="4"/>
  <c r="O122" i="4"/>
  <c r="P122" i="4" s="1"/>
  <c r="T122" i="4"/>
  <c r="V122" i="4"/>
  <c r="L84" i="4"/>
  <c r="S84" i="4" s="1"/>
  <c r="T99" i="4"/>
  <c r="V99" i="4"/>
  <c r="V119" i="4"/>
  <c r="T119" i="4"/>
  <c r="N94" i="4"/>
  <c r="Q94" i="4" s="1"/>
  <c r="N106" i="4"/>
  <c r="Q106" i="4" s="1"/>
  <c r="O85" i="4"/>
  <c r="P85" i="4" s="1"/>
  <c r="T121" i="4"/>
  <c r="T82" i="4"/>
  <c r="T76" i="4"/>
  <c r="T71" i="4"/>
  <c r="M122" i="4"/>
  <c r="U122" i="4" s="1"/>
  <c r="S122" i="4"/>
  <c r="M117" i="4"/>
  <c r="U117" i="4" s="1"/>
  <c r="S117" i="4"/>
  <c r="O93" i="4"/>
  <c r="P93" i="4" s="1"/>
  <c r="V93" i="4"/>
  <c r="T93" i="4"/>
  <c r="M99" i="4"/>
  <c r="U99" i="4" s="1"/>
  <c r="S99" i="4"/>
  <c r="T95" i="4"/>
  <c r="T104" i="4"/>
  <c r="T120" i="4"/>
  <c r="L92" i="4"/>
  <c r="S92" i="4" s="1"/>
  <c r="L90" i="4"/>
  <c r="S90" i="4" s="1"/>
  <c r="T105" i="4"/>
  <c r="T83" i="4"/>
  <c r="T72" i="4"/>
  <c r="L124" i="4"/>
  <c r="S124" i="4" s="1"/>
  <c r="O118" i="4"/>
  <c r="P118" i="4" s="1"/>
  <c r="T96" i="4"/>
  <c r="O87" i="4"/>
  <c r="P87" i="4" s="1"/>
  <c r="T87" i="4"/>
  <c r="N123" i="4"/>
  <c r="Q123" i="4" s="1"/>
  <c r="O104" i="4"/>
  <c r="P104" i="4" s="1"/>
  <c r="O94" i="4"/>
  <c r="P94" i="4" s="1"/>
  <c r="V94" i="4"/>
  <c r="T94" i="4"/>
  <c r="V115" i="4"/>
  <c r="T115" i="4"/>
  <c r="O110" i="4"/>
  <c r="P110" i="4" s="1"/>
  <c r="T110" i="4"/>
  <c r="V110" i="4"/>
  <c r="T88" i="4"/>
  <c r="M123" i="4"/>
  <c r="U123" i="4" s="1"/>
  <c r="S123" i="4"/>
  <c r="T126" i="4"/>
  <c r="T127" i="4"/>
  <c r="O123" i="4"/>
  <c r="P123" i="4" s="1"/>
  <c r="V123" i="4"/>
  <c r="T123" i="4"/>
  <c r="T125" i="4"/>
  <c r="U133" i="4"/>
  <c r="V133" i="4"/>
  <c r="L125" i="4"/>
  <c r="U128" i="4"/>
  <c r="V128" i="4"/>
  <c r="T124" i="4"/>
  <c r="U134" i="4"/>
  <c r="V134" i="4"/>
  <c r="L127" i="4"/>
  <c r="S127" i="4" s="1"/>
  <c r="U132" i="4"/>
  <c r="V132" i="4"/>
  <c r="M115" i="4"/>
  <c r="U115" i="4" s="1"/>
  <c r="O121" i="4"/>
  <c r="P121" i="4" s="1"/>
  <c r="O114" i="4"/>
  <c r="P114" i="4" s="1"/>
  <c r="O92" i="4"/>
  <c r="P92" i="4" s="1"/>
  <c r="O108" i="4"/>
  <c r="P108" i="4" s="1"/>
  <c r="O126" i="4"/>
  <c r="P126" i="4" s="1"/>
  <c r="O124" i="4"/>
  <c r="P124" i="4" s="1"/>
  <c r="N80" i="4"/>
  <c r="Q80" i="4" s="1"/>
  <c r="N100" i="4"/>
  <c r="Q100" i="4" s="1"/>
  <c r="L79" i="4"/>
  <c r="S79" i="4" s="1"/>
  <c r="O115" i="4"/>
  <c r="P115" i="4" s="1"/>
  <c r="L112" i="4"/>
  <c r="O116" i="4"/>
  <c r="P116" i="4" s="1"/>
  <c r="M114" i="4"/>
  <c r="U114" i="4" s="1"/>
  <c r="L104" i="4"/>
  <c r="N97" i="4"/>
  <c r="Q97" i="4" s="1"/>
  <c r="L107" i="4"/>
  <c r="L73" i="4"/>
  <c r="S73" i="4" s="1"/>
  <c r="M119" i="4"/>
  <c r="U119" i="4" s="1"/>
  <c r="O127" i="4"/>
  <c r="P127" i="4" s="1"/>
  <c r="O120" i="4"/>
  <c r="P120" i="4" s="1"/>
  <c r="L120" i="4"/>
  <c r="S120" i="4" s="1"/>
  <c r="N102" i="4"/>
  <c r="Q102" i="4" s="1"/>
  <c r="O75" i="4"/>
  <c r="P75" i="4" s="1"/>
  <c r="M116" i="4"/>
  <c r="U116" i="4" s="1"/>
  <c r="O91" i="4"/>
  <c r="P91" i="4" s="1"/>
  <c r="N84" i="4"/>
  <c r="Q84" i="4" s="1"/>
  <c r="M121" i="4"/>
  <c r="U121" i="4" s="1"/>
  <c r="L126" i="4"/>
  <c r="S126" i="4" s="1"/>
  <c r="L71" i="4"/>
  <c r="S71" i="4" s="1"/>
  <c r="L77" i="4"/>
  <c r="S77" i="4" s="1"/>
  <c r="L95" i="4"/>
  <c r="O107" i="4"/>
  <c r="P107" i="4" s="1"/>
  <c r="O71" i="4"/>
  <c r="P71" i="4" s="1"/>
  <c r="O83" i="4"/>
  <c r="P83" i="4" s="1"/>
  <c r="O79" i="4"/>
  <c r="P79" i="4" s="1"/>
  <c r="O77" i="4"/>
  <c r="P77" i="4" s="1"/>
  <c r="O72" i="4"/>
  <c r="P72" i="4" s="1"/>
  <c r="O76" i="4"/>
  <c r="P76" i="4" s="1"/>
  <c r="M94" i="4"/>
  <c r="U94" i="4" s="1"/>
  <c r="O96" i="4"/>
  <c r="P96" i="4" s="1"/>
  <c r="N116" i="4"/>
  <c r="Q116" i="4" s="1"/>
  <c r="L82" i="4"/>
  <c r="S82" i="4" s="1"/>
  <c r="M89" i="4"/>
  <c r="U89" i="4" s="1"/>
  <c r="O84" i="4"/>
  <c r="P84" i="4" s="1"/>
  <c r="O82" i="4"/>
  <c r="P82" i="4" s="1"/>
  <c r="O73" i="4"/>
  <c r="P73" i="4" s="1"/>
  <c r="M74" i="4"/>
  <c r="U74" i="4" s="1"/>
  <c r="O95" i="4"/>
  <c r="P95" i="4" s="1"/>
  <c r="M81" i="4"/>
  <c r="U81" i="4" s="1"/>
  <c r="M96" i="4"/>
  <c r="U96" i="4" s="1"/>
  <c r="O89" i="4"/>
  <c r="P89" i="4" s="1"/>
  <c r="L83" i="4"/>
  <c r="S83" i="4" s="1"/>
  <c r="O88" i="4"/>
  <c r="P88" i="4" s="1"/>
  <c r="M90" i="4"/>
  <c r="U90" i="4" s="1"/>
  <c r="O74" i="4"/>
  <c r="P74" i="4" s="1"/>
  <c r="L91" i="4"/>
  <c r="S91" i="4" s="1"/>
  <c r="L108" i="4"/>
  <c r="S108" i="4" s="1"/>
  <c r="O90" i="4"/>
  <c r="P90" i="4" s="1"/>
  <c r="M78" i="4"/>
  <c r="U78" i="4" s="1"/>
  <c r="L76" i="4"/>
  <c r="S76" i="4" s="1"/>
  <c r="O81" i="4"/>
  <c r="P81" i="4" s="1"/>
  <c r="O86" i="4"/>
  <c r="P86" i="4" s="1"/>
  <c r="M87" i="4"/>
  <c r="U87" i="4" s="1"/>
  <c r="M72" i="4"/>
  <c r="U72" i="4" s="1"/>
  <c r="O97" i="4"/>
  <c r="P97" i="4" s="1"/>
  <c r="M80" i="4"/>
  <c r="U80" i="4" s="1"/>
  <c r="M93" i="4"/>
  <c r="U93" i="4" s="1"/>
  <c r="M75" i="4"/>
  <c r="U75" i="4" s="1"/>
  <c r="M85" i="4"/>
  <c r="U85" i="4" s="1"/>
  <c r="M86" i="4"/>
  <c r="U86" i="4" s="1"/>
  <c r="O80" i="4"/>
  <c r="P80" i="4" s="1"/>
  <c r="O78" i="4"/>
  <c r="P78" i="4" s="1"/>
  <c r="N85" i="4"/>
  <c r="Q85" i="4" s="1"/>
  <c r="L88" i="4"/>
  <c r="S88" i="4" s="1"/>
  <c r="N93" i="4"/>
  <c r="Q93" i="4" s="1"/>
  <c r="J14" i="4"/>
  <c r="J13" i="4" s="1"/>
  <c r="K16" i="4" s="1"/>
  <c r="M109" i="4" l="1"/>
  <c r="S109" i="4"/>
  <c r="M84" i="4"/>
  <c r="V87" i="4"/>
  <c r="V105" i="4"/>
  <c r="V102" i="4"/>
  <c r="M79" i="4"/>
  <c r="M104" i="4"/>
  <c r="S104" i="4"/>
  <c r="V121" i="4"/>
  <c r="V118" i="4"/>
  <c r="M111" i="4"/>
  <c r="S111" i="4"/>
  <c r="M95" i="4"/>
  <c r="S95" i="4"/>
  <c r="V72" i="4"/>
  <c r="M77" i="4"/>
  <c r="V96" i="4"/>
  <c r="V80" i="4"/>
  <c r="V103" i="4"/>
  <c r="V113" i="4"/>
  <c r="M92" i="4"/>
  <c r="M124" i="4"/>
  <c r="U124" i="4" s="1"/>
  <c r="V89" i="4"/>
  <c r="V116" i="4"/>
  <c r="V98" i="4"/>
  <c r="M112" i="4"/>
  <c r="S112" i="4"/>
  <c r="V81" i="4"/>
  <c r="V90" i="4"/>
  <c r="M125" i="4"/>
  <c r="S125" i="4"/>
  <c r="M127" i="4"/>
  <c r="M126" i="4"/>
  <c r="M107" i="4"/>
  <c r="M71" i="4"/>
  <c r="M120" i="4"/>
  <c r="M108" i="4"/>
  <c r="M91" i="4"/>
  <c r="M73" i="4"/>
  <c r="M83" i="4"/>
  <c r="M82" i="4"/>
  <c r="M88" i="4"/>
  <c r="M76" i="4"/>
  <c r="K14" i="4"/>
  <c r="K13" i="4"/>
  <c r="K15" i="4"/>
  <c r="U88" i="4" l="1"/>
  <c r="V88" i="4"/>
  <c r="U104" i="4"/>
  <c r="V104" i="4"/>
  <c r="V124" i="4"/>
  <c r="U79" i="4"/>
  <c r="V79" i="4"/>
  <c r="U83" i="4"/>
  <c r="V83" i="4"/>
  <c r="U73" i="4"/>
  <c r="V73" i="4"/>
  <c r="U77" i="4"/>
  <c r="V77" i="4"/>
  <c r="U76" i="4"/>
  <c r="V76" i="4"/>
  <c r="U82" i="4"/>
  <c r="V82" i="4"/>
  <c r="U108" i="4"/>
  <c r="V108" i="4"/>
  <c r="U84" i="4"/>
  <c r="V84" i="4"/>
  <c r="U111" i="4"/>
  <c r="V111" i="4"/>
  <c r="U91" i="4"/>
  <c r="V91" i="4"/>
  <c r="U120" i="4"/>
  <c r="V120" i="4"/>
  <c r="U95" i="4"/>
  <c r="V95" i="4"/>
  <c r="U92" i="4"/>
  <c r="V92" i="4"/>
  <c r="U112" i="4"/>
  <c r="V112" i="4"/>
  <c r="U71" i="4"/>
  <c r="V71" i="4"/>
  <c r="U109" i="4"/>
  <c r="V109" i="4"/>
  <c r="U126" i="4"/>
  <c r="V126" i="4"/>
  <c r="U127" i="4"/>
  <c r="V127" i="4"/>
  <c r="U125" i="4"/>
  <c r="V125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T62" i="4" l="1"/>
  <c r="O59" i="4"/>
  <c r="P59" i="4" s="1"/>
  <c r="T59" i="4"/>
  <c r="T57" i="4"/>
  <c r="T61" i="4"/>
  <c r="O55" i="4"/>
  <c r="P55" i="4" s="1"/>
  <c r="T55" i="4"/>
  <c r="T63" i="4"/>
  <c r="T58" i="4"/>
  <c r="O56" i="4"/>
  <c r="P56" i="4" s="1"/>
  <c r="T56" i="4"/>
  <c r="T60" i="4"/>
  <c r="O60" i="4"/>
  <c r="P60" i="4" s="1"/>
  <c r="O62" i="4"/>
  <c r="P62" i="4" s="1"/>
  <c r="O61" i="4"/>
  <c r="P61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V64" i="4" l="1"/>
  <c r="T64" i="4"/>
  <c r="T69" i="4"/>
  <c r="T70" i="4"/>
  <c r="M55" i="4"/>
  <c r="S55" i="4"/>
  <c r="V66" i="4"/>
  <c r="T66" i="4"/>
  <c r="M56" i="4"/>
  <c r="S56" i="4"/>
  <c r="T67" i="4"/>
  <c r="T68" i="4"/>
  <c r="V65" i="4"/>
  <c r="T65" i="4"/>
  <c r="M59" i="4"/>
  <c r="S59" i="4"/>
  <c r="M61" i="4"/>
  <c r="M62" i="4"/>
  <c r="M70" i="4"/>
  <c r="U70" i="4" s="1"/>
  <c r="M60" i="4"/>
  <c r="M63" i="4"/>
  <c r="M69" i="4"/>
  <c r="U69" i="4" s="1"/>
  <c r="M64" i="4"/>
  <c r="U64" i="4" s="1"/>
  <c r="O65" i="4"/>
  <c r="P65" i="4" s="1"/>
  <c r="M68" i="4"/>
  <c r="U68" i="4" s="1"/>
  <c r="M57" i="4"/>
  <c r="M66" i="4"/>
  <c r="U66" i="4" s="1"/>
  <c r="M67" i="4"/>
  <c r="U67" i="4" s="1"/>
  <c r="O68" i="4"/>
  <c r="P68" i="4" s="1"/>
  <c r="O64" i="4"/>
  <c r="P64" i="4" s="1"/>
  <c r="M58" i="4"/>
  <c r="O66" i="4"/>
  <c r="P66" i="4" s="1"/>
  <c r="O67" i="4"/>
  <c r="P67" i="4" s="1"/>
  <c r="O69" i="4"/>
  <c r="P69" i="4" s="1"/>
  <c r="M65" i="4"/>
  <c r="U65" i="4" s="1"/>
  <c r="O70" i="4"/>
  <c r="P70" i="4" s="1"/>
  <c r="U60" i="4" l="1"/>
  <c r="V60" i="4"/>
  <c r="U58" i="4"/>
  <c r="V58" i="4"/>
  <c r="U56" i="4"/>
  <c r="V56" i="4"/>
  <c r="U62" i="4"/>
  <c r="V62" i="4"/>
  <c r="U61" i="4"/>
  <c r="V61" i="4"/>
  <c r="U59" i="4"/>
  <c r="V59" i="4"/>
  <c r="U55" i="4"/>
  <c r="V55" i="4"/>
  <c r="U57" i="4"/>
  <c r="V57" i="4"/>
  <c r="V70" i="4"/>
  <c r="V69" i="4"/>
  <c r="V68" i="4"/>
  <c r="U63" i="4"/>
  <c r="V63" i="4"/>
  <c r="V67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L45" i="4" s="1"/>
  <c r="S45" i="4" s="1"/>
  <c r="J30" i="4"/>
  <c r="K30" i="4" s="1"/>
  <c r="J43" i="4"/>
  <c r="J31" i="4"/>
  <c r="K31" i="4" s="1"/>
  <c r="J44" i="4"/>
  <c r="L44" i="4" s="1"/>
  <c r="S44" i="4" s="1"/>
  <c r="J36" i="4"/>
  <c r="L36" i="4" s="1"/>
  <c r="S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31" i="4"/>
  <c r="S31" i="4" s="1"/>
  <c r="L47" i="4"/>
  <c r="S47" i="4" s="1"/>
  <c r="K47" i="4"/>
  <c r="K44" i="4"/>
  <c r="K52" i="4"/>
  <c r="L52" i="4"/>
  <c r="L43" i="4"/>
  <c r="S43" i="4" s="1"/>
  <c r="K43" i="4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L30" i="4"/>
  <c r="S30" i="4" s="1"/>
  <c r="T31" i="4" l="1"/>
  <c r="T48" i="4"/>
  <c r="M53" i="4"/>
  <c r="U53" i="4" s="1"/>
  <c r="S53" i="4"/>
  <c r="T33" i="4"/>
  <c r="T49" i="4"/>
  <c r="V49" i="4"/>
  <c r="T44" i="4"/>
  <c r="T47" i="4"/>
  <c r="O51" i="4"/>
  <c r="P51" i="4" s="1"/>
  <c r="T51" i="4"/>
  <c r="T35" i="4"/>
  <c r="M51" i="4"/>
  <c r="U51" i="4" s="1"/>
  <c r="S51" i="4"/>
  <c r="T46" i="4"/>
  <c r="O54" i="4"/>
  <c r="P54" i="4" s="1"/>
  <c r="T54" i="4"/>
  <c r="M54" i="4"/>
  <c r="U54" i="4" s="1"/>
  <c r="S54" i="4"/>
  <c r="O50" i="4"/>
  <c r="P50" i="4" s="1"/>
  <c r="T50" i="4"/>
  <c r="V43" i="4"/>
  <c r="T43" i="4"/>
  <c r="T39" i="4"/>
  <c r="M52" i="4"/>
  <c r="U52" i="4" s="1"/>
  <c r="S52" i="4"/>
  <c r="T41" i="4"/>
  <c r="T30" i="4"/>
  <c r="O53" i="4"/>
  <c r="P53" i="4" s="1"/>
  <c r="V53" i="4"/>
  <c r="T53" i="4"/>
  <c r="M50" i="4"/>
  <c r="U50" i="4" s="1"/>
  <c r="S50" i="4"/>
  <c r="O52" i="4"/>
  <c r="P52" i="4" s="1"/>
  <c r="T52" i="4"/>
  <c r="T28" i="4"/>
  <c r="M48" i="4"/>
  <c r="U48" i="4" s="1"/>
  <c r="O49" i="4"/>
  <c r="P49" i="4" s="1"/>
  <c r="M49" i="4"/>
  <c r="U49" i="4" s="1"/>
  <c r="O48" i="4"/>
  <c r="P48" i="4" s="1"/>
  <c r="O35" i="4"/>
  <c r="P35" i="4" s="1"/>
  <c r="O47" i="4"/>
  <c r="P47" i="4" s="1"/>
  <c r="M31" i="4"/>
  <c r="U31" i="4" s="1"/>
  <c r="O33" i="4"/>
  <c r="P33" i="4" s="1"/>
  <c r="L35" i="4"/>
  <c r="S35" i="4" s="1"/>
  <c r="M44" i="4"/>
  <c r="U44" i="4" s="1"/>
  <c r="M47" i="4"/>
  <c r="U47" i="4" s="1"/>
  <c r="O46" i="4"/>
  <c r="P46" i="4" s="1"/>
  <c r="M43" i="4"/>
  <c r="U43" i="4" s="1"/>
  <c r="O44" i="4"/>
  <c r="P44" i="4" s="1"/>
  <c r="O31" i="4"/>
  <c r="P31" i="4" s="1"/>
  <c r="O28" i="4"/>
  <c r="P28" i="4" s="1"/>
  <c r="O43" i="4"/>
  <c r="P43" i="4" s="1"/>
  <c r="O39" i="4"/>
  <c r="P39" i="4" s="1"/>
  <c r="O41" i="4"/>
  <c r="P41" i="4" s="1"/>
  <c r="O30" i="4"/>
  <c r="P30" i="4" s="1"/>
  <c r="M39" i="4"/>
  <c r="U39" i="4" s="1"/>
  <c r="M45" i="4"/>
  <c r="U45" i="4" s="1"/>
  <c r="K45" i="4"/>
  <c r="K36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0" i="4"/>
  <c r="U30" i="4" s="1"/>
  <c r="M36" i="4"/>
  <c r="U36" i="4" s="1"/>
  <c r="K40" i="4"/>
  <c r="K32" i="4"/>
  <c r="L28" i="4"/>
  <c r="S28" i="4" s="1"/>
  <c r="V44" i="4" l="1"/>
  <c r="V32" i="4"/>
  <c r="T32" i="4"/>
  <c r="V42" i="4"/>
  <c r="T42" i="4"/>
  <c r="V50" i="4"/>
  <c r="V30" i="4"/>
  <c r="V48" i="4"/>
  <c r="V29" i="4"/>
  <c r="T29" i="4"/>
  <c r="T38" i="4"/>
  <c r="V38" i="4"/>
  <c r="T37" i="4"/>
  <c r="V37" i="4"/>
  <c r="V51" i="4"/>
  <c r="V36" i="4"/>
  <c r="T36" i="4"/>
  <c r="V47" i="4"/>
  <c r="V39" i="4"/>
  <c r="T40" i="4"/>
  <c r="V40" i="4"/>
  <c r="V34" i="4"/>
  <c r="T34" i="4"/>
  <c r="V45" i="4"/>
  <c r="T45" i="4"/>
  <c r="V52" i="4"/>
  <c r="V54" i="4"/>
  <c r="V31" i="4"/>
  <c r="M35" i="4"/>
  <c r="M33" i="4"/>
  <c r="O34" i="4"/>
  <c r="P34" i="4" s="1"/>
  <c r="O36" i="4"/>
  <c r="P36" i="4" s="1"/>
  <c r="O29" i="4"/>
  <c r="P29" i="4" s="1"/>
  <c r="O38" i="4"/>
  <c r="P38" i="4" s="1"/>
  <c r="O45" i="4"/>
  <c r="P45" i="4" s="1"/>
  <c r="O32" i="4"/>
  <c r="P32" i="4" s="1"/>
  <c r="O40" i="4"/>
  <c r="P40" i="4" s="1"/>
  <c r="O42" i="4"/>
  <c r="P42" i="4" s="1"/>
  <c r="M41" i="4"/>
  <c r="O37" i="4"/>
  <c r="P37" i="4" s="1"/>
  <c r="M46" i="4"/>
  <c r="M28" i="4"/>
  <c r="U33" i="4" l="1"/>
  <c r="V33" i="4"/>
  <c r="U46" i="4"/>
  <c r="V46" i="4"/>
  <c r="U35" i="4"/>
  <c r="V35" i="4"/>
  <c r="U41" i="4"/>
  <c r="V41" i="4"/>
  <c r="U28" i="4"/>
  <c r="V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<sst xmlns="http://schemas.openxmlformats.org/spreadsheetml/2006/main" count="340" uniqueCount="314">
  <si>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</si>
  <si>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</si>
  <si>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</si>
  <si>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</si>
  <si>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</si>
  <si>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</si>
  <si>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</si>
  <si>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</si>
  <si>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</si>
  <si>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</si>
  <si>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</si>
  <si>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</si>
  <si>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</si>
  <si>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</si>
  <si>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</si>
  <si>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</si>
  <si>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</si>
  <si>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</si>
  <si>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</si>
  <si>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</si>
  <si>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</si>
  <si>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</si>
  <si>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</si>
  <si>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</si>
  <si>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</si>
  <si>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</si>
  <si>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</si>
  <si>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</si>
  <si>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</si>
  <si>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</si>
  <si>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</si>
  <si>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</si>
  <si>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</si>
  <si>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</si>
  <si>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</si>
  <si>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</si>
  <si>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</si>
  <si>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</si>
  <si>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</si>
  <si>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</si>
  <si>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</si>
  <si>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</si>
  <si>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</si>
  <si>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</si>
  <si>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</si>
  <si>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</si>
  <si>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</si>
  <si>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</si>
  <si>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</si>
  <si>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</si>
  <si>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</si>
  <si>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</si>
  <si>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</si>
  <si>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</si>
  <si>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</si>
  <si>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</si>
  <si>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</si>
  <si>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</si>
  <si>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</si>
  <si>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</si>
  <si>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</si>
  <si>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</si>
  <si>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</si>
  <si>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</si>
  <si>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</si>
  <si>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</si>
  <si>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</si>
  <si>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</si>
  <si>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</si>
  <si>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</si>
  <si>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</si>
  <si>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</si>
  <si>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</si>
  <si>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</si>
  <si>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</si>
  <si>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</si>
  <si>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</si>
  <si>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</si>
  <si>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</si>
  <si>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</si>
  <si>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</si>
  <si>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</si>
  <si>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</si>
  <si>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</si>
  <si>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</si>
  <si>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</si>
  <si>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</si>
  <si>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</si>
  <si>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</si>
  <si>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</si>
  <si>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</si>
  <si>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</si>
  <si>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</si>
  <si>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</si>
  <si>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</si>
  <si>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</si>
  <si>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</si>
  <si>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</si>
  <si>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</si>
  <si>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</si>
  <si>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</si>
  <si>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</si>
  <si>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</si>
  <si>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</si>
  <si>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</si>
  <si>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</si>
  <si>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</si>
  <si>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</si>
  <si>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</si>
  <si>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</si>
  <si>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</si>
  <si>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Rtgut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</si>
  <si>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</si>
  <si>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</si>
  <si>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</si>
  <si>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</si>
  <si>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</si>
  <si>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</si>
  <si>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</si>
  <si>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</si>
  <si>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</si>
  <si>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</si>
  <si>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</si>
  <si>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</si>
  <si>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</si>
  <si>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</si>
  <si>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</si>
  <si>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</si>
  <si>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</si>
  <si>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</si>
  <si>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</si>
  <si>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</si>
  <si>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</si>
  <si>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</si>
  <si>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</si>
  <si>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</si>
  <si>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</si>
  <si>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</si>
  <si>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</si>
  <si>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</si>
  <si>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</si>
  <si>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</si>
  <si>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</si>
  <si>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</si>
  <si>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</si>
  <si>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</si>
  <si>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</si>
  <si>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</si>
  <si>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</si>
  <si>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</si>
  <si>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</si>
  <si>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</si>
  <si>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</si>
  <si>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</si>
  <si>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</si>
  <si>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</si>
  <si>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</si>
  <si>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</si>
  <si>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</si>
  <si>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</si>
  <si>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</si>
  <si>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</si>
  <si>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</si>
  <si>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</si>
  <si>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</si>
  <si>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</si>
  <si>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</si>
  <si>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</si>
  <si>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</si>
  <si>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</si>
  <si>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</si>
  <si>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</si>
  <si>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</si>
  <si>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</si>
  <si>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</si>
  <si>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</si>
  <si>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</si>
  <si>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</si>
  <si>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</si>
  <si>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</si>
  <si>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</si>
  <si>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</si>
  <si>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</si>
  <si>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</si>
  <si>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</si>
  <si>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</si>
  <si>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</si>
  <si>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</si>
  <si>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</si>
  <si>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</si>
  <si>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</si>
  <si>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</si>
  <si>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</si>
  <si>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</si>
  <si>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</si>
  <si>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</si>
  <si>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</si>
  <si>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</si>
  <si>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</si>
  <si>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</si>
  <si>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</si>
  <si>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</si>
  <si>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</si>
  <si>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</si>
  <si>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</si>
  <si>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</si>
  <si>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</si>
  <si>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</si>
  <si>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</si>
  <si>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</si>
  <si>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</si>
  <si>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</si>
  <si>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</si>
  <si>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</si>
  <si>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</si>
  <si>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</si>
  <si>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</si>
  <si>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</si>
  <si>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</si>
  <si>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</si>
  <si>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</si>
  <si>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</si>
  <si>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</si>
  <si>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</si>
  <si>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</si>
  <si>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</si>
  <si>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</si>
  <si>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</si>
  <si>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</si>
  <si>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</si>
  <si>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</si>
  <si>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</si>
  <si>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</si>
  <si>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</si>
  <si>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</si>
  <si>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</si>
  <si>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</si>
  <si>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</si>
  <si>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</si>
  <si>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</si>
  <si>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</si>
  <si>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</si>
  <si>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</si>
  <si>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</si>
  <si>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</si>
  <si>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</si>
  <si>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</si>
  <si>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</si>
  <si>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</si>
  <si>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</si>
  <si>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</si>
  <si>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</si>
  <si>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</si>
  <si>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</si>
  <si>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</si>
  <si>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</si>
  <si>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</si>
  <si>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</si>
  <si>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</si>
  <si>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</si>
  <si>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</si>
  <si>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</si>
  <si>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</si>
  <si>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</si>
  <si>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</si>
  <si>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</si>
  <si>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</si>
  <si>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</si>
  <si>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</si>
  <si>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</si>
  <si>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</si>
  <si>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</si>
  <si>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</si>
  <si>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</si>
  <si>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</si>
  <si>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</si>
  <si>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</si>
  <si>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</si>
  <si>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</si>
  <si>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</si>
  <si>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</si>
  <si>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</si>
  <si>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</si>
  <si>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</si>
  <si>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</si>
  <si>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</si>
  <si>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</si>
  <si>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</si>
  <si>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</si>
  <si>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</si>
  <si>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</si>
  <si>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</si>
  <si>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</si>
  <si>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</si>
  <si>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</si>
  <si>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</si>
  <si>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</si>
  <si>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</si>
  <si>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</si>
  <si>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</si>
  <si>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</si>
  <si>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</si>
  <si>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</si>
  <si>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</si>
  <si>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</si>
  <si>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</si>
  <si>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</si>
  <si>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</si>
  <si>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</si>
  <si>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</si>
  <si>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Perfluorohexanesulfonic_acid</t>
  </si>
  <si>
    <t>Perfluorodecanoic_acid</t>
  </si>
  <si>
    <t>˂1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</si>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</sst>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8.9000000000000006E-4</v>
      </c>
      <c r="M17" s="80">
        <v>6.0000000000000002E-5</v>
      </c>
      <c r="N17" s="80">
        <v>5.0000000000000002E-5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6" zoomScale="63" zoomScaleNormal="70" workbookViewId="0">
      <selection activeCell="B28" sqref="B28:F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150.02000000000001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149.9401</v>
      </c>
      <c r="K8" s="39">
        <f>J8/J7</f>
        <v>0.99946740434608716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7.3200000000000001E-2</v>
      </c>
      <c r="K9" s="39">
        <f>J9/J7</f>
        <v>4.8793494200773227E-4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6.6999999999999994E-3</v>
      </c>
      <c r="K10" s="39">
        <f>J10/J7</f>
        <v>4.4660711905079316E-5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2.0000000000000004E-2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1.7800000000000003E-2</v>
      </c>
      <c r="K20" s="39">
        <f>J20/J19</f>
        <v>0.89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1.2000000000000001E-3</v>
      </c>
      <c r="K21" s="39">
        <f>J21/J19</f>
        <v>5.9999999999999991E-2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1.0000000000000002E-3</v>
      </c>
      <c r="K22" s="39">
        <f>J22/J19</f>
        <v>0.05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8.6629514448579737E-3</v>
      </c>
      <c r="K28" s="93">
        <f t="shared" ref="K28:K47" si="3">IF(D28=0,"",1/(1+10^D28*$J$15/$J$14+10^E28*$J$16/$J$14+10^J28*$J$19/$J$14))</f>
        <v>0.99926041080835082</v>
      </c>
      <c r="L28" s="93">
        <f t="shared" ref="L28:L47" si="4">IF(D28=0,"",1/(1+10^I28/10^J28*$J$13/$J$19))</f>
        <v>1.3598950486987257E-4</v>
      </c>
      <c r="M28" s="93">
        <f t="shared" ref="M28:M47" si="5">IF(D28=0,"",1-L28)</f>
        <v>0.99986401049513007</v>
      </c>
      <c r="N28" s="93">
        <f t="shared" ref="N28:N47" si="6">IF(D28=0,"",1/(1/10^E28*$J$20/$J$22+10^D28/10^E28*$J$21/$J$22+10^I28/10^E28*$J$13/$J$22+1))</f>
        <v>8.0543119362356236E-6</v>
      </c>
      <c r="O28" s="40">
        <f t="shared" ref="O28:O47" si="7">IF(D28=0,"",F28*K28*$J$7/$J$14)</f>
        <v>9.9991159973845644E-7</v>
      </c>
      <c r="P28" s="40">
        <f t="shared" ref="P28:P47" si="8">IF(D28=0,"",O28*10^J28)</f>
        <v>1.0200572760289139E-6</v>
      </c>
      <c r="Q28" s="40">
        <f t="shared" ref="Q28:Q47" si="9">IF(D28=0,"",F28*N28*$J$7/$J$22)</f>
        <v>1.2083078766740679E-6</v>
      </c>
      <c r="R28" s="9">
        <f>F28*$C$14</f>
        <v>1.4999999999999999E-4</v>
      </c>
      <c r="S28" s="9">
        <f>$R28*L28</f>
        <v>2.0398425730480884E-8</v>
      </c>
      <c r="T28" s="9">
        <f t="shared" ref="T28" si="10">R28*K28</f>
        <v>1.4988906162125262E-4</v>
      </c>
      <c r="U28" s="9">
        <f t="shared" ref="U28" si="11">$R28*M28</f>
        <v>1.4997960157426949E-4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1.5071795924333535</v>
      </c>
      <c r="K29" s="93">
        <f t="shared" si="3"/>
        <v>0.89541725860408539</v>
      </c>
      <c r="L29" s="93">
        <f t="shared" si="4"/>
        <v>3.8403323681088421E-3</v>
      </c>
      <c r="M29" s="93">
        <f t="shared" si="5"/>
        <v>0.99615966763189112</v>
      </c>
      <c r="N29" s="93">
        <f t="shared" si="6"/>
        <v>2.2706972011748722E-3</v>
      </c>
      <c r="O29" s="40">
        <f t="shared" si="7"/>
        <v>8.9600077597385372E-7</v>
      </c>
      <c r="P29" s="40">
        <f t="shared" si="8"/>
        <v>2.8806333093184421E-5</v>
      </c>
      <c r="Q29" s="40">
        <f t="shared" si="9"/>
        <v>3.4064999412025432E-4</v>
      </c>
      <c r="R29" s="9">
        <f t="shared" ref="R29:R57" si="12">F29*$C$14</f>
        <v>1.4999999999999999E-4</v>
      </c>
      <c r="S29" s="9">
        <f t="shared" ref="S29:S57" si="13">$R29*L29</f>
        <v>5.7604985521632626E-7</v>
      </c>
      <c r="T29" s="9">
        <f t="shared" ref="T29:T57" si="14">R29*K29</f>
        <v>1.3431258879061279E-4</v>
      </c>
      <c r="U29" s="9">
        <f t="shared" ref="U29:U57" si="15">$R29*M29</f>
        <v>1.4942395014478366E-4</v>
      </c>
      <c r="V29" s="100">
        <f t="shared" ref="V29:V57" si="16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3.1846481838673779</v>
      </c>
      <c r="K30" s="93">
        <f t="shared" si="3"/>
        <v>7.5278614070132949E-2</v>
      </c>
      <c r="L30" s="93">
        <f t="shared" si="4"/>
        <v>1.5363266287860593E-2</v>
      </c>
      <c r="M30" s="93">
        <f t="shared" si="5"/>
        <v>0.98463673371213944</v>
      </c>
      <c r="N30" s="93">
        <f t="shared" si="6"/>
        <v>2.1918224887632033E-4</v>
      </c>
      <c r="O30" s="40">
        <f t="shared" si="7"/>
        <v>7.5327670952228886E-8</v>
      </c>
      <c r="P30" s="40">
        <f t="shared" si="8"/>
        <v>1.1523986042524234E-4</v>
      </c>
      <c r="Q30" s="40">
        <f t="shared" si="9"/>
        <v>3.2881720976425574E-5</v>
      </c>
      <c r="R30" s="9">
        <f t="shared" si="12"/>
        <v>1.4999999999999999E-4</v>
      </c>
      <c r="S30" s="9">
        <f t="shared" si="13"/>
        <v>2.3044899431790888E-6</v>
      </c>
      <c r="T30" s="9">
        <f t="shared" si="14"/>
        <v>1.1291792110519941E-5</v>
      </c>
      <c r="U30" s="9">
        <f t="shared" si="15"/>
        <v>1.476955100568209E-4</v>
      </c>
      <c r="V30" s="100">
        <f t="shared" si="16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-4.6726110400890343E-2</v>
      </c>
      <c r="K31" s="93">
        <f t="shared" si="3"/>
        <v>0.99982213303384226</v>
      </c>
      <c r="L31" s="93">
        <f t="shared" si="4"/>
        <v>1.1977340482680928E-4</v>
      </c>
      <c r="M31" s="93">
        <f t="shared" si="5"/>
        <v>0.99988022659517317</v>
      </c>
      <c r="N31" s="93">
        <f t="shared" si="6"/>
        <v>1.0842957571429688E-7</v>
      </c>
      <c r="O31" s="40">
        <f t="shared" si="7"/>
        <v>1.0004736880219755E-6</v>
      </c>
      <c r="P31" s="40">
        <f t="shared" si="8"/>
        <v>8.9842030960589646E-7</v>
      </c>
      <c r="Q31" s="40">
        <f t="shared" si="9"/>
        <v>1.6266604948658814E-8</v>
      </c>
      <c r="R31" s="9">
        <f t="shared" si="12"/>
        <v>1.4999999999999999E-4</v>
      </c>
      <c r="S31" s="9">
        <f t="shared" si="13"/>
        <v>1.796601072402139E-8</v>
      </c>
      <c r="T31" s="9">
        <f t="shared" si="14"/>
        <v>1.4997331995507632E-4</v>
      </c>
      <c r="U31" s="9">
        <f t="shared" si="15"/>
        <v>1.4998203398927597E-4</v>
      </c>
      <c r="V31" s="100">
        <f t="shared" si="16"/>
        <v>0.99994189947977197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7.9809959531048844E-2</v>
      </c>
      <c r="K32" s="93">
        <f t="shared" si="3"/>
        <v>0.99807313347236026</v>
      </c>
      <c r="L32" s="93">
        <f t="shared" si="4"/>
        <v>1.6000593213875836E-4</v>
      </c>
      <c r="M32" s="93">
        <f t="shared" si="5"/>
        <v>0.99983999406786128</v>
      </c>
      <c r="N32" s="93">
        <f t="shared" si="6"/>
        <v>1.3324708311592709E-5</v>
      </c>
      <c r="O32" s="40">
        <f t="shared" si="7"/>
        <v>9.9872354868837726E-7</v>
      </c>
      <c r="P32" s="40">
        <f t="shared" si="8"/>
        <v>1.2002044969728266E-6</v>
      </c>
      <c r="Q32" s="40">
        <f t="shared" si="9"/>
        <v>1.9989727409051378E-6</v>
      </c>
      <c r="R32" s="9">
        <f t="shared" si="12"/>
        <v>1.4999999999999999E-4</v>
      </c>
      <c r="S32" s="9">
        <f t="shared" si="13"/>
        <v>2.4000889820813752E-8</v>
      </c>
      <c r="T32" s="9">
        <f t="shared" si="14"/>
        <v>1.4971097002085403E-4</v>
      </c>
      <c r="U32" s="9">
        <f t="shared" si="15"/>
        <v>1.4997599911017919E-4</v>
      </c>
      <c r="V32" s="100">
        <f t="shared" si="16"/>
        <v>0.99823285665108019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0.85658284176588462</v>
      </c>
      <c r="K33" s="93">
        <f t="shared" si="3"/>
        <v>0.97565783175476739</v>
      </c>
      <c r="L33" s="93">
        <f t="shared" si="4"/>
        <v>9.3550074189187728E-4</v>
      </c>
      <c r="M33" s="93">
        <f t="shared" si="5"/>
        <v>0.99906449925810814</v>
      </c>
      <c r="N33" s="93">
        <f t="shared" si="6"/>
        <v>4.7464259670278099E-4</v>
      </c>
      <c r="O33" s="40">
        <f t="shared" si="7"/>
        <v>9.7629363957096583E-7</v>
      </c>
      <c r="P33" s="40">
        <f t="shared" si="8"/>
        <v>7.0171910649309723E-6</v>
      </c>
      <c r="Q33" s="40">
        <f t="shared" si="9"/>
        <v>7.1205882357351186E-5</v>
      </c>
      <c r="R33" s="9">
        <f t="shared" si="12"/>
        <v>1.4999999999999999E-4</v>
      </c>
      <c r="S33" s="9">
        <f t="shared" si="13"/>
        <v>1.4032511128378157E-7</v>
      </c>
      <c r="T33" s="9">
        <f t="shared" si="14"/>
        <v>1.4634867476321509E-4</v>
      </c>
      <c r="U33" s="9">
        <f t="shared" si="15"/>
        <v>1.4985967488871622E-4</v>
      </c>
      <c r="V33" s="100">
        <f t="shared" si="16"/>
        <v>0.9765714150380459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4.2050150361398808E-2</v>
      </c>
      <c r="K34" s="93">
        <f t="shared" si="3"/>
        <v>0.99860587300882764</v>
      </c>
      <c r="L34" s="93">
        <f t="shared" si="4"/>
        <v>1.4676010902086784E-4</v>
      </c>
      <c r="M34" s="93">
        <f t="shared" si="5"/>
        <v>0.99985323989097918</v>
      </c>
      <c r="N34" s="93">
        <f t="shared" si="6"/>
        <v>8.1856522329445304E-6</v>
      </c>
      <c r="O34" s="40">
        <f t="shared" si="7"/>
        <v>9.992566353956972E-7</v>
      </c>
      <c r="P34" s="40">
        <f t="shared" si="8"/>
        <v>1.1008475777655298E-6</v>
      </c>
      <c r="Q34" s="40">
        <f t="shared" si="9"/>
        <v>1.2280115479863381E-6</v>
      </c>
      <c r="R34" s="9">
        <f t="shared" si="12"/>
        <v>1.4999999999999999E-4</v>
      </c>
      <c r="S34" s="9">
        <f t="shared" si="13"/>
        <v>2.2014016353130173E-8</v>
      </c>
      <c r="T34" s="9">
        <f t="shared" si="14"/>
        <v>1.4979088095132414E-4</v>
      </c>
      <c r="U34" s="9">
        <f t="shared" si="15"/>
        <v>1.4997798598364686E-4</v>
      </c>
      <c r="V34" s="100">
        <f t="shared" si="16"/>
        <v>0.99875245002727842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1.913510872444386E-2</v>
      </c>
      <c r="K35" s="93">
        <f t="shared" si="3"/>
        <v>0.99892024005102242</v>
      </c>
      <c r="L35" s="93">
        <f t="shared" si="4"/>
        <v>1.3926105502742739E-4</v>
      </c>
      <c r="M35" s="93">
        <f t="shared" si="5"/>
        <v>0.99986073894497263</v>
      </c>
      <c r="N35" s="93">
        <f t="shared" si="6"/>
        <v>5.509506656842807E-6</v>
      </c>
      <c r="O35" s="40">
        <f t="shared" si="7"/>
        <v>9.9957120730174488E-7</v>
      </c>
      <c r="P35" s="40">
        <f t="shared" si="8"/>
        <v>1.0445971737607331E-6</v>
      </c>
      <c r="Q35" s="40">
        <f t="shared" si="9"/>
        <v>8.2653618865955769E-7</v>
      </c>
      <c r="R35" s="9">
        <f t="shared" si="12"/>
        <v>1.4999999999999999E-4</v>
      </c>
      <c r="S35" s="9">
        <f t="shared" si="13"/>
        <v>2.0889158254114106E-8</v>
      </c>
      <c r="T35" s="9">
        <f t="shared" si="14"/>
        <v>1.4983803600765336E-4</v>
      </c>
      <c r="U35" s="9">
        <f t="shared" si="15"/>
        <v>1.4997911084174589E-4</v>
      </c>
      <c r="V35" s="100">
        <f t="shared" si="16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2.9136453532291715</v>
      </c>
      <c r="K36" s="93">
        <f t="shared" si="3"/>
        <v>0.34111419847333313</v>
      </c>
      <c r="L36" s="93">
        <f t="shared" si="4"/>
        <v>3.7300006667529466E-2</v>
      </c>
      <c r="M36" s="93">
        <f t="shared" si="5"/>
        <v>0.96269999333247058</v>
      </c>
      <c r="N36" s="93">
        <f t="shared" si="6"/>
        <v>2.9723473542610162E-2</v>
      </c>
      <c r="O36" s="40">
        <f t="shared" si="7"/>
        <v>3.4133649266966583E-7</v>
      </c>
      <c r="P36" s="40">
        <f t="shared" si="8"/>
        <v>2.7978735001313857E-4</v>
      </c>
      <c r="Q36" s="40">
        <f t="shared" si="9"/>
        <v>4.4591155008623755E-3</v>
      </c>
      <c r="R36" s="9">
        <f t="shared" si="12"/>
        <v>1.4999999999999999E-4</v>
      </c>
      <c r="S36" s="9">
        <f t="shared" si="13"/>
        <v>5.595001000129419E-6</v>
      </c>
      <c r="T36" s="9">
        <f t="shared" si="14"/>
        <v>5.1167129770999962E-5</v>
      </c>
      <c r="U36" s="9">
        <f t="shared" si="15"/>
        <v>1.4440499899987059E-4</v>
      </c>
      <c r="V36" s="100">
        <f t="shared" si="16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5.2086075661318931</v>
      </c>
      <c r="K37" s="93">
        <f t="shared" si="3"/>
        <v>5.548847840993962E-3</v>
      </c>
      <c r="L37" s="93">
        <f t="shared" si="4"/>
        <v>0.11966692776586078</v>
      </c>
      <c r="M37" s="93">
        <f t="shared" si="5"/>
        <v>0.88033307223413926</v>
      </c>
      <c r="N37" s="93">
        <f t="shared" si="6"/>
        <v>0.11611771479348462</v>
      </c>
      <c r="O37" s="40">
        <f t="shared" si="7"/>
        <v>5.5524638636541344E-9</v>
      </c>
      <c r="P37" s="40">
        <f t="shared" si="8"/>
        <v>8.9762162517172161E-4</v>
      </c>
      <c r="Q37" s="40">
        <f t="shared" si="9"/>
        <v>1.7419979573318558E-2</v>
      </c>
      <c r="R37" s="9">
        <f t="shared" si="12"/>
        <v>1.4999999999999999E-4</v>
      </c>
      <c r="S37" s="9">
        <f t="shared" si="13"/>
        <v>1.7950039164879116E-5</v>
      </c>
      <c r="T37" s="9">
        <f t="shared" si="14"/>
        <v>8.3232717614909417E-7</v>
      </c>
      <c r="U37" s="9">
        <f t="shared" si="15"/>
        <v>1.3204996083512088E-4</v>
      </c>
      <c r="V37" s="100">
        <f t="shared" si="16"/>
        <v>6.3031232337005206E-3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-4.0187315675825341E-2</v>
      </c>
      <c r="K38" s="93">
        <f t="shared" si="3"/>
        <v>0.99972804841089813</v>
      </c>
      <c r="L38" s="93">
        <f t="shared" si="4"/>
        <v>1.2157893104299321E-4</v>
      </c>
      <c r="M38" s="93">
        <f t="shared" si="5"/>
        <v>0.99987842106895697</v>
      </c>
      <c r="N38" s="93">
        <f t="shared" si="6"/>
        <v>4.1639837751487119E-7</v>
      </c>
      <c r="O38" s="40">
        <f t="shared" si="7"/>
        <v>1.0003795420868206E-6</v>
      </c>
      <c r="P38" s="40">
        <f t="shared" si="8"/>
        <v>9.1196356175349168E-7</v>
      </c>
      <c r="Q38" s="40">
        <f t="shared" si="9"/>
        <v>6.2468084594780965E-8</v>
      </c>
      <c r="R38" s="9">
        <f t="shared" si="12"/>
        <v>1.4999999999999999E-4</v>
      </c>
      <c r="S38" s="9">
        <f t="shared" si="13"/>
        <v>1.823683965644898E-8</v>
      </c>
      <c r="T38" s="9">
        <f t="shared" si="14"/>
        <v>1.4995920726163471E-4</v>
      </c>
      <c r="U38" s="9">
        <f t="shared" si="15"/>
        <v>1.4998176316034353E-4</v>
      </c>
      <c r="V38" s="100">
        <f t="shared" si="16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1.4630863314519809</v>
      </c>
      <c r="K39" s="93">
        <f t="shared" si="3"/>
        <v>0.89231489790168717</v>
      </c>
      <c r="L39" s="93">
        <f t="shared" si="4"/>
        <v>3.4575481340139999E-3</v>
      </c>
      <c r="M39" s="93">
        <f t="shared" si="5"/>
        <v>0.996542451865986</v>
      </c>
      <c r="N39" s="93">
        <f t="shared" si="6"/>
        <v>1.7839550515238588E-3</v>
      </c>
      <c r="O39" s="40">
        <f t="shared" si="7"/>
        <v>8.9289639355326805E-7</v>
      </c>
      <c r="P39" s="40">
        <f t="shared" si="8"/>
        <v>2.5935068553239015E-5</v>
      </c>
      <c r="Q39" s="40">
        <f t="shared" si="9"/>
        <v>2.6762893682960923E-4</v>
      </c>
      <c r="R39" s="9">
        <f t="shared" si="12"/>
        <v>1.4999999999999999E-4</v>
      </c>
      <c r="S39" s="9">
        <f t="shared" si="13"/>
        <v>5.1863222010209996E-7</v>
      </c>
      <c r="T39" s="9">
        <f t="shared" si="14"/>
        <v>1.3384723468525306E-4</v>
      </c>
      <c r="U39" s="9">
        <f t="shared" si="15"/>
        <v>1.494813677798979E-4</v>
      </c>
      <c r="V39" s="100">
        <f t="shared" si="16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1.7075818611730444</v>
      </c>
      <c r="K40" s="93">
        <f t="shared" si="3"/>
        <v>0.87550118568160828</v>
      </c>
      <c r="L40" s="93">
        <f t="shared" si="4"/>
        <v>5.9566537931361793E-3</v>
      </c>
      <c r="M40" s="93">
        <f t="shared" si="5"/>
        <v>0.99404334620686385</v>
      </c>
      <c r="N40" s="93">
        <f t="shared" si="6"/>
        <v>4.2839828353393406E-3</v>
      </c>
      <c r="O40" s="40">
        <f t="shared" si="7"/>
        <v>8.7607172432623346E-7</v>
      </c>
      <c r="P40" s="40">
        <f t="shared" si="8"/>
        <v>4.4680860102314477E-5</v>
      </c>
      <c r="Q40" s="40">
        <f t="shared" si="9"/>
        <v>6.4268310495760772E-4</v>
      </c>
      <c r="R40" s="9">
        <f t="shared" si="12"/>
        <v>1.4999999999999999E-4</v>
      </c>
      <c r="S40" s="9">
        <f t="shared" si="13"/>
        <v>8.9349806897042678E-7</v>
      </c>
      <c r="T40" s="9">
        <f t="shared" si="14"/>
        <v>1.3132517785224124E-4</v>
      </c>
      <c r="U40" s="9">
        <f t="shared" si="15"/>
        <v>1.4910650193102957E-4</v>
      </c>
      <c r="V40" s="100">
        <f t="shared" si="16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0.63617430590334967</v>
      </c>
      <c r="K41" s="93">
        <f t="shared" si="3"/>
        <v>0.98378596484970737</v>
      </c>
      <c r="L41" s="93">
        <f t="shared" si="4"/>
        <v>5.6785661301689814E-4</v>
      </c>
      <c r="M41" s="93">
        <f t="shared" si="5"/>
        <v>0.99943214338698305</v>
      </c>
      <c r="N41" s="93">
        <f t="shared" si="6"/>
        <v>2.102584149815736E-4</v>
      </c>
      <c r="O41" s="40">
        <f t="shared" si="7"/>
        <v>9.8442706953370582E-7</v>
      </c>
      <c r="P41" s="40">
        <f t="shared" si="8"/>
        <v>4.2594924542397531E-6</v>
      </c>
      <c r="Q41" s="40">
        <f t="shared" si="9"/>
        <v>3.1542967415535671E-5</v>
      </c>
      <c r="R41" s="9">
        <f t="shared" si="12"/>
        <v>1.4999999999999999E-4</v>
      </c>
      <c r="S41" s="9">
        <f t="shared" si="13"/>
        <v>8.5178491952534717E-8</v>
      </c>
      <c r="T41" s="9">
        <f t="shared" si="14"/>
        <v>1.4756789472745608E-4</v>
      </c>
      <c r="U41" s="9">
        <f t="shared" si="15"/>
        <v>1.4991482150804745E-4</v>
      </c>
      <c r="V41" s="100">
        <f t="shared" si="16"/>
        <v>0.98434493162862235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1.3625600825731248</v>
      </c>
      <c r="K42" s="93">
        <f t="shared" si="3"/>
        <v>0.93312011672900752</v>
      </c>
      <c r="L42" s="93">
        <f t="shared" si="4"/>
        <v>2.8685431973574345E-3</v>
      </c>
      <c r="M42" s="93">
        <f t="shared" si="5"/>
        <v>0.99713145680264259</v>
      </c>
      <c r="N42" s="93">
        <f t="shared" si="6"/>
        <v>1.868397665870933E-3</v>
      </c>
      <c r="O42" s="40">
        <f t="shared" si="7"/>
        <v>9.3372820395421976E-7</v>
      </c>
      <c r="P42" s="40">
        <f t="shared" si="8"/>
        <v>2.1516942523378113E-5</v>
      </c>
      <c r="Q42" s="40">
        <f t="shared" si="9"/>
        <v>2.8029701783395728E-4</v>
      </c>
      <c r="R42" s="9">
        <f t="shared" si="12"/>
        <v>1.4999999999999999E-4</v>
      </c>
      <c r="S42" s="9">
        <f t="shared" si="13"/>
        <v>4.3028147960361514E-7</v>
      </c>
      <c r="T42" s="9">
        <f t="shared" si="14"/>
        <v>1.3996801750935112E-4</v>
      </c>
      <c r="U42" s="9">
        <f t="shared" si="15"/>
        <v>1.4956971852039637E-4</v>
      </c>
      <c r="V42" s="100">
        <f t="shared" si="16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1.4662062884307066</v>
      </c>
      <c r="K43" s="93">
        <f t="shared" si="3"/>
        <v>0.89785764178854977</v>
      </c>
      <c r="L43" s="93">
        <f t="shared" si="4"/>
        <v>3.5041083883317076E-3</v>
      </c>
      <c r="M43" s="93">
        <f t="shared" si="5"/>
        <v>0.99649589161166829</v>
      </c>
      <c r="N43" s="93">
        <f t="shared" si="6"/>
        <v>1.9376094642429653E-3</v>
      </c>
      <c r="O43" s="40">
        <f t="shared" si="7"/>
        <v>8.9844274948502145E-7</v>
      </c>
      <c r="P43" s="40">
        <f t="shared" si="8"/>
        <v>2.6284317020876131E-5</v>
      </c>
      <c r="Q43" s="40">
        <f t="shared" si="9"/>
        <v>2.9068017182572962E-4</v>
      </c>
      <c r="R43" s="9">
        <f t="shared" si="12"/>
        <v>1.4999999999999999E-4</v>
      </c>
      <c r="S43" s="9">
        <f t="shared" si="13"/>
        <v>5.2561625824975613E-7</v>
      </c>
      <c r="T43" s="9">
        <f t="shared" si="14"/>
        <v>1.3467864626828246E-4</v>
      </c>
      <c r="U43" s="9">
        <f t="shared" si="15"/>
        <v>1.4947438374175023E-4</v>
      </c>
      <c r="V43" s="100">
        <f t="shared" si="16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5.7902923462368587</v>
      </c>
      <c r="K44" s="93">
        <f t="shared" si="3"/>
        <v>1.318069029976468E-3</v>
      </c>
      <c r="L44" s="93">
        <f t="shared" si="4"/>
        <v>0.1084911371844013</v>
      </c>
      <c r="M44" s="93">
        <f t="shared" si="5"/>
        <v>0.89150886281559871</v>
      </c>
      <c r="N44" s="93">
        <f t="shared" si="6"/>
        <v>0.10348559940632014</v>
      </c>
      <c r="O44" s="40">
        <f t="shared" si="7"/>
        <v>1.3189279772059909E-9</v>
      </c>
      <c r="P44" s="40">
        <f t="shared" si="8"/>
        <v>8.1379202002019452E-4</v>
      </c>
      <c r="Q44" s="40">
        <f t="shared" si="9"/>
        <v>1.5524909622936144E-2</v>
      </c>
      <c r="R44" s="9">
        <f t="shared" si="12"/>
        <v>1.4999999999999999E-4</v>
      </c>
      <c r="S44" s="9">
        <f t="shared" si="13"/>
        <v>1.6273670577660194E-5</v>
      </c>
      <c r="T44" s="9">
        <f t="shared" si="14"/>
        <v>1.9771035449647018E-7</v>
      </c>
      <c r="U44" s="9">
        <f t="shared" si="15"/>
        <v>1.337263294223398E-4</v>
      </c>
      <c r="V44" s="100">
        <f t="shared" si="16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0.50735979747220017</v>
      </c>
      <c r="K45" s="93">
        <f t="shared" si="3"/>
        <v>0.98999554625782171</v>
      </c>
      <c r="L45" s="93">
        <f t="shared" si="4"/>
        <v>4.2477289631860578E-4</v>
      </c>
      <c r="M45" s="93">
        <f t="shared" si="5"/>
        <v>0.99957522710368141</v>
      </c>
      <c r="N45" s="93">
        <f t="shared" si="6"/>
        <v>1.6306209004775775E-4</v>
      </c>
      <c r="O45" s="40">
        <f t="shared" si="7"/>
        <v>9.9064069754531793E-7</v>
      </c>
      <c r="P45" s="40">
        <f t="shared" si="8"/>
        <v>3.186221495285862E-6</v>
      </c>
      <c r="Q45" s="40">
        <f t="shared" si="9"/>
        <v>2.4462574748964615E-5</v>
      </c>
      <c r="R45" s="9">
        <f t="shared" si="12"/>
        <v>1.4999999999999999E-4</v>
      </c>
      <c r="S45" s="9">
        <f t="shared" si="13"/>
        <v>6.3715934447790861E-8</v>
      </c>
      <c r="T45" s="9">
        <f t="shared" si="14"/>
        <v>1.4849933193867323E-4</v>
      </c>
      <c r="U45" s="9">
        <f t="shared" si="15"/>
        <v>1.499362840655522E-4</v>
      </c>
      <c r="V45" s="100">
        <f t="shared" si="16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0.50980800632319279</v>
      </c>
      <c r="K46" s="93">
        <f t="shared" si="3"/>
        <v>0.98944458800398605</v>
      </c>
      <c r="L46" s="93">
        <f t="shared" si="4"/>
        <v>4.2693645840245146E-4</v>
      </c>
      <c r="M46" s="93">
        <f t="shared" si="5"/>
        <v>0.99957306354159758</v>
      </c>
      <c r="N46" s="93">
        <f t="shared" si="6"/>
        <v>1.5541833109971863E-4</v>
      </c>
      <c r="O46" s="40">
        <f t="shared" si="7"/>
        <v>9.900893802480217E-7</v>
      </c>
      <c r="P46" s="40">
        <f t="shared" si="8"/>
        <v>3.2024503744767877E-6</v>
      </c>
      <c r="Q46" s="40">
        <f t="shared" si="9"/>
        <v>2.3315858031579784E-5</v>
      </c>
      <c r="R46" s="9">
        <f t="shared" si="12"/>
        <v>1.4999999999999999E-4</v>
      </c>
      <c r="S46" s="9">
        <f t="shared" si="13"/>
        <v>6.4040468760367712E-8</v>
      </c>
      <c r="T46" s="9">
        <f t="shared" si="14"/>
        <v>1.4841668820059789E-4</v>
      </c>
      <c r="U46" s="9">
        <f t="shared" si="15"/>
        <v>1.4993595953123961E-4</v>
      </c>
      <c r="V46" s="100">
        <f t="shared" si="16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1.9607549023758677</v>
      </c>
      <c r="K47" s="93">
        <f t="shared" si="3"/>
        <v>0.81079595081609601</v>
      </c>
      <c r="L47" s="93">
        <f t="shared" si="4"/>
        <v>9.8816674169193899E-3</v>
      </c>
      <c r="M47" s="93">
        <f t="shared" si="5"/>
        <v>0.99011833258308057</v>
      </c>
      <c r="N47" s="93">
        <f t="shared" si="6"/>
        <v>7.5101621396569456E-3</v>
      </c>
      <c r="O47" s="40">
        <f t="shared" si="7"/>
        <v>8.1132432294215548E-7</v>
      </c>
      <c r="P47" s="40">
        <f t="shared" si="8"/>
        <v>7.412238729431235E-5</v>
      </c>
      <c r="Q47" s="40">
        <f t="shared" si="9"/>
        <v>1.1266745241913349E-3</v>
      </c>
      <c r="R47" s="9">
        <f t="shared" si="12"/>
        <v>1.4999999999999999E-4</v>
      </c>
      <c r="S47" s="9">
        <f t="shared" si="13"/>
        <v>1.4822501125379083E-6</v>
      </c>
      <c r="T47" s="9">
        <f t="shared" si="14"/>
        <v>1.2161939262241439E-4</v>
      </c>
      <c r="U47" s="9">
        <f t="shared" si="15"/>
        <v>1.4851774988746208E-4</v>
      </c>
      <c r="V47" s="100">
        <f t="shared" si="16"/>
        <v>0.81888792898202634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7">IF(D48=0,"",LOG($K$15*10^D48+$K$16*10^E48+$K$14))</f>
        <v>2.1004549420906745E-4</v>
      </c>
      <c r="J48" s="92">
        <f t="shared" ref="J48:J50" si="18">IF(D48=0,"",LOG($K$21*10^D48+$K$22*10^E48+$K$20))</f>
        <v>3.5001380315971067E-2</v>
      </c>
      <c r="K48" s="93">
        <f t="shared" ref="K48:K50" si="19">IF(D48=0,"",1/(1+10^D48*$J$15/$J$14+10^E48*$J$16/$J$14+10^J48*$J$19/$J$14))</f>
        <v>0.99885443109987393</v>
      </c>
      <c r="L48" s="93">
        <f t="shared" ref="L48:L50" si="20">IF(D48=0,"",1/(1+10^I48/10^J48*$J$13/$J$19))</f>
        <v>1.4443330207139268E-4</v>
      </c>
      <c r="M48" s="93">
        <f t="shared" ref="M48:M92" si="21">IF(D48=0,"",1-L48)</f>
        <v>0.99985556669792863</v>
      </c>
      <c r="N48" s="93">
        <f t="shared" ref="N48:N50" si="22">IF(D48=0,"",1/(1/10^E48*$J$20/$J$22+10^D48/10^E48*$J$21/$J$22+10^I48/10^E48*$J$13/$J$22+1))</f>
        <v>1.0116632275726045E-5</v>
      </c>
      <c r="O48" s="40">
        <f t="shared" ref="O48:O92" si="23">IF(D48=0,"",F48*K48*$J$7/$J$14)</f>
        <v>9.9950535546481798E-7</v>
      </c>
      <c r="P48" s="40">
        <f t="shared" ref="P48:P50" si="24">IF(D48=0,"",O48*10^J48)</f>
        <v>1.0833941988375163E-6</v>
      </c>
      <c r="Q48" s="40">
        <f t="shared" ref="Q48:Q50" si="25">IF(D48=0,"",F48*N48*$J$7/$J$22)</f>
        <v>1.5176971740044209E-6</v>
      </c>
      <c r="R48" s="9">
        <f t="shared" si="12"/>
        <v>1.4999999999999999E-4</v>
      </c>
      <c r="S48" s="9">
        <f t="shared" si="13"/>
        <v>2.1664995310708901E-8</v>
      </c>
      <c r="T48" s="9">
        <f t="shared" si="14"/>
        <v>1.4982816466498108E-4</v>
      </c>
      <c r="U48" s="9">
        <f t="shared" si="15"/>
        <v>1.4997833500468929E-4</v>
      </c>
      <c r="V48" s="100">
        <f t="shared" si="16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7"/>
        <v>9.6186457475178466E-3</v>
      </c>
      <c r="J49" s="92">
        <f t="shared" si="18"/>
        <v>0.86614766954915146</v>
      </c>
      <c r="K49" s="93">
        <f t="shared" si="19"/>
        <v>0.97665320276727086</v>
      </c>
      <c r="L49" s="93">
        <f t="shared" si="20"/>
        <v>9.5730826309950846E-4</v>
      </c>
      <c r="M49" s="93">
        <f t="shared" si="21"/>
        <v>0.99904269173690052</v>
      </c>
      <c r="N49" s="93">
        <f t="shared" si="22"/>
        <v>5.173412908385061E-4</v>
      </c>
      <c r="O49" s="40">
        <f t="shared" si="23"/>
        <v>9.772896592377916E-7</v>
      </c>
      <c r="P49" s="40">
        <f t="shared" si="24"/>
        <v>7.1807692815094113E-6</v>
      </c>
      <c r="Q49" s="40">
        <f t="shared" si="25"/>
        <v>7.7611540451592685E-5</v>
      </c>
      <c r="R49" s="9">
        <f t="shared" si="12"/>
        <v>1.4999999999999999E-4</v>
      </c>
      <c r="S49" s="9">
        <f t="shared" si="13"/>
        <v>1.4359623946492625E-7</v>
      </c>
      <c r="T49" s="9">
        <f t="shared" si="14"/>
        <v>1.4649798041509063E-4</v>
      </c>
      <c r="U49" s="9">
        <f t="shared" si="15"/>
        <v>1.4985640376053507E-4</v>
      </c>
      <c r="V49" s="100">
        <f t="shared" si="16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7"/>
        <v>8.6760595853303396E-2</v>
      </c>
      <c r="J50" s="92">
        <f t="shared" si="18"/>
        <v>1.8465793817928891</v>
      </c>
      <c r="K50" s="93">
        <f t="shared" si="19"/>
        <v>0.81226238175102805</v>
      </c>
      <c r="L50" s="93">
        <f t="shared" si="20"/>
        <v>7.6109607360692931E-3</v>
      </c>
      <c r="M50" s="93">
        <f t="shared" si="21"/>
        <v>0.99238903926393074</v>
      </c>
      <c r="N50" s="93">
        <f t="shared" si="22"/>
        <v>4.9860898929457971E-3</v>
      </c>
      <c r="O50" s="40">
        <f t="shared" si="23"/>
        <v>8.1279170950745306E-7</v>
      </c>
      <c r="P50" s="40">
        <f t="shared" si="24"/>
        <v>5.7089816481255763E-5</v>
      </c>
      <c r="Q50" s="40">
        <f t="shared" si="25"/>
        <v>7.4801320573972838E-4</v>
      </c>
      <c r="R50" s="9">
        <f t="shared" si="12"/>
        <v>1.4999999999999999E-4</v>
      </c>
      <c r="S50" s="9">
        <f t="shared" si="13"/>
        <v>1.141644110410394E-6</v>
      </c>
      <c r="T50" s="9">
        <f t="shared" si="14"/>
        <v>1.2183935726265419E-4</v>
      </c>
      <c r="U50" s="9">
        <f t="shared" si="15"/>
        <v>1.4885835588958958E-4</v>
      </c>
      <c r="V50" s="100">
        <f t="shared" si="16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6">IF(D51=0,"",LOG($K$15*10^D51+$K$16*10^E51+$K$14))</f>
        <v>1.9819141928346475</v>
      </c>
      <c r="J51" s="92">
        <f t="shared" ref="J51:J70" si="27">IF(D51=0,"",LOG($K$21*10^D51+$K$22*10^E51+$K$20))</f>
        <v>4.7849539498028779</v>
      </c>
      <c r="K51" s="93">
        <f t="shared" ref="K51:K70" si="28">IF(D51=0,"",1/(1+10^D51*$J$15/$J$14+10^E51*$J$16/$J$14+10^J51*$J$19/$J$14))</f>
        <v>9.6060251367129298E-3</v>
      </c>
      <c r="L51" s="93">
        <f t="shared" ref="L51:L70" si="29">IF(D51=0,"",1/(1+10^I51/10^J51*$J$13/$J$19))</f>
        <v>7.8101869215340902E-2</v>
      </c>
      <c r="M51" s="93">
        <f t="shared" ref="M51:M70" si="30">IF(D51=0,"",1-L51)</f>
        <v>0.9218981307846591</v>
      </c>
      <c r="N51" s="93">
        <f t="shared" ref="N51:N70" si="31">IF(D51=0,"",1/(1/10^E51*$J$20/$J$22+10^D51/10^E51*$J$21/$J$22+10^I51/10^E51*$J$13/$J$22+1))</f>
        <v>6.9498188157027879E-2</v>
      </c>
      <c r="O51" s="40">
        <f t="shared" ref="O51:O70" si="32">IF(D51=0,"",F51*K51*$J$7/$J$14)</f>
        <v>9.6122851037482318E-9</v>
      </c>
      <c r="P51" s="40">
        <f t="shared" ref="P51:P70" si="33">IF(D51=0,"",O51*10^J51)</f>
        <v>5.8584212098427223E-4</v>
      </c>
      <c r="Q51" s="40">
        <f t="shared" ref="Q51:Q70" si="34">IF(D51=0,"",F51*N51*$J$7/$J$22)</f>
        <v>1.0426118187317319E-2</v>
      </c>
      <c r="R51" s="9">
        <f t="shared" si="12"/>
        <v>1.4999999999999999E-4</v>
      </c>
      <c r="S51" s="9">
        <f t="shared" si="13"/>
        <v>1.1715280382301134E-5</v>
      </c>
      <c r="T51" s="9">
        <f t="shared" si="14"/>
        <v>1.4409037705069394E-6</v>
      </c>
      <c r="U51" s="9">
        <f t="shared" si="15"/>
        <v>1.3828471961769886E-4</v>
      </c>
      <c r="V51" s="100">
        <f t="shared" si="16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6"/>
        <v>0.12726341031571042</v>
      </c>
      <c r="J52" s="92">
        <f t="shared" si="27"/>
        <v>2.1476419495508856</v>
      </c>
      <c r="K52" s="93">
        <f t="shared" si="28"/>
        <v>0.7353342511992047</v>
      </c>
      <c r="L52" s="93">
        <f t="shared" si="29"/>
        <v>1.3781310079999411E-2</v>
      </c>
      <c r="M52" s="93">
        <f t="shared" si="30"/>
        <v>0.98621868992000061</v>
      </c>
      <c r="N52" s="93">
        <f t="shared" si="31"/>
        <v>1.0511157877987076E-2</v>
      </c>
      <c r="O52" s="40">
        <f t="shared" si="32"/>
        <v>7.3581344713164552E-7</v>
      </c>
      <c r="P52" s="40">
        <f t="shared" si="33"/>
        <v>1.0337360691007556E-4</v>
      </c>
      <c r="Q52" s="40">
        <f t="shared" si="34"/>
        <v>1.5768839048556208E-3</v>
      </c>
      <c r="R52" s="9">
        <f t="shared" si="12"/>
        <v>1.4999999999999999E-4</v>
      </c>
      <c r="S52" s="9">
        <f t="shared" si="13"/>
        <v>2.0671965119999114E-6</v>
      </c>
      <c r="T52" s="9">
        <f t="shared" si="14"/>
        <v>1.1030013767988069E-4</v>
      </c>
      <c r="U52" s="9">
        <f t="shared" si="15"/>
        <v>1.4793280348800007E-4</v>
      </c>
      <c r="V52" s="100">
        <f t="shared" si="16"/>
        <v>0.74560973008821507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6"/>
        <v>0.47104615060046062</v>
      </c>
      <c r="J53" s="92">
        <f t="shared" si="27"/>
        <v>3.0007157776870899</v>
      </c>
      <c r="K53" s="93">
        <f t="shared" si="28"/>
        <v>0.32326027289722098</v>
      </c>
      <c r="L53" s="93">
        <f t="shared" si="29"/>
        <v>4.3194840268305147E-2</v>
      </c>
      <c r="M53" s="93">
        <f t="shared" si="30"/>
        <v>0.95680515973169489</v>
      </c>
      <c r="N53" s="93">
        <f t="shared" si="31"/>
        <v>3.6019203006764255E-2</v>
      </c>
      <c r="O53" s="40">
        <f t="shared" si="32"/>
        <v>3.2347093220982527E-7</v>
      </c>
      <c r="P53" s="40">
        <f t="shared" si="33"/>
        <v>3.2400449685255695E-4</v>
      </c>
      <c r="Q53" s="40">
        <f t="shared" si="34"/>
        <v>5.4036008350747721E-3</v>
      </c>
      <c r="R53" s="9">
        <f t="shared" si="12"/>
        <v>1.4999999999999999E-4</v>
      </c>
      <c r="S53" s="9">
        <f t="shared" si="13"/>
        <v>6.4792260402457719E-6</v>
      </c>
      <c r="T53" s="9">
        <f t="shared" si="14"/>
        <v>4.8489040934583146E-5</v>
      </c>
      <c r="U53" s="9">
        <f t="shared" si="15"/>
        <v>1.4352077395975423E-4</v>
      </c>
      <c r="V53" s="100">
        <f t="shared" si="16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6"/>
        <v>0.17835694544431213</v>
      </c>
      <c r="J54" s="92">
        <f t="shared" si="27"/>
        <v>2.3388959370141773</v>
      </c>
      <c r="K54" s="93">
        <f t="shared" si="28"/>
        <v>0.65030563044064249</v>
      </c>
      <c r="L54" s="93">
        <f t="shared" si="29"/>
        <v>1.8931159330540376E-2</v>
      </c>
      <c r="M54" s="93">
        <f t="shared" si="30"/>
        <v>0.98106884066945965</v>
      </c>
      <c r="N54" s="93">
        <f t="shared" si="31"/>
        <v>1.4741690125978299E-2</v>
      </c>
      <c r="O54" s="40">
        <f t="shared" si="32"/>
        <v>6.5072941569536476E-7</v>
      </c>
      <c r="P54" s="40">
        <f t="shared" si="33"/>
        <v>1.4200262613838337E-4</v>
      </c>
      <c r="Q54" s="40">
        <f t="shared" si="34"/>
        <v>2.2115483526992637E-3</v>
      </c>
      <c r="R54" s="9">
        <f t="shared" si="12"/>
        <v>1.4999999999999999E-4</v>
      </c>
      <c r="S54" s="9">
        <f t="shared" si="13"/>
        <v>2.8396738995810561E-6</v>
      </c>
      <c r="T54" s="9">
        <f t="shared" si="14"/>
        <v>9.7545844566096368E-5</v>
      </c>
      <c r="U54" s="9">
        <f t="shared" si="15"/>
        <v>1.4716032610041893E-4</v>
      </c>
      <c r="V54" s="100">
        <f t="shared" si="16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6"/>
        <v>5.9812805986470914E-3</v>
      </c>
      <c r="J55" s="54">
        <f t="shared" si="27"/>
        <v>0.66821968451796943</v>
      </c>
      <c r="K55" s="55">
        <f t="shared" si="28"/>
        <v>0.98520754502350216</v>
      </c>
      <c r="L55" s="55">
        <f t="shared" si="29"/>
        <v>6.1222515958333102E-4</v>
      </c>
      <c r="M55" s="55">
        <f t="shared" si="30"/>
        <v>0.99938777484041663</v>
      </c>
      <c r="N55" s="55">
        <f t="shared" si="31"/>
        <v>2.8609514827397588E-4</v>
      </c>
      <c r="O55" s="56">
        <f t="shared" si="32"/>
        <v>9.8584957610993027E-7</v>
      </c>
      <c r="P55" s="56">
        <f t="shared" si="33"/>
        <v>4.5923009220345664E-6</v>
      </c>
      <c r="Q55" s="56">
        <f t="shared" si="34"/>
        <v>4.2919994144061852E-5</v>
      </c>
      <c r="R55" s="9">
        <f t="shared" si="12"/>
        <v>1.4999999999999999E-4</v>
      </c>
      <c r="S55" s="9">
        <f t="shared" si="13"/>
        <v>9.183377393749965E-8</v>
      </c>
      <c r="T55" s="9">
        <f t="shared" si="14"/>
        <v>1.4778113175352531E-4</v>
      </c>
      <c r="U55" s="9">
        <f t="shared" si="15"/>
        <v>1.4990816622606248E-4</v>
      </c>
      <c r="V55" s="100">
        <f t="shared" si="16"/>
        <v>0.98581108337133827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6"/>
        <v>0.11910186422699467</v>
      </c>
      <c r="J56" s="54">
        <f t="shared" si="27"/>
        <v>2.1336193491516409</v>
      </c>
      <c r="K56" s="55">
        <f t="shared" si="28"/>
        <v>0.74942224386416756</v>
      </c>
      <c r="L56" s="55">
        <f t="shared" si="29"/>
        <v>1.359908498976959E-2</v>
      </c>
      <c r="M56" s="55">
        <f t="shared" si="30"/>
        <v>0.98640091501023042</v>
      </c>
      <c r="N56" s="55">
        <f t="shared" si="31"/>
        <v>1.0564047448290391E-2</v>
      </c>
      <c r="O56" s="56">
        <f t="shared" si="32"/>
        <v>7.4991062053145144E-7</v>
      </c>
      <c r="P56" s="56">
        <f t="shared" si="33"/>
        <v>1.0200673650826167E-4</v>
      </c>
      <c r="Q56" s="56">
        <f t="shared" si="34"/>
        <v>1.5848183981925241E-3</v>
      </c>
      <c r="R56" s="9">
        <f t="shared" si="12"/>
        <v>1.4999999999999999E-4</v>
      </c>
      <c r="S56" s="9">
        <f t="shared" si="13"/>
        <v>2.0398627484654384E-6</v>
      </c>
      <c r="T56" s="9">
        <f t="shared" si="14"/>
        <v>1.1241333657962513E-4</v>
      </c>
      <c r="U56" s="9">
        <f t="shared" si="15"/>
        <v>1.4796013725153456E-4</v>
      </c>
      <c r="V56" s="100">
        <f t="shared" si="16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6"/>
        <v>3.4503381608646556E-2</v>
      </c>
      <c r="J57" s="54">
        <f t="shared" si="27"/>
        <v>1.473638978374388</v>
      </c>
      <c r="K57" s="55">
        <f t="shared" si="28"/>
        <v>0.91977757029370655</v>
      </c>
      <c r="L57" s="55">
        <f t="shared" si="29"/>
        <v>3.6516197932840722E-3</v>
      </c>
      <c r="M57" s="55">
        <f t="shared" si="30"/>
        <v>0.9963483802067159</v>
      </c>
      <c r="N57" s="55">
        <f t="shared" si="31"/>
        <v>2.5041283119444698E-3</v>
      </c>
      <c r="O57" s="56">
        <f t="shared" si="32"/>
        <v>9.2037696256968999E-7</v>
      </c>
      <c r="P57" s="56">
        <f t="shared" si="33"/>
        <v>2.7390800069423822E-5</v>
      </c>
      <c r="Q57" s="56">
        <f t="shared" si="34"/>
        <v>3.756693293579093E-4</v>
      </c>
      <c r="R57" s="9">
        <f t="shared" si="12"/>
        <v>1.4999999999999999E-4</v>
      </c>
      <c r="S57" s="9">
        <f t="shared" si="13"/>
        <v>5.4774296899261078E-7</v>
      </c>
      <c r="T57" s="9">
        <f t="shared" si="14"/>
        <v>1.3796663554405597E-4</v>
      </c>
      <c r="U57" s="9">
        <f t="shared" si="15"/>
        <v>1.4945225703100738E-4</v>
      </c>
      <c r="V57" s="100">
        <f t="shared" si="16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6"/>
        <v>2.4527660835054643E-2</v>
      </c>
      <c r="J58" s="54">
        <f t="shared" si="27"/>
        <v>1.2642800792666067</v>
      </c>
      <c r="K58" s="55">
        <f t="shared" si="28"/>
        <v>0.94241624300930693</v>
      </c>
      <c r="L58" s="55">
        <f t="shared" si="29"/>
        <v>2.3103969442573799E-3</v>
      </c>
      <c r="M58" s="55">
        <f t="shared" si="30"/>
        <v>0.99768960305574261</v>
      </c>
      <c r="N58" s="55">
        <f t="shared" si="31"/>
        <v>1.4113623457735157E-3</v>
      </c>
      <c r="O58" s="56">
        <f t="shared" si="32"/>
        <v>9.4303038824948807E-7</v>
      </c>
      <c r="P58" s="56">
        <f t="shared" si="33"/>
        <v>1.7330287478874603E-5</v>
      </c>
      <c r="Q58" s="56">
        <f t="shared" si="34"/>
        <v>2.1173257911294278E-4</v>
      </c>
      <c r="R58" s="9">
        <f t="shared" ref="R58:R121" si="35">F58*$C$14</f>
        <v>1.4999999999999999E-4</v>
      </c>
      <c r="S58" s="9">
        <f t="shared" ref="S58:S121" si="36">$R58*L58</f>
        <v>3.4655954163860697E-7</v>
      </c>
      <c r="T58" s="9">
        <f t="shared" ref="T58:T121" si="37">R58*K58</f>
        <v>1.4136243645139604E-4</v>
      </c>
      <c r="U58" s="9">
        <f t="shared" ref="U58:U121" si="38">$R58*M58</f>
        <v>1.4965344045836138E-4</v>
      </c>
      <c r="V58" s="100">
        <f t="shared" ref="V58:V121" si="39">K58/M58</f>
        <v>0.94459864082261313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6"/>
        <v>6.9959414880738915E-3</v>
      </c>
      <c r="J59" s="54">
        <f t="shared" si="27"/>
        <v>0.79270412978539373</v>
      </c>
      <c r="K59" s="55">
        <f t="shared" si="28"/>
        <v>0.98271061102165103</v>
      </c>
      <c r="L59" s="55">
        <f t="shared" si="29"/>
        <v>8.1338008473510397E-4</v>
      </c>
      <c r="M59" s="55">
        <f t="shared" si="30"/>
        <v>0.99918661991526492</v>
      </c>
      <c r="N59" s="55">
        <f t="shared" si="31"/>
        <v>4.6641381892526391E-4</v>
      </c>
      <c r="O59" s="56">
        <f t="shared" si="32"/>
        <v>9.8335101492885374E-7</v>
      </c>
      <c r="P59" s="56">
        <f t="shared" si="33"/>
        <v>6.1011640155980151E-6</v>
      </c>
      <c r="Q59" s="56">
        <f t="shared" si="34"/>
        <v>6.997140111516807E-5</v>
      </c>
      <c r="R59" s="9">
        <f t="shared" si="35"/>
        <v>1.4999999999999999E-4</v>
      </c>
      <c r="S59" s="9">
        <f t="shared" si="36"/>
        <v>1.2200701271026559E-7</v>
      </c>
      <c r="T59" s="9">
        <f t="shared" si="37"/>
        <v>1.4740659165324765E-4</v>
      </c>
      <c r="U59" s="9">
        <f t="shared" si="38"/>
        <v>1.4987799298728973E-4</v>
      </c>
      <c r="V59" s="100">
        <f t="shared" si="39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6"/>
        <v>0.12885708410514962</v>
      </c>
      <c r="J60" s="54">
        <f t="shared" si="27"/>
        <v>2.1926316771695706</v>
      </c>
      <c r="K60" s="55">
        <f t="shared" si="28"/>
        <v>0.73158134375873385</v>
      </c>
      <c r="L60" s="55">
        <f t="shared" si="29"/>
        <v>1.5207508171551936E-2</v>
      </c>
      <c r="M60" s="55">
        <f t="shared" si="30"/>
        <v>0.98479249182844808</v>
      </c>
      <c r="N60" s="55">
        <f t="shared" si="31"/>
        <v>1.2044710561112408E-2</v>
      </c>
      <c r="O60" s="56">
        <f t="shared" si="32"/>
        <v>7.3205809403060952E-7</v>
      </c>
      <c r="P60" s="56">
        <f t="shared" si="33"/>
        <v>1.1407151879481104E-4</v>
      </c>
      <c r="Q60" s="56">
        <f t="shared" si="34"/>
        <v>1.8069474783780832E-3</v>
      </c>
      <c r="R60" s="9">
        <f t="shared" si="35"/>
        <v>1.4999999999999999E-4</v>
      </c>
      <c r="S60" s="9">
        <f t="shared" si="36"/>
        <v>2.28112622573279E-6</v>
      </c>
      <c r="T60" s="9">
        <f t="shared" si="37"/>
        <v>1.0973720156381007E-4</v>
      </c>
      <c r="U60" s="9">
        <f t="shared" si="38"/>
        <v>1.4771887377426721E-4</v>
      </c>
      <c r="V60" s="100">
        <f t="shared" si="39"/>
        <v>0.74287867731446522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6"/>
        <v>0.54169315053805034</v>
      </c>
      <c r="J61" s="54">
        <f t="shared" si="27"/>
        <v>3.2027420384680658</v>
      </c>
      <c r="K61" s="55">
        <f t="shared" si="28"/>
        <v>0.27060050171522315</v>
      </c>
      <c r="L61" s="55">
        <f t="shared" si="29"/>
        <v>5.7575059491036966E-2</v>
      </c>
      <c r="M61" s="55">
        <f t="shared" si="30"/>
        <v>0.94242494050896308</v>
      </c>
      <c r="N61" s="55">
        <f t="shared" si="31"/>
        <v>5.1210892386023464E-2</v>
      </c>
      <c r="O61" s="56">
        <f t="shared" si="32"/>
        <v>2.7077684418740761E-7</v>
      </c>
      <c r="P61" s="56">
        <f t="shared" si="33"/>
        <v>4.3187052124226842E-4</v>
      </c>
      <c r="Q61" s="56">
        <f t="shared" si="34"/>
        <v>7.6826580757512371E-3</v>
      </c>
      <c r="R61" s="9">
        <f t="shared" si="35"/>
        <v>1.4999999999999999E-4</v>
      </c>
      <c r="S61" s="9">
        <f t="shared" si="36"/>
        <v>8.6362589236555433E-6</v>
      </c>
      <c r="T61" s="9">
        <f t="shared" si="37"/>
        <v>4.0590075257283467E-5</v>
      </c>
      <c r="U61" s="9">
        <f t="shared" si="38"/>
        <v>1.4136374107634445E-4</v>
      </c>
      <c r="V61" s="100">
        <f t="shared" si="39"/>
        <v>0.28713215247580726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6"/>
        <v>1.2755126419323455</v>
      </c>
      <c r="J62" s="54">
        <f t="shared" si="27"/>
        <v>4.1780835037756168</v>
      </c>
      <c r="K62" s="55">
        <f t="shared" si="28"/>
        <v>4.7895588669178951E-2</v>
      </c>
      <c r="L62" s="55">
        <f t="shared" si="29"/>
        <v>9.6281484690821206E-2</v>
      </c>
      <c r="M62" s="55">
        <f t="shared" si="30"/>
        <v>0.90371851530917879</v>
      </c>
      <c r="N62" s="55">
        <f t="shared" si="31"/>
        <v>9.0621085846773503E-2</v>
      </c>
      <c r="O62" s="56">
        <f t="shared" si="32"/>
        <v>4.7926800830498373E-8</v>
      </c>
      <c r="P62" s="56">
        <f t="shared" si="33"/>
        <v>7.2220741666585004E-4</v>
      </c>
      <c r="Q62" s="56">
        <f t="shared" si="34"/>
        <v>1.3594975298732959E-2</v>
      </c>
      <c r="R62" s="9">
        <f t="shared" si="35"/>
        <v>1.4999999999999999E-4</v>
      </c>
      <c r="S62" s="9">
        <f t="shared" si="36"/>
        <v>1.444222270362318E-5</v>
      </c>
      <c r="T62" s="9">
        <f t="shared" si="37"/>
        <v>7.184338300376842E-6</v>
      </c>
      <c r="U62" s="9">
        <f t="shared" si="38"/>
        <v>1.355577772963768E-4</v>
      </c>
      <c r="V62" s="100">
        <f t="shared" si="39"/>
        <v>5.2998348332824616E-2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6"/>
        <v>2.3278344887119857</v>
      </c>
      <c r="J63" s="54">
        <f t="shared" si="27"/>
        <v>5.3453840366218301</v>
      </c>
      <c r="K63" s="55">
        <f t="shared" si="28"/>
        <v>4.1255417314546867E-3</v>
      </c>
      <c r="L63" s="55">
        <f t="shared" si="29"/>
        <v>0.12190703837417498</v>
      </c>
      <c r="M63" s="55">
        <f t="shared" si="30"/>
        <v>0.87809296162582506</v>
      </c>
      <c r="N63" s="55">
        <f t="shared" si="31"/>
        <v>0.11860820429973203</v>
      </c>
      <c r="O63" s="56">
        <f t="shared" si="32"/>
        <v>4.1282302269431035E-9</v>
      </c>
      <c r="P63" s="56">
        <f t="shared" si="33"/>
        <v>9.1442469484468651E-4</v>
      </c>
      <c r="Q63" s="56">
        <f t="shared" si="34"/>
        <v>1.7793602809045794E-2</v>
      </c>
      <c r="R63" s="9">
        <f t="shared" si="35"/>
        <v>1.4999999999999999E-4</v>
      </c>
      <c r="S63" s="9">
        <f t="shared" si="36"/>
        <v>1.8286055756126245E-5</v>
      </c>
      <c r="T63" s="9">
        <f t="shared" si="37"/>
        <v>6.1883125971820295E-7</v>
      </c>
      <c r="U63" s="9">
        <f t="shared" si="38"/>
        <v>1.3171394424387376E-4</v>
      </c>
      <c r="V63" s="100">
        <f t="shared" si="39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6"/>
        <v>1.6404345211947191</v>
      </c>
      <c r="J64" s="54">
        <f t="shared" si="27"/>
        <v>4.5957959641970998</v>
      </c>
      <c r="K64" s="55">
        <f t="shared" si="28"/>
        <v>2.0417492728160791E-2</v>
      </c>
      <c r="L64" s="55">
        <f t="shared" si="29"/>
        <v>0.10738957736848669</v>
      </c>
      <c r="M64" s="55">
        <f t="shared" si="30"/>
        <v>0.89261042263151336</v>
      </c>
      <c r="N64" s="55">
        <f t="shared" si="31"/>
        <v>0.10259735293398908</v>
      </c>
      <c r="O64" s="56">
        <f t="shared" si="32"/>
        <v>2.0430798213999398E-8</v>
      </c>
      <c r="P64" s="56">
        <f t="shared" si="33"/>
        <v>8.0552921984101869E-4</v>
      </c>
      <c r="Q64" s="56">
        <f t="shared" si="34"/>
        <v>1.5391654887157038E-2</v>
      </c>
      <c r="R64" s="9">
        <f t="shared" si="35"/>
        <v>1.4999999999999999E-4</v>
      </c>
      <c r="S64" s="9">
        <f t="shared" si="36"/>
        <v>1.6108436605273002E-5</v>
      </c>
      <c r="T64" s="9">
        <f t="shared" si="37"/>
        <v>3.0626239092241185E-6</v>
      </c>
      <c r="U64" s="9">
        <f t="shared" si="38"/>
        <v>1.33891563394727E-4</v>
      </c>
      <c r="V64" s="100">
        <f t="shared" si="39"/>
        <v>2.2873912527223001E-2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6"/>
        <v>1.3777282566754774</v>
      </c>
      <c r="J65" s="54">
        <f t="shared" si="27"/>
        <v>4.297243414913436</v>
      </c>
      <c r="K65" s="55">
        <f t="shared" si="28"/>
        <v>3.770677709101157E-2</v>
      </c>
      <c r="L65" s="55">
        <f t="shared" si="29"/>
        <v>9.9730176562386988E-2</v>
      </c>
      <c r="M65" s="55">
        <f t="shared" si="30"/>
        <v>0.90026982343761297</v>
      </c>
      <c r="N65" s="55">
        <f t="shared" si="31"/>
        <v>9.4309004346280451E-2</v>
      </c>
      <c r="O65" s="56">
        <f t="shared" si="32"/>
        <v>3.773134950033154E-8</v>
      </c>
      <c r="P65" s="56">
        <f t="shared" si="33"/>
        <v>7.4807605439446514E-4</v>
      </c>
      <c r="Q65" s="56">
        <f t="shared" si="34"/>
        <v>1.4148236832028992E-2</v>
      </c>
      <c r="R65" s="9">
        <f t="shared" si="35"/>
        <v>1.4999999999999999E-4</v>
      </c>
      <c r="S65" s="9">
        <f t="shared" si="36"/>
        <v>1.4959526484358046E-5</v>
      </c>
      <c r="T65" s="9">
        <f t="shared" si="37"/>
        <v>5.6560165636517349E-6</v>
      </c>
      <c r="U65" s="9">
        <f t="shared" si="38"/>
        <v>1.3504047351564193E-4</v>
      </c>
      <c r="V65" s="100">
        <f t="shared" si="39"/>
        <v>4.1883862048192465E-2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6"/>
        <v>1.6404345211947191</v>
      </c>
      <c r="J66" s="54">
        <f t="shared" si="27"/>
        <v>4.5957959641970998</v>
      </c>
      <c r="K66" s="55">
        <f t="shared" si="28"/>
        <v>2.0417492728160791E-2</v>
      </c>
      <c r="L66" s="55">
        <f t="shared" si="29"/>
        <v>0.10738957736848669</v>
      </c>
      <c r="M66" s="55">
        <f t="shared" si="30"/>
        <v>0.89261042263151336</v>
      </c>
      <c r="N66" s="55">
        <f t="shared" si="31"/>
        <v>0.10259735293398908</v>
      </c>
      <c r="O66" s="56">
        <f t="shared" si="32"/>
        <v>2.0430798213999398E-8</v>
      </c>
      <c r="P66" s="56">
        <f t="shared" si="33"/>
        <v>8.0552921984101869E-4</v>
      </c>
      <c r="Q66" s="56">
        <f t="shared" si="34"/>
        <v>1.5391654887157038E-2</v>
      </c>
      <c r="R66" s="9">
        <f t="shared" si="35"/>
        <v>1.4999999999999999E-4</v>
      </c>
      <c r="S66" s="9">
        <f t="shared" si="36"/>
        <v>1.6108436605273002E-5</v>
      </c>
      <c r="T66" s="9">
        <f t="shared" si="37"/>
        <v>3.0626239092241185E-6</v>
      </c>
      <c r="U66" s="9">
        <f t="shared" si="38"/>
        <v>1.33891563394727E-4</v>
      </c>
      <c r="V66" s="100">
        <f t="shared" si="39"/>
        <v>2.2873912527223001E-2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6"/>
        <v>-1.8635683569884906E-4</v>
      </c>
      <c r="J67" s="54">
        <f t="shared" si="27"/>
        <v>-4.4567291494222658E-2</v>
      </c>
      <c r="K67" s="55">
        <f t="shared" si="28"/>
        <v>0.99979061647262135</v>
      </c>
      <c r="L67" s="55">
        <f t="shared" si="29"/>
        <v>1.2036647005414005E-4</v>
      </c>
      <c r="M67" s="55">
        <f t="shared" si="30"/>
        <v>0.99987963352994591</v>
      </c>
      <c r="N67" s="55">
        <f t="shared" si="31"/>
        <v>1.9839148843362808E-7</v>
      </c>
      <c r="O67" s="56">
        <f t="shared" si="32"/>
        <v>1.0004421509223289E-6</v>
      </c>
      <c r="P67" s="56">
        <f t="shared" si="33"/>
        <v>9.0286889187610469E-7</v>
      </c>
      <c r="Q67" s="56">
        <f t="shared" si="34"/>
        <v>2.9762691094812875E-8</v>
      </c>
      <c r="R67" s="9">
        <f t="shared" si="35"/>
        <v>1.4999999999999999E-4</v>
      </c>
      <c r="S67" s="9">
        <f t="shared" si="36"/>
        <v>1.8054970508121005E-8</v>
      </c>
      <c r="T67" s="9">
        <f t="shared" si="37"/>
        <v>1.499685924708932E-4</v>
      </c>
      <c r="U67" s="9">
        <f t="shared" si="38"/>
        <v>1.4998194502949188E-4</v>
      </c>
      <c r="V67" s="100">
        <f t="shared" si="39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6"/>
        <v>1.7268855172909561</v>
      </c>
      <c r="J68" s="54">
        <f t="shared" si="27"/>
        <v>4.5743714574945749</v>
      </c>
      <c r="K68" s="55">
        <f t="shared" si="28"/>
        <v>1.7136909862146572E-2</v>
      </c>
      <c r="L68" s="55">
        <f t="shared" si="29"/>
        <v>8.5796136072063822E-2</v>
      </c>
      <c r="M68" s="55">
        <f t="shared" si="30"/>
        <v>0.91420386392793618</v>
      </c>
      <c r="N68" s="55">
        <f t="shared" si="31"/>
        <v>7.8279542029896801E-2</v>
      </c>
      <c r="O68" s="56">
        <f t="shared" si="32"/>
        <v>1.7148077487600102E-8</v>
      </c>
      <c r="P68" s="56">
        <f t="shared" si="33"/>
        <v>6.4355681667655092E-4</v>
      </c>
      <c r="Q68" s="56">
        <f t="shared" si="34"/>
        <v>1.1743496895325117E-2</v>
      </c>
      <c r="R68" s="9">
        <f t="shared" si="35"/>
        <v>1.4999999999999999E-4</v>
      </c>
      <c r="S68" s="9">
        <f t="shared" si="36"/>
        <v>1.2869420410809572E-5</v>
      </c>
      <c r="T68" s="9">
        <f t="shared" si="37"/>
        <v>2.5705364793219857E-6</v>
      </c>
      <c r="U68" s="9">
        <f t="shared" si="38"/>
        <v>1.3713057958919043E-4</v>
      </c>
      <c r="V68" s="100">
        <f t="shared" si="39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6"/>
        <v>5.7919228101834593E-2</v>
      </c>
      <c r="J69" s="54">
        <f t="shared" si="27"/>
        <v>1.7365957830383385</v>
      </c>
      <c r="K69" s="55">
        <f t="shared" si="28"/>
        <v>0.86916330527606911</v>
      </c>
      <c r="L69" s="55">
        <f t="shared" si="29"/>
        <v>6.3220936566890243E-3</v>
      </c>
      <c r="M69" s="55">
        <f t="shared" si="30"/>
        <v>0.99367790634331099</v>
      </c>
      <c r="N69" s="55">
        <f t="shared" si="31"/>
        <v>4.5786255676948384E-3</v>
      </c>
      <c r="O69" s="56">
        <f t="shared" si="32"/>
        <v>8.6972971370847361E-7</v>
      </c>
      <c r="P69" s="56">
        <f t="shared" si="33"/>
        <v>4.7422024518824363E-5</v>
      </c>
      <c r="Q69" s="56">
        <f t="shared" si="34"/>
        <v>6.868854076655795E-4</v>
      </c>
      <c r="R69" s="9">
        <f t="shared" si="35"/>
        <v>1.4999999999999999E-4</v>
      </c>
      <c r="S69" s="9">
        <f t="shared" si="36"/>
        <v>9.4831404850335358E-7</v>
      </c>
      <c r="T69" s="9">
        <f t="shared" si="37"/>
        <v>1.3037449579141036E-4</v>
      </c>
      <c r="U69" s="9">
        <f t="shared" si="38"/>
        <v>1.4905168595149665E-4</v>
      </c>
      <c r="V69" s="100">
        <f t="shared" si="39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6"/>
        <v>0.45156382049297444</v>
      </c>
      <c r="J70" s="54">
        <f t="shared" si="27"/>
        <v>3.0509801020444232</v>
      </c>
      <c r="K70" s="55">
        <f t="shared" si="28"/>
        <v>0.33556665702516358</v>
      </c>
      <c r="L70" s="55">
        <f t="shared" si="29"/>
        <v>5.034109557649305E-2</v>
      </c>
      <c r="M70" s="55">
        <f t="shared" si="30"/>
        <v>0.94965890442350698</v>
      </c>
      <c r="N70" s="55">
        <f t="shared" si="31"/>
        <v>4.4272247041036369E-2</v>
      </c>
      <c r="O70" s="56">
        <f t="shared" si="32"/>
        <v>3.3578533605017425E-7</v>
      </c>
      <c r="P70" s="56">
        <f t="shared" si="33"/>
        <v>3.7760855791927435E-4</v>
      </c>
      <c r="Q70" s="56">
        <f t="shared" si="34"/>
        <v>6.6417225010962748E-3</v>
      </c>
      <c r="R70" s="9">
        <f t="shared" si="35"/>
        <v>1.4999999999999999E-4</v>
      </c>
      <c r="S70" s="9">
        <f t="shared" si="36"/>
        <v>7.5511643364739565E-6</v>
      </c>
      <c r="T70" s="9">
        <f t="shared" si="37"/>
        <v>5.0334998553774535E-5</v>
      </c>
      <c r="U70" s="9">
        <f t="shared" si="38"/>
        <v>1.4244883566352602E-4</v>
      </c>
      <c r="V70" s="100">
        <f t="shared" si="39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40">IF(D71=0,"",LOG($K$15*10^D71+$K$16*10^E71+$K$14))</f>
        <v>2.9114243406645759</v>
      </c>
      <c r="J71" s="54">
        <f t="shared" ref="J71:J122" si="41">IF(D71=0,"",LOG($K$21*10^D71+$K$22*10^E71+$K$20))</f>
        <v>5.7767955088211638</v>
      </c>
      <c r="K71" s="55">
        <f t="shared" ref="K71:K122" si="42">IF(D71=0,"",1/(1+10^D71*$J$15/$J$14+10^E71*$J$16/$J$14+10^J71*$J$19/$J$14))</f>
        <v>1.1164261208647687E-3</v>
      </c>
      <c r="L71" s="55">
        <f t="shared" ref="L71:L122" si="43">IF(D71=0,"",1/(1+10^I71/10^J71*$J$13/$J$19))</f>
        <v>8.9081856089708644E-2</v>
      </c>
      <c r="M71" s="55">
        <f t="shared" si="21"/>
        <v>0.91091814391029136</v>
      </c>
      <c r="N71" s="55">
        <f t="shared" ref="N71:N122" si="44">IF(D71=0,"",1/(1/10^E71*$J$20/$J$22+10^D71/10^E71*$J$21/$J$22+10^I71/10^E71*$J$13/$J$22+1))</f>
        <v>8.1677747597042702E-2</v>
      </c>
      <c r="O71" s="56">
        <f t="shared" si="23"/>
        <v>1.1171536632784623E-9</v>
      </c>
      <c r="P71" s="56">
        <f t="shared" ref="P71:P122" si="45">IF(D71=0,"",O71*10^J71)</f>
        <v>6.6820300252890474E-4</v>
      </c>
      <c r="Q71" s="56">
        <f t="shared" ref="Q71:Q122" si="46">IF(D71=0,"",F71*N71*$J$7/$J$22)</f>
        <v>1.2253295694508342E-2</v>
      </c>
      <c r="R71" s="9">
        <f t="shared" si="35"/>
        <v>1.4999999999999999E-4</v>
      </c>
      <c r="S71" s="9">
        <f t="shared" si="36"/>
        <v>1.3362278413456296E-5</v>
      </c>
      <c r="T71" s="9">
        <f t="shared" si="37"/>
        <v>1.674639181297153E-7</v>
      </c>
      <c r="U71" s="9">
        <f t="shared" si="38"/>
        <v>1.3663772158654369E-4</v>
      </c>
      <c r="V71" s="100">
        <f t="shared" si="39"/>
        <v>1.2256053173694563E-3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40"/>
        <v>2.4659786116205753</v>
      </c>
      <c r="J72" s="54">
        <f t="shared" si="41"/>
        <v>5.2786655449069544</v>
      </c>
      <c r="K72" s="55">
        <f t="shared" si="42"/>
        <v>3.1457055905750493E-3</v>
      </c>
      <c r="L72" s="55">
        <f t="shared" si="43"/>
        <v>7.971634508572395E-2</v>
      </c>
      <c r="M72" s="55">
        <f t="shared" si="21"/>
        <v>0.92028365491427611</v>
      </c>
      <c r="N72" s="55">
        <f t="shared" si="44"/>
        <v>7.1193744876391268E-2</v>
      </c>
      <c r="O72" s="56">
        <f t="shared" si="23"/>
        <v>3.1477555553648049E-9</v>
      </c>
      <c r="P72" s="56">
        <f t="shared" si="45"/>
        <v>5.9795230448801565E-4</v>
      </c>
      <c r="Q72" s="56">
        <f t="shared" si="46"/>
        <v>1.0680485606356215E-2</v>
      </c>
      <c r="R72" s="9">
        <f t="shared" si="35"/>
        <v>1.4999999999999999E-4</v>
      </c>
      <c r="S72" s="9">
        <f t="shared" si="36"/>
        <v>1.1957451762858592E-5</v>
      </c>
      <c r="T72" s="9">
        <f t="shared" si="37"/>
        <v>4.7185583858625737E-7</v>
      </c>
      <c r="U72" s="9">
        <f t="shared" si="38"/>
        <v>1.380425482371414E-4</v>
      </c>
      <c r="V72" s="100">
        <f t="shared" si="39"/>
        <v>3.4181913084918043E-3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40"/>
        <v>2.4593424067669152</v>
      </c>
      <c r="J73" s="54">
        <f t="shared" si="41"/>
        <v>5.3078721995446587</v>
      </c>
      <c r="K73" s="55">
        <f t="shared" si="42"/>
        <v>3.1723855713536534E-3</v>
      </c>
      <c r="L73" s="55">
        <f t="shared" si="43"/>
        <v>8.5984847417472712E-2</v>
      </c>
      <c r="M73" s="55">
        <f t="shared" si="21"/>
        <v>0.9140151525825273</v>
      </c>
      <c r="N73" s="55">
        <f t="shared" si="44"/>
        <v>7.8236196665664517E-2</v>
      </c>
      <c r="O73" s="56">
        <f t="shared" si="23"/>
        <v>3.1744529227104646E-9</v>
      </c>
      <c r="P73" s="56">
        <f t="shared" si="45"/>
        <v>6.4497234047846276E-4</v>
      </c>
      <c r="Q73" s="56">
        <f t="shared" si="46"/>
        <v>1.1736994223782988E-2</v>
      </c>
      <c r="R73" s="9">
        <f t="shared" si="35"/>
        <v>1.4999999999999999E-4</v>
      </c>
      <c r="S73" s="9">
        <f t="shared" si="36"/>
        <v>1.2897727112620905E-5</v>
      </c>
      <c r="T73" s="9">
        <f t="shared" si="37"/>
        <v>4.75857835703048E-7</v>
      </c>
      <c r="U73" s="9">
        <f t="shared" si="38"/>
        <v>1.3710227288737909E-4</v>
      </c>
      <c r="V73" s="100">
        <f t="shared" si="39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40"/>
        <v>0.12015758400049081</v>
      </c>
      <c r="J74" s="54">
        <f t="shared" si="41"/>
        <v>2.0837828896743456</v>
      </c>
      <c r="K74" s="55">
        <f t="shared" si="42"/>
        <v>0.74872860613392656</v>
      </c>
      <c r="L74" s="55">
        <f t="shared" si="43"/>
        <v>1.211353993319938E-2</v>
      </c>
      <c r="M74" s="55">
        <f t="shared" si="21"/>
        <v>0.98788646006680059</v>
      </c>
      <c r="N74" s="55">
        <f t="shared" si="44"/>
        <v>8.8825199175203689E-3</v>
      </c>
      <c r="O74" s="56">
        <f t="shared" si="23"/>
        <v>7.492165307776872E-7</v>
      </c>
      <c r="P74" s="56">
        <f t="shared" si="45"/>
        <v>9.0863663038928531E-5</v>
      </c>
      <c r="Q74" s="56">
        <f t="shared" si="46"/>
        <v>1.3325556380264054E-3</v>
      </c>
      <c r="R74" s="9">
        <f t="shared" si="35"/>
        <v>1.4999999999999999E-4</v>
      </c>
      <c r="S74" s="9">
        <f t="shared" si="36"/>
        <v>1.8170309899799068E-6</v>
      </c>
      <c r="T74" s="9">
        <f t="shared" si="37"/>
        <v>1.1230929092008897E-4</v>
      </c>
      <c r="U74" s="9">
        <f t="shared" si="38"/>
        <v>1.4818296901002008E-4</v>
      </c>
      <c r="V74" s="100">
        <f t="shared" si="39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40"/>
        <v>1.0613094291357714</v>
      </c>
      <c r="J75" s="54">
        <f t="shared" si="41"/>
        <v>3.9204939710794475</v>
      </c>
      <c r="K75" s="55">
        <f t="shared" si="42"/>
        <v>7.915757023688387E-2</v>
      </c>
      <c r="L75" s="55">
        <f t="shared" si="43"/>
        <v>8.7932654840880864E-2</v>
      </c>
      <c r="M75" s="55">
        <f t="shared" si="21"/>
        <v>0.91206734515911914</v>
      </c>
      <c r="N75" s="55">
        <f t="shared" si="44"/>
        <v>8.1813731519952859E-2</v>
      </c>
      <c r="O75" s="56">
        <f t="shared" si="23"/>
        <v>7.9209154921831629E-8</v>
      </c>
      <c r="P75" s="56">
        <f t="shared" si="45"/>
        <v>6.5958284396144731E-4</v>
      </c>
      <c r="Q75" s="56">
        <f t="shared" si="46"/>
        <v>1.2273696002623326E-2</v>
      </c>
      <c r="R75" s="9">
        <f t="shared" si="35"/>
        <v>1.4999999999999999E-4</v>
      </c>
      <c r="S75" s="9">
        <f t="shared" si="36"/>
        <v>1.3189898226132129E-5</v>
      </c>
      <c r="T75" s="9">
        <f t="shared" si="37"/>
        <v>1.187363553553258E-5</v>
      </c>
      <c r="U75" s="9">
        <f t="shared" si="38"/>
        <v>1.3681010177386786E-4</v>
      </c>
      <c r="V75" s="100">
        <f t="shared" si="39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40"/>
        <v>1.080392983851221</v>
      </c>
      <c r="J76" s="54">
        <f t="shared" si="41"/>
        <v>3.8585870053842997</v>
      </c>
      <c r="K76" s="55">
        <f t="shared" si="42"/>
        <v>7.6905087293633281E-2</v>
      </c>
      <c r="L76" s="55">
        <f t="shared" si="43"/>
        <v>7.4080829104410745E-2</v>
      </c>
      <c r="M76" s="55">
        <f t="shared" si="21"/>
        <v>0.92591917089558928</v>
      </c>
      <c r="N76" s="55">
        <f t="shared" si="44"/>
        <v>6.6211561964196822E-2</v>
      </c>
      <c r="O76" s="56">
        <f t="shared" si="23"/>
        <v>7.6955204100996743E-8</v>
      </c>
      <c r="P76" s="56">
        <f t="shared" si="45"/>
        <v>5.5568029911218502E-4</v>
      </c>
      <c r="Q76" s="56">
        <f t="shared" si="46"/>
        <v>9.9330585258688032E-3</v>
      </c>
      <c r="R76" s="9">
        <f t="shared" si="35"/>
        <v>1.4999999999999999E-4</v>
      </c>
      <c r="S76" s="9">
        <f t="shared" si="36"/>
        <v>1.1112124365661612E-5</v>
      </c>
      <c r="T76" s="9">
        <f t="shared" si="37"/>
        <v>1.1535763094044992E-5</v>
      </c>
      <c r="U76" s="9">
        <f t="shared" si="38"/>
        <v>1.3888787563433837E-4</v>
      </c>
      <c r="V76" s="100">
        <f t="shared" si="39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40"/>
        <v>0.16668848098518507</v>
      </c>
      <c r="J77" s="54">
        <f t="shared" si="41"/>
        <v>2.3639081225718592</v>
      </c>
      <c r="K77" s="55">
        <f t="shared" si="42"/>
        <v>0.66690198019944769</v>
      </c>
      <c r="L77" s="55">
        <f t="shared" si="43"/>
        <v>2.056524505681433E-2</v>
      </c>
      <c r="M77" s="55">
        <f t="shared" si="21"/>
        <v>0.97943475494318566</v>
      </c>
      <c r="N77" s="55">
        <f t="shared" si="44"/>
        <v>1.6880867875693165E-2</v>
      </c>
      <c r="O77" s="56">
        <f t="shared" si="23"/>
        <v>6.6733658081233506E-7</v>
      </c>
      <c r="P77" s="56">
        <f t="shared" si="45"/>
        <v>1.5425990317116426E-4</v>
      </c>
      <c r="Q77" s="56">
        <f t="shared" si="46"/>
        <v>2.5324677987114881E-3</v>
      </c>
      <c r="R77" s="9">
        <f t="shared" si="35"/>
        <v>1.4999999999999999E-4</v>
      </c>
      <c r="S77" s="9">
        <f t="shared" si="36"/>
        <v>3.0847867585221494E-6</v>
      </c>
      <c r="T77" s="9">
        <f t="shared" si="37"/>
        <v>1.0003529702991714E-4</v>
      </c>
      <c r="U77" s="9">
        <f t="shared" si="38"/>
        <v>1.4691521324147785E-4</v>
      </c>
      <c r="V77" s="100">
        <f t="shared" si="39"/>
        <v>0.68090495751106239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40"/>
        <v>0.26960058474961779</v>
      </c>
      <c r="J78" s="54">
        <f t="shared" si="41"/>
        <v>2.7169932228905553</v>
      </c>
      <c r="K78" s="55">
        <f t="shared" si="42"/>
        <v>0.51790202986352896</v>
      </c>
      <c r="L78" s="55">
        <f t="shared" si="43"/>
        <v>3.6008463941627489E-2</v>
      </c>
      <c r="M78" s="55">
        <f t="shared" si="21"/>
        <v>0.96399153605837251</v>
      </c>
      <c r="N78" s="55">
        <f t="shared" si="44"/>
        <v>3.1505137325132229E-2</v>
      </c>
      <c r="O78" s="56">
        <f t="shared" si="23"/>
        <v>5.1823953154485099E-7</v>
      </c>
      <c r="P78" s="56">
        <f t="shared" si="45"/>
        <v>2.700994880261478E-4</v>
      </c>
      <c r="Q78" s="56">
        <f t="shared" si="46"/>
        <v>4.7264007015163367E-3</v>
      </c>
      <c r="R78" s="9">
        <f t="shared" si="35"/>
        <v>1.4999999999999999E-4</v>
      </c>
      <c r="S78" s="9">
        <f t="shared" si="36"/>
        <v>5.4012695912441231E-6</v>
      </c>
      <c r="T78" s="9">
        <f t="shared" si="37"/>
        <v>7.768530447952933E-5</v>
      </c>
      <c r="U78" s="9">
        <f t="shared" si="38"/>
        <v>1.4459873040875587E-4</v>
      </c>
      <c r="V78" s="100">
        <f t="shared" si="39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40"/>
        <v>0.30972420580945559</v>
      </c>
      <c r="J79" s="54">
        <f t="shared" si="41"/>
        <v>2.5889557991870298</v>
      </c>
      <c r="K79" s="55">
        <f t="shared" si="42"/>
        <v>0.47772050052351323</v>
      </c>
      <c r="L79" s="55">
        <f t="shared" si="43"/>
        <v>2.4733947651196304E-2</v>
      </c>
      <c r="M79" s="55">
        <f t="shared" si="21"/>
        <v>0.9752660523488037</v>
      </c>
      <c r="N79" s="55">
        <f t="shared" si="44"/>
        <v>1.8104754594106369E-2</v>
      </c>
      <c r="O79" s="56">
        <f t="shared" si="23"/>
        <v>4.7803181707149268E-7</v>
      </c>
      <c r="P79" s="56">
        <f t="shared" si="45"/>
        <v>1.855293413316234E-4</v>
      </c>
      <c r="Q79" s="56">
        <f t="shared" si="46"/>
        <v>2.716075284207837E-3</v>
      </c>
      <c r="R79" s="9">
        <f t="shared" si="35"/>
        <v>1.4999999999999999E-4</v>
      </c>
      <c r="S79" s="9">
        <f t="shared" si="36"/>
        <v>3.7100921476794452E-6</v>
      </c>
      <c r="T79" s="9">
        <f t="shared" si="37"/>
        <v>7.1658075078526984E-5</v>
      </c>
      <c r="U79" s="9">
        <f t="shared" si="38"/>
        <v>1.4628990785232055E-4</v>
      </c>
      <c r="V79" s="100">
        <f t="shared" si="39"/>
        <v>0.48983608049617272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40"/>
        <v>0.35763444792585858</v>
      </c>
      <c r="J80" s="54">
        <f t="shared" si="41"/>
        <v>2.6634845218157044</v>
      </c>
      <c r="K80" s="55">
        <f t="shared" si="42"/>
        <v>0.42715470221608071</v>
      </c>
      <c r="L80" s="55">
        <f t="shared" si="43"/>
        <v>2.6256296788342789E-2</v>
      </c>
      <c r="M80" s="55">
        <f t="shared" si="21"/>
        <v>0.97374370321165726</v>
      </c>
      <c r="N80" s="55">
        <f t="shared" si="44"/>
        <v>1.8890347856240105E-2</v>
      </c>
      <c r="O80" s="56">
        <f t="shared" si="23"/>
        <v>4.2743306650482567E-7</v>
      </c>
      <c r="P80" s="56">
        <f t="shared" si="45"/>
        <v>1.9694848220935926E-4</v>
      </c>
      <c r="Q80" s="56">
        <f t="shared" si="46"/>
        <v>2.8339299853931397E-3</v>
      </c>
      <c r="R80" s="9">
        <f t="shared" si="35"/>
        <v>1.4999999999999999E-4</v>
      </c>
      <c r="S80" s="9">
        <f t="shared" si="36"/>
        <v>3.9384445182514182E-6</v>
      </c>
      <c r="T80" s="9">
        <f t="shared" si="37"/>
        <v>6.4073205332412106E-5</v>
      </c>
      <c r="U80" s="9">
        <f t="shared" si="38"/>
        <v>1.4606155548174858E-4</v>
      </c>
      <c r="V80" s="100">
        <f t="shared" si="39"/>
        <v>0.43867262073912733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40"/>
        <v>1.4796577057346771</v>
      </c>
      <c r="J81" s="54">
        <f t="shared" si="41"/>
        <v>4.3682400663002383</v>
      </c>
      <c r="K81" s="55">
        <f t="shared" si="42"/>
        <v>3.0024642999008273E-2</v>
      </c>
      <c r="L81" s="55">
        <f t="shared" si="43"/>
        <v>9.3515086080781684E-2</v>
      </c>
      <c r="M81" s="55">
        <f t="shared" si="21"/>
        <v>0.90648491391921837</v>
      </c>
      <c r="N81" s="55">
        <f t="shared" si="44"/>
        <v>8.7186574726988111E-2</v>
      </c>
      <c r="O81" s="56">
        <f t="shared" si="23"/>
        <v>3.0044209185099355E-8</v>
      </c>
      <c r="P81" s="56">
        <f t="shared" si="45"/>
        <v>7.0145666069194336E-4</v>
      </c>
      <c r="Q81" s="56">
        <f t="shared" si="46"/>
        <v>1.3079729940542753E-2</v>
      </c>
      <c r="R81" s="9">
        <f t="shared" si="35"/>
        <v>1.4999999999999999E-4</v>
      </c>
      <c r="S81" s="9">
        <f t="shared" si="36"/>
        <v>1.4027262912117251E-5</v>
      </c>
      <c r="T81" s="9">
        <f t="shared" si="37"/>
        <v>4.5036964498512409E-6</v>
      </c>
      <c r="U81" s="9">
        <f t="shared" si="38"/>
        <v>1.3597273708788275E-4</v>
      </c>
      <c r="V81" s="100">
        <f t="shared" si="39"/>
        <v>3.312205480529809E-2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40"/>
        <v>1.2498866711591912</v>
      </c>
      <c r="J82" s="54">
        <f t="shared" si="41"/>
        <v>4.0532477704684826</v>
      </c>
      <c r="K82" s="55">
        <f t="shared" si="42"/>
        <v>5.1825814283980962E-2</v>
      </c>
      <c r="L82" s="55">
        <f t="shared" si="43"/>
        <v>7.8155161406800455E-2</v>
      </c>
      <c r="M82" s="55">
        <f t="shared" si="21"/>
        <v>0.92184483859319954</v>
      </c>
      <c r="N82" s="55">
        <f t="shared" si="44"/>
        <v>7.0330045470720914E-2</v>
      </c>
      <c r="O82" s="56">
        <f t="shared" si="23"/>
        <v>5.1859587658959499E-8</v>
      </c>
      <c r="P82" s="56">
        <f t="shared" si="45"/>
        <v>5.8624186571241033E-4</v>
      </c>
      <c r="Q82" s="56">
        <f t="shared" si="46"/>
        <v>1.0550913421517547E-2</v>
      </c>
      <c r="R82" s="9">
        <f t="shared" si="35"/>
        <v>1.4999999999999999E-4</v>
      </c>
      <c r="S82" s="9">
        <f t="shared" si="36"/>
        <v>1.1723274211020067E-5</v>
      </c>
      <c r="T82" s="9">
        <f t="shared" si="37"/>
        <v>7.7738721425971432E-6</v>
      </c>
      <c r="U82" s="9">
        <f t="shared" si="38"/>
        <v>1.3827672578897992E-4</v>
      </c>
      <c r="V82" s="100">
        <f t="shared" si="39"/>
        <v>5.6219671808404134E-2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40"/>
        <v>0.14841008082679891</v>
      </c>
      <c r="J83" s="54">
        <f t="shared" si="41"/>
        <v>2.3088898400463114</v>
      </c>
      <c r="K83" s="55">
        <f t="shared" si="42"/>
        <v>0.69673158691564052</v>
      </c>
      <c r="L83" s="55">
        <f t="shared" si="43"/>
        <v>1.8928626402492186E-2</v>
      </c>
      <c r="M83" s="55">
        <f t="shared" si="21"/>
        <v>0.98107137359750785</v>
      </c>
      <c r="N83" s="55">
        <f t="shared" si="44"/>
        <v>1.5587743970156198E-2</v>
      </c>
      <c r="O83" s="56">
        <f t="shared" si="23"/>
        <v>6.9718562661514923E-7</v>
      </c>
      <c r="P83" s="56">
        <f t="shared" si="45"/>
        <v>1.4198362664509385E-4</v>
      </c>
      <c r="Q83" s="56">
        <f t="shared" si="46"/>
        <v>2.3384733504028324E-3</v>
      </c>
      <c r="R83" s="9">
        <f t="shared" si="35"/>
        <v>1.4999999999999999E-4</v>
      </c>
      <c r="S83" s="9">
        <f t="shared" si="36"/>
        <v>2.8392939603738276E-6</v>
      </c>
      <c r="T83" s="9">
        <f t="shared" si="37"/>
        <v>1.0450973803734607E-4</v>
      </c>
      <c r="U83" s="9">
        <f t="shared" si="38"/>
        <v>1.4716070603962617E-4</v>
      </c>
      <c r="V83" s="100">
        <f t="shared" si="39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40"/>
        <v>1.3452769109111</v>
      </c>
      <c r="J84" s="54">
        <f t="shared" si="41"/>
        <v>4.041572503575793</v>
      </c>
      <c r="K84" s="55">
        <f t="shared" si="42"/>
        <v>4.2328805374262146E-2</v>
      </c>
      <c r="L84" s="55">
        <f t="shared" si="43"/>
        <v>6.21401467819424E-2</v>
      </c>
      <c r="M84" s="55">
        <f t="shared" si="21"/>
        <v>0.93785985321805765</v>
      </c>
      <c r="N84" s="55">
        <f t="shared" si="44"/>
        <v>5.2165307951789384E-2</v>
      </c>
      <c r="O84" s="56">
        <f t="shared" si="23"/>
        <v>4.2356389824908017E-8</v>
      </c>
      <c r="P84" s="56">
        <f t="shared" si="45"/>
        <v>4.6611324101135008E-4</v>
      </c>
      <c r="Q84" s="56">
        <f t="shared" si="46"/>
        <v>7.8258394989274404E-3</v>
      </c>
      <c r="R84" s="9">
        <f t="shared" si="35"/>
        <v>1.4999999999999999E-4</v>
      </c>
      <c r="S84" s="9">
        <f t="shared" si="36"/>
        <v>9.3210220172913589E-6</v>
      </c>
      <c r="T84" s="9">
        <f t="shared" si="37"/>
        <v>6.3493208061393215E-6</v>
      </c>
      <c r="U84" s="9">
        <f t="shared" si="38"/>
        <v>1.4067897798270863E-4</v>
      </c>
      <c r="V84" s="100">
        <f t="shared" si="39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40"/>
        <v>0.12747825886296762</v>
      </c>
      <c r="J85" s="54">
        <f t="shared" si="41"/>
        <v>2.21956631274778</v>
      </c>
      <c r="K85" s="55">
        <f t="shared" si="42"/>
        <v>0.73315660603146471</v>
      </c>
      <c r="L85" s="55">
        <f t="shared" si="43"/>
        <v>1.6215368561884731E-2</v>
      </c>
      <c r="M85" s="55">
        <f t="shared" si="21"/>
        <v>0.98378463143811523</v>
      </c>
      <c r="N85" s="55">
        <f t="shared" si="44"/>
        <v>1.3205733109967274E-2</v>
      </c>
      <c r="O85" s="56">
        <f t="shared" si="23"/>
        <v>7.3363438285592155E-7</v>
      </c>
      <c r="P85" s="56">
        <f t="shared" si="45"/>
        <v>1.2163147958269733E-4</v>
      </c>
      <c r="Q85" s="56">
        <f t="shared" si="46"/>
        <v>1.98112408115729E-3</v>
      </c>
      <c r="R85" s="9">
        <f t="shared" si="35"/>
        <v>1.4999999999999999E-4</v>
      </c>
      <c r="S85" s="9">
        <f t="shared" si="36"/>
        <v>2.4323052842827092E-6</v>
      </c>
      <c r="T85" s="9">
        <f t="shared" si="37"/>
        <v>1.0997349090471969E-4</v>
      </c>
      <c r="U85" s="9">
        <f t="shared" si="38"/>
        <v>1.4756769471571728E-4</v>
      </c>
      <c r="V85" s="100">
        <f t="shared" si="39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40"/>
        <v>0.71310437974280194</v>
      </c>
      <c r="J86" s="54">
        <f t="shared" si="41"/>
        <v>3.1296066711876311</v>
      </c>
      <c r="K86" s="55">
        <f t="shared" si="42"/>
        <v>0.1869901908313405</v>
      </c>
      <c r="L86" s="55">
        <f t="shared" si="43"/>
        <v>3.3619345584536775E-2</v>
      </c>
      <c r="M86" s="55">
        <f t="shared" si="21"/>
        <v>0.96638065441546317</v>
      </c>
      <c r="N86" s="55">
        <f t="shared" si="44"/>
        <v>2.2770501129322242E-2</v>
      </c>
      <c r="O86" s="56">
        <f t="shared" si="23"/>
        <v>1.8711204689707734E-7</v>
      </c>
      <c r="P86" s="56">
        <f t="shared" si="45"/>
        <v>2.5217871122961029E-4</v>
      </c>
      <c r="Q86" s="56">
        <f t="shared" si="46"/>
        <v>3.4160305794209219E-3</v>
      </c>
      <c r="R86" s="9">
        <f t="shared" si="35"/>
        <v>1.4999999999999999E-4</v>
      </c>
      <c r="S86" s="9">
        <f t="shared" si="36"/>
        <v>5.0429018376805158E-6</v>
      </c>
      <c r="T86" s="9">
        <f t="shared" si="37"/>
        <v>2.8048528624701074E-5</v>
      </c>
      <c r="U86" s="9">
        <f t="shared" si="38"/>
        <v>1.4495709816231947E-4</v>
      </c>
      <c r="V86" s="100">
        <f t="shared" si="39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40"/>
        <v>7.9970216478940079E-2</v>
      </c>
      <c r="J87" s="54">
        <f t="shared" si="41"/>
        <v>1.9159264962867857</v>
      </c>
      <c r="K87" s="55">
        <f t="shared" si="42"/>
        <v>0.82386073172139873</v>
      </c>
      <c r="L87" s="55">
        <f t="shared" si="43"/>
        <v>9.0561594193241529E-3</v>
      </c>
      <c r="M87" s="55">
        <f t="shared" si="21"/>
        <v>0.99094384058067586</v>
      </c>
      <c r="N87" s="55">
        <f t="shared" si="44"/>
        <v>6.8216855945735675E-3</v>
      </c>
      <c r="O87" s="56">
        <f t="shared" si="23"/>
        <v>8.2439761778497416E-7</v>
      </c>
      <c r="P87" s="56">
        <f t="shared" si="45"/>
        <v>6.7930251804350464E-5</v>
      </c>
      <c r="Q87" s="56">
        <f t="shared" si="46"/>
        <v>1.0233892728979262E-3</v>
      </c>
      <c r="R87" s="9">
        <f t="shared" si="35"/>
        <v>1.4999999999999999E-4</v>
      </c>
      <c r="S87" s="9">
        <f t="shared" si="36"/>
        <v>1.3584239128986229E-6</v>
      </c>
      <c r="T87" s="9">
        <f t="shared" si="37"/>
        <v>1.2357910975820981E-4</v>
      </c>
      <c r="U87" s="9">
        <f t="shared" si="38"/>
        <v>1.4864157608710136E-4</v>
      </c>
      <c r="V87" s="100">
        <f t="shared" si="39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40"/>
        <v>1.7455890954858774E-2</v>
      </c>
      <c r="J88" s="54">
        <f t="shared" si="41"/>
        <v>0.83796499600185581</v>
      </c>
      <c r="K88" s="55">
        <f t="shared" si="42"/>
        <v>0.95925975770558647</v>
      </c>
      <c r="L88" s="55">
        <f t="shared" si="43"/>
        <v>8.8118070922891102E-4</v>
      </c>
      <c r="M88" s="55">
        <f t="shared" si="21"/>
        <v>0.99911881929077107</v>
      </c>
      <c r="N88" s="55">
        <f t="shared" si="44"/>
        <v>1.1378106365809297E-4</v>
      </c>
      <c r="O88" s="56">
        <f t="shared" si="23"/>
        <v>9.5988487937412959E-7</v>
      </c>
      <c r="P88" s="56">
        <f t="shared" si="45"/>
        <v>6.6097364999260619E-6</v>
      </c>
      <c r="Q88" s="56">
        <f t="shared" si="46"/>
        <v>1.7069435169987107E-5</v>
      </c>
      <c r="R88" s="9">
        <f t="shared" si="35"/>
        <v>1.4999999999999999E-4</v>
      </c>
      <c r="S88" s="9">
        <f t="shared" si="36"/>
        <v>1.3217710638433664E-7</v>
      </c>
      <c r="T88" s="9">
        <f t="shared" si="37"/>
        <v>1.4388896365583796E-4</v>
      </c>
      <c r="U88" s="9">
        <f t="shared" si="38"/>
        <v>1.4986782289361564E-4</v>
      </c>
      <c r="V88" s="100">
        <f t="shared" si="39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40"/>
        <v>3.8813937169773554E-3</v>
      </c>
      <c r="J89" s="54">
        <f t="shared" si="41"/>
        <v>0.47829368809571571</v>
      </c>
      <c r="K89" s="55">
        <f t="shared" si="42"/>
        <v>0.99019557262789226</v>
      </c>
      <c r="L89" s="55">
        <f t="shared" si="43"/>
        <v>3.97354767151696E-4</v>
      </c>
      <c r="M89" s="55">
        <f t="shared" si="21"/>
        <v>0.99960264523284825</v>
      </c>
      <c r="N89" s="55">
        <f t="shared" si="44"/>
        <v>1.3591836196345656E-4</v>
      </c>
      <c r="O89" s="56">
        <f t="shared" si="23"/>
        <v>9.9084085426675278E-7</v>
      </c>
      <c r="P89" s="56">
        <f t="shared" si="45"/>
        <v>2.9805581084048711E-6</v>
      </c>
      <c r="Q89" s="56">
        <f t="shared" si="46"/>
        <v>2.0390472661757752E-5</v>
      </c>
      <c r="R89" s="9">
        <f t="shared" si="35"/>
        <v>1.4999999999999999E-4</v>
      </c>
      <c r="S89" s="9">
        <f t="shared" si="36"/>
        <v>5.9603215072754393E-8</v>
      </c>
      <c r="T89" s="9">
        <f t="shared" si="37"/>
        <v>1.4852933589418383E-4</v>
      </c>
      <c r="U89" s="9">
        <f t="shared" si="38"/>
        <v>1.4994039678492723E-4</v>
      </c>
      <c r="V89" s="100">
        <f t="shared" si="39"/>
        <v>0.99058918796401874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40"/>
        <v>1.2917346823443875E-4</v>
      </c>
      <c r="J90" s="54">
        <f t="shared" si="41"/>
        <v>9.6802248814160784E-3</v>
      </c>
      <c r="K90" s="55">
        <f t="shared" si="42"/>
        <v>0.99904859695249359</v>
      </c>
      <c r="L90" s="55">
        <f t="shared" si="43"/>
        <v>1.3627952103736579E-4</v>
      </c>
      <c r="M90" s="55">
        <f t="shared" si="21"/>
        <v>0.99986372047896266</v>
      </c>
      <c r="N90" s="55">
        <f t="shared" si="44"/>
        <v>4.5070932736543847E-6</v>
      </c>
      <c r="O90" s="56">
        <f t="shared" si="23"/>
        <v>9.9969964784967339E-7</v>
      </c>
      <c r="P90" s="56">
        <f t="shared" si="45"/>
        <v>1.0222326873012805E-6</v>
      </c>
      <c r="Q90" s="56">
        <f t="shared" si="46"/>
        <v>6.7615413291363063E-7</v>
      </c>
      <c r="R90" s="9">
        <f t="shared" si="35"/>
        <v>1.4999999999999999E-4</v>
      </c>
      <c r="S90" s="9">
        <f t="shared" si="36"/>
        <v>2.0441928155604865E-8</v>
      </c>
      <c r="T90" s="9">
        <f t="shared" si="37"/>
        <v>1.4985728954287404E-4</v>
      </c>
      <c r="U90" s="9">
        <f t="shared" si="38"/>
        <v>1.4997955807184439E-4</v>
      </c>
      <c r="V90" s="100">
        <f t="shared" si="39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40"/>
        <v>-2.2956464274597468E-5</v>
      </c>
      <c r="J91" s="54">
        <f t="shared" si="41"/>
        <v>-1.6805454315982515E-2</v>
      </c>
      <c r="K91" s="55">
        <f t="shared" si="42"/>
        <v>0.99940663014591691</v>
      </c>
      <c r="L91" s="55">
        <f t="shared" si="43"/>
        <v>1.282627453539909E-4</v>
      </c>
      <c r="M91" s="55">
        <f t="shared" si="21"/>
        <v>0.99987173725464595</v>
      </c>
      <c r="N91" s="55">
        <f t="shared" si="44"/>
        <v>2.0477812889795059E-6</v>
      </c>
      <c r="O91" s="56">
        <f t="shared" si="23"/>
        <v>1.0000579143629098E-6</v>
      </c>
      <c r="P91" s="56">
        <f t="shared" si="45"/>
        <v>9.6209885290028563E-7</v>
      </c>
      <c r="Q91" s="56">
        <f t="shared" si="46"/>
        <v>3.0720814897270539E-7</v>
      </c>
      <c r="R91" s="9">
        <f t="shared" si="35"/>
        <v>1.4999999999999999E-4</v>
      </c>
      <c r="S91" s="9">
        <f t="shared" si="36"/>
        <v>1.9239411803098635E-8</v>
      </c>
      <c r="T91" s="9">
        <f t="shared" si="37"/>
        <v>1.4991099452188751E-4</v>
      </c>
      <c r="U91" s="9">
        <f t="shared" si="38"/>
        <v>1.4998076058819689E-4</v>
      </c>
      <c r="V91" s="100">
        <f t="shared" si="39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40"/>
        <v>4.9737704902702096E-3</v>
      </c>
      <c r="J92" s="54">
        <f t="shared" si="41"/>
        <v>0.56631779831251761</v>
      </c>
      <c r="K92" s="55">
        <f t="shared" si="42"/>
        <v>0.98762110604193365</v>
      </c>
      <c r="L92" s="55">
        <f t="shared" si="43"/>
        <v>4.853688717868361E-4</v>
      </c>
      <c r="M92" s="55">
        <f t="shared" si="21"/>
        <v>0.99951463112821315</v>
      </c>
      <c r="N92" s="55">
        <f t="shared" si="44"/>
        <v>1.8771824223680225E-4</v>
      </c>
      <c r="O92" s="56">
        <f t="shared" si="23"/>
        <v>9.882647099758401E-7</v>
      </c>
      <c r="P92" s="56">
        <f t="shared" si="45"/>
        <v>3.6407519072730564E-6</v>
      </c>
      <c r="Q92" s="56">
        <f t="shared" si="46"/>
        <v>2.8161490700365066E-5</v>
      </c>
      <c r="R92" s="9">
        <f t="shared" si="35"/>
        <v>1.4999999999999999E-4</v>
      </c>
      <c r="S92" s="9">
        <f t="shared" si="36"/>
        <v>7.2805330768025408E-8</v>
      </c>
      <c r="T92" s="9">
        <f t="shared" si="37"/>
        <v>1.4814316590629003E-4</v>
      </c>
      <c r="U92" s="9">
        <f t="shared" si="38"/>
        <v>1.4992719466923196E-4</v>
      </c>
      <c r="V92" s="100">
        <f t="shared" si="39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40"/>
        <v>-1.6944268240451622E-5</v>
      </c>
      <c r="J93" s="54">
        <f t="shared" si="41"/>
        <v>-1.5761133146324342E-2</v>
      </c>
      <c r="K93" s="55">
        <f t="shared" si="42"/>
        <v>0.99939248803284386</v>
      </c>
      <c r="L93" s="55">
        <f t="shared" si="43"/>
        <v>1.2856972264180773E-4</v>
      </c>
      <c r="M93" s="55">
        <f t="shared" ref="M93:M127" si="47">IF(D93=0,"",1-L93)</f>
        <v>0.99987143027735814</v>
      </c>
      <c r="N93" s="55">
        <f t="shared" si="44"/>
        <v>2.1340473205534237E-6</v>
      </c>
      <c r="O93" s="56">
        <f t="shared" ref="O93:O127" si="48">IF(D93=0,"",F93*K93*$J$7/$J$14)</f>
        <v>1.0000437630338332E-6</v>
      </c>
      <c r="P93" s="56">
        <f t="shared" si="45"/>
        <v>9.6440148953619984E-7</v>
      </c>
      <c r="Q93" s="56">
        <f t="shared" si="46"/>
        <v>3.2014977902942456E-7</v>
      </c>
      <c r="R93" s="9">
        <f t="shared" si="35"/>
        <v>1.4999999999999999E-4</v>
      </c>
      <c r="S93" s="9">
        <f t="shared" si="36"/>
        <v>1.9285458396271157E-8</v>
      </c>
      <c r="T93" s="9">
        <f t="shared" si="37"/>
        <v>1.4990887320492655E-4</v>
      </c>
      <c r="U93" s="9">
        <f t="shared" si="38"/>
        <v>1.499807145416037E-4</v>
      </c>
      <c r="V93" s="100">
        <f t="shared" si="39"/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40"/>
        <v>-1.664624595209951E-4</v>
      </c>
      <c r="J94" s="54">
        <f t="shared" si="41"/>
        <v>-4.1307694405703282E-2</v>
      </c>
      <c r="K94" s="55">
        <f t="shared" si="42"/>
        <v>0.99974391759585957</v>
      </c>
      <c r="L94" s="55">
        <f t="shared" si="43"/>
        <v>1.2126761481429399E-4</v>
      </c>
      <c r="M94" s="55">
        <f t="shared" si="47"/>
        <v>0.99987873238518565</v>
      </c>
      <c r="N94" s="55">
        <f t="shared" si="44"/>
        <v>3.5683756453400008E-7</v>
      </c>
      <c r="O94" s="56">
        <f t="shared" si="48"/>
        <v>1.0003954216132682E-6</v>
      </c>
      <c r="P94" s="56">
        <f t="shared" si="45"/>
        <v>9.0962837872201921E-7</v>
      </c>
      <c r="Q94" s="56">
        <f t="shared" si="46"/>
        <v>5.3532771431390674E-8</v>
      </c>
      <c r="R94" s="9">
        <f t="shared" si="35"/>
        <v>1.4999999999999999E-4</v>
      </c>
      <c r="S94" s="9">
        <f t="shared" si="36"/>
        <v>1.8190142222144097E-8</v>
      </c>
      <c r="T94" s="9">
        <f t="shared" si="37"/>
        <v>1.4996158763937891E-4</v>
      </c>
      <c r="U94" s="9">
        <f t="shared" si="38"/>
        <v>1.4998180985777783E-4</v>
      </c>
      <c r="V94" s="100">
        <f t="shared" si="39"/>
        <v>0.99986516886002319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40"/>
        <v>0.94867954725222914</v>
      </c>
      <c r="J95" s="54">
        <f t="shared" si="41"/>
        <v>3.7792037681406621</v>
      </c>
      <c r="K95" s="55">
        <f t="shared" si="42"/>
        <v>0.1031734685182199</v>
      </c>
      <c r="L95" s="55">
        <f t="shared" si="43"/>
        <v>8.2781932129594393E-2</v>
      </c>
      <c r="M95" s="55">
        <f t="shared" si="47"/>
        <v>0.91721806787040561</v>
      </c>
      <c r="N95" s="55">
        <f t="shared" si="44"/>
        <v>7.6466599495582918E-2</v>
      </c>
      <c r="O95" s="56">
        <f t="shared" si="48"/>
        <v>1.0324070366518757E-7</v>
      </c>
      <c r="P95" s="56">
        <f t="shared" si="45"/>
        <v>6.2094727290408773E-4</v>
      </c>
      <c r="Q95" s="56">
        <f t="shared" si="46"/>
        <v>1.1471519256327346E-2</v>
      </c>
      <c r="R95" s="9">
        <f t="shared" si="35"/>
        <v>1.4999999999999999E-4</v>
      </c>
      <c r="S95" s="9">
        <f t="shared" si="36"/>
        <v>1.2417289819439157E-5</v>
      </c>
      <c r="T95" s="9">
        <f t="shared" si="37"/>
        <v>1.5476020277732983E-5</v>
      </c>
      <c r="U95" s="9">
        <f t="shared" si="38"/>
        <v>1.3758271018056084E-4</v>
      </c>
      <c r="V95" s="100">
        <f t="shared" si="39"/>
        <v>0.11248521167683469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40"/>
        <v>-2.2502251762220258E-4</v>
      </c>
      <c r="J96" s="54">
        <f t="shared" si="41"/>
        <v>-5.0609949807824094E-2</v>
      </c>
      <c r="K96" s="55">
        <f t="shared" si="42"/>
        <v>0.9998812852014306</v>
      </c>
      <c r="L96" s="55">
        <f t="shared" si="43"/>
        <v>1.1871408497069772E-4</v>
      </c>
      <c r="M96" s="55">
        <f t="shared" si="47"/>
        <v>0.99988128591502934</v>
      </c>
      <c r="N96" s="55">
        <f t="shared" si="44"/>
        <v>1.1378426369456725E-14</v>
      </c>
      <c r="O96" s="56">
        <f t="shared" si="48"/>
        <v>1.00053287873731E-6</v>
      </c>
      <c r="P96" s="56">
        <f t="shared" si="45"/>
        <v>8.9047435136520346E-7</v>
      </c>
      <c r="Q96" s="56">
        <f t="shared" si="46"/>
        <v>1.7069915239458973E-15</v>
      </c>
      <c r="R96" s="9">
        <f t="shared" si="35"/>
        <v>1.4999999999999999E-4</v>
      </c>
      <c r="S96" s="9">
        <f t="shared" si="36"/>
        <v>1.7807112745604657E-8</v>
      </c>
      <c r="T96" s="9">
        <f t="shared" si="37"/>
        <v>1.4998219278021459E-4</v>
      </c>
      <c r="U96" s="9">
        <f t="shared" si="38"/>
        <v>1.4998219288725437E-4</v>
      </c>
      <c r="V96" s="100">
        <f t="shared" si="39"/>
        <v>0.99999999928631655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312</v>
      </c>
      <c r="E97" s="47">
        <v>-4.1624004386372073</v>
      </c>
      <c r="F97" s="96">
        <v>9.9999999999999995E-7</v>
      </c>
      <c r="G97" s="7"/>
      <c r="H97" s="7"/>
      <c r="I97" s="54" t="e">
        <f t="shared" si="40"/>
        <v>#VALUE!</v>
      </c>
      <c r="J97" s="54" t="e">
        <f t="shared" si="41"/>
        <v>#VALUE!</v>
      </c>
      <c r="K97" s="55" t="e">
        <f t="shared" si="42"/>
        <v>#VALUE!</v>
      </c>
      <c r="L97" s="55" t="e">
        <f t="shared" si="43"/>
        <v>#VALUE!</v>
      </c>
      <c r="M97" s="55" t="e">
        <f t="shared" si="47"/>
        <v>#VALUE!</v>
      </c>
      <c r="N97" s="55" t="e">
        <f t="shared" si="44"/>
        <v>#VALUE!</v>
      </c>
      <c r="O97" s="56" t="e">
        <f t="shared" si="48"/>
        <v>#VALUE!</v>
      </c>
      <c r="P97" s="56" t="e">
        <f t="shared" si="45"/>
        <v>#VALUE!</v>
      </c>
      <c r="Q97" s="56" t="e">
        <f t="shared" si="46"/>
        <v>#VALUE!</v>
      </c>
      <c r="R97" s="9">
        <f t="shared" si="35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300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40"/>
        <v>1.2628922084387679</v>
      </c>
      <c r="J98" s="54">
        <f t="shared" si="41"/>
        <v>3.4728223646217145</v>
      </c>
      <c r="K98" s="55">
        <f t="shared" si="42"/>
        <v>5.3406375248011152E-2</v>
      </c>
      <c r="L98" s="55">
        <f t="shared" si="43"/>
        <v>2.1163097216842973E-2</v>
      </c>
      <c r="M98" s="55">
        <f t="shared" si="47"/>
        <v>0.97883690278315705</v>
      </c>
      <c r="N98" s="55">
        <f t="shared" si="44"/>
        <v>6.3347118786431789E-3</v>
      </c>
      <c r="O98" s="56">
        <f t="shared" si="48"/>
        <v>5.3441178628573819E-8</v>
      </c>
      <c r="P98" s="56">
        <f t="shared" si="45"/>
        <v>1.5874439222353918E-4</v>
      </c>
      <c r="Q98" s="56">
        <f t="shared" si="46"/>
        <v>9.5033347603404946E-4</v>
      </c>
      <c r="R98" s="9">
        <f t="shared" si="35"/>
        <v>1.4999999999999999E-4</v>
      </c>
      <c r="S98" s="9">
        <f t="shared" si="36"/>
        <v>3.1744645825264457E-6</v>
      </c>
      <c r="T98" s="9">
        <f t="shared" si="37"/>
        <v>8.0109562872016722E-6</v>
      </c>
      <c r="U98" s="9">
        <f t="shared" si="38"/>
        <v>1.4682553541747355E-4</v>
      </c>
      <c r="V98" s="100">
        <f t="shared" si="39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301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40"/>
        <v>0.12448503768629132</v>
      </c>
      <c r="J99" s="54">
        <f t="shared" si="41"/>
        <v>1.7151795679439035</v>
      </c>
      <c r="K99" s="55">
        <f t="shared" si="42"/>
        <v>0.74651643462659834</v>
      </c>
      <c r="L99" s="55">
        <f t="shared" si="43"/>
        <v>5.1687163627187017E-3</v>
      </c>
      <c r="M99" s="55">
        <f t="shared" si="47"/>
        <v>0.99483128363728135</v>
      </c>
      <c r="N99" s="55">
        <f t="shared" si="44"/>
        <v>1.0403348257626147E-3</v>
      </c>
      <c r="O99" s="56">
        <f t="shared" si="48"/>
        <v>7.4700291766256442E-7</v>
      </c>
      <c r="P99" s="56">
        <f t="shared" si="45"/>
        <v>3.8770541436752979E-5</v>
      </c>
      <c r="Q99" s="56">
        <f t="shared" si="46"/>
        <v>1.5607103056090746E-4</v>
      </c>
      <c r="R99" s="9">
        <f t="shared" si="35"/>
        <v>1.4999999999999999E-4</v>
      </c>
      <c r="S99" s="9">
        <f t="shared" si="36"/>
        <v>7.7530745440780523E-7</v>
      </c>
      <c r="T99" s="9">
        <f t="shared" si="37"/>
        <v>1.1197746519398974E-4</v>
      </c>
      <c r="U99" s="9">
        <f t="shared" si="38"/>
        <v>1.4922469254559218E-4</v>
      </c>
      <c r="V99" s="100">
        <f t="shared" si="39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302</v>
      </c>
      <c r="C100" s="46" t="s">
        <v>215</v>
      </c>
      <c r="D100" s="47" t="s">
        <v>312</v>
      </c>
      <c r="E100" s="47">
        <v>1.7</v>
      </c>
      <c r="F100" s="96">
        <v>9.9999999999999995E-7</v>
      </c>
      <c r="G100" s="7"/>
      <c r="H100" s="7"/>
      <c r="I100" s="54" t="e">
        <f t="shared" si="40"/>
        <v>#VALUE!</v>
      </c>
      <c r="J100" s="54" t="e">
        <f t="shared" si="41"/>
        <v>#VALUE!</v>
      </c>
      <c r="K100" s="55" t="e">
        <f t="shared" si="42"/>
        <v>#VALUE!</v>
      </c>
      <c r="L100" s="55" t="e">
        <f t="shared" si="43"/>
        <v>#VALUE!</v>
      </c>
      <c r="M100" s="55" t="e">
        <f t="shared" si="47"/>
        <v>#VALUE!</v>
      </c>
      <c r="N100" s="55" t="e">
        <f t="shared" si="44"/>
        <v>#VALUE!</v>
      </c>
      <c r="O100" s="56" t="e">
        <f t="shared" si="48"/>
        <v>#VALUE!</v>
      </c>
      <c r="P100" s="56" t="e">
        <f t="shared" si="45"/>
        <v>#VALUE!</v>
      </c>
      <c r="Q100" s="56" t="e">
        <f t="shared" si="46"/>
        <v>#VALUE!</v>
      </c>
      <c r="R100" s="9">
        <f t="shared" si="35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303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40"/>
        <v>0.94115347171694241</v>
      </c>
      <c r="J101" s="54">
        <f t="shared" si="41"/>
        <v>3.0482053541141561</v>
      </c>
      <c r="K101" s="55">
        <f t="shared" si="42"/>
        <v>0.11253166294776057</v>
      </c>
      <c r="L101" s="55">
        <f t="shared" si="43"/>
        <v>1.6774278540612135E-2</v>
      </c>
      <c r="M101" s="55">
        <f t="shared" si="47"/>
        <v>0.98322572145938791</v>
      </c>
      <c r="N101" s="55">
        <f t="shared" si="44"/>
        <v>2.4854698569987867E-3</v>
      </c>
      <c r="O101" s="56">
        <f t="shared" si="48"/>
        <v>1.1260499655770382E-7</v>
      </c>
      <c r="P101" s="56">
        <f t="shared" si="45"/>
        <v>1.2582386333313155E-4</v>
      </c>
      <c r="Q101" s="56">
        <f t="shared" si="46"/>
        <v>3.7287018794695794E-4</v>
      </c>
      <c r="R101" s="9">
        <f t="shared" si="35"/>
        <v>1.4999999999999999E-4</v>
      </c>
      <c r="S101" s="9">
        <f t="shared" si="36"/>
        <v>2.5161417810918198E-6</v>
      </c>
      <c r="T101" s="9">
        <f t="shared" si="37"/>
        <v>1.6879749442164085E-5</v>
      </c>
      <c r="U101" s="9">
        <f t="shared" si="38"/>
        <v>1.4748385821890817E-4</v>
      </c>
      <c r="V101" s="100">
        <f t="shared" si="39"/>
        <v>0.11445150436130926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304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40"/>
        <v>0.36577089944725916</v>
      </c>
      <c r="J102" s="54">
        <f t="shared" si="41"/>
        <v>2.2204840859111705</v>
      </c>
      <c r="K102" s="55">
        <f t="shared" si="42"/>
        <v>0.42646124245561889</v>
      </c>
      <c r="L102" s="55">
        <f t="shared" si="43"/>
        <v>9.4520805325101678E-3</v>
      </c>
      <c r="M102" s="55">
        <f t="shared" si="47"/>
        <v>0.99054791946748988</v>
      </c>
      <c r="N102" s="55">
        <f t="shared" si="44"/>
        <v>3.2637200011954306E-9</v>
      </c>
      <c r="O102" s="56">
        <f t="shared" si="48"/>
        <v>4.2673915483681844E-7</v>
      </c>
      <c r="P102" s="56">
        <f t="shared" si="45"/>
        <v>7.0900056074358768E-5</v>
      </c>
      <c r="Q102" s="56">
        <f t="shared" si="46"/>
        <v>4.8962327457933846E-10</v>
      </c>
      <c r="R102" s="9">
        <f t="shared" si="35"/>
        <v>1.4999999999999999E-4</v>
      </c>
      <c r="S102" s="9">
        <f t="shared" si="36"/>
        <v>1.417812079876525E-6</v>
      </c>
      <c r="T102" s="9">
        <f t="shared" si="37"/>
        <v>6.3969186368342834E-5</v>
      </c>
      <c r="U102" s="9">
        <f t="shared" si="38"/>
        <v>1.4858218792012347E-4</v>
      </c>
      <c r="V102" s="100">
        <f t="shared" si="39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305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40"/>
        <v>1.199560490818528</v>
      </c>
      <c r="J103" s="54">
        <f t="shared" si="41"/>
        <v>3.2683598845020718</v>
      </c>
      <c r="K103" s="55">
        <f t="shared" si="42"/>
        <v>6.215590060308928E-2</v>
      </c>
      <c r="L103" s="55">
        <f t="shared" si="43"/>
        <v>1.5381759172282499E-2</v>
      </c>
      <c r="M103" s="55">
        <f t="shared" si="47"/>
        <v>0.98461824082771754</v>
      </c>
      <c r="N103" s="55">
        <f t="shared" si="44"/>
        <v>7.9326024299247125E-9</v>
      </c>
      <c r="O103" s="56">
        <f t="shared" si="48"/>
        <v>6.2196405794704678E-8</v>
      </c>
      <c r="P103" s="56">
        <f t="shared" si="45"/>
        <v>1.1537857555129104E-4</v>
      </c>
      <c r="Q103" s="56">
        <f t="shared" si="46"/>
        <v>1.1900490165373051E-9</v>
      </c>
      <c r="R103" s="9">
        <f t="shared" si="35"/>
        <v>1.4999999999999999E-4</v>
      </c>
      <c r="S103" s="9">
        <f t="shared" si="36"/>
        <v>2.3072638758423745E-6</v>
      </c>
      <c r="T103" s="9">
        <f t="shared" si="37"/>
        <v>9.3233850904633917E-6</v>
      </c>
      <c r="U103" s="9">
        <f t="shared" si="38"/>
        <v>1.4769273612415761E-4</v>
      </c>
      <c r="V103" s="100">
        <f t="shared" si="39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306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40"/>
        <v>1.8651886014657959</v>
      </c>
      <c r="J104" s="54">
        <f t="shared" si="41"/>
        <v>4.0256836428663529</v>
      </c>
      <c r="K104" s="55">
        <f t="shared" si="42"/>
        <v>1.3374781326552048E-2</v>
      </c>
      <c r="L104" s="55">
        <f t="shared" si="43"/>
        <v>1.8929279876148206E-2</v>
      </c>
      <c r="M104" s="55">
        <f t="shared" si="47"/>
        <v>0.98107072012385177</v>
      </c>
      <c r="N104" s="55">
        <f t="shared" si="44"/>
        <v>3.0932886919824436E-3</v>
      </c>
      <c r="O104" s="56">
        <f t="shared" si="48"/>
        <v>1.3383497282321165E-8</v>
      </c>
      <c r="P104" s="56">
        <f t="shared" si="45"/>
        <v>1.4198852835098775E-4</v>
      </c>
      <c r="Q104" s="56">
        <f t="shared" si="46"/>
        <v>4.6405516957120609E-4</v>
      </c>
      <c r="R104" s="9">
        <f t="shared" si="35"/>
        <v>1.4999999999999999E-4</v>
      </c>
      <c r="S104" s="9">
        <f t="shared" si="36"/>
        <v>2.8393919814222306E-6</v>
      </c>
      <c r="T104" s="9">
        <f t="shared" si="37"/>
        <v>2.0062171989828071E-6</v>
      </c>
      <c r="U104" s="9">
        <f t="shared" si="38"/>
        <v>1.4716060801857775E-4</v>
      </c>
      <c r="V104" s="100">
        <f t="shared" si="39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307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40"/>
        <v>1.4992792320699506</v>
      </c>
      <c r="J105" s="54">
        <f t="shared" si="41"/>
        <v>3.8653862162210095</v>
      </c>
      <c r="K105" s="55">
        <f t="shared" si="42"/>
        <v>3.0707649657521728E-2</v>
      </c>
      <c r="L105" s="55">
        <f t="shared" si="43"/>
        <v>3.0046684222673477E-2</v>
      </c>
      <c r="M105" s="55">
        <f t="shared" si="47"/>
        <v>0.96995331577732657</v>
      </c>
      <c r="N105" s="55">
        <f t="shared" si="44"/>
        <v>1.5899385551779329E-2</v>
      </c>
      <c r="O105" s="56">
        <f t="shared" si="48"/>
        <v>3.0727660939175891E-8</v>
      </c>
      <c r="P105" s="56">
        <f t="shared" si="45"/>
        <v>2.2538017835427372E-4</v>
      </c>
      <c r="Q105" s="56">
        <f t="shared" si="46"/>
        <v>2.3852258204779342E-3</v>
      </c>
      <c r="R105" s="9">
        <f t="shared" si="35"/>
        <v>1.4999999999999999E-4</v>
      </c>
      <c r="S105" s="9">
        <f t="shared" si="36"/>
        <v>4.5070026334010209E-6</v>
      </c>
      <c r="T105" s="9">
        <f t="shared" si="37"/>
        <v>4.6061474486282587E-6</v>
      </c>
      <c r="U105" s="9">
        <f t="shared" si="38"/>
        <v>1.4549299736659897E-4</v>
      </c>
      <c r="V105" s="100">
        <f t="shared" si="39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308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40"/>
        <v>0.70891628628139558</v>
      </c>
      <c r="J106" s="54">
        <f t="shared" si="41"/>
        <v>2.7421076871513792</v>
      </c>
      <c r="K106" s="55">
        <f t="shared" si="42"/>
        <v>0.19259843235841886</v>
      </c>
      <c r="L106" s="55">
        <f t="shared" si="43"/>
        <v>1.4188098487170002E-2</v>
      </c>
      <c r="M106" s="55">
        <f t="shared" si="47"/>
        <v>0.98581190151283005</v>
      </c>
      <c r="N106" s="55">
        <f t="shared" si="44"/>
        <v>1.0442067870242789E-3</v>
      </c>
      <c r="O106" s="56">
        <f t="shared" si="48"/>
        <v>1.9272394315195269E-7</v>
      </c>
      <c r="P106" s="56">
        <f t="shared" si="45"/>
        <v>1.0642492675226219E-4</v>
      </c>
      <c r="Q106" s="56">
        <f t="shared" si="46"/>
        <v>1.5665190218938226E-4</v>
      </c>
      <c r="R106" s="9">
        <f t="shared" si="35"/>
        <v>1.4999999999999999E-4</v>
      </c>
      <c r="S106" s="9">
        <f t="shared" si="36"/>
        <v>2.1282147730755002E-6</v>
      </c>
      <c r="T106" s="9">
        <f t="shared" si="37"/>
        <v>2.8889764853762828E-5</v>
      </c>
      <c r="U106" s="9">
        <f t="shared" si="38"/>
        <v>1.4787178522692449E-4</v>
      </c>
      <c r="V106" s="100">
        <f t="shared" si="39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309</v>
      </c>
      <c r="C107" s="46" t="s">
        <v>222</v>
      </c>
      <c r="D107" s="47" t="s">
        <v>312</v>
      </c>
      <c r="E107" s="47" t="s">
        <v>313</v>
      </c>
      <c r="F107" s="96">
        <v>9.9999999999999995E-7</v>
      </c>
      <c r="G107" s="7"/>
      <c r="H107" s="7"/>
      <c r="I107" s="54" t="e">
        <f t="shared" si="40"/>
        <v>#VALUE!</v>
      </c>
      <c r="J107" s="54" t="e">
        <f t="shared" si="41"/>
        <v>#VALUE!</v>
      </c>
      <c r="K107" s="55" t="e">
        <f t="shared" si="42"/>
        <v>#VALUE!</v>
      </c>
      <c r="L107" s="55" t="e">
        <f t="shared" si="43"/>
        <v>#VALUE!</v>
      </c>
      <c r="M107" s="55" t="e">
        <f t="shared" si="47"/>
        <v>#VALUE!</v>
      </c>
      <c r="N107" s="55" t="e">
        <f t="shared" si="44"/>
        <v>#VALUE!</v>
      </c>
      <c r="O107" s="56" t="e">
        <f t="shared" si="48"/>
        <v>#VALUE!</v>
      </c>
      <c r="P107" s="56" t="e">
        <f t="shared" si="45"/>
        <v>#VALUE!</v>
      </c>
      <c r="Q107" s="56" t="e">
        <f t="shared" si="46"/>
        <v>#VALUE!</v>
      </c>
      <c r="R107" s="9">
        <f t="shared" si="35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310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40"/>
        <v>1.3235891145541188</v>
      </c>
      <c r="J108" s="54">
        <f t="shared" si="41"/>
        <v>3.4941063050425574</v>
      </c>
      <c r="K108" s="55">
        <f t="shared" si="42"/>
        <v>4.6525848427090899E-2</v>
      </c>
      <c r="L108" s="55">
        <f t="shared" si="43"/>
        <v>1.9362630863256198E-2</v>
      </c>
      <c r="M108" s="55">
        <f t="shared" si="47"/>
        <v>0.98063736913674382</v>
      </c>
      <c r="N108" s="55">
        <f t="shared" si="44"/>
        <v>4.1862779992856945E-3</v>
      </c>
      <c r="O108" s="56">
        <f t="shared" si="48"/>
        <v>4.6556167968555554E-8</v>
      </c>
      <c r="P108" s="56">
        <f t="shared" si="45"/>
        <v>1.4523909410528476E-4</v>
      </c>
      <c r="Q108" s="56">
        <f t="shared" si="46"/>
        <v>6.2802542545283967E-4</v>
      </c>
      <c r="R108" s="9">
        <f t="shared" si="35"/>
        <v>1.4999999999999999E-4</v>
      </c>
      <c r="S108" s="9">
        <f t="shared" si="36"/>
        <v>2.9043946294884293E-6</v>
      </c>
      <c r="T108" s="9">
        <f t="shared" si="37"/>
        <v>6.9788772640636341E-6</v>
      </c>
      <c r="U108" s="9">
        <f t="shared" si="38"/>
        <v>1.4709560537051156E-4</v>
      </c>
      <c r="V108" s="100">
        <f t="shared" si="39"/>
        <v>4.7444498742738775E-2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311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40"/>
        <v>1.537838229995057</v>
      </c>
      <c r="J109" s="54">
        <f t="shared" si="41"/>
        <v>3.8560205528257723</v>
      </c>
      <c r="K109" s="55">
        <f t="shared" si="42"/>
        <v>2.8187275046721774E-2</v>
      </c>
      <c r="L109" s="55">
        <f t="shared" si="43"/>
        <v>2.699214545279132E-2</v>
      </c>
      <c r="M109" s="55">
        <f t="shared" si="47"/>
        <v>0.97300785454720873</v>
      </c>
      <c r="N109" s="55">
        <f t="shared" si="44"/>
        <v>1.2421866487211783E-2</v>
      </c>
      <c r="O109" s="56">
        <f t="shared" si="48"/>
        <v>2.8205643873587854E-8</v>
      </c>
      <c r="P109" s="56">
        <f t="shared" si="45"/>
        <v>2.0246808304138776E-4</v>
      </c>
      <c r="Q109" s="56">
        <f t="shared" si="46"/>
        <v>1.8635284104115111E-3</v>
      </c>
      <c r="R109" s="9">
        <f t="shared" si="35"/>
        <v>1.4999999999999999E-4</v>
      </c>
      <c r="S109" s="9">
        <f t="shared" si="36"/>
        <v>4.0488218179186978E-6</v>
      </c>
      <c r="T109" s="9">
        <f t="shared" si="37"/>
        <v>4.2280912570082655E-6</v>
      </c>
      <c r="U109" s="9">
        <f t="shared" si="38"/>
        <v>1.459511781820813E-4</v>
      </c>
      <c r="V109" s="100">
        <f t="shared" si="39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40"/>
        <v>0.24151373144665708</v>
      </c>
      <c r="J110" s="54">
        <f t="shared" si="41"/>
        <v>1.9780660616097288</v>
      </c>
      <c r="K110" s="55">
        <f t="shared" si="42"/>
        <v>0.56900444517493065</v>
      </c>
      <c r="L110" s="55">
        <f t="shared" si="43"/>
        <v>7.2168134672664442E-3</v>
      </c>
      <c r="M110" s="55">
        <f t="shared" si="47"/>
        <v>0.99278318653273356</v>
      </c>
      <c r="N110" s="55">
        <f t="shared" si="44"/>
        <v>9.5334352881695726E-5</v>
      </c>
      <c r="O110" s="56">
        <f t="shared" si="48"/>
        <v>5.6937524881317249E-7</v>
      </c>
      <c r="P110" s="56">
        <f t="shared" si="45"/>
        <v>5.4133317817965587E-5</v>
      </c>
      <c r="Q110" s="56">
        <f t="shared" si="46"/>
        <v>1.4302059619311989E-5</v>
      </c>
      <c r="R110" s="9">
        <f t="shared" si="35"/>
        <v>1.4999999999999999E-4</v>
      </c>
      <c r="S110" s="9">
        <f t="shared" si="36"/>
        <v>1.0825220200899666E-6</v>
      </c>
      <c r="T110" s="9">
        <f t="shared" si="37"/>
        <v>8.5350666776239597E-5</v>
      </c>
      <c r="U110" s="9">
        <f t="shared" si="38"/>
        <v>1.4891747797991003E-4</v>
      </c>
      <c r="V110" s="100">
        <f t="shared" si="39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40"/>
        <v>0.16670977104284687</v>
      </c>
      <c r="J111" s="54">
        <f t="shared" si="41"/>
        <v>2.3495507007911449</v>
      </c>
      <c r="K111" s="55">
        <f t="shared" si="42"/>
        <v>0.66731620999655628</v>
      </c>
      <c r="L111" s="55">
        <f t="shared" si="43"/>
        <v>1.9908848180392565E-2</v>
      </c>
      <c r="M111" s="55">
        <f t="shared" si="47"/>
        <v>0.98009115181960749</v>
      </c>
      <c r="N111" s="55">
        <f t="shared" si="44"/>
        <v>1.6151053317510634E-2</v>
      </c>
      <c r="O111" s="56">
        <f t="shared" si="48"/>
        <v>6.677510805509479E-7</v>
      </c>
      <c r="P111" s="56">
        <f t="shared" si="45"/>
        <v>1.4933627020112463E-4</v>
      </c>
      <c r="Q111" s="56">
        <f t="shared" si="46"/>
        <v>2.422981018692945E-3</v>
      </c>
      <c r="R111" s="9">
        <f t="shared" si="35"/>
        <v>1.4999999999999999E-4</v>
      </c>
      <c r="S111" s="9">
        <f t="shared" si="36"/>
        <v>2.9863272270588843E-6</v>
      </c>
      <c r="T111" s="9">
        <f t="shared" si="37"/>
        <v>1.0009743149948343E-4</v>
      </c>
      <c r="U111" s="9">
        <f t="shared" si="38"/>
        <v>1.470136727729411E-4</v>
      </c>
      <c r="V111" s="100">
        <f t="shared" si="39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40"/>
        <v>2.5219720041185627</v>
      </c>
      <c r="J112" s="54">
        <f t="shared" si="41"/>
        <v>5.4568603611336437</v>
      </c>
      <c r="K112" s="55">
        <f t="shared" si="42"/>
        <v>2.6953665409126509E-3</v>
      </c>
      <c r="L112" s="55">
        <f t="shared" si="43"/>
        <v>0.10295369866657972</v>
      </c>
      <c r="M112" s="55">
        <f t="shared" si="47"/>
        <v>0.89704630133342023</v>
      </c>
      <c r="N112" s="55">
        <f t="shared" si="44"/>
        <v>9.7290088107668635E-2</v>
      </c>
      <c r="O112" s="56">
        <f t="shared" si="48"/>
        <v>2.6971230328491214E-9</v>
      </c>
      <c r="P112" s="56">
        <f t="shared" si="45"/>
        <v>7.7225569369801387E-4</v>
      </c>
      <c r="Q112" s="56">
        <f t="shared" si="46"/>
        <v>1.4595459017912446E-2</v>
      </c>
      <c r="R112" s="9">
        <f t="shared" si="35"/>
        <v>1.4999999999999999E-4</v>
      </c>
      <c r="S112" s="9">
        <f t="shared" si="36"/>
        <v>1.5443054799986957E-5</v>
      </c>
      <c r="T112" s="9">
        <f t="shared" si="37"/>
        <v>4.0430498113689757E-7</v>
      </c>
      <c r="U112" s="9">
        <f t="shared" si="38"/>
        <v>1.3455694520001302E-4</v>
      </c>
      <c r="V112" s="100">
        <f t="shared" si="39"/>
        <v>3.0047128413618184E-3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40"/>
        <v>2.8671793282646911</v>
      </c>
      <c r="J113" s="54">
        <f t="shared" si="41"/>
        <v>5.8376711731613922</v>
      </c>
      <c r="K113" s="55">
        <f t="shared" si="42"/>
        <v>1.2067220793714186E-3</v>
      </c>
      <c r="L113" s="55">
        <f t="shared" si="43"/>
        <v>0.11077511043908211</v>
      </c>
      <c r="M113" s="55">
        <f t="shared" si="47"/>
        <v>0.88922488956091783</v>
      </c>
      <c r="N113" s="55">
        <f t="shared" si="44"/>
        <v>0.10604935290145998</v>
      </c>
      <c r="O113" s="56">
        <f t="shared" si="48"/>
        <v>1.2075084650335554E-9</v>
      </c>
      <c r="P113" s="56">
        <f t="shared" si="45"/>
        <v>8.3092410340355571E-4</v>
      </c>
      <c r="Q113" s="56">
        <f t="shared" si="46"/>
        <v>1.590952392227702E-2</v>
      </c>
      <c r="R113" s="9">
        <f t="shared" si="35"/>
        <v>1.4999999999999999E-4</v>
      </c>
      <c r="S113" s="9">
        <f t="shared" si="36"/>
        <v>1.6616266565862314E-5</v>
      </c>
      <c r="T113" s="9">
        <f t="shared" si="37"/>
        <v>1.8100831190571279E-7</v>
      </c>
      <c r="U113" s="9">
        <f t="shared" si="38"/>
        <v>1.3338373343413766E-4</v>
      </c>
      <c r="V113" s="100">
        <f t="shared" si="39"/>
        <v>1.3570493736036503E-3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40"/>
        <v>3.2678433041260839</v>
      </c>
      <c r="J114" s="54">
        <f t="shared" si="41"/>
        <v>6.2686756056738835</v>
      </c>
      <c r="K114" s="55">
        <f t="shared" si="42"/>
        <v>4.7585650448938509E-4</v>
      </c>
      <c r="L114" s="55">
        <f t="shared" si="43"/>
        <v>0.11784614358517562</v>
      </c>
      <c r="M114" s="55">
        <f t="shared" si="47"/>
        <v>0.88215385641482436</v>
      </c>
      <c r="N114" s="55">
        <f t="shared" si="44"/>
        <v>0.11397950691244824</v>
      </c>
      <c r="O114" s="56">
        <f t="shared" si="48"/>
        <v>4.7616660632539345E-10</v>
      </c>
      <c r="P114" s="56">
        <f t="shared" si="45"/>
        <v>8.8396392303240309E-4</v>
      </c>
      <c r="Q114" s="56">
        <f t="shared" si="46"/>
        <v>1.7099205627005482E-2</v>
      </c>
      <c r="R114" s="9">
        <f t="shared" si="35"/>
        <v>1.4999999999999999E-4</v>
      </c>
      <c r="S114" s="9">
        <f t="shared" si="36"/>
        <v>1.767692153777634E-5</v>
      </c>
      <c r="T114" s="9">
        <f t="shared" si="37"/>
        <v>7.1378475673407758E-8</v>
      </c>
      <c r="U114" s="9">
        <f t="shared" si="38"/>
        <v>1.3232307846222364E-4</v>
      </c>
      <c r="V114" s="100">
        <f t="shared" si="39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40"/>
        <v>1.873926252180699</v>
      </c>
      <c r="J115" s="54">
        <f t="shared" si="41"/>
        <v>4.8544220902765449</v>
      </c>
      <c r="K115" s="55">
        <f t="shared" si="42"/>
        <v>1.1850610492916818E-2</v>
      </c>
      <c r="L115" s="55">
        <f t="shared" si="43"/>
        <v>0.11306457995576633</v>
      </c>
      <c r="M115" s="55">
        <f t="shared" si="47"/>
        <v>0.88693542004423365</v>
      </c>
      <c r="N115" s="55">
        <f t="shared" si="44"/>
        <v>0.1088159404736344</v>
      </c>
      <c r="O115" s="56">
        <f t="shared" si="48"/>
        <v>1.1858333190908764E-8</v>
      </c>
      <c r="P115" s="56">
        <f t="shared" si="45"/>
        <v>8.4809741424820293E-4</v>
      </c>
      <c r="Q115" s="56">
        <f t="shared" si="46"/>
        <v>1.6324567389854626E-2</v>
      </c>
      <c r="R115" s="9">
        <f t="shared" si="35"/>
        <v>1.4999999999999999E-4</v>
      </c>
      <c r="S115" s="9">
        <f t="shared" si="36"/>
        <v>1.6959686993364948E-5</v>
      </c>
      <c r="T115" s="9">
        <f t="shared" si="37"/>
        <v>1.7775915739375225E-6</v>
      </c>
      <c r="U115" s="9">
        <f t="shared" si="38"/>
        <v>1.3304031300663503E-4</v>
      </c>
      <c r="V115" s="100">
        <f t="shared" si="39"/>
        <v>1.336130029887159E-2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40"/>
        <v>-6.4011746653915488E-5</v>
      </c>
      <c r="J116" s="54">
        <f t="shared" si="41"/>
        <v>-2.3915236456629588E-2</v>
      </c>
      <c r="K116" s="55">
        <f t="shared" si="42"/>
        <v>0.99950318152174855</v>
      </c>
      <c r="L116" s="55">
        <f t="shared" si="43"/>
        <v>1.2619225580389585E-4</v>
      </c>
      <c r="M116" s="55">
        <f t="shared" si="47"/>
        <v>0.9998738077441961</v>
      </c>
      <c r="N116" s="55">
        <f t="shared" si="44"/>
        <v>1.4872603165744384E-6</v>
      </c>
      <c r="O116" s="56">
        <f t="shared" si="48"/>
        <v>1.0001545286584633E-6</v>
      </c>
      <c r="P116" s="56">
        <f t="shared" si="45"/>
        <v>9.4656811078502284E-7</v>
      </c>
      <c r="Q116" s="56">
        <f t="shared" si="46"/>
        <v>2.231187926924972E-7</v>
      </c>
      <c r="R116" s="9">
        <f t="shared" si="35"/>
        <v>1.4999999999999999E-4</v>
      </c>
      <c r="S116" s="9">
        <f t="shared" si="36"/>
        <v>1.8928838370584374E-8</v>
      </c>
      <c r="T116" s="9">
        <f t="shared" si="37"/>
        <v>1.4992547722826228E-4</v>
      </c>
      <c r="U116" s="9">
        <f t="shared" si="38"/>
        <v>1.4998107116162939E-4</v>
      </c>
      <c r="V116" s="100">
        <f t="shared" si="39"/>
        <v>0.99962932700149065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40"/>
        <v>1.5422749478710035E-2</v>
      </c>
      <c r="J117" s="54">
        <f t="shared" si="41"/>
        <v>1.0376508814998808</v>
      </c>
      <c r="K117" s="55">
        <f t="shared" si="42"/>
        <v>0.96325924646799255</v>
      </c>
      <c r="L117" s="55">
        <f t="shared" si="43"/>
        <v>1.401386170918032E-3</v>
      </c>
      <c r="M117" s="55">
        <f t="shared" si="47"/>
        <v>0.99859861382908199</v>
      </c>
      <c r="N117" s="55">
        <f t="shared" si="44"/>
        <v>7.7130465126499582E-4</v>
      </c>
      <c r="O117" s="56">
        <f t="shared" si="48"/>
        <v>9.6388697448697255E-7</v>
      </c>
      <c r="P117" s="56">
        <f t="shared" si="45"/>
        <v>1.0511797668056158E-5</v>
      </c>
      <c r="Q117" s="56">
        <f t="shared" si="46"/>
        <v>1.1571112378277466E-4</v>
      </c>
      <c r="R117" s="9">
        <f t="shared" si="35"/>
        <v>1.4999999999999999E-4</v>
      </c>
      <c r="S117" s="9">
        <f t="shared" si="36"/>
        <v>2.1020792563770479E-7</v>
      </c>
      <c r="T117" s="9">
        <f t="shared" si="37"/>
        <v>1.4448888697019886E-4</v>
      </c>
      <c r="U117" s="9">
        <f t="shared" si="38"/>
        <v>1.4978979207436229E-4</v>
      </c>
      <c r="V117" s="100">
        <f t="shared" si="39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40"/>
        <v>0.17039252388598855</v>
      </c>
      <c r="J118" s="54">
        <f t="shared" si="41"/>
        <v>2.3631678945687002</v>
      </c>
      <c r="K118" s="55">
        <f t="shared" si="42"/>
        <v>0.66137672159641625</v>
      </c>
      <c r="L118" s="55">
        <f t="shared" si="43"/>
        <v>2.0360130580397144E-2</v>
      </c>
      <c r="M118" s="55">
        <f t="shared" si="47"/>
        <v>0.9796398694196029</v>
      </c>
      <c r="N118" s="55">
        <f t="shared" si="44"/>
        <v>1.6549415178922871E-2</v>
      </c>
      <c r="O118" s="56">
        <f t="shared" si="48"/>
        <v>6.6180772155906336E-7</v>
      </c>
      <c r="P118" s="56">
        <f t="shared" si="45"/>
        <v>1.5272133948355897E-4</v>
      </c>
      <c r="Q118" s="56">
        <f t="shared" si="46"/>
        <v>2.4827432651420085E-3</v>
      </c>
      <c r="R118" s="9">
        <f t="shared" si="35"/>
        <v>1.4999999999999999E-4</v>
      </c>
      <c r="S118" s="9">
        <f t="shared" si="36"/>
        <v>3.0540195870595713E-6</v>
      </c>
      <c r="T118" s="9">
        <f t="shared" si="37"/>
        <v>9.9206508239462423E-5</v>
      </c>
      <c r="U118" s="9">
        <f t="shared" si="38"/>
        <v>1.4694598041294042E-4</v>
      </c>
      <c r="V118" s="100">
        <f t="shared" si="39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40"/>
        <v>-2.0346404759841822E-4</v>
      </c>
      <c r="J119" s="54">
        <f t="shared" si="41"/>
        <v>-4.7308877203311103E-2</v>
      </c>
      <c r="K119" s="55">
        <f t="shared" si="42"/>
        <v>0.99983075242086861</v>
      </c>
      <c r="L119" s="55">
        <f t="shared" si="43"/>
        <v>1.19613823426945E-4</v>
      </c>
      <c r="M119" s="55">
        <f t="shared" si="47"/>
        <v>0.99988038617657304</v>
      </c>
      <c r="N119" s="55">
        <f t="shared" si="44"/>
        <v>8.6763273561462782E-8</v>
      </c>
      <c r="O119" s="56">
        <f t="shared" si="48"/>
        <v>1.0004823130260055E-6</v>
      </c>
      <c r="P119" s="56">
        <f t="shared" si="45"/>
        <v>8.9722328952551423E-7</v>
      </c>
      <c r="Q119" s="56">
        <f t="shared" si="46"/>
        <v>1.3016226299690643E-8</v>
      </c>
      <c r="R119" s="9">
        <f t="shared" si="35"/>
        <v>1.4999999999999999E-4</v>
      </c>
      <c r="S119" s="9">
        <f t="shared" si="36"/>
        <v>1.794207351404175E-8</v>
      </c>
      <c r="T119" s="9">
        <f t="shared" si="37"/>
        <v>1.4997461286313026E-4</v>
      </c>
      <c r="U119" s="9">
        <f t="shared" si="38"/>
        <v>1.4998205792648596E-4</v>
      </c>
      <c r="V119" s="100">
        <f t="shared" si="39"/>
        <v>0.99995036030670204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40"/>
        <v>-2.2502281549544107E-4</v>
      </c>
      <c r="J120" s="54">
        <f t="shared" si="41"/>
        <v>-5.0609991659574693E-2</v>
      </c>
      <c r="K120" s="55">
        <f t="shared" si="42"/>
        <v>0.99988128589858472</v>
      </c>
      <c r="L120" s="55">
        <f t="shared" si="43"/>
        <v>1.1871407361332412E-4</v>
      </c>
      <c r="M120" s="55">
        <f t="shared" si="47"/>
        <v>0.9998812859263867</v>
      </c>
      <c r="N120" s="55">
        <f t="shared" si="44"/>
        <v>1.1252064261795589E-16</v>
      </c>
      <c r="O120" s="56">
        <f t="shared" si="48"/>
        <v>1.0005328794349183E-6</v>
      </c>
      <c r="P120" s="56">
        <f t="shared" si="45"/>
        <v>8.9047426617354394E-7</v>
      </c>
      <c r="Q120" s="56">
        <f t="shared" si="46"/>
        <v>1.6880346805545736E-17</v>
      </c>
      <c r="R120" s="9">
        <f t="shared" si="35"/>
        <v>1.4999999999999999E-4</v>
      </c>
      <c r="S120" s="9">
        <f t="shared" si="36"/>
        <v>1.7807111041998617E-8</v>
      </c>
      <c r="T120" s="9">
        <f t="shared" si="37"/>
        <v>1.4998219288478771E-4</v>
      </c>
      <c r="U120" s="9">
        <f t="shared" si="38"/>
        <v>1.4998219288895798E-4</v>
      </c>
      <c r="V120" s="100">
        <f t="shared" si="39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40"/>
        <v>1.5262652347248487E-3</v>
      </c>
      <c r="J121" s="54">
        <f t="shared" si="41"/>
        <v>0.22547827329253009</v>
      </c>
      <c r="K121" s="55">
        <f t="shared" si="42"/>
        <v>0.99575327704167249</v>
      </c>
      <c r="L121" s="55">
        <f t="shared" si="43"/>
        <v>2.2325118721803051E-4</v>
      </c>
      <c r="M121" s="55">
        <f t="shared" si="47"/>
        <v>0.999776748812782</v>
      </c>
      <c r="N121" s="55">
        <f t="shared" si="44"/>
        <v>4.1955096292631597E-5</v>
      </c>
      <c r="O121" s="56">
        <f t="shared" si="48"/>
        <v>9.9640218047476384E-7</v>
      </c>
      <c r="P121" s="56">
        <f t="shared" si="45"/>
        <v>1.6746071553224462E-6</v>
      </c>
      <c r="Q121" s="56">
        <f t="shared" si="46"/>
        <v>6.2941035458205912E-6</v>
      </c>
      <c r="R121" s="9">
        <f t="shared" si="35"/>
        <v>1.4999999999999999E-4</v>
      </c>
      <c r="S121" s="9">
        <f t="shared" si="36"/>
        <v>3.3487678082704573E-8</v>
      </c>
      <c r="T121" s="9">
        <f t="shared" si="37"/>
        <v>1.4936299155625087E-4</v>
      </c>
      <c r="U121" s="9">
        <f t="shared" si="38"/>
        <v>1.4996651232191728E-4</v>
      </c>
      <c r="V121" s="100">
        <f t="shared" si="39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40"/>
        <v>2.4878679358864142</v>
      </c>
      <c r="J122" s="54">
        <f t="shared" si="41"/>
        <v>5.5157795819294879</v>
      </c>
      <c r="K122" s="55">
        <f t="shared" si="42"/>
        <v>2.8455813911762219E-3</v>
      </c>
      <c r="L122" s="55">
        <f t="shared" si="43"/>
        <v>0.12448423462873598</v>
      </c>
      <c r="M122" s="55">
        <f t="shared" si="47"/>
        <v>0.87551576537126397</v>
      </c>
      <c r="N122" s="55">
        <f t="shared" si="44"/>
        <v>0.12147999305164198</v>
      </c>
      <c r="O122" s="56">
        <f t="shared" si="48"/>
        <v>2.8474357737591858E-9</v>
      </c>
      <c r="P122" s="56">
        <f t="shared" si="45"/>
        <v>9.3375624395014871E-4</v>
      </c>
      <c r="Q122" s="56">
        <f t="shared" si="46"/>
        <v>1.8224428557607322E-2</v>
      </c>
      <c r="R122" s="9">
        <f t="shared" ref="R122:R143" si="49">F122*$C$14</f>
        <v>1.4999999999999999E-4</v>
      </c>
      <c r="S122" s="9">
        <f t="shared" ref="S122:S143" si="50">$R122*L122</f>
        <v>1.8672635194310395E-5</v>
      </c>
      <c r="T122" s="9">
        <f t="shared" ref="T122:T143" si="51">R122*K122</f>
        <v>4.2683720867643322E-7</v>
      </c>
      <c r="U122" s="9">
        <f t="shared" ref="U122:U143" si="52">$R122*M122</f>
        <v>1.3132736480568957E-4</v>
      </c>
      <c r="V122" s="100">
        <f t="shared" ref="V122:V143" si="53">K122/M122</f>
        <v>3.2501772140785474E-3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6" si="54">IF(D123=0,"",LOG($K$15*10^D123+$K$16*10^E123+$K$14))</f>
        <v>1.0353959656071578E-2</v>
      </c>
      <c r="J123" s="54">
        <f t="shared" ref="J123:J127" si="55">IF(D123=0,"",LOG($K$21*10^D123+$K$22*10^E123+$K$20))</f>
        <v>0.9134404490197624</v>
      </c>
      <c r="K123" s="55">
        <f t="shared" ref="K123:K127" si="56">IF(D123=0,"",1/(1+10^D123*$J$15/$J$14+10^E123*$J$16/$J$14+10^J123*$J$19/$J$14))</f>
        <v>0.97489539885364873</v>
      </c>
      <c r="L123" s="55">
        <f t="shared" ref="L123:L127" si="57">IF(D123=0,"",1/(1+10^I123/10^J123*$J$13/$J$19))</f>
        <v>1.0655215290644542E-3</v>
      </c>
      <c r="M123" s="55">
        <f t="shared" si="47"/>
        <v>0.99893447847093553</v>
      </c>
      <c r="N123" s="55">
        <f t="shared" ref="N123:N127" si="58">IF(D123=0,"",1/(1/10^E123*$J$20/$J$22+10^D123/10^E123*$J$21/$J$22+10^I123/10^E123*$J$13/$J$22+1))</f>
        <v>6.0676536745962273E-4</v>
      </c>
      <c r="O123" s="56">
        <f t="shared" si="48"/>
        <v>9.7553070981451316E-7</v>
      </c>
      <c r="P123" s="56">
        <f t="shared" ref="P123:P127" si="59">IF(D123=0,"",O123*10^J123)</f>
        <v>7.9924769895124706E-6</v>
      </c>
      <c r="Q123" s="56">
        <f t="shared" ref="Q123:Q127" si="60">IF(D123=0,"",F123*N123*$J$7/$J$22)</f>
        <v>9.1026940426292577E-5</v>
      </c>
      <c r="R123" s="9">
        <f t="shared" si="49"/>
        <v>1.4999999999999999E-4</v>
      </c>
      <c r="S123" s="9">
        <f t="shared" si="50"/>
        <v>1.5982822935966811E-7</v>
      </c>
      <c r="T123" s="9">
        <f t="shared" si="51"/>
        <v>1.462343098280473E-4</v>
      </c>
      <c r="U123" s="9">
        <f t="shared" si="52"/>
        <v>1.4984017177064032E-4</v>
      </c>
      <c r="V123" s="100">
        <f t="shared" si="53"/>
        <v>0.97593527890429477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54"/>
        <v>2.0480395290290027E-2</v>
      </c>
      <c r="J124" s="54">
        <f t="shared" si="55"/>
        <v>0.97331271643662465</v>
      </c>
      <c r="K124" s="55">
        <f t="shared" si="56"/>
        <v>0.9523036050567234</v>
      </c>
      <c r="L124" s="55">
        <f t="shared" si="57"/>
        <v>1.1946808555107179E-3</v>
      </c>
      <c r="M124" s="55">
        <f t="shared" si="47"/>
        <v>0.99880531914448933</v>
      </c>
      <c r="N124" s="55">
        <f t="shared" si="58"/>
        <v>3.3877019349027606E-4</v>
      </c>
      <c r="O124" s="56">
        <f t="shared" si="48"/>
        <v>9.5292419360301747E-7</v>
      </c>
      <c r="P124" s="56">
        <f t="shared" si="59"/>
        <v>8.9613010971858951E-6</v>
      </c>
      <c r="Q124" s="56">
        <f t="shared" si="60"/>
        <v>5.0822304427411206E-5</v>
      </c>
      <c r="R124" s="9">
        <f t="shared" si="49"/>
        <v>1.4999999999999999E-4</v>
      </c>
      <c r="S124" s="9">
        <f t="shared" si="50"/>
        <v>1.7920212832660765E-7</v>
      </c>
      <c r="T124" s="9">
        <f t="shared" si="51"/>
        <v>1.4284554075850851E-4</v>
      </c>
      <c r="U124" s="9">
        <f t="shared" si="52"/>
        <v>1.4982079787167338E-4</v>
      </c>
      <c r="V124" s="100">
        <f t="shared" si="53"/>
        <v>0.9534426647551334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54"/>
        <v>5.8413729360461944E-4</v>
      </c>
      <c r="J125" s="54">
        <f t="shared" si="55"/>
        <v>7.3650487553540506E-2</v>
      </c>
      <c r="K125" s="55">
        <f t="shared" si="56"/>
        <v>0.99798113010043255</v>
      </c>
      <c r="L125" s="55">
        <f t="shared" si="57"/>
        <v>1.5773808959821211E-4</v>
      </c>
      <c r="M125" s="55">
        <f t="shared" si="47"/>
        <v>0.99984226191040182</v>
      </c>
      <c r="N125" s="55">
        <f t="shared" si="58"/>
        <v>9.0947568678759609E-6</v>
      </c>
      <c r="O125" s="56">
        <f t="shared" si="48"/>
        <v>9.9863148536052944E-7</v>
      </c>
      <c r="P125" s="56">
        <f t="shared" si="59"/>
        <v>1.1831934100761891E-6</v>
      </c>
      <c r="Q125" s="56">
        <f t="shared" si="60"/>
        <v>1.3643954253187512E-6</v>
      </c>
      <c r="R125" s="9">
        <f t="shared" si="49"/>
        <v>1.4999999999999999E-4</v>
      </c>
      <c r="S125" s="9">
        <f t="shared" si="50"/>
        <v>2.3660713439731815E-8</v>
      </c>
      <c r="T125" s="9">
        <f t="shared" si="51"/>
        <v>1.4969716951506487E-4</v>
      </c>
      <c r="U125" s="9">
        <f t="shared" si="52"/>
        <v>1.4997633928656026E-4</v>
      </c>
      <c r="V125" s="100">
        <f t="shared" si="53"/>
        <v>0.99813857457233979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54"/>
        <v>1.4729644553070216</v>
      </c>
      <c r="J126" s="54">
        <f t="shared" si="55"/>
        <v>4.4066096160793249</v>
      </c>
      <c r="K126" s="55">
        <f t="shared" si="56"/>
        <v>3.0182360996225035E-2</v>
      </c>
      <c r="L126" s="55">
        <f t="shared" si="57"/>
        <v>0.10268962896868856</v>
      </c>
      <c r="M126" s="55">
        <f t="shared" si="47"/>
        <v>0.89731037103131139</v>
      </c>
      <c r="N126" s="55">
        <f t="shared" si="58"/>
        <v>9.7496035327824304E-2</v>
      </c>
      <c r="O126" s="56">
        <f t="shared" si="48"/>
        <v>3.0202029962545134E-8</v>
      </c>
      <c r="P126" s="56">
        <f t="shared" si="59"/>
        <v>7.7027490689413297E-4</v>
      </c>
      <c r="Q126" s="56">
        <f t="shared" si="60"/>
        <v>1.4626355219880198E-2</v>
      </c>
      <c r="R126" s="9">
        <f t="shared" si="49"/>
        <v>1.4999999999999999E-4</v>
      </c>
      <c r="S126" s="9">
        <f t="shared" si="50"/>
        <v>1.5403444345303284E-5</v>
      </c>
      <c r="T126" s="9">
        <f t="shared" si="51"/>
        <v>4.5273541494337551E-6</v>
      </c>
      <c r="U126" s="9">
        <f t="shared" si="52"/>
        <v>1.3459655565469669E-4</v>
      </c>
      <c r="V126" s="100">
        <f t="shared" si="53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>IF(D127=0,"",LOG($K$15*10^D127+$K$16*10^E127+$K$14))</f>
        <v>0.12683662687631939</v>
      </c>
      <c r="J127" s="54">
        <f t="shared" si="55"/>
        <v>2.1831984223328189</v>
      </c>
      <c r="K127" s="55">
        <f t="shared" si="56"/>
        <v>0.73518200288860813</v>
      </c>
      <c r="L127" s="55">
        <f t="shared" si="57"/>
        <v>1.4953988724014084E-2</v>
      </c>
      <c r="M127" s="55">
        <f t="shared" si="47"/>
        <v>0.9850460112759859</v>
      </c>
      <c r="N127" s="55">
        <f t="shared" si="58"/>
        <v>1.1825747814342088E-2</v>
      </c>
      <c r="O127" s="56">
        <f t="shared" si="48"/>
        <v>7.3566109960525547E-7</v>
      </c>
      <c r="P127" s="56">
        <f t="shared" si="59"/>
        <v>1.121698694188296E-4</v>
      </c>
      <c r="Q127" s="56">
        <f t="shared" si="60"/>
        <v>1.7740986871075998E-3</v>
      </c>
      <c r="R127" s="9">
        <f t="shared" si="49"/>
        <v>1.4999999999999999E-4</v>
      </c>
      <c r="S127" s="9">
        <f t="shared" si="50"/>
        <v>2.2430983086021125E-6</v>
      </c>
      <c r="T127" s="9">
        <f t="shared" si="51"/>
        <v>1.1027730043329122E-4</v>
      </c>
      <c r="U127" s="9">
        <f t="shared" si="52"/>
        <v>1.4775690169139787E-4</v>
      </c>
      <c r="V127" s="100">
        <f t="shared" si="53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61">IF(D128=0,"",LOG($K$15*10^D128+$K$16*10^E128+$K$14))</f>
        <v>0.56658503951123784</v>
      </c>
      <c r="J128" s="54">
        <f t="shared" ref="J128:J134" si="62">IF(D128=0,"",LOG($K$21*10^D128+$K$22*10^E128+$K$20))</f>
        <v>3.1029128175372134</v>
      </c>
      <c r="K128" s="55">
        <f t="shared" ref="K128:K134" si="63">IF(D128=0,"",1/(1+10^D128*$J$15/$J$14+10^E128*$J$16/$J$14+10^J128*$J$19/$J$14))</f>
        <v>0.25925296340931658</v>
      </c>
      <c r="L128" s="55">
        <f t="shared" ref="L128:L134" si="64">IF(D128=0,"",1/(1+10^I128/10^J128*$J$13/$J$19))</f>
        <v>4.3832910256094502E-2</v>
      </c>
      <c r="M128" s="55">
        <f t="shared" ref="M128:M134" si="65">IF(D128=0,"",1-L128)</f>
        <v>0.95616708974390552</v>
      </c>
      <c r="N128" s="55">
        <f t="shared" ref="N128:N134" si="66">IF(D128=0,"",1/(1/10^E128*$J$20/$J$22+10^D128/10^E128*$J$21/$J$22+10^I128/10^E128*$J$13/$J$22+1))</f>
        <v>3.5565628936825883E-2</v>
      </c>
      <c r="O128" s="56">
        <f t="shared" ref="O128:O134" si="67">IF(D128=0,"",F128*K128*$J$7/$J$14)</f>
        <v>2.5942191102101333E-7</v>
      </c>
      <c r="P128" s="56">
        <f t="shared" ref="P128:P134" si="68">IF(D128=0,"",O128*10^J128)</f>
        <v>3.2879065983096469E-4</v>
      </c>
      <c r="Q128" s="56">
        <f t="shared" ref="Q128:Q134" si="69">IF(D128=0,"",F128*N128*$J$7/$J$22)</f>
        <v>5.3355556531026176E-3</v>
      </c>
      <c r="R128" s="9">
        <f t="shared" si="49"/>
        <v>1.4999999999999999E-4</v>
      </c>
      <c r="S128" s="9">
        <f t="shared" si="50"/>
        <v>6.5749365384141751E-6</v>
      </c>
      <c r="T128" s="9">
        <f t="shared" si="51"/>
        <v>3.8887944511397481E-5</v>
      </c>
      <c r="U128" s="9">
        <f t="shared" si="52"/>
        <v>1.4342506346158582E-4</v>
      </c>
      <c r="V128" s="100">
        <f t="shared" si="53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61"/>
        <v>-2.135446795447277E-4</v>
      </c>
      <c r="J129" s="54">
        <f t="shared" si="62"/>
        <v>-4.8884570023902327E-2</v>
      </c>
      <c r="K129" s="55">
        <f t="shared" si="63"/>
        <v>0.99985439063807868</v>
      </c>
      <c r="L129" s="55">
        <f t="shared" si="64"/>
        <v>1.1918344854118004E-4</v>
      </c>
      <c r="M129" s="55">
        <f t="shared" si="65"/>
        <v>0.99988081655145877</v>
      </c>
      <c r="N129" s="55">
        <f t="shared" si="66"/>
        <v>3.5510195205857717E-8</v>
      </c>
      <c r="O129" s="56">
        <f t="shared" si="67"/>
        <v>1.0005059666475538E-6</v>
      </c>
      <c r="P129" s="56">
        <f t="shared" si="68"/>
        <v>8.9399504750739123E-7</v>
      </c>
      <c r="Q129" s="56">
        <f t="shared" si="69"/>
        <v>5.3272394847827733E-9</v>
      </c>
      <c r="R129" s="9">
        <f t="shared" si="49"/>
        <v>1.4999999999999999E-4</v>
      </c>
      <c r="S129" s="9">
        <f t="shared" si="50"/>
        <v>1.7877517281177005E-8</v>
      </c>
      <c r="T129" s="9">
        <f t="shared" si="51"/>
        <v>1.4997815859571178E-4</v>
      </c>
      <c r="U129" s="9">
        <f t="shared" si="52"/>
        <v>1.4998212248271879E-4</v>
      </c>
      <c r="V129" s="100">
        <f t="shared" si="53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61"/>
        <v>3.4815258927436928E-2</v>
      </c>
      <c r="J130" s="54">
        <f t="shared" si="62"/>
        <v>1.4639587166510732</v>
      </c>
      <c r="K130" s="55">
        <f t="shared" si="63"/>
        <v>0.91919363792973074</v>
      </c>
      <c r="L130" s="55">
        <f t="shared" si="64"/>
        <v>3.568859787785577E-3</v>
      </c>
      <c r="M130" s="55">
        <f t="shared" si="65"/>
        <v>0.99643114021221446</v>
      </c>
      <c r="N130" s="55">
        <f t="shared" si="66"/>
        <v>2.4004794547400439E-3</v>
      </c>
      <c r="O130" s="56">
        <f t="shared" si="67"/>
        <v>9.1979264967398579E-7</v>
      </c>
      <c r="P130" s="56">
        <f t="shared" si="68"/>
        <v>2.6770017268179609E-5</v>
      </c>
      <c r="Q130" s="56">
        <f t="shared" si="69"/>
        <v>3.6011992780010129E-4</v>
      </c>
      <c r="R130" s="9">
        <f t="shared" si="49"/>
        <v>1.4999999999999999E-4</v>
      </c>
      <c r="S130" s="9">
        <f t="shared" si="50"/>
        <v>5.3532896816783654E-7</v>
      </c>
      <c r="T130" s="9">
        <f t="shared" si="51"/>
        <v>1.3787904568945961E-4</v>
      </c>
      <c r="U130" s="9">
        <f t="shared" si="52"/>
        <v>1.4946467103183216E-4</v>
      </c>
      <c r="V130" s="100">
        <f t="shared" si="53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61"/>
        <v>4.8235239734115414E-4</v>
      </c>
      <c r="J131" s="54">
        <f t="shared" si="62"/>
        <v>6.9804088254700969E-2</v>
      </c>
      <c r="K131" s="55">
        <f t="shared" si="63"/>
        <v>0.99821640453902538</v>
      </c>
      <c r="L131" s="55">
        <f t="shared" si="64"/>
        <v>1.5638408392264653E-4</v>
      </c>
      <c r="M131" s="55">
        <f t="shared" si="65"/>
        <v>0.9998436159160774</v>
      </c>
      <c r="N131" s="55">
        <f t="shared" si="66"/>
        <v>1.1875678971025318E-5</v>
      </c>
      <c r="O131" s="56">
        <f t="shared" si="67"/>
        <v>9.9886691312062704E-7</v>
      </c>
      <c r="P131" s="56">
        <f t="shared" si="68"/>
        <v>1.1730370135037713E-6</v>
      </c>
      <c r="Q131" s="56">
        <f t="shared" si="69"/>
        <v>1.7815893592332179E-6</v>
      </c>
      <c r="R131" s="9">
        <f t="shared" si="49"/>
        <v>1.4999999999999999E-4</v>
      </c>
      <c r="S131" s="9">
        <f t="shared" si="50"/>
        <v>2.3457612588396978E-8</v>
      </c>
      <c r="T131" s="9">
        <f t="shared" si="51"/>
        <v>1.4973246068085378E-4</v>
      </c>
      <c r="U131" s="9">
        <f t="shared" si="52"/>
        <v>1.4997654238741158E-4</v>
      </c>
      <c r="V131" s="100">
        <f t="shared" si="53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61"/>
        <v>1.6296434031808995E-3</v>
      </c>
      <c r="J132" s="54">
        <f t="shared" si="62"/>
        <v>0.23910923501822964</v>
      </c>
      <c r="K132" s="55">
        <f t="shared" si="63"/>
        <v>0.99550924746232106</v>
      </c>
      <c r="L132" s="55">
        <f t="shared" si="64"/>
        <v>2.3031291552045175E-4</v>
      </c>
      <c r="M132" s="55">
        <f t="shared" si="65"/>
        <v>0.99976968708447955</v>
      </c>
      <c r="N132" s="55">
        <f t="shared" si="66"/>
        <v>4.5426076738080532E-5</v>
      </c>
      <c r="O132" s="56">
        <f t="shared" si="67"/>
        <v>9.9615799186843711E-7</v>
      </c>
      <c r="P132" s="56">
        <f t="shared" si="68"/>
        <v>1.7275771793189082E-6</v>
      </c>
      <c r="Q132" s="56">
        <f t="shared" si="69"/>
        <v>6.81482003224684E-6</v>
      </c>
      <c r="R132" s="9">
        <f t="shared" si="49"/>
        <v>1.4999999999999999E-4</v>
      </c>
      <c r="S132" s="9">
        <f t="shared" si="50"/>
        <v>3.454693732806776E-8</v>
      </c>
      <c r="T132" s="9">
        <f t="shared" si="51"/>
        <v>1.4932638711934813E-4</v>
      </c>
      <c r="U132" s="9">
        <f t="shared" si="52"/>
        <v>1.4996545306267191E-4</v>
      </c>
      <c r="V132" s="100">
        <f t="shared" si="53"/>
        <v>0.99573857891752771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61"/>
        <v>0.18829844715874175</v>
      </c>
      <c r="J133" s="54">
        <f t="shared" si="62"/>
        <v>2.4261279148275903</v>
      </c>
      <c r="K133" s="55">
        <f t="shared" si="63"/>
        <v>0.63325332442073623</v>
      </c>
      <c r="L133" s="55">
        <f t="shared" si="64"/>
        <v>2.2535601412284566E-2</v>
      </c>
      <c r="M133" s="55">
        <f t="shared" si="65"/>
        <v>0.97746439858771539</v>
      </c>
      <c r="N133" s="55">
        <f t="shared" si="66"/>
        <v>1.84790775349945E-2</v>
      </c>
      <c r="O133" s="56">
        <f t="shared" si="67"/>
        <v>6.3366599718386689E-7</v>
      </c>
      <c r="P133" s="56">
        <f t="shared" si="68"/>
        <v>1.6903954619354653E-4</v>
      </c>
      <c r="Q133" s="56">
        <f t="shared" si="69"/>
        <v>2.7722312117998745E-3</v>
      </c>
      <c r="R133" s="9">
        <f t="shared" si="49"/>
        <v>1.4999999999999999E-4</v>
      </c>
      <c r="S133" s="9">
        <f t="shared" si="50"/>
        <v>3.3803402118426846E-6</v>
      </c>
      <c r="T133" s="9">
        <f t="shared" si="51"/>
        <v>9.4987998663110423E-5</v>
      </c>
      <c r="U133" s="9">
        <f t="shared" si="52"/>
        <v>1.4661965978815728E-4</v>
      </c>
      <c r="V133" s="100">
        <f t="shared" si="53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61"/>
        <v>-2.2139482595652795E-4</v>
      </c>
      <c r="J134" s="54">
        <f t="shared" si="62"/>
        <v>-5.0078092325288211E-2</v>
      </c>
      <c r="K134" s="55">
        <f t="shared" si="63"/>
        <v>0.99987278869849294</v>
      </c>
      <c r="L134" s="55">
        <f t="shared" si="64"/>
        <v>1.1885854687910241E-4</v>
      </c>
      <c r="M134" s="55">
        <f t="shared" si="65"/>
        <v>0.9998811414531209</v>
      </c>
      <c r="N134" s="55">
        <f t="shared" si="66"/>
        <v>6.9281868631471301E-9</v>
      </c>
      <c r="O134" s="56">
        <f t="shared" si="67"/>
        <v>1.0005243766974487E-6</v>
      </c>
      <c r="P134" s="56">
        <f t="shared" si="68"/>
        <v>8.9155796014014714E-7</v>
      </c>
      <c r="Q134" s="56">
        <f t="shared" si="69"/>
        <v>1.0393665932093324E-9</v>
      </c>
      <c r="R134" s="9">
        <f t="shared" si="49"/>
        <v>1.4999999999999999E-4</v>
      </c>
      <c r="S134" s="9">
        <f t="shared" si="50"/>
        <v>1.782878203186536E-8</v>
      </c>
      <c r="T134" s="9">
        <f t="shared" si="51"/>
        <v>1.4998091830477394E-4</v>
      </c>
      <c r="U134" s="9">
        <f t="shared" si="52"/>
        <v>1.4998217121796811E-4</v>
      </c>
      <c r="V134" s="100">
        <f t="shared" si="53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70">IF(D135=0,"",LOG($K$15*10^D135+$K$16*10^E135+$K$14))</f>
        <v>2.8479282847897803E-3</v>
      </c>
      <c r="J135" s="54">
        <f t="shared" ref="J135:J143" si="71">IF(D135=0,"",LOG($K$21*10^D135+$K$22*10^E135+$K$20))</f>
        <v>0.38035362640036091</v>
      </c>
      <c r="K135" s="55">
        <f t="shared" ref="K135:K143" si="72">IF(D135=0,"",1/(1+10^D135*$J$15/$J$14+10^E135*$J$16/$J$14+10^J135*$J$19/$J$14))</f>
        <v>0.99263357256565654</v>
      </c>
      <c r="L135" s="55">
        <f t="shared" ref="L135:L143" si="73">IF(D135=0,"",1/(1+10^I135/10^J135*$J$13/$J$19))</f>
        <v>3.1791157857428368E-4</v>
      </c>
      <c r="M135" s="55">
        <f t="shared" ref="M135:M143" si="74">IF(D135=0,"",1-L135)</f>
        <v>0.9996820884214257</v>
      </c>
      <c r="N135" s="55">
        <f t="shared" ref="N135:N143" si="75">IF(D135=0,"",1/(1/10^E135*$J$20/$J$22+10^D135/10^E135*$J$21/$J$22+10^I135/10^E135*$J$13/$J$22+1))</f>
        <v>9.125165622848881E-5</v>
      </c>
      <c r="O135" s="56">
        <f t="shared" ref="O135:O143" si="76">IF(D135=0,"",F135*K135*$J$7/$J$14)</f>
        <v>9.9328044297812789E-7</v>
      </c>
      <c r="P135" s="56">
        <f t="shared" ref="P135:P143" si="77">IF(D135=0,"",O135*10^J135)</f>
        <v>2.3846547508857015E-6</v>
      </c>
      <c r="Q135" s="56">
        <f t="shared" ref="Q135:Q143" si="78">IF(D135=0,"",F135*N135*$J$7/$J$22)</f>
        <v>1.3689573467397889E-5</v>
      </c>
      <c r="R135" s="9">
        <f t="shared" si="49"/>
        <v>1.4999999999999999E-4</v>
      </c>
      <c r="S135" s="9">
        <f t="shared" si="50"/>
        <v>4.7686736786142545E-8</v>
      </c>
      <c r="T135" s="9">
        <f t="shared" si="51"/>
        <v>1.4889503588484847E-4</v>
      </c>
      <c r="U135" s="9">
        <f t="shared" si="52"/>
        <v>1.4995231326321383E-4</v>
      </c>
      <c r="V135" s="100">
        <f t="shared" si="53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70"/>
        <v>-7.9190837002413863E-5</v>
      </c>
      <c r="J136" s="54">
        <f t="shared" si="71"/>
        <v>-2.6530951628927751E-2</v>
      </c>
      <c r="K136" s="55">
        <f t="shared" si="72"/>
        <v>0.99953886894340971</v>
      </c>
      <c r="L136" s="55">
        <f t="shared" si="73"/>
        <v>1.2543897452117758E-4</v>
      </c>
      <c r="M136" s="55">
        <f t="shared" si="74"/>
        <v>0.99987456102547878</v>
      </c>
      <c r="N136" s="55">
        <f t="shared" si="75"/>
        <v>1.2935777619539815E-6</v>
      </c>
      <c r="O136" s="56">
        <f t="shared" si="76"/>
        <v>1.0001902393365785E-6</v>
      </c>
      <c r="P136" s="56">
        <f t="shared" si="77"/>
        <v>9.4091774788335263E-7</v>
      </c>
      <c r="Q136" s="56">
        <f t="shared" si="78"/>
        <v>1.9406253584833628E-7</v>
      </c>
      <c r="R136" s="9">
        <f t="shared" si="49"/>
        <v>1.4999999999999999E-4</v>
      </c>
      <c r="S136" s="9">
        <f t="shared" si="50"/>
        <v>1.8815846178176635E-8</v>
      </c>
      <c r="T136" s="9">
        <f t="shared" si="51"/>
        <v>1.4993083034151145E-4</v>
      </c>
      <c r="U136" s="9">
        <f t="shared" si="52"/>
        <v>1.4998118415382182E-4</v>
      </c>
      <c r="V136" s="100">
        <f t="shared" si="53"/>
        <v>0.99966426580377765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70"/>
        <v>-2.2462984868396082E-4</v>
      </c>
      <c r="J137" s="54">
        <f t="shared" si="71"/>
        <v>-5.0553856533599194E-2</v>
      </c>
      <c r="K137" s="55">
        <f t="shared" si="72"/>
        <v>0.99988036593065643</v>
      </c>
      <c r="L137" s="55">
        <f t="shared" si="73"/>
        <v>1.1872930985975787E-4</v>
      </c>
      <c r="M137" s="55">
        <f t="shared" si="74"/>
        <v>0.99988127069014021</v>
      </c>
      <c r="N137" s="55">
        <f t="shared" si="75"/>
        <v>2.9459809877969178E-10</v>
      </c>
      <c r="O137" s="56">
        <f t="shared" si="76"/>
        <v>1.0005319588674738E-6</v>
      </c>
      <c r="P137" s="56">
        <f t="shared" si="77"/>
        <v>8.9058855325804369E-7</v>
      </c>
      <c r="Q137" s="56">
        <f t="shared" si="78"/>
        <v>4.4195606778929355E-11</v>
      </c>
      <c r="R137" s="9">
        <f t="shared" si="49"/>
        <v>1.4999999999999999E-4</v>
      </c>
      <c r="S137" s="9">
        <f t="shared" si="50"/>
        <v>1.7809396478963679E-8</v>
      </c>
      <c r="T137" s="9">
        <f t="shared" si="51"/>
        <v>1.4998205488959846E-4</v>
      </c>
      <c r="U137" s="9">
        <f t="shared" si="52"/>
        <v>1.4998219060352101E-4</v>
      </c>
      <c r="V137" s="100">
        <f t="shared" si="53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70"/>
        <v>-9.5327662881748492E-5</v>
      </c>
      <c r="J138" s="54">
        <f t="shared" si="71"/>
        <v>-2.9301207680156056E-2</v>
      </c>
      <c r="K138" s="55">
        <f t="shared" si="72"/>
        <v>0.99957680154459949</v>
      </c>
      <c r="L138" s="55">
        <f t="shared" si="73"/>
        <v>1.2464610732086789E-4</v>
      </c>
      <c r="M138" s="55">
        <f t="shared" si="74"/>
        <v>0.99987535389267912</v>
      </c>
      <c r="N138" s="55">
        <f t="shared" si="75"/>
        <v>1.096477980667503E-6</v>
      </c>
      <c r="O138" s="56">
        <f t="shared" si="76"/>
        <v>1.0002281966573405E-6</v>
      </c>
      <c r="P138" s="56">
        <f t="shared" si="77"/>
        <v>9.3497045101382994E-7</v>
      </c>
      <c r="Q138" s="56">
        <f t="shared" si="78"/>
        <v>1.6449362665973875E-7</v>
      </c>
      <c r="R138" s="9">
        <f t="shared" si="49"/>
        <v>1.4999999999999999E-4</v>
      </c>
      <c r="S138" s="9">
        <f t="shared" si="50"/>
        <v>1.8696916098130181E-8</v>
      </c>
      <c r="T138" s="9">
        <f t="shared" si="51"/>
        <v>1.499365202316899E-4</v>
      </c>
      <c r="U138" s="9">
        <f t="shared" si="52"/>
        <v>1.4998130308390185E-4</v>
      </c>
      <c r="V138" s="100">
        <f t="shared" si="53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70"/>
        <v>2.1084810301724875E-3</v>
      </c>
      <c r="J139" s="54">
        <f t="shared" si="71"/>
        <v>0.263940988382738</v>
      </c>
      <c r="K139" s="55">
        <f t="shared" si="72"/>
        <v>0.99439903002102004</v>
      </c>
      <c r="L139" s="55">
        <f t="shared" si="73"/>
        <v>2.4359335659853421E-4</v>
      </c>
      <c r="M139" s="55">
        <f t="shared" si="74"/>
        <v>0.99975640664340149</v>
      </c>
      <c r="N139" s="55">
        <f t="shared" si="75"/>
        <v>4.0044830134500194E-5</v>
      </c>
      <c r="O139" s="56">
        <f t="shared" si="76"/>
        <v>9.9504705093073822E-7</v>
      </c>
      <c r="P139" s="56">
        <f t="shared" si="77"/>
        <v>1.8271937678456046E-6</v>
      </c>
      <c r="Q139" s="56">
        <f t="shared" si="78"/>
        <v>6.0075254167777189E-6</v>
      </c>
      <c r="R139" s="9">
        <f t="shared" si="49"/>
        <v>1.4999999999999999E-4</v>
      </c>
      <c r="S139" s="9">
        <f t="shared" si="50"/>
        <v>3.6539003489780131E-8</v>
      </c>
      <c r="T139" s="9">
        <f t="shared" si="51"/>
        <v>1.49159854503153E-4</v>
      </c>
      <c r="U139" s="9">
        <f t="shared" si="52"/>
        <v>1.499634609965102E-4</v>
      </c>
      <c r="V139" s="100">
        <f t="shared" si="53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70"/>
        <v>-2.2206215862113771E-4</v>
      </c>
      <c r="J140" s="54">
        <f t="shared" si="71"/>
        <v>-5.0177410945668542E-2</v>
      </c>
      <c r="K140" s="55">
        <f t="shared" si="72"/>
        <v>0.99987435208706288</v>
      </c>
      <c r="L140" s="55">
        <f t="shared" si="73"/>
        <v>1.1883155407965103E-4</v>
      </c>
      <c r="M140" s="55">
        <f t="shared" si="74"/>
        <v>0.99988116844592034</v>
      </c>
      <c r="N140" s="55">
        <f t="shared" si="75"/>
        <v>5.1913674835067933E-9</v>
      </c>
      <c r="O140" s="56">
        <f t="shared" si="76"/>
        <v>1.0005259411048334E-6</v>
      </c>
      <c r="P140" s="56">
        <f t="shared" si="77"/>
        <v>8.9135548715146235E-7</v>
      </c>
      <c r="Q140" s="56">
        <f t="shared" si="78"/>
        <v>7.7880894987568892E-10</v>
      </c>
      <c r="R140" s="9">
        <f t="shared" si="49"/>
        <v>1.4999999999999999E-4</v>
      </c>
      <c r="S140" s="9">
        <f t="shared" si="50"/>
        <v>1.7824733111947653E-8</v>
      </c>
      <c r="T140" s="9">
        <f t="shared" si="51"/>
        <v>1.4998115281305942E-4</v>
      </c>
      <c r="U140" s="9">
        <f t="shared" si="52"/>
        <v>1.4998217526688803E-4</v>
      </c>
      <c r="V140" s="100">
        <f t="shared" si="53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70"/>
        <v>-2.1765065893421197E-4</v>
      </c>
      <c r="J141" s="54">
        <f t="shared" si="71"/>
        <v>-4.9513743875137496E-2</v>
      </c>
      <c r="K141" s="55">
        <f t="shared" si="72"/>
        <v>0.99986401506375644</v>
      </c>
      <c r="L141" s="55">
        <f t="shared" si="73"/>
        <v>1.1901205493075721E-4</v>
      </c>
      <c r="M141" s="55">
        <f t="shared" si="74"/>
        <v>0.99988098794506919</v>
      </c>
      <c r="N141" s="55">
        <f t="shared" si="75"/>
        <v>1.8951337303191642E-8</v>
      </c>
      <c r="O141" s="56">
        <f t="shared" si="76"/>
        <v>1.0005155973451898E-6</v>
      </c>
      <c r="P141" s="56">
        <f t="shared" si="77"/>
        <v>8.9270942403560993E-7</v>
      </c>
      <c r="Q141" s="56">
        <f t="shared" si="78"/>
        <v>2.8430796222248098E-9</v>
      </c>
      <c r="R141" s="9">
        <f t="shared" si="49"/>
        <v>1.4999999999999999E-4</v>
      </c>
      <c r="S141" s="9">
        <f t="shared" si="50"/>
        <v>1.7851808239613582E-8</v>
      </c>
      <c r="T141" s="9">
        <f t="shared" si="51"/>
        <v>1.4997960225956346E-4</v>
      </c>
      <c r="U141" s="9">
        <f t="shared" si="52"/>
        <v>1.4998214819176038E-4</v>
      </c>
      <c r="V141" s="100">
        <f t="shared" si="53"/>
        <v>0.99998302509846937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70"/>
        <v>5.0919667310397418E-2</v>
      </c>
      <c r="J142" s="54">
        <f t="shared" si="71"/>
        <v>1.6664622346062492</v>
      </c>
      <c r="K142" s="55">
        <f t="shared" si="72"/>
        <v>0.88404136409809264</v>
      </c>
      <c r="L142" s="55">
        <f t="shared" si="73"/>
        <v>5.47140143596587E-3</v>
      </c>
      <c r="M142" s="55">
        <f t="shared" si="74"/>
        <v>0.99452859856403408</v>
      </c>
      <c r="N142" s="55">
        <f t="shared" si="75"/>
        <v>3.895013167657971E-3</v>
      </c>
      <c r="O142" s="56">
        <f t="shared" si="76"/>
        <v>8.8461746812846283E-7</v>
      </c>
      <c r="P142" s="56">
        <f t="shared" si="77"/>
        <v>4.1040982171179992E-5</v>
      </c>
      <c r="Q142" s="56">
        <f t="shared" si="78"/>
        <v>5.8432987541204859E-4</v>
      </c>
      <c r="R142" s="9">
        <f t="shared" si="49"/>
        <v>1.4999999999999999E-4</v>
      </c>
      <c r="S142" s="9">
        <f t="shared" si="50"/>
        <v>8.2071021539488044E-7</v>
      </c>
      <c r="T142" s="9">
        <f t="shared" si="51"/>
        <v>1.3260620461471388E-4</v>
      </c>
      <c r="U142" s="9">
        <f t="shared" si="52"/>
        <v>1.491792897846051E-4</v>
      </c>
      <c r="V142" s="100">
        <f t="shared" si="53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70"/>
        <v>0.38018124000089604</v>
      </c>
      <c r="J143" s="54">
        <f t="shared" si="71"/>
        <v>2.2900502163435572</v>
      </c>
      <c r="K143" s="55">
        <f t="shared" si="72"/>
        <v>0.41201563194084112</v>
      </c>
      <c r="L143" s="55">
        <f t="shared" si="73"/>
        <v>1.0718343455297376E-2</v>
      </c>
      <c r="M143" s="55">
        <f t="shared" si="74"/>
        <v>0.98928165654470257</v>
      </c>
      <c r="N143" s="55">
        <f t="shared" si="75"/>
        <v>1.1583703691977665E-3</v>
      </c>
      <c r="O143" s="56">
        <f t="shared" si="76"/>
        <v>4.1228413053805188E-7</v>
      </c>
      <c r="P143" s="56">
        <f t="shared" si="77"/>
        <v>8.0398294258185579E-5</v>
      </c>
      <c r="Q143" s="56">
        <f t="shared" si="78"/>
        <v>1.7377872278704888E-4</v>
      </c>
      <c r="R143" s="9">
        <f t="shared" si="49"/>
        <v>1.4999999999999999E-4</v>
      </c>
      <c r="S143" s="9">
        <f t="shared" si="50"/>
        <v>1.6077515182946063E-6</v>
      </c>
      <c r="T143" s="9">
        <f t="shared" si="51"/>
        <v>6.1802344791126167E-5</v>
      </c>
      <c r="U143" s="9">
        <f t="shared" si="52"/>
        <v>1.4839224848170538E-4</v>
      </c>
      <c r="V143" s="100">
        <f t="shared" si="53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9"/>
      <c r="S144" s="9"/>
      <c r="T144" s="9"/>
      <c r="U144" s="9"/>
      <c r="V144" s="100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9"/>
      <c r="S145" s="9"/>
      <c r="T145" s="9"/>
      <c r="U145" s="9"/>
      <c r="V145" s="100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2025-02-02T14:52:57Z</dcterms:modified>
</cp:coreProperties>
</file>