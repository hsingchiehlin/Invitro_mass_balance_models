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96well_1um\"/>
    </mc:Choice>
  </mc:AlternateContent>
  <xr:revisionPtr revIDLastSave="0" documentId="13_ncr:1_{2B5550C8-BF1D-48D7-B040-6589D78593EB}" xr6:coauthVersionLast="47" xr6:coauthVersionMax="47" xr10:uidLastSave="{00000000-0000-0000-0000-000000000000}"/>
  <bookViews>
    <workbookView xWindow="43080" yWindow="-120" windowWidth="29040" windowHeight="1572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5" i="4" l="1"/>
  <c r="N135" i="4" s="1"/>
  <c r="Q135" i="4" s="1"/>
  <c r="J135" i="4"/>
  <c r="K135" i="4" s="1"/>
  <c r="I136" i="4"/>
  <c r="J136" i="4"/>
  <c r="K136" i="4"/>
  <c r="I137" i="4"/>
  <c r="J137" i="4"/>
  <c r="K137" i="4"/>
  <c r="I138" i="4"/>
  <c r="J138" i="4"/>
  <c r="K138" i="4"/>
  <c r="L138" i="4"/>
  <c r="M138" i="4"/>
  <c r="V138" i="4" s="1"/>
  <c r="N138" i="4"/>
  <c r="O138" i="4"/>
  <c r="P138" i="4"/>
  <c r="Q138" i="4"/>
  <c r="I139" i="4"/>
  <c r="J139" i="4"/>
  <c r="K139" i="4" s="1"/>
  <c r="L139" i="4"/>
  <c r="M139" i="4"/>
  <c r="N139" i="4"/>
  <c r="Q139" i="4"/>
  <c r="I140" i="4"/>
  <c r="J140" i="4"/>
  <c r="K140" i="4"/>
  <c r="I141" i="4"/>
  <c r="J141" i="4"/>
  <c r="K141" i="4"/>
  <c r="O141" i="4" s="1"/>
  <c r="P141" i="4" s="1"/>
  <c r="I142" i="4"/>
  <c r="J142" i="4"/>
  <c r="K142" i="4"/>
  <c r="L142" i="4"/>
  <c r="M142" i="4"/>
  <c r="N142" i="4"/>
  <c r="O142" i="4"/>
  <c r="P142" i="4"/>
  <c r="Q142" i="4"/>
  <c r="I143" i="4"/>
  <c r="J143" i="4"/>
  <c r="K143" i="4" s="1"/>
  <c r="L143" i="4"/>
  <c r="M143" i="4"/>
  <c r="N143" i="4"/>
  <c r="Q143" i="4"/>
  <c r="R143" i="4"/>
  <c r="S143" i="4" s="1"/>
  <c r="V142" i="4"/>
  <c r="R142" i="4"/>
  <c r="S142" i="4" s="1"/>
  <c r="R141" i="4"/>
  <c r="T141" i="4" s="1"/>
  <c r="R140" i="4"/>
  <c r="R139" i="4"/>
  <c r="U139" i="4" s="1"/>
  <c r="R138" i="4"/>
  <c r="T138" i="4" s="1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O137" i="4" l="1"/>
  <c r="P137" i="4" s="1"/>
  <c r="V137" i="4"/>
  <c r="L137" i="4"/>
  <c r="M137" i="4" s="1"/>
  <c r="U137" i="4" s="1"/>
  <c r="N137" i="4"/>
  <c r="Q137" i="4" s="1"/>
  <c r="L141" i="4"/>
  <c r="N141" i="4"/>
  <c r="Q141" i="4" s="1"/>
  <c r="U143" i="4"/>
  <c r="S139" i="4"/>
  <c r="V140" i="4"/>
  <c r="L136" i="4"/>
  <c r="M136" i="4" s="1"/>
  <c r="U136" i="4" s="1"/>
  <c r="L135" i="4"/>
  <c r="M135" i="4" s="1"/>
  <c r="V135" i="4" s="1"/>
  <c r="V136" i="4"/>
  <c r="L140" i="4"/>
  <c r="M140" i="4" s="1"/>
  <c r="U140" i="4" s="1"/>
  <c r="O139" i="4"/>
  <c r="P139" i="4" s="1"/>
  <c r="V139" i="4"/>
  <c r="T139" i="4"/>
  <c r="V143" i="4"/>
  <c r="O143" i="4"/>
  <c r="P143" i="4" s="1"/>
  <c r="O135" i="4"/>
  <c r="P135" i="4" s="1"/>
  <c r="T143" i="4"/>
  <c r="T135" i="4"/>
  <c r="S140" i="4"/>
  <c r="O140" i="4"/>
  <c r="P140" i="4" s="1"/>
  <c r="O136" i="4"/>
  <c r="P136" i="4" s="1"/>
  <c r="N140" i="4"/>
  <c r="Q140" i="4" s="1"/>
  <c r="N136" i="4"/>
  <c r="Q136" i="4" s="1"/>
  <c r="T137" i="4"/>
  <c r="U142" i="4"/>
  <c r="U135" i="4"/>
  <c r="T140" i="4"/>
  <c r="S138" i="4"/>
  <c r="T142" i="4"/>
  <c r="S136" i="4"/>
  <c r="U138" i="4"/>
  <c r="T136" i="4"/>
  <c r="S137" i="4" l="1"/>
  <c r="S135" i="4"/>
  <c r="S141" i="4"/>
  <c r="M141" i="4"/>
  <c r="I128" i="4"/>
  <c r="J128" i="4"/>
  <c r="K128" i="4"/>
  <c r="L128" i="4"/>
  <c r="S128" i="4" s="1"/>
  <c r="M128" i="4"/>
  <c r="U128" i="4" s="1"/>
  <c r="N128" i="4"/>
  <c r="Q128" i="4" s="1"/>
  <c r="O128" i="4"/>
  <c r="P128" i="4"/>
  <c r="I129" i="4"/>
  <c r="J129" i="4"/>
  <c r="K129" i="4" s="1"/>
  <c r="N129" i="4"/>
  <c r="Q129" i="4" s="1"/>
  <c r="I130" i="4"/>
  <c r="J130" i="4"/>
  <c r="K130" i="4"/>
  <c r="I131" i="4"/>
  <c r="N131" i="4" s="1"/>
  <c r="Q131" i="4" s="1"/>
  <c r="J131" i="4"/>
  <c r="K131" i="4"/>
  <c r="L131" i="4"/>
  <c r="S131" i="4" s="1"/>
  <c r="I132" i="4"/>
  <c r="J132" i="4"/>
  <c r="K132" i="4" s="1"/>
  <c r="L132" i="4"/>
  <c r="S132" i="4" s="1"/>
  <c r="M132" i="4"/>
  <c r="U132" i="4" s="1"/>
  <c r="N132" i="4"/>
  <c r="Q132" i="4" s="1"/>
  <c r="I133" i="4"/>
  <c r="J133" i="4"/>
  <c r="K133" i="4"/>
  <c r="I134" i="4"/>
  <c r="L134" i="4" s="1"/>
  <c r="J134" i="4"/>
  <c r="K134" i="4" s="1"/>
  <c r="N134" i="4"/>
  <c r="Q134" i="4" s="1"/>
  <c r="O134" i="4" l="1"/>
  <c r="P134" i="4" s="1"/>
  <c r="T134" i="4"/>
  <c r="S134" i="4"/>
  <c r="M134" i="4"/>
  <c r="U134" i="4" s="1"/>
  <c r="O132" i="4"/>
  <c r="P132" i="4" s="1"/>
  <c r="V132" i="4"/>
  <c r="T132" i="4"/>
  <c r="T130" i="4"/>
  <c r="V128" i="4"/>
  <c r="T128" i="4"/>
  <c r="T131" i="4"/>
  <c r="V141" i="4"/>
  <c r="U141" i="4"/>
  <c r="O131" i="4"/>
  <c r="P131" i="4" s="1"/>
  <c r="O129" i="4"/>
  <c r="P129" i="4" s="1"/>
  <c r="T129" i="4"/>
  <c r="O133" i="4"/>
  <c r="P133" i="4" s="1"/>
  <c r="T133" i="4"/>
  <c r="M131" i="4"/>
  <c r="U131" i="4" s="1"/>
  <c r="L133" i="4"/>
  <c r="N133" i="4"/>
  <c r="Q133" i="4" s="1"/>
  <c r="L130" i="4"/>
  <c r="N130" i="4"/>
  <c r="Q130" i="4" s="1"/>
  <c r="O130" i="4"/>
  <c r="P130" i="4" s="1"/>
  <c r="L129" i="4"/>
  <c r="M129" i="4" l="1"/>
  <c r="S129" i="4"/>
  <c r="M130" i="4"/>
  <c r="S130" i="4"/>
  <c r="V134" i="4"/>
  <c r="M133" i="4"/>
  <c r="S133" i="4"/>
  <c r="V131" i="4"/>
  <c r="O15" i="1"/>
  <c r="L15" i="1"/>
  <c r="N15" i="1"/>
  <c r="J16" i="4"/>
  <c r="J15" i="4"/>
  <c r="J87" i="4"/>
  <c r="K87" i="4" s="1"/>
  <c r="J122" i="4"/>
  <c r="K122" i="4" s="1"/>
  <c r="J117" i="4"/>
  <c r="K117" i="4"/>
  <c r="J120" i="4"/>
  <c r="K120" i="4"/>
  <c r="J101" i="4"/>
  <c r="K101" i="4" s="1"/>
  <c r="J86" i="4"/>
  <c r="K86" i="4" s="1"/>
  <c r="J85" i="4"/>
  <c r="K85" i="4" s="1"/>
  <c r="J88" i="4"/>
  <c r="K88" i="4" s="1"/>
  <c r="J119" i="4"/>
  <c r="K119" i="4" s="1"/>
  <c r="J72" i="4"/>
  <c r="K72" i="4"/>
  <c r="J103" i="4"/>
  <c r="K103" i="4" s="1"/>
  <c r="J118" i="4"/>
  <c r="K118" i="4"/>
  <c r="J104" i="4"/>
  <c r="K104" i="4" s="1"/>
  <c r="J90" i="4"/>
  <c r="K90" i="4" s="1"/>
  <c r="J71" i="4"/>
  <c r="L71" i="4" s="1"/>
  <c r="S71" i="4" s="1"/>
  <c r="K71" i="4"/>
  <c r="O71" i="4" s="1"/>
  <c r="P71" i="4" s="1"/>
  <c r="J110" i="4"/>
  <c r="K110" i="4"/>
  <c r="J82" i="4"/>
  <c r="K82" i="4" s="1"/>
  <c r="J113" i="4"/>
  <c r="K113" i="4" s="1"/>
  <c r="J97" i="4"/>
  <c r="K97" i="4"/>
  <c r="O97" i="4" s="1"/>
  <c r="P97" i="4" s="1"/>
  <c r="J81" i="4"/>
  <c r="K81" i="4" s="1"/>
  <c r="J116" i="4"/>
  <c r="K116" i="4" s="1"/>
  <c r="J100" i="4"/>
  <c r="K100" i="4" s="1"/>
  <c r="O100" i="4" s="1"/>
  <c r="P100" i="4" s="1"/>
  <c r="J84" i="4"/>
  <c r="K84" i="4" s="1"/>
  <c r="J114" i="4"/>
  <c r="K114" i="4" s="1"/>
  <c r="J78" i="4"/>
  <c r="K78" i="4" s="1"/>
  <c r="J115" i="4"/>
  <c r="K115" i="4"/>
  <c r="J99" i="4"/>
  <c r="K99" i="4"/>
  <c r="J83" i="4"/>
  <c r="K83" i="4"/>
  <c r="J102" i="4"/>
  <c r="K102" i="4" s="1"/>
  <c r="J74" i="4"/>
  <c r="K74" i="4" s="1"/>
  <c r="J125" i="4"/>
  <c r="K125" i="4" s="1"/>
  <c r="J109" i="4"/>
  <c r="K109" i="4"/>
  <c r="O109" i="4" s="1"/>
  <c r="P109" i="4" s="1"/>
  <c r="J93" i="4"/>
  <c r="K93" i="4" s="1"/>
  <c r="J77" i="4"/>
  <c r="K77" i="4" s="1"/>
  <c r="J112" i="4"/>
  <c r="K112" i="4" s="1"/>
  <c r="J96" i="4"/>
  <c r="K96" i="4" s="1"/>
  <c r="J80" i="4"/>
  <c r="K80" i="4" s="1"/>
  <c r="J106" i="4"/>
  <c r="K106" i="4"/>
  <c r="J127" i="4"/>
  <c r="K127" i="4"/>
  <c r="J111" i="4"/>
  <c r="K111" i="4"/>
  <c r="J95" i="4"/>
  <c r="K95" i="4" s="1"/>
  <c r="J79" i="4"/>
  <c r="K79" i="4" s="1"/>
  <c r="J126" i="4"/>
  <c r="K126" i="4" s="1"/>
  <c r="J94" i="4"/>
  <c r="K94" i="4" s="1"/>
  <c r="J121" i="4"/>
  <c r="K121" i="4" s="1"/>
  <c r="J105" i="4"/>
  <c r="K105" i="4"/>
  <c r="J89" i="4"/>
  <c r="K89" i="4" s="1"/>
  <c r="J73" i="4"/>
  <c r="K73" i="4" s="1"/>
  <c r="J124" i="4"/>
  <c r="K124" i="4" s="1"/>
  <c r="J108" i="4"/>
  <c r="K108" i="4"/>
  <c r="J92" i="4"/>
  <c r="K92" i="4" s="1"/>
  <c r="J76" i="4"/>
  <c r="J98" i="4"/>
  <c r="K98" i="4"/>
  <c r="J123" i="4"/>
  <c r="K123" i="4"/>
  <c r="J107" i="4"/>
  <c r="K107" i="4" s="1"/>
  <c r="J91" i="4"/>
  <c r="L91" i="4" s="1"/>
  <c r="S91" i="4" s="1"/>
  <c r="K91" i="4"/>
  <c r="J75" i="4"/>
  <c r="K75" i="4" s="1"/>
  <c r="O123" i="4"/>
  <c r="P123" i="4"/>
  <c r="I76" i="4"/>
  <c r="N76" i="4" s="1"/>
  <c r="Q76" i="4" s="1"/>
  <c r="I77" i="4"/>
  <c r="N77" i="4" s="1"/>
  <c r="Q77" i="4" s="1"/>
  <c r="I81" i="4"/>
  <c r="N81" i="4" s="1"/>
  <c r="Q81" i="4" s="1"/>
  <c r="I89" i="4"/>
  <c r="N89" i="4" s="1"/>
  <c r="Q89" i="4" s="1"/>
  <c r="I90" i="4"/>
  <c r="I96" i="4"/>
  <c r="I99" i="4"/>
  <c r="N99" i="4" s="1"/>
  <c r="Q99" i="4" s="1"/>
  <c r="I102" i="4"/>
  <c r="L102" i="4" s="1"/>
  <c r="I104" i="4"/>
  <c r="I108" i="4"/>
  <c r="N108" i="4" s="1"/>
  <c r="Q108" i="4" s="1"/>
  <c r="I111" i="4"/>
  <c r="L111" i="4" s="1"/>
  <c r="I113" i="4"/>
  <c r="L113" i="4" s="1"/>
  <c r="I115" i="4"/>
  <c r="I119" i="4"/>
  <c r="N119" i="4" s="1"/>
  <c r="Q119" i="4" s="1"/>
  <c r="I120" i="4"/>
  <c r="L120" i="4" s="1"/>
  <c r="S120" i="4" s="1"/>
  <c r="I123" i="4"/>
  <c r="N123" i="4" s="1"/>
  <c r="Q123" i="4" s="1"/>
  <c r="I125" i="4"/>
  <c r="I79" i="4"/>
  <c r="I92" i="4"/>
  <c r="I100" i="4"/>
  <c r="I103" i="4"/>
  <c r="N103" i="4" s="1"/>
  <c r="Q103" i="4" s="1"/>
  <c r="I107" i="4"/>
  <c r="N107" i="4" s="1"/>
  <c r="Q107" i="4" s="1"/>
  <c r="I109" i="4"/>
  <c r="N109" i="4" s="1"/>
  <c r="Q109" i="4" s="1"/>
  <c r="I110" i="4"/>
  <c r="N110" i="4" s="1"/>
  <c r="Q110" i="4" s="1"/>
  <c r="I117" i="4"/>
  <c r="N117" i="4" s="1"/>
  <c r="Q117" i="4" s="1"/>
  <c r="I124" i="4"/>
  <c r="I72" i="4"/>
  <c r="N72" i="4" s="1"/>
  <c r="Q72" i="4" s="1"/>
  <c r="I106" i="4"/>
  <c r="N106" i="4" s="1"/>
  <c r="Q106" i="4" s="1"/>
  <c r="I71" i="4"/>
  <c r="I75" i="4"/>
  <c r="I80" i="4"/>
  <c r="N80" i="4" s="1"/>
  <c r="Q80" i="4" s="1"/>
  <c r="I83" i="4"/>
  <c r="L83" i="4" s="1"/>
  <c r="S83" i="4" s="1"/>
  <c r="I86" i="4"/>
  <c r="I88" i="4"/>
  <c r="N88" i="4" s="1"/>
  <c r="Q88" i="4" s="1"/>
  <c r="I94" i="4"/>
  <c r="N94" i="4" s="1"/>
  <c r="Q94" i="4" s="1"/>
  <c r="I95" i="4"/>
  <c r="N95" i="4" s="1"/>
  <c r="Q95" i="4" s="1"/>
  <c r="I98" i="4"/>
  <c r="L98" i="4" s="1"/>
  <c r="I101" i="4"/>
  <c r="I118" i="4"/>
  <c r="N118" i="4" s="1"/>
  <c r="Q118" i="4" s="1"/>
  <c r="I127" i="4"/>
  <c r="I73" i="4"/>
  <c r="N73" i="4" s="1"/>
  <c r="Q73" i="4" s="1"/>
  <c r="I74" i="4"/>
  <c r="I78" i="4"/>
  <c r="L78" i="4" s="1"/>
  <c r="S78" i="4" s="1"/>
  <c r="I82" i="4"/>
  <c r="I85" i="4"/>
  <c r="I93" i="4"/>
  <c r="N93" i="4" s="1"/>
  <c r="Q93" i="4" s="1"/>
  <c r="I112" i="4"/>
  <c r="N112" i="4" s="1"/>
  <c r="Q112" i="4" s="1"/>
  <c r="I114" i="4"/>
  <c r="L114" i="4" s="1"/>
  <c r="S114" i="4" s="1"/>
  <c r="I121" i="4"/>
  <c r="I122" i="4"/>
  <c r="N122" i="4" s="1"/>
  <c r="Q122" i="4" s="1"/>
  <c r="I84" i="4"/>
  <c r="I87" i="4"/>
  <c r="N87" i="4" s="1"/>
  <c r="Q87" i="4" s="1"/>
  <c r="I91" i="4"/>
  <c r="I97" i="4"/>
  <c r="N97" i="4" s="1"/>
  <c r="Q97" i="4" s="1"/>
  <c r="I105" i="4"/>
  <c r="I116" i="4"/>
  <c r="L116" i="4" s="1"/>
  <c r="S116" i="4" s="1"/>
  <c r="I126" i="4"/>
  <c r="N126" i="4" s="1"/>
  <c r="Q126" i="4" s="1"/>
  <c r="L105" i="4"/>
  <c r="N105" i="4"/>
  <c r="Q105" i="4"/>
  <c r="N121" i="4"/>
  <c r="Q121" i="4" s="1"/>
  <c r="N101" i="4"/>
  <c r="Q101" i="4"/>
  <c r="N79" i="4"/>
  <c r="Q79" i="4" s="1"/>
  <c r="L96" i="4"/>
  <c r="S96" i="4" s="1"/>
  <c r="N96" i="4"/>
  <c r="Q96" i="4" s="1"/>
  <c r="L77" i="4"/>
  <c r="S77" i="4" s="1"/>
  <c r="L97" i="4"/>
  <c r="M97" i="4" s="1"/>
  <c r="N71" i="4"/>
  <c r="Q71" i="4" s="1"/>
  <c r="L72" i="4"/>
  <c r="S72" i="4" s="1"/>
  <c r="N125" i="4"/>
  <c r="Q125" i="4"/>
  <c r="N115" i="4"/>
  <c r="Q115" i="4" s="1"/>
  <c r="N104" i="4"/>
  <c r="Q104" i="4" s="1"/>
  <c r="N90" i="4"/>
  <c r="Q90" i="4" s="1"/>
  <c r="L90" i="4"/>
  <c r="S90" i="4" s="1"/>
  <c r="N91" i="4"/>
  <c r="Q91" i="4" s="1"/>
  <c r="N100" i="4"/>
  <c r="Q100" i="4"/>
  <c r="L123" i="4"/>
  <c r="N116" i="4"/>
  <c r="Q116" i="4" s="1"/>
  <c r="N74" i="4"/>
  <c r="Q74" i="4" s="1"/>
  <c r="L80" i="4"/>
  <c r="S80" i="4" s="1"/>
  <c r="N92" i="4"/>
  <c r="Q92" i="4"/>
  <c r="S102" i="4" l="1"/>
  <c r="M102" i="4"/>
  <c r="U102" i="4" s="1"/>
  <c r="T114" i="4"/>
  <c r="O125" i="4"/>
  <c r="P125" i="4" s="1"/>
  <c r="T125" i="4"/>
  <c r="T75" i="4"/>
  <c r="T102" i="4"/>
  <c r="O102" i="4"/>
  <c r="P102" i="4" s="1"/>
  <c r="O103" i="4"/>
  <c r="P103" i="4" s="1"/>
  <c r="T103" i="4"/>
  <c r="T122" i="4"/>
  <c r="O122" i="4"/>
  <c r="P122" i="4" s="1"/>
  <c r="O113" i="4"/>
  <c r="P113" i="4" s="1"/>
  <c r="T113" i="4"/>
  <c r="M113" i="4"/>
  <c r="U113" i="4" s="1"/>
  <c r="S113" i="4"/>
  <c r="T127" i="4"/>
  <c r="T85" i="4"/>
  <c r="M111" i="4"/>
  <c r="U111" i="4" s="1"/>
  <c r="S111" i="4"/>
  <c r="T73" i="4"/>
  <c r="T86" i="4"/>
  <c r="M105" i="4"/>
  <c r="U105" i="4" s="1"/>
  <c r="S105" i="4"/>
  <c r="T90" i="4"/>
  <c r="L94" i="4"/>
  <c r="S94" i="4" s="1"/>
  <c r="L85" i="4"/>
  <c r="S85" i="4" s="1"/>
  <c r="V116" i="4"/>
  <c r="T116" i="4"/>
  <c r="O104" i="4"/>
  <c r="P104" i="4" s="1"/>
  <c r="T104" i="4"/>
  <c r="L110" i="4"/>
  <c r="T123" i="4"/>
  <c r="V80" i="4"/>
  <c r="T80" i="4"/>
  <c r="T83" i="4"/>
  <c r="T81" i="4"/>
  <c r="O118" i="4"/>
  <c r="P118" i="4" s="1"/>
  <c r="T118" i="4"/>
  <c r="N83" i="4"/>
  <c r="Q83" i="4" s="1"/>
  <c r="L107" i="4"/>
  <c r="T121" i="4"/>
  <c r="V96" i="4"/>
  <c r="T96" i="4"/>
  <c r="O117" i="4"/>
  <c r="P117" i="4" s="1"/>
  <c r="T117" i="4"/>
  <c r="L87" i="4"/>
  <c r="S87" i="4" s="1"/>
  <c r="N78" i="4"/>
  <c r="Q78" i="4" s="1"/>
  <c r="L125" i="4"/>
  <c r="L75" i="4"/>
  <c r="S75" i="4" s="1"/>
  <c r="L79" i="4"/>
  <c r="S79" i="4" s="1"/>
  <c r="O98" i="4"/>
  <c r="P98" i="4" s="1"/>
  <c r="V98" i="4"/>
  <c r="T98" i="4"/>
  <c r="O94" i="4"/>
  <c r="P94" i="4" s="1"/>
  <c r="T94" i="4"/>
  <c r="O112" i="4"/>
  <c r="P112" i="4" s="1"/>
  <c r="T112" i="4"/>
  <c r="O99" i="4"/>
  <c r="P99" i="4" s="1"/>
  <c r="T99" i="4"/>
  <c r="U133" i="4"/>
  <c r="V133" i="4"/>
  <c r="M123" i="4"/>
  <c r="U123" i="4" s="1"/>
  <c r="S123" i="4"/>
  <c r="V71" i="4"/>
  <c r="T71" i="4"/>
  <c r="T84" i="4"/>
  <c r="T89" i="4"/>
  <c r="T106" i="4"/>
  <c r="O101" i="4"/>
  <c r="P101" i="4" s="1"/>
  <c r="T101" i="4"/>
  <c r="L100" i="4"/>
  <c r="M100" i="4" s="1"/>
  <c r="L86" i="4"/>
  <c r="S86" i="4" s="1"/>
  <c r="O105" i="4"/>
  <c r="P105" i="4" s="1"/>
  <c r="T105" i="4"/>
  <c r="V120" i="4"/>
  <c r="T120" i="4"/>
  <c r="L74" i="4"/>
  <c r="S74" i="4" s="1"/>
  <c r="N75" i="4"/>
  <c r="Q75" i="4" s="1"/>
  <c r="T126" i="4"/>
  <c r="V77" i="4"/>
  <c r="T77" i="4"/>
  <c r="L99" i="4"/>
  <c r="L103" i="4"/>
  <c r="T124" i="4"/>
  <c r="T91" i="4"/>
  <c r="T74" i="4"/>
  <c r="N111" i="4"/>
  <c r="Q111" i="4" s="1"/>
  <c r="L127" i="4"/>
  <c r="S127" i="4" s="1"/>
  <c r="O106" i="4"/>
  <c r="P106" i="4" s="1"/>
  <c r="T79" i="4"/>
  <c r="T93" i="4"/>
  <c r="T115" i="4"/>
  <c r="T72" i="4"/>
  <c r="L84" i="4"/>
  <c r="S84" i="4" s="1"/>
  <c r="T92" i="4"/>
  <c r="T95" i="4"/>
  <c r="T109" i="4"/>
  <c r="T82" i="4"/>
  <c r="T87" i="4"/>
  <c r="U130" i="4"/>
  <c r="V130" i="4"/>
  <c r="N102" i="4"/>
  <c r="Q102" i="4" s="1"/>
  <c r="L73" i="4"/>
  <c r="S73" i="4" s="1"/>
  <c r="L101" i="4"/>
  <c r="L124" i="4"/>
  <c r="S124" i="4" s="1"/>
  <c r="O127" i="4"/>
  <c r="P127" i="4" s="1"/>
  <c r="V108" i="4"/>
  <c r="T108" i="4"/>
  <c r="O111" i="4"/>
  <c r="P111" i="4" s="1"/>
  <c r="T111" i="4"/>
  <c r="T78" i="4"/>
  <c r="O110" i="4"/>
  <c r="P110" i="4" s="1"/>
  <c r="T110" i="4"/>
  <c r="T119" i="4"/>
  <c r="N86" i="4"/>
  <c r="Q86" i="4" s="1"/>
  <c r="L121" i="4"/>
  <c r="S121" i="4" s="1"/>
  <c r="M98" i="4"/>
  <c r="U98" i="4" s="1"/>
  <c r="S98" i="4"/>
  <c r="L115" i="4"/>
  <c r="S115" i="4" s="1"/>
  <c r="L108" i="4"/>
  <c r="S108" i="4" s="1"/>
  <c r="T88" i="4"/>
  <c r="U129" i="4"/>
  <c r="V129" i="4"/>
  <c r="O126" i="4"/>
  <c r="P126" i="4" s="1"/>
  <c r="M124" i="4"/>
  <c r="U124" i="4" s="1"/>
  <c r="M114" i="4"/>
  <c r="U114" i="4" s="1"/>
  <c r="M120" i="4"/>
  <c r="U120" i="4" s="1"/>
  <c r="M108" i="4"/>
  <c r="U108" i="4" s="1"/>
  <c r="M107" i="4"/>
  <c r="O108" i="4"/>
  <c r="P108" i="4" s="1"/>
  <c r="M71" i="4"/>
  <c r="U71" i="4" s="1"/>
  <c r="O115" i="4"/>
  <c r="P115" i="4" s="1"/>
  <c r="L112" i="4"/>
  <c r="M121" i="4"/>
  <c r="U121" i="4" s="1"/>
  <c r="N120" i="4"/>
  <c r="Q120" i="4" s="1"/>
  <c r="L118" i="4"/>
  <c r="M91" i="4"/>
  <c r="U91" i="4" s="1"/>
  <c r="N124" i="4"/>
  <c r="Q124" i="4" s="1"/>
  <c r="L92" i="4"/>
  <c r="S92" i="4" s="1"/>
  <c r="N98" i="4"/>
  <c r="Q98" i="4" s="1"/>
  <c r="L109" i="4"/>
  <c r="L106" i="4"/>
  <c r="L82" i="4"/>
  <c r="S82" i="4" s="1"/>
  <c r="O121" i="4"/>
  <c r="P121" i="4" s="1"/>
  <c r="L122" i="4"/>
  <c r="N113" i="4"/>
  <c r="Q113" i="4" s="1"/>
  <c r="L117" i="4"/>
  <c r="N114" i="4"/>
  <c r="Q114" i="4" s="1"/>
  <c r="L119" i="4"/>
  <c r="S119" i="4" s="1"/>
  <c r="L104" i="4"/>
  <c r="O120" i="4"/>
  <c r="P120" i="4" s="1"/>
  <c r="M116" i="4"/>
  <c r="U116" i="4" s="1"/>
  <c r="M115" i="4"/>
  <c r="U115" i="4" s="1"/>
  <c r="O91" i="4"/>
  <c r="P91" i="4" s="1"/>
  <c r="O107" i="4"/>
  <c r="P107" i="4" s="1"/>
  <c r="L126" i="4"/>
  <c r="S126" i="4" s="1"/>
  <c r="L81" i="4"/>
  <c r="S81" i="4" s="1"/>
  <c r="O119" i="4"/>
  <c r="P119" i="4" s="1"/>
  <c r="L95" i="4"/>
  <c r="S95" i="4" s="1"/>
  <c r="O114" i="4"/>
  <c r="P114" i="4" s="1"/>
  <c r="L76" i="4"/>
  <c r="S76" i="4" s="1"/>
  <c r="M127" i="4"/>
  <c r="U127" i="4" s="1"/>
  <c r="O124" i="4"/>
  <c r="P124" i="4" s="1"/>
  <c r="O116" i="4"/>
  <c r="P116" i="4" s="1"/>
  <c r="O77" i="4"/>
  <c r="P77" i="4" s="1"/>
  <c r="O93" i="4"/>
  <c r="P93" i="4" s="1"/>
  <c r="O78" i="4"/>
  <c r="P78" i="4" s="1"/>
  <c r="O82" i="4"/>
  <c r="P82" i="4" s="1"/>
  <c r="M84" i="4"/>
  <c r="U84" i="4" s="1"/>
  <c r="O92" i="4"/>
  <c r="P92" i="4" s="1"/>
  <c r="O80" i="4"/>
  <c r="P80" i="4" s="1"/>
  <c r="O74" i="4"/>
  <c r="P74" i="4" s="1"/>
  <c r="O96" i="4"/>
  <c r="P96" i="4" s="1"/>
  <c r="O84" i="4"/>
  <c r="P84" i="4" s="1"/>
  <c r="O72" i="4"/>
  <c r="P72" i="4" s="1"/>
  <c r="M87" i="4"/>
  <c r="U87" i="4" s="1"/>
  <c r="O83" i="4"/>
  <c r="P83" i="4" s="1"/>
  <c r="M72" i="4"/>
  <c r="U72" i="4" s="1"/>
  <c r="O79" i="4"/>
  <c r="P79" i="4" s="1"/>
  <c r="M90" i="4"/>
  <c r="U90" i="4" s="1"/>
  <c r="M75" i="4"/>
  <c r="U75" i="4" s="1"/>
  <c r="O75" i="4"/>
  <c r="P75" i="4" s="1"/>
  <c r="O95" i="4"/>
  <c r="P95" i="4" s="1"/>
  <c r="O87" i="4"/>
  <c r="P87" i="4" s="1"/>
  <c r="M80" i="4"/>
  <c r="U80" i="4" s="1"/>
  <c r="M77" i="4"/>
  <c r="U77" i="4" s="1"/>
  <c r="O73" i="4"/>
  <c r="P73" i="4" s="1"/>
  <c r="O88" i="4"/>
  <c r="P88" i="4" s="1"/>
  <c r="M78" i="4"/>
  <c r="U78" i="4" s="1"/>
  <c r="N127" i="4"/>
  <c r="Q127" i="4" s="1"/>
  <c r="M83" i="4"/>
  <c r="U83" i="4" s="1"/>
  <c r="O89" i="4"/>
  <c r="P89" i="4" s="1"/>
  <c r="O90" i="4"/>
  <c r="P90" i="4" s="1"/>
  <c r="O85" i="4"/>
  <c r="P85" i="4" s="1"/>
  <c r="O81" i="4"/>
  <c r="P81" i="4" s="1"/>
  <c r="O86" i="4"/>
  <c r="P86" i="4" s="1"/>
  <c r="L89" i="4"/>
  <c r="S89" i="4" s="1"/>
  <c r="M74" i="4"/>
  <c r="U74" i="4" s="1"/>
  <c r="M96" i="4"/>
  <c r="U96" i="4" s="1"/>
  <c r="K76" i="4"/>
  <c r="N85" i="4"/>
  <c r="Q85" i="4" s="1"/>
  <c r="L93" i="4"/>
  <c r="S93" i="4" s="1"/>
  <c r="L88" i="4"/>
  <c r="S88" i="4" s="1"/>
  <c r="N82" i="4"/>
  <c r="Q82" i="4" s="1"/>
  <c r="N84" i="4"/>
  <c r="Q84" i="4" s="1"/>
  <c r="J14" i="4"/>
  <c r="J13" i="4" s="1"/>
  <c r="K16" i="4" s="1"/>
  <c r="M103" i="4" l="1"/>
  <c r="S103" i="4"/>
  <c r="M118" i="4"/>
  <c r="S118" i="4"/>
  <c r="M117" i="4"/>
  <c r="S117" i="4"/>
  <c r="T76" i="4"/>
  <c r="V121" i="4"/>
  <c r="V123" i="4"/>
  <c r="M86" i="4"/>
  <c r="V78" i="4"/>
  <c r="V74" i="4"/>
  <c r="M110" i="4"/>
  <c r="S110" i="4"/>
  <c r="M94" i="4"/>
  <c r="M85" i="4"/>
  <c r="M95" i="4"/>
  <c r="M106" i="4"/>
  <c r="S106" i="4"/>
  <c r="V72" i="4"/>
  <c r="M125" i="4"/>
  <c r="S125" i="4"/>
  <c r="V113" i="4"/>
  <c r="V75" i="4"/>
  <c r="V90" i="4"/>
  <c r="M104" i="4"/>
  <c r="S104" i="4"/>
  <c r="V127" i="4"/>
  <c r="V87" i="4"/>
  <c r="V91" i="4"/>
  <c r="V115" i="4"/>
  <c r="M99" i="4"/>
  <c r="S99" i="4"/>
  <c r="V114" i="4"/>
  <c r="V83" i="4"/>
  <c r="M101" i="4"/>
  <c r="S101" i="4"/>
  <c r="M122" i="4"/>
  <c r="S122" i="4"/>
  <c r="M112" i="4"/>
  <c r="S112" i="4"/>
  <c r="V102" i="4"/>
  <c r="M109" i="4"/>
  <c r="S109" i="4"/>
  <c r="V111" i="4"/>
  <c r="M73" i="4"/>
  <c r="M79" i="4"/>
  <c r="V124" i="4"/>
  <c r="V105" i="4"/>
  <c r="V84" i="4"/>
  <c r="M126" i="4"/>
  <c r="M119" i="4"/>
  <c r="M82" i="4"/>
  <c r="M92" i="4"/>
  <c r="M81" i="4"/>
  <c r="M76" i="4"/>
  <c r="U76" i="4" s="1"/>
  <c r="M89" i="4"/>
  <c r="M88" i="4"/>
  <c r="M93" i="4"/>
  <c r="O76" i="4"/>
  <c r="P76" i="4" s="1"/>
  <c r="K14" i="4"/>
  <c r="K13" i="4"/>
  <c r="K15" i="4"/>
  <c r="U93" i="4" l="1"/>
  <c r="V93" i="4"/>
  <c r="U88" i="4"/>
  <c r="V88" i="4"/>
  <c r="U89" i="4"/>
  <c r="V89" i="4"/>
  <c r="U125" i="4"/>
  <c r="V125" i="4"/>
  <c r="V76" i="4"/>
  <c r="U95" i="4"/>
  <c r="V95" i="4"/>
  <c r="U79" i="4"/>
  <c r="V79" i="4"/>
  <c r="U73" i="4"/>
  <c r="V73" i="4"/>
  <c r="U86" i="4"/>
  <c r="V86" i="4"/>
  <c r="U99" i="4"/>
  <c r="V99" i="4"/>
  <c r="U81" i="4"/>
  <c r="V81" i="4"/>
  <c r="U109" i="4"/>
  <c r="V109" i="4"/>
  <c r="U92" i="4"/>
  <c r="V92" i="4"/>
  <c r="U106" i="4"/>
  <c r="V106" i="4"/>
  <c r="U82" i="4"/>
  <c r="V82" i="4"/>
  <c r="U119" i="4"/>
  <c r="V119" i="4"/>
  <c r="U112" i="4"/>
  <c r="V112" i="4"/>
  <c r="U85" i="4"/>
  <c r="V85" i="4"/>
  <c r="U117" i="4"/>
  <c r="V117" i="4"/>
  <c r="U126" i="4"/>
  <c r="V126" i="4"/>
  <c r="U94" i="4"/>
  <c r="V94" i="4"/>
  <c r="U122" i="4"/>
  <c r="V122" i="4"/>
  <c r="U104" i="4"/>
  <c r="V104" i="4"/>
  <c r="U118" i="4"/>
  <c r="V118" i="4"/>
  <c r="U110" i="4"/>
  <c r="V110" i="4"/>
  <c r="U101" i="4"/>
  <c r="V101" i="4"/>
  <c r="U103" i="4"/>
  <c r="V103" i="4"/>
  <c r="I63" i="4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J58" i="4"/>
  <c r="K58" i="4" s="1"/>
  <c r="J55" i="4"/>
  <c r="K55" i="4" s="1"/>
  <c r="J61" i="4"/>
  <c r="K61" i="4" s="1"/>
  <c r="J57" i="4"/>
  <c r="K57" i="4" s="1"/>
  <c r="J59" i="4"/>
  <c r="K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6" i="4" l="1"/>
  <c r="P56" i="4" s="1"/>
  <c r="T56" i="4"/>
  <c r="T62" i="4"/>
  <c r="T57" i="4"/>
  <c r="T60" i="4"/>
  <c r="O59" i="4"/>
  <c r="P59" i="4" s="1"/>
  <c r="T59" i="4"/>
  <c r="T61" i="4"/>
  <c r="O55" i="4"/>
  <c r="P55" i="4" s="1"/>
  <c r="T55" i="4"/>
  <c r="T63" i="4"/>
  <c r="T58" i="4"/>
  <c r="O60" i="4"/>
  <c r="P60" i="4" s="1"/>
  <c r="O61" i="4"/>
  <c r="P61" i="4" s="1"/>
  <c r="O62" i="4"/>
  <c r="P62" i="4" s="1"/>
  <c r="O57" i="4"/>
  <c r="P57" i="4" s="1"/>
  <c r="O58" i="4"/>
  <c r="P58" i="4" s="1"/>
  <c r="L66" i="4"/>
  <c r="S66" i="4" s="1"/>
  <c r="K66" i="4"/>
  <c r="K70" i="4"/>
  <c r="L70" i="4"/>
  <c r="S70" i="4" s="1"/>
  <c r="K64" i="4"/>
  <c r="L64" i="4"/>
  <c r="S64" i="4" s="1"/>
  <c r="O63" i="4"/>
  <c r="P63" i="4" s="1"/>
  <c r="L63" i="4"/>
  <c r="S63" i="4" s="1"/>
  <c r="K68" i="4"/>
  <c r="L68" i="4"/>
  <c r="S68" i="4" s="1"/>
  <c r="L67" i="4"/>
  <c r="S67" i="4" s="1"/>
  <c r="K67" i="4"/>
  <c r="L65" i="4"/>
  <c r="S65" i="4" s="1"/>
  <c r="K65" i="4"/>
  <c r="K69" i="4"/>
  <c r="L69" i="4"/>
  <c r="S69" i="4" s="1"/>
  <c r="N62" i="4"/>
  <c r="Q62" i="4" s="1"/>
  <c r="L62" i="4"/>
  <c r="S62" i="4" s="1"/>
  <c r="N55" i="4"/>
  <c r="Q55" i="4" s="1"/>
  <c r="L55" i="4"/>
  <c r="L56" i="4"/>
  <c r="N56" i="4"/>
  <c r="Q56" i="4" s="1"/>
  <c r="N59" i="4"/>
  <c r="Q59" i="4" s="1"/>
  <c r="L59" i="4"/>
  <c r="N57" i="4"/>
  <c r="Q57" i="4" s="1"/>
  <c r="L57" i="4"/>
  <c r="S57" i="4" s="1"/>
  <c r="L58" i="4"/>
  <c r="S58" i="4" s="1"/>
  <c r="N58" i="4"/>
  <c r="Q58" i="4" s="1"/>
  <c r="N61" i="4"/>
  <c r="Q61" i="4" s="1"/>
  <c r="L61" i="4"/>
  <c r="S61" i="4" s="1"/>
  <c r="L60" i="4"/>
  <c r="S60" i="4" s="1"/>
  <c r="N60" i="4"/>
  <c r="Q60" i="4" s="1"/>
  <c r="M56" i="4" l="1"/>
  <c r="S56" i="4"/>
  <c r="M55" i="4"/>
  <c r="S55" i="4"/>
  <c r="T64" i="4"/>
  <c r="T69" i="4"/>
  <c r="T70" i="4"/>
  <c r="V68" i="4"/>
  <c r="T68" i="4"/>
  <c r="T65" i="4"/>
  <c r="T66" i="4"/>
  <c r="M59" i="4"/>
  <c r="S59" i="4"/>
  <c r="T67" i="4"/>
  <c r="M60" i="4"/>
  <c r="M61" i="4"/>
  <c r="M62" i="4"/>
  <c r="M70" i="4"/>
  <c r="U70" i="4" s="1"/>
  <c r="M63" i="4"/>
  <c r="M58" i="4"/>
  <c r="O69" i="4"/>
  <c r="P69" i="4" s="1"/>
  <c r="O66" i="4"/>
  <c r="P66" i="4" s="1"/>
  <c r="O67" i="4"/>
  <c r="P67" i="4" s="1"/>
  <c r="O65" i="4"/>
  <c r="P65" i="4" s="1"/>
  <c r="M66" i="4"/>
  <c r="U66" i="4" s="1"/>
  <c r="M67" i="4"/>
  <c r="U67" i="4" s="1"/>
  <c r="O68" i="4"/>
  <c r="P68" i="4" s="1"/>
  <c r="M64" i="4"/>
  <c r="U64" i="4" s="1"/>
  <c r="M69" i="4"/>
  <c r="U69" i="4" s="1"/>
  <c r="M57" i="4"/>
  <c r="M65" i="4"/>
  <c r="U65" i="4" s="1"/>
  <c r="O64" i="4"/>
  <c r="P64" i="4" s="1"/>
  <c r="M68" i="4"/>
  <c r="U68" i="4" s="1"/>
  <c r="O70" i="4"/>
  <c r="P70" i="4" s="1"/>
  <c r="U57" i="4" l="1"/>
  <c r="V57" i="4"/>
  <c r="U62" i="4"/>
  <c r="V62" i="4"/>
  <c r="U61" i="4"/>
  <c r="V61" i="4"/>
  <c r="U60" i="4"/>
  <c r="V60" i="4"/>
  <c r="V70" i="4"/>
  <c r="V67" i="4"/>
  <c r="V69" i="4"/>
  <c r="U59" i="4"/>
  <c r="V59" i="4"/>
  <c r="V64" i="4"/>
  <c r="V66" i="4"/>
  <c r="U55" i="4"/>
  <c r="V55" i="4"/>
  <c r="U58" i="4"/>
  <c r="V58" i="4"/>
  <c r="U63" i="4"/>
  <c r="V63" i="4"/>
  <c r="V65" i="4"/>
  <c r="U56" i="4"/>
  <c r="V56" i="4"/>
  <c r="J21" i="4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J39" i="4" s="1"/>
  <c r="K22" i="4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45" i="4" l="1"/>
  <c r="J30" i="4"/>
  <c r="K30" i="4" s="1"/>
  <c r="J43" i="4"/>
  <c r="J31" i="4"/>
  <c r="K31" i="4" s="1"/>
  <c r="J44" i="4"/>
  <c r="L44" i="4" s="1"/>
  <c r="S44" i="4" s="1"/>
  <c r="J36" i="4"/>
  <c r="L36" i="4" s="1"/>
  <c r="S36" i="4" s="1"/>
  <c r="J46" i="4"/>
  <c r="K46" i="4" s="1"/>
  <c r="J35" i="4"/>
  <c r="K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S34" i="4" s="1"/>
  <c r="J41" i="4"/>
  <c r="K41" i="4" s="1"/>
  <c r="J42" i="4"/>
  <c r="L42" i="4" s="1"/>
  <c r="S42" i="4" s="1"/>
  <c r="J32" i="4"/>
  <c r="L32" i="4" s="1"/>
  <c r="S32" i="4" s="1"/>
  <c r="J37" i="4"/>
  <c r="L37" i="4" s="1"/>
  <c r="S37" i="4" s="1"/>
  <c r="J40" i="4"/>
  <c r="L40" i="4" s="1"/>
  <c r="S40" i="4" s="1"/>
  <c r="J38" i="4"/>
  <c r="L38" i="4" s="1"/>
  <c r="S38" i="4" s="1"/>
  <c r="J29" i="4"/>
  <c r="L29" i="4" s="1"/>
  <c r="S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L45" i="4"/>
  <c r="S45" i="4" s="1"/>
  <c r="K45" i="4"/>
  <c r="K44" i="4"/>
  <c r="K52" i="4"/>
  <c r="L52" i="4"/>
  <c r="L43" i="4"/>
  <c r="S43" i="4" s="1"/>
  <c r="K43" i="4"/>
  <c r="L54" i="4"/>
  <c r="K54" i="4"/>
  <c r="L51" i="4"/>
  <c r="K51" i="4"/>
  <c r="L53" i="4"/>
  <c r="K53" i="4"/>
  <c r="L48" i="4"/>
  <c r="S48" i="4" s="1"/>
  <c r="K48" i="4"/>
  <c r="L39" i="4"/>
  <c r="S39" i="4" s="1"/>
  <c r="K39" i="4"/>
  <c r="L50" i="4"/>
  <c r="K50" i="4"/>
  <c r="L49" i="4"/>
  <c r="S49" i="4" s="1"/>
  <c r="K49" i="4"/>
  <c r="T31" i="4" l="1"/>
  <c r="T43" i="4"/>
  <c r="T44" i="4"/>
  <c r="V45" i="4"/>
  <c r="T45" i="4"/>
  <c r="M53" i="4"/>
  <c r="U53" i="4" s="1"/>
  <c r="S53" i="4"/>
  <c r="L31" i="4"/>
  <c r="S31" i="4" s="1"/>
  <c r="T47" i="4"/>
  <c r="O51" i="4"/>
  <c r="P51" i="4" s="1"/>
  <c r="T51" i="4"/>
  <c r="T33" i="4"/>
  <c r="T35" i="4"/>
  <c r="M51" i="4"/>
  <c r="U51" i="4" s="1"/>
  <c r="S51" i="4"/>
  <c r="T28" i="4"/>
  <c r="T46" i="4"/>
  <c r="O50" i="4"/>
  <c r="P50" i="4" s="1"/>
  <c r="T50" i="4"/>
  <c r="T48" i="4"/>
  <c r="O53" i="4"/>
  <c r="P53" i="4" s="1"/>
  <c r="V53" i="4"/>
  <c r="T53" i="4"/>
  <c r="V49" i="4"/>
  <c r="T49" i="4"/>
  <c r="O54" i="4"/>
  <c r="P54" i="4" s="1"/>
  <c r="T54" i="4"/>
  <c r="M54" i="4"/>
  <c r="U54" i="4" s="1"/>
  <c r="S54" i="4"/>
  <c r="M50" i="4"/>
  <c r="U50" i="4" s="1"/>
  <c r="S50" i="4"/>
  <c r="V39" i="4"/>
  <c r="T39" i="4"/>
  <c r="M52" i="4"/>
  <c r="U52" i="4" s="1"/>
  <c r="S52" i="4"/>
  <c r="T41" i="4"/>
  <c r="T30" i="4"/>
  <c r="O52" i="4"/>
  <c r="P52" i="4" s="1"/>
  <c r="T52" i="4"/>
  <c r="O48" i="4"/>
  <c r="P48" i="4" s="1"/>
  <c r="M48" i="4"/>
  <c r="U48" i="4" s="1"/>
  <c r="M49" i="4"/>
  <c r="U49" i="4" s="1"/>
  <c r="O49" i="4"/>
  <c r="P49" i="4" s="1"/>
  <c r="L35" i="4"/>
  <c r="S35" i="4" s="1"/>
  <c r="K36" i="4"/>
  <c r="M45" i="4"/>
  <c r="U45" i="4" s="1"/>
  <c r="O47" i="4"/>
  <c r="P47" i="4" s="1"/>
  <c r="O31" i="4"/>
  <c r="P31" i="4" s="1"/>
  <c r="O33" i="4"/>
  <c r="P33" i="4" s="1"/>
  <c r="O43" i="4"/>
  <c r="P43" i="4" s="1"/>
  <c r="M39" i="4"/>
  <c r="U39" i="4" s="1"/>
  <c r="O41" i="4"/>
  <c r="P41" i="4" s="1"/>
  <c r="O30" i="4"/>
  <c r="P30" i="4" s="1"/>
  <c r="O44" i="4"/>
  <c r="P44" i="4" s="1"/>
  <c r="L30" i="4"/>
  <c r="S30" i="4" s="1"/>
  <c r="L47" i="4"/>
  <c r="S47" i="4" s="1"/>
  <c r="O35" i="4"/>
  <c r="P35" i="4" s="1"/>
  <c r="O46" i="4"/>
  <c r="P46" i="4" s="1"/>
  <c r="M43" i="4"/>
  <c r="U43" i="4" s="1"/>
  <c r="O39" i="4"/>
  <c r="P39" i="4" s="1"/>
  <c r="M44" i="4"/>
  <c r="U44" i="4" s="1"/>
  <c r="O45" i="4"/>
  <c r="P45" i="4" s="1"/>
  <c r="O28" i="4"/>
  <c r="P28" i="4" s="1"/>
  <c r="L46" i="4"/>
  <c r="S46" i="4" s="1"/>
  <c r="K37" i="4"/>
  <c r="L41" i="4"/>
  <c r="S41" i="4" s="1"/>
  <c r="K42" i="4"/>
  <c r="K34" i="4"/>
  <c r="L33" i="4"/>
  <c r="S33" i="4" s="1"/>
  <c r="K38" i="4"/>
  <c r="K29" i="4"/>
  <c r="M32" i="4"/>
  <c r="U32" i="4" s="1"/>
  <c r="M40" i="4"/>
  <c r="U40" i="4" s="1"/>
  <c r="M34" i="4"/>
  <c r="U34" i="4" s="1"/>
  <c r="M29" i="4"/>
  <c r="U29" i="4" s="1"/>
  <c r="M37" i="4"/>
  <c r="U37" i="4" s="1"/>
  <c r="M42" i="4"/>
  <c r="U42" i="4" s="1"/>
  <c r="M38" i="4"/>
  <c r="U38" i="4" s="1"/>
  <c r="M36" i="4"/>
  <c r="U36" i="4" s="1"/>
  <c r="K40" i="4"/>
  <c r="K32" i="4"/>
  <c r="L28" i="4"/>
  <c r="S28" i="4" s="1"/>
  <c r="V36" i="4" l="1"/>
  <c r="T36" i="4"/>
  <c r="V37" i="4"/>
  <c r="T37" i="4"/>
  <c r="V34" i="4"/>
  <c r="T34" i="4"/>
  <c r="V42" i="4"/>
  <c r="T42" i="4"/>
  <c r="V52" i="4"/>
  <c r="V40" i="4"/>
  <c r="T40" i="4"/>
  <c r="V48" i="4"/>
  <c r="V44" i="4"/>
  <c r="V50" i="4"/>
  <c r="V29" i="4"/>
  <c r="T29" i="4"/>
  <c r="V51" i="4"/>
  <c r="V43" i="4"/>
  <c r="V38" i="4"/>
  <c r="T38" i="4"/>
  <c r="M31" i="4"/>
  <c r="V54" i="4"/>
  <c r="V32" i="4"/>
  <c r="T32" i="4"/>
  <c r="M30" i="4"/>
  <c r="O36" i="4"/>
  <c r="P36" i="4" s="1"/>
  <c r="M35" i="4"/>
  <c r="M46" i="4"/>
  <c r="O38" i="4"/>
  <c r="P38" i="4" s="1"/>
  <c r="M47" i="4"/>
  <c r="O29" i="4"/>
  <c r="P29" i="4" s="1"/>
  <c r="O32" i="4"/>
  <c r="P32" i="4" s="1"/>
  <c r="M33" i="4"/>
  <c r="O34" i="4"/>
  <c r="P34" i="4" s="1"/>
  <c r="O37" i="4"/>
  <c r="P37" i="4" s="1"/>
  <c r="O40" i="4"/>
  <c r="P40" i="4" s="1"/>
  <c r="O42" i="4"/>
  <c r="P42" i="4" s="1"/>
  <c r="M41" i="4"/>
  <c r="M28" i="4"/>
  <c r="U33" i="4" l="1"/>
  <c r="V33" i="4"/>
  <c r="U47" i="4"/>
  <c r="V47" i="4"/>
  <c r="U31" i="4"/>
  <c r="V31" i="4"/>
  <c r="U46" i="4"/>
  <c r="V46" i="4"/>
  <c r="U28" i="4"/>
  <c r="V28" i="4"/>
  <c r="U35" i="4"/>
  <c r="V35" i="4"/>
  <c r="U41" i="4"/>
  <c r="V41" i="4"/>
  <c r="U30" i="4"/>
  <c r="V3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<sst xmlns="http://schemas.openxmlformats.org/spreadsheetml/2006/main" count="340" uniqueCount="314">
  <si>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</si>
  <si>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</si>
  <si>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</si>
  <si>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</si>
  <si>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</si>
  <si>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</si>
  <si>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</si>
  <si>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</si>
  <si>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</si>
  <si>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</si>
  <si>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</si>
  <si>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</si>
  <si>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</si>
  <si>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</si>
  <si>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</si>
  <si>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</si>
  <si>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</si>
  <si>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</si>
  <si>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</si>
  <si>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</si>
  <si>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</si>
  <si>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</si>
  <si>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</si>
  <si>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</si>
  <si>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</si>
  <si>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</si>
  <si>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</si>
  <si>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</si>
  <si>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</si>
  <si>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</si>
  <si>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</si>
  <si>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</si>
  <si>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</si>
  <si>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</si>
  <si>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</si>
  <si>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</si>
  <si>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</si>
  <si>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</si>
  <si>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</si>
  <si>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</si>
  <si>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</si>
  <si>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</si>
  <si>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</si>
  <si>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</si>
  <si>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</si>
  <si>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</si>
  <si>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</si>
  <si>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</si>
  <si>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</si>
  <si>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</si>
  <si>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</si>
  <si>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</si>
  <si>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</si>
  <si>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</si>
  <si>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</si>
  <si>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</si>
  <si>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</si>
  <si>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</si>
  <si>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</si>
  <si>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</si>
  <si>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</si>
  <si>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</si>
  <si>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</si>
  <si>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</si>
  <si>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</si>
  <si>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</si>
  <si>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</si>
  <si>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</si>
  <si>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</si>
  <si>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</si>
  <si>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</si>
  <si>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</si>
  <si>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</si>
  <si>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</si>
  <si>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</si>
  <si>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</si>
  <si>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</si>
  <si>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</si>
  <si>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</si>
  <si>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</si>
  <si>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</si>
  <si>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</si>
  <si>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</si>
  <si>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</si>
  <si>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</si>
  <si>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</si>
  <si>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</si>
  <si>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</si>
  <si>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</si>
  <si>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</si>
  <si>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</si>
  <si>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</si>
  <si>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</si>
  <si>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</si>
  <si>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</si>
  <si>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</si>
  <si>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</si>
  <si>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</si>
  <si>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</si>
  <si>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</si>
  <si>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</si>
  <si>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</si>
  <si>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</si>
  <si>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</si>
  <si>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</si>
  <si>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</si>
  <si>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</si>
  <si>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</si>
  <si>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</si>
  <si>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</si>
  <si>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</si>
  <si>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H4lle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</si>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</sst>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K38" sqref="K38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111</v>
      </c>
      <c r="K17" s="31" t="s">
        <v>79</v>
      </c>
      <c r="L17" s="80">
        <v>3.2865000000000004E-3</v>
      </c>
      <c r="M17" s="80">
        <v>1.9250000000000002E-4</v>
      </c>
      <c r="N17" s="80">
        <v>2.1000000000000002E-5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25" zoomScale="48" zoomScaleNormal="70" workbookViewId="0">
      <selection activeCell="B28" sqref="B28:F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68"/>
      <c r="H1" s="16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68"/>
      <c r="H2" s="168"/>
      <c r="I2" s="113" t="s">
        <v>19</v>
      </c>
      <c r="J2" s="114"/>
      <c r="K2" s="114"/>
      <c r="L2" s="114"/>
      <c r="M2" s="114"/>
      <c r="N2" s="114"/>
      <c r="O2" s="114"/>
      <c r="P2" s="114"/>
      <c r="Q2" s="1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68"/>
      <c r="H3" s="168"/>
      <c r="I3" s="116"/>
      <c r="J3" s="117"/>
      <c r="K3" s="117"/>
      <c r="L3" s="117"/>
      <c r="M3" s="117"/>
      <c r="N3" s="117"/>
      <c r="O3" s="117"/>
      <c r="P3" s="117"/>
      <c r="Q3" s="11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68"/>
      <c r="H4" s="168"/>
      <c r="I4" s="119"/>
      <c r="J4" s="120"/>
      <c r="K4" s="120"/>
      <c r="L4" s="120"/>
      <c r="M4" s="120"/>
      <c r="N4" s="120"/>
      <c r="O4" s="120"/>
      <c r="P4" s="120"/>
      <c r="Q4" s="12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68"/>
      <c r="H5" s="168"/>
      <c r="I5" s="122" t="s">
        <v>38</v>
      </c>
      <c r="J5" s="123"/>
      <c r="K5" s="123"/>
      <c r="L5" s="123"/>
      <c r="M5" s="123"/>
      <c r="N5" s="123"/>
      <c r="O5" s="123"/>
      <c r="P5" s="123"/>
      <c r="Q5" s="124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68"/>
      <c r="H6" s="168"/>
      <c r="I6" s="49" t="s">
        <v>49</v>
      </c>
      <c r="J6" s="49" t="s">
        <v>50</v>
      </c>
      <c r="K6" s="49" t="s">
        <v>46</v>
      </c>
      <c r="L6" s="165" t="s">
        <v>39</v>
      </c>
      <c r="M6" s="166"/>
      <c r="N6" s="166"/>
      <c r="O6" s="166"/>
      <c r="P6" s="166"/>
      <c r="Q6" s="16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68"/>
      <c r="H7" s="168"/>
      <c r="I7" s="50" t="s">
        <v>20</v>
      </c>
      <c r="J7" s="37">
        <f>SUM(J13,J19)</f>
        <v>150.07</v>
      </c>
      <c r="K7" s="38">
        <f>J7/J7</f>
        <v>1</v>
      </c>
      <c r="L7" s="159" t="s">
        <v>68</v>
      </c>
      <c r="M7" s="160"/>
      <c r="N7" s="160"/>
      <c r="O7" s="160"/>
      <c r="P7" s="160"/>
      <c r="Q7" s="161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0" t="s">
        <v>3</v>
      </c>
      <c r="C8" s="141"/>
      <c r="D8" s="141"/>
      <c r="E8" s="141"/>
      <c r="F8" s="142"/>
      <c r="G8" s="168"/>
      <c r="H8" s="168"/>
      <c r="I8" s="51" t="s">
        <v>6</v>
      </c>
      <c r="J8" s="37">
        <f>SUM(J14,J20)</f>
        <v>149.98803000000001</v>
      </c>
      <c r="K8" s="39">
        <f>J8/J7</f>
        <v>0.99945378823215847</v>
      </c>
      <c r="L8" s="159" t="s">
        <v>69</v>
      </c>
      <c r="M8" s="160"/>
      <c r="N8" s="160"/>
      <c r="O8" s="160"/>
      <c r="P8" s="160"/>
      <c r="Q8" s="161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3"/>
      <c r="C9" s="144"/>
      <c r="D9" s="144"/>
      <c r="E9" s="144"/>
      <c r="F9" s="145"/>
      <c r="G9" s="168"/>
      <c r="H9" s="168"/>
      <c r="I9" s="50" t="s">
        <v>8</v>
      </c>
      <c r="J9" s="40">
        <f t="shared" ref="J9:J10" si="0">SUM(J15,J21)</f>
        <v>7.5850000000000001E-2</v>
      </c>
      <c r="K9" s="39">
        <f>J9/J7</f>
        <v>5.0543079896048508E-4</v>
      </c>
      <c r="L9" s="159" t="s">
        <v>69</v>
      </c>
      <c r="M9" s="160"/>
      <c r="N9" s="160"/>
      <c r="O9" s="160"/>
      <c r="P9" s="160"/>
      <c r="Q9" s="161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6"/>
      <c r="C10" s="147"/>
      <c r="D10" s="147"/>
      <c r="E10" s="147"/>
      <c r="F10" s="148"/>
      <c r="G10" s="168"/>
      <c r="H10" s="168"/>
      <c r="I10" s="51" t="s">
        <v>9</v>
      </c>
      <c r="J10" s="40">
        <f t="shared" si="0"/>
        <v>6.1199999999999996E-3</v>
      </c>
      <c r="K10" s="39">
        <f>J10/J7</f>
        <v>4.0780968881188779E-5</v>
      </c>
      <c r="L10" s="159" t="s">
        <v>69</v>
      </c>
      <c r="M10" s="160"/>
      <c r="N10" s="160"/>
      <c r="O10" s="160"/>
      <c r="P10" s="160"/>
      <c r="Q10" s="161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9" t="s">
        <v>36</v>
      </c>
      <c r="C11" s="150"/>
      <c r="D11" s="150"/>
      <c r="E11" s="150"/>
      <c r="F11" s="151"/>
      <c r="G11" s="168"/>
      <c r="H11" s="168"/>
      <c r="I11" s="184"/>
      <c r="J11" s="184"/>
      <c r="K11" s="184"/>
      <c r="L11" s="184"/>
      <c r="M11" s="184"/>
      <c r="N11" s="184"/>
      <c r="O11" s="184"/>
      <c r="P11" s="184"/>
      <c r="Q11" s="184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2"/>
      <c r="C12" s="153"/>
      <c r="D12" s="153"/>
      <c r="E12" s="153"/>
      <c r="F12" s="154"/>
      <c r="G12" s="168"/>
      <c r="H12" s="168"/>
      <c r="I12" s="49" t="s">
        <v>51</v>
      </c>
      <c r="J12" s="49" t="s">
        <v>50</v>
      </c>
      <c r="K12" s="49" t="s">
        <v>46</v>
      </c>
      <c r="L12" s="165" t="s">
        <v>39</v>
      </c>
      <c r="M12" s="166"/>
      <c r="N12" s="166"/>
      <c r="O12" s="166"/>
      <c r="P12" s="166"/>
      <c r="Q12" s="16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8" t="s">
        <v>4</v>
      </c>
      <c r="C13" s="139"/>
      <c r="D13" s="128" t="s">
        <v>39</v>
      </c>
      <c r="E13" s="128"/>
      <c r="F13" s="128"/>
      <c r="G13" s="168"/>
      <c r="H13" s="168"/>
      <c r="I13" s="50" t="s">
        <v>5</v>
      </c>
      <c r="J13" s="41">
        <f>SUM(J14:J16)</f>
        <v>150</v>
      </c>
      <c r="K13" s="38">
        <f>J13/J13</f>
        <v>1</v>
      </c>
      <c r="L13" s="159" t="s">
        <v>71</v>
      </c>
      <c r="M13" s="160"/>
      <c r="N13" s="160"/>
      <c r="O13" s="160"/>
      <c r="P13" s="160"/>
      <c r="Q13" s="161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29" t="s">
        <v>17</v>
      </c>
      <c r="E14" s="129"/>
      <c r="F14" s="129"/>
      <c r="G14" s="168"/>
      <c r="H14" s="168"/>
      <c r="I14" s="51" t="s">
        <v>43</v>
      </c>
      <c r="J14" s="41">
        <f>C14-SUM(J15:J16)</f>
        <v>149.92230000000001</v>
      </c>
      <c r="K14" s="39">
        <f>J14/J13</f>
        <v>0.99948200000000009</v>
      </c>
      <c r="L14" s="162" t="s">
        <v>70</v>
      </c>
      <c r="M14" s="163"/>
      <c r="N14" s="163"/>
      <c r="O14" s="163"/>
      <c r="P14" s="163"/>
      <c r="Q14" s="164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0" t="s">
        <v>60</v>
      </c>
      <c r="E15" s="130"/>
      <c r="F15" s="130"/>
      <c r="G15" s="168"/>
      <c r="H15" s="16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7.1999999999999995E-2</v>
      </c>
      <c r="K15" s="39">
        <f>J15/J13</f>
        <v>4.7999999999999996E-4</v>
      </c>
      <c r="L15" s="159" t="s">
        <v>69</v>
      </c>
      <c r="M15" s="160"/>
      <c r="N15" s="160"/>
      <c r="O15" s="160"/>
      <c r="P15" s="160"/>
      <c r="Q15" s="161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31" t="s">
        <v>40</v>
      </c>
      <c r="E16" s="132"/>
      <c r="F16" s="133"/>
      <c r="G16" s="168"/>
      <c r="H16" s="16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5.6999999999999993E-3</v>
      </c>
      <c r="K16" s="39">
        <f>J16/J13</f>
        <v>3.7999999999999995E-5</v>
      </c>
      <c r="L16" s="159" t="s">
        <v>69</v>
      </c>
      <c r="M16" s="160"/>
      <c r="N16" s="160"/>
      <c r="O16" s="160"/>
      <c r="P16" s="160"/>
      <c r="Q16" s="161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34" t="s">
        <v>61</v>
      </c>
      <c r="E17" s="135"/>
      <c r="F17" s="136"/>
      <c r="G17" s="168"/>
      <c r="H17" s="168"/>
      <c r="I17" s="162"/>
      <c r="J17" s="163"/>
      <c r="K17" s="163"/>
      <c r="L17" s="163"/>
      <c r="M17" s="163"/>
      <c r="N17" s="163"/>
      <c r="O17" s="163"/>
      <c r="P17" s="163"/>
      <c r="Q17" s="164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31" t="s">
        <v>41</v>
      </c>
      <c r="E18" s="132"/>
      <c r="F18" s="133"/>
      <c r="G18" s="168"/>
      <c r="H18" s="168"/>
      <c r="I18" s="49" t="s">
        <v>29</v>
      </c>
      <c r="J18" s="49" t="s">
        <v>50</v>
      </c>
      <c r="K18" s="49" t="s">
        <v>46</v>
      </c>
      <c r="L18" s="165" t="s">
        <v>39</v>
      </c>
      <c r="M18" s="166"/>
      <c r="N18" s="166"/>
      <c r="O18" s="166"/>
      <c r="P18" s="166"/>
      <c r="Q18" s="16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0"/>
      <c r="C19" s="130"/>
      <c r="D19" s="130"/>
      <c r="E19" s="130"/>
      <c r="F19" s="130"/>
      <c r="G19" s="168"/>
      <c r="H19" s="168"/>
      <c r="I19" s="50" t="s">
        <v>5</v>
      </c>
      <c r="J19" s="41">
        <f>SUM(J20:J22)</f>
        <v>7.0000000000000021E-2</v>
      </c>
      <c r="K19" s="38">
        <f>J19/J19</f>
        <v>1</v>
      </c>
      <c r="L19" s="159" t="s">
        <v>55</v>
      </c>
      <c r="M19" s="160"/>
      <c r="N19" s="160"/>
      <c r="O19" s="160"/>
      <c r="P19" s="160"/>
      <c r="Q19" s="161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8" t="s">
        <v>7</v>
      </c>
      <c r="C20" s="139"/>
      <c r="D20" s="128" t="s">
        <v>39</v>
      </c>
      <c r="E20" s="128"/>
      <c r="F20" s="128"/>
      <c r="G20" s="168"/>
      <c r="H20" s="16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6.5730000000000011E-2</v>
      </c>
      <c r="K20" s="39">
        <f>J20/J19</f>
        <v>0.93899999999999983</v>
      </c>
      <c r="L20" s="159" t="s">
        <v>69</v>
      </c>
      <c r="M20" s="160"/>
      <c r="N20" s="160"/>
      <c r="O20" s="160"/>
      <c r="P20" s="160"/>
      <c r="Q20" s="161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34" t="s">
        <v>61</v>
      </c>
      <c r="E21" s="135"/>
      <c r="F21" s="136"/>
      <c r="G21" s="168"/>
      <c r="H21" s="16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3.8500000000000006E-3</v>
      </c>
      <c r="K21" s="39">
        <f>J21/J19</f>
        <v>5.4999999999999993E-2</v>
      </c>
      <c r="L21" s="159" t="s">
        <v>69</v>
      </c>
      <c r="M21" s="160"/>
      <c r="N21" s="160"/>
      <c r="O21" s="160"/>
      <c r="P21" s="160"/>
      <c r="Q21" s="161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37" t="s">
        <v>67</v>
      </c>
      <c r="E22" s="137"/>
      <c r="F22" s="137"/>
      <c r="G22" s="168"/>
      <c r="H22" s="16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4.2000000000000007E-4</v>
      </c>
      <c r="K22" s="39">
        <f>J22/J19</f>
        <v>5.9999999999999993E-3</v>
      </c>
      <c r="L22" s="159" t="s">
        <v>69</v>
      </c>
      <c r="M22" s="160"/>
      <c r="N22" s="160"/>
      <c r="O22" s="160"/>
      <c r="P22" s="160"/>
      <c r="Q22" s="161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5"/>
      <c r="C23" s="126"/>
      <c r="D23" s="126"/>
      <c r="E23" s="126"/>
      <c r="F23" s="127"/>
      <c r="G23" s="168"/>
      <c r="H23" s="168"/>
      <c r="I23" s="179"/>
      <c r="J23" s="180"/>
      <c r="K23" s="180"/>
      <c r="L23" s="180"/>
      <c r="M23" s="180"/>
      <c r="N23" s="180"/>
      <c r="O23" s="180"/>
      <c r="P23" s="180"/>
      <c r="Q23" s="181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9" t="s">
        <v>37</v>
      </c>
      <c r="C24" s="150"/>
      <c r="D24" s="150"/>
      <c r="E24" s="150"/>
      <c r="F24" s="151"/>
      <c r="G24" s="168"/>
      <c r="H24" s="168"/>
      <c r="I24" s="173" t="s">
        <v>42</v>
      </c>
      <c r="J24" s="174"/>
      <c r="K24" s="174"/>
      <c r="L24" s="174"/>
      <c r="M24" s="174"/>
      <c r="N24" s="174"/>
      <c r="O24" s="174"/>
      <c r="P24" s="174"/>
      <c r="Q24" s="175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2"/>
      <c r="C25" s="153"/>
      <c r="D25" s="153"/>
      <c r="E25" s="153"/>
      <c r="F25" s="154"/>
      <c r="G25" s="168"/>
      <c r="H25" s="168"/>
      <c r="I25" s="176"/>
      <c r="J25" s="177"/>
      <c r="K25" s="177"/>
      <c r="L25" s="177"/>
      <c r="M25" s="177"/>
      <c r="N25" s="177"/>
      <c r="O25" s="177"/>
      <c r="P25" s="177"/>
      <c r="Q25" s="178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1" t="s">
        <v>11</v>
      </c>
      <c r="C26" s="171" t="s">
        <v>12</v>
      </c>
      <c r="D26" s="155" t="s">
        <v>47</v>
      </c>
      <c r="E26" s="155" t="s">
        <v>48</v>
      </c>
      <c r="F26" s="157" t="s">
        <v>66</v>
      </c>
      <c r="G26" s="168"/>
      <c r="H26" s="168"/>
      <c r="I26" s="182" t="s">
        <v>53</v>
      </c>
      <c r="J26" s="182" t="s">
        <v>54</v>
      </c>
      <c r="K26" s="169" t="s">
        <v>73</v>
      </c>
      <c r="L26" s="169" t="s">
        <v>52</v>
      </c>
      <c r="M26" s="169" t="s">
        <v>59</v>
      </c>
      <c r="N26" s="169" t="s">
        <v>62</v>
      </c>
      <c r="O26" s="169" t="s">
        <v>72</v>
      </c>
      <c r="P26" s="169" t="s">
        <v>64</v>
      </c>
      <c r="Q26" s="169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2"/>
      <c r="C27" s="172"/>
      <c r="D27" s="156"/>
      <c r="E27" s="156"/>
      <c r="F27" s="158"/>
      <c r="G27" s="168"/>
      <c r="H27" s="168"/>
      <c r="I27" s="183"/>
      <c r="J27" s="183"/>
      <c r="K27" s="170"/>
      <c r="L27" s="170"/>
      <c r="M27" s="170"/>
      <c r="N27" s="170"/>
      <c r="O27" s="170"/>
      <c r="P27" s="170"/>
      <c r="Q27" s="170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88</v>
      </c>
      <c r="C28" s="46" t="s">
        <v>89</v>
      </c>
      <c r="D28" s="47">
        <v>6.5247999999999973E-2</v>
      </c>
      <c r="E28" s="47">
        <v>8.2216000000000289E-2</v>
      </c>
      <c r="F28" s="96">
        <v>9.9999999999999995E-7</v>
      </c>
      <c r="G28" s="168"/>
      <c r="H28" s="168"/>
      <c r="I28" s="92">
        <f t="shared" ref="I28:I47" si="1">IF(D28=0,"",LOG($K$15*10^D28+$K$16*10^E28+$K$14))</f>
        <v>3.7232006014196545E-5</v>
      </c>
      <c r="J28" s="92">
        <f t="shared" ref="J28:J47" si="2">IF(D28=0,"",LOG($K$21*10^D28+$K$22*10^E28+$K$20))</f>
        <v>4.393026591181153E-3</v>
      </c>
      <c r="K28" s="93">
        <f t="shared" ref="K28:K47" si="3">IF(D28=0,"",1/(1+10^D28*$J$15/$J$14+10^E28*$J$16/$J$14+10^J28*$J$19/$J$14))</f>
        <v>0.99892545403710942</v>
      </c>
      <c r="L28" s="93">
        <f t="shared" ref="L28:L47" si="4">IF(D28=0,"",1/(1+10^I28/10^J28*$J$13/$J$19))</f>
        <v>4.7114860555424613E-4</v>
      </c>
      <c r="M28" s="93">
        <f t="shared" ref="M28:M47" si="5">IF(D28=0,"",1-L28)</f>
        <v>0.99952885139444581</v>
      </c>
      <c r="N28" s="93">
        <f t="shared" ref="N28:N47" si="6">IF(D28=0,"",1/(1/10^E28*$J$20/$J$22+10^D28/10^E28*$J$21/$J$22+10^I28/10^E28*$J$13/$J$22+1))</f>
        <v>3.3816770791188494E-6</v>
      </c>
      <c r="O28" s="40">
        <f t="shared" ref="O28:O47" si="7">IF(D28=0,"",F28*K28*$J$7/$J$14)</f>
        <v>9.9990957240750029E-7</v>
      </c>
      <c r="P28" s="40">
        <f t="shared" ref="P28:P47" si="8">IF(D28=0,"",O28*10^J28)</f>
        <v>1.0100753033646527E-6</v>
      </c>
      <c r="Q28" s="40">
        <f t="shared" ref="Q28:Q47" si="9">IF(D28=0,"",F28*N28*$J$7/$J$22)</f>
        <v>1.2083054268175373E-6</v>
      </c>
      <c r="R28" s="9">
        <f>F28*$C$14</f>
        <v>1.4999999999999999E-4</v>
      </c>
      <c r="S28" s="9">
        <f>$R28*L28</f>
        <v>7.0672290833136914E-8</v>
      </c>
      <c r="T28" s="9">
        <f t="shared" ref="T28:T91" si="10">R28*K28</f>
        <v>1.498388181055664E-4</v>
      </c>
      <c r="U28" s="9">
        <f t="shared" ref="U28:U91" si="11">$R28*M28</f>
        <v>1.4992932770916686E-4</v>
      </c>
      <c r="V28" s="100">
        <f>K28/M28</f>
        <v>0.99939631821883423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162</v>
      </c>
      <c r="C29" s="46" t="s">
        <v>163</v>
      </c>
      <c r="D29" s="47">
        <v>2.31</v>
      </c>
      <c r="E29" s="47">
        <v>2.58</v>
      </c>
      <c r="F29" s="96">
        <v>9.9999999999999995E-7</v>
      </c>
      <c r="G29" s="168"/>
      <c r="H29" s="168"/>
      <c r="I29" s="92">
        <f t="shared" si="1"/>
        <v>4.6078470391874224E-2</v>
      </c>
      <c r="J29" s="92">
        <f t="shared" si="2"/>
        <v>1.1598586824387487</v>
      </c>
      <c r="K29" s="93">
        <f t="shared" si="3"/>
        <v>0.89345098156857661</v>
      </c>
      <c r="L29" s="93">
        <f t="shared" si="4"/>
        <v>6.0278330660720972E-3</v>
      </c>
      <c r="M29" s="93">
        <f t="shared" si="5"/>
        <v>0.99397216693392787</v>
      </c>
      <c r="N29" s="93">
        <f t="shared" si="6"/>
        <v>9.5159857817229043E-4</v>
      </c>
      <c r="O29" s="40">
        <f t="shared" si="7"/>
        <v>8.9433118891583353E-7</v>
      </c>
      <c r="P29" s="40">
        <f t="shared" si="8"/>
        <v>1.2922812974649134E-5</v>
      </c>
      <c r="Q29" s="40">
        <f t="shared" si="9"/>
        <v>3.4001523482456094E-4</v>
      </c>
      <c r="R29" s="9">
        <f t="shared" ref="R29:R92" si="12">F29*$C$14</f>
        <v>1.4999999999999999E-4</v>
      </c>
      <c r="S29" s="9">
        <f t="shared" ref="S29:S92" si="13">$R29*L29</f>
        <v>9.0417495991081449E-7</v>
      </c>
      <c r="T29" s="9">
        <f t="shared" si="10"/>
        <v>1.3401764723528647E-4</v>
      </c>
      <c r="U29" s="9">
        <f t="shared" si="11"/>
        <v>1.4909582504008917E-4</v>
      </c>
      <c r="V29" s="100">
        <f t="shared" ref="V29:V92" si="14">K29/M29</f>
        <v>0.89886921514570617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164</v>
      </c>
      <c r="C30" s="46" t="s">
        <v>165</v>
      </c>
      <c r="D30" s="90">
        <v>4.4000000000000004</v>
      </c>
      <c r="E30" s="90">
        <v>2.64</v>
      </c>
      <c r="F30" s="96">
        <v>9.9999999999999995E-7</v>
      </c>
      <c r="G30" s="168"/>
      <c r="H30" s="168"/>
      <c r="I30" s="92">
        <f t="shared" si="1"/>
        <v>1.116379396238508</v>
      </c>
      <c r="J30" s="92">
        <f t="shared" si="2"/>
        <v>3.1414797597951694</v>
      </c>
      <c r="K30" s="93">
        <f t="shared" si="3"/>
        <v>7.2851184273106828E-2</v>
      </c>
      <c r="L30" s="93">
        <f t="shared" si="4"/>
        <v>4.7113804952567562E-2</v>
      </c>
      <c r="M30" s="93">
        <f t="shared" si="5"/>
        <v>0.95288619504743244</v>
      </c>
      <c r="N30" s="93">
        <f t="shared" si="6"/>
        <v>8.9088094564423795E-5</v>
      </c>
      <c r="O30" s="40">
        <f t="shared" si="7"/>
        <v>7.292295558342648E-8</v>
      </c>
      <c r="P30" s="40">
        <f t="shared" si="8"/>
        <v>1.0100526727474019E-4</v>
      </c>
      <c r="Q30" s="40">
        <f t="shared" si="9"/>
        <v>3.1832024645912084E-5</v>
      </c>
      <c r="R30" s="9">
        <f t="shared" si="12"/>
        <v>1.4999999999999999E-4</v>
      </c>
      <c r="S30" s="9">
        <f t="shared" si="13"/>
        <v>7.0670707428851338E-6</v>
      </c>
      <c r="T30" s="9">
        <f t="shared" si="10"/>
        <v>1.0927677640966024E-5</v>
      </c>
      <c r="U30" s="9">
        <f t="shared" si="11"/>
        <v>1.4293292925711485E-4</v>
      </c>
      <c r="V30" s="100">
        <f t="shared" si="14"/>
        <v>7.6453184705315688E-2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90</v>
      </c>
      <c r="C31" s="46" t="s">
        <v>91</v>
      </c>
      <c r="D31" s="47">
        <v>-0.92190615231165807</v>
      </c>
      <c r="E31" s="47">
        <v>-1.7889087518799642</v>
      </c>
      <c r="F31" s="96">
        <v>9.9999999999999995E-7</v>
      </c>
      <c r="G31" s="168"/>
      <c r="H31" s="168"/>
      <c r="I31" s="92">
        <f t="shared" si="1"/>
        <v>-1.9978935919434454E-4</v>
      </c>
      <c r="J31" s="92">
        <f t="shared" si="2"/>
        <v>-2.4255314009752445E-2</v>
      </c>
      <c r="K31" s="93">
        <f t="shared" si="3"/>
        <v>0.99950059908589439</v>
      </c>
      <c r="L31" s="93">
        <f t="shared" si="4"/>
        <v>4.4132603514984172E-4</v>
      </c>
      <c r="M31" s="93">
        <f t="shared" si="5"/>
        <v>0.99955867396485021</v>
      </c>
      <c r="N31" s="93">
        <f t="shared" si="6"/>
        <v>4.552577640345986E-8</v>
      </c>
      <c r="O31" s="40">
        <f t="shared" si="7"/>
        <v>1.0004852840759524E-6</v>
      </c>
      <c r="P31" s="40">
        <f t="shared" si="8"/>
        <v>9.4613997278481041E-7</v>
      </c>
      <c r="Q31" s="40">
        <f t="shared" si="9"/>
        <v>1.6266793487779093E-8</v>
      </c>
      <c r="R31" s="9">
        <f t="shared" si="12"/>
        <v>1.4999999999999999E-4</v>
      </c>
      <c r="S31" s="9">
        <f t="shared" si="13"/>
        <v>6.6198905272476254E-8</v>
      </c>
      <c r="T31" s="9">
        <f t="shared" si="10"/>
        <v>1.4992508986288414E-4</v>
      </c>
      <c r="U31" s="9">
        <f t="shared" si="11"/>
        <v>1.4993380109472752E-4</v>
      </c>
      <c r="V31" s="100">
        <f t="shared" si="14"/>
        <v>0.99994189947977197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92</v>
      </c>
      <c r="C32" s="46" t="s">
        <v>93</v>
      </c>
      <c r="D32" s="47">
        <v>0.54749180498968375</v>
      </c>
      <c r="E32" s="47">
        <v>0.30136158174588817</v>
      </c>
      <c r="F32" s="96">
        <v>9.9999999999999995E-7</v>
      </c>
      <c r="G32" s="168"/>
      <c r="H32" s="168"/>
      <c r="I32" s="92">
        <f t="shared" si="1"/>
        <v>5.4311668398331027E-4</v>
      </c>
      <c r="J32" s="92">
        <f t="shared" si="2"/>
        <v>5.8817903526915599E-2</v>
      </c>
      <c r="K32" s="93">
        <f t="shared" si="3"/>
        <v>0.99770040311510144</v>
      </c>
      <c r="L32" s="93">
        <f t="shared" si="4"/>
        <v>5.3339612339066802E-4</v>
      </c>
      <c r="M32" s="93">
        <f t="shared" si="5"/>
        <v>0.99946660387660935</v>
      </c>
      <c r="N32" s="93">
        <f t="shared" si="6"/>
        <v>5.5942875240002075E-6</v>
      </c>
      <c r="O32" s="40">
        <f t="shared" si="7"/>
        <v>9.9868331459351461E-7</v>
      </c>
      <c r="P32" s="40">
        <f t="shared" si="8"/>
        <v>1.1435250891033935E-6</v>
      </c>
      <c r="Q32" s="40">
        <f t="shared" si="9"/>
        <v>1.9988922112540737E-6</v>
      </c>
      <c r="R32" s="9">
        <f t="shared" si="12"/>
        <v>1.4999999999999999E-4</v>
      </c>
      <c r="S32" s="9">
        <f t="shared" si="13"/>
        <v>8.0009418508600198E-8</v>
      </c>
      <c r="T32" s="9">
        <f t="shared" si="10"/>
        <v>1.496550604672652E-4</v>
      </c>
      <c r="U32" s="9">
        <f t="shared" si="11"/>
        <v>1.4991999058149138E-4</v>
      </c>
      <c r="V32" s="100">
        <f t="shared" si="14"/>
        <v>0.9982328566510803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166</v>
      </c>
      <c r="C33" s="94" t="s">
        <v>110</v>
      </c>
      <c r="D33" s="95">
        <v>1.6452318246143236</v>
      </c>
      <c r="E33" s="95">
        <v>1.8629354124795308</v>
      </c>
      <c r="F33" s="96">
        <v>9.9999999999999995E-7</v>
      </c>
      <c r="G33" s="168"/>
      <c r="H33" s="168"/>
      <c r="I33" s="92">
        <f t="shared" si="1"/>
        <v>1.0070969156464394E-2</v>
      </c>
      <c r="J33" s="92">
        <f t="shared" si="2"/>
        <v>0.58053081129160555</v>
      </c>
      <c r="K33" s="93">
        <f t="shared" si="3"/>
        <v>0.97487934827984046</v>
      </c>
      <c r="L33" s="93">
        <f t="shared" si="4"/>
        <v>1.7326605429460302E-3</v>
      </c>
      <c r="M33" s="93">
        <f t="shared" si="5"/>
        <v>0.99826733945705393</v>
      </c>
      <c r="N33" s="93">
        <f t="shared" si="6"/>
        <v>1.991908280929175E-4</v>
      </c>
      <c r="O33" s="40">
        <f t="shared" si="7"/>
        <v>9.7583977698018008E-7</v>
      </c>
      <c r="P33" s="40">
        <f t="shared" si="8"/>
        <v>3.7145766811415811E-6</v>
      </c>
      <c r="Q33" s="40">
        <f t="shared" si="9"/>
        <v>7.1172779933105054E-5</v>
      </c>
      <c r="R33" s="9">
        <f t="shared" si="12"/>
        <v>1.4999999999999999E-4</v>
      </c>
      <c r="S33" s="9">
        <f t="shared" si="13"/>
        <v>2.5989908144190449E-7</v>
      </c>
      <c r="T33" s="9">
        <f t="shared" si="10"/>
        <v>1.4623190224197607E-4</v>
      </c>
      <c r="U33" s="9">
        <f t="shared" si="11"/>
        <v>1.4974010091855808E-4</v>
      </c>
      <c r="V33" s="100">
        <f t="shared" si="14"/>
        <v>0.9765714150380459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94</v>
      </c>
      <c r="C34" s="46" t="s">
        <v>95</v>
      </c>
      <c r="D34" s="90">
        <v>0.39857726844789648</v>
      </c>
      <c r="E34" s="90">
        <v>8.9525410045599246E-2</v>
      </c>
      <c r="F34" s="96">
        <v>9.9999999999999995E-7</v>
      </c>
      <c r="G34" s="168"/>
      <c r="H34" s="168"/>
      <c r="I34" s="92">
        <f t="shared" si="1"/>
        <v>3.1711948665398576E-4</v>
      </c>
      <c r="J34" s="92">
        <f t="shared" si="2"/>
        <v>3.5059512910216577E-2</v>
      </c>
      <c r="K34" s="93">
        <f t="shared" si="3"/>
        <v>0.99824780321122564</v>
      </c>
      <c r="L34" s="93">
        <f t="shared" si="4"/>
        <v>5.0527717457808576E-4</v>
      </c>
      <c r="M34" s="93">
        <f t="shared" si="5"/>
        <v>0.99949472282542196</v>
      </c>
      <c r="N34" s="93">
        <f t="shared" si="6"/>
        <v>3.4367411845900465E-6</v>
      </c>
      <c r="O34" s="40">
        <f t="shared" si="7"/>
        <v>9.9923125397561665E-7</v>
      </c>
      <c r="P34" s="40">
        <f t="shared" si="8"/>
        <v>1.0832420798419041E-6</v>
      </c>
      <c r="Q34" s="40">
        <f t="shared" si="9"/>
        <v>1.227980356122448E-6</v>
      </c>
      <c r="R34" s="9">
        <f t="shared" si="12"/>
        <v>1.4999999999999999E-4</v>
      </c>
      <c r="S34" s="9">
        <f t="shared" si="13"/>
        <v>7.5791576186712854E-8</v>
      </c>
      <c r="T34" s="9">
        <f t="shared" si="10"/>
        <v>1.4973717048168383E-4</v>
      </c>
      <c r="U34" s="9">
        <f t="shared" si="11"/>
        <v>1.4992420842381329E-4</v>
      </c>
      <c r="V34" s="100">
        <f t="shared" si="14"/>
        <v>0.9987524500272783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96</v>
      </c>
      <c r="C35" s="46" t="s">
        <v>97</v>
      </c>
      <c r="D35" s="90">
        <v>0.27761205565007074</v>
      </c>
      <c r="E35" s="90">
        <v>-8.2551864497786676E-2</v>
      </c>
      <c r="F35" s="96">
        <v>9.9999999999999995E-7</v>
      </c>
      <c r="G35" s="168"/>
      <c r="H35" s="168"/>
      <c r="I35" s="92">
        <f t="shared" si="1"/>
        <v>1.8367979099029661E-4</v>
      </c>
      <c r="J35" s="92">
        <f t="shared" si="2"/>
        <v>2.0438780062135082E-2</v>
      </c>
      <c r="K35" s="93">
        <f t="shared" si="3"/>
        <v>0.99857112165143647</v>
      </c>
      <c r="L35" s="93">
        <f t="shared" si="4"/>
        <v>4.8870815499947639E-4</v>
      </c>
      <c r="M35" s="93">
        <f t="shared" si="5"/>
        <v>0.99951129184500054</v>
      </c>
      <c r="N35" s="93">
        <f t="shared" si="6"/>
        <v>2.3131840651774143E-6</v>
      </c>
      <c r="O35" s="40">
        <f t="shared" si="7"/>
        <v>9.9955489094171469E-7</v>
      </c>
      <c r="P35" s="40">
        <f t="shared" si="8"/>
        <v>1.0477204688681627E-6</v>
      </c>
      <c r="Q35" s="40">
        <f t="shared" si="9"/>
        <v>8.2652269681232006E-7</v>
      </c>
      <c r="R35" s="9">
        <f t="shared" si="12"/>
        <v>1.4999999999999999E-4</v>
      </c>
      <c r="S35" s="9">
        <f t="shared" si="13"/>
        <v>7.3306223249921448E-8</v>
      </c>
      <c r="T35" s="9">
        <f t="shared" si="10"/>
        <v>1.4978566824771545E-4</v>
      </c>
      <c r="U35" s="9">
        <f t="shared" si="11"/>
        <v>1.4992669377675007E-4</v>
      </c>
      <c r="V35" s="100">
        <f t="shared" si="14"/>
        <v>0.99905937011293933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167</v>
      </c>
      <c r="C36" s="46" t="s">
        <v>168</v>
      </c>
      <c r="D36" s="47">
        <v>3.4409280000000009</v>
      </c>
      <c r="E36" s="47">
        <v>4.1160660000000009</v>
      </c>
      <c r="F36" s="96">
        <v>9.9999999999999995E-7</v>
      </c>
      <c r="G36" s="168"/>
      <c r="H36" s="168"/>
      <c r="I36" s="92">
        <f t="shared" si="1"/>
        <v>0.45036614920415591</v>
      </c>
      <c r="J36" s="92">
        <f t="shared" si="2"/>
        <v>2.3638521417655052</v>
      </c>
      <c r="K36" s="93">
        <f t="shared" si="3"/>
        <v>0.34128090988276777</v>
      </c>
      <c r="L36" s="93">
        <f t="shared" si="4"/>
        <v>3.6829510061203864E-2</v>
      </c>
      <c r="M36" s="93">
        <f t="shared" si="5"/>
        <v>0.96317048993879617</v>
      </c>
      <c r="N36" s="93">
        <f t="shared" si="6"/>
        <v>1.2489960075474208E-2</v>
      </c>
      <c r="O36" s="40">
        <f t="shared" si="7"/>
        <v>3.4161713198174621E-7</v>
      </c>
      <c r="P36" s="40">
        <f t="shared" si="8"/>
        <v>7.8957208212640891E-5</v>
      </c>
      <c r="Q36" s="40">
        <f t="shared" si="9"/>
        <v>4.4627816869676519E-3</v>
      </c>
      <c r="R36" s="9">
        <f t="shared" si="12"/>
        <v>1.4999999999999999E-4</v>
      </c>
      <c r="S36" s="9">
        <f t="shared" si="13"/>
        <v>5.5244265091805793E-6</v>
      </c>
      <c r="T36" s="9">
        <f t="shared" si="10"/>
        <v>5.1192136482415159E-5</v>
      </c>
      <c r="U36" s="9">
        <f t="shared" si="11"/>
        <v>1.4447557349081942E-4</v>
      </c>
      <c r="V36" s="100">
        <f t="shared" si="14"/>
        <v>0.35433073733857251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169</v>
      </c>
      <c r="C37" s="94" t="s">
        <v>170</v>
      </c>
      <c r="D37" s="95">
        <v>4.9025336133267672</v>
      </c>
      <c r="E37" s="95">
        <v>6.4965619006479365</v>
      </c>
      <c r="F37" s="96">
        <v>9.9999999999999995E-7</v>
      </c>
      <c r="G37" s="168"/>
      <c r="H37" s="168"/>
      <c r="I37" s="92">
        <f t="shared" si="1"/>
        <v>2.2002191789801899</v>
      </c>
      <c r="J37" s="92">
        <f t="shared" si="2"/>
        <v>4.3658502336048723</v>
      </c>
      <c r="K37" s="93">
        <f t="shared" si="3"/>
        <v>5.899954801183804E-3</v>
      </c>
      <c r="L37" s="93">
        <f t="shared" si="4"/>
        <v>6.3963279404267562E-2</v>
      </c>
      <c r="M37" s="93">
        <f t="shared" si="5"/>
        <v>0.9360367205957324</v>
      </c>
      <c r="N37" s="93">
        <f t="shared" si="6"/>
        <v>5.1855358298264022E-2</v>
      </c>
      <c r="O37" s="40">
        <f t="shared" si="7"/>
        <v>5.9057673008862144E-9</v>
      </c>
      <c r="P37" s="40">
        <f t="shared" si="8"/>
        <v>1.3712813343140607E-4</v>
      </c>
      <c r="Q37" s="40">
        <f t="shared" si="9"/>
        <v>1.8528413380524952E-2</v>
      </c>
      <c r="R37" s="9">
        <f t="shared" si="12"/>
        <v>1.4999999999999999E-4</v>
      </c>
      <c r="S37" s="9">
        <f t="shared" si="13"/>
        <v>9.594491910640134E-6</v>
      </c>
      <c r="T37" s="9">
        <f t="shared" si="10"/>
        <v>8.8499322017757047E-7</v>
      </c>
      <c r="U37" s="9">
        <f t="shared" si="11"/>
        <v>1.4040550808935986E-4</v>
      </c>
      <c r="V37" s="100">
        <f t="shared" si="14"/>
        <v>6.3031232337005215E-3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171</v>
      </c>
      <c r="C38" s="46" t="s">
        <v>172</v>
      </c>
      <c r="D38" s="90">
        <v>-0.51108880646233978</v>
      </c>
      <c r="E38" s="90">
        <v>-1.2045066120098076</v>
      </c>
      <c r="F38" s="96">
        <v>9.9999999999999995E-7</v>
      </c>
      <c r="G38" s="168"/>
      <c r="H38" s="168"/>
      <c r="I38" s="92">
        <f t="shared" si="1"/>
        <v>-1.5970395933982679E-4</v>
      </c>
      <c r="J38" s="92">
        <f t="shared" si="2"/>
        <v>-1.9392795678063554E-2</v>
      </c>
      <c r="K38" s="93">
        <f t="shared" si="3"/>
        <v>0.99940342451316089</v>
      </c>
      <c r="L38" s="93">
        <f t="shared" si="4"/>
        <v>4.4625165661746368E-4</v>
      </c>
      <c r="M38" s="93">
        <f t="shared" si="5"/>
        <v>0.99955374834338251</v>
      </c>
      <c r="N38" s="93">
        <f t="shared" si="6"/>
        <v>1.748305305096318E-7</v>
      </c>
      <c r="O38" s="40">
        <f t="shared" si="7"/>
        <v>1.0003880137690659E-6</v>
      </c>
      <c r="P38" s="40">
        <f t="shared" si="8"/>
        <v>9.5669980155118202E-7</v>
      </c>
      <c r="Q38" s="40">
        <f t="shared" si="9"/>
        <v>6.2468613603762955E-8</v>
      </c>
      <c r="R38" s="9">
        <f t="shared" si="12"/>
        <v>1.4999999999999999E-4</v>
      </c>
      <c r="S38" s="9">
        <f t="shared" si="13"/>
        <v>6.6937748492619552E-8</v>
      </c>
      <c r="T38" s="9">
        <f t="shared" si="10"/>
        <v>1.4991051367697412E-4</v>
      </c>
      <c r="U38" s="9">
        <f t="shared" si="11"/>
        <v>1.4993306225150735E-4</v>
      </c>
      <c r="V38" s="100">
        <f t="shared" si="14"/>
        <v>0.99984960905757114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98</v>
      </c>
      <c r="C39" s="46" t="s">
        <v>99</v>
      </c>
      <c r="D39" s="90">
        <v>2.3414159999999997</v>
      </c>
      <c r="E39" s="90">
        <v>2.4767320000000002</v>
      </c>
      <c r="F39" s="96">
        <v>9.9999999999999995E-7</v>
      </c>
      <c r="G39" s="168"/>
      <c r="H39" s="168"/>
      <c r="I39" s="92">
        <f t="shared" si="1"/>
        <v>4.7752637245013392E-2</v>
      </c>
      <c r="J39" s="92">
        <f t="shared" si="2"/>
        <v>1.1705366559659576</v>
      </c>
      <c r="K39" s="93">
        <f t="shared" si="3"/>
        <v>0.88990106589369389</v>
      </c>
      <c r="L39" s="93">
        <f t="shared" si="4"/>
        <v>6.1533297166085927E-3</v>
      </c>
      <c r="M39" s="93">
        <f t="shared" si="5"/>
        <v>0.99384667028339135</v>
      </c>
      <c r="N39" s="93">
        <f t="shared" si="6"/>
        <v>7.4723426936845977E-4</v>
      </c>
      <c r="O39" s="40">
        <f t="shared" si="7"/>
        <v>8.9077777594571744E-7</v>
      </c>
      <c r="P39" s="40">
        <f t="shared" si="8"/>
        <v>1.3191859865306447E-5</v>
      </c>
      <c r="Q39" s="40">
        <f t="shared" si="9"/>
        <v>2.6699392096220172E-4</v>
      </c>
      <c r="R39" s="9">
        <f t="shared" si="12"/>
        <v>1.4999999999999999E-4</v>
      </c>
      <c r="S39" s="9">
        <f t="shared" si="13"/>
        <v>9.2299945749128878E-7</v>
      </c>
      <c r="T39" s="9">
        <f t="shared" si="10"/>
        <v>1.3348515988405408E-4</v>
      </c>
      <c r="U39" s="9">
        <f t="shared" si="11"/>
        <v>1.490770005425087E-4</v>
      </c>
      <c r="V39" s="100">
        <f t="shared" si="14"/>
        <v>0.89541082392512539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173</v>
      </c>
      <c r="C40" s="46" t="s">
        <v>174</v>
      </c>
      <c r="D40" s="47">
        <v>2.349974877229557</v>
      </c>
      <c r="E40" s="47">
        <v>2.8654572197209189</v>
      </c>
      <c r="F40" s="96">
        <v>9.9999999999999995E-7</v>
      </c>
      <c r="G40" s="168"/>
      <c r="H40" s="168"/>
      <c r="I40" s="92">
        <f t="shared" si="1"/>
        <v>5.4923561227077443E-2</v>
      </c>
      <c r="J40" s="92">
        <f t="shared" si="2"/>
        <v>1.246814405253073</v>
      </c>
      <c r="K40" s="93">
        <f t="shared" si="3"/>
        <v>0.87439992014007917</v>
      </c>
      <c r="L40" s="93">
        <f t="shared" si="4"/>
        <v>7.2070298084600552E-3</v>
      </c>
      <c r="M40" s="93">
        <f t="shared" si="5"/>
        <v>0.99279297019153989</v>
      </c>
      <c r="N40" s="93">
        <f t="shared" si="6"/>
        <v>1.7970095419094871E-3</v>
      </c>
      <c r="O40" s="40">
        <f t="shared" si="7"/>
        <v>8.7526135882001315E-7</v>
      </c>
      <c r="P40" s="40">
        <f t="shared" si="8"/>
        <v>1.5450842333651431E-5</v>
      </c>
      <c r="Q40" s="40">
        <f t="shared" si="9"/>
        <v>6.4208862370084929E-4</v>
      </c>
      <c r="R40" s="9">
        <f t="shared" si="12"/>
        <v>1.4999999999999999E-4</v>
      </c>
      <c r="S40" s="9">
        <f t="shared" si="13"/>
        <v>1.0810544712690082E-6</v>
      </c>
      <c r="T40" s="9">
        <f t="shared" si="10"/>
        <v>1.3115998802101187E-4</v>
      </c>
      <c r="U40" s="9">
        <f t="shared" si="11"/>
        <v>1.4891894552873097E-4</v>
      </c>
      <c r="V40" s="100">
        <f t="shared" si="14"/>
        <v>0.88074749358003701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175</v>
      </c>
      <c r="C41" s="94" t="s">
        <v>176</v>
      </c>
      <c r="D41" s="95">
        <v>1.4854320000000003</v>
      </c>
      <c r="E41" s="95">
        <v>1.5057189999999996</v>
      </c>
      <c r="F41" s="96">
        <v>9.9999999999999995E-7</v>
      </c>
      <c r="G41" s="168"/>
      <c r="H41" s="168"/>
      <c r="I41" s="92">
        <f t="shared" si="1"/>
        <v>6.6276677113325539E-3</v>
      </c>
      <c r="J41" s="92">
        <f t="shared" si="2"/>
        <v>0.44918987949517508</v>
      </c>
      <c r="K41" s="93">
        <f t="shared" si="3"/>
        <v>0.98307390350457324</v>
      </c>
      <c r="L41" s="93">
        <f t="shared" si="4"/>
        <v>1.2912426154783059E-3</v>
      </c>
      <c r="M41" s="93">
        <f t="shared" si="5"/>
        <v>0.99870875738452169</v>
      </c>
      <c r="N41" s="93">
        <f t="shared" si="6"/>
        <v>8.8244616838707314E-5</v>
      </c>
      <c r="O41" s="40">
        <f t="shared" si="7"/>
        <v>9.8404240529214993E-7</v>
      </c>
      <c r="P41" s="40">
        <f t="shared" si="8"/>
        <v>2.7682397043547044E-6</v>
      </c>
      <c r="Q41" s="40">
        <f t="shared" si="9"/>
        <v>3.1530642021392387E-5</v>
      </c>
      <c r="R41" s="9">
        <f t="shared" si="12"/>
        <v>1.4999999999999999E-4</v>
      </c>
      <c r="S41" s="9">
        <f t="shared" si="13"/>
        <v>1.9368639232174586E-7</v>
      </c>
      <c r="T41" s="9">
        <f t="shared" si="10"/>
        <v>1.4746108552568597E-4</v>
      </c>
      <c r="U41" s="9">
        <f t="shared" si="11"/>
        <v>1.4980631360767823E-4</v>
      </c>
      <c r="V41" s="100">
        <f t="shared" si="14"/>
        <v>0.98434493162862224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177</v>
      </c>
      <c r="C42" s="46" t="s">
        <v>178</v>
      </c>
      <c r="D42" s="90">
        <v>2.0758240000000003</v>
      </c>
      <c r="E42" s="90">
        <v>2.477398</v>
      </c>
      <c r="F42" s="96">
        <v>9.9999999999999995E-7</v>
      </c>
      <c r="G42" s="168"/>
      <c r="H42" s="168"/>
      <c r="I42" s="92">
        <f t="shared" si="1"/>
        <v>2.8589842167479149E-2</v>
      </c>
      <c r="J42" s="92">
        <f t="shared" si="2"/>
        <v>0.96798410137931923</v>
      </c>
      <c r="K42" s="93">
        <f t="shared" si="3"/>
        <v>0.93202159363773507</v>
      </c>
      <c r="L42" s="93">
        <f t="shared" si="4"/>
        <v>4.0424241486881913E-3</v>
      </c>
      <c r="M42" s="93">
        <f t="shared" si="5"/>
        <v>0.99595757585131184</v>
      </c>
      <c r="N42" s="93">
        <f t="shared" si="6"/>
        <v>7.8380319353023493E-4</v>
      </c>
      <c r="O42" s="40">
        <f t="shared" si="7"/>
        <v>9.3293979986442905E-7</v>
      </c>
      <c r="P42" s="40">
        <f t="shared" si="8"/>
        <v>8.6663798856233802E-6</v>
      </c>
      <c r="Q42" s="40">
        <f t="shared" si="9"/>
        <v>2.8006034584067218E-4</v>
      </c>
      <c r="R42" s="9">
        <f t="shared" si="12"/>
        <v>1.4999999999999999E-4</v>
      </c>
      <c r="S42" s="9">
        <f t="shared" si="13"/>
        <v>6.0636362230322868E-7</v>
      </c>
      <c r="T42" s="9">
        <f t="shared" si="10"/>
        <v>1.3980323904566025E-4</v>
      </c>
      <c r="U42" s="9">
        <f t="shared" si="11"/>
        <v>1.4939363637769677E-4</v>
      </c>
      <c r="V42" s="100">
        <f t="shared" si="14"/>
        <v>0.9358045123971005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179</v>
      </c>
      <c r="C43" s="46" t="s">
        <v>180</v>
      </c>
      <c r="D43" s="90">
        <v>2.3078000000000003</v>
      </c>
      <c r="E43" s="90">
        <v>2.5099249999999995</v>
      </c>
      <c r="F43" s="96">
        <v>9.9999999999999995E-7</v>
      </c>
      <c r="G43" s="168"/>
      <c r="H43" s="168"/>
      <c r="I43" s="92">
        <f t="shared" si="1"/>
        <v>4.5043006346732313E-2</v>
      </c>
      <c r="J43" s="92">
        <f t="shared" si="2"/>
        <v>1.1477703991585053</v>
      </c>
      <c r="K43" s="93">
        <f t="shared" si="3"/>
        <v>0.89571940558460539</v>
      </c>
      <c r="L43" s="93">
        <f t="shared" si="4"/>
        <v>5.8772502911854894E-3</v>
      </c>
      <c r="M43" s="93">
        <f t="shared" si="5"/>
        <v>0.99412274970881453</v>
      </c>
      <c r="N43" s="93">
        <f t="shared" si="6"/>
        <v>8.1185793053564022E-4</v>
      </c>
      <c r="O43" s="40">
        <f t="shared" si="7"/>
        <v>8.9660184773100261E-7</v>
      </c>
      <c r="P43" s="40">
        <f t="shared" si="8"/>
        <v>1.2599985017117228E-5</v>
      </c>
      <c r="Q43" s="40">
        <f t="shared" si="9"/>
        <v>2.9008457056067496E-4</v>
      </c>
      <c r="R43" s="9">
        <f t="shared" si="12"/>
        <v>1.4999999999999999E-4</v>
      </c>
      <c r="S43" s="9">
        <f t="shared" si="13"/>
        <v>8.8158754367782337E-7</v>
      </c>
      <c r="T43" s="9">
        <f t="shared" si="10"/>
        <v>1.3435791083769079E-4</v>
      </c>
      <c r="U43" s="9">
        <f t="shared" si="11"/>
        <v>1.4911841245632217E-4</v>
      </c>
      <c r="V43" s="100">
        <f t="shared" si="14"/>
        <v>0.90101489564238202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181</v>
      </c>
      <c r="C44" s="46" t="s">
        <v>182</v>
      </c>
      <c r="D44" s="90">
        <v>5.676184000000001</v>
      </c>
      <c r="E44" s="90">
        <v>7.0708080000000004</v>
      </c>
      <c r="F44" s="96">
        <v>9.9999999999999995E-7</v>
      </c>
      <c r="G44" s="168"/>
      <c r="H44" s="168"/>
      <c r="I44" s="92">
        <f t="shared" si="1"/>
        <v>2.829962486439805</v>
      </c>
      <c r="J44" s="92">
        <f t="shared" si="2"/>
        <v>4.9855182177090152</v>
      </c>
      <c r="K44" s="93">
        <f t="shared" si="3"/>
        <v>1.3859350482808923E-3</v>
      </c>
      <c r="L44" s="93">
        <f t="shared" si="4"/>
        <v>6.2588263035632183E-2</v>
      </c>
      <c r="M44" s="93">
        <f t="shared" si="5"/>
        <v>0.93741173696436786</v>
      </c>
      <c r="N44" s="93">
        <f t="shared" si="6"/>
        <v>4.5701865909934247E-2</v>
      </c>
      <c r="O44" s="40">
        <f t="shared" si="7"/>
        <v>1.3873004395978015E-9</v>
      </c>
      <c r="P44" s="40">
        <f t="shared" si="8"/>
        <v>1.3418029476796174E-4</v>
      </c>
      <c r="Q44" s="40">
        <f t="shared" si="9"/>
        <v>1.6329711945485312E-2</v>
      </c>
      <c r="R44" s="9">
        <f t="shared" si="12"/>
        <v>1.4999999999999999E-4</v>
      </c>
      <c r="S44" s="9">
        <f t="shared" si="13"/>
        <v>9.3882394553448269E-6</v>
      </c>
      <c r="T44" s="9">
        <f t="shared" si="10"/>
        <v>2.0789025724213384E-7</v>
      </c>
      <c r="U44" s="9">
        <f t="shared" si="11"/>
        <v>1.4061176054465515E-4</v>
      </c>
      <c r="V44" s="100">
        <f t="shared" si="14"/>
        <v>1.4784699120249797E-3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183</v>
      </c>
      <c r="C45" s="46" t="s">
        <v>184</v>
      </c>
      <c r="D45" s="90">
        <v>1.2599279999999999</v>
      </c>
      <c r="E45" s="90">
        <v>1.3925860000000003</v>
      </c>
      <c r="F45" s="96">
        <v>9.9999999999999995E-7</v>
      </c>
      <c r="G45" s="168"/>
      <c r="H45" s="168"/>
      <c r="I45" s="92">
        <f t="shared" si="1"/>
        <v>3.957220636313619E-3</v>
      </c>
      <c r="J45" s="92">
        <f t="shared" si="2"/>
        <v>0.31969548815041149</v>
      </c>
      <c r="K45" s="93">
        <f t="shared" si="3"/>
        <v>0.989460939601989</v>
      </c>
      <c r="L45" s="93">
        <f t="shared" si="4"/>
        <v>9.6455266748534535E-4</v>
      </c>
      <c r="M45" s="93">
        <f t="shared" si="5"/>
        <v>0.9990354473325147</v>
      </c>
      <c r="N45" s="93">
        <f t="shared" si="6"/>
        <v>6.8449094711222177E-5</v>
      </c>
      <c r="O45" s="40">
        <f t="shared" si="7"/>
        <v>9.9043573375055251E-7</v>
      </c>
      <c r="P45" s="40">
        <f t="shared" si="8"/>
        <v>2.067863125850367E-6</v>
      </c>
      <c r="Q45" s="40">
        <f t="shared" si="9"/>
        <v>2.4457513436459781E-5</v>
      </c>
      <c r="R45" s="9">
        <f t="shared" si="12"/>
        <v>1.4999999999999999E-4</v>
      </c>
      <c r="S45" s="9">
        <f t="shared" si="13"/>
        <v>1.4468290012280178E-7</v>
      </c>
      <c r="T45" s="9">
        <f t="shared" si="10"/>
        <v>1.4841914094029834E-4</v>
      </c>
      <c r="U45" s="9">
        <f t="shared" si="11"/>
        <v>1.4985531709987718E-4</v>
      </c>
      <c r="V45" s="100">
        <f t="shared" si="14"/>
        <v>0.99041624823614594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185</v>
      </c>
      <c r="C46" s="46" t="s">
        <v>186</v>
      </c>
      <c r="D46" s="91">
        <v>1.2889359999999999</v>
      </c>
      <c r="E46" s="91">
        <v>1.371977</v>
      </c>
      <c r="F46" s="96">
        <v>9.9999999999999995E-7</v>
      </c>
      <c r="G46" s="168"/>
      <c r="H46" s="168"/>
      <c r="I46" s="92">
        <f t="shared" si="1"/>
        <v>4.1980440605165602E-3</v>
      </c>
      <c r="J46" s="92">
        <f t="shared" si="2"/>
        <v>0.33245580247164863</v>
      </c>
      <c r="K46" s="93">
        <f t="shared" si="3"/>
        <v>0.98888452292085649</v>
      </c>
      <c r="L46" s="93">
        <f t="shared" si="4"/>
        <v>9.9273466247952967E-4</v>
      </c>
      <c r="M46" s="93">
        <f t="shared" si="5"/>
        <v>0.99900726533752049</v>
      </c>
      <c r="N46" s="93">
        <f t="shared" si="6"/>
        <v>6.523875041385779E-5</v>
      </c>
      <c r="O46" s="40">
        <f t="shared" si="7"/>
        <v>9.8985874919697011E-7</v>
      </c>
      <c r="P46" s="40">
        <f t="shared" si="8"/>
        <v>2.1282812971186137E-6</v>
      </c>
      <c r="Q46" s="40">
        <f t="shared" si="9"/>
        <v>2.3310426844303893E-5</v>
      </c>
      <c r="R46" s="9">
        <f t="shared" si="12"/>
        <v>1.4999999999999999E-4</v>
      </c>
      <c r="S46" s="9">
        <f t="shared" si="13"/>
        <v>1.4891019937192945E-7</v>
      </c>
      <c r="T46" s="9">
        <f t="shared" si="10"/>
        <v>1.4833267843812847E-4</v>
      </c>
      <c r="U46" s="9">
        <f t="shared" si="11"/>
        <v>1.4985108980062806E-4</v>
      </c>
      <c r="V46" s="100">
        <f t="shared" si="14"/>
        <v>0.98986719839995962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187</v>
      </c>
      <c r="C47" s="46" t="s">
        <v>188</v>
      </c>
      <c r="D47" s="90">
        <v>2.5448008164668257</v>
      </c>
      <c r="E47" s="90">
        <v>3.1426039783542175</v>
      </c>
      <c r="F47" s="96">
        <v>9.9999999999999995E-7</v>
      </c>
      <c r="G47" s="168"/>
      <c r="H47" s="168"/>
      <c r="I47" s="92">
        <f t="shared" si="1"/>
        <v>8.655050783580702E-2</v>
      </c>
      <c r="J47" s="92">
        <f t="shared" si="2"/>
        <v>1.4556612037075247</v>
      </c>
      <c r="K47" s="93">
        <f t="shared" si="3"/>
        <v>0.81004438595220807</v>
      </c>
      <c r="L47" s="93">
        <f t="shared" si="4"/>
        <v>1.0799454622333747E-2</v>
      </c>
      <c r="M47" s="93">
        <f t="shared" si="5"/>
        <v>0.98920054537766622</v>
      </c>
      <c r="N47" s="93">
        <f t="shared" si="6"/>
        <v>3.1513442593448715E-3</v>
      </c>
      <c r="O47" s="40">
        <f t="shared" si="7"/>
        <v>8.1084242304078747E-7</v>
      </c>
      <c r="P47" s="40">
        <f t="shared" si="8"/>
        <v>2.3152487931051789E-5</v>
      </c>
      <c r="Q47" s="40">
        <f t="shared" si="9"/>
        <v>1.1260053166663923E-3</v>
      </c>
      <c r="R47" s="9">
        <f t="shared" si="12"/>
        <v>1.4999999999999999E-4</v>
      </c>
      <c r="S47" s="9">
        <f t="shared" si="13"/>
        <v>1.619918193350062E-6</v>
      </c>
      <c r="T47" s="9">
        <f t="shared" si="10"/>
        <v>1.2150665789283119E-4</v>
      </c>
      <c r="U47" s="9">
        <f t="shared" si="11"/>
        <v>1.4838008180664993E-4</v>
      </c>
      <c r="V47" s="100">
        <f t="shared" si="14"/>
        <v>0.81888792898202634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100</v>
      </c>
      <c r="C48" s="46" t="s">
        <v>101</v>
      </c>
      <c r="D48" s="90">
        <v>0.29376000000000013</v>
      </c>
      <c r="E48" s="90">
        <v>0.18140000000000034</v>
      </c>
      <c r="F48" s="96">
        <v>9.9999999999999995E-7</v>
      </c>
      <c r="G48" s="168"/>
      <c r="H48" s="168"/>
      <c r="I48" s="92">
        <f t="shared" ref="I48:I50" si="15">IF(D48=0,"",LOG($K$15*10^D48+$K$16*10^E48+$K$14))</f>
        <v>2.1004549420906745E-4</v>
      </c>
      <c r="J48" s="92">
        <f t="shared" ref="J48:J50" si="16">IF(D48=0,"",LOG($K$21*10^D48+$K$22*10^E48+$K$20))</f>
        <v>2.3780964476400657E-2</v>
      </c>
      <c r="K48" s="93">
        <f t="shared" ref="K48:K50" si="17">IF(D48=0,"",1/(1+10^D48*$J$15/$J$14+10^E48*$J$16/$J$14+10^J48*$J$19/$J$14))</f>
        <v>0.99850676101055835</v>
      </c>
      <c r="L48" s="93">
        <f t="shared" ref="L48:L50" si="18">IF(D48=0,"",1/(1+10^I48/10^J48*$J$13/$J$19))</f>
        <v>4.9245185547944388E-4</v>
      </c>
      <c r="M48" s="93">
        <f t="shared" ref="M48:M92" si="19">IF(D48=0,"",1-L48)</f>
        <v>0.99950754814452059</v>
      </c>
      <c r="N48" s="93">
        <f t="shared" ref="N48:N50" si="20">IF(D48=0,"",1/(1/10^E48*$J$20/$J$22+10^D48/10^E48*$J$21/$J$22+10^I48/10^E48*$J$13/$J$22+1))</f>
        <v>4.2475066163902516E-6</v>
      </c>
      <c r="O48" s="40">
        <f t="shared" ref="O48:O92" si="21">IF(D48=0,"",F48*K48*$J$7/$J$14)</f>
        <v>9.9949046689421444E-7</v>
      </c>
      <c r="P48" s="40">
        <f t="shared" ref="P48:P50" si="22">IF(D48=0,"",O48*10^J48)</f>
        <v>1.0557464278828587E-6</v>
      </c>
      <c r="Q48" s="40">
        <f t="shared" ref="Q48:Q50" si="23">IF(D48=0,"",F48*N48*$J$7/$J$22)</f>
        <v>1.5176745664802024E-6</v>
      </c>
      <c r="R48" s="9">
        <f t="shared" si="12"/>
        <v>1.4999999999999999E-4</v>
      </c>
      <c r="S48" s="9">
        <f t="shared" si="13"/>
        <v>7.3867778321916578E-8</v>
      </c>
      <c r="T48" s="9">
        <f t="shared" si="10"/>
        <v>1.4977601415158375E-4</v>
      </c>
      <c r="U48" s="9">
        <f t="shared" si="11"/>
        <v>1.4992613222167807E-4</v>
      </c>
      <c r="V48" s="100">
        <f t="shared" si="14"/>
        <v>0.99899871978373744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189</v>
      </c>
      <c r="C49" s="46" t="s">
        <v>190</v>
      </c>
      <c r="D49" s="90">
        <v>1.6175039999999998</v>
      </c>
      <c r="E49" s="90">
        <v>1.8999029999999997</v>
      </c>
      <c r="F49" s="96">
        <v>9.9999999999999995E-7</v>
      </c>
      <c r="G49" s="168"/>
      <c r="H49" s="168"/>
      <c r="I49" s="92">
        <f t="shared" si="15"/>
        <v>9.6186457475178466E-3</v>
      </c>
      <c r="J49" s="92">
        <f t="shared" si="16"/>
        <v>0.56763004094837866</v>
      </c>
      <c r="K49" s="93">
        <f t="shared" si="17"/>
        <v>0.97594300832677361</v>
      </c>
      <c r="L49" s="93">
        <f t="shared" si="18"/>
        <v>1.6837837033895136E-3</v>
      </c>
      <c r="M49" s="93">
        <f t="shared" si="19"/>
        <v>0.99831621629661049</v>
      </c>
      <c r="N49" s="93">
        <f t="shared" si="20"/>
        <v>2.1712533988363765E-4</v>
      </c>
      <c r="O49" s="40">
        <f t="shared" si="21"/>
        <v>9.7690448492051483E-7</v>
      </c>
      <c r="P49" s="40">
        <f t="shared" si="22"/>
        <v>3.6097917195380606E-6</v>
      </c>
      <c r="Q49" s="40">
        <f t="shared" si="23"/>
        <v>7.758095180080355E-5</v>
      </c>
      <c r="R49" s="9">
        <f t="shared" si="12"/>
        <v>1.4999999999999999E-4</v>
      </c>
      <c r="S49" s="9">
        <f t="shared" si="13"/>
        <v>2.5256755550842704E-7</v>
      </c>
      <c r="T49" s="9">
        <f t="shared" si="10"/>
        <v>1.4639145124901602E-4</v>
      </c>
      <c r="U49" s="9">
        <f t="shared" si="11"/>
        <v>1.4974743244449155E-4</v>
      </c>
      <c r="V49" s="100">
        <f t="shared" si="14"/>
        <v>0.97758905684930841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191</v>
      </c>
      <c r="C50" s="46" t="s">
        <v>192</v>
      </c>
      <c r="D50" s="90">
        <v>2.5898400000000001</v>
      </c>
      <c r="E50" s="90">
        <v>2.96393</v>
      </c>
      <c r="F50" s="96">
        <v>9.9999999999999995E-7</v>
      </c>
      <c r="G50" s="168"/>
      <c r="H50" s="168"/>
      <c r="I50" s="92">
        <f t="shared" si="15"/>
        <v>8.6760595853303396E-2</v>
      </c>
      <c r="J50" s="92">
        <f t="shared" si="16"/>
        <v>1.4448315719926914</v>
      </c>
      <c r="K50" s="93">
        <f t="shared" si="17"/>
        <v>0.80987215029493065</v>
      </c>
      <c r="L50" s="93">
        <f t="shared" si="18"/>
        <v>1.0531248012234332E-2</v>
      </c>
      <c r="M50" s="93">
        <f t="shared" si="19"/>
        <v>0.98946875198776563</v>
      </c>
      <c r="N50" s="93">
        <f t="shared" si="20"/>
        <v>2.0879953106687906E-3</v>
      </c>
      <c r="O50" s="40">
        <f t="shared" si="21"/>
        <v>8.1067001770090388E-7</v>
      </c>
      <c r="P50" s="40">
        <f t="shared" si="22"/>
        <v>2.2577491274228655E-5</v>
      </c>
      <c r="Q50" s="40">
        <f t="shared" si="23"/>
        <v>7.4606061017158415E-4</v>
      </c>
      <c r="R50" s="9">
        <f t="shared" si="12"/>
        <v>1.4999999999999999E-4</v>
      </c>
      <c r="S50" s="9">
        <f t="shared" si="13"/>
        <v>1.5796872018351496E-6</v>
      </c>
      <c r="T50" s="9">
        <f t="shared" si="10"/>
        <v>1.2148082254423958E-4</v>
      </c>
      <c r="U50" s="9">
        <f t="shared" si="11"/>
        <v>1.4842031279816483E-4</v>
      </c>
      <c r="V50" s="100">
        <f t="shared" si="14"/>
        <v>0.81849189139925904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193</v>
      </c>
      <c r="C51" s="46" t="s">
        <v>194</v>
      </c>
      <c r="D51" s="90">
        <v>5.0487680000000008</v>
      </c>
      <c r="E51" s="90">
        <v>6.0352960000000007</v>
      </c>
      <c r="F51" s="96">
        <v>9.9999999999999995E-7</v>
      </c>
      <c r="G51" s="168"/>
      <c r="H51" s="168"/>
      <c r="I51" s="92">
        <f t="shared" ref="I51:I70" si="24">IF(D51=0,"",LOG($K$15*10^D51+$K$16*10^E51+$K$14))</f>
        <v>1.9819141928346475</v>
      </c>
      <c r="J51" s="92">
        <f t="shared" ref="J51:J70" si="25">IF(D51=0,"",LOG($K$21*10^D51+$K$22*10^E51+$K$20))</f>
        <v>4.1025213383811421</v>
      </c>
      <c r="K51" s="93">
        <f t="shared" ref="K51:K70" si="26">IF(D51=0,"",1/(1+10^D51*$J$15/$J$14+10^E51*$J$16/$J$14+10^J51*$J$19/$J$14))</f>
        <v>9.8151727367129914E-3</v>
      </c>
      <c r="L51" s="93">
        <f t="shared" ref="L51:L70" si="27">IF(D51=0,"",1/(1+10^I51/10^J51*$J$13/$J$19))</f>
        <v>5.8029802074765775E-2</v>
      </c>
      <c r="M51" s="93">
        <f t="shared" ref="M51:M70" si="28">IF(D51=0,"",1-L51)</f>
        <v>0.94197019792523418</v>
      </c>
      <c r="N51" s="93">
        <f t="shared" ref="N51:N70" si="29">IF(D51=0,"",1/(1/10^E51*$J$20/$J$22+10^D51/10^E51*$J$21/$J$22+10^I51/10^E51*$J$13/$J$22+1))</f>
        <v>2.9824763001916957E-2</v>
      </c>
      <c r="O51" s="40">
        <f t="shared" ref="O51:O70" si="30">IF(D51=0,"",F51*K51*$J$7/$J$14)</f>
        <v>9.8248424190298472E-9</v>
      </c>
      <c r="P51" s="40">
        <f t="shared" ref="P51:P70" si="31">IF(D51=0,"",O51*10^J51)</f>
        <v>1.2440760567657288E-4</v>
      </c>
      <c r="Q51" s="40">
        <f t="shared" ref="Q51:Q70" si="32">IF(D51=0,"",F51*N51*$J$7/$J$22)</f>
        <v>1.0656671865946848E-2</v>
      </c>
      <c r="R51" s="9">
        <f t="shared" si="12"/>
        <v>1.4999999999999999E-4</v>
      </c>
      <c r="S51" s="9">
        <f t="shared" si="13"/>
        <v>8.7044703112148658E-6</v>
      </c>
      <c r="T51" s="9">
        <f t="shared" si="10"/>
        <v>1.4722759105069485E-6</v>
      </c>
      <c r="U51" s="9">
        <f t="shared" si="11"/>
        <v>1.4129552968878512E-4</v>
      </c>
      <c r="V51" s="100">
        <f t="shared" si="14"/>
        <v>1.0419833619292527E-2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195</v>
      </c>
      <c r="C52" s="46" t="s">
        <v>196</v>
      </c>
      <c r="D52" s="47">
        <v>2.7330160000000001</v>
      </c>
      <c r="E52" s="47">
        <v>3.3310319999999995</v>
      </c>
      <c r="F52" s="96">
        <v>9.9999999999999995E-7</v>
      </c>
      <c r="G52" s="168"/>
      <c r="H52" s="168"/>
      <c r="I52" s="92">
        <f t="shared" si="24"/>
        <v>0.12726341031571042</v>
      </c>
      <c r="J52" s="92">
        <f t="shared" si="25"/>
        <v>1.6388871729377372</v>
      </c>
      <c r="K52" s="93">
        <f t="shared" si="26"/>
        <v>0.73447682161573169</v>
      </c>
      <c r="L52" s="93">
        <f t="shared" si="27"/>
        <v>1.4931281102201028E-2</v>
      </c>
      <c r="M52" s="93">
        <f t="shared" si="28"/>
        <v>0.98506871889779901</v>
      </c>
      <c r="N52" s="93">
        <f t="shared" si="29"/>
        <v>4.4095386053303043E-3</v>
      </c>
      <c r="O52" s="40">
        <f t="shared" si="30"/>
        <v>7.3520041127886143E-7</v>
      </c>
      <c r="P52" s="40">
        <f t="shared" si="31"/>
        <v>3.2010533642961533E-5</v>
      </c>
      <c r="Q52" s="40">
        <f t="shared" si="32"/>
        <v>1.5755701392902825E-3</v>
      </c>
      <c r="R52" s="9">
        <f t="shared" si="12"/>
        <v>1.4999999999999999E-4</v>
      </c>
      <c r="S52" s="9">
        <f t="shared" si="13"/>
        <v>2.2396921653301542E-6</v>
      </c>
      <c r="T52" s="9">
        <f t="shared" si="10"/>
        <v>1.1017152324235974E-4</v>
      </c>
      <c r="U52" s="9">
        <f t="shared" si="11"/>
        <v>1.4776030783466985E-4</v>
      </c>
      <c r="V52" s="100">
        <f t="shared" si="14"/>
        <v>0.74560973008821507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197</v>
      </c>
      <c r="C53" s="46" t="s">
        <v>198</v>
      </c>
      <c r="D53" s="47">
        <v>3.4406639999999999</v>
      </c>
      <c r="E53" s="47">
        <v>4.222847999999999</v>
      </c>
      <c r="F53" s="96">
        <v>9.9999999999999995E-7</v>
      </c>
      <c r="G53" s="168"/>
      <c r="H53" s="168"/>
      <c r="I53" s="92">
        <f t="shared" si="24"/>
        <v>0.47104615060046062</v>
      </c>
      <c r="J53" s="92">
        <f t="shared" si="25"/>
        <v>2.4029208557650041</v>
      </c>
      <c r="K53" s="93">
        <f t="shared" si="26"/>
        <v>0.3248932999715386</v>
      </c>
      <c r="L53" s="93">
        <f t="shared" si="27"/>
        <v>3.8361308709710468E-2</v>
      </c>
      <c r="M53" s="93">
        <f t="shared" si="28"/>
        <v>0.96163869129028956</v>
      </c>
      <c r="N53" s="93">
        <f t="shared" si="29"/>
        <v>1.5204488325702526E-2</v>
      </c>
      <c r="O53" s="40">
        <f t="shared" si="30"/>
        <v>3.2521337737433854E-7</v>
      </c>
      <c r="P53" s="40">
        <f t="shared" si="31"/>
        <v>8.2241165686660708E-5</v>
      </c>
      <c r="Q53" s="40">
        <f t="shared" si="32"/>
        <v>5.4327084834242326E-3</v>
      </c>
      <c r="R53" s="9">
        <f t="shared" si="12"/>
        <v>1.4999999999999999E-4</v>
      </c>
      <c r="S53" s="9">
        <f t="shared" si="13"/>
        <v>5.7541963064565692E-6</v>
      </c>
      <c r="T53" s="9">
        <f t="shared" si="10"/>
        <v>4.8733994995730782E-5</v>
      </c>
      <c r="U53" s="9">
        <f t="shared" si="11"/>
        <v>1.4424580369354342E-4</v>
      </c>
      <c r="V53" s="100">
        <f t="shared" si="14"/>
        <v>0.337853814446265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199</v>
      </c>
      <c r="C54" s="46" t="s">
        <v>200</v>
      </c>
      <c r="D54" s="47">
        <v>2.8976480000000002</v>
      </c>
      <c r="E54" s="47">
        <v>3.5312959999999993</v>
      </c>
      <c r="F54" s="96">
        <v>9.9999999999999995E-7</v>
      </c>
      <c r="G54" s="168"/>
      <c r="H54" s="168"/>
      <c r="I54" s="92">
        <f t="shared" si="24"/>
        <v>0.17835694544431213</v>
      </c>
      <c r="J54" s="92">
        <f t="shared" si="25"/>
        <v>1.8114577144785691</v>
      </c>
      <c r="K54" s="93">
        <f t="shared" si="26"/>
        <v>0.64982543432340234</v>
      </c>
      <c r="L54" s="93">
        <f t="shared" si="27"/>
        <v>1.9655596312141664E-2</v>
      </c>
      <c r="M54" s="93">
        <f t="shared" si="28"/>
        <v>0.98034440368785836</v>
      </c>
      <c r="N54" s="93">
        <f t="shared" si="29"/>
        <v>6.1869379426396989E-3</v>
      </c>
      <c r="O54" s="40">
        <f t="shared" si="30"/>
        <v>6.5046562738774002E-7</v>
      </c>
      <c r="P54" s="40">
        <f t="shared" si="31"/>
        <v>4.2138790550901409E-5</v>
      </c>
      <c r="Q54" s="40">
        <f t="shared" si="32"/>
        <v>2.2106518501236651E-3</v>
      </c>
      <c r="R54" s="9">
        <f t="shared" si="12"/>
        <v>1.4999999999999999E-4</v>
      </c>
      <c r="S54" s="9">
        <f t="shared" si="13"/>
        <v>2.9483394468212492E-6</v>
      </c>
      <c r="T54" s="9">
        <f t="shared" si="10"/>
        <v>9.7473815148510344E-5</v>
      </c>
      <c r="U54" s="9">
        <f t="shared" si="11"/>
        <v>1.4705166055317874E-4</v>
      </c>
      <c r="V54" s="100">
        <f t="shared" si="14"/>
        <v>0.6628542294716937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102</v>
      </c>
      <c r="C55" s="46" t="s">
        <v>103</v>
      </c>
      <c r="D55" s="47">
        <v>1.423632</v>
      </c>
      <c r="E55" s="47">
        <v>1.638849</v>
      </c>
      <c r="F55" s="96">
        <v>9.9999999999999995E-7</v>
      </c>
      <c r="G55" s="168"/>
      <c r="H55" s="168"/>
      <c r="I55" s="54">
        <f t="shared" si="24"/>
        <v>5.9812805986470914E-3</v>
      </c>
      <c r="J55" s="54">
        <f t="shared" si="25"/>
        <v>0.4247204129571146</v>
      </c>
      <c r="K55" s="55">
        <f t="shared" si="26"/>
        <v>0.98460602411798759</v>
      </c>
      <c r="L55" s="55">
        <f t="shared" si="27"/>
        <v>1.2224038395159454E-3</v>
      </c>
      <c r="M55" s="55">
        <f t="shared" si="28"/>
        <v>0.998777596160484</v>
      </c>
      <c r="N55" s="55">
        <f t="shared" si="29"/>
        <v>1.2008659831264449E-4</v>
      </c>
      <c r="O55" s="56">
        <f t="shared" si="30"/>
        <v>9.85576035315536E-7</v>
      </c>
      <c r="P55" s="56">
        <f t="shared" si="31"/>
        <v>2.6206592028022556E-6</v>
      </c>
      <c r="Q55" s="56">
        <f t="shared" si="32"/>
        <v>4.2908085258996555E-5</v>
      </c>
      <c r="R55" s="9">
        <f t="shared" si="12"/>
        <v>1.4999999999999999E-4</v>
      </c>
      <c r="S55" s="9">
        <f t="shared" si="13"/>
        <v>1.833605759273918E-7</v>
      </c>
      <c r="T55" s="9">
        <f t="shared" si="10"/>
        <v>1.4769090361769813E-4</v>
      </c>
      <c r="U55" s="9">
        <f t="shared" si="11"/>
        <v>1.498166394240726E-4</v>
      </c>
      <c r="V55" s="100">
        <f t="shared" si="14"/>
        <v>0.98581108337133816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201</v>
      </c>
      <c r="C56" s="46" t="s">
        <v>202</v>
      </c>
      <c r="D56" s="47">
        <v>2.6912000000000003</v>
      </c>
      <c r="E56" s="47">
        <v>3.3249699999999995</v>
      </c>
      <c r="F56" s="96">
        <v>9.9999999999999995E-7</v>
      </c>
      <c r="G56" s="168"/>
      <c r="H56" s="168"/>
      <c r="I56" s="54">
        <f t="shared" si="24"/>
        <v>0.11910186422699467</v>
      </c>
      <c r="J56" s="54">
        <f t="shared" si="25"/>
        <v>1.6088620889783687</v>
      </c>
      <c r="K56" s="55">
        <f t="shared" si="26"/>
        <v>0.74895914407556341</v>
      </c>
      <c r="L56" s="55">
        <f t="shared" si="27"/>
        <v>1.420862394989556E-2</v>
      </c>
      <c r="M56" s="55">
        <f t="shared" si="28"/>
        <v>0.98579137605010447</v>
      </c>
      <c r="N56" s="55">
        <f t="shared" si="29"/>
        <v>4.434158179640703E-3</v>
      </c>
      <c r="O56" s="56">
        <f t="shared" si="30"/>
        <v>7.4969700138951829E-7</v>
      </c>
      <c r="P56" s="56">
        <f t="shared" si="31"/>
        <v>3.046125994515465E-5</v>
      </c>
      <c r="Q56" s="56">
        <f t="shared" si="32"/>
        <v>1.5843669476635241E-3</v>
      </c>
      <c r="R56" s="9">
        <f t="shared" si="12"/>
        <v>1.4999999999999999E-4</v>
      </c>
      <c r="S56" s="9">
        <f t="shared" si="13"/>
        <v>2.1312935924843337E-6</v>
      </c>
      <c r="T56" s="9">
        <f t="shared" si="10"/>
        <v>1.123438716113345E-4</v>
      </c>
      <c r="U56" s="9">
        <f t="shared" si="11"/>
        <v>1.4786870640751565E-4</v>
      </c>
      <c r="V56" s="100">
        <f t="shared" si="14"/>
        <v>0.75975420588128206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104</v>
      </c>
      <c r="C57" s="87" t="s">
        <v>105</v>
      </c>
      <c r="D57" s="90">
        <v>2.1493200000000003</v>
      </c>
      <c r="E57" s="90">
        <v>2.6108399999999996</v>
      </c>
      <c r="F57" s="96">
        <v>9.9999999999999995E-7</v>
      </c>
      <c r="G57" s="168"/>
      <c r="H57" s="168"/>
      <c r="I57" s="54">
        <f t="shared" si="24"/>
        <v>3.4503381608646556E-2</v>
      </c>
      <c r="J57" s="54">
        <f t="shared" si="25"/>
        <v>1.0470728875357567</v>
      </c>
      <c r="K57" s="55">
        <f t="shared" si="26"/>
        <v>0.91873522527353091</v>
      </c>
      <c r="L57" s="55">
        <f t="shared" si="27"/>
        <v>4.7807392739177036E-3</v>
      </c>
      <c r="M57" s="55">
        <f t="shared" si="28"/>
        <v>0.99521926072608224</v>
      </c>
      <c r="N57" s="55">
        <f t="shared" si="29"/>
        <v>1.0505420054790673E-3</v>
      </c>
      <c r="O57" s="56">
        <f t="shared" si="30"/>
        <v>9.1964034207585367E-7</v>
      </c>
      <c r="P57" s="56">
        <f t="shared" si="31"/>
        <v>1.0249222040526136E-5</v>
      </c>
      <c r="Q57" s="56">
        <f t="shared" si="32"/>
        <v>3.7536866371962765E-4</v>
      </c>
      <c r="R57" s="9">
        <f t="shared" si="12"/>
        <v>1.4999999999999999E-4</v>
      </c>
      <c r="S57" s="9">
        <f t="shared" si="13"/>
        <v>7.1711089108765552E-7</v>
      </c>
      <c r="T57" s="9">
        <f t="shared" si="10"/>
        <v>1.3781028379102961E-4</v>
      </c>
      <c r="U57" s="9">
        <f t="shared" si="11"/>
        <v>1.4928288910891232E-4</v>
      </c>
      <c r="V57" s="100">
        <f t="shared" si="14"/>
        <v>0.92314855783965544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144</v>
      </c>
      <c r="C58" s="46" t="s">
        <v>145</v>
      </c>
      <c r="D58" s="47">
        <v>2.0184960000000003</v>
      </c>
      <c r="E58" s="47">
        <v>2.3512620000000002</v>
      </c>
      <c r="F58" s="96">
        <v>9.9999999999999995E-7</v>
      </c>
      <c r="G58" s="168"/>
      <c r="H58" s="168"/>
      <c r="I58" s="54">
        <f t="shared" si="24"/>
        <v>2.4527660835054643E-2</v>
      </c>
      <c r="J58" s="54">
        <f t="shared" si="25"/>
        <v>0.90446876984667557</v>
      </c>
      <c r="K58" s="55">
        <f t="shared" si="26"/>
        <v>0.94126698052157054</v>
      </c>
      <c r="L58" s="55">
        <f t="shared" si="27"/>
        <v>3.5270644663867811E-3</v>
      </c>
      <c r="M58" s="55">
        <f t="shared" si="28"/>
        <v>0.99647293553361327</v>
      </c>
      <c r="N58" s="55">
        <f t="shared" si="29"/>
        <v>5.9204930842674636E-4</v>
      </c>
      <c r="O58" s="56">
        <f t="shared" si="30"/>
        <v>9.4219429509067076E-7</v>
      </c>
      <c r="P58" s="56">
        <f t="shared" si="31"/>
        <v>7.561522349580913E-6</v>
      </c>
      <c r="Q58" s="56">
        <f t="shared" si="32"/>
        <v>2.1154485646571858E-4</v>
      </c>
      <c r="R58" s="9">
        <f t="shared" si="12"/>
        <v>1.4999999999999999E-4</v>
      </c>
      <c r="S58" s="9">
        <f t="shared" si="13"/>
        <v>5.290596699580171E-7</v>
      </c>
      <c r="T58" s="9">
        <f t="shared" si="10"/>
        <v>1.4119004707823556E-4</v>
      </c>
      <c r="U58" s="9">
        <f t="shared" si="11"/>
        <v>1.4947094033004199E-4</v>
      </c>
      <c r="V58" s="100">
        <f t="shared" si="14"/>
        <v>0.94459864082261313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146</v>
      </c>
      <c r="C59" s="46" t="s">
        <v>147</v>
      </c>
      <c r="D59" s="47">
        <v>1.4665360000000003</v>
      </c>
      <c r="E59" s="47">
        <v>1.8522119999999997</v>
      </c>
      <c r="F59" s="96">
        <v>9.9999999999999995E-7</v>
      </c>
      <c r="G59" s="168"/>
      <c r="H59" s="168"/>
      <c r="I59" s="54">
        <f t="shared" si="24"/>
        <v>6.9959414880738915E-3</v>
      </c>
      <c r="J59" s="54">
        <f t="shared" si="25"/>
        <v>0.47366304909312135</v>
      </c>
      <c r="K59" s="55">
        <f t="shared" si="26"/>
        <v>0.98216824745041409</v>
      </c>
      <c r="L59" s="55">
        <f t="shared" si="27"/>
        <v>1.3648368589181154E-3</v>
      </c>
      <c r="M59" s="55">
        <f t="shared" si="28"/>
        <v>0.99863516314108192</v>
      </c>
      <c r="N59" s="55">
        <f t="shared" si="29"/>
        <v>1.9578568904489332E-4</v>
      </c>
      <c r="O59" s="56">
        <f t="shared" si="30"/>
        <v>9.831358570064869E-7</v>
      </c>
      <c r="P59" s="56">
        <f t="shared" si="31"/>
        <v>2.9260152488263084E-6</v>
      </c>
      <c r="Q59" s="56">
        <f t="shared" si="32"/>
        <v>6.9956091321350309E-5</v>
      </c>
      <c r="R59" s="9">
        <f t="shared" si="12"/>
        <v>1.4999999999999999E-4</v>
      </c>
      <c r="S59" s="9">
        <f t="shared" si="13"/>
        <v>2.0472552883771729E-7</v>
      </c>
      <c r="T59" s="9">
        <f t="shared" si="10"/>
        <v>1.4732523711756209E-4</v>
      </c>
      <c r="U59" s="9">
        <f t="shared" si="11"/>
        <v>1.4979527447116228E-4</v>
      </c>
      <c r="V59" s="100">
        <f t="shared" si="14"/>
        <v>0.98351057893968685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148</v>
      </c>
      <c r="C60" s="46" t="s">
        <v>149</v>
      </c>
      <c r="D60" s="47">
        <v>2.7203999877244023</v>
      </c>
      <c r="E60" s="47">
        <v>3.3923999825375306</v>
      </c>
      <c r="F60" s="96">
        <v>9.9999999999999995E-7</v>
      </c>
      <c r="G60" s="168"/>
      <c r="H60" s="168"/>
      <c r="I60" s="54">
        <f t="shared" si="24"/>
        <v>0.12885708410514962</v>
      </c>
      <c r="J60" s="54">
        <f t="shared" si="25"/>
        <v>1.6497229833565861</v>
      </c>
      <c r="K60" s="55">
        <f t="shared" si="26"/>
        <v>0.73155160565398247</v>
      </c>
      <c r="L60" s="55">
        <f t="shared" si="27"/>
        <v>1.524753907519669E-2</v>
      </c>
      <c r="M60" s="55">
        <f t="shared" si="28"/>
        <v>0.98475246092480329</v>
      </c>
      <c r="N60" s="55">
        <f t="shared" si="29"/>
        <v>5.058572801004275E-3</v>
      </c>
      <c r="O60" s="56">
        <f t="shared" si="30"/>
        <v>7.322723134616607E-7</v>
      </c>
      <c r="P60" s="56">
        <f t="shared" si="31"/>
        <v>3.2688545557353799E-5</v>
      </c>
      <c r="Q60" s="56">
        <f t="shared" si="32"/>
        <v>1.807476238682646E-3</v>
      </c>
      <c r="R60" s="9">
        <f t="shared" si="12"/>
        <v>1.4999999999999999E-4</v>
      </c>
      <c r="S60" s="9">
        <f t="shared" si="13"/>
        <v>2.2871308612795032E-6</v>
      </c>
      <c r="T60" s="9">
        <f t="shared" si="10"/>
        <v>1.0973274084809736E-4</v>
      </c>
      <c r="U60" s="9">
        <f t="shared" si="11"/>
        <v>1.4771286913872048E-4</v>
      </c>
      <c r="V60" s="100">
        <f t="shared" si="14"/>
        <v>0.74287867731446522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150</v>
      </c>
      <c r="C61" s="46" t="s">
        <v>151</v>
      </c>
      <c r="D61" s="47">
        <v>3.4658999877244021</v>
      </c>
      <c r="E61" s="47">
        <v>4.4528999825375299</v>
      </c>
      <c r="F61" s="96">
        <v>9.9999999999999995E-7</v>
      </c>
      <c r="G61" s="168"/>
      <c r="H61" s="168"/>
      <c r="I61" s="54">
        <f t="shared" si="24"/>
        <v>0.54169315053805034</v>
      </c>
      <c r="J61" s="54">
        <f t="shared" si="25"/>
        <v>2.5210939724118742</v>
      </c>
      <c r="K61" s="55">
        <f t="shared" si="26"/>
        <v>0.27489785721659321</v>
      </c>
      <c r="L61" s="55">
        <f t="shared" si="27"/>
        <v>4.2608586860521581E-2</v>
      </c>
      <c r="M61" s="55">
        <f t="shared" si="28"/>
        <v>0.9573914131394784</v>
      </c>
      <c r="N61" s="55">
        <f t="shared" si="29"/>
        <v>2.185014841957213E-2</v>
      </c>
      <c r="O61" s="56">
        <f t="shared" si="30"/>
        <v>2.7516868025966877E-7</v>
      </c>
      <c r="P61" s="56">
        <f t="shared" si="31"/>
        <v>9.1346723287978178E-5</v>
      </c>
      <c r="Q61" s="56">
        <f t="shared" si="32"/>
        <v>7.8072661269647358E-3</v>
      </c>
      <c r="R61" s="9">
        <f t="shared" si="12"/>
        <v>1.4999999999999999E-4</v>
      </c>
      <c r="S61" s="9">
        <f t="shared" si="13"/>
        <v>6.3912880290782368E-6</v>
      </c>
      <c r="T61" s="9">
        <f t="shared" si="10"/>
        <v>4.1234678582488979E-5</v>
      </c>
      <c r="U61" s="9">
        <f t="shared" si="11"/>
        <v>1.4360871197092174E-4</v>
      </c>
      <c r="V61" s="100">
        <f t="shared" si="14"/>
        <v>0.2871321524758072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152</v>
      </c>
      <c r="C62" s="46" t="s">
        <v>153</v>
      </c>
      <c r="D62" s="47">
        <v>4.1687999877244026</v>
      </c>
      <c r="E62" s="47">
        <v>5.4527999825375302</v>
      </c>
      <c r="F62" s="96">
        <v>9.9999999999999995E-7</v>
      </c>
      <c r="G62" s="168"/>
      <c r="H62" s="168"/>
      <c r="I62" s="54">
        <f t="shared" si="24"/>
        <v>1.2755126419323455</v>
      </c>
      <c r="J62" s="54">
        <f t="shared" si="25"/>
        <v>3.4003948586434816</v>
      </c>
      <c r="K62" s="55">
        <f t="shared" si="26"/>
        <v>4.9894222910279847E-2</v>
      </c>
      <c r="L62" s="55">
        <f t="shared" si="27"/>
        <v>5.8570229454154785E-2</v>
      </c>
      <c r="M62" s="55">
        <f t="shared" si="28"/>
        <v>0.9414297705458452</v>
      </c>
      <c r="N62" s="55">
        <f t="shared" si="29"/>
        <v>3.9649096899365313E-2</v>
      </c>
      <c r="O62" s="56">
        <f t="shared" si="30"/>
        <v>4.9943377550542488E-8</v>
      </c>
      <c r="P62" s="56">
        <f t="shared" si="31"/>
        <v>1.2556620477407156E-4</v>
      </c>
      <c r="Q62" s="56">
        <f t="shared" si="32"/>
        <v>1.4166999932589883E-2</v>
      </c>
      <c r="R62" s="9">
        <f t="shared" si="12"/>
        <v>1.4999999999999999E-4</v>
      </c>
      <c r="S62" s="9">
        <f t="shared" si="13"/>
        <v>8.7855344181232172E-6</v>
      </c>
      <c r="T62" s="9">
        <f t="shared" si="10"/>
        <v>7.4841334365419764E-6</v>
      </c>
      <c r="U62" s="9">
        <f t="shared" si="11"/>
        <v>1.4121446558187676E-4</v>
      </c>
      <c r="V62" s="100">
        <f t="shared" si="14"/>
        <v>5.2998348332824609E-2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154</v>
      </c>
      <c r="C63" s="46" t="s">
        <v>155</v>
      </c>
      <c r="D63" s="47">
        <v>4.999499987724402</v>
      </c>
      <c r="E63" s="47">
        <v>6.6344999825375304</v>
      </c>
      <c r="F63" s="96">
        <v>9.9999999999999995E-7</v>
      </c>
      <c r="G63" s="168"/>
      <c r="H63" s="168"/>
      <c r="I63" s="54">
        <f t="shared" si="24"/>
        <v>2.3278344887119857</v>
      </c>
      <c r="J63" s="54">
        <f t="shared" si="25"/>
        <v>4.4963201408126094</v>
      </c>
      <c r="K63" s="55">
        <f t="shared" si="26"/>
        <v>4.3959244782957284E-3</v>
      </c>
      <c r="L63" s="55">
        <f t="shared" si="27"/>
        <v>6.4357944848835696E-2</v>
      </c>
      <c r="M63" s="55">
        <f t="shared" si="28"/>
        <v>0.93564205515116428</v>
      </c>
      <c r="N63" s="55">
        <f t="shared" si="29"/>
        <v>5.3080286631375248E-2</v>
      </c>
      <c r="O63" s="56">
        <f t="shared" si="30"/>
        <v>4.4002552419342545E-9</v>
      </c>
      <c r="P63" s="56">
        <f t="shared" si="31"/>
        <v>1.3797423976378249E-4</v>
      </c>
      <c r="Q63" s="56">
        <f t="shared" si="32"/>
        <v>1.8966091939929718E-2</v>
      </c>
      <c r="R63" s="9">
        <f t="shared" si="12"/>
        <v>1.4999999999999999E-4</v>
      </c>
      <c r="S63" s="9">
        <f t="shared" si="13"/>
        <v>9.6536917273253544E-6</v>
      </c>
      <c r="T63" s="9">
        <f t="shared" si="10"/>
        <v>6.5938867174435919E-7</v>
      </c>
      <c r="U63" s="9">
        <f t="shared" si="11"/>
        <v>1.4034630827267463E-4</v>
      </c>
      <c r="V63" s="100">
        <f t="shared" si="14"/>
        <v>4.6982972324662274E-3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156</v>
      </c>
      <c r="C64" s="46" t="s">
        <v>157</v>
      </c>
      <c r="D64" s="47">
        <v>4.4669999877244022</v>
      </c>
      <c r="E64" s="47">
        <v>5.8769999825375301</v>
      </c>
      <c r="F64" s="96">
        <v>9.9999999999999995E-7</v>
      </c>
      <c r="G64" s="168"/>
      <c r="H64" s="168"/>
      <c r="I64" s="54">
        <f t="shared" si="24"/>
        <v>1.6404345211947191</v>
      </c>
      <c r="J64" s="54">
        <f t="shared" si="25"/>
        <v>3.7876774570223009</v>
      </c>
      <c r="K64" s="55">
        <f t="shared" si="26"/>
        <v>2.1467747794906455E-2</v>
      </c>
      <c r="L64" s="55">
        <f t="shared" si="27"/>
        <v>6.1474604777080576E-2</v>
      </c>
      <c r="M64" s="55">
        <f t="shared" si="28"/>
        <v>0.93852539522291945</v>
      </c>
      <c r="N64" s="55">
        <f t="shared" si="29"/>
        <v>4.5307439710905228E-2</v>
      </c>
      <c r="O64" s="56">
        <f t="shared" si="30"/>
        <v>2.1488897326025623E-8</v>
      </c>
      <c r="P64" s="56">
        <f t="shared" si="31"/>
        <v>1.3179277055566402E-4</v>
      </c>
      <c r="Q64" s="56">
        <f t="shared" si="32"/>
        <v>1.6188779708132251E-2</v>
      </c>
      <c r="R64" s="9">
        <f t="shared" si="12"/>
        <v>1.4999999999999999E-4</v>
      </c>
      <c r="S64" s="9">
        <f t="shared" si="13"/>
        <v>9.2211907165620857E-6</v>
      </c>
      <c r="T64" s="9">
        <f t="shared" si="10"/>
        <v>3.2201621692359681E-6</v>
      </c>
      <c r="U64" s="9">
        <f t="shared" si="11"/>
        <v>1.4077880928343791E-4</v>
      </c>
      <c r="V64" s="100">
        <f t="shared" si="14"/>
        <v>2.2873912527223001E-2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158</v>
      </c>
      <c r="C65" s="46" t="s">
        <v>159</v>
      </c>
      <c r="D65" s="47">
        <v>4.2539999877244021</v>
      </c>
      <c r="E65" s="47">
        <v>5.5739999825375302</v>
      </c>
      <c r="F65" s="96">
        <v>9.9999999999999995E-7</v>
      </c>
      <c r="G65" s="168"/>
      <c r="H65" s="168"/>
      <c r="I65" s="54">
        <f t="shared" si="24"/>
        <v>1.3777282566754774</v>
      </c>
      <c r="J65" s="54">
        <f t="shared" si="25"/>
        <v>3.5102608014956544</v>
      </c>
      <c r="K65" s="55">
        <f t="shared" si="26"/>
        <v>3.9389714408167187E-2</v>
      </c>
      <c r="L65" s="55">
        <f t="shared" si="27"/>
        <v>5.9549132244668818E-2</v>
      </c>
      <c r="M65" s="55">
        <f t="shared" si="28"/>
        <v>0.94045086775533115</v>
      </c>
      <c r="N65" s="55">
        <f t="shared" si="29"/>
        <v>4.137765447595694E-2</v>
      </c>
      <c r="O65" s="56">
        <f t="shared" si="30"/>
        <v>3.9428520248379648E-8</v>
      </c>
      <c r="P65" s="56">
        <f t="shared" si="31"/>
        <v>1.2766483251367786E-4</v>
      </c>
      <c r="Q65" s="56">
        <f t="shared" si="32"/>
        <v>1.4784630017159182E-2</v>
      </c>
      <c r="R65" s="9">
        <f t="shared" si="12"/>
        <v>1.4999999999999999E-4</v>
      </c>
      <c r="S65" s="9">
        <f t="shared" si="13"/>
        <v>8.9323698367003223E-6</v>
      </c>
      <c r="T65" s="9">
        <f t="shared" si="10"/>
        <v>5.9084571612250772E-6</v>
      </c>
      <c r="U65" s="9">
        <f t="shared" si="11"/>
        <v>1.4106763016329967E-4</v>
      </c>
      <c r="V65" s="100">
        <f t="shared" si="14"/>
        <v>4.1883862048192465E-2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160</v>
      </c>
      <c r="C66" s="46" t="s">
        <v>161</v>
      </c>
      <c r="D66" s="47">
        <v>4.4669999877244022</v>
      </c>
      <c r="E66" s="47">
        <v>5.8769999825375301</v>
      </c>
      <c r="F66" s="96">
        <v>9.9999999999999995E-7</v>
      </c>
      <c r="G66" s="168"/>
      <c r="H66" s="168"/>
      <c r="I66" s="54">
        <f t="shared" si="24"/>
        <v>1.6404345211947191</v>
      </c>
      <c r="J66" s="54">
        <f t="shared" si="25"/>
        <v>3.7876774570223009</v>
      </c>
      <c r="K66" s="55">
        <f t="shared" si="26"/>
        <v>2.1467747794906455E-2</v>
      </c>
      <c r="L66" s="55">
        <f t="shared" si="27"/>
        <v>6.1474604777080576E-2</v>
      </c>
      <c r="M66" s="55">
        <f t="shared" si="28"/>
        <v>0.93852539522291945</v>
      </c>
      <c r="N66" s="55">
        <f t="shared" si="29"/>
        <v>4.5307439710905228E-2</v>
      </c>
      <c r="O66" s="56">
        <f t="shared" si="30"/>
        <v>2.1488897326025623E-8</v>
      </c>
      <c r="P66" s="56">
        <f t="shared" si="31"/>
        <v>1.3179277055566402E-4</v>
      </c>
      <c r="Q66" s="56">
        <f t="shared" si="32"/>
        <v>1.6188779708132251E-2</v>
      </c>
      <c r="R66" s="9">
        <f t="shared" si="12"/>
        <v>1.4999999999999999E-4</v>
      </c>
      <c r="S66" s="9">
        <f t="shared" si="13"/>
        <v>9.2211907165620857E-6</v>
      </c>
      <c r="T66" s="9">
        <f t="shared" si="10"/>
        <v>3.2201621692359681E-6</v>
      </c>
      <c r="U66" s="9">
        <f t="shared" si="11"/>
        <v>1.4077880928343791E-4</v>
      </c>
      <c r="V66" s="100">
        <f t="shared" si="14"/>
        <v>2.2873912527223001E-2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114</v>
      </c>
      <c r="C67" s="46" t="s">
        <v>115</v>
      </c>
      <c r="D67" s="47">
        <v>-0.73745450190951667</v>
      </c>
      <c r="E67" s="47">
        <v>-1.5265197844064957</v>
      </c>
      <c r="F67" s="96">
        <v>9.9999999999999995E-7</v>
      </c>
      <c r="G67" s="168"/>
      <c r="H67" s="168"/>
      <c r="I67" s="54">
        <f t="shared" si="24"/>
        <v>-1.8635683569884906E-4</v>
      </c>
      <c r="J67" s="54">
        <f t="shared" si="25"/>
        <v>-2.2621368168278113E-2</v>
      </c>
      <c r="K67" s="55">
        <f t="shared" si="26"/>
        <v>0.99946803653270244</v>
      </c>
      <c r="L67" s="55">
        <f t="shared" si="27"/>
        <v>4.4297513110378036E-4</v>
      </c>
      <c r="M67" s="55">
        <f t="shared" si="28"/>
        <v>0.99955702486889619</v>
      </c>
      <c r="N67" s="55">
        <f t="shared" si="29"/>
        <v>8.3297540724913568E-8</v>
      </c>
      <c r="O67" s="56">
        <f t="shared" si="30"/>
        <v>1.0004526894428824E-6</v>
      </c>
      <c r="P67" s="56">
        <f t="shared" si="31"/>
        <v>9.4967539892491879E-7</v>
      </c>
      <c r="Q67" s="56">
        <f t="shared" si="32"/>
        <v>2.9763004610923275E-8</v>
      </c>
      <c r="R67" s="9">
        <f t="shared" si="12"/>
        <v>1.4999999999999999E-4</v>
      </c>
      <c r="S67" s="9">
        <f t="shared" si="13"/>
        <v>6.6446269665567052E-8</v>
      </c>
      <c r="T67" s="9">
        <f t="shared" si="10"/>
        <v>1.4992020547990536E-4</v>
      </c>
      <c r="U67" s="9">
        <f t="shared" si="11"/>
        <v>1.4993355373033441E-4</v>
      </c>
      <c r="V67" s="100">
        <f t="shared" si="14"/>
        <v>0.99991097222671665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116</v>
      </c>
      <c r="C68" s="46" t="s">
        <v>117</v>
      </c>
      <c r="D68" s="47">
        <v>4.7386560000000006</v>
      </c>
      <c r="E68" s="47">
        <v>5.8355820000000005</v>
      </c>
      <c r="F68" s="96">
        <v>9.9999999999999995E-7</v>
      </c>
      <c r="G68" s="168"/>
      <c r="H68" s="168"/>
      <c r="I68" s="54">
        <f t="shared" si="24"/>
        <v>1.7268855172909561</v>
      </c>
      <c r="J68" s="54">
        <f t="shared" si="25"/>
        <v>3.8526658305484731</v>
      </c>
      <c r="K68" s="55">
        <f t="shared" si="26"/>
        <v>1.7645124812256767E-2</v>
      </c>
      <c r="L68" s="55">
        <f t="shared" si="27"/>
        <v>5.8684359512921405E-2</v>
      </c>
      <c r="M68" s="55">
        <f t="shared" si="28"/>
        <v>0.94131564048707861</v>
      </c>
      <c r="N68" s="55">
        <f t="shared" si="29"/>
        <v>3.3852425332191204E-2</v>
      </c>
      <c r="O68" s="56">
        <f t="shared" si="30"/>
        <v>1.7662508383178302E-8</v>
      </c>
      <c r="P68" s="56">
        <f t="shared" si="31"/>
        <v>1.2581088331577308E-4</v>
      </c>
      <c r="Q68" s="56">
        <f t="shared" si="32"/>
        <v>1.2095793975242698E-2</v>
      </c>
      <c r="R68" s="9">
        <f t="shared" si="12"/>
        <v>1.4999999999999999E-4</v>
      </c>
      <c r="S68" s="9">
        <f t="shared" si="13"/>
        <v>8.8026539269382097E-6</v>
      </c>
      <c r="T68" s="9">
        <f t="shared" si="10"/>
        <v>2.6467687218385149E-6</v>
      </c>
      <c r="U68" s="9">
        <f t="shared" si="11"/>
        <v>1.4119734607306178E-4</v>
      </c>
      <c r="V68" s="100">
        <f t="shared" si="14"/>
        <v>1.8745173301408648E-2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118</v>
      </c>
      <c r="C69" s="46" t="s">
        <v>119</v>
      </c>
      <c r="D69" s="47">
        <v>2.3724999877244022</v>
      </c>
      <c r="E69" s="47">
        <v>2.8974999825375303</v>
      </c>
      <c r="F69" s="96">
        <v>9.9999999999999995E-7</v>
      </c>
      <c r="G69" s="168"/>
      <c r="H69" s="168"/>
      <c r="I69" s="54">
        <f t="shared" si="24"/>
        <v>5.7919228101834593E-2</v>
      </c>
      <c r="J69" s="54">
        <f t="shared" si="25"/>
        <v>1.2705694830285332</v>
      </c>
      <c r="K69" s="55">
        <f t="shared" si="26"/>
        <v>0.86808294190967517</v>
      </c>
      <c r="L69" s="55">
        <f t="shared" si="27"/>
        <v>7.5572277235458167E-3</v>
      </c>
      <c r="M69" s="55">
        <f t="shared" si="28"/>
        <v>0.99244277227645417</v>
      </c>
      <c r="N69" s="55">
        <f t="shared" si="29"/>
        <v>1.9206324358192702E-3</v>
      </c>
      <c r="O69" s="56">
        <f t="shared" si="30"/>
        <v>8.6893815724802065E-7</v>
      </c>
      <c r="P69" s="56">
        <f t="shared" si="31"/>
        <v>1.6201616635321715E-5</v>
      </c>
      <c r="Q69" s="56">
        <f t="shared" si="32"/>
        <v>6.8626026105570912E-4</v>
      </c>
      <c r="R69" s="9">
        <f t="shared" si="12"/>
        <v>1.4999999999999999E-4</v>
      </c>
      <c r="S69" s="9">
        <f t="shared" si="13"/>
        <v>1.1335841585318725E-6</v>
      </c>
      <c r="T69" s="9">
        <f t="shared" si="10"/>
        <v>1.3021244128645127E-4</v>
      </c>
      <c r="U69" s="9">
        <f t="shared" si="11"/>
        <v>1.4886641584146811E-4</v>
      </c>
      <c r="V69" s="100">
        <f t="shared" si="14"/>
        <v>0.87469319759211528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112</v>
      </c>
      <c r="C70" s="46" t="s">
        <v>113</v>
      </c>
      <c r="D70" s="47">
        <v>3.3511520000000004</v>
      </c>
      <c r="E70" s="47">
        <v>4.2962190000000007</v>
      </c>
      <c r="F70" s="96">
        <v>9.9999999999999995E-7</v>
      </c>
      <c r="G70" s="168"/>
      <c r="H70" s="168"/>
      <c r="I70" s="54">
        <f t="shared" si="24"/>
        <v>0.45156382049297444</v>
      </c>
      <c r="J70" s="54">
        <f t="shared" si="25"/>
        <v>2.3857380000561275</v>
      </c>
      <c r="K70" s="55">
        <f t="shared" si="26"/>
        <v>0.33973058709805048</v>
      </c>
      <c r="L70" s="55">
        <f t="shared" si="27"/>
        <v>3.8557108138142303E-2</v>
      </c>
      <c r="M70" s="55">
        <f t="shared" si="28"/>
        <v>0.96144289186185772</v>
      </c>
      <c r="N70" s="55">
        <f t="shared" si="29"/>
        <v>1.8825074509338999E-2</v>
      </c>
      <c r="O70" s="56">
        <f t="shared" si="30"/>
        <v>3.4006528185469694E-7</v>
      </c>
      <c r="P70" s="56">
        <f t="shared" si="31"/>
        <v>8.2660931689871627E-5</v>
      </c>
      <c r="Q70" s="56">
        <f t="shared" si="32"/>
        <v>6.7263784086107215E-3</v>
      </c>
      <c r="R70" s="9">
        <f t="shared" si="12"/>
        <v>1.4999999999999999E-4</v>
      </c>
      <c r="S70" s="9">
        <f t="shared" si="13"/>
        <v>5.783566220721345E-6</v>
      </c>
      <c r="T70" s="9">
        <f t="shared" si="10"/>
        <v>5.0959588064707571E-5</v>
      </c>
      <c r="U70" s="9">
        <f t="shared" si="11"/>
        <v>1.4421643377927865E-4</v>
      </c>
      <c r="V70" s="100">
        <f t="shared" si="14"/>
        <v>0.35335493139915347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120</v>
      </c>
      <c r="C71" s="46" t="s">
        <v>121</v>
      </c>
      <c r="D71" s="47">
        <v>5.9183200000000005</v>
      </c>
      <c r="E71" s="47">
        <v>7.0401399999999992</v>
      </c>
      <c r="F71" s="96">
        <v>9.9999999999999995E-7</v>
      </c>
      <c r="G71" s="168"/>
      <c r="H71" s="168"/>
      <c r="I71" s="54">
        <f t="shared" ref="I71:I122" si="33">IF(D71=0,"",LOG($K$15*10^D71+$K$16*10^E71+$K$14))</f>
        <v>2.9114243406645759</v>
      </c>
      <c r="J71" s="54">
        <f t="shared" ref="J71:J122" si="34">IF(D71=0,"",LOG($K$21*10^D71+$K$22*10^E71+$K$20))</f>
        <v>5.0468119943247247</v>
      </c>
      <c r="K71" s="55">
        <f t="shared" ref="K71:K122" si="35">IF(D71=0,"",1/(1+10^D71*$J$15/$J$14+10^E71*$J$16/$J$14+10^J71*$J$19/$J$14))</f>
        <v>1.1521690428276596E-3</v>
      </c>
      <c r="L71" s="55">
        <f t="shared" ref="L71:L122" si="36">IF(D71=0,"",1/(1+10^I71/10^J71*$J$13/$J$19))</f>
        <v>5.9918371355808603E-2</v>
      </c>
      <c r="M71" s="55">
        <f t="shared" si="19"/>
        <v>0.94008162864419142</v>
      </c>
      <c r="N71" s="55">
        <f t="shared" ref="N71:N122" si="37">IF(D71=0,"",1/(1/10^E71*$J$20/$J$22+10^D71/10^E71*$J$21/$J$22+10^I71/10^E71*$J$13/$J$22+1))</f>
        <v>3.5402934071849079E-2</v>
      </c>
      <c r="O71" s="56">
        <f t="shared" si="21"/>
        <v>1.1533041332553384E-9</v>
      </c>
      <c r="P71" s="56">
        <f t="shared" ref="P71:P122" si="38">IF(D71=0,"",O71*10^J71)</f>
        <v>1.2845642841951708E-4</v>
      </c>
      <c r="Q71" s="56">
        <f t="shared" ref="Q71:Q122" si="39">IF(D71=0,"",F71*N71*$J$7/$J$22)</f>
        <v>1.2649805514672355E-2</v>
      </c>
      <c r="R71" s="9">
        <f t="shared" si="12"/>
        <v>1.4999999999999999E-4</v>
      </c>
      <c r="S71" s="9">
        <f t="shared" si="13"/>
        <v>8.9877557033712898E-6</v>
      </c>
      <c r="T71" s="9">
        <f t="shared" si="10"/>
        <v>1.7282535642414892E-7</v>
      </c>
      <c r="U71" s="9">
        <f t="shared" si="11"/>
        <v>1.410122442966287E-4</v>
      </c>
      <c r="V71" s="100">
        <f t="shared" si="14"/>
        <v>1.2256053173694563E-3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122</v>
      </c>
      <c r="C72" s="46" t="s">
        <v>123</v>
      </c>
      <c r="D72" s="47">
        <v>5.5295200000000007</v>
      </c>
      <c r="E72" s="47">
        <v>6.5305900000000001</v>
      </c>
      <c r="F72" s="96">
        <v>9.9999999999999995E-7</v>
      </c>
      <c r="G72" s="168"/>
      <c r="H72" s="168"/>
      <c r="I72" s="54">
        <f t="shared" si="33"/>
        <v>2.4659786116205753</v>
      </c>
      <c r="J72" s="54">
        <f t="shared" si="34"/>
        <v>4.5907868934066363</v>
      </c>
      <c r="K72" s="55">
        <f t="shared" si="35"/>
        <v>3.2180191436341717E-3</v>
      </c>
      <c r="L72" s="55">
        <f t="shared" si="36"/>
        <v>5.8560843086911278E-2</v>
      </c>
      <c r="M72" s="55">
        <f t="shared" si="19"/>
        <v>0.94143915691308877</v>
      </c>
      <c r="N72" s="55">
        <f t="shared" si="37"/>
        <v>3.0588746300472567E-2</v>
      </c>
      <c r="O72" s="56">
        <f t="shared" si="21"/>
        <v>3.2211894620425383E-9</v>
      </c>
      <c r="P72" s="56">
        <f t="shared" si="38"/>
        <v>1.2554608174361113E-4</v>
      </c>
      <c r="Q72" s="56">
        <f t="shared" si="39"/>
        <v>1.0929650374552183E-2</v>
      </c>
      <c r="R72" s="9">
        <f t="shared" si="12"/>
        <v>1.4999999999999999E-4</v>
      </c>
      <c r="S72" s="9">
        <f t="shared" si="13"/>
        <v>8.7841264630366904E-6</v>
      </c>
      <c r="T72" s="9">
        <f t="shared" si="10"/>
        <v>4.8270287154512572E-7</v>
      </c>
      <c r="U72" s="9">
        <f t="shared" si="11"/>
        <v>1.4121587353696331E-4</v>
      </c>
      <c r="V72" s="100">
        <f t="shared" si="14"/>
        <v>3.4181913084918043E-3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124</v>
      </c>
      <c r="C73" s="46" t="s">
        <v>125</v>
      </c>
      <c r="D73" s="47">
        <v>5.4845040000000003</v>
      </c>
      <c r="E73" s="47">
        <v>6.5678879999999999</v>
      </c>
      <c r="F73" s="96">
        <v>9.9999999999999995E-7</v>
      </c>
      <c r="G73" s="168"/>
      <c r="H73" s="168"/>
      <c r="I73" s="54">
        <f t="shared" si="33"/>
        <v>2.4593424067669152</v>
      </c>
      <c r="J73" s="54">
        <f t="shared" si="34"/>
        <v>4.5907058404500249</v>
      </c>
      <c r="K73" s="55">
        <f t="shared" si="35"/>
        <v>3.264661919177814E-3</v>
      </c>
      <c r="L73" s="55">
        <f t="shared" si="36"/>
        <v>5.9398551950156628E-2</v>
      </c>
      <c r="M73" s="55">
        <f t="shared" si="19"/>
        <v>0.94060144804984336</v>
      </c>
      <c r="N73" s="55">
        <f t="shared" si="37"/>
        <v>3.3814990330958007E-2</v>
      </c>
      <c r="O73" s="56">
        <f t="shared" si="21"/>
        <v>3.2678781889753189E-9</v>
      </c>
      <c r="P73" s="56">
        <f t="shared" si="38"/>
        <v>1.273420098737143E-4</v>
      </c>
      <c r="Q73" s="56">
        <f t="shared" si="39"/>
        <v>1.2082418092778253E-2</v>
      </c>
      <c r="R73" s="9">
        <f t="shared" si="12"/>
        <v>1.4999999999999999E-4</v>
      </c>
      <c r="S73" s="9">
        <f t="shared" si="13"/>
        <v>8.9097827925234935E-6</v>
      </c>
      <c r="T73" s="9">
        <f t="shared" si="10"/>
        <v>4.8969928787667201E-7</v>
      </c>
      <c r="U73" s="9">
        <f t="shared" si="11"/>
        <v>1.410902172074765E-4</v>
      </c>
      <c r="V73" s="100">
        <f t="shared" si="14"/>
        <v>3.4708238286752205E-3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126</v>
      </c>
      <c r="C74" s="46" t="s">
        <v>127</v>
      </c>
      <c r="D74" s="47">
        <v>2.7195840000000011</v>
      </c>
      <c r="E74" s="47">
        <v>3.2500779999999994</v>
      </c>
      <c r="F74" s="96">
        <v>9.9999999999999995E-7</v>
      </c>
      <c r="G74" s="168"/>
      <c r="H74" s="168"/>
      <c r="I74" s="54">
        <f t="shared" si="33"/>
        <v>0.12015758400049081</v>
      </c>
      <c r="J74" s="54">
        <f t="shared" si="34"/>
        <v>1.6068902660030961</v>
      </c>
      <c r="K74" s="55">
        <f t="shared" si="35"/>
        <v>0.74721447671436392</v>
      </c>
      <c r="L74" s="55">
        <f t="shared" si="36"/>
        <v>1.4111310473980837E-2</v>
      </c>
      <c r="M74" s="55">
        <f t="shared" si="19"/>
        <v>0.98588868952601916</v>
      </c>
      <c r="N74" s="55">
        <f t="shared" si="37"/>
        <v>3.7231139767255434E-3</v>
      </c>
      <c r="O74" s="56">
        <f t="shared" si="21"/>
        <v>7.4795061522218233E-7</v>
      </c>
      <c r="P74" s="56">
        <f t="shared" si="38"/>
        <v>3.0252633754718624E-5</v>
      </c>
      <c r="Q74" s="56">
        <f t="shared" si="39"/>
        <v>1.3303040821123859E-3</v>
      </c>
      <c r="R74" s="9">
        <f t="shared" si="12"/>
        <v>1.4999999999999999E-4</v>
      </c>
      <c r="S74" s="9">
        <f t="shared" si="13"/>
        <v>2.1166965710971254E-6</v>
      </c>
      <c r="T74" s="9">
        <f t="shared" si="10"/>
        <v>1.1208217150715458E-4</v>
      </c>
      <c r="U74" s="9">
        <f t="shared" si="11"/>
        <v>1.4788330342890287E-4</v>
      </c>
      <c r="V74" s="100">
        <f t="shared" si="14"/>
        <v>0.757909574024628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80</v>
      </c>
      <c r="C75" s="46" t="s">
        <v>81</v>
      </c>
      <c r="D75" s="47">
        <v>3.9841999877244016</v>
      </c>
      <c r="E75" s="47">
        <v>5.1901999825375293</v>
      </c>
      <c r="F75" s="96">
        <v>9.9999999999999995E-7</v>
      </c>
      <c r="G75" s="168"/>
      <c r="H75" s="168"/>
      <c r="I75" s="54">
        <f t="shared" si="33"/>
        <v>1.0613094291357714</v>
      </c>
      <c r="J75" s="54">
        <f t="shared" si="34"/>
        <v>3.1646523304489067</v>
      </c>
      <c r="K75" s="55">
        <f t="shared" si="35"/>
        <v>8.1938123224168991E-2</v>
      </c>
      <c r="L75" s="55">
        <f t="shared" si="36"/>
        <v>5.5894637837603671E-2</v>
      </c>
      <c r="M75" s="55">
        <f t="shared" si="19"/>
        <v>0.94410536216239638</v>
      </c>
      <c r="N75" s="55">
        <f t="shared" si="37"/>
        <v>3.5568786532392767E-2</v>
      </c>
      <c r="O75" s="56">
        <f t="shared" si="21"/>
        <v>8.2018846777637734E-8</v>
      </c>
      <c r="P75" s="56">
        <f t="shared" si="38"/>
        <v>1.1983011857555971E-4</v>
      </c>
      <c r="Q75" s="56">
        <f t="shared" si="39"/>
        <v>1.2709066178371859E-2</v>
      </c>
      <c r="R75" s="9">
        <f t="shared" si="12"/>
        <v>1.4999999999999999E-4</v>
      </c>
      <c r="S75" s="9">
        <f t="shared" si="13"/>
        <v>8.3841956756405498E-6</v>
      </c>
      <c r="T75" s="9">
        <f t="shared" si="10"/>
        <v>1.2290718483625347E-5</v>
      </c>
      <c r="U75" s="9">
        <f t="shared" si="11"/>
        <v>1.4161580432435944E-4</v>
      </c>
      <c r="V75" s="100">
        <f t="shared" si="14"/>
        <v>8.6789172594567615E-2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128</v>
      </c>
      <c r="C76" s="46" t="s">
        <v>129</v>
      </c>
      <c r="D76" s="47">
        <v>4.10616</v>
      </c>
      <c r="E76" s="47">
        <v>5.1108449999999994</v>
      </c>
      <c r="F76" s="96">
        <v>9.9999999999999995E-7</v>
      </c>
      <c r="G76" s="168"/>
      <c r="H76" s="168"/>
      <c r="I76" s="54">
        <f t="shared" si="33"/>
        <v>1.080392983851221</v>
      </c>
      <c r="J76" s="54">
        <f t="shared" si="34"/>
        <v>3.1695845526459681</v>
      </c>
      <c r="K76" s="55">
        <f t="shared" si="35"/>
        <v>7.8556367141741287E-2</v>
      </c>
      <c r="L76" s="55">
        <f t="shared" si="36"/>
        <v>5.4199807943365416E-2</v>
      </c>
      <c r="M76" s="55">
        <f t="shared" si="19"/>
        <v>0.94580019205663457</v>
      </c>
      <c r="N76" s="55">
        <f t="shared" si="37"/>
        <v>2.8405958312586743E-2</v>
      </c>
      <c r="O76" s="56">
        <f t="shared" si="21"/>
        <v>7.8633759066937428E-8</v>
      </c>
      <c r="P76" s="56">
        <f t="shared" si="38"/>
        <v>1.1619664540086926E-4</v>
      </c>
      <c r="Q76" s="56">
        <f t="shared" si="39"/>
        <v>1.0149719438023553E-2</v>
      </c>
      <c r="R76" s="9">
        <f t="shared" si="12"/>
        <v>1.4999999999999999E-4</v>
      </c>
      <c r="S76" s="9">
        <f t="shared" si="13"/>
        <v>8.1299711915048125E-6</v>
      </c>
      <c r="T76" s="9">
        <f t="shared" si="10"/>
        <v>1.1783455071261192E-5</v>
      </c>
      <c r="U76" s="9">
        <f t="shared" si="11"/>
        <v>1.4187002880849516E-4</v>
      </c>
      <c r="V76" s="100">
        <f t="shared" si="14"/>
        <v>8.3058100221909584E-2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130</v>
      </c>
      <c r="C77" s="46" t="s">
        <v>131</v>
      </c>
      <c r="D77" s="47">
        <v>2.8295519999999996</v>
      </c>
      <c r="E77" s="47">
        <v>3.5791989999999991</v>
      </c>
      <c r="F77" s="96">
        <v>9.9999999999999995E-7</v>
      </c>
      <c r="G77" s="168"/>
      <c r="H77" s="168"/>
      <c r="I77" s="54">
        <f t="shared" si="33"/>
        <v>0.16668848098518507</v>
      </c>
      <c r="J77" s="54">
        <f t="shared" si="34"/>
        <v>1.7842930933369672</v>
      </c>
      <c r="K77" s="55">
        <f t="shared" si="35"/>
        <v>0.66798158440461142</v>
      </c>
      <c r="L77" s="55">
        <f t="shared" si="36"/>
        <v>1.8979701886281387E-2</v>
      </c>
      <c r="M77" s="55">
        <f t="shared" si="19"/>
        <v>0.9810202981137186</v>
      </c>
      <c r="N77" s="55">
        <f t="shared" si="37"/>
        <v>7.1014419898264691E-3</v>
      </c>
      <c r="O77" s="56">
        <f t="shared" si="21"/>
        <v>6.6863966449020606E-7</v>
      </c>
      <c r="P77" s="56">
        <f t="shared" si="38"/>
        <v>4.0689769458203516E-5</v>
      </c>
      <c r="Q77" s="56">
        <f t="shared" si="39"/>
        <v>2.537412855745852E-3</v>
      </c>
      <c r="R77" s="9">
        <f t="shared" si="12"/>
        <v>1.4999999999999999E-4</v>
      </c>
      <c r="S77" s="9">
        <f t="shared" si="13"/>
        <v>2.8469552829422079E-6</v>
      </c>
      <c r="T77" s="9">
        <f t="shared" si="10"/>
        <v>1.0019723766069171E-4</v>
      </c>
      <c r="U77" s="9">
        <f t="shared" si="11"/>
        <v>1.4715304471705777E-4</v>
      </c>
      <c r="V77" s="100">
        <f t="shared" si="14"/>
        <v>0.6809049575110625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82</v>
      </c>
      <c r="C78" s="46" t="s">
        <v>83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0.26960058474961779</v>
      </c>
      <c r="J78" s="54">
        <f t="shared" si="34"/>
        <v>2.0591588932565279</v>
      </c>
      <c r="K78" s="55">
        <f t="shared" si="35"/>
        <v>0.52223572473424551</v>
      </c>
      <c r="L78" s="55">
        <f t="shared" si="36"/>
        <v>2.7941986240562867E-2</v>
      </c>
      <c r="M78" s="55">
        <f t="shared" si="19"/>
        <v>0.97205801375943712</v>
      </c>
      <c r="N78" s="55">
        <f t="shared" si="37"/>
        <v>1.3342881579040547E-2</v>
      </c>
      <c r="O78" s="56">
        <f t="shared" si="21"/>
        <v>5.2275021935274618E-7</v>
      </c>
      <c r="P78" s="56">
        <f t="shared" si="38"/>
        <v>5.9903626787446698E-5</v>
      </c>
      <c r="Q78" s="56">
        <f t="shared" si="39"/>
        <v>4.7675386632538442E-3</v>
      </c>
      <c r="R78" s="9">
        <f t="shared" si="12"/>
        <v>1.4999999999999999E-4</v>
      </c>
      <c r="S78" s="9">
        <f t="shared" si="13"/>
        <v>4.1912979360844298E-6</v>
      </c>
      <c r="T78" s="9">
        <f t="shared" si="10"/>
        <v>7.8335358710136818E-5</v>
      </c>
      <c r="U78" s="9">
        <f t="shared" si="11"/>
        <v>1.4580870206391556E-4</v>
      </c>
      <c r="V78" s="100">
        <f t="shared" si="14"/>
        <v>0.53724748661296184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132</v>
      </c>
      <c r="C79" s="46" t="s">
        <v>133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0.30972420580945559</v>
      </c>
      <c r="J79" s="54">
        <f t="shared" si="34"/>
        <v>2.1124941218662863</v>
      </c>
      <c r="K79" s="55">
        <f t="shared" si="35"/>
        <v>0.47573848698366655</v>
      </c>
      <c r="L79" s="55">
        <f t="shared" si="36"/>
        <v>2.8780226842878301E-2</v>
      </c>
      <c r="M79" s="55">
        <f t="shared" si="19"/>
        <v>0.97121977315712171</v>
      </c>
      <c r="N79" s="55">
        <f t="shared" si="37"/>
        <v>7.5724487232937199E-3</v>
      </c>
      <c r="O79" s="56">
        <f t="shared" si="21"/>
        <v>4.7620717359351367E-7</v>
      </c>
      <c r="P79" s="56">
        <f t="shared" si="38"/>
        <v>6.1700694890153511E-5</v>
      </c>
      <c r="Q79" s="56">
        <f t="shared" si="39"/>
        <v>2.7057080473921148E-3</v>
      </c>
      <c r="R79" s="9">
        <f t="shared" si="12"/>
        <v>1.4999999999999999E-4</v>
      </c>
      <c r="S79" s="9">
        <f t="shared" si="13"/>
        <v>4.3170340264317444E-6</v>
      </c>
      <c r="T79" s="9">
        <f t="shared" si="10"/>
        <v>7.1360773047549972E-5</v>
      </c>
      <c r="U79" s="9">
        <f t="shared" si="11"/>
        <v>1.4568296597356826E-4</v>
      </c>
      <c r="V79" s="100">
        <f t="shared" si="14"/>
        <v>0.48983608049617278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134</v>
      </c>
      <c r="C80" s="46" t="s">
        <v>135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0.35763444792585858</v>
      </c>
      <c r="J80" s="54">
        <f t="shared" si="34"/>
        <v>2.1997454188827374</v>
      </c>
      <c r="K80" s="55">
        <f t="shared" si="35"/>
        <v>0.42488808006047818</v>
      </c>
      <c r="L80" s="55">
        <f t="shared" si="36"/>
        <v>3.1423298439331344E-2</v>
      </c>
      <c r="M80" s="55">
        <f t="shared" si="19"/>
        <v>0.96857670156066866</v>
      </c>
      <c r="N80" s="55">
        <f t="shared" si="37"/>
        <v>7.8918459941614873E-3</v>
      </c>
      <c r="O80" s="56">
        <f t="shared" si="21"/>
        <v>4.2530667001957655E-7</v>
      </c>
      <c r="P80" s="56">
        <f t="shared" si="38"/>
        <v>6.7367062811292199E-5</v>
      </c>
      <c r="Q80" s="56">
        <f t="shared" si="39"/>
        <v>2.8198317341519385E-3</v>
      </c>
      <c r="R80" s="9">
        <f t="shared" si="12"/>
        <v>1.4999999999999999E-4</v>
      </c>
      <c r="S80" s="9">
        <f t="shared" si="13"/>
        <v>4.7134947658997008E-6</v>
      </c>
      <c r="T80" s="9">
        <f t="shared" si="10"/>
        <v>6.3733212009071724E-5</v>
      </c>
      <c r="U80" s="9">
        <f t="shared" si="11"/>
        <v>1.4528650523410028E-4</v>
      </c>
      <c r="V80" s="100">
        <f t="shared" si="14"/>
        <v>0.43867262073912738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136</v>
      </c>
      <c r="C81" s="46" t="s">
        <v>137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1.4796577057346771</v>
      </c>
      <c r="J81" s="54">
        <f t="shared" si="34"/>
        <v>3.6085862266525122</v>
      </c>
      <c r="K81" s="55">
        <f t="shared" si="35"/>
        <v>3.1165002351908059E-2</v>
      </c>
      <c r="L81" s="55">
        <f t="shared" si="36"/>
        <v>5.908608221604026E-2</v>
      </c>
      <c r="M81" s="55">
        <f t="shared" si="19"/>
        <v>0.94091391778395972</v>
      </c>
      <c r="N81" s="55">
        <f t="shared" si="37"/>
        <v>3.8009155304017411E-2</v>
      </c>
      <c r="O81" s="56">
        <f t="shared" si="21"/>
        <v>3.1195705395066925E-8</v>
      </c>
      <c r="P81" s="56">
        <f t="shared" si="38"/>
        <v>1.2667211940230232E-4</v>
      </c>
      <c r="Q81" s="56">
        <f t="shared" si="39"/>
        <v>1.3581033182080694E-2</v>
      </c>
      <c r="R81" s="9">
        <f t="shared" si="12"/>
        <v>1.4999999999999999E-4</v>
      </c>
      <c r="S81" s="9">
        <f t="shared" si="13"/>
        <v>8.8629123324060377E-6</v>
      </c>
      <c r="T81" s="9">
        <f t="shared" si="10"/>
        <v>4.6747503527862084E-6</v>
      </c>
      <c r="U81" s="9">
        <f t="shared" si="11"/>
        <v>1.4113708766759394E-4</v>
      </c>
      <c r="V81" s="100">
        <f t="shared" si="14"/>
        <v>3.3122054805298097E-2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138</v>
      </c>
      <c r="C82" s="46" t="s">
        <v>139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1.2498866711591912</v>
      </c>
      <c r="J82" s="54">
        <f t="shared" si="34"/>
        <v>3.3537898155867572</v>
      </c>
      <c r="K82" s="55">
        <f t="shared" si="35"/>
        <v>5.3073464308392007E-2</v>
      </c>
      <c r="L82" s="55">
        <f t="shared" si="36"/>
        <v>5.5962751094214315E-2</v>
      </c>
      <c r="M82" s="55">
        <f t="shared" si="19"/>
        <v>0.94403724890578566</v>
      </c>
      <c r="N82" s="55">
        <f t="shared" si="37"/>
        <v>3.0249729175710924E-2</v>
      </c>
      <c r="O82" s="56">
        <f t="shared" si="21"/>
        <v>5.3125751064120472E-8</v>
      </c>
      <c r="P82" s="56">
        <f t="shared" si="38"/>
        <v>1.199761436672678E-4</v>
      </c>
      <c r="Q82" s="56">
        <f t="shared" si="39"/>
        <v>1.0808516327140328E-2</v>
      </c>
      <c r="R82" s="9">
        <f t="shared" si="12"/>
        <v>1.4999999999999999E-4</v>
      </c>
      <c r="S82" s="9">
        <f t="shared" si="13"/>
        <v>8.3944126641321471E-6</v>
      </c>
      <c r="T82" s="9">
        <f t="shared" si="10"/>
        <v>7.9610196462588008E-6</v>
      </c>
      <c r="U82" s="9">
        <f t="shared" si="11"/>
        <v>1.4160558733586784E-4</v>
      </c>
      <c r="V82" s="100">
        <f t="shared" si="14"/>
        <v>5.6219671808404148E-2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84</v>
      </c>
      <c r="C83" s="46" t="s">
        <v>85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0.14841008082679891</v>
      </c>
      <c r="J83" s="54">
        <f t="shared" si="34"/>
        <v>1.7258889627774656</v>
      </c>
      <c r="K83" s="55">
        <f t="shared" si="35"/>
        <v>0.69786424999189334</v>
      </c>
      <c r="L83" s="55">
        <f t="shared" si="36"/>
        <v>1.7333717630002344E-2</v>
      </c>
      <c r="M83" s="55">
        <f t="shared" si="19"/>
        <v>0.98266628236999765</v>
      </c>
      <c r="N83" s="55">
        <f t="shared" si="37"/>
        <v>6.5574955590016132E-3</v>
      </c>
      <c r="O83" s="56">
        <f t="shared" si="21"/>
        <v>6.9855176979197509E-7</v>
      </c>
      <c r="P83" s="56">
        <f t="shared" si="38"/>
        <v>3.7161014353349298E-5</v>
      </c>
      <c r="Q83" s="56">
        <f t="shared" si="39"/>
        <v>2.3430556155699328E-3</v>
      </c>
      <c r="R83" s="9">
        <f t="shared" si="12"/>
        <v>1.4999999999999999E-4</v>
      </c>
      <c r="S83" s="9">
        <f t="shared" si="13"/>
        <v>2.6000576445003512E-6</v>
      </c>
      <c r="T83" s="9">
        <f t="shared" si="10"/>
        <v>1.0467963749878399E-4</v>
      </c>
      <c r="U83" s="9">
        <f t="shared" si="11"/>
        <v>1.4739994235549964E-4</v>
      </c>
      <c r="V83" s="100">
        <f t="shared" si="14"/>
        <v>0.71017420920231655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140</v>
      </c>
      <c r="C84" s="46" t="s">
        <v>141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1.3452769109111</v>
      </c>
      <c r="J84" s="54">
        <f t="shared" si="34"/>
        <v>3.4358375366577767</v>
      </c>
      <c r="K84" s="55">
        <f t="shared" si="35"/>
        <v>4.2679876177636848E-2</v>
      </c>
      <c r="L84" s="55">
        <f t="shared" si="36"/>
        <v>5.436163261857431E-2</v>
      </c>
      <c r="M84" s="55">
        <f t="shared" si="19"/>
        <v>0.9456383673814257</v>
      </c>
      <c r="N84" s="55">
        <f t="shared" si="37"/>
        <v>2.2091143916663857E-2</v>
      </c>
      <c r="O84" s="56">
        <f t="shared" si="21"/>
        <v>4.2721923409512533E-8</v>
      </c>
      <c r="P84" s="56">
        <f t="shared" si="38"/>
        <v>1.1654357438670637E-4</v>
      </c>
      <c r="Q84" s="56">
        <f t="shared" si="39"/>
        <v>7.8933761132708186E-3</v>
      </c>
      <c r="R84" s="9">
        <f t="shared" si="12"/>
        <v>1.4999999999999999E-4</v>
      </c>
      <c r="S84" s="9">
        <f t="shared" si="13"/>
        <v>8.1542448927861461E-6</v>
      </c>
      <c r="T84" s="9">
        <f t="shared" si="10"/>
        <v>6.4019814266455264E-6</v>
      </c>
      <c r="U84" s="9">
        <f t="shared" si="11"/>
        <v>1.4184575510721385E-4</v>
      </c>
      <c r="V84" s="100">
        <f t="shared" si="14"/>
        <v>4.5133401572761918E-2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86</v>
      </c>
      <c r="C85" s="46" t="s">
        <v>87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0.12747825886296762</v>
      </c>
      <c r="J85" s="54">
        <f t="shared" si="34"/>
        <v>1.6486841643977075</v>
      </c>
      <c r="K85" s="55">
        <f t="shared" si="35"/>
        <v>0.7338691084393244</v>
      </c>
      <c r="L85" s="55">
        <f t="shared" si="36"/>
        <v>1.5259298722305446E-2</v>
      </c>
      <c r="M85" s="55">
        <f t="shared" si="19"/>
        <v>0.98474070127769453</v>
      </c>
      <c r="N85" s="55">
        <f t="shared" si="37"/>
        <v>5.5517980628807711E-3</v>
      </c>
      <c r="O85" s="56">
        <f t="shared" si="21"/>
        <v>7.3459209939741722E-7</v>
      </c>
      <c r="P85" s="56">
        <f t="shared" si="38"/>
        <v>3.2713756560805395E-5</v>
      </c>
      <c r="Q85" s="56">
        <f t="shared" si="39"/>
        <v>1.9837103221345643E-3</v>
      </c>
      <c r="R85" s="9">
        <f t="shared" si="12"/>
        <v>1.4999999999999999E-4</v>
      </c>
      <c r="S85" s="9">
        <f t="shared" si="13"/>
        <v>2.2888948083458165E-6</v>
      </c>
      <c r="T85" s="9">
        <f t="shared" si="10"/>
        <v>1.1008036626589865E-4</v>
      </c>
      <c r="U85" s="9">
        <f t="shared" si="11"/>
        <v>1.4771110519165416E-4</v>
      </c>
      <c r="V85" s="100">
        <f t="shared" si="14"/>
        <v>0.74524096291250486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142</v>
      </c>
      <c r="C86" s="46" t="s">
        <v>143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0.71310437974280194</v>
      </c>
      <c r="J86" s="54">
        <f t="shared" si="34"/>
        <v>2.7061471704995403</v>
      </c>
      <c r="K86" s="55">
        <f t="shared" si="35"/>
        <v>0.18499927899670587</v>
      </c>
      <c r="L86" s="55">
        <f t="shared" si="36"/>
        <v>4.390854136044281E-2</v>
      </c>
      <c r="M86" s="55">
        <f t="shared" si="19"/>
        <v>0.95609145863955725</v>
      </c>
      <c r="N86" s="55">
        <f t="shared" si="37"/>
        <v>9.4617853187256365E-3</v>
      </c>
      <c r="O86" s="56">
        <f t="shared" si="21"/>
        <v>1.8518153602923413E-7</v>
      </c>
      <c r="P86" s="56">
        <f t="shared" si="38"/>
        <v>9.4133640028023569E-5</v>
      </c>
      <c r="Q86" s="56">
        <f t="shared" si="39"/>
        <v>3.3807860066217992E-3</v>
      </c>
      <c r="R86" s="9">
        <f t="shared" si="12"/>
        <v>1.4999999999999999E-4</v>
      </c>
      <c r="S86" s="9">
        <f t="shared" si="13"/>
        <v>6.5862812040664209E-6</v>
      </c>
      <c r="T86" s="9">
        <f t="shared" si="10"/>
        <v>2.7749891849505879E-5</v>
      </c>
      <c r="U86" s="9">
        <f t="shared" si="11"/>
        <v>1.4341371879593359E-4</v>
      </c>
      <c r="V86" s="100">
        <f t="shared" si="14"/>
        <v>0.19349537884162804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280</v>
      </c>
      <c r="C87" s="46" t="s">
        <v>281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7.9970216478940079E-2</v>
      </c>
      <c r="J87" s="54">
        <f t="shared" si="34"/>
        <v>1.4184362316665409</v>
      </c>
      <c r="K87" s="55">
        <f t="shared" si="35"/>
        <v>0.82301692241978275</v>
      </c>
      <c r="L87" s="55">
        <f t="shared" si="36"/>
        <v>1.0071097500320062E-2</v>
      </c>
      <c r="M87" s="55">
        <f t="shared" si="19"/>
        <v>0.98992890249967991</v>
      </c>
      <c r="N87" s="55">
        <f t="shared" si="37"/>
        <v>2.8621734674170057E-3</v>
      </c>
      <c r="O87" s="56">
        <f t="shared" si="21"/>
        <v>8.2382773975277045E-7</v>
      </c>
      <c r="P87" s="56">
        <f t="shared" si="38"/>
        <v>2.1590994312471878E-5</v>
      </c>
      <c r="Q87" s="56">
        <f t="shared" si="39"/>
        <v>1.0226818387030236E-3</v>
      </c>
      <c r="R87" s="9">
        <f t="shared" si="12"/>
        <v>1.4999999999999999E-4</v>
      </c>
      <c r="S87" s="9">
        <f t="shared" si="13"/>
        <v>1.5106646250480093E-6</v>
      </c>
      <c r="T87" s="9">
        <f t="shared" si="10"/>
        <v>1.234525383629674E-4</v>
      </c>
      <c r="U87" s="9">
        <f t="shared" si="11"/>
        <v>1.4848933537495198E-4</v>
      </c>
      <c r="V87" s="100">
        <f t="shared" si="14"/>
        <v>0.83138993148050733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282</v>
      </c>
      <c r="C88" s="46" t="s">
        <v>283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1.7455890954858774E-2</v>
      </c>
      <c r="J88" s="54">
        <f t="shared" si="34"/>
        <v>0.75792384453961625</v>
      </c>
      <c r="K88" s="55">
        <f t="shared" si="35"/>
        <v>0.95764722735306795</v>
      </c>
      <c r="L88" s="55">
        <f t="shared" si="36"/>
        <v>2.5607147550774684E-3</v>
      </c>
      <c r="M88" s="55">
        <f t="shared" si="19"/>
        <v>0.99743928524492254</v>
      </c>
      <c r="N88" s="55">
        <f t="shared" si="37"/>
        <v>4.7707714297525197E-5</v>
      </c>
      <c r="O88" s="56">
        <f t="shared" si="21"/>
        <v>9.5859067936441008E-7</v>
      </c>
      <c r="P88" s="56">
        <f t="shared" si="38"/>
        <v>5.4898066184925094E-6</v>
      </c>
      <c r="Q88" s="56">
        <f t="shared" si="39"/>
        <v>1.7046420677689534E-5</v>
      </c>
      <c r="R88" s="9">
        <f t="shared" si="12"/>
        <v>1.4999999999999999E-4</v>
      </c>
      <c r="S88" s="9">
        <f t="shared" si="13"/>
        <v>3.8410721326162023E-7</v>
      </c>
      <c r="T88" s="9">
        <f t="shared" si="10"/>
        <v>1.4364708410296019E-4</v>
      </c>
      <c r="U88" s="9">
        <f t="shared" si="11"/>
        <v>1.4961589278673836E-4</v>
      </c>
      <c r="V88" s="100">
        <f t="shared" si="14"/>
        <v>0.96010578440162042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284</v>
      </c>
      <c r="C89" s="46" t="s">
        <v>285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3.8813937169773554E-3</v>
      </c>
      <c r="J89" s="54">
        <f t="shared" si="34"/>
        <v>0.31405105360104707</v>
      </c>
      <c r="K89" s="55">
        <f t="shared" si="35"/>
        <v>0.98964587400914839</v>
      </c>
      <c r="L89" s="55">
        <f t="shared" si="36"/>
        <v>9.5227564194300173E-4</v>
      </c>
      <c r="M89" s="55">
        <f t="shared" si="19"/>
        <v>0.999047724358057</v>
      </c>
      <c r="N89" s="55">
        <f t="shared" si="37"/>
        <v>5.7054021378967816E-5</v>
      </c>
      <c r="O89" s="56">
        <f t="shared" si="21"/>
        <v>9.906208503508344E-7</v>
      </c>
      <c r="P89" s="56">
        <f t="shared" si="38"/>
        <v>2.0415429369483747E-6</v>
      </c>
      <c r="Q89" s="56">
        <f t="shared" si="39"/>
        <v>2.0385945210337377E-5</v>
      </c>
      <c r="R89" s="9">
        <f t="shared" si="12"/>
        <v>1.4999999999999999E-4</v>
      </c>
      <c r="S89" s="9">
        <f t="shared" si="13"/>
        <v>1.4284134629145026E-7</v>
      </c>
      <c r="T89" s="9">
        <f t="shared" si="10"/>
        <v>1.4844688110137225E-4</v>
      </c>
      <c r="U89" s="9">
        <f t="shared" si="11"/>
        <v>1.4985715865370854E-4</v>
      </c>
      <c r="V89" s="100">
        <f t="shared" si="14"/>
        <v>0.99058918796401862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286</v>
      </c>
      <c r="C90" s="46" t="s">
        <v>287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1.2917346823443875E-4</v>
      </c>
      <c r="J90" s="54">
        <f t="shared" si="34"/>
        <v>1.4332861282250179E-2</v>
      </c>
      <c r="K90" s="55">
        <f t="shared" si="35"/>
        <v>0.99870320924529077</v>
      </c>
      <c r="L90" s="55">
        <f t="shared" si="36"/>
        <v>4.8194902999303205E-4</v>
      </c>
      <c r="M90" s="55">
        <f t="shared" si="19"/>
        <v>0.99951805097000701</v>
      </c>
      <c r="N90" s="55">
        <f t="shared" si="37"/>
        <v>1.8923247405669766E-6</v>
      </c>
      <c r="O90" s="56">
        <f t="shared" si="21"/>
        <v>9.9968710866522703E-7</v>
      </c>
      <c r="P90" s="56">
        <f t="shared" si="38"/>
        <v>1.0332298704436325E-6</v>
      </c>
      <c r="Q90" s="56">
        <f t="shared" si="39"/>
        <v>6.7614565194496687E-7</v>
      </c>
      <c r="R90" s="9">
        <f t="shared" si="12"/>
        <v>1.4999999999999999E-4</v>
      </c>
      <c r="S90" s="9">
        <f t="shared" si="13"/>
        <v>7.22923544989548E-8</v>
      </c>
      <c r="T90" s="9">
        <f t="shared" si="10"/>
        <v>1.4980548138679361E-4</v>
      </c>
      <c r="U90" s="9">
        <f t="shared" si="11"/>
        <v>1.4992770764550104E-4</v>
      </c>
      <c r="V90" s="100">
        <f t="shared" si="14"/>
        <v>0.99918476537374645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288</v>
      </c>
      <c r="C91" s="46" t="s">
        <v>289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-2.2956464274597468E-5</v>
      </c>
      <c r="J91" s="54">
        <f t="shared" si="34"/>
        <v>-3.1368640103969551E-3</v>
      </c>
      <c r="K91" s="55">
        <f t="shared" si="35"/>
        <v>0.99907193061624844</v>
      </c>
      <c r="L91" s="55">
        <f t="shared" si="36"/>
        <v>4.6311803857840153E-4</v>
      </c>
      <c r="M91" s="55">
        <f t="shared" si="19"/>
        <v>0.99953688196142165</v>
      </c>
      <c r="N91" s="55">
        <f t="shared" si="37"/>
        <v>8.5978010605752026E-7</v>
      </c>
      <c r="O91" s="56">
        <f t="shared" si="21"/>
        <v>1.0000561932919945E-6</v>
      </c>
      <c r="P91" s="56">
        <f t="shared" si="38"/>
        <v>9.9285891499229538E-7</v>
      </c>
      <c r="Q91" s="56">
        <f t="shared" si="39"/>
        <v>3.0720762027631438E-7</v>
      </c>
      <c r="R91" s="9">
        <f t="shared" si="12"/>
        <v>1.4999999999999999E-4</v>
      </c>
      <c r="S91" s="9">
        <f t="shared" si="13"/>
        <v>6.9467705786760226E-8</v>
      </c>
      <c r="T91" s="9">
        <f t="shared" si="10"/>
        <v>1.4986078959243726E-4</v>
      </c>
      <c r="U91" s="9">
        <f t="shared" si="11"/>
        <v>1.4993053229421323E-4</v>
      </c>
      <c r="V91" s="100">
        <f t="shared" si="14"/>
        <v>0.99953483322770353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290</v>
      </c>
      <c r="C92" s="46" t="s">
        <v>291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4.9737704902702096E-3</v>
      </c>
      <c r="J92" s="54">
        <f t="shared" si="34"/>
        <v>0.37384324139771197</v>
      </c>
      <c r="K92" s="55">
        <f t="shared" si="35"/>
        <v>0.98702372876936562</v>
      </c>
      <c r="L92" s="55">
        <f t="shared" si="36"/>
        <v>1.0899401193862467E-3</v>
      </c>
      <c r="M92" s="55">
        <f t="shared" si="19"/>
        <v>0.99891005988061377</v>
      </c>
      <c r="N92" s="55">
        <f t="shared" si="37"/>
        <v>7.8793973191119409E-5</v>
      </c>
      <c r="O92" s="56">
        <f t="shared" si="21"/>
        <v>9.8799612183390131E-7</v>
      </c>
      <c r="P92" s="56">
        <f t="shared" si="38"/>
        <v>2.3366759102327719E-6</v>
      </c>
      <c r="Q92" s="56">
        <f t="shared" si="39"/>
        <v>2.8153837039979253E-5</v>
      </c>
      <c r="R92" s="9">
        <f t="shared" si="12"/>
        <v>1.4999999999999999E-4</v>
      </c>
      <c r="S92" s="9">
        <f t="shared" si="13"/>
        <v>1.63491017907937E-7</v>
      </c>
      <c r="T92" s="9">
        <f t="shared" ref="T92:T143" si="40">R92*K92</f>
        <v>1.4805355931540482E-4</v>
      </c>
      <c r="U92" s="9">
        <f t="shared" ref="U92:U143" si="41">$R92*M92</f>
        <v>1.4983650898209205E-4</v>
      </c>
      <c r="V92" s="100">
        <f t="shared" si="14"/>
        <v>0.98810069936359557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292</v>
      </c>
      <c r="C93" s="46" t="s">
        <v>293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-1.6944268240451622E-5</v>
      </c>
      <c r="J93" s="54">
        <f t="shared" si="34"/>
        <v>-2.4342530817416477E-3</v>
      </c>
      <c r="K93" s="55">
        <f t="shared" si="35"/>
        <v>0.99905735724047795</v>
      </c>
      <c r="L93" s="55">
        <f t="shared" si="36"/>
        <v>4.6386112087170683E-4</v>
      </c>
      <c r="M93" s="55">
        <f t="shared" ref="M93:M127" si="42">IF(D93=0,"",1-L93)</f>
        <v>0.99953613887912829</v>
      </c>
      <c r="N93" s="55">
        <f t="shared" si="37"/>
        <v>8.9599931435128725E-7</v>
      </c>
      <c r="O93" s="56">
        <f t="shared" ref="O93:O127" si="43">IF(D93=0,"",F93*K93*$J$7/$J$14)</f>
        <v>1.0000416055588694E-6</v>
      </c>
      <c r="P93" s="56">
        <f t="shared" si="38"/>
        <v>9.9445197727452882E-7</v>
      </c>
      <c r="Q93" s="56">
        <f t="shared" si="39"/>
        <v>3.201490883445182E-7</v>
      </c>
      <c r="R93" s="9">
        <f t="shared" ref="R93:R143" si="44">F93*$C$14</f>
        <v>1.4999999999999999E-4</v>
      </c>
      <c r="S93" s="9">
        <f t="shared" ref="S93:S143" si="45">$R93*L93</f>
        <v>6.9579168130756017E-8</v>
      </c>
      <c r="T93" s="9">
        <f t="shared" si="40"/>
        <v>1.4985860358607167E-4</v>
      </c>
      <c r="U93" s="9">
        <f t="shared" si="41"/>
        <v>1.4993042083186924E-4</v>
      </c>
      <c r="V93" s="100">
        <f t="shared" ref="V93:V143" si="46">K93/M93</f>
        <v>0.99952099617009627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294</v>
      </c>
      <c r="C94" s="46" t="s">
        <v>295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-1.664624595209951E-4</v>
      </c>
      <c r="J94" s="54">
        <f t="shared" si="34"/>
        <v>-2.0209711391718135E-2</v>
      </c>
      <c r="K94" s="55">
        <f t="shared" si="35"/>
        <v>0.99941980857630486</v>
      </c>
      <c r="L94" s="55">
        <f t="shared" si="36"/>
        <v>4.4542034025055909E-4</v>
      </c>
      <c r="M94" s="55">
        <f t="shared" si="42"/>
        <v>0.99955457965974948</v>
      </c>
      <c r="N94" s="55">
        <f t="shared" si="37"/>
        <v>1.4982318986720734E-7</v>
      </c>
      <c r="O94" s="56">
        <f t="shared" si="43"/>
        <v>1.000404413973412E-6</v>
      </c>
      <c r="P94" s="56">
        <f t="shared" si="38"/>
        <v>9.5491757802001981E-7</v>
      </c>
      <c r="Q94" s="56">
        <f t="shared" si="39"/>
        <v>5.3533252627075711E-8</v>
      </c>
      <c r="R94" s="9">
        <f t="shared" si="44"/>
        <v>1.4999999999999999E-4</v>
      </c>
      <c r="S94" s="9">
        <f t="shared" si="45"/>
        <v>6.6813051037583862E-8</v>
      </c>
      <c r="T94" s="9">
        <f t="shared" si="40"/>
        <v>1.4991297128644571E-4</v>
      </c>
      <c r="U94" s="9">
        <f t="shared" si="41"/>
        <v>1.499331869489624E-4</v>
      </c>
      <c r="V94" s="100">
        <f t="shared" si="46"/>
        <v>0.99986516886002319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296</v>
      </c>
      <c r="C95" s="46" t="s">
        <v>297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0.94867954725222914</v>
      </c>
      <c r="J95" s="54">
        <f t="shared" si="34"/>
        <v>3.0363954838107583</v>
      </c>
      <c r="K95" s="55">
        <f t="shared" si="35"/>
        <v>0.10640809750057567</v>
      </c>
      <c r="L95" s="55">
        <f t="shared" si="36"/>
        <v>5.4025894476851875E-2</v>
      </c>
      <c r="M95" s="55">
        <f t="shared" si="42"/>
        <v>0.94597410552314809</v>
      </c>
      <c r="N95" s="55">
        <f t="shared" si="37"/>
        <v>3.3122851314775333E-2</v>
      </c>
      <c r="O95" s="56">
        <f t="shared" si="43"/>
        <v>1.0651292830960698E-7</v>
      </c>
      <c r="P95" s="56">
        <f t="shared" si="38"/>
        <v>1.1582379977344519E-4</v>
      </c>
      <c r="Q95" s="56">
        <f t="shared" si="39"/>
        <v>1.183511023049603E-2</v>
      </c>
      <c r="R95" s="9">
        <f t="shared" si="44"/>
        <v>1.4999999999999999E-4</v>
      </c>
      <c r="S95" s="9">
        <f t="shared" si="45"/>
        <v>8.1038841715277802E-6</v>
      </c>
      <c r="T95" s="9">
        <f t="shared" si="40"/>
        <v>1.5961214625086348E-5</v>
      </c>
      <c r="U95" s="9">
        <f t="shared" si="41"/>
        <v>1.4189611582847219E-4</v>
      </c>
      <c r="V95" s="100">
        <f t="shared" si="46"/>
        <v>0.11248521167683469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298</v>
      </c>
      <c r="C96" s="46" t="s">
        <v>211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-2.2502251762220258E-4</v>
      </c>
      <c r="J96" s="54">
        <f t="shared" si="34"/>
        <v>-2.7334369930060755E-2</v>
      </c>
      <c r="K96" s="55">
        <f t="shared" si="35"/>
        <v>0.99956176427766097</v>
      </c>
      <c r="L96" s="55">
        <f t="shared" si="36"/>
        <v>4.3823500896819243E-4</v>
      </c>
      <c r="M96" s="55">
        <f t="shared" si="42"/>
        <v>0.99956176499103178</v>
      </c>
      <c r="N96" s="55">
        <f t="shared" si="37"/>
        <v>4.7774119228483063E-15</v>
      </c>
      <c r="O96" s="56">
        <f t="shared" si="43"/>
        <v>1.0005465095262584E-6</v>
      </c>
      <c r="P96" s="56">
        <f t="shared" si="38"/>
        <v>9.3951325422652326E-7</v>
      </c>
      <c r="Q96" s="56">
        <f t="shared" si="39"/>
        <v>1.7070147791948693E-15</v>
      </c>
      <c r="R96" s="9">
        <f t="shared" si="44"/>
        <v>1.4999999999999999E-4</v>
      </c>
      <c r="S96" s="9">
        <f t="shared" si="45"/>
        <v>6.5735251345228855E-8</v>
      </c>
      <c r="T96" s="9">
        <f t="shared" si="40"/>
        <v>1.4993426464164912E-4</v>
      </c>
      <c r="U96" s="9">
        <f t="shared" si="41"/>
        <v>1.4993426474865475E-4</v>
      </c>
      <c r="V96" s="100">
        <f t="shared" si="46"/>
        <v>0.99999999928631644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299</v>
      </c>
      <c r="C97" s="46" t="s">
        <v>212</v>
      </c>
      <c r="D97" s="47" t="s">
        <v>300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1.4999999999999999E-4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301</v>
      </c>
      <c r="C98" s="46" t="s">
        <v>213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1.2628922084387679</v>
      </c>
      <c r="J98" s="54">
        <f t="shared" si="34"/>
        <v>3.3042078949722935</v>
      </c>
      <c r="K98" s="55">
        <f t="shared" si="35"/>
        <v>5.1897458913438971E-2</v>
      </c>
      <c r="L98" s="55">
        <f t="shared" si="36"/>
        <v>4.8818653030782068E-2</v>
      </c>
      <c r="M98" s="55">
        <f t="shared" si="42"/>
        <v>0.95118134696921797</v>
      </c>
      <c r="N98" s="55">
        <f t="shared" si="37"/>
        <v>2.5854083548628851E-3</v>
      </c>
      <c r="O98" s="56">
        <f t="shared" si="43"/>
        <v>5.1948587095714142E-8</v>
      </c>
      <c r="P98" s="56">
        <f t="shared" si="38"/>
        <v>1.0466021800470664E-4</v>
      </c>
      <c r="Q98" s="56">
        <f t="shared" si="39"/>
        <v>9.237910281292217E-4</v>
      </c>
      <c r="R98" s="9">
        <f t="shared" si="44"/>
        <v>1.4999999999999999E-4</v>
      </c>
      <c r="S98" s="9">
        <f t="shared" si="45"/>
        <v>7.3227979546173096E-6</v>
      </c>
      <c r="T98" s="9">
        <f t="shared" si="40"/>
        <v>7.784618837015845E-6</v>
      </c>
      <c r="U98" s="9">
        <f t="shared" si="41"/>
        <v>1.4267720204538269E-4</v>
      </c>
      <c r="V98" s="100">
        <f t="shared" si="46"/>
        <v>5.4561056184292973E-2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302</v>
      </c>
      <c r="C99" s="46" t="s">
        <v>214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0.12448503768629132</v>
      </c>
      <c r="J99" s="54">
        <f t="shared" si="34"/>
        <v>1.5952441843310234</v>
      </c>
      <c r="K99" s="55">
        <f t="shared" si="35"/>
        <v>0.74018314730681933</v>
      </c>
      <c r="L99" s="55">
        <f t="shared" si="36"/>
        <v>1.3608654268614986E-2</v>
      </c>
      <c r="M99" s="55">
        <f t="shared" si="42"/>
        <v>0.98639134573138498</v>
      </c>
      <c r="N99" s="55">
        <f t="shared" si="37"/>
        <v>4.3323371508603541E-4</v>
      </c>
      <c r="O99" s="56">
        <f t="shared" si="43"/>
        <v>7.4091235871070798E-7</v>
      </c>
      <c r="P99" s="56">
        <f t="shared" si="38"/>
        <v>2.9175010658443584E-5</v>
      </c>
      <c r="Q99" s="56">
        <f t="shared" si="39"/>
        <v>1.5479853243562219E-4</v>
      </c>
      <c r="R99" s="9">
        <f t="shared" si="44"/>
        <v>1.4999999999999999E-4</v>
      </c>
      <c r="S99" s="9">
        <f t="shared" si="45"/>
        <v>2.0412981402922478E-6</v>
      </c>
      <c r="T99" s="9">
        <f t="shared" si="40"/>
        <v>1.1102747209602288E-4</v>
      </c>
      <c r="U99" s="9">
        <f t="shared" si="41"/>
        <v>1.4795870185970773E-4</v>
      </c>
      <c r="V99" s="100">
        <f t="shared" si="46"/>
        <v>0.75039501361195715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303</v>
      </c>
      <c r="C100" s="46" t="s">
        <v>215</v>
      </c>
      <c r="D100" s="47" t="s">
        <v>300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1.4999999999999999E-4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304</v>
      </c>
      <c r="C101" s="46" t="s">
        <v>216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0.94115347171694241</v>
      </c>
      <c r="J101" s="54">
        <f t="shared" si="34"/>
        <v>2.9506073114960705</v>
      </c>
      <c r="K101" s="55">
        <f t="shared" si="35"/>
        <v>0.10924138333409314</v>
      </c>
      <c r="L101" s="55">
        <f t="shared" si="36"/>
        <v>4.5522521143701249E-2</v>
      </c>
      <c r="M101" s="55">
        <f t="shared" si="42"/>
        <v>0.95447747885629874</v>
      </c>
      <c r="N101" s="55">
        <f t="shared" si="37"/>
        <v>1.0133751380418873E-3</v>
      </c>
      <c r="O101" s="56">
        <f t="shared" si="43"/>
        <v>1.0934900543112904E-7</v>
      </c>
      <c r="P101" s="56">
        <f t="shared" si="38"/>
        <v>9.7593782114789192E-5</v>
      </c>
      <c r="Q101" s="56">
        <f t="shared" si="39"/>
        <v>3.6208858801415711E-4</v>
      </c>
      <c r="R101" s="9">
        <f t="shared" si="44"/>
        <v>1.4999999999999999E-4</v>
      </c>
      <c r="S101" s="9">
        <f t="shared" si="45"/>
        <v>6.8283781715551863E-6</v>
      </c>
      <c r="T101" s="9">
        <f t="shared" si="40"/>
        <v>1.638620750011397E-5</v>
      </c>
      <c r="U101" s="9">
        <f t="shared" si="41"/>
        <v>1.4317162182844479E-4</v>
      </c>
      <c r="V101" s="100">
        <f t="shared" si="46"/>
        <v>0.11445150436130926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305</v>
      </c>
      <c r="C102" s="46" t="s">
        <v>217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0.36577089944725916</v>
      </c>
      <c r="J102" s="54">
        <f t="shared" si="34"/>
        <v>2.1830464750687919</v>
      </c>
      <c r="K102" s="55">
        <f t="shared" si="35"/>
        <v>0.41773154700305709</v>
      </c>
      <c r="L102" s="55">
        <f t="shared" si="36"/>
        <v>2.9728674997058214E-2</v>
      </c>
      <c r="M102" s="55">
        <f t="shared" si="42"/>
        <v>0.97027132500294178</v>
      </c>
      <c r="N102" s="55">
        <f t="shared" si="37"/>
        <v>1.3427027854587488E-9</v>
      </c>
      <c r="O102" s="56">
        <f t="shared" si="43"/>
        <v>4.181430865104709E-7</v>
      </c>
      <c r="P102" s="56">
        <f t="shared" si="38"/>
        <v>6.373403224012181E-5</v>
      </c>
      <c r="Q102" s="56">
        <f t="shared" si="39"/>
        <v>4.7976049288998668E-10</v>
      </c>
      <c r="R102" s="9">
        <f t="shared" si="44"/>
        <v>1.4999999999999999E-4</v>
      </c>
      <c r="S102" s="9">
        <f t="shared" si="45"/>
        <v>4.4593012495587313E-6</v>
      </c>
      <c r="T102" s="9">
        <f t="shared" si="40"/>
        <v>6.2659732050458552E-5</v>
      </c>
      <c r="U102" s="9">
        <f t="shared" si="41"/>
        <v>1.4554069875044126E-4</v>
      </c>
      <c r="V102" s="100">
        <f t="shared" si="46"/>
        <v>0.43053065285814829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306</v>
      </c>
      <c r="C103" s="46" t="s">
        <v>218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1.199560490818528</v>
      </c>
      <c r="J103" s="54">
        <f t="shared" si="34"/>
        <v>3.2306025840295187</v>
      </c>
      <c r="K103" s="55">
        <f t="shared" si="35"/>
        <v>6.0113740429017216E-2</v>
      </c>
      <c r="L103" s="55">
        <f t="shared" si="36"/>
        <v>4.7731835972284899E-2</v>
      </c>
      <c r="M103" s="55">
        <f t="shared" si="42"/>
        <v>0.95226816402771508</v>
      </c>
      <c r="N103" s="55">
        <f t="shared" si="37"/>
        <v>3.2222287423128662E-9</v>
      </c>
      <c r="O103" s="56">
        <f t="shared" si="43"/>
        <v>6.0172963102771318E-8</v>
      </c>
      <c r="P103" s="56">
        <f t="shared" si="38"/>
        <v>1.0233023749086846E-4</v>
      </c>
      <c r="Q103" s="56">
        <f t="shared" si="39"/>
        <v>1.1513330175211707E-9</v>
      </c>
      <c r="R103" s="9">
        <f t="shared" si="44"/>
        <v>1.4999999999999999E-4</v>
      </c>
      <c r="S103" s="9">
        <f t="shared" si="45"/>
        <v>7.1597753958427345E-6</v>
      </c>
      <c r="T103" s="9">
        <f t="shared" si="40"/>
        <v>9.0170610643525815E-6</v>
      </c>
      <c r="U103" s="9">
        <f t="shared" si="41"/>
        <v>1.4284022460415725E-4</v>
      </c>
      <c r="V103" s="100">
        <f t="shared" si="46"/>
        <v>6.3126903428924935E-2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307</v>
      </c>
      <c r="C104" s="46" t="s">
        <v>219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1.8651886014657959</v>
      </c>
      <c r="J104" s="54">
        <f t="shared" si="34"/>
        <v>3.921378315913127</v>
      </c>
      <c r="K104" s="55">
        <f t="shared" si="35"/>
        <v>1.2945285130239506E-2</v>
      </c>
      <c r="L104" s="55">
        <f t="shared" si="36"/>
        <v>5.0433805618957259E-2</v>
      </c>
      <c r="M104" s="55">
        <f t="shared" si="42"/>
        <v>0.94956619438104273</v>
      </c>
      <c r="N104" s="55">
        <f t="shared" si="37"/>
        <v>1.2574614354189347E-3</v>
      </c>
      <c r="O104" s="56">
        <f t="shared" si="43"/>
        <v>1.2958038527257403E-8</v>
      </c>
      <c r="P104" s="56">
        <f t="shared" si="38"/>
        <v>1.0812287441767021E-4</v>
      </c>
      <c r="Q104" s="56">
        <f t="shared" si="39"/>
        <v>4.4930294669837974E-4</v>
      </c>
      <c r="R104" s="9">
        <f t="shared" si="44"/>
        <v>1.4999999999999999E-4</v>
      </c>
      <c r="S104" s="9">
        <f t="shared" si="45"/>
        <v>7.5650708428435877E-6</v>
      </c>
      <c r="T104" s="9">
        <f t="shared" si="40"/>
        <v>1.9417927695359255E-6</v>
      </c>
      <c r="U104" s="9">
        <f t="shared" si="41"/>
        <v>1.4243492915715639E-4</v>
      </c>
      <c r="V104" s="100">
        <f t="shared" si="46"/>
        <v>1.3632841193001455E-2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308</v>
      </c>
      <c r="C105" s="46" t="s">
        <v>220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1.4992792320699506</v>
      </c>
      <c r="J105" s="54">
        <f t="shared" si="34"/>
        <v>3.5600988356095855</v>
      </c>
      <c r="K105" s="55">
        <f t="shared" si="35"/>
        <v>3.0045974986965953E-2</v>
      </c>
      <c r="L105" s="55">
        <f t="shared" si="36"/>
        <v>5.0946803503350437E-2</v>
      </c>
      <c r="M105" s="55">
        <f t="shared" si="42"/>
        <v>0.94905319649664954</v>
      </c>
      <c r="N105" s="55">
        <f t="shared" si="37"/>
        <v>6.5338529418042836E-3</v>
      </c>
      <c r="O105" s="56">
        <f t="shared" si="43"/>
        <v>3.007557559011555E-8</v>
      </c>
      <c r="P105" s="56">
        <f t="shared" si="38"/>
        <v>1.0922266859639715E-4</v>
      </c>
      <c r="Q105" s="56">
        <f t="shared" si="39"/>
        <v>2.3346078832775442E-3</v>
      </c>
      <c r="R105" s="9">
        <f t="shared" si="44"/>
        <v>1.4999999999999999E-4</v>
      </c>
      <c r="S105" s="9">
        <f t="shared" si="45"/>
        <v>7.6420205255025646E-6</v>
      </c>
      <c r="T105" s="9">
        <f t="shared" si="40"/>
        <v>4.5068962480448927E-6</v>
      </c>
      <c r="U105" s="9">
        <f t="shared" si="41"/>
        <v>1.4235797947449743E-4</v>
      </c>
      <c r="V105" s="100">
        <f t="shared" si="46"/>
        <v>3.1658894462268453E-2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309</v>
      </c>
      <c r="C106" s="46" t="s">
        <v>221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0.70891628628139558</v>
      </c>
      <c r="J106" s="54">
        <f t="shared" si="34"/>
        <v>2.6757251090337468</v>
      </c>
      <c r="K106" s="55">
        <f t="shared" si="35"/>
        <v>0.18727394748325171</v>
      </c>
      <c r="L106" s="55">
        <f t="shared" si="36"/>
        <v>4.1441386559612624E-2</v>
      </c>
      <c r="M106" s="55">
        <f t="shared" si="42"/>
        <v>0.9585586134403874</v>
      </c>
      <c r="N106" s="55">
        <f t="shared" si="37"/>
        <v>4.2644243949497835E-4</v>
      </c>
      <c r="O106" s="56">
        <f t="shared" si="43"/>
        <v>1.8745844546682901E-7</v>
      </c>
      <c r="P106" s="56">
        <f t="shared" si="38"/>
        <v>8.8844412585729516E-5</v>
      </c>
      <c r="Q106" s="56">
        <f t="shared" si="39"/>
        <v>1.5237194498812234E-4</v>
      </c>
      <c r="R106" s="9">
        <f t="shared" si="44"/>
        <v>1.4999999999999999E-4</v>
      </c>
      <c r="S106" s="9">
        <f t="shared" si="45"/>
        <v>6.2162079839418927E-6</v>
      </c>
      <c r="T106" s="9">
        <f t="shared" si="40"/>
        <v>2.8091092122487755E-5</v>
      </c>
      <c r="U106" s="9">
        <f t="shared" si="41"/>
        <v>1.437837920160581E-4</v>
      </c>
      <c r="V106" s="100">
        <f t="shared" si="46"/>
        <v>0.19537036635777749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310</v>
      </c>
      <c r="C107" s="46" t="s">
        <v>222</v>
      </c>
      <c r="D107" s="47" t="s">
        <v>300</v>
      </c>
      <c r="E107" s="47" t="s">
        <v>311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1.4999999999999999E-4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312</v>
      </c>
      <c r="C108" s="46" t="s">
        <v>223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1.3235891145541188</v>
      </c>
      <c r="J108" s="54">
        <f t="shared" si="34"/>
        <v>3.3659497950671167</v>
      </c>
      <c r="K108" s="55">
        <f t="shared" si="35"/>
        <v>4.5123015380502993E-2</v>
      </c>
      <c r="L108" s="55">
        <f t="shared" si="36"/>
        <v>4.8930506671040958E-2</v>
      </c>
      <c r="M108" s="55">
        <f t="shared" si="42"/>
        <v>0.95106949332895907</v>
      </c>
      <c r="N108" s="55">
        <f t="shared" si="37"/>
        <v>1.7052229466558734E-3</v>
      </c>
      <c r="O108" s="56">
        <f t="shared" si="43"/>
        <v>4.5167469536900672E-8</v>
      </c>
      <c r="P108" s="56">
        <f t="shared" si="38"/>
        <v>1.0490001623033023E-4</v>
      </c>
      <c r="Q108" s="56">
        <f t="shared" si="39"/>
        <v>6.0929239905868301E-4</v>
      </c>
      <c r="R108" s="9">
        <f t="shared" si="44"/>
        <v>1.4999999999999999E-4</v>
      </c>
      <c r="S108" s="9">
        <f t="shared" si="45"/>
        <v>7.3395760006561432E-6</v>
      </c>
      <c r="T108" s="9">
        <f t="shared" si="40"/>
        <v>6.7684523070754482E-6</v>
      </c>
      <c r="U108" s="9">
        <f t="shared" si="41"/>
        <v>1.4266042399934385E-4</v>
      </c>
      <c r="V108" s="100">
        <f t="shared" si="46"/>
        <v>4.7444498742738768E-2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313</v>
      </c>
      <c r="C109" s="46" t="s">
        <v>224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1.537838229995057</v>
      </c>
      <c r="J109" s="54">
        <f t="shared" si="34"/>
        <v>3.5964270089321375</v>
      </c>
      <c r="K109" s="55">
        <f t="shared" si="35"/>
        <v>2.7500505711402057E-2</v>
      </c>
      <c r="L109" s="55">
        <f t="shared" si="36"/>
        <v>5.0699011633386151E-2</v>
      </c>
      <c r="M109" s="55">
        <f t="shared" si="42"/>
        <v>0.94930098836661381</v>
      </c>
      <c r="N109" s="55">
        <f t="shared" si="37"/>
        <v>5.0900697594526718E-3</v>
      </c>
      <c r="O109" s="56">
        <f t="shared" si="43"/>
        <v>2.7527598576796824E-8</v>
      </c>
      <c r="P109" s="56">
        <f t="shared" si="38"/>
        <v>1.0869143822603231E-4</v>
      </c>
      <c r="Q109" s="56">
        <f t="shared" si="39"/>
        <v>1.8187304019072908E-3</v>
      </c>
      <c r="R109" s="9">
        <f t="shared" si="44"/>
        <v>1.4999999999999999E-4</v>
      </c>
      <c r="S109" s="9">
        <f t="shared" si="45"/>
        <v>7.6048517450079219E-6</v>
      </c>
      <c r="T109" s="9">
        <f t="shared" si="40"/>
        <v>4.1250758567103085E-6</v>
      </c>
      <c r="U109" s="9">
        <f t="shared" si="41"/>
        <v>1.4239514825499207E-4</v>
      </c>
      <c r="V109" s="100">
        <f t="shared" si="46"/>
        <v>2.8969216348041494E-2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203</v>
      </c>
      <c r="C110" s="46" t="s">
        <v>204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0.24151373144665708</v>
      </c>
      <c r="J110" s="54">
        <f t="shared" si="34"/>
        <v>1.9358830914754634</v>
      </c>
      <c r="K110" s="55">
        <f t="shared" si="35"/>
        <v>0.56020693979215941</v>
      </c>
      <c r="L110" s="55">
        <f t="shared" si="36"/>
        <v>2.2566457044763188E-2</v>
      </c>
      <c r="M110" s="55">
        <f t="shared" si="42"/>
        <v>0.97743354295523677</v>
      </c>
      <c r="N110" s="55">
        <f t="shared" si="37"/>
        <v>3.9421354166698377E-5</v>
      </c>
      <c r="O110" s="56">
        <f t="shared" si="43"/>
        <v>5.6075884277795464E-7</v>
      </c>
      <c r="P110" s="56">
        <f t="shared" si="38"/>
        <v>4.8379260124394422E-5</v>
      </c>
      <c r="Q110" s="56">
        <f t="shared" si="39"/>
        <v>1.4085625285229579E-5</v>
      </c>
      <c r="R110" s="9">
        <f t="shared" si="44"/>
        <v>1.4999999999999999E-4</v>
      </c>
      <c r="S110" s="9">
        <f t="shared" si="45"/>
        <v>3.3849685567144779E-6</v>
      </c>
      <c r="T110" s="9">
        <f t="shared" si="40"/>
        <v>8.403104096882391E-5</v>
      </c>
      <c r="U110" s="9">
        <f t="shared" si="41"/>
        <v>1.4661503144328551E-4</v>
      </c>
      <c r="V110" s="100">
        <f t="shared" si="46"/>
        <v>0.57314069465878259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205</v>
      </c>
      <c r="C111" s="46" t="s">
        <v>206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0.16670977104284687</v>
      </c>
      <c r="J111" s="54">
        <f t="shared" si="34"/>
        <v>1.7823942665977037</v>
      </c>
      <c r="K111" s="55">
        <f t="shared" si="35"/>
        <v>0.66800477030047634</v>
      </c>
      <c r="L111" s="55">
        <f t="shared" si="36"/>
        <v>1.8897555705765498E-2</v>
      </c>
      <c r="M111" s="55">
        <f t="shared" si="42"/>
        <v>0.98110244429423454</v>
      </c>
      <c r="N111" s="55">
        <f t="shared" si="37"/>
        <v>6.7904417874738079E-3</v>
      </c>
      <c r="O111" s="56">
        <f t="shared" si="43"/>
        <v>6.686628732282821E-7</v>
      </c>
      <c r="P111" s="56">
        <f t="shared" si="38"/>
        <v>4.0513659782346118E-5</v>
      </c>
      <c r="Q111" s="56">
        <f t="shared" si="39"/>
        <v>2.426289521538557E-3</v>
      </c>
      <c r="R111" s="9">
        <f t="shared" si="44"/>
        <v>1.4999999999999999E-4</v>
      </c>
      <c r="S111" s="9">
        <f t="shared" si="45"/>
        <v>2.8346333558648244E-6</v>
      </c>
      <c r="T111" s="9">
        <f t="shared" si="40"/>
        <v>1.0020071554507145E-4</v>
      </c>
      <c r="U111" s="9">
        <f t="shared" si="41"/>
        <v>1.4716536664413516E-4</v>
      </c>
      <c r="V111" s="100">
        <f t="shared" si="46"/>
        <v>0.68087157889104233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207</v>
      </c>
      <c r="C112" s="46" t="s">
        <v>208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2.5219720041185627</v>
      </c>
      <c r="J112" s="54">
        <f t="shared" si="34"/>
        <v>4.6712433234986683</v>
      </c>
      <c r="K112" s="55">
        <f t="shared" si="35"/>
        <v>2.8191879721135727E-3</v>
      </c>
      <c r="L112" s="55">
        <f t="shared" si="36"/>
        <v>6.1744625541041764E-2</v>
      </c>
      <c r="M112" s="55">
        <f t="shared" si="42"/>
        <v>0.93825537445895824</v>
      </c>
      <c r="N112" s="55">
        <f t="shared" si="37"/>
        <v>4.2738973588571032E-2</v>
      </c>
      <c r="O112" s="56">
        <f t="shared" si="43"/>
        <v>2.8219653712295223E-9</v>
      </c>
      <c r="P112" s="56">
        <f t="shared" si="38"/>
        <v>1.3237165649920184E-4</v>
      </c>
      <c r="Q112" s="56">
        <f t="shared" si="39"/>
        <v>1.5271042301040127E-2</v>
      </c>
      <c r="R112" s="9">
        <f t="shared" si="44"/>
        <v>1.4999999999999999E-4</v>
      </c>
      <c r="S112" s="9">
        <f t="shared" si="45"/>
        <v>9.261693831156264E-6</v>
      </c>
      <c r="T112" s="9">
        <f t="shared" si="40"/>
        <v>4.2287819581703586E-7</v>
      </c>
      <c r="U112" s="9">
        <f t="shared" si="41"/>
        <v>1.4073830616884373E-4</v>
      </c>
      <c r="V112" s="100">
        <f t="shared" si="46"/>
        <v>3.004712841361818E-3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209</v>
      </c>
      <c r="C113" s="46" t="s">
        <v>210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2.8671793282646911</v>
      </c>
      <c r="J113" s="54">
        <f t="shared" si="34"/>
        <v>5.0251542040134112</v>
      </c>
      <c r="K113" s="55">
        <f t="shared" si="35"/>
        <v>1.2716694255052246E-3</v>
      </c>
      <c r="L113" s="55">
        <f t="shared" si="36"/>
        <v>6.2915874513613967E-2</v>
      </c>
      <c r="M113" s="55">
        <f t="shared" si="42"/>
        <v>0.93708412548638598</v>
      </c>
      <c r="N113" s="55">
        <f t="shared" si="37"/>
        <v>4.6937967932808931E-2</v>
      </c>
      <c r="O113" s="56">
        <f t="shared" si="43"/>
        <v>1.2729222449600161E-9</v>
      </c>
      <c r="P113" s="56">
        <f t="shared" si="38"/>
        <v>1.3488264697511507E-4</v>
      </c>
      <c r="Q113" s="56">
        <f t="shared" si="39"/>
        <v>1.6771382970658652E-2</v>
      </c>
      <c r="R113" s="9">
        <f t="shared" si="44"/>
        <v>1.4999999999999999E-4</v>
      </c>
      <c r="S113" s="9">
        <f t="shared" si="45"/>
        <v>9.4373811770420936E-6</v>
      </c>
      <c r="T113" s="9">
        <f t="shared" si="40"/>
        <v>1.9075041382578367E-7</v>
      </c>
      <c r="U113" s="9">
        <f t="shared" si="41"/>
        <v>1.4056261882295788E-4</v>
      </c>
      <c r="V113" s="100">
        <f t="shared" si="46"/>
        <v>1.3570493736036503E-3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106</v>
      </c>
      <c r="C114" s="46" t="s">
        <v>107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3.2678433041260839</v>
      </c>
      <c r="J114" s="54">
        <f t="shared" si="34"/>
        <v>5.4334429478670883</v>
      </c>
      <c r="K114" s="55">
        <f t="shared" si="35"/>
        <v>5.049246446532942E-4</v>
      </c>
      <c r="L114" s="55">
        <f t="shared" si="36"/>
        <v>6.3958949226206693E-2</v>
      </c>
      <c r="M114" s="55">
        <f t="shared" si="42"/>
        <v>0.93604105077379329</v>
      </c>
      <c r="N114" s="55">
        <f t="shared" si="37"/>
        <v>5.0795661765005773E-2</v>
      </c>
      <c r="O114" s="56">
        <f t="shared" si="43"/>
        <v>5.0542208479405558E-10</v>
      </c>
      <c r="P114" s="56">
        <f t="shared" si="38"/>
        <v>1.3711885014824066E-4</v>
      </c>
      <c r="Q114" s="56">
        <f t="shared" si="39"/>
        <v>1.8149773716843842E-2</v>
      </c>
      <c r="R114" s="9">
        <f t="shared" si="44"/>
        <v>1.4999999999999999E-4</v>
      </c>
      <c r="S114" s="9">
        <f t="shared" si="45"/>
        <v>9.5938423839310032E-6</v>
      </c>
      <c r="T114" s="9">
        <f t="shared" si="40"/>
        <v>7.5738696697994122E-8</v>
      </c>
      <c r="U114" s="9">
        <f t="shared" si="41"/>
        <v>1.4040615761606897E-4</v>
      </c>
      <c r="V114" s="100">
        <f t="shared" si="46"/>
        <v>5.3942574872746247E-4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108</v>
      </c>
      <c r="C115" s="46" t="s">
        <v>109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1.873926252180699</v>
      </c>
      <c r="J115" s="54">
        <f t="shared" si="34"/>
        <v>4.0303342335445063</v>
      </c>
      <c r="K115" s="55">
        <f t="shared" si="35"/>
        <v>1.2523500051569967E-2</v>
      </c>
      <c r="L115" s="55">
        <f t="shared" si="36"/>
        <v>6.2703496558069047E-2</v>
      </c>
      <c r="M115" s="55">
        <f t="shared" si="42"/>
        <v>0.93729650344193094</v>
      </c>
      <c r="N115" s="55">
        <f t="shared" si="37"/>
        <v>4.8297739894332316E-2</v>
      </c>
      <c r="O115" s="56">
        <f t="shared" si="43"/>
        <v>1.2535837915634329E-8</v>
      </c>
      <c r="P115" s="56">
        <f t="shared" si="38"/>
        <v>1.3442733897813449E-4</v>
      </c>
      <c r="Q115" s="56">
        <f t="shared" si="39"/>
        <v>1.7257242442720117E-2</v>
      </c>
      <c r="R115" s="9">
        <f t="shared" si="44"/>
        <v>1.4999999999999999E-4</v>
      </c>
      <c r="S115" s="9">
        <f t="shared" si="45"/>
        <v>9.4055244837103557E-6</v>
      </c>
      <c r="T115" s="9">
        <f t="shared" si="40"/>
        <v>1.8785250077354949E-6</v>
      </c>
      <c r="U115" s="9">
        <f t="shared" si="41"/>
        <v>1.4059447551628964E-4</v>
      </c>
      <c r="V115" s="100">
        <f t="shared" si="46"/>
        <v>1.3361300298871589E-2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225</v>
      </c>
      <c r="C116" s="46" t="s">
        <v>226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-6.4011746653915488E-5</v>
      </c>
      <c r="J116" s="54">
        <f t="shared" si="34"/>
        <v>-7.9620001618216484E-3</v>
      </c>
      <c r="K116" s="55">
        <f t="shared" si="35"/>
        <v>0.99917145002253571</v>
      </c>
      <c r="L116" s="55">
        <f t="shared" si="36"/>
        <v>4.580467645224075E-4</v>
      </c>
      <c r="M116" s="55">
        <f t="shared" si="42"/>
        <v>0.99954195323547756</v>
      </c>
      <c r="N116" s="55">
        <f t="shared" si="37"/>
        <v>6.2444201410171844E-7</v>
      </c>
      <c r="O116" s="56">
        <f t="shared" si="43"/>
        <v>1.0001558107425105E-6</v>
      </c>
      <c r="P116" s="56">
        <f t="shared" si="38"/>
        <v>9.819868278839666E-7</v>
      </c>
      <c r="Q116" s="56">
        <f t="shared" si="39"/>
        <v>2.2311907870534489E-7</v>
      </c>
      <c r="R116" s="9">
        <f t="shared" si="44"/>
        <v>1.4999999999999999E-4</v>
      </c>
      <c r="S116" s="9">
        <f t="shared" si="45"/>
        <v>6.8707014678361125E-8</v>
      </c>
      <c r="T116" s="9">
        <f t="shared" si="40"/>
        <v>1.4987571750338036E-4</v>
      </c>
      <c r="U116" s="9">
        <f t="shared" si="41"/>
        <v>1.4993129298532162E-4</v>
      </c>
      <c r="V116" s="100">
        <f t="shared" si="46"/>
        <v>0.99962932700149043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227</v>
      </c>
      <c r="C117" s="46" t="s">
        <v>228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1.5422749478710035E-2</v>
      </c>
      <c r="J117" s="54">
        <f t="shared" si="34"/>
        <v>0.72739079489951752</v>
      </c>
      <c r="K117" s="55">
        <f t="shared" si="35"/>
        <v>0.96229746092987678</v>
      </c>
      <c r="L117" s="55">
        <f t="shared" si="36"/>
        <v>2.398457010035185E-3</v>
      </c>
      <c r="M117" s="55">
        <f t="shared" si="42"/>
        <v>0.99760154298996484</v>
      </c>
      <c r="N117" s="55">
        <f t="shared" si="37"/>
        <v>3.2362450119180497E-4</v>
      </c>
      <c r="O117" s="56">
        <f t="shared" si="43"/>
        <v>9.6324549424432921E-7</v>
      </c>
      <c r="P117" s="56">
        <f t="shared" si="38"/>
        <v>5.1419491927997156E-6</v>
      </c>
      <c r="Q117" s="56">
        <f t="shared" si="39"/>
        <v>1.1563411641393846E-4</v>
      </c>
      <c r="R117" s="9">
        <f t="shared" si="44"/>
        <v>1.4999999999999999E-4</v>
      </c>
      <c r="S117" s="9">
        <f t="shared" si="45"/>
        <v>3.5976855150527774E-7</v>
      </c>
      <c r="T117" s="9">
        <f t="shared" si="40"/>
        <v>1.4434461913948152E-4</v>
      </c>
      <c r="U117" s="9">
        <f t="shared" si="41"/>
        <v>1.4964023144849471E-4</v>
      </c>
      <c r="V117" s="100">
        <f t="shared" si="46"/>
        <v>0.96461103903841572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229</v>
      </c>
      <c r="C118" s="46" t="s">
        <v>230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0.17039252388598855</v>
      </c>
      <c r="J118" s="54">
        <f t="shared" si="34"/>
        <v>1.7939559232562834</v>
      </c>
      <c r="K118" s="55">
        <f t="shared" si="35"/>
        <v>0.66213506276027789</v>
      </c>
      <c r="L118" s="55">
        <f t="shared" si="36"/>
        <v>1.923686570807482E-2</v>
      </c>
      <c r="M118" s="55">
        <f t="shared" si="42"/>
        <v>0.98076313429192519</v>
      </c>
      <c r="N118" s="55">
        <f t="shared" si="37"/>
        <v>6.9587241796333788E-3</v>
      </c>
      <c r="O118" s="56">
        <f t="shared" si="43"/>
        <v>6.6278738298728667E-7</v>
      </c>
      <c r="P118" s="56">
        <f t="shared" si="38"/>
        <v>4.1241091954439818E-5</v>
      </c>
      <c r="Q118" s="56">
        <f t="shared" si="39"/>
        <v>2.4864184229466211E-3</v>
      </c>
      <c r="R118" s="9">
        <f t="shared" si="44"/>
        <v>1.4999999999999999E-4</v>
      </c>
      <c r="S118" s="9">
        <f t="shared" si="45"/>
        <v>2.8855298562112225E-6</v>
      </c>
      <c r="T118" s="9">
        <f t="shared" si="40"/>
        <v>9.9320259414041671E-5</v>
      </c>
      <c r="U118" s="9">
        <f t="shared" si="41"/>
        <v>1.4711447014378876E-4</v>
      </c>
      <c r="V118" s="100">
        <f t="shared" si="46"/>
        <v>0.67512229977762672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231</v>
      </c>
      <c r="C119" s="46" t="s">
        <v>232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-2.0346404759841822E-4</v>
      </c>
      <c r="J119" s="54">
        <f t="shared" si="34"/>
        <v>-2.4703036904228939E-2</v>
      </c>
      <c r="K119" s="55">
        <f t="shared" si="35"/>
        <v>0.99950950696469754</v>
      </c>
      <c r="L119" s="55">
        <f t="shared" si="36"/>
        <v>4.4087522691562271E-4</v>
      </c>
      <c r="M119" s="55">
        <f t="shared" si="42"/>
        <v>0.9995591247730844</v>
      </c>
      <c r="N119" s="55">
        <f t="shared" si="37"/>
        <v>3.6428866545098807E-8</v>
      </c>
      <c r="O119" s="56">
        <f t="shared" si="43"/>
        <v>1.0004942007305927E-6</v>
      </c>
      <c r="P119" s="56">
        <f t="shared" si="38"/>
        <v>9.4517350433182112E-7</v>
      </c>
      <c r="Q119" s="56">
        <f t="shared" si="39"/>
        <v>1.3016380958149945E-8</v>
      </c>
      <c r="R119" s="9">
        <f t="shared" si="44"/>
        <v>1.4999999999999999E-4</v>
      </c>
      <c r="S119" s="9">
        <f t="shared" si="45"/>
        <v>6.6131284037343403E-8</v>
      </c>
      <c r="T119" s="9">
        <f t="shared" si="40"/>
        <v>1.4992642604470463E-4</v>
      </c>
      <c r="U119" s="9">
        <f t="shared" si="41"/>
        <v>1.4993386871596265E-4</v>
      </c>
      <c r="V119" s="100">
        <f t="shared" si="46"/>
        <v>0.99995036030670215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233</v>
      </c>
      <c r="C120" s="46" t="s">
        <v>234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-2.2502281549544107E-4</v>
      </c>
      <c r="J120" s="54">
        <f t="shared" si="34"/>
        <v>-2.7334406261084295E-2</v>
      </c>
      <c r="K120" s="55">
        <f t="shared" si="35"/>
        <v>0.99956176499958294</v>
      </c>
      <c r="L120" s="55">
        <f t="shared" si="36"/>
        <v>4.3823497262403483E-4</v>
      </c>
      <c r="M120" s="55">
        <f t="shared" si="42"/>
        <v>0.99956176502737593</v>
      </c>
      <c r="N120" s="55">
        <f t="shared" si="37"/>
        <v>4.7243567974038027E-17</v>
      </c>
      <c r="O120" s="56">
        <f t="shared" si="43"/>
        <v>1.0005465102488915E-6</v>
      </c>
      <c r="P120" s="56">
        <f t="shared" si="38"/>
        <v>9.3951317630984095E-7</v>
      </c>
      <c r="Q120" s="56">
        <f t="shared" si="39"/>
        <v>1.6880576775866393E-17</v>
      </c>
      <c r="R120" s="9">
        <f t="shared" si="44"/>
        <v>1.4999999999999999E-4</v>
      </c>
      <c r="S120" s="9">
        <f t="shared" si="45"/>
        <v>6.5735245893605216E-8</v>
      </c>
      <c r="T120" s="9">
        <f t="shared" si="40"/>
        <v>1.4993426474993742E-4</v>
      </c>
      <c r="U120" s="9">
        <f t="shared" si="41"/>
        <v>1.4993426475410637E-4</v>
      </c>
      <c r="V120" s="100">
        <f t="shared" si="46"/>
        <v>0.9999999999721948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235</v>
      </c>
      <c r="C121" s="46" t="s">
        <v>236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1.5262652347248487E-3</v>
      </c>
      <c r="J121" s="54">
        <f t="shared" si="34"/>
        <v>0.14987948172139828</v>
      </c>
      <c r="K121" s="55">
        <f t="shared" si="35"/>
        <v>0.99532201238144213</v>
      </c>
      <c r="L121" s="55">
        <f t="shared" si="36"/>
        <v>6.5625842889541447E-4</v>
      </c>
      <c r="M121" s="55">
        <f t="shared" si="42"/>
        <v>0.99934374157110462</v>
      </c>
      <c r="N121" s="55">
        <f t="shared" si="37"/>
        <v>1.7613508657681766E-5</v>
      </c>
      <c r="O121" s="56">
        <f t="shared" si="43"/>
        <v>9.9630258072403501E-7</v>
      </c>
      <c r="P121" s="56">
        <f t="shared" si="38"/>
        <v>1.4069243203476401E-6</v>
      </c>
      <c r="Q121" s="56">
        <f t="shared" si="39"/>
        <v>6.2934743910911957E-6</v>
      </c>
      <c r="R121" s="9">
        <f t="shared" si="44"/>
        <v>1.4999999999999999E-4</v>
      </c>
      <c r="S121" s="9">
        <f t="shared" si="45"/>
        <v>9.8438764334312168E-8</v>
      </c>
      <c r="T121" s="9">
        <f t="shared" si="40"/>
        <v>1.492983018572163E-4</v>
      </c>
      <c r="U121" s="9">
        <f t="shared" si="41"/>
        <v>1.4990156123566569E-4</v>
      </c>
      <c r="V121" s="100">
        <f t="shared" si="46"/>
        <v>0.99597562978346188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237</v>
      </c>
      <c r="C122" s="46" t="s">
        <v>238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2.4878679358864142</v>
      </c>
      <c r="J122" s="54">
        <f t="shared" si="34"/>
        <v>4.6595022327749405</v>
      </c>
      <c r="K122" s="55">
        <f t="shared" si="35"/>
        <v>3.0395790774250917E-3</v>
      </c>
      <c r="L122" s="55">
        <f t="shared" si="36"/>
        <v>6.4795893510428609E-2</v>
      </c>
      <c r="M122" s="55">
        <f t="shared" si="42"/>
        <v>0.93520410648957142</v>
      </c>
      <c r="N122" s="55">
        <f t="shared" si="37"/>
        <v>5.4499997598808032E-2</v>
      </c>
      <c r="O122" s="56">
        <f t="shared" si="43"/>
        <v>3.0425736007864301E-9</v>
      </c>
      <c r="P122" s="56">
        <f t="shared" si="38"/>
        <v>1.3891313913014315E-4</v>
      </c>
      <c r="Q122" s="56">
        <f t="shared" si="39"/>
        <v>1.9473368189650283E-2</v>
      </c>
      <c r="R122" s="9">
        <f t="shared" si="44"/>
        <v>1.4999999999999999E-4</v>
      </c>
      <c r="S122" s="9">
        <f t="shared" si="45"/>
        <v>9.7193840265642899E-6</v>
      </c>
      <c r="T122" s="9">
        <f t="shared" si="40"/>
        <v>4.5593686161376371E-7</v>
      </c>
      <c r="U122" s="9">
        <f t="shared" si="41"/>
        <v>1.402806159734357E-4</v>
      </c>
      <c r="V122" s="100">
        <f t="shared" si="46"/>
        <v>3.2501772140785465E-3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239</v>
      </c>
      <c r="C123" s="46" t="s">
        <v>240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1.0353959656071578E-2</v>
      </c>
      <c r="J123" s="54">
        <f t="shared" ref="J123:J127" si="48">IF(D123=0,"",LOG($K$21*10^D123+$K$22*10^E123+$K$20))</f>
        <v>0.59290013383231577</v>
      </c>
      <c r="K123" s="55">
        <f t="shared" ref="K123:K127" si="49">IF(D123=0,"",1/(1+10^D123*$J$15/$J$14+10^E123*$J$16/$J$14+10^J123*$J$19/$J$14))</f>
        <v>0.9741966792058131</v>
      </c>
      <c r="L123" s="55">
        <f t="shared" ref="L123:L127" si="50">IF(D123=0,"",1/(1+10^I123/10^J123*$J$13/$J$19))</f>
        <v>1.7814702840065471E-3</v>
      </c>
      <c r="M123" s="55">
        <f t="shared" si="42"/>
        <v>0.99821852971599345</v>
      </c>
      <c r="N123" s="55">
        <f t="shared" ref="N123:N127" si="51">IF(D123=0,"",1/(1/10^E123*$J$20/$J$22+10^D123/10^E123*$J$21/$J$22+10^I123/10^E123*$J$13/$J$22+1))</f>
        <v>2.5465880629568809E-4</v>
      </c>
      <c r="O123" s="56">
        <f t="shared" si="43"/>
        <v>9.7515643535629026E-7</v>
      </c>
      <c r="P123" s="56">
        <f t="shared" ref="P123:P127" si="52">IF(D123=0,"",O123*10^J123)</f>
        <v>3.8192177931551776E-6</v>
      </c>
      <c r="Q123" s="56">
        <f t="shared" ref="Q123:Q127" si="53">IF(D123=0,"",F123*N123*$J$7/$J$22)</f>
        <v>9.0992016811414063E-5</v>
      </c>
      <c r="R123" s="9">
        <f t="shared" si="44"/>
        <v>1.4999999999999999E-4</v>
      </c>
      <c r="S123" s="9">
        <f t="shared" si="45"/>
        <v>2.6722054260098204E-7</v>
      </c>
      <c r="T123" s="9">
        <f t="shared" si="40"/>
        <v>1.4612950188087195E-4</v>
      </c>
      <c r="U123" s="9">
        <f t="shared" si="41"/>
        <v>1.4973277945739901E-4</v>
      </c>
      <c r="V123" s="100">
        <f t="shared" si="46"/>
        <v>0.97593527890429477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241</v>
      </c>
      <c r="C124" s="46" t="s">
        <v>242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2.0480395290290027E-2</v>
      </c>
      <c r="J124" s="54">
        <f t="shared" si="48"/>
        <v>0.82079702681253663</v>
      </c>
      <c r="K124" s="55">
        <f t="shared" si="49"/>
        <v>0.95064149016998489</v>
      </c>
      <c r="L124" s="55">
        <f t="shared" si="50"/>
        <v>2.9379580846301211E-3</v>
      </c>
      <c r="M124" s="55">
        <f t="shared" si="42"/>
        <v>0.99706204191536985</v>
      </c>
      <c r="N124" s="55">
        <f t="shared" si="51"/>
        <v>1.4203514503039892E-4</v>
      </c>
      <c r="O124" s="56">
        <f t="shared" si="43"/>
        <v>9.5157804029026791E-7</v>
      </c>
      <c r="P124" s="56">
        <f t="shared" si="52"/>
        <v>6.298562425149174E-6</v>
      </c>
      <c r="Q124" s="56">
        <f t="shared" si="53"/>
        <v>5.0750510035028474E-5</v>
      </c>
      <c r="R124" s="9">
        <f t="shared" si="44"/>
        <v>1.4999999999999999E-4</v>
      </c>
      <c r="S124" s="9">
        <f t="shared" si="45"/>
        <v>4.4069371269451813E-7</v>
      </c>
      <c r="T124" s="9">
        <f t="shared" si="40"/>
        <v>1.4259622352549771E-4</v>
      </c>
      <c r="U124" s="9">
        <f t="shared" si="41"/>
        <v>1.4955930628730545E-4</v>
      </c>
      <c r="V124" s="100">
        <f t="shared" si="46"/>
        <v>0.95344266475513351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243</v>
      </c>
      <c r="C125" s="46" t="s">
        <v>244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5.8413729360461944E-4</v>
      </c>
      <c r="J125" s="54">
        <f t="shared" si="48"/>
        <v>6.2515818411451873E-2</v>
      </c>
      <c r="K125" s="55">
        <f t="shared" si="49"/>
        <v>0.9976016718199382</v>
      </c>
      <c r="L125" s="55">
        <f t="shared" si="50"/>
        <v>5.37904020623435E-4</v>
      </c>
      <c r="M125" s="55">
        <f t="shared" si="42"/>
        <v>0.99946209597937652</v>
      </c>
      <c r="N125" s="55">
        <f t="shared" si="51"/>
        <v>3.8183454983921991E-6</v>
      </c>
      <c r="O125" s="56">
        <f t="shared" si="43"/>
        <v>9.9858448603055111E-7</v>
      </c>
      <c r="P125" s="56">
        <f t="shared" si="52"/>
        <v>1.1531893767851265E-6</v>
      </c>
      <c r="Q125" s="56">
        <f t="shared" si="53"/>
        <v>1.3643312117707551E-6</v>
      </c>
      <c r="R125" s="9">
        <f t="shared" si="44"/>
        <v>1.4999999999999999E-4</v>
      </c>
      <c r="S125" s="9">
        <f t="shared" si="45"/>
        <v>8.0685603093515244E-8</v>
      </c>
      <c r="T125" s="9">
        <f t="shared" si="40"/>
        <v>1.4964025077299071E-4</v>
      </c>
      <c r="U125" s="9">
        <f t="shared" si="41"/>
        <v>1.4991931439690647E-4</v>
      </c>
      <c r="V125" s="100">
        <f t="shared" si="46"/>
        <v>0.99813857457234001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245</v>
      </c>
      <c r="C126" s="46" t="s">
        <v>246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1.4729644553070216</v>
      </c>
      <c r="J126" s="54">
        <f t="shared" si="48"/>
        <v>3.6115343476543504</v>
      </c>
      <c r="K126" s="55">
        <f t="shared" si="49"/>
        <v>3.1607107594367571E-2</v>
      </c>
      <c r="L126" s="55">
        <f t="shared" si="50"/>
        <v>6.033244230708916E-2</v>
      </c>
      <c r="M126" s="55">
        <f t="shared" si="42"/>
        <v>0.93966755769291088</v>
      </c>
      <c r="N126" s="55">
        <f t="shared" si="51"/>
        <v>4.2881285038861391E-2</v>
      </c>
      <c r="O126" s="56">
        <f t="shared" si="43"/>
        <v>3.1638246189437735E-8</v>
      </c>
      <c r="P126" s="56">
        <f t="shared" si="52"/>
        <v>1.2934413738606955E-4</v>
      </c>
      <c r="Q126" s="56">
        <f t="shared" si="53"/>
        <v>1.5321891537576017E-2</v>
      </c>
      <c r="R126" s="9">
        <f t="shared" si="44"/>
        <v>1.4999999999999999E-4</v>
      </c>
      <c r="S126" s="9">
        <f t="shared" si="45"/>
        <v>9.0498663460633725E-6</v>
      </c>
      <c r="T126" s="9">
        <f t="shared" si="40"/>
        <v>4.7410661391551353E-6</v>
      </c>
      <c r="U126" s="9">
        <f t="shared" si="41"/>
        <v>1.4095013365393662E-4</v>
      </c>
      <c r="V126" s="100">
        <f t="shared" si="46"/>
        <v>3.3636478492425473E-2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247</v>
      </c>
      <c r="C127" s="46" t="s">
        <v>248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0.12683662687631939</v>
      </c>
      <c r="J127" s="54">
        <f t="shared" si="48"/>
        <v>1.6417808834980263</v>
      </c>
      <c r="K127" s="55">
        <f t="shared" si="49"/>
        <v>0.73511470793645983</v>
      </c>
      <c r="L127" s="55">
        <f t="shared" si="50"/>
        <v>1.5044155001115935E-2</v>
      </c>
      <c r="M127" s="55">
        <f t="shared" si="42"/>
        <v>0.98495584499888411</v>
      </c>
      <c r="N127" s="55">
        <f t="shared" si="51"/>
        <v>4.9663594442405611E-3</v>
      </c>
      <c r="O127" s="56">
        <f t="shared" si="43"/>
        <v>7.3583892603051391E-7</v>
      </c>
      <c r="P127" s="56">
        <f t="shared" si="52"/>
        <v>3.2252519157392398E-5</v>
      </c>
      <c r="Q127" s="56">
        <f t="shared" si="53"/>
        <v>1.7745275280885255E-3</v>
      </c>
      <c r="R127" s="9">
        <f t="shared" si="44"/>
        <v>1.4999999999999999E-4</v>
      </c>
      <c r="S127" s="9">
        <f t="shared" si="45"/>
        <v>2.2566232501673902E-6</v>
      </c>
      <c r="T127" s="9">
        <f t="shared" si="40"/>
        <v>1.1026720619046896E-4</v>
      </c>
      <c r="U127" s="9">
        <f t="shared" si="41"/>
        <v>1.477433767498326E-4</v>
      </c>
      <c r="V127" s="100">
        <f t="shared" si="46"/>
        <v>0.74634280477546955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249</v>
      </c>
      <c r="C128" s="46" t="s">
        <v>250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0.56658503951123784</v>
      </c>
      <c r="J128" s="54">
        <f t="shared" ref="J128:J134" si="55">IF(D128=0,"",LOG($K$21*10^D128+$K$22*10^E128+$K$20))</f>
        <v>2.5348483209025892</v>
      </c>
      <c r="K128" s="55">
        <f t="shared" ref="K128:K134" si="56">IF(D128=0,"",1/(1+10^D128*$J$15/$J$14+10^E128*$J$16/$J$14+10^J128*$J$19/$J$14))</f>
        <v>0.25986526909493435</v>
      </c>
      <c r="L128" s="55">
        <f t="shared" ref="L128:L134" si="57">IF(D128=0,"",1/(1+10^I128/10^J128*$J$13/$J$19))</f>
        <v>4.1574627312086498E-2</v>
      </c>
      <c r="M128" s="55">
        <f t="shared" ref="M128:M134" si="58">IF(D128=0,"",1-L128)</f>
        <v>0.9584253726879135</v>
      </c>
      <c r="N128" s="55">
        <f t="shared" ref="N128:N134" si="59">IF(D128=0,"",1/(1/10^E128*$J$20/$J$22+10^D128/10^E128*$J$21/$J$22+10^I128/10^E128*$J$13/$J$22+1))</f>
        <v>1.4972843809830941E-2</v>
      </c>
      <c r="O128" s="56">
        <f t="shared" ref="O128:O134" si="60">IF(D128=0,"",F128*K128*$J$7/$J$14)</f>
        <v>2.6012128237811717E-7</v>
      </c>
      <c r="P128" s="56">
        <f t="shared" ref="P128:P134" si="61">IF(D128=0,"",O128*10^J128)</f>
        <v>8.913006172464026E-5</v>
      </c>
      <c r="Q128" s="56">
        <f t="shared" ref="Q128:Q134" si="62">IF(D128=0,"",F128*N128*$J$7/$J$22)</f>
        <v>5.3499396917650686E-3</v>
      </c>
      <c r="R128" s="9">
        <f t="shared" si="44"/>
        <v>1.4999999999999999E-4</v>
      </c>
      <c r="S128" s="9">
        <f t="shared" si="45"/>
        <v>6.236194096812974E-6</v>
      </c>
      <c r="T128" s="9">
        <f t="shared" si="40"/>
        <v>3.8979790364240147E-5</v>
      </c>
      <c r="U128" s="9">
        <f t="shared" si="41"/>
        <v>1.4376380590318702E-4</v>
      </c>
      <c r="V128" s="100">
        <f t="shared" si="46"/>
        <v>0.27113771870014208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251</v>
      </c>
      <c r="C129" s="46" t="s">
        <v>252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-2.135446795447277E-4</v>
      </c>
      <c r="J129" s="54">
        <f t="shared" si="55"/>
        <v>-2.5932682474871644E-2</v>
      </c>
      <c r="K129" s="55">
        <f t="shared" si="56"/>
        <v>0.99953394309351529</v>
      </c>
      <c r="L129" s="55">
        <f t="shared" si="57"/>
        <v>4.3963946245695931E-4</v>
      </c>
      <c r="M129" s="55">
        <f t="shared" si="58"/>
        <v>0.99956036053754305</v>
      </c>
      <c r="N129" s="55">
        <f t="shared" si="59"/>
        <v>1.4909502045414587E-8</v>
      </c>
      <c r="O129" s="56">
        <f t="shared" si="60"/>
        <v>1.0005186609333222E-6</v>
      </c>
      <c r="P129" s="56">
        <f t="shared" si="61"/>
        <v>9.4252420187022661E-7</v>
      </c>
      <c r="Q129" s="56">
        <f t="shared" si="62"/>
        <v>5.3273070760842065E-9</v>
      </c>
      <c r="R129" s="9">
        <f t="shared" si="44"/>
        <v>1.4999999999999999E-4</v>
      </c>
      <c r="S129" s="9">
        <f t="shared" si="45"/>
        <v>6.5945919368543887E-8</v>
      </c>
      <c r="T129" s="9">
        <f t="shared" si="40"/>
        <v>1.4993009146402729E-4</v>
      </c>
      <c r="U129" s="9">
        <f t="shared" si="41"/>
        <v>1.4993405408063144E-4</v>
      </c>
      <c r="V129" s="100">
        <f t="shared" si="46"/>
        <v>0.99997357093671302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253</v>
      </c>
      <c r="C130" s="46" t="s">
        <v>254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3.4815258927436928E-2</v>
      </c>
      <c r="J130" s="54">
        <f t="shared" si="55"/>
        <v>1.0494715475607348</v>
      </c>
      <c r="K130" s="55">
        <f t="shared" si="56"/>
        <v>0.9180545564680882</v>
      </c>
      <c r="L130" s="55">
        <f t="shared" si="57"/>
        <v>4.8036553659789741E-3</v>
      </c>
      <c r="M130" s="55">
        <f t="shared" si="58"/>
        <v>0.99519634463402107</v>
      </c>
      <c r="N130" s="55">
        <f t="shared" si="59"/>
        <v>1.0069519895287307E-3</v>
      </c>
      <c r="O130" s="56">
        <f t="shared" si="60"/>
        <v>9.1895900269116718E-7</v>
      </c>
      <c r="P130" s="56">
        <f t="shared" si="61"/>
        <v>1.0298350868178062E-5</v>
      </c>
      <c r="Q130" s="56">
        <f t="shared" si="62"/>
        <v>3.5979353587756331E-4</v>
      </c>
      <c r="R130" s="9">
        <f t="shared" si="44"/>
        <v>1.4999999999999999E-4</v>
      </c>
      <c r="S130" s="9">
        <f t="shared" si="45"/>
        <v>7.2054830489684602E-7</v>
      </c>
      <c r="T130" s="9">
        <f t="shared" si="40"/>
        <v>1.3770818347021323E-4</v>
      </c>
      <c r="U130" s="9">
        <f t="shared" si="41"/>
        <v>1.4927945169510316E-4</v>
      </c>
      <c r="V130" s="100">
        <f t="shared" si="46"/>
        <v>0.92248586062250715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255</v>
      </c>
      <c r="C131" s="46" t="s">
        <v>256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4.8235239734115414E-4</v>
      </c>
      <c r="J131" s="54">
        <f t="shared" si="55"/>
        <v>5.2548982062344492E-2</v>
      </c>
      <c r="K131" s="55">
        <f t="shared" si="56"/>
        <v>0.9978475603361967</v>
      </c>
      <c r="L131" s="55">
        <f t="shared" si="57"/>
        <v>5.2582954663897693E-4</v>
      </c>
      <c r="M131" s="55">
        <f t="shared" si="58"/>
        <v>0.99947417045336107</v>
      </c>
      <c r="N131" s="55">
        <f t="shared" si="59"/>
        <v>4.9859421650150674E-6</v>
      </c>
      <c r="O131" s="56">
        <f t="shared" si="60"/>
        <v>9.988306167905176E-7</v>
      </c>
      <c r="P131" s="56">
        <f t="shared" si="61"/>
        <v>1.1273034294873036E-6</v>
      </c>
      <c r="Q131" s="56">
        <f t="shared" si="62"/>
        <v>1.7815246207233593E-6</v>
      </c>
      <c r="R131" s="9">
        <f t="shared" si="44"/>
        <v>1.4999999999999999E-4</v>
      </c>
      <c r="S131" s="9">
        <f t="shared" si="45"/>
        <v>7.8874431995846535E-8</v>
      </c>
      <c r="T131" s="9">
        <f t="shared" si="40"/>
        <v>1.496771340504295E-4</v>
      </c>
      <c r="U131" s="9">
        <f t="shared" si="41"/>
        <v>1.4992112556800415E-4</v>
      </c>
      <c r="V131" s="100">
        <f t="shared" si="46"/>
        <v>0.99837253411318616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257</v>
      </c>
      <c r="C132" s="46" t="s">
        <v>258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1.6296434031808995E-3</v>
      </c>
      <c r="J132" s="54">
        <f t="shared" si="55"/>
        <v>0.15847793826064793</v>
      </c>
      <c r="K132" s="55">
        <f t="shared" si="56"/>
        <v>0.99507221775559784</v>
      </c>
      <c r="L132" s="55">
        <f t="shared" si="57"/>
        <v>6.6921296014702198E-4</v>
      </c>
      <c r="M132" s="55">
        <f t="shared" si="58"/>
        <v>0.99933078703985301</v>
      </c>
      <c r="N132" s="55">
        <f t="shared" si="59"/>
        <v>1.9070576547980902E-5</v>
      </c>
      <c r="O132" s="56">
        <f t="shared" si="60"/>
        <v>9.9605254000627342E-7</v>
      </c>
      <c r="P132" s="56">
        <f t="shared" si="61"/>
        <v>1.4346969847037648E-6</v>
      </c>
      <c r="Q132" s="56">
        <f t="shared" si="62"/>
        <v>6.8140986251321262E-6</v>
      </c>
      <c r="R132" s="9">
        <f t="shared" si="44"/>
        <v>1.4999999999999999E-4</v>
      </c>
      <c r="S132" s="9">
        <f t="shared" si="45"/>
        <v>1.0038194402205328E-7</v>
      </c>
      <c r="T132" s="9">
        <f t="shared" si="40"/>
        <v>1.4926083266333966E-4</v>
      </c>
      <c r="U132" s="9">
        <f t="shared" si="41"/>
        <v>1.4989961805597795E-4</v>
      </c>
      <c r="V132" s="100">
        <f t="shared" si="46"/>
        <v>0.99573857891752782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259</v>
      </c>
      <c r="C133" s="46" t="s">
        <v>260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0.18829844715874175</v>
      </c>
      <c r="J133" s="54">
        <f t="shared" si="55"/>
        <v>1.8475110079890487</v>
      </c>
      <c r="K133" s="55">
        <f t="shared" si="56"/>
        <v>0.63434648815219219</v>
      </c>
      <c r="L133" s="55">
        <f t="shared" si="57"/>
        <v>2.0848237780513836E-2</v>
      </c>
      <c r="M133" s="55">
        <f t="shared" si="58"/>
        <v>0.97915176221948619</v>
      </c>
      <c r="N133" s="55">
        <f t="shared" si="59"/>
        <v>7.7746104826566798E-3</v>
      </c>
      <c r="O133" s="56">
        <f t="shared" si="60"/>
        <v>6.3497143171495815E-7</v>
      </c>
      <c r="P133" s="56">
        <f t="shared" si="61"/>
        <v>4.469564348173873E-5</v>
      </c>
      <c r="Q133" s="56">
        <f t="shared" si="62"/>
        <v>2.7779423693625894E-3</v>
      </c>
      <c r="R133" s="9">
        <f t="shared" si="44"/>
        <v>1.4999999999999999E-4</v>
      </c>
      <c r="S133" s="9">
        <f t="shared" si="45"/>
        <v>3.1272356670770751E-6</v>
      </c>
      <c r="T133" s="9">
        <f t="shared" si="40"/>
        <v>9.5151973222828821E-5</v>
      </c>
      <c r="U133" s="9">
        <f t="shared" si="41"/>
        <v>1.4687276433292292E-4</v>
      </c>
      <c r="V133" s="100">
        <f t="shared" si="46"/>
        <v>0.64785308327923674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261</v>
      </c>
      <c r="C134" s="46" t="s">
        <v>262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-2.2139482595652795E-4</v>
      </c>
      <c r="J134" s="54">
        <f t="shared" si="55"/>
        <v>-2.6891356441988094E-2</v>
      </c>
      <c r="K134" s="55">
        <f t="shared" si="56"/>
        <v>0.99955297150581479</v>
      </c>
      <c r="L134" s="55">
        <f t="shared" si="57"/>
        <v>4.3867841125160294E-4</v>
      </c>
      <c r="M134" s="55">
        <f t="shared" si="58"/>
        <v>0.99956132158874844</v>
      </c>
      <c r="N134" s="55">
        <f t="shared" si="59"/>
        <v>2.9089077477471853E-9</v>
      </c>
      <c r="O134" s="56">
        <f t="shared" si="60"/>
        <v>1.0005377080919757E-6</v>
      </c>
      <c r="P134" s="56">
        <f t="shared" si="61"/>
        <v>9.4046384537897203E-7</v>
      </c>
      <c r="Q134" s="56">
        <f t="shared" si="62"/>
        <v>1.039380442153381E-9</v>
      </c>
      <c r="R134" s="9">
        <f t="shared" si="44"/>
        <v>1.4999999999999999E-4</v>
      </c>
      <c r="S134" s="9">
        <f t="shared" si="45"/>
        <v>6.5801761687740437E-8</v>
      </c>
      <c r="T134" s="9">
        <f t="shared" si="40"/>
        <v>1.4993294572587221E-4</v>
      </c>
      <c r="U134" s="9">
        <f t="shared" si="41"/>
        <v>1.4993419823831225E-4</v>
      </c>
      <c r="V134" s="100">
        <f t="shared" si="46"/>
        <v>0.99999164625245762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263</v>
      </c>
      <c r="C135" s="46" t="s">
        <v>264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2.8479282847897803E-3</v>
      </c>
      <c r="J135" s="54">
        <f t="shared" ref="J135:J143" si="64">IF(D135=0,"",LOG($K$21*10^D135+$K$22*10^E135+$K$20))</f>
        <v>0.24917333797309077</v>
      </c>
      <c r="K135" s="55">
        <f t="shared" ref="K135:K143" si="65">IF(D135=0,"",1/(1+10^D135*$J$15/$J$14+10^E135*$J$16/$J$14+10^J135*$J$19/$J$14))</f>
        <v>0.99213284446576111</v>
      </c>
      <c r="L135" s="55">
        <f t="shared" ref="L135:L143" si="66">IF(D135=0,"",1/(1+10^I135/10^J135*$J$13/$J$19))</f>
        <v>8.2219526035718271E-4</v>
      </c>
      <c r="M135" s="55">
        <f t="shared" ref="M135:M143" si="67">IF(D135=0,"",1-L135)</f>
        <v>0.99917780473964279</v>
      </c>
      <c r="N135" s="55">
        <f t="shared" ref="N135:N143" si="68">IF(D135=0,"",1/(1/10^E135*$J$20/$J$22+10^D135/10^E135*$J$21/$J$22+10^I135/10^E135*$J$13/$J$22+1))</f>
        <v>3.8306362446834876E-5</v>
      </c>
      <c r="O135" s="56">
        <f t="shared" ref="O135:O143" si="69">IF(D135=0,"",F135*K135*$J$7/$J$14)</f>
        <v>9.9311027091351154E-7</v>
      </c>
      <c r="P135" s="56">
        <f t="shared" ref="P135:P143" si="70">IF(D135=0,"",O135*10^J135)</f>
        <v>1.7626691817400338E-6</v>
      </c>
      <c r="Q135" s="56">
        <f t="shared" ref="Q135:Q143" si="71">IF(D135=0,"",F135*N135*$J$7/$J$22)</f>
        <v>1.3687228124753592E-5</v>
      </c>
      <c r="R135" s="9">
        <f t="shared" si="44"/>
        <v>1.4999999999999999E-4</v>
      </c>
      <c r="S135" s="9">
        <f t="shared" si="45"/>
        <v>1.233292890535774E-7</v>
      </c>
      <c r="T135" s="9">
        <f t="shared" si="40"/>
        <v>1.4881992666986415E-4</v>
      </c>
      <c r="U135" s="9">
        <f t="shared" si="41"/>
        <v>1.498766707109464E-4</v>
      </c>
      <c r="V135" s="100">
        <f t="shared" si="46"/>
        <v>0.99294924262682416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265</v>
      </c>
      <c r="C136" s="46" t="s">
        <v>266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-7.9190837002413863E-5</v>
      </c>
      <c r="J136" s="54">
        <f t="shared" si="64"/>
        <v>-9.7580227274936156E-3</v>
      </c>
      <c r="K136" s="55">
        <f t="shared" si="65"/>
        <v>0.99920824573225808</v>
      </c>
      <c r="L136" s="55">
        <f t="shared" si="66"/>
        <v>4.5617322447039484E-4</v>
      </c>
      <c r="M136" s="55">
        <f t="shared" si="67"/>
        <v>0.99954382677552955</v>
      </c>
      <c r="N136" s="55">
        <f t="shared" si="68"/>
        <v>5.4312294868010854E-7</v>
      </c>
      <c r="O136" s="56">
        <f t="shared" si="69"/>
        <v>1.0001926427025198E-6</v>
      </c>
      <c r="P136" s="56">
        <f t="shared" si="70"/>
        <v>9.7797022566103053E-7</v>
      </c>
      <c r="Q136" s="56">
        <f t="shared" si="71"/>
        <v>1.9406300216291399E-7</v>
      </c>
      <c r="R136" s="9">
        <f t="shared" si="44"/>
        <v>1.4999999999999999E-4</v>
      </c>
      <c r="S136" s="9">
        <f t="shared" si="45"/>
        <v>6.8425983670559216E-8</v>
      </c>
      <c r="T136" s="9">
        <f t="shared" si="40"/>
        <v>1.4988123685983869E-4</v>
      </c>
      <c r="U136" s="9">
        <f t="shared" si="41"/>
        <v>1.4993157401632941E-4</v>
      </c>
      <c r="V136" s="100">
        <f t="shared" si="46"/>
        <v>0.99966426580377765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267</v>
      </c>
      <c r="C137" s="46" t="s">
        <v>268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-2.2462984868396082E-4</v>
      </c>
      <c r="J137" s="54">
        <f t="shared" si="64"/>
        <v>-2.7286447549983196E-2</v>
      </c>
      <c r="K137" s="55">
        <f t="shared" si="65"/>
        <v>0.99956081257813145</v>
      </c>
      <c r="L137" s="55">
        <f t="shared" si="66"/>
        <v>4.3828295153828362E-4</v>
      </c>
      <c r="M137" s="55">
        <f t="shared" si="67"/>
        <v>0.99956171704846175</v>
      </c>
      <c r="N137" s="55">
        <f t="shared" si="68"/>
        <v>1.2369165803647931E-10</v>
      </c>
      <c r="O137" s="56">
        <f t="shared" si="69"/>
        <v>1.0005455568891363E-6</v>
      </c>
      <c r="P137" s="56">
        <f t="shared" si="70"/>
        <v>9.3961603624786006E-7</v>
      </c>
      <c r="Q137" s="56">
        <f t="shared" si="71"/>
        <v>4.4196207432224864E-11</v>
      </c>
      <c r="R137" s="9">
        <f t="shared" si="44"/>
        <v>1.4999999999999999E-4</v>
      </c>
      <c r="S137" s="9">
        <f t="shared" si="45"/>
        <v>6.5742442730742533E-8</v>
      </c>
      <c r="T137" s="9">
        <f t="shared" si="40"/>
        <v>1.4993412188671972E-4</v>
      </c>
      <c r="U137" s="9">
        <f t="shared" si="41"/>
        <v>1.4993425755726925E-4</v>
      </c>
      <c r="V137" s="100">
        <f t="shared" si="46"/>
        <v>0.99999909513308194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269</v>
      </c>
      <c r="C138" s="46" t="s">
        <v>270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-9.5327662881748492E-5</v>
      </c>
      <c r="J138" s="54">
        <f t="shared" si="64"/>
        <v>-1.1674507445575836E-2</v>
      </c>
      <c r="K138" s="55">
        <f t="shared" si="65"/>
        <v>0.99924736364114985</v>
      </c>
      <c r="L138" s="55">
        <f t="shared" si="66"/>
        <v>4.5418240687108622E-4</v>
      </c>
      <c r="M138" s="55">
        <f t="shared" si="67"/>
        <v>0.99954581759312888</v>
      </c>
      <c r="N138" s="55">
        <f t="shared" si="68"/>
        <v>4.603689746574706E-7</v>
      </c>
      <c r="O138" s="56">
        <f t="shared" si="69"/>
        <v>1.0002317991494751E-6</v>
      </c>
      <c r="P138" s="56">
        <f t="shared" si="70"/>
        <v>9.7370219713062722E-7</v>
      </c>
      <c r="Q138" s="56">
        <f t="shared" si="71"/>
        <v>1.6449421911153951E-7</v>
      </c>
      <c r="R138" s="9">
        <f t="shared" si="44"/>
        <v>1.4999999999999999E-4</v>
      </c>
      <c r="S138" s="9">
        <f t="shared" si="45"/>
        <v>6.8127361030662921E-8</v>
      </c>
      <c r="T138" s="9">
        <f t="shared" si="40"/>
        <v>1.4988710454617247E-4</v>
      </c>
      <c r="U138" s="9">
        <f t="shared" si="41"/>
        <v>1.4993187263896932E-4</v>
      </c>
      <c r="V138" s="100">
        <f t="shared" si="46"/>
        <v>0.99970141043389316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271</v>
      </c>
      <c r="C139" s="46" t="s">
        <v>272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2.1084810301724875E-3</v>
      </c>
      <c r="J139" s="54">
        <f t="shared" si="64"/>
        <v>0.19477525924393749</v>
      </c>
      <c r="K139" s="55">
        <f t="shared" si="65"/>
        <v>0.99391850773124502</v>
      </c>
      <c r="L139" s="55">
        <f t="shared" si="66"/>
        <v>7.2670448526429999E-4</v>
      </c>
      <c r="M139" s="55">
        <f t="shared" si="67"/>
        <v>0.99927329551473565</v>
      </c>
      <c r="N139" s="55">
        <f t="shared" si="68"/>
        <v>1.6810701313428233E-5</v>
      </c>
      <c r="O139" s="56">
        <f t="shared" si="69"/>
        <v>9.9489769337335348E-7</v>
      </c>
      <c r="P139" s="56">
        <f t="shared" si="70"/>
        <v>1.5579506014801923E-6</v>
      </c>
      <c r="Q139" s="56">
        <f t="shared" si="71"/>
        <v>6.0066236812051768E-6</v>
      </c>
      <c r="R139" s="9">
        <f t="shared" si="44"/>
        <v>1.4999999999999999E-4</v>
      </c>
      <c r="S139" s="9">
        <f t="shared" si="45"/>
        <v>1.0900567278964499E-7</v>
      </c>
      <c r="T139" s="9">
        <f t="shared" si="40"/>
        <v>1.4908777615968674E-4</v>
      </c>
      <c r="U139" s="9">
        <f t="shared" si="41"/>
        <v>1.4989099432721035E-4</v>
      </c>
      <c r="V139" s="100">
        <f t="shared" si="46"/>
        <v>0.9946413180382927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273</v>
      </c>
      <c r="C140" s="46" t="s">
        <v>274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-2.2206215862113771E-4</v>
      </c>
      <c r="J140" s="54">
        <f t="shared" si="64"/>
        <v>-2.6972870159827616E-2</v>
      </c>
      <c r="K140" s="55">
        <f t="shared" si="65"/>
        <v>0.99955458902884908</v>
      </c>
      <c r="L140" s="55">
        <f t="shared" si="66"/>
        <v>4.3859679218713645E-4</v>
      </c>
      <c r="M140" s="55">
        <f t="shared" si="67"/>
        <v>0.99956140320781284</v>
      </c>
      <c r="N140" s="55">
        <f t="shared" si="68"/>
        <v>2.1796770522917291E-9</v>
      </c>
      <c r="O140" s="56">
        <f t="shared" si="69"/>
        <v>1.0005393272085563E-6</v>
      </c>
      <c r="P140" s="56">
        <f t="shared" si="70"/>
        <v>9.4028886576462212E-7</v>
      </c>
      <c r="Q140" s="56">
        <f t="shared" si="71"/>
        <v>7.7881936961290407E-10</v>
      </c>
      <c r="R140" s="9">
        <f t="shared" si="44"/>
        <v>1.4999999999999999E-4</v>
      </c>
      <c r="S140" s="9">
        <f t="shared" si="45"/>
        <v>6.5789518828070468E-8</v>
      </c>
      <c r="T140" s="9">
        <f t="shared" si="40"/>
        <v>1.4993318835432735E-4</v>
      </c>
      <c r="U140" s="9">
        <f t="shared" si="41"/>
        <v>1.4993421048117191E-4</v>
      </c>
      <c r="V140" s="100">
        <f t="shared" si="46"/>
        <v>0.99999318283104777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275</v>
      </c>
      <c r="C141" s="46" t="s">
        <v>276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-2.1765065893421197E-4</v>
      </c>
      <c r="J141" s="54">
        <f t="shared" si="64"/>
        <v>-2.6434033531255677E-2</v>
      </c>
      <c r="K141" s="55">
        <f t="shared" si="65"/>
        <v>0.99954389594614756</v>
      </c>
      <c r="L141" s="55">
        <f t="shared" si="66"/>
        <v>4.3913660662229527E-4</v>
      </c>
      <c r="M141" s="55">
        <f t="shared" si="67"/>
        <v>0.99956086339337769</v>
      </c>
      <c r="N141" s="55">
        <f t="shared" si="68"/>
        <v>7.9570133129451771E-9</v>
      </c>
      <c r="O141" s="56">
        <f t="shared" si="69"/>
        <v>1.0005286235912758E-6</v>
      </c>
      <c r="P141" s="56">
        <f t="shared" si="70"/>
        <v>9.4144615079725453E-7</v>
      </c>
      <c r="Q141" s="56">
        <f t="shared" si="71"/>
        <v>2.8431166377944821E-9</v>
      </c>
      <c r="R141" s="9">
        <f t="shared" si="44"/>
        <v>1.4999999999999999E-4</v>
      </c>
      <c r="S141" s="9">
        <f t="shared" si="45"/>
        <v>6.5870490993344281E-8</v>
      </c>
      <c r="T141" s="9">
        <f t="shared" si="40"/>
        <v>1.4993158439192213E-4</v>
      </c>
      <c r="U141" s="9">
        <f t="shared" si="41"/>
        <v>1.4993412950900663E-4</v>
      </c>
      <c r="V141" s="100">
        <f t="shared" si="46"/>
        <v>0.99998302509846926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277</v>
      </c>
      <c r="C142" s="46" t="s">
        <v>278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5.0919667310397418E-2</v>
      </c>
      <c r="J142" s="54">
        <f t="shared" si="64"/>
        <v>1.2132340118722345</v>
      </c>
      <c r="K142" s="55">
        <f t="shared" si="65"/>
        <v>0.88291747884763983</v>
      </c>
      <c r="L142" s="55">
        <f t="shared" si="66"/>
        <v>6.73574954055918E-3</v>
      </c>
      <c r="M142" s="55">
        <f t="shared" si="67"/>
        <v>0.99326425045944078</v>
      </c>
      <c r="N142" s="55">
        <f t="shared" si="68"/>
        <v>1.6338257973049399E-3</v>
      </c>
      <c r="O142" s="56">
        <f t="shared" si="69"/>
        <v>8.8378730883040943E-7</v>
      </c>
      <c r="P142" s="56">
        <f t="shared" si="70"/>
        <v>1.4440484765024509E-5</v>
      </c>
      <c r="Q142" s="56">
        <f t="shared" si="71"/>
        <v>5.8378151762274351E-4</v>
      </c>
      <c r="R142" s="9">
        <f t="shared" si="44"/>
        <v>1.4999999999999999E-4</v>
      </c>
      <c r="S142" s="9">
        <f t="shared" si="45"/>
        <v>1.0103624310838769E-6</v>
      </c>
      <c r="T142" s="9">
        <f t="shared" si="40"/>
        <v>1.3243762182714596E-4</v>
      </c>
      <c r="U142" s="9">
        <f t="shared" si="41"/>
        <v>1.489896375689161E-4</v>
      </c>
      <c r="V142" s="100">
        <f t="shared" si="46"/>
        <v>0.88890491975246333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96</v>
      </c>
      <c r="C143" s="46" t="s">
        <v>279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0.38018124000089604</v>
      </c>
      <c r="J143" s="54">
        <f t="shared" si="64"/>
        <v>2.2097555434969687</v>
      </c>
      <c r="K143" s="55">
        <f t="shared" si="65"/>
        <v>0.40375344494757204</v>
      </c>
      <c r="L143" s="55">
        <f t="shared" si="66"/>
        <v>3.0556498616742703E-2</v>
      </c>
      <c r="M143" s="55">
        <f t="shared" si="67"/>
        <v>0.9694435013832573</v>
      </c>
      <c r="N143" s="55">
        <f t="shared" si="68"/>
        <v>4.7675941432604656E-4</v>
      </c>
      <c r="O143" s="56">
        <f t="shared" si="69"/>
        <v>4.0415121355049998E-7</v>
      </c>
      <c r="P143" s="56">
        <f t="shared" si="70"/>
        <v>6.5508767820208222E-5</v>
      </c>
      <c r="Q143" s="56">
        <f t="shared" si="71"/>
        <v>1.7035067930454712E-4</v>
      </c>
      <c r="R143" s="9">
        <f t="shared" si="44"/>
        <v>1.4999999999999999E-4</v>
      </c>
      <c r="S143" s="9">
        <f t="shared" si="45"/>
        <v>4.5834747925114049E-6</v>
      </c>
      <c r="T143" s="9">
        <f t="shared" si="40"/>
        <v>6.0563016742135797E-5</v>
      </c>
      <c r="U143" s="9">
        <f t="shared" si="41"/>
        <v>1.4541652520748858E-4</v>
      </c>
      <c r="V143" s="100">
        <f t="shared" si="46"/>
        <v>0.41647960337190726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2025-02-02T14:52:54Z</dcterms:modified>
</cp:coreProperties>
</file>