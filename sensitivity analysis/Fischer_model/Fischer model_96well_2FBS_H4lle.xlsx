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0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Sensitivity analysis\Fischer model\96well_1um\"/>
    </mc:Choice>
  </mc:AlternateContent>
  <xr:revisionPtr revIDLastSave="0" documentId="13_ncr:1_{69D0409E-F9A6-436B-8F58-8652D748C93A}" xr6:coauthVersionLast="47" xr6:coauthVersionMax="47" xr10:uidLastSave="{00000000-0000-0000-0000-000000000000}"/>
  <bookViews>
    <workbookView xWindow="-98" yWindow="-98" windowWidth="21795" windowHeight="13875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31" i="4" l="1"/>
  <c r="R131" i="4"/>
  <c r="U131" i="4" s="1"/>
  <c r="V130" i="4"/>
  <c r="R130" i="4"/>
  <c r="U130" i="4" s="1"/>
  <c r="V127" i="4"/>
  <c r="U127" i="4"/>
  <c r="T127" i="4"/>
  <c r="R127" i="4"/>
  <c r="S127" i="4" s="1"/>
  <c r="V126" i="4"/>
  <c r="R126" i="4"/>
  <c r="U126" i="4" s="1"/>
  <c r="V124" i="4"/>
  <c r="U124" i="4"/>
  <c r="T124" i="4"/>
  <c r="S124" i="4"/>
  <c r="R124" i="4"/>
  <c r="V121" i="4"/>
  <c r="R121" i="4"/>
  <c r="U121" i="4" s="1"/>
  <c r="V120" i="4"/>
  <c r="U120" i="4"/>
  <c r="T120" i="4"/>
  <c r="S120" i="4"/>
  <c r="R120" i="4"/>
  <c r="V119" i="4"/>
  <c r="R119" i="4"/>
  <c r="U119" i="4" s="1"/>
  <c r="V116" i="4"/>
  <c r="R116" i="4"/>
  <c r="T116" i="4" s="1"/>
  <c r="V115" i="4"/>
  <c r="U115" i="4"/>
  <c r="T115" i="4"/>
  <c r="S115" i="4"/>
  <c r="R115" i="4"/>
  <c r="V114" i="4"/>
  <c r="R114" i="4"/>
  <c r="S114" i="4" s="1"/>
  <c r="V108" i="4"/>
  <c r="U108" i="4"/>
  <c r="T108" i="4"/>
  <c r="R108" i="4"/>
  <c r="S108" i="4" s="1"/>
  <c r="V107" i="4"/>
  <c r="R107" i="4"/>
  <c r="U107" i="4" s="1"/>
  <c r="V93" i="4"/>
  <c r="R93" i="4"/>
  <c r="T93" i="4" s="1"/>
  <c r="V92" i="4"/>
  <c r="U92" i="4"/>
  <c r="T92" i="4"/>
  <c r="R92" i="4"/>
  <c r="S92" i="4" s="1"/>
  <c r="V91" i="4"/>
  <c r="R91" i="4"/>
  <c r="T91" i="4" s="1"/>
  <c r="V90" i="4"/>
  <c r="U90" i="4"/>
  <c r="T90" i="4"/>
  <c r="S90" i="4"/>
  <c r="R90" i="4"/>
  <c r="V89" i="4"/>
  <c r="R89" i="4"/>
  <c r="U89" i="4" s="1"/>
  <c r="V88" i="4"/>
  <c r="U88" i="4"/>
  <c r="T88" i="4"/>
  <c r="S88" i="4"/>
  <c r="R88" i="4"/>
  <c r="V86" i="4"/>
  <c r="U86" i="4"/>
  <c r="R86" i="4"/>
  <c r="T86" i="4" s="1"/>
  <c r="V85" i="4"/>
  <c r="R85" i="4"/>
  <c r="T85" i="4" s="1"/>
  <c r="V84" i="4"/>
  <c r="U84" i="4"/>
  <c r="T84" i="4"/>
  <c r="S84" i="4"/>
  <c r="R84" i="4"/>
  <c r="V83" i="4"/>
  <c r="R83" i="4"/>
  <c r="U83" i="4" s="1"/>
  <c r="V82" i="4"/>
  <c r="T82" i="4"/>
  <c r="R82" i="4"/>
  <c r="U82" i="4" s="1"/>
  <c r="V81" i="4"/>
  <c r="R81" i="4"/>
  <c r="U81" i="4" s="1"/>
  <c r="V80" i="4"/>
  <c r="R80" i="4"/>
  <c r="U80" i="4" s="1"/>
  <c r="V79" i="4"/>
  <c r="U79" i="4"/>
  <c r="T79" i="4"/>
  <c r="R79" i="4"/>
  <c r="S79" i="4" s="1"/>
  <c r="V78" i="4"/>
  <c r="R78" i="4"/>
  <c r="S78" i="4" s="1"/>
  <c r="V77" i="4"/>
  <c r="U77" i="4"/>
  <c r="T77" i="4"/>
  <c r="S77" i="4"/>
  <c r="R77" i="4"/>
  <c r="V76" i="4"/>
  <c r="R76" i="4"/>
  <c r="U76" i="4" s="1"/>
  <c r="V75" i="4"/>
  <c r="U75" i="4"/>
  <c r="T75" i="4"/>
  <c r="S75" i="4"/>
  <c r="R75" i="4"/>
  <c r="V74" i="4"/>
  <c r="R74" i="4"/>
  <c r="U74" i="4" s="1"/>
  <c r="V73" i="4"/>
  <c r="R73" i="4"/>
  <c r="T73" i="4" s="1"/>
  <c r="V72" i="4"/>
  <c r="U72" i="4"/>
  <c r="T72" i="4"/>
  <c r="S72" i="4"/>
  <c r="R72" i="4"/>
  <c r="V71" i="4"/>
  <c r="R71" i="4"/>
  <c r="U71" i="4" s="1"/>
  <c r="V70" i="4"/>
  <c r="T70" i="4"/>
  <c r="R70" i="4"/>
  <c r="U70" i="4" s="1"/>
  <c r="V69" i="4"/>
  <c r="R69" i="4"/>
  <c r="U69" i="4" s="1"/>
  <c r="V68" i="4"/>
  <c r="R68" i="4"/>
  <c r="U68" i="4" s="1"/>
  <c r="V65" i="4"/>
  <c r="U65" i="4"/>
  <c r="T65" i="4"/>
  <c r="R65" i="4"/>
  <c r="S65" i="4" s="1"/>
  <c r="V64" i="4"/>
  <c r="R64" i="4"/>
  <c r="S64" i="4" s="1"/>
  <c r="V63" i="4"/>
  <c r="U63" i="4"/>
  <c r="T63" i="4"/>
  <c r="S63" i="4"/>
  <c r="R63" i="4"/>
  <c r="V62" i="4"/>
  <c r="R62" i="4"/>
  <c r="U62" i="4" s="1"/>
  <c r="V61" i="4"/>
  <c r="U61" i="4"/>
  <c r="T61" i="4"/>
  <c r="S61" i="4"/>
  <c r="R61" i="4"/>
  <c r="V60" i="4"/>
  <c r="R60" i="4"/>
  <c r="U60" i="4" s="1"/>
  <c r="V58" i="4"/>
  <c r="R58" i="4"/>
  <c r="T58" i="4" s="1"/>
  <c r="V57" i="4"/>
  <c r="U57" i="4"/>
  <c r="T57" i="4"/>
  <c r="S57" i="4"/>
  <c r="R57" i="4"/>
  <c r="V49" i="4"/>
  <c r="R49" i="4"/>
  <c r="U49" i="4" s="1"/>
  <c r="V48" i="4"/>
  <c r="T48" i="4"/>
  <c r="R48" i="4"/>
  <c r="U48" i="4" s="1"/>
  <c r="V47" i="4"/>
  <c r="R47" i="4"/>
  <c r="U47" i="4" s="1"/>
  <c r="V46" i="4"/>
  <c r="R46" i="4"/>
  <c r="U46" i="4" s="1"/>
  <c r="V45" i="4"/>
  <c r="U45" i="4"/>
  <c r="T45" i="4"/>
  <c r="R45" i="4"/>
  <c r="S45" i="4" s="1"/>
  <c r="V44" i="4"/>
  <c r="R44" i="4"/>
  <c r="S44" i="4" s="1"/>
  <c r="V43" i="4"/>
  <c r="U43" i="4"/>
  <c r="T43" i="4"/>
  <c r="S43" i="4"/>
  <c r="R43" i="4"/>
  <c r="V42" i="4"/>
  <c r="R42" i="4"/>
  <c r="U42" i="4" s="1"/>
  <c r="V41" i="4"/>
  <c r="U41" i="4"/>
  <c r="T41" i="4"/>
  <c r="S41" i="4"/>
  <c r="R41" i="4"/>
  <c r="V40" i="4"/>
  <c r="R40" i="4"/>
  <c r="U40" i="4" s="1"/>
  <c r="V39" i="4"/>
  <c r="R39" i="4"/>
  <c r="T39" i="4" s="1"/>
  <c r="V38" i="4"/>
  <c r="U38" i="4"/>
  <c r="T38" i="4"/>
  <c r="S38" i="4"/>
  <c r="R38" i="4"/>
  <c r="V37" i="4"/>
  <c r="R37" i="4"/>
  <c r="U37" i="4" s="1"/>
  <c r="V36" i="4"/>
  <c r="T36" i="4"/>
  <c r="R36" i="4"/>
  <c r="U36" i="4" s="1"/>
  <c r="V35" i="4"/>
  <c r="R35" i="4"/>
  <c r="U35" i="4" s="1"/>
  <c r="V34" i="4"/>
  <c r="R34" i="4"/>
  <c r="U34" i="4" s="1"/>
  <c r="V33" i="4"/>
  <c r="U33" i="4"/>
  <c r="R33" i="4"/>
  <c r="T33" i="4" s="1"/>
  <c r="V32" i="4"/>
  <c r="R32" i="4"/>
  <c r="T32" i="4" s="1"/>
  <c r="V31" i="4"/>
  <c r="U31" i="4"/>
  <c r="T31" i="4"/>
  <c r="S31" i="4"/>
  <c r="R31" i="4"/>
  <c r="V30" i="4"/>
  <c r="R30" i="4"/>
  <c r="U30" i="4" s="1"/>
  <c r="V29" i="4"/>
  <c r="U29" i="4"/>
  <c r="T29" i="4"/>
  <c r="S29" i="4"/>
  <c r="R29" i="4"/>
  <c r="V28" i="4"/>
  <c r="R28" i="4"/>
  <c r="U28" i="4" s="1"/>
  <c r="I128" i="4"/>
  <c r="J128" i="4"/>
  <c r="K128" i="4"/>
  <c r="L128" i="4"/>
  <c r="M128" i="4"/>
  <c r="N128" i="4"/>
  <c r="O128" i="4"/>
  <c r="P128" i="4"/>
  <c r="Q128" i="4"/>
  <c r="I129" i="4"/>
  <c r="J129" i="4"/>
  <c r="K129" i="4"/>
  <c r="L129" i="4"/>
  <c r="M129" i="4"/>
  <c r="N129" i="4"/>
  <c r="O129" i="4"/>
  <c r="P129" i="4"/>
  <c r="Q129" i="4"/>
  <c r="I130" i="4"/>
  <c r="J130" i="4"/>
  <c r="K130" i="4"/>
  <c r="O130" i="4" s="1"/>
  <c r="P130" i="4" s="1"/>
  <c r="L130" i="4"/>
  <c r="M130" i="4"/>
  <c r="N130" i="4"/>
  <c r="Q130" i="4" s="1"/>
  <c r="I131" i="4"/>
  <c r="J131" i="4"/>
  <c r="K131" i="4"/>
  <c r="L131" i="4"/>
  <c r="M131" i="4"/>
  <c r="N131" i="4"/>
  <c r="O131" i="4"/>
  <c r="P131" i="4"/>
  <c r="Q131" i="4"/>
  <c r="I132" i="4"/>
  <c r="J132" i="4"/>
  <c r="K132" i="4"/>
  <c r="L132" i="4"/>
  <c r="M132" i="4"/>
  <c r="N132" i="4"/>
  <c r="O132" i="4"/>
  <c r="P132" i="4"/>
  <c r="Q132" i="4"/>
  <c r="I133" i="4"/>
  <c r="J133" i="4"/>
  <c r="K133" i="4"/>
  <c r="L133" i="4"/>
  <c r="M133" i="4"/>
  <c r="N133" i="4"/>
  <c r="O133" i="4"/>
  <c r="P133" i="4"/>
  <c r="Q133" i="4"/>
  <c r="I134" i="4"/>
  <c r="J134" i="4"/>
  <c r="K134" i="4"/>
  <c r="L134" i="4"/>
  <c r="M134" i="4"/>
  <c r="N134" i="4"/>
  <c r="O134" i="4"/>
  <c r="P134" i="4"/>
  <c r="Q134" i="4"/>
  <c r="S36" i="4" l="1"/>
  <c r="S48" i="4"/>
  <c r="S70" i="4"/>
  <c r="S82" i="4"/>
  <c r="S34" i="4"/>
  <c r="S46" i="4"/>
  <c r="S80" i="4"/>
  <c r="S130" i="4"/>
  <c r="T68" i="4"/>
  <c r="S73" i="4"/>
  <c r="T130" i="4"/>
  <c r="U93" i="4"/>
  <c r="S37" i="4"/>
  <c r="U39" i="4"/>
  <c r="T44" i="4"/>
  <c r="S49" i="4"/>
  <c r="U58" i="4"/>
  <c r="T64" i="4"/>
  <c r="S71" i="4"/>
  <c r="U73" i="4"/>
  <c r="T78" i="4"/>
  <c r="S83" i="4"/>
  <c r="U85" i="4"/>
  <c r="S126" i="4"/>
  <c r="T126" i="4"/>
  <c r="S30" i="4"/>
  <c r="U32" i="4"/>
  <c r="T37" i="4"/>
  <c r="S42" i="4"/>
  <c r="U44" i="4"/>
  <c r="T49" i="4"/>
  <c r="S62" i="4"/>
  <c r="U64" i="4"/>
  <c r="T71" i="4"/>
  <c r="S76" i="4"/>
  <c r="U78" i="4"/>
  <c r="T83" i="4"/>
  <c r="S89" i="4"/>
  <c r="U91" i="4"/>
  <c r="T114" i="4"/>
  <c r="S121" i="4"/>
  <c r="S93" i="4"/>
  <c r="T30" i="4"/>
  <c r="S35" i="4"/>
  <c r="T42" i="4"/>
  <c r="S47" i="4"/>
  <c r="T62" i="4"/>
  <c r="S69" i="4"/>
  <c r="T76" i="4"/>
  <c r="S81" i="4"/>
  <c r="T89" i="4"/>
  <c r="S107" i="4"/>
  <c r="U114" i="4"/>
  <c r="T121" i="4"/>
  <c r="S131" i="4"/>
  <c r="S116" i="4"/>
  <c r="U116" i="4"/>
  <c r="S28" i="4"/>
  <c r="T35" i="4"/>
  <c r="S40" i="4"/>
  <c r="T47" i="4"/>
  <c r="S60" i="4"/>
  <c r="T69" i="4"/>
  <c r="S74" i="4"/>
  <c r="T81" i="4"/>
  <c r="S86" i="4"/>
  <c r="T107" i="4"/>
  <c r="S119" i="4"/>
  <c r="T131" i="4"/>
  <c r="S68" i="4"/>
  <c r="T34" i="4"/>
  <c r="S39" i="4"/>
  <c r="T46" i="4"/>
  <c r="S58" i="4"/>
  <c r="T80" i="4"/>
  <c r="S85" i="4"/>
  <c r="S32" i="4"/>
  <c r="S91" i="4"/>
  <c r="T28" i="4"/>
  <c r="S33" i="4"/>
  <c r="T40" i="4"/>
  <c r="T60" i="4"/>
  <c r="T74" i="4"/>
  <c r="T119" i="4"/>
  <c r="O15" i="1" l="1"/>
  <c r="L15" i="1"/>
  <c r="N15" i="1"/>
  <c r="M97" i="4"/>
  <c r="M98" i="4"/>
  <c r="M99" i="4"/>
  <c r="M100" i="4"/>
  <c r="M101" i="4"/>
  <c r="M102" i="4"/>
  <c r="M103" i="4"/>
  <c r="M104" i="4"/>
  <c r="M105" i="4"/>
  <c r="M106" i="4"/>
  <c r="M109" i="4"/>
  <c r="M110" i="4"/>
  <c r="M111" i="4"/>
  <c r="M112" i="4"/>
  <c r="M113" i="4"/>
  <c r="M117" i="4"/>
  <c r="M118" i="4"/>
  <c r="M122" i="4"/>
  <c r="M123" i="4"/>
  <c r="M124" i="4"/>
  <c r="M125" i="4"/>
  <c r="J16" i="4"/>
  <c r="J15" i="4"/>
  <c r="J87" i="4"/>
  <c r="K87" i="4" s="1"/>
  <c r="J122" i="4"/>
  <c r="K122" i="4"/>
  <c r="J117" i="4"/>
  <c r="K117" i="4"/>
  <c r="J120" i="4"/>
  <c r="K120" i="4"/>
  <c r="O120" i="4" s="1"/>
  <c r="P120" i="4" s="1"/>
  <c r="J101" i="4"/>
  <c r="K101" i="4"/>
  <c r="J86" i="4"/>
  <c r="K86" i="4" s="1"/>
  <c r="J85" i="4"/>
  <c r="K85" i="4" s="1"/>
  <c r="J88" i="4"/>
  <c r="K88" i="4" s="1"/>
  <c r="J119" i="4"/>
  <c r="K119" i="4" s="1"/>
  <c r="O119" i="4" s="1"/>
  <c r="P119" i="4" s="1"/>
  <c r="J72" i="4"/>
  <c r="K72" i="4"/>
  <c r="J103" i="4"/>
  <c r="K103" i="4"/>
  <c r="J118" i="4"/>
  <c r="K118" i="4"/>
  <c r="J104" i="4"/>
  <c r="K104" i="4"/>
  <c r="J90" i="4"/>
  <c r="K90" i="4" s="1"/>
  <c r="J71" i="4"/>
  <c r="K71" i="4"/>
  <c r="J110" i="4"/>
  <c r="K110" i="4"/>
  <c r="J82" i="4"/>
  <c r="K82" i="4" s="1"/>
  <c r="J113" i="4"/>
  <c r="K113" i="4"/>
  <c r="J97" i="4"/>
  <c r="K97" i="4"/>
  <c r="J81" i="4"/>
  <c r="K81" i="4" s="1"/>
  <c r="J116" i="4"/>
  <c r="K116" i="4" s="1"/>
  <c r="O116" i="4" s="1"/>
  <c r="P116" i="4" s="1"/>
  <c r="J100" i="4"/>
  <c r="K100" i="4"/>
  <c r="O100" i="4"/>
  <c r="J84" i="4"/>
  <c r="K84" i="4" s="1"/>
  <c r="J114" i="4"/>
  <c r="K114" i="4"/>
  <c r="J78" i="4"/>
  <c r="K78" i="4" s="1"/>
  <c r="J115" i="4"/>
  <c r="K115" i="4"/>
  <c r="O115" i="4" s="1"/>
  <c r="P115" i="4" s="1"/>
  <c r="J99" i="4"/>
  <c r="K99" i="4"/>
  <c r="J83" i="4"/>
  <c r="K83" i="4"/>
  <c r="J102" i="4"/>
  <c r="K102" i="4"/>
  <c r="J74" i="4"/>
  <c r="K74" i="4" s="1"/>
  <c r="J125" i="4"/>
  <c r="K125" i="4"/>
  <c r="J109" i="4"/>
  <c r="K109" i="4"/>
  <c r="J93" i="4"/>
  <c r="K93" i="4" s="1"/>
  <c r="J77" i="4"/>
  <c r="K77" i="4" s="1"/>
  <c r="J112" i="4"/>
  <c r="K112" i="4"/>
  <c r="J96" i="4"/>
  <c r="K96" i="4" s="1"/>
  <c r="J80" i="4"/>
  <c r="K80" i="4" s="1"/>
  <c r="J106" i="4"/>
  <c r="K106" i="4"/>
  <c r="J127" i="4"/>
  <c r="K127" i="4"/>
  <c r="J111" i="4"/>
  <c r="K111" i="4"/>
  <c r="J95" i="4"/>
  <c r="K95" i="4" s="1"/>
  <c r="J79" i="4"/>
  <c r="K79" i="4" s="1"/>
  <c r="J126" i="4"/>
  <c r="K126" i="4"/>
  <c r="O126" i="4" s="1"/>
  <c r="P126" i="4" s="1"/>
  <c r="J94" i="4"/>
  <c r="K94" i="4"/>
  <c r="J121" i="4"/>
  <c r="K121" i="4" s="1"/>
  <c r="O121" i="4" s="1"/>
  <c r="P121" i="4" s="1"/>
  <c r="J105" i="4"/>
  <c r="K105" i="4"/>
  <c r="J89" i="4"/>
  <c r="K89" i="4" s="1"/>
  <c r="J73" i="4"/>
  <c r="K73" i="4" s="1"/>
  <c r="J124" i="4"/>
  <c r="K124" i="4" s="1"/>
  <c r="O124" i="4" s="1"/>
  <c r="P124" i="4" s="1"/>
  <c r="J108" i="4"/>
  <c r="K108" i="4"/>
  <c r="O108" i="4" s="1"/>
  <c r="P108" i="4" s="1"/>
  <c r="J92" i="4"/>
  <c r="K92" i="4"/>
  <c r="J76" i="4"/>
  <c r="L76" i="4" s="1"/>
  <c r="J98" i="4"/>
  <c r="K98" i="4"/>
  <c r="J123" i="4"/>
  <c r="K123" i="4"/>
  <c r="J107" i="4"/>
  <c r="K107" i="4" s="1"/>
  <c r="O107" i="4" s="1"/>
  <c r="P107" i="4" s="1"/>
  <c r="J91" i="4"/>
  <c r="K91" i="4"/>
  <c r="O91" i="4" s="1"/>
  <c r="P91" i="4" s="1"/>
  <c r="J75" i="4"/>
  <c r="K75" i="4"/>
  <c r="P100" i="4"/>
  <c r="O112" i="4"/>
  <c r="P112" i="4"/>
  <c r="O98" i="4"/>
  <c r="P98" i="4"/>
  <c r="O105" i="4"/>
  <c r="P105" i="4"/>
  <c r="O111" i="4"/>
  <c r="P111" i="4"/>
  <c r="O104" i="4"/>
  <c r="P104" i="4"/>
  <c r="O127" i="4"/>
  <c r="P127" i="4" s="1"/>
  <c r="O102" i="4"/>
  <c r="P102" i="4"/>
  <c r="O97" i="4"/>
  <c r="P97" i="4"/>
  <c r="O110" i="4"/>
  <c r="P110" i="4"/>
  <c r="O118" i="4"/>
  <c r="P118" i="4"/>
  <c r="O117" i="4"/>
  <c r="P117" i="4"/>
  <c r="O106" i="4"/>
  <c r="P106" i="4"/>
  <c r="O109" i="4"/>
  <c r="P109" i="4"/>
  <c r="O114" i="4"/>
  <c r="P114" i="4" s="1"/>
  <c r="O113" i="4"/>
  <c r="P113" i="4"/>
  <c r="O71" i="4"/>
  <c r="P71" i="4"/>
  <c r="O103" i="4"/>
  <c r="P103" i="4"/>
  <c r="O122" i="4"/>
  <c r="P122" i="4"/>
  <c r="O123" i="4"/>
  <c r="P123" i="4"/>
  <c r="O94" i="4"/>
  <c r="P94" i="4"/>
  <c r="O125" i="4"/>
  <c r="P125" i="4"/>
  <c r="O99" i="4"/>
  <c r="P99" i="4"/>
  <c r="O101" i="4"/>
  <c r="P101" i="4"/>
  <c r="I76" i="4"/>
  <c r="N76" i="4" s="1"/>
  <c r="Q76" i="4" s="1"/>
  <c r="I77" i="4"/>
  <c r="I81" i="4"/>
  <c r="I89" i="4"/>
  <c r="N89" i="4" s="1"/>
  <c r="Q89" i="4" s="1"/>
  <c r="I90" i="4"/>
  <c r="I96" i="4"/>
  <c r="I99" i="4"/>
  <c r="I102" i="4"/>
  <c r="I104" i="4"/>
  <c r="I108" i="4"/>
  <c r="I111" i="4"/>
  <c r="I113" i="4"/>
  <c r="I115" i="4"/>
  <c r="L115" i="4" s="1"/>
  <c r="M115" i="4" s="1"/>
  <c r="I119" i="4"/>
  <c r="I120" i="4"/>
  <c r="I123" i="4"/>
  <c r="I125" i="4"/>
  <c r="I79" i="4"/>
  <c r="I92" i="4"/>
  <c r="I100" i="4"/>
  <c r="I103" i="4"/>
  <c r="I107" i="4"/>
  <c r="I109" i="4"/>
  <c r="I110" i="4"/>
  <c r="I117" i="4"/>
  <c r="I124" i="4"/>
  <c r="I72" i="4"/>
  <c r="I106" i="4"/>
  <c r="I71" i="4"/>
  <c r="I75" i="4"/>
  <c r="I80" i="4"/>
  <c r="I83" i="4"/>
  <c r="L83" i="4" s="1"/>
  <c r="I86" i="4"/>
  <c r="L86" i="4" s="1"/>
  <c r="I88" i="4"/>
  <c r="N88" i="4" s="1"/>
  <c r="Q88" i="4" s="1"/>
  <c r="I94" i="4"/>
  <c r="I95" i="4"/>
  <c r="I98" i="4"/>
  <c r="I101" i="4"/>
  <c r="I118" i="4"/>
  <c r="I127" i="4"/>
  <c r="L127" i="4" s="1"/>
  <c r="M127" i="4" s="1"/>
  <c r="I73" i="4"/>
  <c r="N73" i="4" s="1"/>
  <c r="Q73" i="4" s="1"/>
  <c r="I74" i="4"/>
  <c r="I78" i="4"/>
  <c r="I82" i="4"/>
  <c r="L82" i="4" s="1"/>
  <c r="I85" i="4"/>
  <c r="L85" i="4" s="1"/>
  <c r="I93" i="4"/>
  <c r="N93" i="4" s="1"/>
  <c r="Q93" i="4" s="1"/>
  <c r="I112" i="4"/>
  <c r="I114" i="4"/>
  <c r="I121" i="4"/>
  <c r="L121" i="4" s="1"/>
  <c r="M121" i="4" s="1"/>
  <c r="I122" i="4"/>
  <c r="I84" i="4"/>
  <c r="L84" i="4" s="1"/>
  <c r="I87" i="4"/>
  <c r="I91" i="4"/>
  <c r="I97" i="4"/>
  <c r="I105" i="4"/>
  <c r="I116" i="4"/>
  <c r="I126" i="4"/>
  <c r="L105" i="4"/>
  <c r="N105" i="4"/>
  <c r="Q105" i="4"/>
  <c r="N121" i="4"/>
  <c r="Q121" i="4" s="1"/>
  <c r="L73" i="4"/>
  <c r="N101" i="4"/>
  <c r="Q101" i="4"/>
  <c r="L101" i="4"/>
  <c r="N75" i="4"/>
  <c r="Q75" i="4" s="1"/>
  <c r="L75" i="4"/>
  <c r="L106" i="4"/>
  <c r="N106" i="4"/>
  <c r="Q106" i="4"/>
  <c r="L124" i="4"/>
  <c r="N124" i="4"/>
  <c r="Q124" i="4"/>
  <c r="N107" i="4"/>
  <c r="Q107" i="4" s="1"/>
  <c r="L107" i="4"/>
  <c r="M107" i="4" s="1"/>
  <c r="N79" i="4"/>
  <c r="Q79" i="4" s="1"/>
  <c r="L79" i="4"/>
  <c r="N119" i="4"/>
  <c r="Q119" i="4" s="1"/>
  <c r="L119" i="4"/>
  <c r="M119" i="4" s="1"/>
  <c r="N108" i="4"/>
  <c r="Q108" i="4"/>
  <c r="L108" i="4"/>
  <c r="M108" i="4" s="1"/>
  <c r="L96" i="4"/>
  <c r="N96" i="4"/>
  <c r="Q96" i="4" s="1"/>
  <c r="N77" i="4"/>
  <c r="Q77" i="4"/>
  <c r="L77" i="4"/>
  <c r="L97" i="4"/>
  <c r="N97" i="4"/>
  <c r="Q97" i="4"/>
  <c r="N114" i="4"/>
  <c r="Q114" i="4" s="1"/>
  <c r="L114" i="4"/>
  <c r="M114" i="4" s="1"/>
  <c r="N98" i="4"/>
  <c r="Q98" i="4"/>
  <c r="L98" i="4"/>
  <c r="N86" i="4"/>
  <c r="Q86" i="4" s="1"/>
  <c r="N71" i="4"/>
  <c r="Q71" i="4" s="1"/>
  <c r="L71" i="4"/>
  <c r="M71" i="4" s="1"/>
  <c r="L72" i="4"/>
  <c r="N72" i="4"/>
  <c r="Q72" i="4" s="1"/>
  <c r="N117" i="4"/>
  <c r="Q117" i="4"/>
  <c r="L117" i="4"/>
  <c r="N103" i="4"/>
  <c r="Q103" i="4"/>
  <c r="L103" i="4"/>
  <c r="L125" i="4"/>
  <c r="N125" i="4"/>
  <c r="Q125" i="4"/>
  <c r="N115" i="4"/>
  <c r="Q115" i="4" s="1"/>
  <c r="L104" i="4"/>
  <c r="N104" i="4"/>
  <c r="Q104" i="4"/>
  <c r="N90" i="4"/>
  <c r="Q90" i="4" s="1"/>
  <c r="L90" i="4"/>
  <c r="N126" i="4"/>
  <c r="Q126" i="4"/>
  <c r="L126" i="4"/>
  <c r="M126" i="4" s="1"/>
  <c r="N91" i="4"/>
  <c r="Q91" i="4" s="1"/>
  <c r="L91" i="4"/>
  <c r="M91" i="4" s="1"/>
  <c r="L112" i="4"/>
  <c r="N112" i="4"/>
  <c r="Q112" i="4"/>
  <c r="L78" i="4"/>
  <c r="N78" i="4"/>
  <c r="Q78" i="4" s="1"/>
  <c r="N95" i="4"/>
  <c r="Q95" i="4"/>
  <c r="L95" i="4"/>
  <c r="N83" i="4"/>
  <c r="Q83" i="4" s="1"/>
  <c r="N110" i="4"/>
  <c r="Q110" i="4"/>
  <c r="L110" i="4"/>
  <c r="L100" i="4"/>
  <c r="N100" i="4"/>
  <c r="Q100" i="4"/>
  <c r="L123" i="4"/>
  <c r="N123" i="4"/>
  <c r="Q123" i="4"/>
  <c r="N113" i="4"/>
  <c r="Q113" i="4"/>
  <c r="L113" i="4"/>
  <c r="L102" i="4"/>
  <c r="N102" i="4"/>
  <c r="Q102" i="4"/>
  <c r="N116" i="4"/>
  <c r="Q116" i="4" s="1"/>
  <c r="L116" i="4"/>
  <c r="M116" i="4" s="1"/>
  <c r="N87" i="4"/>
  <c r="Q87" i="4" s="1"/>
  <c r="L87" i="4"/>
  <c r="N122" i="4"/>
  <c r="Q122" i="4"/>
  <c r="L122" i="4"/>
  <c r="N74" i="4"/>
  <c r="Q74" i="4" s="1"/>
  <c r="L74" i="4"/>
  <c r="N118" i="4"/>
  <c r="Q118" i="4"/>
  <c r="L118" i="4"/>
  <c r="L94" i="4"/>
  <c r="N94" i="4"/>
  <c r="Q94" i="4"/>
  <c r="L80" i="4"/>
  <c r="N80" i="4"/>
  <c r="Q80" i="4" s="1"/>
  <c r="N109" i="4"/>
  <c r="Q109" i="4"/>
  <c r="L109" i="4"/>
  <c r="L92" i="4"/>
  <c r="N92" i="4"/>
  <c r="Q92" i="4"/>
  <c r="N120" i="4"/>
  <c r="Q120" i="4"/>
  <c r="L120" i="4"/>
  <c r="M120" i="4" s="1"/>
  <c r="N111" i="4"/>
  <c r="Q111" i="4"/>
  <c r="L111" i="4"/>
  <c r="N99" i="4"/>
  <c r="Q99" i="4"/>
  <c r="L99" i="4"/>
  <c r="L81" i="4"/>
  <c r="N81" i="4"/>
  <c r="Q81" i="4" s="1"/>
  <c r="O77" i="4" l="1"/>
  <c r="P77" i="4" s="1"/>
  <c r="O93" i="4"/>
  <c r="P93" i="4" s="1"/>
  <c r="O78" i="4"/>
  <c r="P78" i="4" s="1"/>
  <c r="O82" i="4"/>
  <c r="P82" i="4" s="1"/>
  <c r="M76" i="4"/>
  <c r="M84" i="4"/>
  <c r="O92" i="4"/>
  <c r="P92" i="4" s="1"/>
  <c r="O80" i="4"/>
  <c r="P80" i="4" s="1"/>
  <c r="O74" i="4"/>
  <c r="P74" i="4" s="1"/>
  <c r="O96" i="4"/>
  <c r="P96" i="4" s="1"/>
  <c r="O84" i="4"/>
  <c r="P84" i="4" s="1"/>
  <c r="O72" i="4"/>
  <c r="P72" i="4" s="1"/>
  <c r="M73" i="4"/>
  <c r="M87" i="4"/>
  <c r="M95" i="4"/>
  <c r="O83" i="4"/>
  <c r="P83" i="4" s="1"/>
  <c r="M72" i="4"/>
  <c r="O79" i="4"/>
  <c r="P79" i="4" s="1"/>
  <c r="M90" i="4"/>
  <c r="M75" i="4"/>
  <c r="O75" i="4"/>
  <c r="P75" i="4" s="1"/>
  <c r="O95" i="4"/>
  <c r="P95" i="4" s="1"/>
  <c r="O87" i="4"/>
  <c r="P87" i="4" s="1"/>
  <c r="M79" i="4"/>
  <c r="M80" i="4"/>
  <c r="M77" i="4"/>
  <c r="M85" i="4"/>
  <c r="M86" i="4"/>
  <c r="O73" i="4"/>
  <c r="P73" i="4" s="1"/>
  <c r="O88" i="4"/>
  <c r="P88" i="4" s="1"/>
  <c r="M78" i="4"/>
  <c r="N127" i="4"/>
  <c r="Q127" i="4" s="1"/>
  <c r="M82" i="4"/>
  <c r="M83" i="4"/>
  <c r="O89" i="4"/>
  <c r="P89" i="4" s="1"/>
  <c r="O90" i="4"/>
  <c r="P90" i="4" s="1"/>
  <c r="O85" i="4"/>
  <c r="P85" i="4" s="1"/>
  <c r="O81" i="4"/>
  <c r="P81" i="4" s="1"/>
  <c r="O86" i="4"/>
  <c r="P86" i="4" s="1"/>
  <c r="M94" i="4"/>
  <c r="L89" i="4"/>
  <c r="M81" i="4"/>
  <c r="M92" i="4"/>
  <c r="M74" i="4"/>
  <c r="M96" i="4"/>
  <c r="K76" i="4"/>
  <c r="N85" i="4"/>
  <c r="Q85" i="4" s="1"/>
  <c r="L93" i="4"/>
  <c r="L88" i="4"/>
  <c r="N82" i="4"/>
  <c r="Q82" i="4" s="1"/>
  <c r="N84" i="4"/>
  <c r="Q84" i="4" s="1"/>
  <c r="J14" i="4"/>
  <c r="J13" i="4" s="1"/>
  <c r="K16" i="4" s="1"/>
  <c r="M89" i="4" l="1"/>
  <c r="M88" i="4"/>
  <c r="M93" i="4"/>
  <c r="O76" i="4"/>
  <c r="P76" i="4" s="1"/>
  <c r="K14" i="4"/>
  <c r="K13" i="4"/>
  <c r="K15" i="4"/>
  <c r="I63" i="4" l="1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O62" i="4" s="1"/>
  <c r="P62" i="4" s="1"/>
  <c r="J60" i="4"/>
  <c r="K60" i="4" s="1"/>
  <c r="O60" i="4" s="1"/>
  <c r="P60" i="4" s="1"/>
  <c r="J56" i="4"/>
  <c r="K56" i="4" s="1"/>
  <c r="O56" i="4" s="1"/>
  <c r="P56" i="4" s="1"/>
  <c r="J58" i="4"/>
  <c r="K58" i="4" s="1"/>
  <c r="J55" i="4"/>
  <c r="K55" i="4" s="1"/>
  <c r="O55" i="4" s="1"/>
  <c r="P55" i="4" s="1"/>
  <c r="J61" i="4"/>
  <c r="K61" i="4" s="1"/>
  <c r="O61" i="4" s="1"/>
  <c r="P61" i="4" s="1"/>
  <c r="J57" i="4"/>
  <c r="K57" i="4" s="1"/>
  <c r="J59" i="4"/>
  <c r="K59" i="4" s="1"/>
  <c r="O59" i="4" s="1"/>
  <c r="P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O57" i="4" l="1"/>
  <c r="P57" i="4" s="1"/>
  <c r="O58" i="4"/>
  <c r="P58" i="4" s="1"/>
  <c r="L66" i="4"/>
  <c r="K66" i="4"/>
  <c r="K70" i="4"/>
  <c r="L70" i="4"/>
  <c r="M70" i="4" s="1"/>
  <c r="K64" i="4"/>
  <c r="L64" i="4"/>
  <c r="O63" i="4"/>
  <c r="P63" i="4" s="1"/>
  <c r="L63" i="4"/>
  <c r="M63" i="4" s="1"/>
  <c r="K68" i="4"/>
  <c r="L68" i="4"/>
  <c r="L67" i="4"/>
  <c r="K67" i="4"/>
  <c r="L65" i="4"/>
  <c r="K65" i="4"/>
  <c r="K69" i="4"/>
  <c r="L69" i="4"/>
  <c r="N62" i="4"/>
  <c r="Q62" i="4" s="1"/>
  <c r="L62" i="4"/>
  <c r="M62" i="4" s="1"/>
  <c r="N55" i="4"/>
  <c r="Q55" i="4" s="1"/>
  <c r="L55" i="4"/>
  <c r="M55" i="4" s="1"/>
  <c r="L56" i="4"/>
  <c r="M56" i="4" s="1"/>
  <c r="N56" i="4"/>
  <c r="Q56" i="4" s="1"/>
  <c r="N59" i="4"/>
  <c r="Q59" i="4" s="1"/>
  <c r="L59" i="4"/>
  <c r="M59" i="4" s="1"/>
  <c r="N57" i="4"/>
  <c r="Q57" i="4" s="1"/>
  <c r="L57" i="4"/>
  <c r="L58" i="4"/>
  <c r="N58" i="4"/>
  <c r="Q58" i="4" s="1"/>
  <c r="N61" i="4"/>
  <c r="Q61" i="4" s="1"/>
  <c r="L61" i="4"/>
  <c r="M61" i="4" s="1"/>
  <c r="L60" i="4"/>
  <c r="M60" i="4" s="1"/>
  <c r="N60" i="4"/>
  <c r="Q60" i="4" s="1"/>
  <c r="M58" i="4" l="1"/>
  <c r="O69" i="4"/>
  <c r="P69" i="4" s="1"/>
  <c r="O66" i="4"/>
  <c r="P66" i="4" s="1"/>
  <c r="O67" i="4"/>
  <c r="P67" i="4" s="1"/>
  <c r="O65" i="4"/>
  <c r="P65" i="4" s="1"/>
  <c r="M66" i="4"/>
  <c r="M67" i="4"/>
  <c r="O68" i="4"/>
  <c r="P68" i="4" s="1"/>
  <c r="M64" i="4"/>
  <c r="M69" i="4"/>
  <c r="M57" i="4"/>
  <c r="M65" i="4"/>
  <c r="O64" i="4"/>
  <c r="P64" i="4" s="1"/>
  <c r="M68" i="4"/>
  <c r="O70" i="4"/>
  <c r="P70" i="4" s="1"/>
  <c r="J21" i="4" l="1"/>
  <c r="J9" i="4" s="1"/>
  <c r="J22" i="4"/>
  <c r="J10" i="4" s="1"/>
  <c r="J20" i="4"/>
  <c r="N36" i="4" l="1"/>
  <c r="N29" i="4"/>
  <c r="N31" i="4"/>
  <c r="N46" i="4"/>
  <c r="N48" i="4"/>
  <c r="N28" i="4"/>
  <c r="J19" i="4"/>
  <c r="K19" i="4" s="1"/>
  <c r="N32" i="4"/>
  <c r="N45" i="4"/>
  <c r="N37" i="4"/>
  <c r="N44" i="4"/>
  <c r="N49" i="4"/>
  <c r="N53" i="4"/>
  <c r="Q53" i="4" s="1"/>
  <c r="J8" i="4"/>
  <c r="N30" i="4"/>
  <c r="N51" i="4"/>
  <c r="N41" i="4"/>
  <c r="N50" i="4"/>
  <c r="N43" i="4"/>
  <c r="N39" i="4"/>
  <c r="N42" i="4"/>
  <c r="N40" i="4"/>
  <c r="N34" i="4"/>
  <c r="N38" i="4"/>
  <c r="N54" i="4"/>
  <c r="N33" i="4"/>
  <c r="N35" i="4"/>
  <c r="N52" i="4"/>
  <c r="N47" i="4"/>
  <c r="J7" i="4" l="1"/>
  <c r="Q48" i="4" s="1"/>
  <c r="K21" i="4"/>
  <c r="J39" i="4" s="1"/>
  <c r="K22" i="4"/>
  <c r="K20" i="4"/>
  <c r="Q50" i="4"/>
  <c r="Q52" i="4"/>
  <c r="J52" i="4"/>
  <c r="J49" i="4"/>
  <c r="J53" i="4"/>
  <c r="J54" i="4"/>
  <c r="J50" i="4"/>
  <c r="J48" i="4"/>
  <c r="J51" i="4"/>
  <c r="Q54" i="4"/>
  <c r="Q51" i="4"/>
  <c r="Q49" i="4"/>
  <c r="J45" i="4" l="1"/>
  <c r="J30" i="4"/>
  <c r="K30" i="4" s="1"/>
  <c r="J43" i="4"/>
  <c r="J31" i="4"/>
  <c r="J44" i="4"/>
  <c r="L44" i="4" s="1"/>
  <c r="J36" i="4"/>
  <c r="L36" i="4" s="1"/>
  <c r="J46" i="4"/>
  <c r="K46" i="4" s="1"/>
  <c r="J35" i="4"/>
  <c r="K35" i="4" s="1"/>
  <c r="Q41" i="4"/>
  <c r="Q45" i="4"/>
  <c r="Q31" i="4"/>
  <c r="Q36" i="4"/>
  <c r="Q43" i="4"/>
  <c r="Q42" i="4"/>
  <c r="Q38" i="4"/>
  <c r="Q44" i="4"/>
  <c r="Q39" i="4"/>
  <c r="Q34" i="4"/>
  <c r="Q29" i="4"/>
  <c r="J33" i="4"/>
  <c r="K33" i="4" s="1"/>
  <c r="J47" i="4"/>
  <c r="K47" i="4" s="1"/>
  <c r="Q47" i="4"/>
  <c r="Q46" i="4"/>
  <c r="Q35" i="4"/>
  <c r="J34" i="4"/>
  <c r="L34" i="4" s="1"/>
  <c r="J41" i="4"/>
  <c r="K41" i="4" s="1"/>
  <c r="J42" i="4"/>
  <c r="L42" i="4" s="1"/>
  <c r="J32" i="4"/>
  <c r="L32" i="4" s="1"/>
  <c r="J37" i="4"/>
  <c r="L37" i="4" s="1"/>
  <c r="J40" i="4"/>
  <c r="L40" i="4" s="1"/>
  <c r="J38" i="4"/>
  <c r="L38" i="4" s="1"/>
  <c r="J29" i="4"/>
  <c r="L29" i="4" s="1"/>
  <c r="Q32" i="4"/>
  <c r="Q30" i="4"/>
  <c r="Q33" i="4"/>
  <c r="Q40" i="4"/>
  <c r="Q37" i="4"/>
  <c r="K9" i="4"/>
  <c r="Q28" i="4"/>
  <c r="K10" i="4"/>
  <c r="K8" i="4"/>
  <c r="K7" i="4"/>
  <c r="J28" i="4"/>
  <c r="K28" i="4" s="1"/>
  <c r="K31" i="4"/>
  <c r="L31" i="4"/>
  <c r="L45" i="4"/>
  <c r="K45" i="4"/>
  <c r="K44" i="4"/>
  <c r="K52" i="4"/>
  <c r="O52" i="4" s="1"/>
  <c r="P52" i="4" s="1"/>
  <c r="L52" i="4"/>
  <c r="M52" i="4" s="1"/>
  <c r="L43" i="4"/>
  <c r="K43" i="4"/>
  <c r="L54" i="4"/>
  <c r="M54" i="4" s="1"/>
  <c r="K54" i="4"/>
  <c r="O54" i="4" s="1"/>
  <c r="P54" i="4" s="1"/>
  <c r="L51" i="4"/>
  <c r="M51" i="4" s="1"/>
  <c r="K51" i="4"/>
  <c r="O51" i="4" s="1"/>
  <c r="P51" i="4" s="1"/>
  <c r="L53" i="4"/>
  <c r="M53" i="4" s="1"/>
  <c r="K53" i="4"/>
  <c r="O53" i="4" s="1"/>
  <c r="P53" i="4" s="1"/>
  <c r="L48" i="4"/>
  <c r="K48" i="4"/>
  <c r="L39" i="4"/>
  <c r="K39" i="4"/>
  <c r="L50" i="4"/>
  <c r="M50" i="4" s="1"/>
  <c r="K50" i="4"/>
  <c r="O50" i="4" s="1"/>
  <c r="P50" i="4" s="1"/>
  <c r="L49" i="4"/>
  <c r="K49" i="4"/>
  <c r="O48" i="4" l="1"/>
  <c r="P48" i="4" s="1"/>
  <c r="M48" i="4"/>
  <c r="M49" i="4"/>
  <c r="O49" i="4"/>
  <c r="P49" i="4" s="1"/>
  <c r="L35" i="4"/>
  <c r="K36" i="4"/>
  <c r="M45" i="4"/>
  <c r="M31" i="4"/>
  <c r="O47" i="4"/>
  <c r="P47" i="4" s="1"/>
  <c r="O31" i="4"/>
  <c r="P31" i="4" s="1"/>
  <c r="O33" i="4"/>
  <c r="P33" i="4" s="1"/>
  <c r="O43" i="4"/>
  <c r="P43" i="4" s="1"/>
  <c r="M39" i="4"/>
  <c r="O41" i="4"/>
  <c r="P41" i="4" s="1"/>
  <c r="O30" i="4"/>
  <c r="P30" i="4" s="1"/>
  <c r="O44" i="4"/>
  <c r="P44" i="4" s="1"/>
  <c r="L30" i="4"/>
  <c r="L47" i="4"/>
  <c r="O35" i="4"/>
  <c r="P35" i="4" s="1"/>
  <c r="O46" i="4"/>
  <c r="P46" i="4" s="1"/>
  <c r="M43" i="4"/>
  <c r="O39" i="4"/>
  <c r="P39" i="4" s="1"/>
  <c r="M44" i="4"/>
  <c r="O45" i="4"/>
  <c r="P45" i="4" s="1"/>
  <c r="O28" i="4"/>
  <c r="P28" i="4" s="1"/>
  <c r="L46" i="4"/>
  <c r="K37" i="4"/>
  <c r="L41" i="4"/>
  <c r="K42" i="4"/>
  <c r="K34" i="4"/>
  <c r="L33" i="4"/>
  <c r="K38" i="4"/>
  <c r="K29" i="4"/>
  <c r="M32" i="4"/>
  <c r="M40" i="4"/>
  <c r="M34" i="4"/>
  <c r="M29" i="4"/>
  <c r="M37" i="4"/>
  <c r="M42" i="4"/>
  <c r="M38" i="4"/>
  <c r="M30" i="4"/>
  <c r="M36" i="4"/>
  <c r="K40" i="4"/>
  <c r="K32" i="4"/>
  <c r="L28" i="4"/>
  <c r="O36" i="4" l="1"/>
  <c r="P36" i="4" s="1"/>
  <c r="M35" i="4"/>
  <c r="M46" i="4"/>
  <c r="O38" i="4"/>
  <c r="P38" i="4" s="1"/>
  <c r="M47" i="4"/>
  <c r="O29" i="4"/>
  <c r="P29" i="4" s="1"/>
  <c r="O32" i="4"/>
  <c r="P32" i="4" s="1"/>
  <c r="M33" i="4"/>
  <c r="O34" i="4"/>
  <c r="P34" i="4" s="1"/>
  <c r="O37" i="4"/>
  <c r="P37" i="4" s="1"/>
  <c r="O40" i="4"/>
  <c r="P40" i="4" s="1"/>
  <c r="O42" i="4"/>
  <c r="P42" i="4" s="1"/>
  <c r="M41" i="4"/>
  <c r="M2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<sst xmlns="http://schemas.openxmlformats.org/spreadsheetml/2006/main" count="318" uniqueCount="294">
  <si>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</si>
  <si>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</si>
  <si>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</si>
  <si>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</si>
  <si>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</si>
  <si>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</si>
  <si>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</si>
  <si>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</si>
  <si>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</si>
  <si>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</si>
  <si>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</si>
  <si>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</si>
  <si>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</si>
  <si>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</si>
  <si>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</si>
  <si>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</si>
  <si>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</si>
  <si>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</si>
  <si>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</si>
  <si>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</si>
  <si>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</si>
  <si>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</si>
  <si>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</si>
  <si>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</si>
  <si>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</si>
  <si>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</si>
  <si>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</si>
  <si>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</si>
  <si>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</si>
  <si>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</si>
  <si>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</si>
  <si>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</si>
  <si>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</si>
  <si>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</si>
  <si>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</si>
  <si>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</si>
  <si>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</si>
  <si>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</si>
  <si>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</si>
  <si>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</si>
  <si>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</si>
  <si>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</si>
  <si>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</si>
  <si>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</si>
  <si>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</si>
  <si>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</si>
  <si>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</si>
  <si>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</si>
  <si>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</si>
  <si>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</si>
  <si>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</si>
  <si>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</si>
  <si>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</si>
  <si>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</si>
  <si>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</si>
  <si>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</si>
  <si>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</si>
  <si>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</si>
  <si>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</si>
  <si>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</si>
  <si>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</si>
  <si>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</si>
  <si>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</si>
  <si>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</si>
  <si>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</si>
  <si>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</si>
  <si>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</si>
  <si>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</si>
  <si>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</si>
  <si>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</si>
  <si>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</si>
  <si>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</si>
  <si>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</si>
  <si>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</si>
  <si>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OptiMEM</t>
    <phoneticPr fontId="17" type="noConversion"/>
  </si>
  <si>
    <t>cs-FBS</t>
    <phoneticPr fontId="17" type="noConversion"/>
  </si>
  <si>
    <t>HEK293T</t>
    <phoneticPr fontId="17" type="noConversion"/>
  </si>
  <si>
    <t>umole</t>
    <phoneticPr fontId="17" type="noConversion"/>
  </si>
  <si>
    <t>umold</t>
    <phoneticPr fontId="17" type="noConversion"/>
  </si>
  <si>
    <t>HepG2</t>
  </si>
  <si>
    <t>Dicofol</t>
  </si>
  <si>
    <t>115-32-2</t>
  </si>
  <si>
    <t>Endosulfan I</t>
  </si>
  <si>
    <t>115-29-7</t>
  </si>
  <si>
    <t>Lindane</t>
  </si>
  <si>
    <t>58-89-9</t>
  </si>
  <si>
    <t>Parathion</t>
  </si>
  <si>
    <t>56-38-2</t>
  </si>
  <si>
    <t>Caffeine</t>
  </si>
  <si>
    <t>58-08-2</t>
  </si>
  <si>
    <t>2,4-Dichlorophenoxyacetic</t>
  </si>
  <si>
    <t>94-75-7</t>
  </si>
  <si>
    <t>(S)-Naproxen</t>
  </si>
  <si>
    <t>22204-53-1</t>
  </si>
  <si>
    <t>Torasemide</t>
  </si>
  <si>
    <t>56211-40-6</t>
  </si>
  <si>
    <t>Warfarin</t>
  </si>
  <si>
    <t>81-81-2</t>
  </si>
  <si>
    <t>Malathion</t>
  </si>
  <si>
    <t>121-75-5</t>
  </si>
  <si>
    <t>Allyl alcohol</t>
  </si>
  <si>
    <t>107-18-6</t>
  </si>
  <si>
    <t>dichloromethane</t>
  </si>
  <si>
    <t>75-09-2</t>
  </si>
  <si>
    <t>2,3-dimethyl-1,3-butadiene</t>
  </si>
  <si>
    <t>513-81-5</t>
  </si>
  <si>
    <t>PBDE 153</t>
  </si>
  <si>
    <t>68631-49-2</t>
  </si>
  <si>
    <t>amiodarone</t>
  </si>
  <si>
    <t>1951-25-3</t>
  </si>
  <si>
    <t>15687-27-1</t>
  </si>
  <si>
    <t>H4lle</t>
  </si>
  <si>
    <t>Chlorpyrifos</t>
  </si>
  <si>
    <t>2921-88-2</t>
  </si>
  <si>
    <t>2,4-Dinitrophenol</t>
  </si>
  <si>
    <t>51-28-5</t>
  </si>
  <si>
    <t>Aldrin</t>
  </si>
  <si>
    <t>309-00-2</t>
  </si>
  <si>
    <t>Azinphos-methyl</t>
  </si>
  <si>
    <t>86-50-0</t>
  </si>
  <si>
    <t>DDD-p,p'</t>
  </si>
  <si>
    <t>50-29-3</t>
  </si>
  <si>
    <t>DDT-o,p'</t>
  </si>
  <si>
    <t>789-02-6</t>
  </si>
  <si>
    <t>DDT-p,p'</t>
  </si>
  <si>
    <t>72-54-8</t>
  </si>
  <si>
    <t>Diazinon</t>
  </si>
  <si>
    <t>333-41-5</t>
  </si>
  <si>
    <t>Dieldrin</t>
  </si>
  <si>
    <t>60-57-1</t>
  </si>
  <si>
    <t>Disulfoton</t>
  </si>
  <si>
    <t>298-04-4</t>
  </si>
  <si>
    <t>Endrin</t>
  </si>
  <si>
    <t>72-20-8</t>
  </si>
  <si>
    <t>Ethion</t>
  </si>
  <si>
    <t>563-12-2</t>
  </si>
  <si>
    <t>Heptachlor</t>
  </si>
  <si>
    <t>76-44-8</t>
  </si>
  <si>
    <t>Heptachlor epoxide B</t>
  </si>
  <si>
    <t>1024-57-3</t>
  </si>
  <si>
    <t>Methoxychlor-o,p'</t>
  </si>
  <si>
    <t>72-43-5</t>
  </si>
  <si>
    <t>Trifluralin</t>
  </si>
  <si>
    <t>1582-09-8</t>
  </si>
  <si>
    <t>Eugenol F</t>
  </si>
  <si>
    <t>97-53-0</t>
  </si>
  <si>
    <t>Methyl-antranilate</t>
  </si>
  <si>
    <t>134-20-3</t>
  </si>
  <si>
    <t>Lilyfore</t>
  </si>
  <si>
    <t>285977-85-7</t>
  </si>
  <si>
    <t>Damascone beta</t>
  </si>
  <si>
    <t>23726-91-2</t>
  </si>
  <si>
    <t>Veloutone</t>
  </si>
  <si>
    <t>14595-54-1</t>
  </si>
  <si>
    <t>Verdox</t>
  </si>
  <si>
    <t>82356-51-2</t>
  </si>
  <si>
    <t>Nirvanol</t>
  </si>
  <si>
    <t>1506-02-1</t>
  </si>
  <si>
    <t>Cetalox</t>
  </si>
  <si>
    <t>3738-00-9</t>
  </si>
  <si>
    <t>Tonalide</t>
  </si>
  <si>
    <t>21145-77-7</t>
  </si>
  <si>
    <t>Lamotrigine</t>
  </si>
  <si>
    <t>84057-84-1</t>
  </si>
  <si>
    <t>Diclofenac</t>
  </si>
  <si>
    <t>15307-79-6</t>
  </si>
  <si>
    <t>Ibuprofen</t>
  </si>
  <si>
    <t>di-n-butylphthalate</t>
  </si>
  <si>
    <t>84-74-2</t>
  </si>
  <si>
    <t>hexachlorophene</t>
  </si>
  <si>
    <t>70-30-4</t>
  </si>
  <si>
    <t>hexamethylenetetramine</t>
  </si>
  <si>
    <t>100-97-0</t>
  </si>
  <si>
    <t>pentachlorophenol</t>
  </si>
  <si>
    <t>87-86-5</t>
  </si>
  <si>
    <t>2,2,2-trichloroethanol</t>
  </si>
  <si>
    <t>115-20-8</t>
  </si>
  <si>
    <t>diethylphthalate</t>
  </si>
  <si>
    <t>84-66-2</t>
  </si>
  <si>
    <t>4-chlorophenol</t>
  </si>
  <si>
    <t>106-48-9</t>
  </si>
  <si>
    <t>permethrin</t>
  </si>
  <si>
    <t>52645-53-1</t>
  </si>
  <si>
    <t>Aniline</t>
  </si>
  <si>
    <t>62-53-3</t>
  </si>
  <si>
    <t>4-fluoroaniline</t>
  </si>
  <si>
    <t>371-40-4</t>
  </si>
  <si>
    <t>2,4,6-trichlorophenol</t>
  </si>
  <si>
    <t>88-06-2</t>
  </si>
  <si>
    <t>N-methylaniline</t>
  </si>
  <si>
    <t>100-61-8</t>
  </si>
  <si>
    <t>3,4-dichloroaniline</t>
  </si>
  <si>
    <t>95-76-1</t>
  </si>
  <si>
    <t>4-decylaniline</t>
  </si>
  <si>
    <t>37529-30-9</t>
  </si>
  <si>
    <t>naphthalene</t>
  </si>
  <si>
    <t>91-20-3</t>
  </si>
  <si>
    <t>1,2,4-trichlorobenzene</t>
  </si>
  <si>
    <t>120-82-1</t>
  </si>
  <si>
    <t>1,2-dichlorobenzene</t>
  </si>
  <si>
    <t>95-50-1</t>
  </si>
  <si>
    <t>tetrachloroethylene</t>
  </si>
  <si>
    <t>127-18-4</t>
  </si>
  <si>
    <t>cyclosporine A</t>
  </si>
  <si>
    <t>59865-13-3</t>
  </si>
  <si>
    <t>chlorpromazine</t>
  </si>
  <si>
    <t>50-53-3</t>
  </si>
  <si>
    <t>PBDE 47</t>
  </si>
  <si>
    <t>5436-43-1</t>
  </si>
  <si>
    <t>PBDE 99</t>
  </si>
  <si>
    <t>60348-60-9</t>
  </si>
  <si>
    <t>PFBS</t>
  </si>
  <si>
    <t>375-73-5</t>
  </si>
  <si>
    <t>4:2 FTS</t>
  </si>
  <si>
    <t>757124-72-4</t>
  </si>
  <si>
    <t>PFNA</t>
  </si>
  <si>
    <t>375-95-1</t>
  </si>
  <si>
    <t>PFHxA</t>
  </si>
  <si>
    <t>307-24-4</t>
  </si>
  <si>
    <t>PFBA</t>
  </si>
  <si>
    <t>375-22-4</t>
  </si>
  <si>
    <t>PFOA</t>
  </si>
  <si>
    <t>335-67-1</t>
  </si>
  <si>
    <t>6:2 FTS</t>
  </si>
  <si>
    <t>27619-97-2</t>
  </si>
  <si>
    <t>8:2 FTS</t>
  </si>
  <si>
    <t>39108-34-4</t>
  </si>
  <si>
    <t>PFUnDA</t>
  </si>
  <si>
    <t>2058-94-8</t>
  </si>
  <si>
    <t>PFOS</t>
  </si>
  <si>
    <t>1763-23-1</t>
  </si>
  <si>
    <t>PFHpA</t>
  </si>
  <si>
    <t>375-85-9</t>
  </si>
  <si>
    <t>PFPeA</t>
  </si>
  <si>
    <t>2706-90-3</t>
  </si>
  <si>
    <t>PFHxS</t>
  </si>
  <si>
    <t>355-46-4</t>
  </si>
  <si>
    <t>PFDA</t>
  </si>
  <si>
    <t>335-76-2</t>
  </si>
  <si>
    <t>Azathioprine</t>
  </si>
  <si>
    <t>446-86-6</t>
  </si>
  <si>
    <t>Benzocaine</t>
  </si>
  <si>
    <t>94-09-7</t>
  </si>
  <si>
    <t>Butylated hydroxyanisole</t>
  </si>
  <si>
    <t>25013-16-5</t>
  </si>
  <si>
    <t>Cetirizine dihydrochloride</t>
  </si>
  <si>
    <t>83881-52-1</t>
  </si>
  <si>
    <t>Cyclamate</t>
  </si>
  <si>
    <t>139-05-9</t>
  </si>
  <si>
    <t>Cyclophosphamide</t>
  </si>
  <si>
    <t>6055-19-2</t>
  </si>
  <si>
    <t>Cypermethrin</t>
  </si>
  <si>
    <t>67375-30-8</t>
  </si>
  <si>
    <t>DEET</t>
  </si>
  <si>
    <t>134-62-3</t>
  </si>
  <si>
    <t>Dexamethasone</t>
  </si>
  <si>
    <t>50-02-2</t>
  </si>
  <si>
    <t>Digoxin</t>
  </si>
  <si>
    <t>20830-75-5</t>
  </si>
  <si>
    <t>Fenazaquin</t>
  </si>
  <si>
    <t>120928-09-8</t>
  </si>
  <si>
    <t>Fenbuconazole</t>
  </si>
  <si>
    <t>114369-43-6</t>
  </si>
  <si>
    <t>Fluazinam</t>
  </si>
  <si>
    <t>79622-59-6</t>
  </si>
  <si>
    <t>Furosemide</t>
  </si>
  <si>
    <t>54-31-9</t>
  </si>
  <si>
    <t>Glybenclamide</t>
  </si>
  <si>
    <t>10238-21-8</t>
  </si>
  <si>
    <t>HC Red 3</t>
  </si>
  <si>
    <t>2871-01-4</t>
  </si>
  <si>
    <t>Hydralazine hydrochloride</t>
  </si>
  <si>
    <t>304-20-1</t>
  </si>
  <si>
    <t>Ketoconazole</t>
  </si>
  <si>
    <t>65277-42-1</t>
  </si>
  <si>
    <t>Metformin</t>
  </si>
  <si>
    <t>1115-70-4</t>
  </si>
  <si>
    <t>Metoclopramide</t>
  </si>
  <si>
    <t>364-62-5</t>
  </si>
  <si>
    <t>Nitrofurantoin</t>
  </si>
  <si>
    <t>67-20-9</t>
  </si>
  <si>
    <t>Oxytetracycline hydrochloride</t>
  </si>
  <si>
    <t>2058-46-0</t>
  </si>
  <si>
    <t>Panthenol</t>
  </si>
  <si>
    <t xml:space="preserve">16485-10-2 </t>
  </si>
  <si>
    <t>Paracetamol</t>
  </si>
  <si>
    <t>103-90-2</t>
  </si>
  <si>
    <t>Topiramate</t>
  </si>
  <si>
    <t>97240-79-4</t>
  </si>
  <si>
    <t>Trimellitic anhydride</t>
  </si>
  <si>
    <t>552-30-7</t>
  </si>
  <si>
    <t>Verapamil hydrochloride</t>
  </si>
  <si>
    <t>152-11-4</t>
  </si>
  <si>
    <t>129-06-6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</si>
</sst>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"/>
    <numFmt numFmtId="177" formatCode="0.000000000"/>
    <numFmt numFmtId="178" formatCode="0.0%"/>
    <numFmt numFmtId="179" formatCode="0.00_);[Red]\(0.00\)"/>
    <numFmt numFmtId="180" formatCode="0.00000_);[Red]\(0.00000\)"/>
    <numFmt numFmtId="181" formatCode="0.000000_);[Red]\(0.000000\)"/>
    <numFmt numFmtId="182" formatCode="0.0E+00"/>
  </numFmts>
  <fonts count="22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0"/>
      <color theme="1"/>
      <name val="Arial"/>
      <family val="2"/>
    </font>
    <font>
      <sz val="11"/>
      <color theme="1"/>
      <name val="Helvetica"/>
    </font>
    <font>
      <sz val="12"/>
      <color theme="0" tint="-0.34998626667073579"/>
      <name val="Helvetica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8E4BC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8" fillId="0" borderId="0"/>
  </cellStyleXfs>
  <cellXfs count="187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8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79" fontId="0" fillId="3" borderId="0" xfId="0" applyNumberFormat="1" applyFill="1"/>
    <xf numFmtId="180" fontId="0" fillId="3" borderId="0" xfId="0" applyNumberFormat="1" applyFill="1"/>
    <xf numFmtId="181" fontId="0" fillId="3" borderId="0" xfId="0" applyNumberFormat="1" applyFill="1"/>
    <xf numFmtId="0" fontId="4" fillId="8" borderId="7" xfId="0" applyFont="1" applyFill="1" applyBorder="1" applyAlignment="1" applyProtection="1">
      <alignment horizontal="left" vertical="center"/>
      <protection locked="0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2" fontId="4" fillId="8" borderId="7" xfId="0" applyNumberFormat="1" applyFont="1" applyFill="1" applyBorder="1" applyAlignment="1" applyProtection="1">
      <alignment horizontal="center" vertical="center"/>
      <protection locked="0"/>
    </xf>
    <xf numFmtId="11" fontId="4" fillId="8" borderId="7" xfId="0" applyNumberFormat="1" applyFont="1" applyFill="1" applyBorder="1" applyAlignment="1" applyProtection="1">
      <alignment horizontal="center" vertical="center"/>
      <protection locked="0"/>
    </xf>
    <xf numFmtId="2" fontId="1" fillId="8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182" fontId="19" fillId="0" borderId="0" xfId="0" applyNumberFormat="1" applyFont="1" applyAlignment="1">
      <alignment horizontal="center"/>
    </xf>
    <xf numFmtId="11" fontId="0" fillId="3" borderId="14" xfId="0" applyNumberFormat="1" applyFill="1" applyBorder="1"/>
    <xf numFmtId="0" fontId="0" fillId="5" borderId="0" xfId="0" applyFill="1"/>
    <xf numFmtId="181" fontId="0" fillId="0" borderId="0" xfId="0" applyNumberFormat="1"/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1" zoomScale="90" zoomScaleNormal="90" workbookViewId="0">
      <selection activeCell="K38" sqref="K38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112" t="s">
        <v>57</v>
      </c>
      <c r="C2" s="113"/>
      <c r="D2" s="113"/>
      <c r="E2" s="113"/>
      <c r="F2" s="113"/>
      <c r="G2" s="113"/>
      <c r="H2" s="114"/>
      <c r="I2" s="7"/>
      <c r="J2" s="103" t="s">
        <v>56</v>
      </c>
      <c r="K2" s="104"/>
      <c r="L2" s="104"/>
      <c r="M2" s="104"/>
      <c r="N2" s="104"/>
      <c r="O2" s="105"/>
      <c r="P2" s="7"/>
      <c r="Q2" s="103" t="s">
        <v>58</v>
      </c>
      <c r="R2" s="104"/>
      <c r="S2" s="104"/>
      <c r="T2" s="104"/>
      <c r="U2" s="104"/>
      <c r="V2" s="105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4" t="s">
        <v>0</v>
      </c>
      <c r="C3" s="25" t="s">
        <v>1</v>
      </c>
      <c r="D3" s="25"/>
      <c r="E3" s="25"/>
      <c r="F3" s="25"/>
      <c r="G3" s="25"/>
      <c r="H3" s="26"/>
      <c r="I3" s="7"/>
      <c r="J3" s="106"/>
      <c r="K3" s="107"/>
      <c r="L3" s="107"/>
      <c r="M3" s="107"/>
      <c r="N3" s="107"/>
      <c r="O3" s="108"/>
      <c r="P3" s="7"/>
      <c r="Q3" s="106"/>
      <c r="R3" s="107"/>
      <c r="S3" s="107"/>
      <c r="T3" s="107"/>
      <c r="U3" s="107"/>
      <c r="V3" s="108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7"/>
      <c r="C4" s="28" t="s">
        <v>2</v>
      </c>
      <c r="D4" s="29"/>
      <c r="E4" s="29"/>
      <c r="F4" s="29"/>
      <c r="G4" s="28"/>
      <c r="H4" s="30"/>
      <c r="I4" s="7"/>
      <c r="J4" s="109"/>
      <c r="K4" s="110"/>
      <c r="L4" s="110"/>
      <c r="M4" s="110"/>
      <c r="N4" s="110"/>
      <c r="O4" s="111"/>
      <c r="P4" s="7"/>
      <c r="Q4" s="109"/>
      <c r="R4" s="110"/>
      <c r="S4" s="110"/>
      <c r="T4" s="110"/>
      <c r="U4" s="110"/>
      <c r="V4" s="111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19"/>
      <c r="C5" s="1"/>
      <c r="D5" s="20"/>
      <c r="E5" s="20"/>
      <c r="F5" s="20"/>
      <c r="G5" s="1"/>
      <c r="H5" s="2"/>
      <c r="I5" s="7"/>
      <c r="J5" s="16"/>
      <c r="K5" s="17"/>
      <c r="L5" s="17"/>
      <c r="M5" s="17"/>
      <c r="N5" s="17"/>
      <c r="O5" s="18"/>
      <c r="P5" s="7"/>
      <c r="Q5" s="59"/>
      <c r="R5" s="60"/>
      <c r="S5" s="60"/>
      <c r="T5" s="60"/>
      <c r="U5" s="60"/>
      <c r="V5" s="61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1"/>
      <c r="C6" s="22"/>
      <c r="D6" s="22"/>
      <c r="E6" s="22"/>
      <c r="F6" s="22"/>
      <c r="G6" s="7"/>
      <c r="H6" s="14"/>
      <c r="I6" s="7"/>
      <c r="J6" s="11"/>
      <c r="K6" s="34" t="s">
        <v>21</v>
      </c>
      <c r="L6" s="35" t="s">
        <v>22</v>
      </c>
      <c r="M6" s="35" t="s">
        <v>25</v>
      </c>
      <c r="N6" s="13"/>
      <c r="O6" s="14"/>
      <c r="P6" s="7"/>
      <c r="Q6" s="12"/>
      <c r="R6" s="69"/>
      <c r="S6" s="80"/>
      <c r="T6" s="80"/>
      <c r="U6" s="3"/>
      <c r="V6" s="15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1"/>
      <c r="C7" s="7"/>
      <c r="D7" s="7"/>
      <c r="E7" s="7"/>
      <c r="F7" s="7"/>
      <c r="G7" s="7"/>
      <c r="H7" s="14"/>
      <c r="I7" s="7"/>
      <c r="J7" s="11"/>
      <c r="K7" s="82" t="s">
        <v>74</v>
      </c>
      <c r="L7" s="83">
        <v>0</v>
      </c>
      <c r="M7" s="84">
        <v>0</v>
      </c>
      <c r="N7" s="13"/>
      <c r="O7" s="14"/>
      <c r="P7" s="7"/>
      <c r="Q7" s="11"/>
      <c r="R7" s="13"/>
      <c r="S7" s="62"/>
      <c r="T7" s="63"/>
      <c r="U7" s="13"/>
      <c r="V7" s="14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1"/>
      <c r="C8" s="7"/>
      <c r="D8" s="7"/>
      <c r="E8" s="7"/>
      <c r="F8" s="7"/>
      <c r="G8" s="7"/>
      <c r="H8" s="14"/>
      <c r="I8" s="7"/>
      <c r="J8" s="11"/>
      <c r="K8" s="31" t="s">
        <v>23</v>
      </c>
      <c r="L8" s="32">
        <v>0</v>
      </c>
      <c r="M8" s="33">
        <v>0</v>
      </c>
      <c r="N8" s="13"/>
      <c r="O8" s="14"/>
      <c r="P8" s="7"/>
      <c r="Q8" s="12"/>
      <c r="R8" s="3"/>
      <c r="S8" s="78"/>
      <c r="T8" s="79"/>
      <c r="U8" s="3"/>
      <c r="V8" s="15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1"/>
      <c r="C9" s="7"/>
      <c r="D9" s="7"/>
      <c r="E9" s="7"/>
      <c r="F9" s="7"/>
      <c r="G9" s="7"/>
      <c r="H9" s="14"/>
      <c r="I9" s="7"/>
      <c r="J9" s="11"/>
      <c r="K9" s="31" t="s">
        <v>63</v>
      </c>
      <c r="L9" s="32">
        <v>0</v>
      </c>
      <c r="M9" s="33">
        <v>0</v>
      </c>
      <c r="N9" s="13"/>
      <c r="O9" s="14"/>
      <c r="P9" s="7"/>
      <c r="Q9" s="65"/>
      <c r="R9" s="1"/>
      <c r="S9" s="76"/>
      <c r="T9" s="77"/>
      <c r="U9" s="1"/>
      <c r="V9" s="6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1"/>
      <c r="C10" s="7"/>
      <c r="D10" s="7"/>
      <c r="E10" s="7"/>
      <c r="F10" s="7"/>
      <c r="G10" s="7"/>
      <c r="H10" s="14"/>
      <c r="I10" s="7"/>
      <c r="J10" s="11"/>
      <c r="K10" s="82" t="s">
        <v>16</v>
      </c>
      <c r="L10" s="83">
        <v>24</v>
      </c>
      <c r="M10" s="83">
        <v>1.9</v>
      </c>
      <c r="N10" s="13"/>
      <c r="O10" s="14"/>
      <c r="P10" s="7"/>
      <c r="Q10" s="12"/>
      <c r="R10" s="3"/>
      <c r="S10" s="78"/>
      <c r="T10" s="69"/>
      <c r="U10" s="3"/>
      <c r="V10" s="15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1"/>
      <c r="C11" s="7"/>
      <c r="D11" s="7"/>
      <c r="E11" s="7"/>
      <c r="F11" s="7"/>
      <c r="G11" s="7"/>
      <c r="H11" s="14"/>
      <c r="I11" s="7"/>
      <c r="J11" s="11"/>
      <c r="K11" s="31" t="s">
        <v>75</v>
      </c>
      <c r="L11" s="32">
        <v>46.77</v>
      </c>
      <c r="M11" s="32">
        <v>1.6</v>
      </c>
      <c r="N11" s="13"/>
      <c r="O11" s="14"/>
      <c r="P11" s="7"/>
      <c r="Q11" s="65"/>
      <c r="R11" s="1"/>
      <c r="S11" s="76"/>
      <c r="T11" s="76"/>
      <c r="U11" s="1"/>
      <c r="V11" s="6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1"/>
      <c r="C12" s="7"/>
      <c r="D12" s="7"/>
      <c r="E12" s="7"/>
      <c r="F12" s="7"/>
      <c r="G12" s="7"/>
      <c r="H12" s="14"/>
      <c r="I12" s="7"/>
      <c r="J12" s="11"/>
      <c r="K12" s="31" t="s">
        <v>24</v>
      </c>
      <c r="L12" s="32">
        <v>37.69</v>
      </c>
      <c r="M12" s="32">
        <v>1.46</v>
      </c>
      <c r="N12" s="13"/>
      <c r="O12" s="14"/>
      <c r="P12" s="7"/>
      <c r="Q12" s="11"/>
      <c r="R12" s="13"/>
      <c r="S12" s="62"/>
      <c r="T12" s="62"/>
      <c r="U12" s="13"/>
      <c r="V12" s="14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1"/>
      <c r="C13" s="7"/>
      <c r="D13" s="7"/>
      <c r="E13" s="7"/>
      <c r="F13" s="7"/>
      <c r="G13" s="7"/>
      <c r="H13" s="14"/>
      <c r="I13" s="7"/>
      <c r="J13" s="11"/>
      <c r="K13" s="13"/>
      <c r="L13" s="13"/>
      <c r="M13" s="13"/>
      <c r="N13" s="13"/>
      <c r="O13" s="14"/>
      <c r="P13" s="7"/>
      <c r="Q13" s="12"/>
      <c r="R13" s="3"/>
      <c r="S13" s="3"/>
      <c r="T13" s="3"/>
      <c r="U13" s="3"/>
      <c r="V13" s="15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1"/>
      <c r="C14" s="7"/>
      <c r="D14" s="7"/>
      <c r="E14" s="7"/>
      <c r="F14" s="7"/>
      <c r="G14" s="7"/>
      <c r="H14" s="14"/>
      <c r="I14" s="7"/>
      <c r="J14" s="11"/>
      <c r="K14" s="36" t="s">
        <v>29</v>
      </c>
      <c r="L14" s="35" t="s">
        <v>26</v>
      </c>
      <c r="M14" s="35" t="s">
        <v>27</v>
      </c>
      <c r="N14" s="35" t="s">
        <v>28</v>
      </c>
      <c r="O14" s="14"/>
      <c r="P14" s="7"/>
      <c r="Q14" s="72"/>
      <c r="R14" s="73"/>
      <c r="S14" s="74"/>
      <c r="T14" s="74"/>
      <c r="U14" s="74"/>
      <c r="V14" s="75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1"/>
      <c r="C15" s="7"/>
      <c r="D15" s="7"/>
      <c r="E15" s="7"/>
      <c r="F15" s="7"/>
      <c r="G15" s="7"/>
      <c r="H15" s="14"/>
      <c r="I15" s="7"/>
      <c r="J15" s="11"/>
      <c r="K15" s="31" t="s">
        <v>76</v>
      </c>
      <c r="L15" s="58">
        <f>M15/0.029*(0.018)</f>
        <v>4.619905956112852E-5</v>
      </c>
      <c r="M15" s="58">
        <v>7.4431818181818174E-5</v>
      </c>
      <c r="N15" s="58">
        <f>M15/0.029*(0.953)</f>
        <v>2.4459835423197487E-3</v>
      </c>
      <c r="O15" s="100">
        <f>SUM(L15:N15)</f>
        <v>2.5666144200626952E-3</v>
      </c>
      <c r="P15" s="9"/>
      <c r="Q15" s="65"/>
      <c r="R15" s="1"/>
      <c r="S15" s="70"/>
      <c r="T15" s="70"/>
      <c r="U15" s="70"/>
      <c r="V15" s="6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1"/>
      <c r="C16" s="7"/>
      <c r="D16" s="7"/>
      <c r="E16" s="7"/>
      <c r="F16" s="7"/>
      <c r="G16" s="7"/>
      <c r="H16" s="14"/>
      <c r="I16" s="7"/>
      <c r="J16" s="11"/>
      <c r="K16" s="31" t="s">
        <v>30</v>
      </c>
      <c r="L16" s="58">
        <v>2.5484800000000001E-3</v>
      </c>
      <c r="M16" s="58">
        <v>2.2915000000000001E-4</v>
      </c>
      <c r="N16" s="58">
        <v>9.6669999999999994E-5</v>
      </c>
      <c r="O16" s="100"/>
      <c r="P16" s="9"/>
      <c r="Q16" s="12"/>
      <c r="R16" s="3"/>
      <c r="S16" s="71"/>
      <c r="T16" s="71"/>
      <c r="U16" s="71"/>
      <c r="V16" s="15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1"/>
      <c r="C17" s="7"/>
      <c r="D17" s="7"/>
      <c r="E17" s="7"/>
      <c r="F17" s="7"/>
      <c r="G17" s="7"/>
      <c r="H17" s="14"/>
      <c r="I17" s="7"/>
      <c r="J17" s="101" t="s">
        <v>111</v>
      </c>
      <c r="K17" s="31" t="s">
        <v>79</v>
      </c>
      <c r="L17" s="81">
        <v>3.2865000000000004E-3</v>
      </c>
      <c r="M17" s="81">
        <v>1.9250000000000002E-4</v>
      </c>
      <c r="N17" s="81">
        <v>2.1000000000000002E-5</v>
      </c>
      <c r="O17" s="100"/>
      <c r="P17" s="9"/>
      <c r="Q17" s="65"/>
      <c r="R17" s="1"/>
      <c r="S17" s="70"/>
      <c r="T17" s="70"/>
      <c r="U17" s="70"/>
      <c r="V17" s="6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1"/>
      <c r="C18" s="7"/>
      <c r="D18" s="7"/>
      <c r="E18" s="7"/>
      <c r="F18" s="7"/>
      <c r="G18" s="7"/>
      <c r="H18" s="14"/>
      <c r="I18" s="7"/>
      <c r="J18" s="11"/>
      <c r="K18" s="31" t="s">
        <v>31</v>
      </c>
      <c r="L18" s="58">
        <v>2.2457100000000002E-3</v>
      </c>
      <c r="M18" s="58">
        <v>3.0027E-4</v>
      </c>
      <c r="N18" s="58">
        <v>6.6229999999999994E-5</v>
      </c>
      <c r="O18" s="100"/>
      <c r="P18" s="9"/>
      <c r="Q18" s="11"/>
      <c r="R18" s="13"/>
      <c r="S18" s="64"/>
      <c r="T18" s="64"/>
      <c r="U18" s="64"/>
      <c r="V18" s="14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1"/>
      <c r="C19" s="7"/>
      <c r="D19" s="7"/>
      <c r="E19" s="7"/>
      <c r="F19" s="7"/>
      <c r="G19" s="7"/>
      <c r="H19" s="14"/>
      <c r="I19" s="7"/>
      <c r="J19" s="11"/>
      <c r="K19" s="31" t="s">
        <v>32</v>
      </c>
      <c r="L19" s="58">
        <v>3.2730300000000001E-3</v>
      </c>
      <c r="M19" s="58">
        <v>3.9889999999999999E-4</v>
      </c>
      <c r="N19" s="58">
        <v>1.0728E-4</v>
      </c>
      <c r="O19" s="100"/>
      <c r="P19" s="9"/>
      <c r="Q19" s="12"/>
      <c r="R19" s="3"/>
      <c r="S19" s="71"/>
      <c r="T19" s="71"/>
      <c r="U19" s="71"/>
      <c r="V19" s="15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1"/>
      <c r="C20" s="7"/>
      <c r="D20" s="7"/>
      <c r="E20" s="7"/>
      <c r="F20" s="7"/>
      <c r="G20" s="7"/>
      <c r="H20" s="14"/>
      <c r="I20" s="7"/>
      <c r="J20" s="12"/>
      <c r="K20" s="3"/>
      <c r="L20" s="3"/>
      <c r="M20" s="3"/>
      <c r="N20" s="3"/>
      <c r="O20" s="15"/>
      <c r="P20" s="7"/>
      <c r="Q20" s="65"/>
      <c r="R20" s="1"/>
      <c r="S20" s="1"/>
      <c r="T20" s="1"/>
      <c r="U20" s="1"/>
      <c r="V20" s="6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1"/>
      <c r="C21" s="7"/>
      <c r="D21" s="7"/>
      <c r="E21" s="7"/>
      <c r="F21" s="7"/>
      <c r="G21" s="7"/>
      <c r="H21" s="14"/>
      <c r="I21" s="7"/>
      <c r="J21" s="7"/>
      <c r="K21" s="7"/>
      <c r="L21" s="7"/>
      <c r="M21" s="7"/>
      <c r="N21" s="7"/>
      <c r="O21" s="7"/>
      <c r="P21" s="7"/>
      <c r="Q21" s="11"/>
      <c r="R21" s="7"/>
      <c r="S21" s="7"/>
      <c r="T21" s="7"/>
      <c r="U21" s="7"/>
      <c r="V21" s="14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1"/>
      <c r="C22" s="7"/>
      <c r="D22" s="7"/>
      <c r="E22" s="7"/>
      <c r="F22" s="7"/>
      <c r="G22" s="7"/>
      <c r="H22" s="14"/>
      <c r="I22" s="7"/>
      <c r="J22" s="7"/>
      <c r="K22" s="7"/>
      <c r="M22" s="7"/>
      <c r="N22" s="7"/>
      <c r="O22" s="7"/>
      <c r="P22" s="7"/>
      <c r="Q22" s="12"/>
      <c r="R22" s="23"/>
      <c r="S22" s="23"/>
      <c r="T22" s="23"/>
      <c r="U22" s="23"/>
      <c r="V22" s="15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1"/>
      <c r="C23" s="7"/>
      <c r="D23" s="7"/>
      <c r="E23" s="7"/>
      <c r="F23" s="7"/>
      <c r="G23" s="7"/>
      <c r="H23" s="14"/>
      <c r="I23" s="7"/>
      <c r="J23" s="7"/>
      <c r="K23" s="7"/>
      <c r="L23" s="7"/>
      <c r="N23" s="7"/>
      <c r="O23" s="85"/>
      <c r="P23" s="7"/>
      <c r="Q23" s="65"/>
      <c r="R23" s="66"/>
      <c r="S23" s="66"/>
      <c r="T23" s="66"/>
      <c r="U23" s="66"/>
      <c r="V23" s="6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2"/>
      <c r="C24" s="23"/>
      <c r="D24" s="23"/>
      <c r="E24" s="23"/>
      <c r="F24" s="23"/>
      <c r="G24" s="23"/>
      <c r="H24" s="15"/>
      <c r="I24" s="7"/>
      <c r="J24" s="7"/>
      <c r="K24" s="7"/>
      <c r="L24" s="7"/>
      <c r="M24" s="7"/>
      <c r="N24" s="7"/>
      <c r="O24" s="86"/>
      <c r="P24" s="7"/>
      <c r="Q24" s="11"/>
      <c r="R24" s="7"/>
      <c r="S24" s="7"/>
      <c r="T24" s="7"/>
      <c r="U24" s="7"/>
      <c r="V24" s="14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99"/>
      <c r="M25" s="7"/>
      <c r="N25" s="7"/>
      <c r="O25" s="87"/>
      <c r="P25" s="7"/>
      <c r="Q25" s="12"/>
      <c r="R25" s="23"/>
      <c r="S25" s="23"/>
      <c r="T25" s="23"/>
      <c r="U25" s="23"/>
      <c r="V25" s="15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N26" s="7"/>
      <c r="O26" s="7"/>
      <c r="P26" s="7"/>
      <c r="Q26" s="65"/>
      <c r="R26" s="66"/>
      <c r="S26" s="66"/>
      <c r="T26" s="66"/>
      <c r="U26" s="66"/>
      <c r="V26" s="6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12"/>
      <c r="R27" s="23"/>
      <c r="S27" s="23"/>
      <c r="T27" s="23"/>
      <c r="U27" s="23"/>
      <c r="V27" s="15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5"/>
      <c r="R28" s="68"/>
      <c r="S28" s="66"/>
      <c r="T28" s="66"/>
      <c r="U28" s="66"/>
      <c r="V28" s="6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1"/>
      <c r="R29" s="7"/>
      <c r="T29" s="7"/>
      <c r="U29" s="7"/>
      <c r="V29" s="14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1"/>
      <c r="R30" s="7"/>
      <c r="S30" s="7"/>
      <c r="T30" s="7"/>
      <c r="U30" s="7"/>
      <c r="V30" s="14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2"/>
      <c r="R31" s="23"/>
      <c r="S31" s="23"/>
      <c r="T31" s="23"/>
      <c r="U31" s="23"/>
      <c r="V31" s="15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65"/>
      <c r="R32" s="66"/>
      <c r="S32" s="68"/>
      <c r="T32" s="66"/>
      <c r="U32" s="66"/>
      <c r="V32" s="6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Q33" s="11"/>
      <c r="S33" s="7"/>
      <c r="T33" s="7"/>
      <c r="U33" s="7"/>
      <c r="V33" s="14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1"/>
      <c r="R34" s="7"/>
      <c r="S34" s="7"/>
      <c r="U34" s="7"/>
      <c r="V34" s="14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12"/>
      <c r="R35" s="23"/>
      <c r="S35" s="69"/>
      <c r="T35" s="23"/>
      <c r="U35" s="23"/>
      <c r="V35" s="15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P36" s="7"/>
      <c r="Q36" s="65"/>
      <c r="R36" s="66"/>
      <c r="S36" s="66"/>
      <c r="T36" s="66"/>
      <c r="U36" s="66"/>
      <c r="V36" s="6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1"/>
      <c r="S37" s="7"/>
      <c r="T37" s="7"/>
      <c r="U37" s="7"/>
      <c r="V37" s="14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1"/>
      <c r="R38" s="7"/>
      <c r="S38" s="7"/>
      <c r="T38" s="7"/>
      <c r="U38" s="7"/>
      <c r="V38" s="14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2"/>
      <c r="R39" s="23"/>
      <c r="S39" s="23"/>
      <c r="T39" s="23"/>
      <c r="U39" s="23"/>
      <c r="V39" s="15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5"/>
      <c r="R40" s="66"/>
      <c r="S40" s="66"/>
      <c r="T40" s="66"/>
      <c r="U40" s="66"/>
      <c r="V40" s="6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1"/>
      <c r="R41" s="7"/>
      <c r="S41" s="7"/>
      <c r="T41" s="7"/>
      <c r="U41" s="7"/>
      <c r="V41" s="14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2"/>
      <c r="R42" s="23"/>
      <c r="S42" s="23"/>
      <c r="T42" s="23"/>
      <c r="U42" s="23"/>
      <c r="V42" s="15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5"/>
      <c r="R43" s="66"/>
      <c r="S43" s="66"/>
      <c r="T43" s="66"/>
      <c r="U43" s="66"/>
      <c r="V43" s="6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1"/>
      <c r="R44" s="7"/>
      <c r="S44" s="7"/>
      <c r="T44" s="7"/>
      <c r="U44" s="7"/>
      <c r="V44" s="14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1"/>
      <c r="R45" s="7"/>
      <c r="S45" s="7"/>
      <c r="T45" s="7"/>
      <c r="U45" s="7"/>
      <c r="V45" s="14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2"/>
      <c r="R46" s="23"/>
      <c r="S46" s="23"/>
      <c r="T46" s="23"/>
      <c r="U46" s="23"/>
      <c r="V46" s="15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7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A70" zoomScale="48" zoomScaleNormal="70" workbookViewId="0">
      <selection activeCell="R27" sqref="R27:V134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70"/>
      <c r="H1" s="170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70"/>
      <c r="H2" s="170"/>
      <c r="I2" s="115" t="s">
        <v>19</v>
      </c>
      <c r="J2" s="116"/>
      <c r="K2" s="116"/>
      <c r="L2" s="116"/>
      <c r="M2" s="116"/>
      <c r="N2" s="116"/>
      <c r="O2" s="116"/>
      <c r="P2" s="116"/>
      <c r="Q2" s="11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70"/>
      <c r="H3" s="170"/>
      <c r="I3" s="118"/>
      <c r="J3" s="119"/>
      <c r="K3" s="119"/>
      <c r="L3" s="119"/>
      <c r="M3" s="119"/>
      <c r="N3" s="119"/>
      <c r="O3" s="119"/>
      <c r="P3" s="119"/>
      <c r="Q3" s="120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70"/>
      <c r="H4" s="170"/>
      <c r="I4" s="121"/>
      <c r="J4" s="122"/>
      <c r="K4" s="122"/>
      <c r="L4" s="122"/>
      <c r="M4" s="122"/>
      <c r="N4" s="122"/>
      <c r="O4" s="122"/>
      <c r="P4" s="122"/>
      <c r="Q4" s="123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/>
      <c r="F5" s="7"/>
      <c r="G5" s="170"/>
      <c r="H5" s="170"/>
      <c r="I5" s="124" t="s">
        <v>38</v>
      </c>
      <c r="J5" s="125"/>
      <c r="K5" s="125"/>
      <c r="L5" s="125"/>
      <c r="M5" s="125"/>
      <c r="N5" s="125"/>
      <c r="O5" s="125"/>
      <c r="P5" s="125"/>
      <c r="Q5" s="126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70"/>
      <c r="H6" s="170"/>
      <c r="I6" s="49" t="s">
        <v>49</v>
      </c>
      <c r="J6" s="49" t="s">
        <v>50</v>
      </c>
      <c r="K6" s="49" t="s">
        <v>46</v>
      </c>
      <c r="L6" s="167" t="s">
        <v>39</v>
      </c>
      <c r="M6" s="168"/>
      <c r="N6" s="168"/>
      <c r="O6" s="168"/>
      <c r="P6" s="168"/>
      <c r="Q6" s="169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70"/>
      <c r="H7" s="170"/>
      <c r="I7" s="50" t="s">
        <v>20</v>
      </c>
      <c r="J7" s="37">
        <f>SUM(J13,J19)</f>
        <v>150.07</v>
      </c>
      <c r="K7" s="38">
        <f>J7/J7</f>
        <v>1</v>
      </c>
      <c r="L7" s="161" t="s">
        <v>68</v>
      </c>
      <c r="M7" s="162"/>
      <c r="N7" s="162"/>
      <c r="O7" s="162"/>
      <c r="P7" s="162"/>
      <c r="Q7" s="163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42" t="s">
        <v>3</v>
      </c>
      <c r="C8" s="143"/>
      <c r="D8" s="143"/>
      <c r="E8" s="143"/>
      <c r="F8" s="144"/>
      <c r="G8" s="170"/>
      <c r="H8" s="170"/>
      <c r="I8" s="51" t="s">
        <v>6</v>
      </c>
      <c r="J8" s="37">
        <f>SUM(J14,J20)</f>
        <v>149.98803000000001</v>
      </c>
      <c r="K8" s="39">
        <f>J8/J7</f>
        <v>0.99945378823215847</v>
      </c>
      <c r="L8" s="161" t="s">
        <v>69</v>
      </c>
      <c r="M8" s="162"/>
      <c r="N8" s="162"/>
      <c r="O8" s="162"/>
      <c r="P8" s="162"/>
      <c r="Q8" s="163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45"/>
      <c r="C9" s="146"/>
      <c r="D9" s="146"/>
      <c r="E9" s="146"/>
      <c r="F9" s="147"/>
      <c r="G9" s="170"/>
      <c r="H9" s="170"/>
      <c r="I9" s="50" t="s">
        <v>8</v>
      </c>
      <c r="J9" s="40">
        <f t="shared" ref="J9:J10" si="0">SUM(J15,J21)</f>
        <v>7.5850000000000001E-2</v>
      </c>
      <c r="K9" s="39">
        <f>J9/J7</f>
        <v>5.0543079896048508E-4</v>
      </c>
      <c r="L9" s="161" t="s">
        <v>69</v>
      </c>
      <c r="M9" s="162"/>
      <c r="N9" s="162"/>
      <c r="O9" s="162"/>
      <c r="P9" s="162"/>
      <c r="Q9" s="163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48"/>
      <c r="C10" s="149"/>
      <c r="D10" s="149"/>
      <c r="E10" s="149"/>
      <c r="F10" s="150"/>
      <c r="G10" s="170"/>
      <c r="H10" s="170"/>
      <c r="I10" s="51" t="s">
        <v>9</v>
      </c>
      <c r="J10" s="40">
        <f t="shared" si="0"/>
        <v>6.1199999999999996E-3</v>
      </c>
      <c r="K10" s="39">
        <f>J10/J7</f>
        <v>4.0780968881188779E-5</v>
      </c>
      <c r="L10" s="161" t="s">
        <v>69</v>
      </c>
      <c r="M10" s="162"/>
      <c r="N10" s="162"/>
      <c r="O10" s="162"/>
      <c r="P10" s="162"/>
      <c r="Q10" s="163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51" t="s">
        <v>36</v>
      </c>
      <c r="C11" s="152"/>
      <c r="D11" s="152"/>
      <c r="E11" s="152"/>
      <c r="F11" s="153"/>
      <c r="G11" s="170"/>
      <c r="H11" s="170"/>
      <c r="I11" s="186"/>
      <c r="J11" s="186"/>
      <c r="K11" s="186"/>
      <c r="L11" s="186"/>
      <c r="M11" s="186"/>
      <c r="N11" s="186"/>
      <c r="O11" s="186"/>
      <c r="P11" s="186"/>
      <c r="Q11" s="186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54"/>
      <c r="C12" s="155"/>
      <c r="D12" s="155"/>
      <c r="E12" s="155"/>
      <c r="F12" s="156"/>
      <c r="G12" s="170"/>
      <c r="H12" s="170"/>
      <c r="I12" s="49" t="s">
        <v>51</v>
      </c>
      <c r="J12" s="49" t="s">
        <v>50</v>
      </c>
      <c r="K12" s="49" t="s">
        <v>46</v>
      </c>
      <c r="L12" s="167" t="s">
        <v>39</v>
      </c>
      <c r="M12" s="168"/>
      <c r="N12" s="168"/>
      <c r="O12" s="168"/>
      <c r="P12" s="168"/>
      <c r="Q12" s="169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40" t="s">
        <v>4</v>
      </c>
      <c r="C13" s="141"/>
      <c r="D13" s="130" t="s">
        <v>39</v>
      </c>
      <c r="E13" s="130"/>
      <c r="F13" s="130"/>
      <c r="G13" s="170"/>
      <c r="H13" s="170"/>
      <c r="I13" s="50" t="s">
        <v>5</v>
      </c>
      <c r="J13" s="41">
        <f>SUM(J14:J16)</f>
        <v>150</v>
      </c>
      <c r="K13" s="38">
        <f>J13/J13</f>
        <v>1</v>
      </c>
      <c r="L13" s="161" t="s">
        <v>71</v>
      </c>
      <c r="M13" s="162"/>
      <c r="N13" s="162"/>
      <c r="O13" s="162"/>
      <c r="P13" s="162"/>
      <c r="Q13" s="163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33</v>
      </c>
      <c r="C14" s="43">
        <v>150</v>
      </c>
      <c r="D14" s="131" t="s">
        <v>17</v>
      </c>
      <c r="E14" s="131"/>
      <c r="F14" s="131"/>
      <c r="G14" s="170"/>
      <c r="H14" s="170"/>
      <c r="I14" s="51" t="s">
        <v>43</v>
      </c>
      <c r="J14" s="41">
        <f>C14-SUM(J15:J16)</f>
        <v>149.92230000000001</v>
      </c>
      <c r="K14" s="39">
        <f>J14/J13</f>
        <v>0.99948200000000009</v>
      </c>
      <c r="L14" s="164" t="s">
        <v>70</v>
      </c>
      <c r="M14" s="165"/>
      <c r="N14" s="165"/>
      <c r="O14" s="165"/>
      <c r="P14" s="165"/>
      <c r="Q14" s="166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14</v>
      </c>
      <c r="C15" s="43" t="s">
        <v>13</v>
      </c>
      <c r="D15" s="132" t="s">
        <v>60</v>
      </c>
      <c r="E15" s="132"/>
      <c r="F15" s="132"/>
      <c r="G15" s="170"/>
      <c r="H15" s="170"/>
      <c r="I15" s="50" t="s">
        <v>44</v>
      </c>
      <c r="J15" s="42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7.1999999999999995E-2</v>
      </c>
      <c r="K15" s="39">
        <f>J15/J13</f>
        <v>4.7999999999999996E-4</v>
      </c>
      <c r="L15" s="161" t="s">
        <v>69</v>
      </c>
      <c r="M15" s="162"/>
      <c r="N15" s="162"/>
      <c r="O15" s="162"/>
      <c r="P15" s="162"/>
      <c r="Q15" s="163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34</v>
      </c>
      <c r="C16" s="44">
        <v>0.98</v>
      </c>
      <c r="D16" s="133" t="s">
        <v>40</v>
      </c>
      <c r="E16" s="134"/>
      <c r="F16" s="135"/>
      <c r="G16" s="170"/>
      <c r="H16" s="170"/>
      <c r="I16" s="51" t="s">
        <v>45</v>
      </c>
      <c r="J16" s="42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5.6999999999999993E-3</v>
      </c>
      <c r="K16" s="39">
        <f>J16/J13</f>
        <v>3.7999999999999995E-5</v>
      </c>
      <c r="L16" s="161" t="s">
        <v>69</v>
      </c>
      <c r="M16" s="162"/>
      <c r="N16" s="162"/>
      <c r="O16" s="162"/>
      <c r="P16" s="162"/>
      <c r="Q16" s="163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15</v>
      </c>
      <c r="C17" s="43" t="s">
        <v>16</v>
      </c>
      <c r="D17" s="136" t="s">
        <v>61</v>
      </c>
      <c r="E17" s="137"/>
      <c r="F17" s="138"/>
      <c r="G17" s="170"/>
      <c r="H17" s="170"/>
      <c r="I17" s="164"/>
      <c r="J17" s="165"/>
      <c r="K17" s="165"/>
      <c r="L17" s="165"/>
      <c r="M17" s="165"/>
      <c r="N17" s="165"/>
      <c r="O17" s="165"/>
      <c r="P17" s="165"/>
      <c r="Q17" s="166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35</v>
      </c>
      <c r="C18" s="44">
        <v>0.02</v>
      </c>
      <c r="D18" s="133" t="s">
        <v>41</v>
      </c>
      <c r="E18" s="134"/>
      <c r="F18" s="135"/>
      <c r="G18" s="170"/>
      <c r="H18" s="170"/>
      <c r="I18" s="49" t="s">
        <v>29</v>
      </c>
      <c r="J18" s="49" t="s">
        <v>50</v>
      </c>
      <c r="K18" s="49" t="s">
        <v>46</v>
      </c>
      <c r="L18" s="167" t="s">
        <v>39</v>
      </c>
      <c r="M18" s="168"/>
      <c r="N18" s="168"/>
      <c r="O18" s="168"/>
      <c r="P18" s="168"/>
      <c r="Q18" s="169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32"/>
      <c r="C19" s="132"/>
      <c r="D19" s="132"/>
      <c r="E19" s="132"/>
      <c r="F19" s="132"/>
      <c r="G19" s="170"/>
      <c r="H19" s="170"/>
      <c r="I19" s="50" t="s">
        <v>5</v>
      </c>
      <c r="J19" s="41">
        <f>SUM(J20:J22)</f>
        <v>7.0000000000000021E-2</v>
      </c>
      <c r="K19" s="38">
        <f>J19/J19</f>
        <v>1</v>
      </c>
      <c r="L19" s="161" t="s">
        <v>55</v>
      </c>
      <c r="M19" s="162"/>
      <c r="N19" s="162"/>
      <c r="O19" s="162"/>
      <c r="P19" s="162"/>
      <c r="Q19" s="163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40" t="s">
        <v>7</v>
      </c>
      <c r="C20" s="141"/>
      <c r="D20" s="130" t="s">
        <v>39</v>
      </c>
      <c r="E20" s="130"/>
      <c r="F20" s="130"/>
      <c r="G20" s="170"/>
      <c r="H20" s="170"/>
      <c r="I20" s="51" t="s">
        <v>43</v>
      </c>
      <c r="J20" s="42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6.5730000000000011E-2</v>
      </c>
      <c r="K20" s="39">
        <f>J20/J19</f>
        <v>0.93899999999999983</v>
      </c>
      <c r="L20" s="161" t="s">
        <v>69</v>
      </c>
      <c r="M20" s="162"/>
      <c r="N20" s="162"/>
      <c r="O20" s="162"/>
      <c r="P20" s="162"/>
      <c r="Q20" s="163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3" t="s">
        <v>79</v>
      </c>
      <c r="D21" s="136" t="s">
        <v>61</v>
      </c>
      <c r="E21" s="137"/>
      <c r="F21" s="138"/>
      <c r="G21" s="170"/>
      <c r="H21" s="170"/>
      <c r="I21" s="50" t="s">
        <v>44</v>
      </c>
      <c r="J21" s="42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3.8500000000000006E-3</v>
      </c>
      <c r="K21" s="39">
        <f>J21/J19</f>
        <v>5.4999999999999993E-2</v>
      </c>
      <c r="L21" s="161" t="s">
        <v>69</v>
      </c>
      <c r="M21" s="162"/>
      <c r="N21" s="162"/>
      <c r="O21" s="162"/>
      <c r="P21" s="162"/>
      <c r="Q21" s="163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18</v>
      </c>
      <c r="C22" s="45">
        <v>20000</v>
      </c>
      <c r="D22" s="139" t="s">
        <v>67</v>
      </c>
      <c r="E22" s="139"/>
      <c r="F22" s="139"/>
      <c r="G22" s="170"/>
      <c r="H22" s="170"/>
      <c r="I22" s="52" t="s">
        <v>45</v>
      </c>
      <c r="J22" s="53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4.2000000000000007E-4</v>
      </c>
      <c r="K22" s="39">
        <f>J22/J19</f>
        <v>5.9999999999999993E-3</v>
      </c>
      <c r="L22" s="161" t="s">
        <v>69</v>
      </c>
      <c r="M22" s="162"/>
      <c r="N22" s="162"/>
      <c r="O22" s="162"/>
      <c r="P22" s="162"/>
      <c r="Q22" s="163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27"/>
      <c r="C23" s="128"/>
      <c r="D23" s="128"/>
      <c r="E23" s="128"/>
      <c r="F23" s="129"/>
      <c r="G23" s="170"/>
      <c r="H23" s="170"/>
      <c r="I23" s="181"/>
      <c r="J23" s="182"/>
      <c r="K23" s="182"/>
      <c r="L23" s="182"/>
      <c r="M23" s="182"/>
      <c r="N23" s="182"/>
      <c r="O23" s="182"/>
      <c r="P23" s="182"/>
      <c r="Q23" s="183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51" t="s">
        <v>37</v>
      </c>
      <c r="C24" s="152"/>
      <c r="D24" s="152"/>
      <c r="E24" s="152"/>
      <c r="F24" s="153"/>
      <c r="G24" s="170"/>
      <c r="H24" s="170"/>
      <c r="I24" s="175" t="s">
        <v>42</v>
      </c>
      <c r="J24" s="176"/>
      <c r="K24" s="176"/>
      <c r="L24" s="176"/>
      <c r="M24" s="176"/>
      <c r="N24" s="176"/>
      <c r="O24" s="176"/>
      <c r="P24" s="176"/>
      <c r="Q24" s="17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54"/>
      <c r="C25" s="155"/>
      <c r="D25" s="155"/>
      <c r="E25" s="155"/>
      <c r="F25" s="156"/>
      <c r="G25" s="170"/>
      <c r="H25" s="170"/>
      <c r="I25" s="178"/>
      <c r="J25" s="179"/>
      <c r="K25" s="179"/>
      <c r="L25" s="179"/>
      <c r="M25" s="179"/>
      <c r="N25" s="179"/>
      <c r="O25" s="179"/>
      <c r="P25" s="179"/>
      <c r="Q25" s="180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73" t="s">
        <v>11</v>
      </c>
      <c r="C26" s="173" t="s">
        <v>12</v>
      </c>
      <c r="D26" s="157" t="s">
        <v>47</v>
      </c>
      <c r="E26" s="157" t="s">
        <v>48</v>
      </c>
      <c r="F26" s="159" t="s">
        <v>66</v>
      </c>
      <c r="G26" s="170"/>
      <c r="H26" s="170"/>
      <c r="I26" s="184" t="s">
        <v>53</v>
      </c>
      <c r="J26" s="184" t="s">
        <v>54</v>
      </c>
      <c r="K26" s="171" t="s">
        <v>73</v>
      </c>
      <c r="L26" s="171" t="s">
        <v>52</v>
      </c>
      <c r="M26" s="171" t="s">
        <v>59</v>
      </c>
      <c r="N26" s="171" t="s">
        <v>62</v>
      </c>
      <c r="O26" s="171" t="s">
        <v>72</v>
      </c>
      <c r="P26" s="171" t="s">
        <v>64</v>
      </c>
      <c r="Q26" s="171" t="s">
        <v>65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74"/>
      <c r="C27" s="174"/>
      <c r="D27" s="158"/>
      <c r="E27" s="158"/>
      <c r="F27" s="160"/>
      <c r="G27" s="170"/>
      <c r="H27" s="170"/>
      <c r="I27" s="185"/>
      <c r="J27" s="185"/>
      <c r="K27" s="172"/>
      <c r="L27" s="172"/>
      <c r="M27" s="172"/>
      <c r="N27" s="172"/>
      <c r="O27" s="172"/>
      <c r="P27" s="172"/>
      <c r="Q27" s="172"/>
      <c r="R27" s="7" t="s">
        <v>78</v>
      </c>
      <c r="S27" s="7" t="s">
        <v>77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89"/>
      <c r="B28" s="46" t="s">
        <v>114</v>
      </c>
      <c r="C28" s="46" t="s">
        <v>115</v>
      </c>
      <c r="D28" s="47">
        <v>1.6437199999999998</v>
      </c>
      <c r="E28" s="47">
        <v>1.9024449999999995</v>
      </c>
      <c r="F28" s="98">
        <v>9.9999999999999995E-7</v>
      </c>
      <c r="G28" s="170"/>
      <c r="H28" s="170"/>
      <c r="I28" s="94">
        <f t="shared" ref="I28:I47" si="1">IF(D28=0,"",LOG($K$15*10^D28+$K$16*10^E28+$K$14))</f>
        <v>1.0151699775534529E-2</v>
      </c>
      <c r="J28" s="94">
        <f t="shared" ref="J28:J47" si="2">IF(D28=0,"",LOG($K$21*10^D28+$K$22*10^E28+$K$20))</f>
        <v>0.58430608394951877</v>
      </c>
      <c r="K28" s="95">
        <f t="shared" ref="K28:K47" si="3">IF(D28=0,"",1/(1+10^D28*$J$15/$J$14+10^E28*$J$16/$J$14+10^J28*$J$19/$J$14))</f>
        <v>0.97468371779269902</v>
      </c>
      <c r="L28" s="95">
        <f t="shared" ref="L28:L47" si="4">IF(D28=0,"",1/(1+10^I28/10^J28*$J$13/$J$19))</f>
        <v>1.7474372887068177E-3</v>
      </c>
      <c r="M28" s="95">
        <f t="shared" ref="M28:M47" si="5">IF(D28=0,"",1-L28)</f>
        <v>0.99825256271129315</v>
      </c>
      <c r="N28" s="95">
        <f t="shared" ref="N28:N47" si="6">IF(D28=0,"",1/(1/10^E28*$J$20/$J$22+10^D28/10^E28*$J$21/$J$22+10^I28/10^E28*$J$13/$J$22+1))</f>
        <v>2.1811812983720325E-4</v>
      </c>
      <c r="O28" s="40">
        <f t="shared" ref="O28:O47" si="7">IF(D28=0,"",F28*K28*$J$7/$J$14)</f>
        <v>9.7564395376238462E-7</v>
      </c>
      <c r="P28" s="40">
        <f t="shared" ref="P28:P47" si="8">IF(D28=0,"",O28*10^J28)</f>
        <v>3.7462559130890309E-6</v>
      </c>
      <c r="Q28" s="40">
        <f t="shared" ref="Q28:Q47" si="9">IF(D28=0,"",F28*N28*$J$7/$J$22)</f>
        <v>7.7935685106354953E-5</v>
      </c>
      <c r="R28" s="9">
        <f>F28*$C$14</f>
        <v>1.4999999999999999E-4</v>
      </c>
      <c r="S28" s="9">
        <f>$R28*L28</f>
        <v>2.6211559330602265E-7</v>
      </c>
      <c r="T28" s="9">
        <f t="shared" ref="T28:T49" si="10">R28*K28</f>
        <v>1.4620255766890485E-4</v>
      </c>
      <c r="U28" s="9">
        <f t="shared" ref="U28:U49" si="11">$R28*M28</f>
        <v>1.4973788440669395E-4</v>
      </c>
      <c r="V28" s="102">
        <f>K28/M28</f>
        <v>0.97638989790862118</v>
      </c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89"/>
      <c r="B29" s="46" t="s">
        <v>116</v>
      </c>
      <c r="C29" s="46" t="s">
        <v>117</v>
      </c>
      <c r="D29" s="47">
        <v>4.7386560000000006</v>
      </c>
      <c r="E29" s="47">
        <v>5.8355820000000005</v>
      </c>
      <c r="F29" s="98">
        <v>9.9999999999999995E-7</v>
      </c>
      <c r="G29" s="170"/>
      <c r="H29" s="170"/>
      <c r="I29" s="94">
        <f t="shared" si="1"/>
        <v>1.7268855172909561</v>
      </c>
      <c r="J29" s="94">
        <f t="shared" si="2"/>
        <v>3.8526658305484731</v>
      </c>
      <c r="K29" s="95">
        <f t="shared" si="3"/>
        <v>1.7645124812256767E-2</v>
      </c>
      <c r="L29" s="95">
        <f t="shared" si="4"/>
        <v>5.8684359512921405E-2</v>
      </c>
      <c r="M29" s="95">
        <f t="shared" si="5"/>
        <v>0.94131564048707861</v>
      </c>
      <c r="N29" s="95">
        <f t="shared" si="6"/>
        <v>3.3852425332191204E-2</v>
      </c>
      <c r="O29" s="40">
        <f t="shared" si="7"/>
        <v>1.7662508383178302E-8</v>
      </c>
      <c r="P29" s="40">
        <f t="shared" si="8"/>
        <v>1.2581088331577308E-4</v>
      </c>
      <c r="Q29" s="40">
        <f t="shared" si="9"/>
        <v>1.2095793975242698E-2</v>
      </c>
      <c r="R29" s="9">
        <f>F29*$C$14</f>
        <v>1.4999999999999999E-4</v>
      </c>
      <c r="S29" s="9">
        <f t="shared" ref="S29:S49" si="12">$R29*L29</f>
        <v>8.8026539269382097E-6</v>
      </c>
      <c r="T29" s="9">
        <f t="shared" si="10"/>
        <v>2.6467687218385149E-6</v>
      </c>
      <c r="U29" s="9">
        <f t="shared" si="11"/>
        <v>1.4119734607306178E-4</v>
      </c>
      <c r="V29" s="102">
        <f t="shared" ref="V29:V49" si="13">K29/M29</f>
        <v>1.8745173301408648E-2</v>
      </c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90"/>
      <c r="B30" s="46" t="s">
        <v>118</v>
      </c>
      <c r="C30" s="46" t="s">
        <v>119</v>
      </c>
      <c r="D30" s="91">
        <v>7.1429999999999998</v>
      </c>
      <c r="E30" s="91">
        <v>9.299925</v>
      </c>
      <c r="F30" s="98">
        <v>9.9999999999999995E-7</v>
      </c>
      <c r="G30" s="170"/>
      <c r="H30" s="170"/>
      <c r="I30" s="94">
        <f t="shared" si="1"/>
        <v>4.916346796550199</v>
      </c>
      <c r="J30" s="94">
        <f t="shared" si="2"/>
        <v>7.1049642158418802</v>
      </c>
      <c r="K30" s="95">
        <f t="shared" si="3"/>
        <v>1.1303522342699832E-5</v>
      </c>
      <c r="L30" s="95">
        <f t="shared" si="4"/>
        <v>6.7206273763042196E-2</v>
      </c>
      <c r="M30" s="95">
        <f t="shared" si="5"/>
        <v>0.93279372623695778</v>
      </c>
      <c r="N30" s="95">
        <f t="shared" si="6"/>
        <v>6.3171596287204396E-2</v>
      </c>
      <c r="O30" s="40">
        <f t="shared" si="7"/>
        <v>1.1314658312799119E-11</v>
      </c>
      <c r="P30" s="40">
        <f t="shared" si="8"/>
        <v>1.440806500517108E-4</v>
      </c>
      <c r="Q30" s="40">
        <f t="shared" si="9"/>
        <v>2.2571812987668478E-2</v>
      </c>
      <c r="R30" s="9">
        <f t="shared" ref="R30:R49" si="14">F30*$C$14</f>
        <v>1.4999999999999999E-4</v>
      </c>
      <c r="S30" s="9">
        <f t="shared" si="12"/>
        <v>1.0080941064456328E-5</v>
      </c>
      <c r="T30" s="9">
        <f t="shared" si="10"/>
        <v>1.6955283514049747E-9</v>
      </c>
      <c r="U30" s="9">
        <f t="shared" si="11"/>
        <v>1.3991905893554366E-4</v>
      </c>
      <c r="V30" s="102">
        <f t="shared" si="13"/>
        <v>1.2117922778383263E-5</v>
      </c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90"/>
      <c r="B31" s="46" t="s">
        <v>112</v>
      </c>
      <c r="C31" s="46" t="s">
        <v>113</v>
      </c>
      <c r="D31" s="47">
        <v>3.3511520000000004</v>
      </c>
      <c r="E31" s="47">
        <v>4.2962190000000007</v>
      </c>
      <c r="F31" s="98">
        <v>9.9999999999999995E-7</v>
      </c>
      <c r="G31" s="170"/>
      <c r="H31" s="170"/>
      <c r="I31" s="94">
        <f t="shared" si="1"/>
        <v>0.45156382049297444</v>
      </c>
      <c r="J31" s="94">
        <f t="shared" si="2"/>
        <v>2.3857380000561275</v>
      </c>
      <c r="K31" s="95">
        <f t="shared" si="3"/>
        <v>0.33973058709805048</v>
      </c>
      <c r="L31" s="95">
        <f t="shared" si="4"/>
        <v>3.8557108138142303E-2</v>
      </c>
      <c r="M31" s="95">
        <f t="shared" si="5"/>
        <v>0.96144289186185772</v>
      </c>
      <c r="N31" s="95">
        <f t="shared" si="6"/>
        <v>1.8825074509338999E-2</v>
      </c>
      <c r="O31" s="40">
        <f t="shared" si="7"/>
        <v>3.4006528185469694E-7</v>
      </c>
      <c r="P31" s="40">
        <f t="shared" si="8"/>
        <v>8.2660931689871627E-5</v>
      </c>
      <c r="Q31" s="40">
        <f t="shared" si="9"/>
        <v>6.7263784086107215E-3</v>
      </c>
      <c r="R31" s="9">
        <f t="shared" si="14"/>
        <v>1.4999999999999999E-4</v>
      </c>
      <c r="S31" s="9">
        <f t="shared" si="12"/>
        <v>5.783566220721345E-6</v>
      </c>
      <c r="T31" s="9">
        <f t="shared" si="10"/>
        <v>5.0959588064707571E-5</v>
      </c>
      <c r="U31" s="9">
        <f t="shared" si="11"/>
        <v>1.4421643377927865E-4</v>
      </c>
      <c r="V31" s="102">
        <f t="shared" si="13"/>
        <v>0.35335493139915347</v>
      </c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90"/>
      <c r="B32" s="46" t="s">
        <v>120</v>
      </c>
      <c r="C32" s="46" t="s">
        <v>121</v>
      </c>
      <c r="D32" s="47">
        <v>5.9183200000000005</v>
      </c>
      <c r="E32" s="47">
        <v>7.0401399999999992</v>
      </c>
      <c r="F32" s="98">
        <v>9.9999999999999995E-7</v>
      </c>
      <c r="G32" s="170"/>
      <c r="H32" s="170"/>
      <c r="I32" s="94">
        <f t="shared" si="1"/>
        <v>2.9114243406645759</v>
      </c>
      <c r="J32" s="94">
        <f t="shared" si="2"/>
        <v>5.0468119943247247</v>
      </c>
      <c r="K32" s="95">
        <f t="shared" si="3"/>
        <v>1.1521690428276596E-3</v>
      </c>
      <c r="L32" s="95">
        <f t="shared" si="4"/>
        <v>5.9918371355808603E-2</v>
      </c>
      <c r="M32" s="95">
        <f t="shared" si="5"/>
        <v>0.94008162864419142</v>
      </c>
      <c r="N32" s="95">
        <f t="shared" si="6"/>
        <v>3.5402934071849079E-2</v>
      </c>
      <c r="O32" s="40">
        <f t="shared" si="7"/>
        <v>1.1533041332553384E-9</v>
      </c>
      <c r="P32" s="40">
        <f t="shared" si="8"/>
        <v>1.2845642841951708E-4</v>
      </c>
      <c r="Q32" s="40">
        <f t="shared" si="9"/>
        <v>1.2649805514672355E-2</v>
      </c>
      <c r="R32" s="9">
        <f t="shared" si="14"/>
        <v>1.4999999999999999E-4</v>
      </c>
      <c r="S32" s="9">
        <f t="shared" si="12"/>
        <v>8.9877557033712898E-6</v>
      </c>
      <c r="T32" s="9">
        <f t="shared" si="10"/>
        <v>1.7282535642414892E-7</v>
      </c>
      <c r="U32" s="9">
        <f t="shared" si="11"/>
        <v>1.410122442966287E-4</v>
      </c>
      <c r="V32" s="102">
        <f t="shared" si="13"/>
        <v>1.2256053173694563E-3</v>
      </c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90"/>
      <c r="B33" s="96" t="s">
        <v>122</v>
      </c>
      <c r="C33" s="96" t="s">
        <v>123</v>
      </c>
      <c r="D33" s="97">
        <v>5.5295200000000007</v>
      </c>
      <c r="E33" s="97">
        <v>6.5305900000000001</v>
      </c>
      <c r="F33" s="98">
        <v>9.9999999999999995E-7</v>
      </c>
      <c r="G33" s="170"/>
      <c r="H33" s="170"/>
      <c r="I33" s="94">
        <f t="shared" si="1"/>
        <v>2.4659786116205753</v>
      </c>
      <c r="J33" s="94">
        <f t="shared" si="2"/>
        <v>4.5907868934066363</v>
      </c>
      <c r="K33" s="95">
        <f t="shared" si="3"/>
        <v>3.2180191436341717E-3</v>
      </c>
      <c r="L33" s="95">
        <f t="shared" si="4"/>
        <v>5.8560843086911278E-2</v>
      </c>
      <c r="M33" s="95">
        <f t="shared" si="5"/>
        <v>0.94143915691308877</v>
      </c>
      <c r="N33" s="95">
        <f t="shared" si="6"/>
        <v>3.0588746300472567E-2</v>
      </c>
      <c r="O33" s="40">
        <f t="shared" si="7"/>
        <v>3.2211894620425383E-9</v>
      </c>
      <c r="P33" s="40">
        <f t="shared" si="8"/>
        <v>1.2554608174361113E-4</v>
      </c>
      <c r="Q33" s="40">
        <f t="shared" si="9"/>
        <v>1.0929650374552183E-2</v>
      </c>
      <c r="R33" s="9">
        <f t="shared" si="14"/>
        <v>1.4999999999999999E-4</v>
      </c>
      <c r="S33" s="9">
        <f t="shared" si="12"/>
        <v>8.7841264630366904E-6</v>
      </c>
      <c r="T33" s="9">
        <f t="shared" si="10"/>
        <v>4.8270287154512572E-7</v>
      </c>
      <c r="U33" s="9">
        <f t="shared" si="11"/>
        <v>1.4121587353696331E-4</v>
      </c>
      <c r="V33" s="102">
        <f t="shared" si="13"/>
        <v>3.4181913084918043E-3</v>
      </c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89"/>
      <c r="B34" s="46" t="s">
        <v>124</v>
      </c>
      <c r="C34" s="46" t="s">
        <v>125</v>
      </c>
      <c r="D34" s="91">
        <v>5.4845040000000003</v>
      </c>
      <c r="E34" s="91">
        <v>6.5678879999999999</v>
      </c>
      <c r="F34" s="98">
        <v>9.9999999999999995E-7</v>
      </c>
      <c r="G34" s="170"/>
      <c r="H34" s="170"/>
      <c r="I34" s="94">
        <f t="shared" si="1"/>
        <v>2.4593424067669152</v>
      </c>
      <c r="J34" s="94">
        <f t="shared" si="2"/>
        <v>4.5907058404500249</v>
      </c>
      <c r="K34" s="95">
        <f t="shared" si="3"/>
        <v>3.264661919177814E-3</v>
      </c>
      <c r="L34" s="95">
        <f t="shared" si="4"/>
        <v>5.9398551950156628E-2</v>
      </c>
      <c r="M34" s="95">
        <f t="shared" si="5"/>
        <v>0.94060144804984336</v>
      </c>
      <c r="N34" s="95">
        <f t="shared" si="6"/>
        <v>3.3814990330958007E-2</v>
      </c>
      <c r="O34" s="40">
        <f t="shared" si="7"/>
        <v>3.2678781889753189E-9</v>
      </c>
      <c r="P34" s="40">
        <f t="shared" si="8"/>
        <v>1.273420098737143E-4</v>
      </c>
      <c r="Q34" s="40">
        <f t="shared" si="9"/>
        <v>1.2082418092778253E-2</v>
      </c>
      <c r="R34" s="9">
        <f t="shared" si="14"/>
        <v>1.4999999999999999E-4</v>
      </c>
      <c r="S34" s="9">
        <f t="shared" si="12"/>
        <v>8.9097827925234935E-6</v>
      </c>
      <c r="T34" s="9">
        <f t="shared" si="10"/>
        <v>4.8969928787667201E-7</v>
      </c>
      <c r="U34" s="9">
        <f t="shared" si="11"/>
        <v>1.410902172074765E-4</v>
      </c>
      <c r="V34" s="102">
        <f t="shared" si="13"/>
        <v>3.4708238286752205E-3</v>
      </c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89"/>
      <c r="B35" s="46" t="s">
        <v>126</v>
      </c>
      <c r="C35" s="46" t="s">
        <v>127</v>
      </c>
      <c r="D35" s="91">
        <v>2.7195840000000011</v>
      </c>
      <c r="E35" s="91">
        <v>3.2500779999999994</v>
      </c>
      <c r="F35" s="98">
        <v>9.9999999999999995E-7</v>
      </c>
      <c r="G35" s="170"/>
      <c r="H35" s="170"/>
      <c r="I35" s="94">
        <f t="shared" si="1"/>
        <v>0.12015758400049081</v>
      </c>
      <c r="J35" s="94">
        <f t="shared" si="2"/>
        <v>1.6068902660030961</v>
      </c>
      <c r="K35" s="95">
        <f t="shared" si="3"/>
        <v>0.74721447671436392</v>
      </c>
      <c r="L35" s="95">
        <f t="shared" si="4"/>
        <v>1.4111310473980837E-2</v>
      </c>
      <c r="M35" s="95">
        <f t="shared" si="5"/>
        <v>0.98588868952601916</v>
      </c>
      <c r="N35" s="95">
        <f t="shared" si="6"/>
        <v>3.7231139767255434E-3</v>
      </c>
      <c r="O35" s="40">
        <f t="shared" si="7"/>
        <v>7.4795061522218233E-7</v>
      </c>
      <c r="P35" s="40">
        <f t="shared" si="8"/>
        <v>3.0252633754718624E-5</v>
      </c>
      <c r="Q35" s="40">
        <f t="shared" si="9"/>
        <v>1.3303040821123859E-3</v>
      </c>
      <c r="R35" s="9">
        <f t="shared" si="14"/>
        <v>1.4999999999999999E-4</v>
      </c>
      <c r="S35" s="9">
        <f t="shared" si="12"/>
        <v>2.1166965710971254E-6</v>
      </c>
      <c r="T35" s="9">
        <f t="shared" si="10"/>
        <v>1.1208217150715458E-4</v>
      </c>
      <c r="U35" s="9">
        <f t="shared" si="11"/>
        <v>1.4788330342890287E-4</v>
      </c>
      <c r="V35" s="102">
        <f t="shared" si="13"/>
        <v>0.757909574024628</v>
      </c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89"/>
      <c r="B36" s="46" t="s">
        <v>80</v>
      </c>
      <c r="C36" s="46" t="s">
        <v>81</v>
      </c>
      <c r="D36" s="47">
        <v>7.5547280000000008</v>
      </c>
      <c r="E36" s="47">
        <v>9.7459910000000001</v>
      </c>
      <c r="F36" s="98">
        <v>9.9999999999999995E-7</v>
      </c>
      <c r="G36" s="170"/>
      <c r="H36" s="170"/>
      <c r="I36" s="94">
        <f t="shared" si="1"/>
        <v>5.3597305230687828</v>
      </c>
      <c r="J36" s="94">
        <f t="shared" si="2"/>
        <v>7.5490435948305716</v>
      </c>
      <c r="K36" s="95">
        <f t="shared" si="3"/>
        <v>4.0717704233679296E-6</v>
      </c>
      <c r="L36" s="95">
        <f t="shared" si="4"/>
        <v>6.7306759527064372E-2</v>
      </c>
      <c r="M36" s="95">
        <f t="shared" si="5"/>
        <v>0.93269324047293567</v>
      </c>
      <c r="N36" s="95">
        <f t="shared" si="6"/>
        <v>6.355611432462796E-2</v>
      </c>
      <c r="O36" s="40">
        <f t="shared" si="7"/>
        <v>4.0757818378908619E-12</v>
      </c>
      <c r="P36" s="40">
        <f t="shared" si="8"/>
        <v>1.4429607717466529E-4</v>
      </c>
      <c r="Q36" s="40">
        <f t="shared" si="9"/>
        <v>2.2709204944516465E-2</v>
      </c>
      <c r="R36" s="9">
        <f t="shared" si="14"/>
        <v>1.4999999999999999E-4</v>
      </c>
      <c r="S36" s="9">
        <f t="shared" si="12"/>
        <v>1.0096013929059655E-5</v>
      </c>
      <c r="T36" s="9">
        <f t="shared" si="10"/>
        <v>6.1076556350518935E-10</v>
      </c>
      <c r="U36" s="9">
        <f t="shared" si="11"/>
        <v>1.3990398607094035E-4</v>
      </c>
      <c r="V36" s="102">
        <f t="shared" si="13"/>
        <v>4.3656051600666465E-6</v>
      </c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89"/>
      <c r="B37" s="96" t="s">
        <v>128</v>
      </c>
      <c r="C37" s="96" t="s">
        <v>129</v>
      </c>
      <c r="D37" s="97">
        <v>4.10616</v>
      </c>
      <c r="E37" s="97">
        <v>5.1108449999999994</v>
      </c>
      <c r="F37" s="98">
        <v>9.9999999999999995E-7</v>
      </c>
      <c r="G37" s="170"/>
      <c r="H37" s="170"/>
      <c r="I37" s="94">
        <f t="shared" si="1"/>
        <v>1.080392983851221</v>
      </c>
      <c r="J37" s="94">
        <f t="shared" si="2"/>
        <v>3.1695845526459681</v>
      </c>
      <c r="K37" s="95">
        <f t="shared" si="3"/>
        <v>7.8556367141741287E-2</v>
      </c>
      <c r="L37" s="95">
        <f t="shared" si="4"/>
        <v>5.4199807943365416E-2</v>
      </c>
      <c r="M37" s="95">
        <f t="shared" si="5"/>
        <v>0.94580019205663457</v>
      </c>
      <c r="N37" s="95">
        <f t="shared" si="6"/>
        <v>2.8405958312586743E-2</v>
      </c>
      <c r="O37" s="40">
        <f t="shared" si="7"/>
        <v>7.8633759066937428E-8</v>
      </c>
      <c r="P37" s="40">
        <f t="shared" si="8"/>
        <v>1.1619664540086926E-4</v>
      </c>
      <c r="Q37" s="40">
        <f t="shared" si="9"/>
        <v>1.0149719438023553E-2</v>
      </c>
      <c r="R37" s="9">
        <f t="shared" si="14"/>
        <v>1.4999999999999999E-4</v>
      </c>
      <c r="S37" s="9">
        <f t="shared" si="12"/>
        <v>8.1299711915048125E-6</v>
      </c>
      <c r="T37" s="9">
        <f t="shared" si="10"/>
        <v>1.1783455071261192E-5</v>
      </c>
      <c r="U37" s="9">
        <f t="shared" si="11"/>
        <v>1.4187002880849516E-4</v>
      </c>
      <c r="V37" s="102">
        <f t="shared" si="13"/>
        <v>8.3058100221909584E-2</v>
      </c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89"/>
      <c r="B38" s="46" t="s">
        <v>130</v>
      </c>
      <c r="C38" s="46" t="s">
        <v>131</v>
      </c>
      <c r="D38" s="91">
        <v>2.8295519999999996</v>
      </c>
      <c r="E38" s="91">
        <v>3.5791989999999991</v>
      </c>
      <c r="F38" s="98">
        <v>9.9999999999999995E-7</v>
      </c>
      <c r="G38" s="170"/>
      <c r="H38" s="170"/>
      <c r="I38" s="94">
        <f t="shared" si="1"/>
        <v>0.16668848098518507</v>
      </c>
      <c r="J38" s="94">
        <f t="shared" si="2"/>
        <v>1.7842930933369672</v>
      </c>
      <c r="K38" s="95">
        <f t="shared" si="3"/>
        <v>0.66798158440461142</v>
      </c>
      <c r="L38" s="95">
        <f t="shared" si="4"/>
        <v>1.8979701886281387E-2</v>
      </c>
      <c r="M38" s="95">
        <f t="shared" si="5"/>
        <v>0.9810202981137186</v>
      </c>
      <c r="N38" s="95">
        <f t="shared" si="6"/>
        <v>7.1014419898264691E-3</v>
      </c>
      <c r="O38" s="40">
        <f t="shared" si="7"/>
        <v>6.6863966449020606E-7</v>
      </c>
      <c r="P38" s="40">
        <f t="shared" si="8"/>
        <v>4.0689769458203516E-5</v>
      </c>
      <c r="Q38" s="40">
        <f t="shared" si="9"/>
        <v>2.537412855745852E-3</v>
      </c>
      <c r="R38" s="9">
        <f t="shared" si="14"/>
        <v>1.4999999999999999E-4</v>
      </c>
      <c r="S38" s="9">
        <f t="shared" si="12"/>
        <v>2.8469552829422079E-6</v>
      </c>
      <c r="T38" s="9">
        <f t="shared" si="10"/>
        <v>1.0019723766069171E-4</v>
      </c>
      <c r="U38" s="9">
        <f t="shared" si="11"/>
        <v>1.4715304471705777E-4</v>
      </c>
      <c r="V38" s="102">
        <f t="shared" si="13"/>
        <v>0.6809049575110625</v>
      </c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89"/>
      <c r="B39" s="46" t="s">
        <v>82</v>
      </c>
      <c r="C39" s="46" t="s">
        <v>83</v>
      </c>
      <c r="D39" s="91">
        <v>-2.3039999999996397E-3</v>
      </c>
      <c r="E39" s="91">
        <v>-1.314813</v>
      </c>
      <c r="F39" s="98">
        <v>9.9999999999999995E-7</v>
      </c>
      <c r="G39" s="170"/>
      <c r="H39" s="170"/>
      <c r="I39" s="94">
        <f t="shared" si="1"/>
        <v>-1.6807124166640264E-5</v>
      </c>
      <c r="J39" s="94">
        <f t="shared" si="2"/>
        <v>-2.6137826958623372E-3</v>
      </c>
      <c r="K39" s="95">
        <f t="shared" si="3"/>
        <v>0.99905723343015218</v>
      </c>
      <c r="L39" s="95">
        <f t="shared" si="4"/>
        <v>4.636693511016651E-4</v>
      </c>
      <c r="M39" s="95">
        <f t="shared" si="5"/>
        <v>0.99953633064889835</v>
      </c>
      <c r="N39" s="95">
        <f t="shared" si="6"/>
        <v>1.3556900941420919E-7</v>
      </c>
      <c r="O39" s="40">
        <f t="shared" si="7"/>
        <v>1.0000414816265687E-6</v>
      </c>
      <c r="P39" s="40">
        <f t="shared" si="8"/>
        <v>9.9404085028324092E-7</v>
      </c>
      <c r="Q39" s="40">
        <f t="shared" si="9"/>
        <v>4.8440098197119926E-8</v>
      </c>
      <c r="R39" s="9">
        <f t="shared" si="14"/>
        <v>1.4999999999999999E-4</v>
      </c>
      <c r="S39" s="9">
        <f t="shared" si="12"/>
        <v>6.9550402665249764E-8</v>
      </c>
      <c r="T39" s="9">
        <f t="shared" si="10"/>
        <v>1.498585850145228E-4</v>
      </c>
      <c r="U39" s="9">
        <f t="shared" si="11"/>
        <v>1.4993044959733473E-4</v>
      </c>
      <c r="V39" s="102">
        <f t="shared" si="13"/>
        <v>0.9995206805355088</v>
      </c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89"/>
      <c r="B40" s="46" t="s">
        <v>132</v>
      </c>
      <c r="C40" s="46" t="s">
        <v>133</v>
      </c>
      <c r="D40" s="47">
        <v>3.2352399999999997</v>
      </c>
      <c r="E40" s="47">
        <v>3.7544849999999994</v>
      </c>
      <c r="F40" s="98">
        <v>9.9999999999999995E-7</v>
      </c>
      <c r="G40" s="170"/>
      <c r="H40" s="170"/>
      <c r="I40" s="94">
        <f t="shared" si="1"/>
        <v>0.30972420580945559</v>
      </c>
      <c r="J40" s="94">
        <f t="shared" si="2"/>
        <v>2.1124941218662863</v>
      </c>
      <c r="K40" s="95">
        <f t="shared" si="3"/>
        <v>0.47573848698366655</v>
      </c>
      <c r="L40" s="95">
        <f t="shared" si="4"/>
        <v>2.8780226842878301E-2</v>
      </c>
      <c r="M40" s="95">
        <f t="shared" si="5"/>
        <v>0.97121977315712171</v>
      </c>
      <c r="N40" s="95">
        <f t="shared" si="6"/>
        <v>7.5724487232937199E-3</v>
      </c>
      <c r="O40" s="40">
        <f t="shared" si="7"/>
        <v>4.7620717359351367E-7</v>
      </c>
      <c r="P40" s="40">
        <f t="shared" si="8"/>
        <v>6.1700694890153511E-5</v>
      </c>
      <c r="Q40" s="40">
        <f t="shared" si="9"/>
        <v>2.7057080473921148E-3</v>
      </c>
      <c r="R40" s="9">
        <f t="shared" si="14"/>
        <v>1.4999999999999999E-4</v>
      </c>
      <c r="S40" s="9">
        <f t="shared" si="12"/>
        <v>4.3170340264317444E-6</v>
      </c>
      <c r="T40" s="9">
        <f t="shared" si="10"/>
        <v>7.1360773047549972E-5</v>
      </c>
      <c r="U40" s="9">
        <f t="shared" si="11"/>
        <v>1.4568296597356826E-4</v>
      </c>
      <c r="V40" s="102">
        <f t="shared" si="13"/>
        <v>0.48983608049617278</v>
      </c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89"/>
      <c r="B41" s="96" t="s">
        <v>134</v>
      </c>
      <c r="C41" s="96" t="s">
        <v>135</v>
      </c>
      <c r="D41" s="97">
        <v>3.3303280000000011</v>
      </c>
      <c r="E41" s="97">
        <v>3.8215209999999997</v>
      </c>
      <c r="F41" s="98">
        <v>9.9999999999999995E-7</v>
      </c>
      <c r="G41" s="170"/>
      <c r="H41" s="170"/>
      <c r="I41" s="94">
        <f t="shared" si="1"/>
        <v>0.35763444792585858</v>
      </c>
      <c r="J41" s="94">
        <f t="shared" si="2"/>
        <v>2.1997454188827374</v>
      </c>
      <c r="K41" s="95">
        <f t="shared" si="3"/>
        <v>0.42488808006047818</v>
      </c>
      <c r="L41" s="95">
        <f t="shared" si="4"/>
        <v>3.1423298439331344E-2</v>
      </c>
      <c r="M41" s="95">
        <f t="shared" si="5"/>
        <v>0.96857670156066866</v>
      </c>
      <c r="N41" s="95">
        <f t="shared" si="6"/>
        <v>7.8918459941614873E-3</v>
      </c>
      <c r="O41" s="40">
        <f t="shared" si="7"/>
        <v>4.2530667001957655E-7</v>
      </c>
      <c r="P41" s="40">
        <f t="shared" si="8"/>
        <v>6.7367062811292199E-5</v>
      </c>
      <c r="Q41" s="40">
        <f t="shared" si="9"/>
        <v>2.8198317341519385E-3</v>
      </c>
      <c r="R41" s="9">
        <f t="shared" si="14"/>
        <v>1.4999999999999999E-4</v>
      </c>
      <c r="S41" s="9">
        <f t="shared" si="12"/>
        <v>4.7134947658997008E-6</v>
      </c>
      <c r="T41" s="9">
        <f t="shared" si="10"/>
        <v>6.3733212009071724E-5</v>
      </c>
      <c r="U41" s="9">
        <f t="shared" si="11"/>
        <v>1.4528650523410028E-4</v>
      </c>
      <c r="V41" s="102">
        <f t="shared" si="13"/>
        <v>0.43867262073912738</v>
      </c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90"/>
      <c r="B42" s="46" t="s">
        <v>136</v>
      </c>
      <c r="C42" s="46" t="s">
        <v>137</v>
      </c>
      <c r="D42" s="91">
        <v>4.4202640000000004</v>
      </c>
      <c r="E42" s="91">
        <v>5.6388380000000007</v>
      </c>
      <c r="F42" s="98">
        <v>9.9999999999999995E-7</v>
      </c>
      <c r="G42" s="170"/>
      <c r="H42" s="170"/>
      <c r="I42" s="94">
        <f t="shared" si="1"/>
        <v>1.4796577057346771</v>
      </c>
      <c r="J42" s="94">
        <f t="shared" si="2"/>
        <v>3.6085862266525122</v>
      </c>
      <c r="K42" s="95">
        <f t="shared" si="3"/>
        <v>3.1165002351908059E-2</v>
      </c>
      <c r="L42" s="95">
        <f t="shared" si="4"/>
        <v>5.908608221604026E-2</v>
      </c>
      <c r="M42" s="95">
        <f t="shared" si="5"/>
        <v>0.94091391778395972</v>
      </c>
      <c r="N42" s="95">
        <f t="shared" si="6"/>
        <v>3.8009155304017411E-2</v>
      </c>
      <c r="O42" s="40">
        <f t="shared" si="7"/>
        <v>3.1195705395066925E-8</v>
      </c>
      <c r="P42" s="40">
        <f t="shared" si="8"/>
        <v>1.2667211940230232E-4</v>
      </c>
      <c r="Q42" s="40">
        <f t="shared" si="9"/>
        <v>1.3581033182080694E-2</v>
      </c>
      <c r="R42" s="9">
        <f t="shared" si="14"/>
        <v>1.4999999999999999E-4</v>
      </c>
      <c r="S42" s="9">
        <f t="shared" si="12"/>
        <v>8.8629123324060377E-6</v>
      </c>
      <c r="T42" s="9">
        <f t="shared" si="10"/>
        <v>4.6747503527862084E-6</v>
      </c>
      <c r="U42" s="9">
        <f t="shared" si="11"/>
        <v>1.4113708766759394E-4</v>
      </c>
      <c r="V42" s="102">
        <f t="shared" si="13"/>
        <v>3.3122054805298097E-2</v>
      </c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90"/>
      <c r="B43" s="46" t="s">
        <v>138</v>
      </c>
      <c r="C43" s="46" t="s">
        <v>139</v>
      </c>
      <c r="D43" s="91">
        <v>4.2752879999999998</v>
      </c>
      <c r="E43" s="91">
        <v>5.3084609999999994</v>
      </c>
      <c r="F43" s="98">
        <v>9.9999999999999995E-7</v>
      </c>
      <c r="G43" s="170"/>
      <c r="H43" s="170"/>
      <c r="I43" s="94">
        <f t="shared" si="1"/>
        <v>1.2498866711591912</v>
      </c>
      <c r="J43" s="94">
        <f t="shared" si="2"/>
        <v>3.3537898155867572</v>
      </c>
      <c r="K43" s="95">
        <f t="shared" si="3"/>
        <v>5.3073464308392007E-2</v>
      </c>
      <c r="L43" s="95">
        <f t="shared" si="4"/>
        <v>5.5962751094214315E-2</v>
      </c>
      <c r="M43" s="95">
        <f t="shared" si="5"/>
        <v>0.94403724890578566</v>
      </c>
      <c r="N43" s="95">
        <f t="shared" si="6"/>
        <v>3.0249729175710924E-2</v>
      </c>
      <c r="O43" s="40">
        <f t="shared" si="7"/>
        <v>5.3125751064120472E-8</v>
      </c>
      <c r="P43" s="40">
        <f t="shared" si="8"/>
        <v>1.199761436672678E-4</v>
      </c>
      <c r="Q43" s="40">
        <f t="shared" si="9"/>
        <v>1.0808516327140328E-2</v>
      </c>
      <c r="R43" s="9">
        <f t="shared" si="14"/>
        <v>1.4999999999999999E-4</v>
      </c>
      <c r="S43" s="9">
        <f t="shared" si="12"/>
        <v>8.3944126641321471E-6</v>
      </c>
      <c r="T43" s="9">
        <f t="shared" si="10"/>
        <v>7.9610196462588008E-6</v>
      </c>
      <c r="U43" s="9">
        <f t="shared" si="11"/>
        <v>1.4160558733586784E-4</v>
      </c>
      <c r="V43" s="102">
        <f t="shared" si="13"/>
        <v>5.6219671808404148E-2</v>
      </c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90"/>
      <c r="B44" s="46" t="s">
        <v>84</v>
      </c>
      <c r="C44" s="46" t="s">
        <v>85</v>
      </c>
      <c r="D44" s="91">
        <v>2.7665919999999997</v>
      </c>
      <c r="E44" s="91">
        <v>3.5255839999999989</v>
      </c>
      <c r="F44" s="98">
        <v>9.9999999999999995E-7</v>
      </c>
      <c r="G44" s="170"/>
      <c r="H44" s="170"/>
      <c r="I44" s="94">
        <f t="shared" si="1"/>
        <v>0.14841008082679891</v>
      </c>
      <c r="J44" s="94">
        <f t="shared" si="2"/>
        <v>1.7258889627774656</v>
      </c>
      <c r="K44" s="95">
        <f t="shared" si="3"/>
        <v>0.69786424999189334</v>
      </c>
      <c r="L44" s="95">
        <f t="shared" si="4"/>
        <v>1.7333717630002344E-2</v>
      </c>
      <c r="M44" s="95">
        <f t="shared" si="5"/>
        <v>0.98266628236999765</v>
      </c>
      <c r="N44" s="95">
        <f t="shared" si="6"/>
        <v>6.5574955590016132E-3</v>
      </c>
      <c r="O44" s="40">
        <f t="shared" si="7"/>
        <v>6.9855176979197509E-7</v>
      </c>
      <c r="P44" s="40">
        <f t="shared" si="8"/>
        <v>3.7161014353349298E-5</v>
      </c>
      <c r="Q44" s="40">
        <f t="shared" si="9"/>
        <v>2.3430556155699328E-3</v>
      </c>
      <c r="R44" s="9">
        <f t="shared" si="14"/>
        <v>1.4999999999999999E-4</v>
      </c>
      <c r="S44" s="9">
        <f t="shared" si="12"/>
        <v>2.6000576445003512E-6</v>
      </c>
      <c r="T44" s="9">
        <f t="shared" si="10"/>
        <v>1.0467963749878399E-4</v>
      </c>
      <c r="U44" s="9">
        <f t="shared" si="11"/>
        <v>1.4739994235549964E-4</v>
      </c>
      <c r="V44" s="102">
        <f t="shared" si="13"/>
        <v>0.71017420920231655</v>
      </c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90"/>
      <c r="B45" s="46" t="s">
        <v>140</v>
      </c>
      <c r="C45" s="46" t="s">
        <v>141</v>
      </c>
      <c r="D45" s="91">
        <v>4.4687359999999998</v>
      </c>
      <c r="E45" s="91">
        <v>5.2666120000000003</v>
      </c>
      <c r="F45" s="98">
        <v>9.9999999999999995E-7</v>
      </c>
      <c r="G45" s="170"/>
      <c r="H45" s="170"/>
      <c r="I45" s="94">
        <f t="shared" si="1"/>
        <v>1.3452769109111</v>
      </c>
      <c r="J45" s="94">
        <f t="shared" si="2"/>
        <v>3.4358375366577767</v>
      </c>
      <c r="K45" s="95">
        <f t="shared" si="3"/>
        <v>4.2679876177636848E-2</v>
      </c>
      <c r="L45" s="95">
        <f t="shared" si="4"/>
        <v>5.436163261857431E-2</v>
      </c>
      <c r="M45" s="95">
        <f t="shared" si="5"/>
        <v>0.9456383673814257</v>
      </c>
      <c r="N45" s="95">
        <f t="shared" si="6"/>
        <v>2.2091143916663857E-2</v>
      </c>
      <c r="O45" s="40">
        <f t="shared" si="7"/>
        <v>4.2721923409512533E-8</v>
      </c>
      <c r="P45" s="40">
        <f t="shared" si="8"/>
        <v>1.1654357438670637E-4</v>
      </c>
      <c r="Q45" s="40">
        <f t="shared" si="9"/>
        <v>7.8933761132708186E-3</v>
      </c>
      <c r="R45" s="9">
        <f t="shared" si="14"/>
        <v>1.4999999999999999E-4</v>
      </c>
      <c r="S45" s="9">
        <f t="shared" si="12"/>
        <v>8.1542448927861461E-6</v>
      </c>
      <c r="T45" s="9">
        <f t="shared" si="10"/>
        <v>6.4019814266455264E-6</v>
      </c>
      <c r="U45" s="9">
        <f t="shared" si="11"/>
        <v>1.4184575510721385E-4</v>
      </c>
      <c r="V45" s="102">
        <f t="shared" si="13"/>
        <v>4.5133401572761918E-2</v>
      </c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89"/>
      <c r="B46" s="46" t="s">
        <v>86</v>
      </c>
      <c r="C46" s="46" t="s">
        <v>87</v>
      </c>
      <c r="D46" s="93">
        <v>2.6972559999999999</v>
      </c>
      <c r="E46" s="93">
        <v>3.431432</v>
      </c>
      <c r="F46" s="98">
        <v>9.9999999999999995E-7</v>
      </c>
      <c r="G46" s="170"/>
      <c r="H46" s="170"/>
      <c r="I46" s="94">
        <f t="shared" si="1"/>
        <v>0.12747825886296762</v>
      </c>
      <c r="J46" s="94">
        <f t="shared" si="2"/>
        <v>1.6486841643977075</v>
      </c>
      <c r="K46" s="95">
        <f t="shared" si="3"/>
        <v>0.7338691084393244</v>
      </c>
      <c r="L46" s="95">
        <f t="shared" si="4"/>
        <v>1.5259298722305446E-2</v>
      </c>
      <c r="M46" s="95">
        <f t="shared" si="5"/>
        <v>0.98474070127769453</v>
      </c>
      <c r="N46" s="95">
        <f t="shared" si="6"/>
        <v>5.5517980628807711E-3</v>
      </c>
      <c r="O46" s="40">
        <f t="shared" si="7"/>
        <v>7.3459209939741722E-7</v>
      </c>
      <c r="P46" s="40">
        <f t="shared" si="8"/>
        <v>3.2713756560805395E-5</v>
      </c>
      <c r="Q46" s="40">
        <f t="shared" si="9"/>
        <v>1.9837103221345643E-3</v>
      </c>
      <c r="R46" s="9">
        <f t="shared" si="14"/>
        <v>1.4999999999999999E-4</v>
      </c>
      <c r="S46" s="9">
        <f t="shared" si="12"/>
        <v>2.2888948083458165E-6</v>
      </c>
      <c r="T46" s="9">
        <f t="shared" si="10"/>
        <v>1.1008036626589865E-4</v>
      </c>
      <c r="U46" s="9">
        <f t="shared" si="11"/>
        <v>1.4771110519165416E-4</v>
      </c>
      <c r="V46" s="102">
        <f t="shared" si="13"/>
        <v>0.74524096291250486</v>
      </c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89"/>
      <c r="B47" s="46" t="s">
        <v>142</v>
      </c>
      <c r="C47" s="46" t="s">
        <v>143</v>
      </c>
      <c r="D47" s="91">
        <v>3.859360000000001</v>
      </c>
      <c r="E47" s="91">
        <v>4.2614199999999993</v>
      </c>
      <c r="F47" s="98">
        <v>9.9999999999999995E-7</v>
      </c>
      <c r="G47" s="170"/>
      <c r="H47" s="170"/>
      <c r="I47" s="94">
        <f t="shared" si="1"/>
        <v>0.71310437974280194</v>
      </c>
      <c r="J47" s="94">
        <f t="shared" si="2"/>
        <v>2.7061471704995403</v>
      </c>
      <c r="K47" s="95">
        <f t="shared" si="3"/>
        <v>0.18499927899670587</v>
      </c>
      <c r="L47" s="95">
        <f t="shared" si="4"/>
        <v>4.390854136044281E-2</v>
      </c>
      <c r="M47" s="95">
        <f t="shared" si="5"/>
        <v>0.95609145863955725</v>
      </c>
      <c r="N47" s="95">
        <f t="shared" si="6"/>
        <v>9.4617853187256365E-3</v>
      </c>
      <c r="O47" s="40">
        <f t="shared" si="7"/>
        <v>1.8518153602923413E-7</v>
      </c>
      <c r="P47" s="40">
        <f t="shared" si="8"/>
        <v>9.4133640028023569E-5</v>
      </c>
      <c r="Q47" s="40">
        <f t="shared" si="9"/>
        <v>3.3807860066217992E-3</v>
      </c>
      <c r="R47" s="9">
        <f t="shared" si="14"/>
        <v>1.4999999999999999E-4</v>
      </c>
      <c r="S47" s="9">
        <f t="shared" si="12"/>
        <v>6.5862812040664209E-6</v>
      </c>
      <c r="T47" s="9">
        <f t="shared" si="10"/>
        <v>2.7749891849505879E-5</v>
      </c>
      <c r="U47" s="9">
        <f t="shared" si="11"/>
        <v>1.4341371879593359E-4</v>
      </c>
      <c r="V47" s="102">
        <f t="shared" si="13"/>
        <v>0.19349537884162804</v>
      </c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89"/>
      <c r="B48" s="46" t="s">
        <v>144</v>
      </c>
      <c r="C48" s="46" t="s">
        <v>145</v>
      </c>
      <c r="D48" s="91">
        <v>2.0184960000000003</v>
      </c>
      <c r="E48" s="91">
        <v>2.3512620000000002</v>
      </c>
      <c r="F48" s="98">
        <v>9.9999999999999995E-7</v>
      </c>
      <c r="G48" s="170"/>
      <c r="H48" s="170"/>
      <c r="I48" s="94">
        <f t="shared" ref="I48:I50" si="15">IF(D48=0,"",LOG($K$15*10^D48+$K$16*10^E48+$K$14))</f>
        <v>2.4527660835054643E-2</v>
      </c>
      <c r="J48" s="94">
        <f t="shared" ref="J48:J50" si="16">IF(D48=0,"",LOG($K$21*10^D48+$K$22*10^E48+$K$20))</f>
        <v>0.90446876984667557</v>
      </c>
      <c r="K48" s="95">
        <f t="shared" ref="K48:K50" si="17">IF(D48=0,"",1/(1+10^D48*$J$15/$J$14+10^E48*$J$16/$J$14+10^J48*$J$19/$J$14))</f>
        <v>0.94126698052157054</v>
      </c>
      <c r="L48" s="95">
        <f t="shared" ref="L48:L50" si="18">IF(D48=0,"",1/(1+10^I48/10^J48*$J$13/$J$19))</f>
        <v>3.5270644663867811E-3</v>
      </c>
      <c r="M48" s="95">
        <f t="shared" ref="M48:M92" si="19">IF(D48=0,"",1-L48)</f>
        <v>0.99647293553361327</v>
      </c>
      <c r="N48" s="95">
        <f t="shared" ref="N48:N50" si="20">IF(D48=0,"",1/(1/10^E48*$J$20/$J$22+10^D48/10^E48*$J$21/$J$22+10^I48/10^E48*$J$13/$J$22+1))</f>
        <v>5.9204930842674636E-4</v>
      </c>
      <c r="O48" s="40">
        <f t="shared" ref="O48:O92" si="21">IF(D48=0,"",F48*K48*$J$7/$J$14)</f>
        <v>9.4219429509067076E-7</v>
      </c>
      <c r="P48" s="40">
        <f t="shared" ref="P48:P50" si="22">IF(D48=0,"",O48*10^J48)</f>
        <v>7.561522349580913E-6</v>
      </c>
      <c r="Q48" s="40">
        <f t="shared" ref="Q48:Q50" si="23">IF(D48=0,"",F48*N48*$J$7/$J$22)</f>
        <v>2.1154485646571858E-4</v>
      </c>
      <c r="R48" s="9">
        <f t="shared" si="14"/>
        <v>1.4999999999999999E-4</v>
      </c>
      <c r="S48" s="9">
        <f t="shared" si="12"/>
        <v>5.290596699580171E-7</v>
      </c>
      <c r="T48" s="9">
        <f t="shared" si="10"/>
        <v>1.4119004707823556E-4</v>
      </c>
      <c r="U48" s="9">
        <f t="shared" si="11"/>
        <v>1.4947094033004199E-4</v>
      </c>
      <c r="V48" s="102">
        <f t="shared" si="13"/>
        <v>0.94459864082261313</v>
      </c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89"/>
      <c r="B49" s="46" t="s">
        <v>146</v>
      </c>
      <c r="C49" s="46" t="s">
        <v>147</v>
      </c>
      <c r="D49" s="91">
        <v>1.4665360000000003</v>
      </c>
      <c r="E49" s="91">
        <v>1.8522119999999997</v>
      </c>
      <c r="F49" s="98">
        <v>9.9999999999999995E-7</v>
      </c>
      <c r="G49" s="170"/>
      <c r="H49" s="170"/>
      <c r="I49" s="94">
        <f t="shared" si="15"/>
        <v>6.9959414880738915E-3</v>
      </c>
      <c r="J49" s="94">
        <f t="shared" si="16"/>
        <v>0.47366304909312135</v>
      </c>
      <c r="K49" s="95">
        <f t="shared" si="17"/>
        <v>0.98216824745041409</v>
      </c>
      <c r="L49" s="95">
        <f t="shared" si="18"/>
        <v>1.3648368589181154E-3</v>
      </c>
      <c r="M49" s="95">
        <f t="shared" si="19"/>
        <v>0.99863516314108192</v>
      </c>
      <c r="N49" s="95">
        <f t="shared" si="20"/>
        <v>1.9578568904489332E-4</v>
      </c>
      <c r="O49" s="40">
        <f t="shared" si="21"/>
        <v>9.831358570064869E-7</v>
      </c>
      <c r="P49" s="40">
        <f t="shared" si="22"/>
        <v>2.9260152488263084E-6</v>
      </c>
      <c r="Q49" s="40">
        <f t="shared" si="23"/>
        <v>6.9956091321350309E-5</v>
      </c>
      <c r="R49" s="9">
        <f t="shared" si="14"/>
        <v>1.4999999999999999E-4</v>
      </c>
      <c r="S49" s="9">
        <f t="shared" si="12"/>
        <v>2.0472552883771729E-7</v>
      </c>
      <c r="T49" s="9">
        <f t="shared" si="10"/>
        <v>1.4732523711756209E-4</v>
      </c>
      <c r="U49" s="9">
        <f t="shared" si="11"/>
        <v>1.4979527447116228E-4</v>
      </c>
      <c r="V49" s="102">
        <f t="shared" si="13"/>
        <v>0.98351057893968685</v>
      </c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89"/>
      <c r="B50" s="46" t="s">
        <v>148</v>
      </c>
      <c r="C50" s="46" t="s">
        <v>149</v>
      </c>
      <c r="D50" s="91"/>
      <c r="E50" s="91"/>
      <c r="F50" s="92"/>
      <c r="G50" s="170"/>
      <c r="H50" s="170"/>
      <c r="I50" s="94" t="str">
        <f t="shared" si="15"/>
        <v/>
      </c>
      <c r="J50" s="94" t="str">
        <f t="shared" si="16"/>
        <v/>
      </c>
      <c r="K50" s="95" t="str">
        <f t="shared" si="17"/>
        <v/>
      </c>
      <c r="L50" s="95" t="str">
        <f t="shared" si="18"/>
        <v/>
      </c>
      <c r="M50" s="95" t="str">
        <f t="shared" si="19"/>
        <v/>
      </c>
      <c r="N50" s="95" t="str">
        <f t="shared" si="20"/>
        <v/>
      </c>
      <c r="O50" s="40" t="str">
        <f t="shared" si="21"/>
        <v/>
      </c>
      <c r="P50" s="40" t="str">
        <f t="shared" si="22"/>
        <v/>
      </c>
      <c r="Q50" s="40" t="str">
        <f t="shared" si="23"/>
        <v/>
      </c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89"/>
      <c r="B51" s="46" t="s">
        <v>150</v>
      </c>
      <c r="C51" s="46" t="s">
        <v>151</v>
      </c>
      <c r="D51" s="91"/>
      <c r="E51" s="91"/>
      <c r="F51" s="92"/>
      <c r="G51" s="170"/>
      <c r="H51" s="170"/>
      <c r="I51" s="94" t="str">
        <f t="shared" ref="I51:I70" si="24">IF(D51=0,"",LOG($K$15*10^D51+$K$16*10^E51+$K$14))</f>
        <v/>
      </c>
      <c r="J51" s="94" t="str">
        <f t="shared" ref="J51:J70" si="25">IF(D51=0,"",LOG($K$21*10^D51+$K$22*10^E51+$K$20))</f>
        <v/>
      </c>
      <c r="K51" s="95" t="str">
        <f t="shared" ref="K51:K70" si="26">IF(D51=0,"",1/(1+10^D51*$J$15/$J$14+10^E51*$J$16/$J$14+10^J51*$J$19/$J$14))</f>
        <v/>
      </c>
      <c r="L51" s="95" t="str">
        <f t="shared" ref="L51:L70" si="27">IF(D51=0,"",1/(1+10^I51/10^J51*$J$13/$J$19))</f>
        <v/>
      </c>
      <c r="M51" s="95" t="str">
        <f t="shared" ref="M51:M70" si="28">IF(D51=0,"",1-L51)</f>
        <v/>
      </c>
      <c r="N51" s="95" t="str">
        <f t="shared" ref="N51:N70" si="29">IF(D51=0,"",1/(1/10^E51*$J$20/$J$22+10^D51/10^E51*$J$21/$J$22+10^I51/10^E51*$J$13/$J$22+1))</f>
        <v/>
      </c>
      <c r="O51" s="40" t="str">
        <f t="shared" ref="O51:O70" si="30">IF(D51=0,"",F51*K51*$J$7/$J$14)</f>
        <v/>
      </c>
      <c r="P51" s="40" t="str">
        <f t="shared" ref="P51:P70" si="31">IF(D51=0,"",O51*10^J51)</f>
        <v/>
      </c>
      <c r="Q51" s="40" t="str">
        <f t="shared" ref="Q51:Q70" si="32">IF(D51=0,"",F51*N51*$J$7/$J$22)</f>
        <v/>
      </c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6" t="s">
        <v>152</v>
      </c>
      <c r="C52" s="46" t="s">
        <v>153</v>
      </c>
      <c r="D52" s="47"/>
      <c r="E52" s="47"/>
      <c r="F52" s="92"/>
      <c r="G52" s="170"/>
      <c r="H52" s="170"/>
      <c r="I52" s="94" t="str">
        <f t="shared" si="24"/>
        <v/>
      </c>
      <c r="J52" s="94" t="str">
        <f t="shared" si="25"/>
        <v/>
      </c>
      <c r="K52" s="95" t="str">
        <f t="shared" si="26"/>
        <v/>
      </c>
      <c r="L52" s="95" t="str">
        <f t="shared" si="27"/>
        <v/>
      </c>
      <c r="M52" s="95" t="str">
        <f t="shared" si="28"/>
        <v/>
      </c>
      <c r="N52" s="95" t="str">
        <f t="shared" si="29"/>
        <v/>
      </c>
      <c r="O52" s="40" t="str">
        <f t="shared" si="30"/>
        <v/>
      </c>
      <c r="P52" s="40" t="str">
        <f t="shared" si="31"/>
        <v/>
      </c>
      <c r="Q52" s="40" t="str">
        <f t="shared" si="32"/>
        <v/>
      </c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6" t="s">
        <v>154</v>
      </c>
      <c r="C53" s="46" t="s">
        <v>155</v>
      </c>
      <c r="D53" s="47"/>
      <c r="E53" s="47"/>
      <c r="F53" s="92"/>
      <c r="G53" s="170"/>
      <c r="H53" s="170"/>
      <c r="I53" s="94" t="str">
        <f t="shared" si="24"/>
        <v/>
      </c>
      <c r="J53" s="94" t="str">
        <f t="shared" si="25"/>
        <v/>
      </c>
      <c r="K53" s="95" t="str">
        <f t="shared" si="26"/>
        <v/>
      </c>
      <c r="L53" s="95" t="str">
        <f t="shared" si="27"/>
        <v/>
      </c>
      <c r="M53" s="95" t="str">
        <f t="shared" si="28"/>
        <v/>
      </c>
      <c r="N53" s="95" t="str">
        <f t="shared" si="29"/>
        <v/>
      </c>
      <c r="O53" s="40" t="str">
        <f t="shared" si="30"/>
        <v/>
      </c>
      <c r="P53" s="40" t="str">
        <f t="shared" si="31"/>
        <v/>
      </c>
      <c r="Q53" s="40" t="str">
        <f t="shared" si="32"/>
        <v/>
      </c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6" t="s">
        <v>156</v>
      </c>
      <c r="C54" s="46" t="s">
        <v>157</v>
      </c>
      <c r="D54" s="47"/>
      <c r="E54" s="47"/>
      <c r="F54" s="92"/>
      <c r="G54" s="170"/>
      <c r="H54" s="170"/>
      <c r="I54" s="94" t="str">
        <f t="shared" si="24"/>
        <v/>
      </c>
      <c r="J54" s="94" t="str">
        <f t="shared" si="25"/>
        <v/>
      </c>
      <c r="K54" s="95" t="str">
        <f t="shared" si="26"/>
        <v/>
      </c>
      <c r="L54" s="95" t="str">
        <f t="shared" si="27"/>
        <v/>
      </c>
      <c r="M54" s="95" t="str">
        <f t="shared" si="28"/>
        <v/>
      </c>
      <c r="N54" s="95" t="str">
        <f t="shared" si="29"/>
        <v/>
      </c>
      <c r="O54" s="40" t="str">
        <f t="shared" si="30"/>
        <v/>
      </c>
      <c r="P54" s="40" t="str">
        <f t="shared" si="31"/>
        <v/>
      </c>
      <c r="Q54" s="40" t="str">
        <f t="shared" si="32"/>
        <v/>
      </c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6" t="s">
        <v>158</v>
      </c>
      <c r="C55" s="46" t="s">
        <v>159</v>
      </c>
      <c r="D55" s="47"/>
      <c r="E55" s="47"/>
      <c r="F55" s="57"/>
      <c r="G55" s="170"/>
      <c r="H55" s="170"/>
      <c r="I55" s="54" t="str">
        <f t="shared" si="24"/>
        <v/>
      </c>
      <c r="J55" s="54" t="str">
        <f t="shared" si="25"/>
        <v/>
      </c>
      <c r="K55" s="55" t="str">
        <f t="shared" si="26"/>
        <v/>
      </c>
      <c r="L55" s="55" t="str">
        <f t="shared" si="27"/>
        <v/>
      </c>
      <c r="M55" s="55" t="str">
        <f t="shared" si="28"/>
        <v/>
      </c>
      <c r="N55" s="55" t="str">
        <f t="shared" si="29"/>
        <v/>
      </c>
      <c r="O55" s="56" t="str">
        <f t="shared" si="30"/>
        <v/>
      </c>
      <c r="P55" s="56" t="str">
        <f t="shared" si="31"/>
        <v/>
      </c>
      <c r="Q55" s="56" t="str">
        <f t="shared" si="32"/>
        <v/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6" t="s">
        <v>160</v>
      </c>
      <c r="C56" s="46" t="s">
        <v>161</v>
      </c>
      <c r="D56" s="47"/>
      <c r="E56" s="47"/>
      <c r="F56" s="57"/>
      <c r="G56" s="170"/>
      <c r="H56" s="170"/>
      <c r="I56" s="54" t="str">
        <f t="shared" si="24"/>
        <v/>
      </c>
      <c r="J56" s="54" t="str">
        <f t="shared" si="25"/>
        <v/>
      </c>
      <c r="K56" s="55" t="str">
        <f t="shared" si="26"/>
        <v/>
      </c>
      <c r="L56" s="55" t="str">
        <f t="shared" si="27"/>
        <v/>
      </c>
      <c r="M56" s="55" t="str">
        <f t="shared" si="28"/>
        <v/>
      </c>
      <c r="N56" s="55" t="str">
        <f t="shared" si="29"/>
        <v/>
      </c>
      <c r="O56" s="56" t="str">
        <f t="shared" si="30"/>
        <v/>
      </c>
      <c r="P56" s="56" t="str">
        <f t="shared" si="31"/>
        <v/>
      </c>
      <c r="Q56" s="56" t="str">
        <f t="shared" si="32"/>
        <v/>
      </c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88" t="s">
        <v>88</v>
      </c>
      <c r="C57" s="88" t="s">
        <v>89</v>
      </c>
      <c r="D57" s="91">
        <v>6.5247999999999973E-2</v>
      </c>
      <c r="E57" s="91">
        <v>8.2216000000000289E-2</v>
      </c>
      <c r="F57" s="98">
        <v>9.9999999999999995E-7</v>
      </c>
      <c r="G57" s="170"/>
      <c r="H57" s="170"/>
      <c r="I57" s="54">
        <f t="shared" si="24"/>
        <v>3.7232006014196545E-5</v>
      </c>
      <c r="J57" s="54">
        <f t="shared" si="25"/>
        <v>4.393026591181153E-3</v>
      </c>
      <c r="K57" s="55">
        <f t="shared" si="26"/>
        <v>0.99892545403710942</v>
      </c>
      <c r="L57" s="55">
        <f t="shared" si="27"/>
        <v>4.7114860555424613E-4</v>
      </c>
      <c r="M57" s="55">
        <f t="shared" si="28"/>
        <v>0.99952885139444581</v>
      </c>
      <c r="N57" s="55">
        <f t="shared" si="29"/>
        <v>3.3816770791188494E-6</v>
      </c>
      <c r="O57" s="56">
        <f t="shared" si="30"/>
        <v>9.9990957240750029E-7</v>
      </c>
      <c r="P57" s="56">
        <f t="shared" si="31"/>
        <v>1.0100753033646527E-6</v>
      </c>
      <c r="Q57" s="56">
        <f t="shared" si="32"/>
        <v>1.2083054268175373E-6</v>
      </c>
      <c r="R57" s="9">
        <f t="shared" ref="R57:R58" si="33">F57*$C$14</f>
        <v>1.4999999999999999E-4</v>
      </c>
      <c r="S57" s="9">
        <f t="shared" ref="S57:S58" si="34">$R57*L57</f>
        <v>7.0672290833136914E-8</v>
      </c>
      <c r="T57" s="9">
        <f t="shared" ref="T57:T58" si="35">R57*K57</f>
        <v>1.498388181055664E-4</v>
      </c>
      <c r="U57" s="9">
        <f t="shared" ref="U57:U58" si="36">$R57*M57</f>
        <v>1.4992932770916686E-4</v>
      </c>
      <c r="V57" s="102">
        <f t="shared" ref="V57:V58" si="37">K57/M57</f>
        <v>0.99939631821883423</v>
      </c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6" t="s">
        <v>162</v>
      </c>
      <c r="C58" s="46" t="s">
        <v>163</v>
      </c>
      <c r="D58" s="47">
        <v>2.1823520000000003</v>
      </c>
      <c r="E58" s="47">
        <v>2.5882690000000008</v>
      </c>
      <c r="F58" s="98">
        <v>9.9999999999999995E-7</v>
      </c>
      <c r="G58" s="170"/>
      <c r="H58" s="170"/>
      <c r="I58" s="54">
        <f t="shared" si="24"/>
        <v>3.6330362911661196E-2</v>
      </c>
      <c r="J58" s="54">
        <f t="shared" si="25"/>
        <v>1.0657207712099641</v>
      </c>
      <c r="K58" s="55">
        <f t="shared" si="26"/>
        <v>0.9147057317114472</v>
      </c>
      <c r="L58" s="55">
        <f t="shared" si="27"/>
        <v>4.9685993185000377E-3</v>
      </c>
      <c r="M58" s="55">
        <f t="shared" si="28"/>
        <v>0.99503140068149998</v>
      </c>
      <c r="N58" s="55">
        <f t="shared" si="29"/>
        <v>9.929638885071534E-4</v>
      </c>
      <c r="O58" s="56">
        <f t="shared" si="30"/>
        <v>9.1560687874943795E-7</v>
      </c>
      <c r="P58" s="56">
        <f t="shared" si="31"/>
        <v>1.0651967138961434E-5</v>
      </c>
      <c r="Q58" s="56">
        <f t="shared" si="32"/>
        <v>3.5479545416254398E-4</v>
      </c>
      <c r="R58" s="9">
        <f t="shared" si="33"/>
        <v>1.4999999999999999E-4</v>
      </c>
      <c r="S58" s="9">
        <f t="shared" si="34"/>
        <v>7.4528989777500558E-7</v>
      </c>
      <c r="T58" s="9">
        <f t="shared" si="35"/>
        <v>1.3720585975671707E-4</v>
      </c>
      <c r="U58" s="9">
        <f t="shared" si="36"/>
        <v>1.4925471010222499E-4</v>
      </c>
      <c r="V58" s="102">
        <f t="shared" si="37"/>
        <v>0.91927323206580469</v>
      </c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6" t="s">
        <v>164</v>
      </c>
      <c r="C59" s="46" t="s">
        <v>165</v>
      </c>
      <c r="D59" s="47"/>
      <c r="E59" s="47"/>
      <c r="F59" s="57"/>
      <c r="G59" s="170"/>
      <c r="H59" s="170"/>
      <c r="I59" s="54" t="str">
        <f t="shared" si="24"/>
        <v/>
      </c>
      <c r="J59" s="54" t="str">
        <f t="shared" si="25"/>
        <v/>
      </c>
      <c r="K59" s="55" t="str">
        <f t="shared" si="26"/>
        <v/>
      </c>
      <c r="L59" s="55" t="str">
        <f t="shared" si="27"/>
        <v/>
      </c>
      <c r="M59" s="55" t="str">
        <f t="shared" si="28"/>
        <v/>
      </c>
      <c r="N59" s="55" t="str">
        <f t="shared" si="29"/>
        <v/>
      </c>
      <c r="O59" s="56" t="str">
        <f t="shared" si="30"/>
        <v/>
      </c>
      <c r="P59" s="56" t="str">
        <f t="shared" si="31"/>
        <v/>
      </c>
      <c r="Q59" s="56" t="str">
        <f t="shared" si="32"/>
        <v/>
      </c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6" t="s">
        <v>90</v>
      </c>
      <c r="C60" s="46" t="s">
        <v>91</v>
      </c>
      <c r="D60" s="47">
        <v>2.3628240000000003</v>
      </c>
      <c r="E60" s="47">
        <v>2.5674030000000005</v>
      </c>
      <c r="F60" s="98">
        <v>9.9999999999999995E-7</v>
      </c>
      <c r="G60" s="170"/>
      <c r="H60" s="170"/>
      <c r="I60" s="54">
        <f t="shared" si="24"/>
        <v>5.084171441621077E-2</v>
      </c>
      <c r="J60" s="54">
        <f t="shared" si="25"/>
        <v>1.1996698987962189</v>
      </c>
      <c r="K60" s="55">
        <f t="shared" si="26"/>
        <v>0.88325787873986639</v>
      </c>
      <c r="L60" s="55">
        <f t="shared" si="27"/>
        <v>6.5311434491764032E-3</v>
      </c>
      <c r="M60" s="55">
        <f t="shared" si="28"/>
        <v>0.99346885655082362</v>
      </c>
      <c r="N60" s="55">
        <f t="shared" si="29"/>
        <v>9.1384717628486233E-4</v>
      </c>
      <c r="O60" s="56">
        <f t="shared" si="30"/>
        <v>8.8412804407677667E-7</v>
      </c>
      <c r="P60" s="56">
        <f t="shared" si="31"/>
        <v>1.4001838534541464E-5</v>
      </c>
      <c r="Q60" s="56">
        <f t="shared" si="32"/>
        <v>3.2652629939302198E-4</v>
      </c>
      <c r="R60" s="9">
        <f>F60*$C$14</f>
        <v>1.4999999999999999E-4</v>
      </c>
      <c r="S60" s="9">
        <f t="shared" ref="S60:S93" si="38">$R60*L60</f>
        <v>9.7967151737646044E-7</v>
      </c>
      <c r="T60" s="9">
        <f t="shared" ref="T60:T93" si="39">R60*K60</f>
        <v>1.3248868181097996E-4</v>
      </c>
      <c r="U60" s="9">
        <f t="shared" ref="U60:U93" si="40">$R60*M60</f>
        <v>1.4902032848262354E-4</v>
      </c>
      <c r="V60" s="102">
        <f t="shared" ref="V60:V93" si="41">K60/M60</f>
        <v>0.8890644864363505</v>
      </c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6" t="s">
        <v>92</v>
      </c>
      <c r="C61" s="46" t="s">
        <v>93</v>
      </c>
      <c r="D61" s="47">
        <v>3.2672240000000001</v>
      </c>
      <c r="E61" s="47">
        <v>3.6253630000000006</v>
      </c>
      <c r="F61" s="98">
        <v>9.9999999999999995E-7</v>
      </c>
      <c r="G61" s="170"/>
      <c r="H61" s="170"/>
      <c r="I61" s="54">
        <f t="shared" si="24"/>
        <v>0.31132307136990117</v>
      </c>
      <c r="J61" s="54">
        <f t="shared" si="25"/>
        <v>2.1072920523713807</v>
      </c>
      <c r="K61" s="55">
        <f t="shared" si="26"/>
        <v>0.47420231821484599</v>
      </c>
      <c r="L61" s="55">
        <f t="shared" si="27"/>
        <v>2.8345722355549823E-2</v>
      </c>
      <c r="M61" s="55">
        <f t="shared" si="28"/>
        <v>0.97165427764445023</v>
      </c>
      <c r="N61" s="55">
        <f t="shared" si="29"/>
        <v>5.6067310895764342E-3</v>
      </c>
      <c r="O61" s="56">
        <f t="shared" si="30"/>
        <v>4.7466949142657184E-7</v>
      </c>
      <c r="P61" s="56">
        <f t="shared" si="31"/>
        <v>6.076917934139088E-5</v>
      </c>
      <c r="Q61" s="56">
        <f t="shared" si="32"/>
        <v>2.0033384157446079E-3</v>
      </c>
      <c r="R61" s="9">
        <f>F61*$C$14</f>
        <v>1.4999999999999999E-4</v>
      </c>
      <c r="S61" s="9">
        <f t="shared" si="38"/>
        <v>4.2518583533324731E-6</v>
      </c>
      <c r="T61" s="9">
        <f t="shared" si="39"/>
        <v>7.1130347732226889E-5</v>
      </c>
      <c r="U61" s="9">
        <f t="shared" si="40"/>
        <v>1.4574814164666753E-4</v>
      </c>
      <c r="V61" s="102">
        <f t="shared" si="41"/>
        <v>0.48803605266313366</v>
      </c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6" t="s">
        <v>166</v>
      </c>
      <c r="C62" s="46" t="s">
        <v>110</v>
      </c>
      <c r="D62" s="47">
        <v>2.9091840000000002</v>
      </c>
      <c r="E62" s="47">
        <v>3.4102429999999995</v>
      </c>
      <c r="F62" s="98">
        <v>9.9999999999999995E-7</v>
      </c>
      <c r="G62" s="170"/>
      <c r="H62" s="170"/>
      <c r="I62" s="54">
        <f t="shared" si="24"/>
        <v>0.17220522092565899</v>
      </c>
      <c r="J62" s="54">
        <f t="shared" si="25"/>
        <v>1.7852712062489944</v>
      </c>
      <c r="K62" s="55">
        <f t="shared" si="26"/>
        <v>0.65968020333344446</v>
      </c>
      <c r="L62" s="55">
        <f t="shared" si="27"/>
        <v>1.8786092713955305E-2</v>
      </c>
      <c r="M62" s="55">
        <f t="shared" si="28"/>
        <v>0.98121390728604474</v>
      </c>
      <c r="N62" s="55">
        <f t="shared" si="29"/>
        <v>4.7529090677553383E-3</v>
      </c>
      <c r="O62" s="56">
        <f t="shared" si="30"/>
        <v>6.603301050894364E-7</v>
      </c>
      <c r="P62" s="56">
        <f t="shared" si="31"/>
        <v>4.0274699051189602E-5</v>
      </c>
      <c r="Q62" s="56">
        <f t="shared" si="32"/>
        <v>1.6982596757096273E-3</v>
      </c>
      <c r="R62" s="9">
        <f>F62*$C$14</f>
        <v>1.4999999999999999E-4</v>
      </c>
      <c r="S62" s="9">
        <f t="shared" si="38"/>
        <v>2.8179139070932955E-6</v>
      </c>
      <c r="T62" s="9">
        <f t="shared" si="39"/>
        <v>9.8952030500016667E-5</v>
      </c>
      <c r="U62" s="9">
        <f t="shared" si="40"/>
        <v>1.4718208609290669E-4</v>
      </c>
      <c r="V62" s="102">
        <f t="shared" si="41"/>
        <v>0.67231028671216508</v>
      </c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6" t="s">
        <v>94</v>
      </c>
      <c r="C63" s="46" t="s">
        <v>95</v>
      </c>
      <c r="D63" s="47">
        <v>2.857424</v>
      </c>
      <c r="E63" s="47">
        <v>3.3289280000000003</v>
      </c>
      <c r="F63" s="98">
        <v>9.9999999999999995E-7</v>
      </c>
      <c r="G63" s="170"/>
      <c r="H63" s="170"/>
      <c r="I63" s="54">
        <f t="shared" si="24"/>
        <v>0.15417954710270029</v>
      </c>
      <c r="J63" s="54">
        <f t="shared" si="25"/>
        <v>1.7270814445025906</v>
      </c>
      <c r="K63" s="55">
        <f t="shared" si="26"/>
        <v>0.68877981498898977</v>
      </c>
      <c r="L63" s="55">
        <f t="shared" si="27"/>
        <v>1.7155116027336811E-2</v>
      </c>
      <c r="M63" s="55">
        <f t="shared" si="28"/>
        <v>0.98284488397266323</v>
      </c>
      <c r="N63" s="55">
        <f t="shared" si="29"/>
        <v>4.1152049149306069E-3</v>
      </c>
      <c r="O63" s="56">
        <f t="shared" si="30"/>
        <v>6.8945838501275446E-7</v>
      </c>
      <c r="P63" s="56">
        <f t="shared" si="31"/>
        <v>3.677811803174906E-5</v>
      </c>
      <c r="Q63" s="56">
        <f t="shared" si="32"/>
        <v>1.4704019085324668E-3</v>
      </c>
      <c r="R63" s="9">
        <f>F63*$C$14</f>
        <v>1.4999999999999999E-4</v>
      </c>
      <c r="S63" s="9">
        <f t="shared" si="38"/>
        <v>2.5732674041005215E-6</v>
      </c>
      <c r="T63" s="9">
        <f t="shared" si="39"/>
        <v>1.0331697224834845E-4</v>
      </c>
      <c r="U63" s="9">
        <f t="shared" si="40"/>
        <v>1.4742673259589948E-4</v>
      </c>
      <c r="V63" s="102">
        <f t="shared" si="41"/>
        <v>0.70080215730984818</v>
      </c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6" t="s">
        <v>96</v>
      </c>
      <c r="C64" s="46" t="s">
        <v>97</v>
      </c>
      <c r="D64" s="47">
        <v>2.0783680000000002</v>
      </c>
      <c r="E64" s="47">
        <v>2.5770209999999998</v>
      </c>
      <c r="F64" s="98">
        <v>9.9999999999999995E-7</v>
      </c>
      <c r="G64" s="170"/>
      <c r="H64" s="170"/>
      <c r="I64" s="54">
        <f t="shared" si="24"/>
        <v>2.9920298270100572E-2</v>
      </c>
      <c r="J64" s="54">
        <f t="shared" si="25"/>
        <v>0.99088006690224351</v>
      </c>
      <c r="K64" s="55">
        <f t="shared" si="26"/>
        <v>0.92897954165983576</v>
      </c>
      <c r="L64" s="55">
        <f t="shared" si="27"/>
        <v>4.2473497103340443E-3</v>
      </c>
      <c r="M64" s="55">
        <f t="shared" si="28"/>
        <v>0.99575265028966597</v>
      </c>
      <c r="N64" s="55">
        <f t="shared" si="29"/>
        <v>9.8267567125160759E-4</v>
      </c>
      <c r="O64" s="56">
        <f t="shared" si="30"/>
        <v>9.2989475092692361E-7</v>
      </c>
      <c r="P64" s="56">
        <f t="shared" si="31"/>
        <v>9.1057110147118527E-6</v>
      </c>
      <c r="Q64" s="56">
        <f t="shared" si="32"/>
        <v>3.5111937615411599E-4</v>
      </c>
      <c r="R64" s="9">
        <f>F64*$C$14</f>
        <v>1.4999999999999999E-4</v>
      </c>
      <c r="S64" s="9">
        <f t="shared" si="38"/>
        <v>6.3710245655010663E-7</v>
      </c>
      <c r="T64" s="9">
        <f t="shared" si="39"/>
        <v>1.3934693124897536E-4</v>
      </c>
      <c r="U64" s="9">
        <f t="shared" si="40"/>
        <v>1.4936289754344988E-4</v>
      </c>
      <c r="V64" s="102">
        <f t="shared" si="41"/>
        <v>0.93294207290293851</v>
      </c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6" t="s">
        <v>167</v>
      </c>
      <c r="C65" s="46" t="s">
        <v>168</v>
      </c>
      <c r="D65" s="47">
        <v>3.4409280000000009</v>
      </c>
      <c r="E65" s="47">
        <v>4.1160660000000009</v>
      </c>
      <c r="F65" s="98">
        <v>9.9999999999999995E-7</v>
      </c>
      <c r="G65" s="170"/>
      <c r="H65" s="170"/>
      <c r="I65" s="54">
        <f t="shared" si="24"/>
        <v>0.45036614920415591</v>
      </c>
      <c r="J65" s="54">
        <f t="shared" si="25"/>
        <v>2.3638521417655052</v>
      </c>
      <c r="K65" s="55">
        <f t="shared" si="26"/>
        <v>0.34128090988276777</v>
      </c>
      <c r="L65" s="55">
        <f t="shared" si="27"/>
        <v>3.6829510061203864E-2</v>
      </c>
      <c r="M65" s="55">
        <f t="shared" si="28"/>
        <v>0.96317048993879617</v>
      </c>
      <c r="N65" s="55">
        <f t="shared" si="29"/>
        <v>1.2489960075474208E-2</v>
      </c>
      <c r="O65" s="56">
        <f t="shared" si="30"/>
        <v>3.4161713198174621E-7</v>
      </c>
      <c r="P65" s="56">
        <f t="shared" si="31"/>
        <v>7.8957208212640891E-5</v>
      </c>
      <c r="Q65" s="56">
        <f t="shared" si="32"/>
        <v>4.4627816869676519E-3</v>
      </c>
      <c r="R65" s="9">
        <f>F65*$C$14</f>
        <v>1.4999999999999999E-4</v>
      </c>
      <c r="S65" s="9">
        <f t="shared" si="38"/>
        <v>5.5244265091805793E-6</v>
      </c>
      <c r="T65" s="9">
        <f t="shared" si="39"/>
        <v>5.1192136482415159E-5</v>
      </c>
      <c r="U65" s="9">
        <f t="shared" si="40"/>
        <v>1.4447557349081942E-4</v>
      </c>
      <c r="V65" s="102">
        <f t="shared" si="41"/>
        <v>0.35433073733857251</v>
      </c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6" t="s">
        <v>169</v>
      </c>
      <c r="C66" s="46" t="s">
        <v>170</v>
      </c>
      <c r="D66" s="47"/>
      <c r="E66" s="47"/>
      <c r="F66" s="57"/>
      <c r="G66" s="170"/>
      <c r="H66" s="170"/>
      <c r="I66" s="54" t="str">
        <f t="shared" si="24"/>
        <v/>
      </c>
      <c r="J66" s="54" t="str">
        <f t="shared" si="25"/>
        <v/>
      </c>
      <c r="K66" s="55" t="str">
        <f t="shared" si="26"/>
        <v/>
      </c>
      <c r="L66" s="55" t="str">
        <f t="shared" si="27"/>
        <v/>
      </c>
      <c r="M66" s="55" t="str">
        <f t="shared" si="28"/>
        <v/>
      </c>
      <c r="N66" s="55" t="str">
        <f t="shared" si="29"/>
        <v/>
      </c>
      <c r="O66" s="56" t="str">
        <f t="shared" si="30"/>
        <v/>
      </c>
      <c r="P66" s="56" t="str">
        <f t="shared" si="31"/>
        <v/>
      </c>
      <c r="Q66" s="56" t="str">
        <f t="shared" si="32"/>
        <v/>
      </c>
      <c r="R66" s="9"/>
      <c r="S66" s="9"/>
      <c r="T66" s="9"/>
      <c r="U66" s="9"/>
      <c r="V66" s="102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6" t="s">
        <v>171</v>
      </c>
      <c r="C67" s="46" t="s">
        <v>172</v>
      </c>
      <c r="D67" s="47"/>
      <c r="E67" s="47"/>
      <c r="F67" s="57"/>
      <c r="G67" s="170"/>
      <c r="H67" s="170"/>
      <c r="I67" s="54" t="str">
        <f t="shared" si="24"/>
        <v/>
      </c>
      <c r="J67" s="54" t="str">
        <f t="shared" si="25"/>
        <v/>
      </c>
      <c r="K67" s="55" t="str">
        <f t="shared" si="26"/>
        <v/>
      </c>
      <c r="L67" s="55" t="str">
        <f t="shared" si="27"/>
        <v/>
      </c>
      <c r="M67" s="55" t="str">
        <f t="shared" si="28"/>
        <v/>
      </c>
      <c r="N67" s="55" t="str">
        <f t="shared" si="29"/>
        <v/>
      </c>
      <c r="O67" s="56" t="str">
        <f t="shared" si="30"/>
        <v/>
      </c>
      <c r="P67" s="56" t="str">
        <f t="shared" si="31"/>
        <v/>
      </c>
      <c r="Q67" s="56" t="str">
        <f t="shared" si="32"/>
        <v/>
      </c>
      <c r="R67" s="9"/>
      <c r="S67" s="9"/>
      <c r="T67" s="9"/>
      <c r="U67" s="9"/>
      <c r="V67" s="102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6" t="s">
        <v>98</v>
      </c>
      <c r="C68" s="46" t="s">
        <v>99</v>
      </c>
      <c r="D68" s="47">
        <v>2.3414159999999997</v>
      </c>
      <c r="E68" s="47">
        <v>2.4767320000000002</v>
      </c>
      <c r="F68" s="98">
        <v>9.9999999999999995E-7</v>
      </c>
      <c r="G68" s="170"/>
      <c r="H68" s="170"/>
      <c r="I68" s="54">
        <f t="shared" si="24"/>
        <v>4.7752637245013392E-2</v>
      </c>
      <c r="J68" s="54">
        <f t="shared" si="25"/>
        <v>1.1705366559659576</v>
      </c>
      <c r="K68" s="55">
        <f t="shared" si="26"/>
        <v>0.88990106589369389</v>
      </c>
      <c r="L68" s="55">
        <f t="shared" si="27"/>
        <v>6.1533297166085927E-3</v>
      </c>
      <c r="M68" s="55">
        <f t="shared" si="28"/>
        <v>0.99384667028339135</v>
      </c>
      <c r="N68" s="55">
        <f t="shared" si="29"/>
        <v>7.4723426936845977E-4</v>
      </c>
      <c r="O68" s="56">
        <f t="shared" si="30"/>
        <v>8.9077777594571744E-7</v>
      </c>
      <c r="P68" s="56">
        <f t="shared" si="31"/>
        <v>1.3191859865306447E-5</v>
      </c>
      <c r="Q68" s="56">
        <f t="shared" si="32"/>
        <v>2.6699392096220172E-4</v>
      </c>
      <c r="R68" s="9">
        <f>F68*$C$14</f>
        <v>1.4999999999999999E-4</v>
      </c>
      <c r="S68" s="9">
        <f t="shared" si="38"/>
        <v>9.2299945749128878E-7</v>
      </c>
      <c r="T68" s="9">
        <f t="shared" si="39"/>
        <v>1.3348515988405408E-4</v>
      </c>
      <c r="U68" s="9">
        <f t="shared" si="40"/>
        <v>1.490770005425087E-4</v>
      </c>
      <c r="V68" s="102">
        <f t="shared" si="41"/>
        <v>0.89541082392512539</v>
      </c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6" t="s">
        <v>173</v>
      </c>
      <c r="C69" s="46" t="s">
        <v>174</v>
      </c>
      <c r="D69" s="47">
        <v>4.3302640000000006</v>
      </c>
      <c r="E69" s="47">
        <v>5.074033</v>
      </c>
      <c r="F69" s="98">
        <v>9.9999999999999995E-7</v>
      </c>
      <c r="G69" s="170"/>
      <c r="H69" s="170"/>
      <c r="I69" s="54">
        <f t="shared" si="24"/>
        <v>1.1979474472139457</v>
      </c>
      <c r="J69" s="54">
        <f t="shared" si="25"/>
        <v>3.2762431023863434</v>
      </c>
      <c r="K69" s="55">
        <f t="shared" si="26"/>
        <v>6.0008190285005418E-2</v>
      </c>
      <c r="L69" s="55">
        <f t="shared" si="27"/>
        <v>5.2927994178646187E-2</v>
      </c>
      <c r="M69" s="55">
        <f t="shared" si="28"/>
        <v>0.94707200582135376</v>
      </c>
      <c r="N69" s="55">
        <f t="shared" si="29"/>
        <v>1.9935474805683508E-2</v>
      </c>
      <c r="O69" s="56">
        <f t="shared" si="30"/>
        <v>6.0067308973186524E-8</v>
      </c>
      <c r="P69" s="56">
        <f t="shared" si="31"/>
        <v>1.134700583769919E-4</v>
      </c>
      <c r="Q69" s="56">
        <f t="shared" si="32"/>
        <v>7.1231350097355319E-3</v>
      </c>
      <c r="R69" s="9">
        <f>F69*$C$14</f>
        <v>1.4999999999999999E-4</v>
      </c>
      <c r="S69" s="9">
        <f t="shared" si="38"/>
        <v>7.9391991267969281E-6</v>
      </c>
      <c r="T69" s="9">
        <f t="shared" si="39"/>
        <v>9.0012285427508124E-6</v>
      </c>
      <c r="U69" s="9">
        <f t="shared" si="40"/>
        <v>1.4206080087320305E-4</v>
      </c>
      <c r="V69" s="102">
        <f t="shared" si="41"/>
        <v>6.3361803449108356E-2</v>
      </c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6" t="s">
        <v>175</v>
      </c>
      <c r="C70" s="46" t="s">
        <v>176</v>
      </c>
      <c r="D70" s="47">
        <v>1.4854320000000003</v>
      </c>
      <c r="E70" s="47">
        <v>1.5057189999999996</v>
      </c>
      <c r="F70" s="98">
        <v>9.9999999999999995E-7</v>
      </c>
      <c r="G70" s="170"/>
      <c r="H70" s="170"/>
      <c r="I70" s="54">
        <f t="shared" si="24"/>
        <v>6.6276677113325539E-3</v>
      </c>
      <c r="J70" s="54">
        <f t="shared" si="25"/>
        <v>0.44918987949517508</v>
      </c>
      <c r="K70" s="55">
        <f t="shared" si="26"/>
        <v>0.98307390350457324</v>
      </c>
      <c r="L70" s="55">
        <f t="shared" si="27"/>
        <v>1.2912426154783059E-3</v>
      </c>
      <c r="M70" s="55">
        <f t="shared" si="28"/>
        <v>0.99870875738452169</v>
      </c>
      <c r="N70" s="55">
        <f t="shared" si="29"/>
        <v>8.8244616838707314E-5</v>
      </c>
      <c r="O70" s="56">
        <f t="shared" si="30"/>
        <v>9.8404240529214993E-7</v>
      </c>
      <c r="P70" s="56">
        <f t="shared" si="31"/>
        <v>2.7682397043547044E-6</v>
      </c>
      <c r="Q70" s="56">
        <f t="shared" si="32"/>
        <v>3.1530642021392387E-5</v>
      </c>
      <c r="R70" s="9">
        <f t="shared" ref="R70:R86" si="42">F70*$C$14</f>
        <v>1.4999999999999999E-4</v>
      </c>
      <c r="S70" s="9">
        <f t="shared" si="38"/>
        <v>1.9368639232174586E-7</v>
      </c>
      <c r="T70" s="9">
        <f t="shared" si="39"/>
        <v>1.4746108552568597E-4</v>
      </c>
      <c r="U70" s="9">
        <f t="shared" si="40"/>
        <v>1.4980631360767823E-4</v>
      </c>
      <c r="V70" s="102">
        <f t="shared" si="41"/>
        <v>0.98434493162862224</v>
      </c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6" t="s">
        <v>177</v>
      </c>
      <c r="C71" s="46" t="s">
        <v>178</v>
      </c>
      <c r="D71" s="47">
        <v>2.0758240000000003</v>
      </c>
      <c r="E71" s="47">
        <v>2.477398</v>
      </c>
      <c r="F71" s="98">
        <v>9.9999999999999995E-7</v>
      </c>
      <c r="G71" s="170"/>
      <c r="H71" s="170"/>
      <c r="I71" s="54">
        <f t="shared" ref="I71:I122" si="43">IF(D71=0,"",LOG($K$15*10^D71+$K$16*10^E71+$K$14))</f>
        <v>2.8589842167479149E-2</v>
      </c>
      <c r="J71" s="54">
        <f t="shared" ref="J71:J122" si="44">IF(D71=0,"",LOG($K$21*10^D71+$K$22*10^E71+$K$20))</f>
        <v>0.96798410137931923</v>
      </c>
      <c r="K71" s="55">
        <f t="shared" ref="K71:K122" si="45">IF(D71=0,"",1/(1+10^D71*$J$15/$J$14+10^E71*$J$16/$J$14+10^J71*$J$19/$J$14))</f>
        <v>0.93202159363773507</v>
      </c>
      <c r="L71" s="55">
        <f t="shared" ref="L71:L122" si="46">IF(D71=0,"",1/(1+10^I71/10^J71*$J$13/$J$19))</f>
        <v>4.0424241486881913E-3</v>
      </c>
      <c r="M71" s="55">
        <f t="shared" si="19"/>
        <v>0.99595757585131184</v>
      </c>
      <c r="N71" s="55">
        <f t="shared" ref="N71:N122" si="47">IF(D71=0,"",1/(1/10^E71*$J$20/$J$22+10^D71/10^E71*$J$21/$J$22+10^I71/10^E71*$J$13/$J$22+1))</f>
        <v>7.8380319353023493E-4</v>
      </c>
      <c r="O71" s="56">
        <f t="shared" si="21"/>
        <v>9.3293979986442905E-7</v>
      </c>
      <c r="P71" s="56">
        <f t="shared" ref="P71:P122" si="48">IF(D71=0,"",O71*10^J71)</f>
        <v>8.6663798856233802E-6</v>
      </c>
      <c r="Q71" s="56">
        <f t="shared" ref="Q71:Q122" si="49">IF(D71=0,"",F71*N71*$J$7/$J$22)</f>
        <v>2.8006034584067218E-4</v>
      </c>
      <c r="R71" s="9">
        <f t="shared" si="42"/>
        <v>1.4999999999999999E-4</v>
      </c>
      <c r="S71" s="9">
        <f t="shared" si="38"/>
        <v>6.0636362230322868E-7</v>
      </c>
      <c r="T71" s="9">
        <f t="shared" si="39"/>
        <v>1.3980323904566025E-4</v>
      </c>
      <c r="U71" s="9">
        <f t="shared" si="40"/>
        <v>1.4939363637769677E-4</v>
      </c>
      <c r="V71" s="102">
        <f t="shared" si="41"/>
        <v>0.9358045123971005</v>
      </c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6" t="s">
        <v>179</v>
      </c>
      <c r="C72" s="46" t="s">
        <v>180</v>
      </c>
      <c r="D72" s="47">
        <v>2.3078000000000003</v>
      </c>
      <c r="E72" s="47">
        <v>2.5099249999999995</v>
      </c>
      <c r="F72" s="98">
        <v>9.9999999999999995E-7</v>
      </c>
      <c r="G72" s="170"/>
      <c r="H72" s="170"/>
      <c r="I72" s="54">
        <f t="shared" si="43"/>
        <v>4.5043006346732313E-2</v>
      </c>
      <c r="J72" s="54">
        <f t="shared" si="44"/>
        <v>1.1477703991585053</v>
      </c>
      <c r="K72" s="55">
        <f t="shared" si="45"/>
        <v>0.89571940558460539</v>
      </c>
      <c r="L72" s="55">
        <f t="shared" si="46"/>
        <v>5.8772502911854894E-3</v>
      </c>
      <c r="M72" s="55">
        <f t="shared" si="19"/>
        <v>0.99412274970881453</v>
      </c>
      <c r="N72" s="55">
        <f t="shared" si="47"/>
        <v>8.1185793053564022E-4</v>
      </c>
      <c r="O72" s="56">
        <f t="shared" si="21"/>
        <v>8.9660184773100261E-7</v>
      </c>
      <c r="P72" s="56">
        <f t="shared" si="48"/>
        <v>1.2599985017117228E-5</v>
      </c>
      <c r="Q72" s="56">
        <f t="shared" si="49"/>
        <v>2.9008457056067496E-4</v>
      </c>
      <c r="R72" s="9">
        <f t="shared" si="42"/>
        <v>1.4999999999999999E-4</v>
      </c>
      <c r="S72" s="9">
        <f t="shared" si="38"/>
        <v>8.8158754367782337E-7</v>
      </c>
      <c r="T72" s="9">
        <f t="shared" si="39"/>
        <v>1.3435791083769079E-4</v>
      </c>
      <c r="U72" s="9">
        <f t="shared" si="40"/>
        <v>1.4911841245632217E-4</v>
      </c>
      <c r="V72" s="102">
        <f t="shared" si="41"/>
        <v>0.90101489564238202</v>
      </c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6" t="s">
        <v>181</v>
      </c>
      <c r="C73" s="46" t="s">
        <v>182</v>
      </c>
      <c r="D73" s="47">
        <v>5.676184000000001</v>
      </c>
      <c r="E73" s="47">
        <v>7.0708080000000004</v>
      </c>
      <c r="F73" s="98">
        <v>9.9999999999999995E-7</v>
      </c>
      <c r="G73" s="170"/>
      <c r="H73" s="170"/>
      <c r="I73" s="54">
        <f t="shared" si="43"/>
        <v>2.829962486439805</v>
      </c>
      <c r="J73" s="54">
        <f t="shared" si="44"/>
        <v>4.9855182177090152</v>
      </c>
      <c r="K73" s="55">
        <f t="shared" si="45"/>
        <v>1.3859350482808923E-3</v>
      </c>
      <c r="L73" s="55">
        <f t="shared" si="46"/>
        <v>6.2588263035632183E-2</v>
      </c>
      <c r="M73" s="55">
        <f t="shared" si="19"/>
        <v>0.93741173696436786</v>
      </c>
      <c r="N73" s="55">
        <f t="shared" si="47"/>
        <v>4.5701865909934247E-2</v>
      </c>
      <c r="O73" s="56">
        <f t="shared" si="21"/>
        <v>1.3873004395978015E-9</v>
      </c>
      <c r="P73" s="56">
        <f t="shared" si="48"/>
        <v>1.3418029476796174E-4</v>
      </c>
      <c r="Q73" s="56">
        <f t="shared" si="49"/>
        <v>1.6329711945485312E-2</v>
      </c>
      <c r="R73" s="9">
        <f t="shared" si="42"/>
        <v>1.4999999999999999E-4</v>
      </c>
      <c r="S73" s="9">
        <f t="shared" si="38"/>
        <v>9.3882394553448269E-6</v>
      </c>
      <c r="T73" s="9">
        <f t="shared" si="39"/>
        <v>2.0789025724213384E-7</v>
      </c>
      <c r="U73" s="9">
        <f t="shared" si="40"/>
        <v>1.4061176054465515E-4</v>
      </c>
      <c r="V73" s="102">
        <f t="shared" si="41"/>
        <v>1.4784699120249797E-3</v>
      </c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6" t="s">
        <v>183</v>
      </c>
      <c r="C74" s="46" t="s">
        <v>184</v>
      </c>
      <c r="D74" s="47">
        <v>1.2599279999999999</v>
      </c>
      <c r="E74" s="47">
        <v>1.3925860000000003</v>
      </c>
      <c r="F74" s="98">
        <v>9.9999999999999995E-7</v>
      </c>
      <c r="G74" s="170"/>
      <c r="H74" s="170"/>
      <c r="I74" s="54">
        <f t="shared" si="43"/>
        <v>3.957220636313619E-3</v>
      </c>
      <c r="J74" s="54">
        <f t="shared" si="44"/>
        <v>0.31969548815041149</v>
      </c>
      <c r="K74" s="55">
        <f t="shared" si="45"/>
        <v>0.989460939601989</v>
      </c>
      <c r="L74" s="55">
        <f t="shared" si="46"/>
        <v>9.6455266748534535E-4</v>
      </c>
      <c r="M74" s="55">
        <f t="shared" si="19"/>
        <v>0.9990354473325147</v>
      </c>
      <c r="N74" s="55">
        <f t="shared" si="47"/>
        <v>6.8449094711222177E-5</v>
      </c>
      <c r="O74" s="56">
        <f t="shared" si="21"/>
        <v>9.9043573375055251E-7</v>
      </c>
      <c r="P74" s="56">
        <f t="shared" si="48"/>
        <v>2.067863125850367E-6</v>
      </c>
      <c r="Q74" s="56">
        <f t="shared" si="49"/>
        <v>2.4457513436459781E-5</v>
      </c>
      <c r="R74" s="9">
        <f t="shared" si="42"/>
        <v>1.4999999999999999E-4</v>
      </c>
      <c r="S74" s="9">
        <f t="shared" si="38"/>
        <v>1.4468290012280178E-7</v>
      </c>
      <c r="T74" s="9">
        <f t="shared" si="39"/>
        <v>1.4841914094029834E-4</v>
      </c>
      <c r="U74" s="9">
        <f t="shared" si="40"/>
        <v>1.4985531709987718E-4</v>
      </c>
      <c r="V74" s="102">
        <f t="shared" si="41"/>
        <v>0.99041624823614594</v>
      </c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6" t="s">
        <v>185</v>
      </c>
      <c r="C75" s="46" t="s">
        <v>186</v>
      </c>
      <c r="D75" s="47">
        <v>1.2889359999999999</v>
      </c>
      <c r="E75" s="47">
        <v>1.371977</v>
      </c>
      <c r="F75" s="98">
        <v>9.9999999999999995E-7</v>
      </c>
      <c r="G75" s="170"/>
      <c r="H75" s="170"/>
      <c r="I75" s="54">
        <f t="shared" si="43"/>
        <v>4.1980440605165602E-3</v>
      </c>
      <c r="J75" s="54">
        <f t="shared" si="44"/>
        <v>0.33245580247164863</v>
      </c>
      <c r="K75" s="55">
        <f t="shared" si="45"/>
        <v>0.98888452292085649</v>
      </c>
      <c r="L75" s="55">
        <f t="shared" si="46"/>
        <v>9.9273466247952967E-4</v>
      </c>
      <c r="M75" s="55">
        <f t="shared" si="19"/>
        <v>0.99900726533752049</v>
      </c>
      <c r="N75" s="55">
        <f t="shared" si="47"/>
        <v>6.523875041385779E-5</v>
      </c>
      <c r="O75" s="56">
        <f t="shared" si="21"/>
        <v>9.8985874919697011E-7</v>
      </c>
      <c r="P75" s="56">
        <f t="shared" si="48"/>
        <v>2.1282812971186137E-6</v>
      </c>
      <c r="Q75" s="56">
        <f t="shared" si="49"/>
        <v>2.3310426844303893E-5</v>
      </c>
      <c r="R75" s="9">
        <f t="shared" si="42"/>
        <v>1.4999999999999999E-4</v>
      </c>
      <c r="S75" s="9">
        <f t="shared" si="38"/>
        <v>1.4891019937192945E-7</v>
      </c>
      <c r="T75" s="9">
        <f t="shared" si="39"/>
        <v>1.4833267843812847E-4</v>
      </c>
      <c r="U75" s="9">
        <f t="shared" si="40"/>
        <v>1.4985108980062806E-4</v>
      </c>
      <c r="V75" s="102">
        <f t="shared" si="41"/>
        <v>0.98986719839995962</v>
      </c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6" t="s">
        <v>187</v>
      </c>
      <c r="C76" s="46" t="s">
        <v>188</v>
      </c>
      <c r="D76" s="47">
        <v>3.3144320000000005</v>
      </c>
      <c r="E76" s="47">
        <v>3.8699789999999998</v>
      </c>
      <c r="F76" s="98">
        <v>9.9999999999999995E-7</v>
      </c>
      <c r="G76" s="170"/>
      <c r="H76" s="170"/>
      <c r="I76" s="54">
        <f t="shared" si="43"/>
        <v>0.35626551305621779</v>
      </c>
      <c r="J76" s="54">
        <f t="shared" si="44"/>
        <v>2.2010224889171557</v>
      </c>
      <c r="K76" s="55">
        <f t="shared" si="45"/>
        <v>0.42614764258241855</v>
      </c>
      <c r="L76" s="55">
        <f t="shared" si="46"/>
        <v>3.1609263948662834E-2</v>
      </c>
      <c r="M76" s="55">
        <f t="shared" si="19"/>
        <v>0.96839073605133719</v>
      </c>
      <c r="N76" s="55">
        <f t="shared" si="47"/>
        <v>8.8495695027710174E-3</v>
      </c>
      <c r="O76" s="56">
        <f t="shared" si="21"/>
        <v>4.2656747343352886E-7</v>
      </c>
      <c r="P76" s="56">
        <f t="shared" si="48"/>
        <v>6.7765746296797593E-5</v>
      </c>
      <c r="Q76" s="56">
        <f t="shared" si="49"/>
        <v>3.1620354649543958E-3</v>
      </c>
      <c r="R76" s="9">
        <f t="shared" si="42"/>
        <v>1.4999999999999999E-4</v>
      </c>
      <c r="S76" s="9">
        <f t="shared" si="38"/>
        <v>4.7413895922994249E-6</v>
      </c>
      <c r="T76" s="9">
        <f t="shared" si="39"/>
        <v>6.3922146387362778E-5</v>
      </c>
      <c r="U76" s="9">
        <f t="shared" si="40"/>
        <v>1.4525861040770057E-4</v>
      </c>
      <c r="V76" s="102">
        <f t="shared" si="41"/>
        <v>0.44005753743582615</v>
      </c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6" t="s">
        <v>100</v>
      </c>
      <c r="C77" s="46" t="s">
        <v>101</v>
      </c>
      <c r="D77" s="47">
        <v>0.29376000000000013</v>
      </c>
      <c r="E77" s="47">
        <v>0.18140000000000034</v>
      </c>
      <c r="F77" s="98">
        <v>9.9999999999999995E-7</v>
      </c>
      <c r="G77" s="170"/>
      <c r="H77" s="170"/>
      <c r="I77" s="54">
        <f t="shared" si="43"/>
        <v>2.1004549420906745E-4</v>
      </c>
      <c r="J77" s="54">
        <f t="shared" si="44"/>
        <v>2.3780964476400657E-2</v>
      </c>
      <c r="K77" s="55">
        <f t="shared" si="45"/>
        <v>0.99850676101055835</v>
      </c>
      <c r="L77" s="55">
        <f t="shared" si="46"/>
        <v>4.9245185547944388E-4</v>
      </c>
      <c r="M77" s="55">
        <f t="shared" si="19"/>
        <v>0.99950754814452059</v>
      </c>
      <c r="N77" s="55">
        <f t="shared" si="47"/>
        <v>4.2475066163902516E-6</v>
      </c>
      <c r="O77" s="56">
        <f t="shared" si="21"/>
        <v>9.9949046689421444E-7</v>
      </c>
      <c r="P77" s="56">
        <f t="shared" si="48"/>
        <v>1.0557464278828587E-6</v>
      </c>
      <c r="Q77" s="56">
        <f t="shared" si="49"/>
        <v>1.5176745664802024E-6</v>
      </c>
      <c r="R77" s="9">
        <f t="shared" si="42"/>
        <v>1.4999999999999999E-4</v>
      </c>
      <c r="S77" s="9">
        <f t="shared" si="38"/>
        <v>7.3867778321916578E-8</v>
      </c>
      <c r="T77" s="9">
        <f t="shared" si="39"/>
        <v>1.4977601415158375E-4</v>
      </c>
      <c r="U77" s="9">
        <f t="shared" si="40"/>
        <v>1.4992613222167807E-4</v>
      </c>
      <c r="V77" s="102">
        <f t="shared" si="41"/>
        <v>0.99899871978373744</v>
      </c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6" t="s">
        <v>189</v>
      </c>
      <c r="C78" s="46" t="s">
        <v>190</v>
      </c>
      <c r="D78" s="47">
        <v>1.6175039999999998</v>
      </c>
      <c r="E78" s="47">
        <v>1.8999029999999997</v>
      </c>
      <c r="F78" s="98">
        <v>9.9999999999999995E-7</v>
      </c>
      <c r="G78" s="7"/>
      <c r="H78" s="7"/>
      <c r="I78" s="54">
        <f t="shared" si="43"/>
        <v>9.6186457475178466E-3</v>
      </c>
      <c r="J78" s="54">
        <f t="shared" si="44"/>
        <v>0.56763004094837866</v>
      </c>
      <c r="K78" s="55">
        <f t="shared" si="45"/>
        <v>0.97594300832677361</v>
      </c>
      <c r="L78" s="55">
        <f t="shared" si="46"/>
        <v>1.6837837033895136E-3</v>
      </c>
      <c r="M78" s="55">
        <f t="shared" si="19"/>
        <v>0.99831621629661049</v>
      </c>
      <c r="N78" s="55">
        <f t="shared" si="47"/>
        <v>2.1712533988363765E-4</v>
      </c>
      <c r="O78" s="56">
        <f t="shared" si="21"/>
        <v>9.7690448492051483E-7</v>
      </c>
      <c r="P78" s="56">
        <f t="shared" si="48"/>
        <v>3.6097917195380606E-6</v>
      </c>
      <c r="Q78" s="56">
        <f t="shared" si="49"/>
        <v>7.758095180080355E-5</v>
      </c>
      <c r="R78" s="9">
        <f t="shared" si="42"/>
        <v>1.4999999999999999E-4</v>
      </c>
      <c r="S78" s="9">
        <f t="shared" si="38"/>
        <v>2.5256755550842704E-7</v>
      </c>
      <c r="T78" s="9">
        <f t="shared" si="39"/>
        <v>1.4639145124901602E-4</v>
      </c>
      <c r="U78" s="9">
        <f t="shared" si="40"/>
        <v>1.4974743244449155E-4</v>
      </c>
      <c r="V78" s="102">
        <f t="shared" si="41"/>
        <v>0.97758905684930841</v>
      </c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6" t="s">
        <v>191</v>
      </c>
      <c r="C79" s="46" t="s">
        <v>192</v>
      </c>
      <c r="D79" s="47">
        <v>2.5898400000000001</v>
      </c>
      <c r="E79" s="47">
        <v>2.96393</v>
      </c>
      <c r="F79" s="98">
        <v>9.9999999999999995E-7</v>
      </c>
      <c r="G79" s="7"/>
      <c r="H79" s="7"/>
      <c r="I79" s="54">
        <f t="shared" si="43"/>
        <v>8.6760595853303396E-2</v>
      </c>
      <c r="J79" s="54">
        <f t="shared" si="44"/>
        <v>1.4448315719926914</v>
      </c>
      <c r="K79" s="55">
        <f t="shared" si="45"/>
        <v>0.80987215029493065</v>
      </c>
      <c r="L79" s="55">
        <f t="shared" si="46"/>
        <v>1.0531248012234332E-2</v>
      </c>
      <c r="M79" s="55">
        <f t="shared" si="19"/>
        <v>0.98946875198776563</v>
      </c>
      <c r="N79" s="55">
        <f t="shared" si="47"/>
        <v>2.0879953106687906E-3</v>
      </c>
      <c r="O79" s="56">
        <f t="shared" si="21"/>
        <v>8.1067001770090388E-7</v>
      </c>
      <c r="P79" s="56">
        <f t="shared" si="48"/>
        <v>2.2577491274228655E-5</v>
      </c>
      <c r="Q79" s="56">
        <f t="shared" si="49"/>
        <v>7.4606061017158415E-4</v>
      </c>
      <c r="R79" s="9">
        <f t="shared" si="42"/>
        <v>1.4999999999999999E-4</v>
      </c>
      <c r="S79" s="9">
        <f t="shared" si="38"/>
        <v>1.5796872018351496E-6</v>
      </c>
      <c r="T79" s="9">
        <f t="shared" si="39"/>
        <v>1.2148082254423958E-4</v>
      </c>
      <c r="U79" s="9">
        <f t="shared" si="40"/>
        <v>1.4842031279816483E-4</v>
      </c>
      <c r="V79" s="102">
        <f t="shared" si="41"/>
        <v>0.81849189139925904</v>
      </c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6" t="s">
        <v>193</v>
      </c>
      <c r="C80" s="46" t="s">
        <v>194</v>
      </c>
      <c r="D80" s="47">
        <v>5.0487680000000008</v>
      </c>
      <c r="E80" s="47">
        <v>6.0352960000000007</v>
      </c>
      <c r="F80" s="98">
        <v>9.9999999999999995E-7</v>
      </c>
      <c r="G80" s="7"/>
      <c r="H80" s="7"/>
      <c r="I80" s="54">
        <f t="shared" si="43"/>
        <v>1.9819141928346475</v>
      </c>
      <c r="J80" s="54">
        <f t="shared" si="44"/>
        <v>4.1025213383811421</v>
      </c>
      <c r="K80" s="55">
        <f t="shared" si="45"/>
        <v>9.8151727367129914E-3</v>
      </c>
      <c r="L80" s="55">
        <f t="shared" si="46"/>
        <v>5.8029802074765775E-2</v>
      </c>
      <c r="M80" s="55">
        <f t="shared" si="19"/>
        <v>0.94197019792523418</v>
      </c>
      <c r="N80" s="55">
        <f t="shared" si="47"/>
        <v>2.9824763001916957E-2</v>
      </c>
      <c r="O80" s="56">
        <f t="shared" si="21"/>
        <v>9.8248424190298472E-9</v>
      </c>
      <c r="P80" s="56">
        <f t="shared" si="48"/>
        <v>1.2440760567657288E-4</v>
      </c>
      <c r="Q80" s="56">
        <f t="shared" si="49"/>
        <v>1.0656671865946848E-2</v>
      </c>
      <c r="R80" s="9">
        <f t="shared" si="42"/>
        <v>1.4999999999999999E-4</v>
      </c>
      <c r="S80" s="9">
        <f t="shared" si="38"/>
        <v>8.7044703112148658E-6</v>
      </c>
      <c r="T80" s="9">
        <f t="shared" si="39"/>
        <v>1.4722759105069485E-6</v>
      </c>
      <c r="U80" s="9">
        <f t="shared" si="40"/>
        <v>1.4129552968878512E-4</v>
      </c>
      <c r="V80" s="102">
        <f t="shared" si="41"/>
        <v>1.0419833619292527E-2</v>
      </c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6" t="s">
        <v>195</v>
      </c>
      <c r="C81" s="46" t="s">
        <v>196</v>
      </c>
      <c r="D81" s="47">
        <v>2.7330160000000001</v>
      </c>
      <c r="E81" s="47">
        <v>3.3310319999999995</v>
      </c>
      <c r="F81" s="98">
        <v>9.9999999999999995E-7</v>
      </c>
      <c r="G81" s="7"/>
      <c r="H81" s="7"/>
      <c r="I81" s="54">
        <f t="shared" si="43"/>
        <v>0.12726341031571042</v>
      </c>
      <c r="J81" s="54">
        <f t="shared" si="44"/>
        <v>1.6388871729377372</v>
      </c>
      <c r="K81" s="55">
        <f t="shared" si="45"/>
        <v>0.73447682161573169</v>
      </c>
      <c r="L81" s="55">
        <f t="shared" si="46"/>
        <v>1.4931281102201028E-2</v>
      </c>
      <c r="M81" s="55">
        <f t="shared" si="19"/>
        <v>0.98506871889779901</v>
      </c>
      <c r="N81" s="55">
        <f t="shared" si="47"/>
        <v>4.4095386053303043E-3</v>
      </c>
      <c r="O81" s="56">
        <f t="shared" si="21"/>
        <v>7.3520041127886143E-7</v>
      </c>
      <c r="P81" s="56">
        <f t="shared" si="48"/>
        <v>3.2010533642961533E-5</v>
      </c>
      <c r="Q81" s="56">
        <f t="shared" si="49"/>
        <v>1.5755701392902825E-3</v>
      </c>
      <c r="R81" s="9">
        <f t="shared" si="42"/>
        <v>1.4999999999999999E-4</v>
      </c>
      <c r="S81" s="9">
        <f t="shared" si="38"/>
        <v>2.2396921653301542E-6</v>
      </c>
      <c r="T81" s="9">
        <f t="shared" si="39"/>
        <v>1.1017152324235974E-4</v>
      </c>
      <c r="U81" s="9">
        <f t="shared" si="40"/>
        <v>1.4776030783466985E-4</v>
      </c>
      <c r="V81" s="102">
        <f t="shared" si="41"/>
        <v>0.74560973008821507</v>
      </c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6" t="s">
        <v>197</v>
      </c>
      <c r="C82" s="46" t="s">
        <v>198</v>
      </c>
      <c r="D82" s="47">
        <v>3.4406639999999999</v>
      </c>
      <c r="E82" s="47">
        <v>4.222847999999999</v>
      </c>
      <c r="F82" s="98">
        <v>9.9999999999999995E-7</v>
      </c>
      <c r="G82" s="7"/>
      <c r="H82" s="7"/>
      <c r="I82" s="54">
        <f t="shared" si="43"/>
        <v>0.47104615060046062</v>
      </c>
      <c r="J82" s="54">
        <f t="shared" si="44"/>
        <v>2.4029208557650041</v>
      </c>
      <c r="K82" s="55">
        <f t="shared" si="45"/>
        <v>0.3248932999715386</v>
      </c>
      <c r="L82" s="55">
        <f t="shared" si="46"/>
        <v>3.8361308709710468E-2</v>
      </c>
      <c r="M82" s="55">
        <f t="shared" si="19"/>
        <v>0.96163869129028956</v>
      </c>
      <c r="N82" s="55">
        <f t="shared" si="47"/>
        <v>1.5204488325702526E-2</v>
      </c>
      <c r="O82" s="56">
        <f t="shared" si="21"/>
        <v>3.2521337737433854E-7</v>
      </c>
      <c r="P82" s="56">
        <f t="shared" si="48"/>
        <v>8.2241165686660708E-5</v>
      </c>
      <c r="Q82" s="56">
        <f t="shared" si="49"/>
        <v>5.4327084834242326E-3</v>
      </c>
      <c r="R82" s="9">
        <f t="shared" si="42"/>
        <v>1.4999999999999999E-4</v>
      </c>
      <c r="S82" s="9">
        <f t="shared" si="38"/>
        <v>5.7541963064565692E-6</v>
      </c>
      <c r="T82" s="9">
        <f t="shared" si="39"/>
        <v>4.8733994995730782E-5</v>
      </c>
      <c r="U82" s="9">
        <f t="shared" si="40"/>
        <v>1.4424580369354342E-4</v>
      </c>
      <c r="V82" s="102">
        <f t="shared" si="41"/>
        <v>0.337853814446265</v>
      </c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6" t="s">
        <v>199</v>
      </c>
      <c r="C83" s="46" t="s">
        <v>200</v>
      </c>
      <c r="D83" s="47">
        <v>2.8976480000000002</v>
      </c>
      <c r="E83" s="47">
        <v>3.5312959999999993</v>
      </c>
      <c r="F83" s="98">
        <v>9.9999999999999995E-7</v>
      </c>
      <c r="G83" s="7"/>
      <c r="H83" s="7"/>
      <c r="I83" s="54">
        <f t="shared" si="43"/>
        <v>0.17835694544431213</v>
      </c>
      <c r="J83" s="54">
        <f t="shared" si="44"/>
        <v>1.8114577144785691</v>
      </c>
      <c r="K83" s="55">
        <f t="shared" si="45"/>
        <v>0.64982543432340234</v>
      </c>
      <c r="L83" s="55">
        <f t="shared" si="46"/>
        <v>1.9655596312141664E-2</v>
      </c>
      <c r="M83" s="55">
        <f t="shared" si="19"/>
        <v>0.98034440368785836</v>
      </c>
      <c r="N83" s="55">
        <f t="shared" si="47"/>
        <v>6.1869379426396989E-3</v>
      </c>
      <c r="O83" s="56">
        <f t="shared" si="21"/>
        <v>6.5046562738774002E-7</v>
      </c>
      <c r="P83" s="56">
        <f t="shared" si="48"/>
        <v>4.2138790550901409E-5</v>
      </c>
      <c r="Q83" s="56">
        <f t="shared" si="49"/>
        <v>2.2106518501236651E-3</v>
      </c>
      <c r="R83" s="9">
        <f t="shared" si="42"/>
        <v>1.4999999999999999E-4</v>
      </c>
      <c r="S83" s="9">
        <f t="shared" si="38"/>
        <v>2.9483394468212492E-6</v>
      </c>
      <c r="T83" s="9">
        <f t="shared" si="39"/>
        <v>9.7473815148510344E-5</v>
      </c>
      <c r="U83" s="9">
        <f t="shared" si="40"/>
        <v>1.4705166055317874E-4</v>
      </c>
      <c r="V83" s="102">
        <f t="shared" si="41"/>
        <v>0.6628542294716937</v>
      </c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6" t="s">
        <v>102</v>
      </c>
      <c r="C84" s="46" t="s">
        <v>103</v>
      </c>
      <c r="D84" s="47">
        <v>1.423632</v>
      </c>
      <c r="E84" s="47">
        <v>1.638849</v>
      </c>
      <c r="F84" s="98">
        <v>9.9999999999999995E-7</v>
      </c>
      <c r="G84" s="7"/>
      <c r="H84" s="7"/>
      <c r="I84" s="54">
        <f t="shared" si="43"/>
        <v>5.9812805986470914E-3</v>
      </c>
      <c r="J84" s="54">
        <f t="shared" si="44"/>
        <v>0.4247204129571146</v>
      </c>
      <c r="K84" s="55">
        <f t="shared" si="45"/>
        <v>0.98460602411798759</v>
      </c>
      <c r="L84" s="55">
        <f t="shared" si="46"/>
        <v>1.2224038395159454E-3</v>
      </c>
      <c r="M84" s="55">
        <f t="shared" si="19"/>
        <v>0.998777596160484</v>
      </c>
      <c r="N84" s="55">
        <f t="shared" si="47"/>
        <v>1.2008659831264449E-4</v>
      </c>
      <c r="O84" s="56">
        <f t="shared" si="21"/>
        <v>9.85576035315536E-7</v>
      </c>
      <c r="P84" s="56">
        <f t="shared" si="48"/>
        <v>2.6206592028022556E-6</v>
      </c>
      <c r="Q84" s="56">
        <f t="shared" si="49"/>
        <v>4.2908085258996555E-5</v>
      </c>
      <c r="R84" s="9">
        <f t="shared" si="42"/>
        <v>1.4999999999999999E-4</v>
      </c>
      <c r="S84" s="9">
        <f t="shared" si="38"/>
        <v>1.833605759273918E-7</v>
      </c>
      <c r="T84" s="9">
        <f t="shared" si="39"/>
        <v>1.4769090361769813E-4</v>
      </c>
      <c r="U84" s="9">
        <f t="shared" si="40"/>
        <v>1.498166394240726E-4</v>
      </c>
      <c r="V84" s="102">
        <f t="shared" si="41"/>
        <v>0.98581108337133816</v>
      </c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6" t="s">
        <v>201</v>
      </c>
      <c r="C85" s="46" t="s">
        <v>202</v>
      </c>
      <c r="D85" s="47">
        <v>2.6912000000000003</v>
      </c>
      <c r="E85" s="47">
        <v>3.3249699999999995</v>
      </c>
      <c r="F85" s="98">
        <v>9.9999999999999995E-7</v>
      </c>
      <c r="G85" s="7"/>
      <c r="H85" s="7"/>
      <c r="I85" s="54">
        <f t="shared" si="43"/>
        <v>0.11910186422699467</v>
      </c>
      <c r="J85" s="54">
        <f t="shared" si="44"/>
        <v>1.6088620889783687</v>
      </c>
      <c r="K85" s="55">
        <f t="shared" si="45"/>
        <v>0.74895914407556341</v>
      </c>
      <c r="L85" s="55">
        <f t="shared" si="46"/>
        <v>1.420862394989556E-2</v>
      </c>
      <c r="M85" s="55">
        <f t="shared" si="19"/>
        <v>0.98579137605010447</v>
      </c>
      <c r="N85" s="55">
        <f t="shared" si="47"/>
        <v>4.434158179640703E-3</v>
      </c>
      <c r="O85" s="56">
        <f t="shared" si="21"/>
        <v>7.4969700138951829E-7</v>
      </c>
      <c r="P85" s="56">
        <f t="shared" si="48"/>
        <v>3.046125994515465E-5</v>
      </c>
      <c r="Q85" s="56">
        <f t="shared" si="49"/>
        <v>1.5843669476635241E-3</v>
      </c>
      <c r="R85" s="9">
        <f t="shared" si="42"/>
        <v>1.4999999999999999E-4</v>
      </c>
      <c r="S85" s="9">
        <f t="shared" si="38"/>
        <v>2.1312935924843337E-6</v>
      </c>
      <c r="T85" s="9">
        <f t="shared" si="39"/>
        <v>1.123438716113345E-4</v>
      </c>
      <c r="U85" s="9">
        <f t="shared" si="40"/>
        <v>1.4786870640751565E-4</v>
      </c>
      <c r="V85" s="102">
        <f t="shared" si="41"/>
        <v>0.75975420588128206</v>
      </c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6" t="s">
        <v>104</v>
      </c>
      <c r="C86" s="46" t="s">
        <v>105</v>
      </c>
      <c r="D86" s="47">
        <v>2.1493200000000003</v>
      </c>
      <c r="E86" s="47">
        <v>2.6108399999999996</v>
      </c>
      <c r="F86" s="98">
        <v>9.9999999999999995E-7</v>
      </c>
      <c r="G86" s="7"/>
      <c r="H86" s="7"/>
      <c r="I86" s="54">
        <f t="shared" si="43"/>
        <v>3.4503381608646556E-2</v>
      </c>
      <c r="J86" s="54">
        <f t="shared" si="44"/>
        <v>1.0470728875357567</v>
      </c>
      <c r="K86" s="55">
        <f t="shared" si="45"/>
        <v>0.91873522527353091</v>
      </c>
      <c r="L86" s="55">
        <f t="shared" si="46"/>
        <v>4.7807392739177036E-3</v>
      </c>
      <c r="M86" s="55">
        <f t="shared" si="19"/>
        <v>0.99521926072608224</v>
      </c>
      <c r="N86" s="55">
        <f t="shared" si="47"/>
        <v>1.0505420054790673E-3</v>
      </c>
      <c r="O86" s="56">
        <f t="shared" si="21"/>
        <v>9.1964034207585367E-7</v>
      </c>
      <c r="P86" s="56">
        <f t="shared" si="48"/>
        <v>1.0249222040526136E-5</v>
      </c>
      <c r="Q86" s="56">
        <f t="shared" si="49"/>
        <v>3.7536866371962765E-4</v>
      </c>
      <c r="R86" s="9">
        <f t="shared" si="42"/>
        <v>1.4999999999999999E-4</v>
      </c>
      <c r="S86" s="9">
        <f t="shared" si="38"/>
        <v>7.1711089108765552E-7</v>
      </c>
      <c r="T86" s="9">
        <f t="shared" si="39"/>
        <v>1.3781028379102961E-4</v>
      </c>
      <c r="U86" s="9">
        <f t="shared" si="40"/>
        <v>1.4928288910891232E-4</v>
      </c>
      <c r="V86" s="102">
        <f t="shared" si="41"/>
        <v>0.92314855783965544</v>
      </c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6" t="s">
        <v>203</v>
      </c>
      <c r="C87" s="46" t="s">
        <v>204</v>
      </c>
      <c r="D87" s="47"/>
      <c r="E87" s="47"/>
      <c r="F87" s="57"/>
      <c r="G87" s="7"/>
      <c r="H87" s="7"/>
      <c r="I87" s="54" t="str">
        <f t="shared" si="43"/>
        <v/>
      </c>
      <c r="J87" s="54" t="str">
        <f t="shared" si="44"/>
        <v/>
      </c>
      <c r="K87" s="55" t="str">
        <f t="shared" si="45"/>
        <v/>
      </c>
      <c r="L87" s="55" t="str">
        <f t="shared" si="46"/>
        <v/>
      </c>
      <c r="M87" s="55" t="str">
        <f t="shared" si="19"/>
        <v/>
      </c>
      <c r="N87" s="55" t="str">
        <f t="shared" si="47"/>
        <v/>
      </c>
      <c r="O87" s="56" t="str">
        <f t="shared" si="21"/>
        <v/>
      </c>
      <c r="P87" s="56" t="str">
        <f t="shared" si="48"/>
        <v/>
      </c>
      <c r="Q87" s="56" t="str">
        <f t="shared" si="49"/>
        <v/>
      </c>
      <c r="R87" s="9"/>
      <c r="S87" s="9"/>
      <c r="T87" s="9"/>
      <c r="U87" s="9"/>
      <c r="V87" s="102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6" t="s">
        <v>205</v>
      </c>
      <c r="C88" s="46" t="s">
        <v>206</v>
      </c>
      <c r="D88" s="47">
        <v>4.1575040000000012</v>
      </c>
      <c r="E88" s="47">
        <v>5.2456879999999995</v>
      </c>
      <c r="F88" s="98">
        <v>9.9999999999999995E-7</v>
      </c>
      <c r="G88" s="7"/>
      <c r="H88" s="7"/>
      <c r="I88" s="54">
        <f t="shared" si="43"/>
        <v>1.1640116161103842</v>
      </c>
      <c r="J88" s="54">
        <f t="shared" si="44"/>
        <v>3.2666552850062542</v>
      </c>
      <c r="K88" s="55">
        <f t="shared" si="45"/>
        <v>6.4687874136762788E-2</v>
      </c>
      <c r="L88" s="55">
        <f t="shared" si="46"/>
        <v>5.5809735951474808E-2</v>
      </c>
      <c r="M88" s="55">
        <f t="shared" si="19"/>
        <v>0.94419026404852524</v>
      </c>
      <c r="N88" s="55">
        <f t="shared" si="47"/>
        <v>3.1907584875593024E-2</v>
      </c>
      <c r="O88" s="56">
        <f t="shared" si="21"/>
        <v>6.4751603141787372E-8</v>
      </c>
      <c r="P88" s="56">
        <f t="shared" si="48"/>
        <v>1.1964810106054034E-4</v>
      </c>
      <c r="Q88" s="56">
        <f t="shared" si="49"/>
        <v>1.1400883957810104E-2</v>
      </c>
      <c r="R88" s="9">
        <f>F88*$C$14</f>
        <v>1.4999999999999999E-4</v>
      </c>
      <c r="S88" s="9">
        <f t="shared" si="38"/>
        <v>8.3714603927212203E-6</v>
      </c>
      <c r="T88" s="9">
        <f t="shared" si="39"/>
        <v>9.7031811205144182E-6</v>
      </c>
      <c r="U88" s="9">
        <f t="shared" si="40"/>
        <v>1.4162853960727876E-4</v>
      </c>
      <c r="V88" s="102">
        <f t="shared" si="41"/>
        <v>6.8511481848364253E-2</v>
      </c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6" t="s">
        <v>207</v>
      </c>
      <c r="C89" s="46" t="s">
        <v>208</v>
      </c>
      <c r="D89" s="47">
        <v>5.4191360000000008</v>
      </c>
      <c r="E89" s="47">
        <v>6.7333169999999996</v>
      </c>
      <c r="F89" s="98">
        <v>9.9999999999999995E-7</v>
      </c>
      <c r="G89" s="7"/>
      <c r="H89" s="7"/>
      <c r="I89" s="54">
        <f t="shared" si="43"/>
        <v>2.5219720041185627</v>
      </c>
      <c r="J89" s="54">
        <f t="shared" si="44"/>
        <v>4.6712433234986683</v>
      </c>
      <c r="K89" s="55">
        <f t="shared" si="45"/>
        <v>2.8191879721135727E-3</v>
      </c>
      <c r="L89" s="55">
        <f t="shared" si="46"/>
        <v>6.1744625541041764E-2</v>
      </c>
      <c r="M89" s="55">
        <f t="shared" si="19"/>
        <v>0.93825537445895824</v>
      </c>
      <c r="N89" s="55">
        <f t="shared" si="47"/>
        <v>4.2738973588571032E-2</v>
      </c>
      <c r="O89" s="56">
        <f t="shared" si="21"/>
        <v>2.8219653712295223E-9</v>
      </c>
      <c r="P89" s="56">
        <f t="shared" si="48"/>
        <v>1.3237165649920184E-4</v>
      </c>
      <c r="Q89" s="56">
        <f t="shared" si="49"/>
        <v>1.5271042301040127E-2</v>
      </c>
      <c r="R89" s="9">
        <f>F89*$C$14</f>
        <v>1.4999999999999999E-4</v>
      </c>
      <c r="S89" s="9">
        <f t="shared" si="38"/>
        <v>9.261693831156264E-6</v>
      </c>
      <c r="T89" s="9">
        <f t="shared" si="39"/>
        <v>4.2287819581703586E-7</v>
      </c>
      <c r="U89" s="9">
        <f t="shared" si="40"/>
        <v>1.4073830616884373E-4</v>
      </c>
      <c r="V89" s="102">
        <f t="shared" si="41"/>
        <v>3.004712841361818E-3</v>
      </c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6" t="s">
        <v>209</v>
      </c>
      <c r="C90" s="46" t="s">
        <v>210</v>
      </c>
      <c r="D90" s="47">
        <v>5.6895360000000004</v>
      </c>
      <c r="E90" s="47">
        <v>7.1197670000000004</v>
      </c>
      <c r="F90" s="98">
        <v>9.9999999999999995E-7</v>
      </c>
      <c r="G90" s="7"/>
      <c r="H90" s="7"/>
      <c r="I90" s="54">
        <f t="shared" si="43"/>
        <v>2.8671793282646911</v>
      </c>
      <c r="J90" s="54">
        <f t="shared" si="44"/>
        <v>5.0251542040134112</v>
      </c>
      <c r="K90" s="55">
        <f t="shared" si="45"/>
        <v>1.2716694255052246E-3</v>
      </c>
      <c r="L90" s="55">
        <f t="shared" si="46"/>
        <v>6.2915874513613967E-2</v>
      </c>
      <c r="M90" s="55">
        <f t="shared" si="19"/>
        <v>0.93708412548638598</v>
      </c>
      <c r="N90" s="55">
        <f t="shared" si="47"/>
        <v>4.6937967932808931E-2</v>
      </c>
      <c r="O90" s="56">
        <f t="shared" si="21"/>
        <v>1.2729222449600161E-9</v>
      </c>
      <c r="P90" s="56">
        <f t="shared" si="48"/>
        <v>1.3488264697511507E-4</v>
      </c>
      <c r="Q90" s="56">
        <f t="shared" si="49"/>
        <v>1.6771382970658652E-2</v>
      </c>
      <c r="R90" s="9">
        <f>F90*$C$14</f>
        <v>1.4999999999999999E-4</v>
      </c>
      <c r="S90" s="9">
        <f t="shared" si="38"/>
        <v>9.4373811770420936E-6</v>
      </c>
      <c r="T90" s="9">
        <f t="shared" si="39"/>
        <v>1.9075041382578367E-7</v>
      </c>
      <c r="U90" s="9">
        <f t="shared" si="40"/>
        <v>1.4056261882295788E-4</v>
      </c>
      <c r="V90" s="102">
        <f t="shared" si="41"/>
        <v>1.3570493736036503E-3</v>
      </c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6" t="s">
        <v>106</v>
      </c>
      <c r="C91" s="46" t="s">
        <v>107</v>
      </c>
      <c r="D91" s="47">
        <v>6.0065360000000005</v>
      </c>
      <c r="E91" s="47">
        <v>7.5552170000000007</v>
      </c>
      <c r="F91" s="98">
        <v>9.9999999999999995E-7</v>
      </c>
      <c r="G91" s="7"/>
      <c r="H91" s="7"/>
      <c r="I91" s="54">
        <f t="shared" si="43"/>
        <v>3.2678433041260839</v>
      </c>
      <c r="J91" s="54">
        <f t="shared" si="44"/>
        <v>5.4334429478670883</v>
      </c>
      <c r="K91" s="55">
        <f t="shared" si="45"/>
        <v>5.049246446532942E-4</v>
      </c>
      <c r="L91" s="55">
        <f t="shared" si="46"/>
        <v>6.3958949226206693E-2</v>
      </c>
      <c r="M91" s="55">
        <f t="shared" si="19"/>
        <v>0.93604105077379329</v>
      </c>
      <c r="N91" s="55">
        <f t="shared" si="47"/>
        <v>5.0795661765005773E-2</v>
      </c>
      <c r="O91" s="56">
        <f t="shared" si="21"/>
        <v>5.0542208479405558E-10</v>
      </c>
      <c r="P91" s="56">
        <f t="shared" si="48"/>
        <v>1.3711885014824066E-4</v>
      </c>
      <c r="Q91" s="56">
        <f t="shared" si="49"/>
        <v>1.8149773716843842E-2</v>
      </c>
      <c r="R91" s="9">
        <f t="shared" ref="R91:R92" si="50">F91*$C$14</f>
        <v>1.4999999999999999E-4</v>
      </c>
      <c r="S91" s="9">
        <f t="shared" si="38"/>
        <v>9.5938423839310032E-6</v>
      </c>
      <c r="T91" s="9">
        <f t="shared" si="39"/>
        <v>7.5738696697994122E-8</v>
      </c>
      <c r="U91" s="9">
        <f t="shared" si="40"/>
        <v>1.4040615761606897E-4</v>
      </c>
      <c r="V91" s="102">
        <f t="shared" si="41"/>
        <v>5.3942574872746247E-4</v>
      </c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6" t="s">
        <v>108</v>
      </c>
      <c r="C92" s="46" t="s">
        <v>109</v>
      </c>
      <c r="D92" s="47">
        <v>7.0428240000000013</v>
      </c>
      <c r="E92" s="47">
        <v>8.8261279999999989</v>
      </c>
      <c r="F92" s="98">
        <v>9.9999999999999995E-7</v>
      </c>
      <c r="G92" s="7"/>
      <c r="H92" s="7"/>
      <c r="I92" s="54">
        <f t="shared" si="43"/>
        <v>4.4880081925943038</v>
      </c>
      <c r="J92" s="54">
        <f t="shared" si="44"/>
        <v>6.6653455439762812</v>
      </c>
      <c r="K92" s="55">
        <f t="shared" si="45"/>
        <v>3.0359972751914099E-5</v>
      </c>
      <c r="L92" s="55">
        <f t="shared" si="46"/>
        <v>6.5596206624940367E-2</v>
      </c>
      <c r="M92" s="55">
        <f t="shared" si="19"/>
        <v>0.93440379337505963</v>
      </c>
      <c r="N92" s="55">
        <f t="shared" si="47"/>
        <v>5.6991807596511644E-2</v>
      </c>
      <c r="O92" s="56">
        <f t="shared" si="21"/>
        <v>3.0389882698436116E-11</v>
      </c>
      <c r="P92" s="56">
        <f t="shared" si="48"/>
        <v>1.4062889611721161E-4</v>
      </c>
      <c r="Q92" s="56">
        <f t="shared" si="49"/>
        <v>2.0363715633353575E-2</v>
      </c>
      <c r="R92" s="9">
        <f t="shared" si="50"/>
        <v>1.4999999999999999E-4</v>
      </c>
      <c r="S92" s="9">
        <f t="shared" si="38"/>
        <v>9.8394309937410542E-6</v>
      </c>
      <c r="T92" s="9">
        <f t="shared" si="39"/>
        <v>4.5539959127871147E-9</v>
      </c>
      <c r="U92" s="9">
        <f t="shared" si="40"/>
        <v>1.4016056900625893E-4</v>
      </c>
      <c r="V92" s="102">
        <f t="shared" si="41"/>
        <v>3.2491277290574878E-5</v>
      </c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6" t="s">
        <v>211</v>
      </c>
      <c r="C93" s="46" t="s">
        <v>212</v>
      </c>
      <c r="D93" s="47">
        <v>2.17</v>
      </c>
      <c r="E93" s="47">
        <v>2.25</v>
      </c>
      <c r="F93" s="98">
        <v>9.9999999999999995E-7</v>
      </c>
      <c r="G93" s="7"/>
      <c r="H93" s="7"/>
      <c r="I93" s="54">
        <f t="shared" si="43"/>
        <v>3.2311126461878961E-2</v>
      </c>
      <c r="J93" s="54">
        <f t="shared" si="44"/>
        <v>1.006083514165347</v>
      </c>
      <c r="K93" s="55">
        <f t="shared" si="45"/>
        <v>0.92376200375367945</v>
      </c>
      <c r="L93" s="55">
        <f t="shared" si="46"/>
        <v>4.373966100398672E-3</v>
      </c>
      <c r="M93" s="55">
        <f t="shared" ref="M93:M127" si="51">IF(D93=0,"",1-L93)</f>
        <v>0.99562603389960136</v>
      </c>
      <c r="N93" s="55">
        <f t="shared" si="47"/>
        <v>4.60196327992311E-4</v>
      </c>
      <c r="O93" s="56">
        <f t="shared" ref="O93:O127" si="52">IF(D93=0,"",F93*K93*$J$7/$J$14)</f>
        <v>9.2467207282248639E-7</v>
      </c>
      <c r="P93" s="56">
        <f t="shared" si="48"/>
        <v>9.3771584669546922E-6</v>
      </c>
      <c r="Q93" s="56">
        <f t="shared" si="49"/>
        <v>1.6443253081382402E-4</v>
      </c>
      <c r="R93" s="9">
        <f>F93*$C$14</f>
        <v>1.4999999999999999E-4</v>
      </c>
      <c r="S93" s="9">
        <f t="shared" si="38"/>
        <v>6.5609491505980077E-7</v>
      </c>
      <c r="T93" s="9">
        <f t="shared" si="39"/>
        <v>1.3856430056305192E-4</v>
      </c>
      <c r="U93" s="9">
        <f t="shared" si="40"/>
        <v>1.4934390508494018E-4</v>
      </c>
      <c r="V93" s="102">
        <f t="shared" si="41"/>
        <v>0.92782025810991531</v>
      </c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6" t="s">
        <v>213</v>
      </c>
      <c r="C94" s="46" t="s">
        <v>214</v>
      </c>
      <c r="D94" s="47"/>
      <c r="E94" s="47"/>
      <c r="F94" s="57"/>
      <c r="G94" s="7"/>
      <c r="H94" s="7"/>
      <c r="I94" s="54" t="str">
        <f t="shared" si="43"/>
        <v/>
      </c>
      <c r="J94" s="54" t="str">
        <f t="shared" si="44"/>
        <v/>
      </c>
      <c r="K94" s="55" t="str">
        <f t="shared" si="45"/>
        <v/>
      </c>
      <c r="L94" s="55" t="str">
        <f t="shared" si="46"/>
        <v/>
      </c>
      <c r="M94" s="55" t="str">
        <f t="shared" si="51"/>
        <v/>
      </c>
      <c r="N94" s="55" t="str">
        <f t="shared" si="47"/>
        <v/>
      </c>
      <c r="O94" s="56" t="str">
        <f t="shared" si="52"/>
        <v/>
      </c>
      <c r="P94" s="56" t="str">
        <f t="shared" si="48"/>
        <v/>
      </c>
      <c r="Q94" s="56" t="str">
        <f t="shared" si="49"/>
        <v/>
      </c>
      <c r="R94" s="9"/>
      <c r="S94" s="9"/>
      <c r="T94" s="9"/>
      <c r="U94" s="9"/>
      <c r="V94" s="102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6" t="s">
        <v>215</v>
      </c>
      <c r="C95" s="46" t="s">
        <v>216</v>
      </c>
      <c r="D95" s="47"/>
      <c r="E95" s="47"/>
      <c r="F95" s="57"/>
      <c r="G95" s="7"/>
      <c r="H95" s="7"/>
      <c r="I95" s="54" t="str">
        <f t="shared" si="43"/>
        <v/>
      </c>
      <c r="J95" s="54" t="str">
        <f t="shared" si="44"/>
        <v/>
      </c>
      <c r="K95" s="55" t="str">
        <f t="shared" si="45"/>
        <v/>
      </c>
      <c r="L95" s="55" t="str">
        <f t="shared" si="46"/>
        <v/>
      </c>
      <c r="M95" s="55" t="str">
        <f t="shared" si="51"/>
        <v/>
      </c>
      <c r="N95" s="55" t="str">
        <f t="shared" si="47"/>
        <v/>
      </c>
      <c r="O95" s="56" t="str">
        <f t="shared" si="52"/>
        <v/>
      </c>
      <c r="P95" s="56" t="str">
        <f t="shared" si="48"/>
        <v/>
      </c>
      <c r="Q95" s="56" t="str">
        <f t="shared" si="49"/>
        <v/>
      </c>
      <c r="R95" s="9"/>
      <c r="S95" s="9"/>
      <c r="T95" s="9"/>
      <c r="U95" s="9"/>
      <c r="V95" s="102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6" t="s">
        <v>217</v>
      </c>
      <c r="C96" s="46" t="s">
        <v>218</v>
      </c>
      <c r="D96" s="47"/>
      <c r="E96" s="47"/>
      <c r="F96" s="57"/>
      <c r="G96" s="7"/>
      <c r="H96" s="7"/>
      <c r="I96" s="54" t="str">
        <f t="shared" si="43"/>
        <v/>
      </c>
      <c r="J96" s="54" t="str">
        <f t="shared" si="44"/>
        <v/>
      </c>
      <c r="K96" s="55" t="str">
        <f t="shared" si="45"/>
        <v/>
      </c>
      <c r="L96" s="55" t="str">
        <f t="shared" si="46"/>
        <v/>
      </c>
      <c r="M96" s="55" t="str">
        <f t="shared" si="51"/>
        <v/>
      </c>
      <c r="N96" s="55" t="str">
        <f t="shared" si="47"/>
        <v/>
      </c>
      <c r="O96" s="56" t="str">
        <f t="shared" si="52"/>
        <v/>
      </c>
      <c r="P96" s="56" t="str">
        <f t="shared" si="48"/>
        <v/>
      </c>
      <c r="Q96" s="56" t="str">
        <f t="shared" si="49"/>
        <v/>
      </c>
      <c r="R96" s="9"/>
      <c r="S96" s="9"/>
      <c r="T96" s="9"/>
      <c r="U96" s="9"/>
      <c r="V96" s="102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6" t="s">
        <v>219</v>
      </c>
      <c r="C97" s="46" t="s">
        <v>220</v>
      </c>
      <c r="D97" s="47"/>
      <c r="E97" s="47"/>
      <c r="F97" s="57"/>
      <c r="G97" s="7"/>
      <c r="H97" s="7"/>
      <c r="I97" s="54" t="str">
        <f t="shared" si="43"/>
        <v/>
      </c>
      <c r="J97" s="54" t="str">
        <f t="shared" si="44"/>
        <v/>
      </c>
      <c r="K97" s="55" t="str">
        <f t="shared" si="45"/>
        <v/>
      </c>
      <c r="L97" s="55" t="str">
        <f t="shared" si="46"/>
        <v/>
      </c>
      <c r="M97" s="55" t="str">
        <f t="shared" si="51"/>
        <v/>
      </c>
      <c r="N97" s="55" t="str">
        <f t="shared" si="47"/>
        <v/>
      </c>
      <c r="O97" s="56" t="str">
        <f t="shared" si="52"/>
        <v/>
      </c>
      <c r="P97" s="56" t="str">
        <f t="shared" si="48"/>
        <v/>
      </c>
      <c r="Q97" s="56" t="str">
        <f t="shared" si="49"/>
        <v/>
      </c>
      <c r="R97" s="9"/>
      <c r="S97" s="9"/>
      <c r="T97" s="9"/>
      <c r="U97" s="9"/>
      <c r="V97" s="102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6" t="s">
        <v>221</v>
      </c>
      <c r="C98" s="46" t="s">
        <v>222</v>
      </c>
      <c r="D98" s="47"/>
      <c r="E98" s="47"/>
      <c r="F98" s="57"/>
      <c r="G98" s="7"/>
      <c r="H98" s="7"/>
      <c r="I98" s="54" t="str">
        <f t="shared" si="43"/>
        <v/>
      </c>
      <c r="J98" s="54" t="str">
        <f t="shared" si="44"/>
        <v/>
      </c>
      <c r="K98" s="55" t="str">
        <f t="shared" si="45"/>
        <v/>
      </c>
      <c r="L98" s="55" t="str">
        <f t="shared" si="46"/>
        <v/>
      </c>
      <c r="M98" s="55" t="str">
        <f t="shared" si="51"/>
        <v/>
      </c>
      <c r="N98" s="55" t="str">
        <f t="shared" si="47"/>
        <v/>
      </c>
      <c r="O98" s="56" t="str">
        <f t="shared" si="52"/>
        <v/>
      </c>
      <c r="P98" s="56" t="str">
        <f t="shared" si="48"/>
        <v/>
      </c>
      <c r="Q98" s="56" t="str">
        <f t="shared" si="49"/>
        <v/>
      </c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6" t="s">
        <v>223</v>
      </c>
      <c r="C99" s="46" t="s">
        <v>224</v>
      </c>
      <c r="D99" s="47"/>
      <c r="E99" s="47"/>
      <c r="F99" s="57"/>
      <c r="G99" s="7"/>
      <c r="H99" s="7"/>
      <c r="I99" s="54" t="str">
        <f t="shared" si="43"/>
        <v/>
      </c>
      <c r="J99" s="54" t="str">
        <f t="shared" si="44"/>
        <v/>
      </c>
      <c r="K99" s="55" t="str">
        <f t="shared" si="45"/>
        <v/>
      </c>
      <c r="L99" s="55" t="str">
        <f t="shared" si="46"/>
        <v/>
      </c>
      <c r="M99" s="55" t="str">
        <f t="shared" si="51"/>
        <v/>
      </c>
      <c r="N99" s="55" t="str">
        <f t="shared" si="47"/>
        <v/>
      </c>
      <c r="O99" s="56" t="str">
        <f t="shared" si="52"/>
        <v/>
      </c>
      <c r="P99" s="56" t="str">
        <f t="shared" si="48"/>
        <v/>
      </c>
      <c r="Q99" s="56" t="str">
        <f t="shared" si="49"/>
        <v/>
      </c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6" t="s">
        <v>225</v>
      </c>
      <c r="C100" s="46" t="s">
        <v>226</v>
      </c>
      <c r="D100" s="47"/>
      <c r="E100" s="47"/>
      <c r="F100" s="57"/>
      <c r="G100" s="7"/>
      <c r="H100" s="7"/>
      <c r="I100" s="54" t="str">
        <f t="shared" si="43"/>
        <v/>
      </c>
      <c r="J100" s="54" t="str">
        <f t="shared" si="44"/>
        <v/>
      </c>
      <c r="K100" s="55" t="str">
        <f t="shared" si="45"/>
        <v/>
      </c>
      <c r="L100" s="55" t="str">
        <f t="shared" si="46"/>
        <v/>
      </c>
      <c r="M100" s="55" t="str">
        <f t="shared" si="51"/>
        <v/>
      </c>
      <c r="N100" s="55" t="str">
        <f t="shared" si="47"/>
        <v/>
      </c>
      <c r="O100" s="56" t="str">
        <f t="shared" si="52"/>
        <v/>
      </c>
      <c r="P100" s="56" t="str">
        <f t="shared" si="48"/>
        <v/>
      </c>
      <c r="Q100" s="56" t="str">
        <f t="shared" si="49"/>
        <v/>
      </c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6" t="s">
        <v>227</v>
      </c>
      <c r="C101" s="46" t="s">
        <v>228</v>
      </c>
      <c r="D101" s="47"/>
      <c r="E101" s="47"/>
      <c r="F101" s="57"/>
      <c r="G101" s="7"/>
      <c r="H101" s="7"/>
      <c r="I101" s="54" t="str">
        <f t="shared" si="43"/>
        <v/>
      </c>
      <c r="J101" s="54" t="str">
        <f t="shared" si="44"/>
        <v/>
      </c>
      <c r="K101" s="55" t="str">
        <f t="shared" si="45"/>
        <v/>
      </c>
      <c r="L101" s="55" t="str">
        <f t="shared" si="46"/>
        <v/>
      </c>
      <c r="M101" s="55" t="str">
        <f t="shared" si="51"/>
        <v/>
      </c>
      <c r="N101" s="55" t="str">
        <f t="shared" si="47"/>
        <v/>
      </c>
      <c r="O101" s="56" t="str">
        <f t="shared" si="52"/>
        <v/>
      </c>
      <c r="P101" s="56" t="str">
        <f t="shared" si="48"/>
        <v/>
      </c>
      <c r="Q101" s="56" t="str">
        <f t="shared" si="49"/>
        <v/>
      </c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6" t="s">
        <v>229</v>
      </c>
      <c r="C102" s="46" t="s">
        <v>230</v>
      </c>
      <c r="D102" s="47"/>
      <c r="E102" s="47"/>
      <c r="F102" s="57"/>
      <c r="G102" s="7"/>
      <c r="H102" s="7"/>
      <c r="I102" s="54" t="str">
        <f t="shared" si="43"/>
        <v/>
      </c>
      <c r="J102" s="54" t="str">
        <f t="shared" si="44"/>
        <v/>
      </c>
      <c r="K102" s="55" t="str">
        <f t="shared" si="45"/>
        <v/>
      </c>
      <c r="L102" s="55" t="str">
        <f t="shared" si="46"/>
        <v/>
      </c>
      <c r="M102" s="55" t="str">
        <f t="shared" si="51"/>
        <v/>
      </c>
      <c r="N102" s="55" t="str">
        <f t="shared" si="47"/>
        <v/>
      </c>
      <c r="O102" s="56" t="str">
        <f t="shared" si="52"/>
        <v/>
      </c>
      <c r="P102" s="56" t="str">
        <f t="shared" si="48"/>
        <v/>
      </c>
      <c r="Q102" s="56" t="str">
        <f t="shared" si="49"/>
        <v/>
      </c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6" t="s">
        <v>231</v>
      </c>
      <c r="C103" s="46" t="s">
        <v>232</v>
      </c>
      <c r="D103" s="47"/>
      <c r="E103" s="47"/>
      <c r="F103" s="57"/>
      <c r="G103" s="7"/>
      <c r="H103" s="7"/>
      <c r="I103" s="54" t="str">
        <f t="shared" si="43"/>
        <v/>
      </c>
      <c r="J103" s="54" t="str">
        <f t="shared" si="44"/>
        <v/>
      </c>
      <c r="K103" s="55" t="str">
        <f t="shared" si="45"/>
        <v/>
      </c>
      <c r="L103" s="55" t="str">
        <f t="shared" si="46"/>
        <v/>
      </c>
      <c r="M103" s="55" t="str">
        <f t="shared" si="51"/>
        <v/>
      </c>
      <c r="N103" s="55" t="str">
        <f t="shared" si="47"/>
        <v/>
      </c>
      <c r="O103" s="56" t="str">
        <f t="shared" si="52"/>
        <v/>
      </c>
      <c r="P103" s="56" t="str">
        <f t="shared" si="48"/>
        <v/>
      </c>
      <c r="Q103" s="56" t="str">
        <f t="shared" si="49"/>
        <v/>
      </c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6" t="s">
        <v>233</v>
      </c>
      <c r="C104" s="46" t="s">
        <v>234</v>
      </c>
      <c r="D104" s="47"/>
      <c r="E104" s="47"/>
      <c r="F104" s="57"/>
      <c r="G104" s="7"/>
      <c r="H104" s="7"/>
      <c r="I104" s="54" t="str">
        <f t="shared" si="43"/>
        <v/>
      </c>
      <c r="J104" s="54" t="str">
        <f t="shared" si="44"/>
        <v/>
      </c>
      <c r="K104" s="55" t="str">
        <f t="shared" si="45"/>
        <v/>
      </c>
      <c r="L104" s="55" t="str">
        <f t="shared" si="46"/>
        <v/>
      </c>
      <c r="M104" s="55" t="str">
        <f t="shared" si="51"/>
        <v/>
      </c>
      <c r="N104" s="55" t="str">
        <f t="shared" si="47"/>
        <v/>
      </c>
      <c r="O104" s="56" t="str">
        <f t="shared" si="52"/>
        <v/>
      </c>
      <c r="P104" s="56" t="str">
        <f t="shared" si="48"/>
        <v/>
      </c>
      <c r="Q104" s="56" t="str">
        <f t="shared" si="49"/>
        <v/>
      </c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6" t="s">
        <v>235</v>
      </c>
      <c r="C105" s="46" t="s">
        <v>236</v>
      </c>
      <c r="D105" s="47"/>
      <c r="E105" s="47"/>
      <c r="F105" s="57"/>
      <c r="G105" s="7"/>
      <c r="H105" s="7"/>
      <c r="I105" s="54" t="str">
        <f t="shared" si="43"/>
        <v/>
      </c>
      <c r="J105" s="54" t="str">
        <f t="shared" si="44"/>
        <v/>
      </c>
      <c r="K105" s="55" t="str">
        <f t="shared" si="45"/>
        <v/>
      </c>
      <c r="L105" s="55" t="str">
        <f t="shared" si="46"/>
        <v/>
      </c>
      <c r="M105" s="55" t="str">
        <f t="shared" si="51"/>
        <v/>
      </c>
      <c r="N105" s="55" t="str">
        <f t="shared" si="47"/>
        <v/>
      </c>
      <c r="O105" s="56" t="str">
        <f t="shared" si="52"/>
        <v/>
      </c>
      <c r="P105" s="56" t="str">
        <f t="shared" si="48"/>
        <v/>
      </c>
      <c r="Q105" s="56" t="str">
        <f t="shared" si="49"/>
        <v/>
      </c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6" t="s">
        <v>237</v>
      </c>
      <c r="C106" s="46" t="s">
        <v>238</v>
      </c>
      <c r="D106" s="47"/>
      <c r="E106" s="47"/>
      <c r="F106" s="57"/>
      <c r="G106" s="7"/>
      <c r="H106" s="7"/>
      <c r="I106" s="54" t="str">
        <f t="shared" si="43"/>
        <v/>
      </c>
      <c r="J106" s="54" t="str">
        <f t="shared" si="44"/>
        <v/>
      </c>
      <c r="K106" s="55" t="str">
        <f t="shared" si="45"/>
        <v/>
      </c>
      <c r="L106" s="55" t="str">
        <f t="shared" si="46"/>
        <v/>
      </c>
      <c r="M106" s="55" t="str">
        <f t="shared" si="51"/>
        <v/>
      </c>
      <c r="N106" s="55" t="str">
        <f t="shared" si="47"/>
        <v/>
      </c>
      <c r="O106" s="56" t="str">
        <f t="shared" si="52"/>
        <v/>
      </c>
      <c r="P106" s="56" t="str">
        <f t="shared" si="48"/>
        <v/>
      </c>
      <c r="Q106" s="56" t="str">
        <f t="shared" si="49"/>
        <v/>
      </c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6" t="s">
        <v>239</v>
      </c>
      <c r="C107" s="46" t="s">
        <v>240</v>
      </c>
      <c r="D107" s="47">
        <v>0.97789599999999988</v>
      </c>
      <c r="E107" s="47">
        <v>1.067612</v>
      </c>
      <c r="F107" s="98">
        <v>9.9999999999999995E-7</v>
      </c>
      <c r="G107" s="7"/>
      <c r="H107" s="7"/>
      <c r="I107" s="54">
        <f t="shared" si="43"/>
        <v>1.9446765022663539E-3</v>
      </c>
      <c r="J107" s="54">
        <f t="shared" si="44"/>
        <v>0.18520624729215926</v>
      </c>
      <c r="K107" s="55">
        <f t="shared" si="45"/>
        <v>0.99430893845684487</v>
      </c>
      <c r="L107" s="55">
        <f t="shared" si="46"/>
        <v>7.1114702024027677E-4</v>
      </c>
      <c r="M107" s="55">
        <f t="shared" si="51"/>
        <v>0.99928885297975978</v>
      </c>
      <c r="N107" s="55">
        <f t="shared" si="47"/>
        <v>3.2547407225542396E-5</v>
      </c>
      <c r="O107" s="56">
        <f t="shared" si="52"/>
        <v>9.9528850874231982E-7</v>
      </c>
      <c r="P107" s="56">
        <f t="shared" si="48"/>
        <v>1.5245976189636902E-6</v>
      </c>
      <c r="Q107" s="56">
        <f t="shared" si="49"/>
        <v>1.1629498576993205E-5</v>
      </c>
      <c r="R107" s="9">
        <f>F107*$C$14</f>
        <v>1.4999999999999999E-4</v>
      </c>
      <c r="S107" s="9">
        <f t="shared" ref="S107:S108" si="53">$R107*L107</f>
        <v>1.066720530360415E-7</v>
      </c>
      <c r="T107" s="9">
        <f t="shared" ref="T107:T108" si="54">R107*K107</f>
        <v>1.4914634076852672E-4</v>
      </c>
      <c r="U107" s="9">
        <f t="shared" ref="U107:U108" si="55">$R107*M107</f>
        <v>1.4989332794696395E-4</v>
      </c>
      <c r="V107" s="102">
        <f t="shared" ref="V107:V108" si="56">K107/M107</f>
        <v>0.99501654150542618</v>
      </c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6" t="s">
        <v>241</v>
      </c>
      <c r="C108" s="46" t="s">
        <v>242</v>
      </c>
      <c r="D108" s="47">
        <v>1.8253520000000001</v>
      </c>
      <c r="E108" s="47">
        <v>2.0793489999999997</v>
      </c>
      <c r="F108" s="98">
        <v>9.9999999999999995E-7</v>
      </c>
      <c r="G108" s="7"/>
      <c r="H108" s="7"/>
      <c r="I108" s="54">
        <f t="shared" si="43"/>
        <v>1.5422749478710035E-2</v>
      </c>
      <c r="J108" s="54">
        <f t="shared" si="44"/>
        <v>0.72739079489951752</v>
      </c>
      <c r="K108" s="55">
        <f t="shared" si="45"/>
        <v>0.96229746092987678</v>
      </c>
      <c r="L108" s="55">
        <f t="shared" si="46"/>
        <v>2.398457010035185E-3</v>
      </c>
      <c r="M108" s="55">
        <f t="shared" si="51"/>
        <v>0.99760154298996484</v>
      </c>
      <c r="N108" s="55">
        <f t="shared" si="47"/>
        <v>3.2362450119180497E-4</v>
      </c>
      <c r="O108" s="56">
        <f t="shared" si="52"/>
        <v>9.6324549424432921E-7</v>
      </c>
      <c r="P108" s="56">
        <f t="shared" si="48"/>
        <v>5.1419491927997156E-6</v>
      </c>
      <c r="Q108" s="56">
        <f t="shared" si="49"/>
        <v>1.1563411641393846E-4</v>
      </c>
      <c r="R108" s="9">
        <f>F108*$C$14</f>
        <v>1.4999999999999999E-4</v>
      </c>
      <c r="S108" s="9">
        <f t="shared" si="53"/>
        <v>3.5976855150527774E-7</v>
      </c>
      <c r="T108" s="9">
        <f t="shared" si="54"/>
        <v>1.4434461913948152E-4</v>
      </c>
      <c r="U108" s="9">
        <f t="shared" si="55"/>
        <v>1.4964023144849471E-4</v>
      </c>
      <c r="V108" s="102">
        <f t="shared" si="56"/>
        <v>0.96461103903841572</v>
      </c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6" t="s">
        <v>243</v>
      </c>
      <c r="C109" s="46" t="s">
        <v>244</v>
      </c>
      <c r="D109" s="47"/>
      <c r="E109" s="47"/>
      <c r="F109" s="98"/>
      <c r="G109" s="7"/>
      <c r="H109" s="7"/>
      <c r="I109" s="54" t="str">
        <f t="shared" si="43"/>
        <v/>
      </c>
      <c r="J109" s="54" t="str">
        <f t="shared" si="44"/>
        <v/>
      </c>
      <c r="K109" s="55" t="str">
        <f t="shared" si="45"/>
        <v/>
      </c>
      <c r="L109" s="55" t="str">
        <f t="shared" si="46"/>
        <v/>
      </c>
      <c r="M109" s="55" t="str">
        <f t="shared" si="51"/>
        <v/>
      </c>
      <c r="N109" s="55" t="str">
        <f t="shared" si="47"/>
        <v/>
      </c>
      <c r="O109" s="56" t="str">
        <f t="shared" si="52"/>
        <v/>
      </c>
      <c r="P109" s="56" t="str">
        <f t="shared" si="48"/>
        <v/>
      </c>
      <c r="Q109" s="56" t="str">
        <f t="shared" si="49"/>
        <v/>
      </c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6" t="s">
        <v>245</v>
      </c>
      <c r="C110" s="46" t="s">
        <v>246</v>
      </c>
      <c r="D110" s="47"/>
      <c r="E110" s="47"/>
      <c r="F110" s="98"/>
      <c r="G110" s="7"/>
      <c r="H110" s="7"/>
      <c r="I110" s="54" t="str">
        <f t="shared" si="43"/>
        <v/>
      </c>
      <c r="J110" s="54" t="str">
        <f t="shared" si="44"/>
        <v/>
      </c>
      <c r="K110" s="55" t="str">
        <f t="shared" si="45"/>
        <v/>
      </c>
      <c r="L110" s="55" t="str">
        <f t="shared" si="46"/>
        <v/>
      </c>
      <c r="M110" s="55" t="str">
        <f t="shared" si="51"/>
        <v/>
      </c>
      <c r="N110" s="55" t="str">
        <f t="shared" si="47"/>
        <v/>
      </c>
      <c r="O110" s="56" t="str">
        <f t="shared" si="52"/>
        <v/>
      </c>
      <c r="P110" s="56" t="str">
        <f t="shared" si="48"/>
        <v/>
      </c>
      <c r="Q110" s="56" t="str">
        <f t="shared" si="49"/>
        <v/>
      </c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6" t="s">
        <v>247</v>
      </c>
      <c r="C111" s="46" t="s">
        <v>248</v>
      </c>
      <c r="D111" s="47"/>
      <c r="E111" s="47"/>
      <c r="F111" s="98"/>
      <c r="G111" s="7"/>
      <c r="H111" s="7"/>
      <c r="I111" s="54" t="str">
        <f t="shared" si="43"/>
        <v/>
      </c>
      <c r="J111" s="54" t="str">
        <f t="shared" si="44"/>
        <v/>
      </c>
      <c r="K111" s="55" t="str">
        <f t="shared" si="45"/>
        <v/>
      </c>
      <c r="L111" s="55" t="str">
        <f t="shared" si="46"/>
        <v/>
      </c>
      <c r="M111" s="55" t="str">
        <f t="shared" si="51"/>
        <v/>
      </c>
      <c r="N111" s="55" t="str">
        <f t="shared" si="47"/>
        <v/>
      </c>
      <c r="O111" s="56" t="str">
        <f t="shared" si="52"/>
        <v/>
      </c>
      <c r="P111" s="56" t="str">
        <f t="shared" si="48"/>
        <v/>
      </c>
      <c r="Q111" s="56" t="str">
        <f t="shared" si="49"/>
        <v/>
      </c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6" t="s">
        <v>249</v>
      </c>
      <c r="C112" s="46" t="s">
        <v>250</v>
      </c>
      <c r="D112" s="47"/>
      <c r="E112" s="47"/>
      <c r="F112" s="98"/>
      <c r="G112" s="7"/>
      <c r="H112" s="7"/>
      <c r="I112" s="54" t="str">
        <f t="shared" si="43"/>
        <v/>
      </c>
      <c r="J112" s="54" t="str">
        <f t="shared" si="44"/>
        <v/>
      </c>
      <c r="K112" s="55" t="str">
        <f t="shared" si="45"/>
        <v/>
      </c>
      <c r="L112" s="55" t="str">
        <f t="shared" si="46"/>
        <v/>
      </c>
      <c r="M112" s="55" t="str">
        <f t="shared" si="51"/>
        <v/>
      </c>
      <c r="N112" s="55" t="str">
        <f t="shared" si="47"/>
        <v/>
      </c>
      <c r="O112" s="56" t="str">
        <f t="shared" si="52"/>
        <v/>
      </c>
      <c r="P112" s="56" t="str">
        <f t="shared" si="48"/>
        <v/>
      </c>
      <c r="Q112" s="56" t="str">
        <f t="shared" si="49"/>
        <v/>
      </c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6" t="s">
        <v>251</v>
      </c>
      <c r="C113" s="46" t="s">
        <v>252</v>
      </c>
      <c r="D113" s="47"/>
      <c r="E113" s="47"/>
      <c r="F113" s="57"/>
      <c r="G113" s="7"/>
      <c r="H113" s="7"/>
      <c r="I113" s="54" t="str">
        <f t="shared" si="43"/>
        <v/>
      </c>
      <c r="J113" s="54" t="str">
        <f t="shared" si="44"/>
        <v/>
      </c>
      <c r="K113" s="55" t="str">
        <f t="shared" si="45"/>
        <v/>
      </c>
      <c r="L113" s="55" t="str">
        <f t="shared" si="46"/>
        <v/>
      </c>
      <c r="M113" s="55" t="str">
        <f t="shared" si="51"/>
        <v/>
      </c>
      <c r="N113" s="55" t="str">
        <f t="shared" si="47"/>
        <v/>
      </c>
      <c r="O113" s="56" t="str">
        <f t="shared" si="52"/>
        <v/>
      </c>
      <c r="P113" s="56" t="str">
        <f t="shared" si="48"/>
        <v/>
      </c>
      <c r="Q113" s="56" t="str">
        <f t="shared" si="49"/>
        <v/>
      </c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6" t="s">
        <v>253</v>
      </c>
      <c r="C114" s="46" t="s">
        <v>254</v>
      </c>
      <c r="D114" s="47">
        <v>1.6430320000000003</v>
      </c>
      <c r="E114" s="47">
        <v>1.9699289999999996</v>
      </c>
      <c r="F114" s="98">
        <v>9.9999999999999995E-7</v>
      </c>
      <c r="G114" s="7"/>
      <c r="H114" s="7"/>
      <c r="I114" s="54">
        <f t="shared" si="43"/>
        <v>1.0353959656071578E-2</v>
      </c>
      <c r="J114" s="54">
        <f t="shared" si="44"/>
        <v>0.59290013383231577</v>
      </c>
      <c r="K114" s="55">
        <f t="shared" si="45"/>
        <v>0.9741966792058131</v>
      </c>
      <c r="L114" s="55">
        <f t="shared" si="46"/>
        <v>1.7814702840065471E-3</v>
      </c>
      <c r="M114" s="55">
        <f t="shared" si="51"/>
        <v>0.99821852971599345</v>
      </c>
      <c r="N114" s="55">
        <f t="shared" si="47"/>
        <v>2.5465880629568809E-4</v>
      </c>
      <c r="O114" s="56">
        <f t="shared" si="52"/>
        <v>9.7515643535629026E-7</v>
      </c>
      <c r="P114" s="56">
        <f t="shared" si="48"/>
        <v>3.8192177931551776E-6</v>
      </c>
      <c r="Q114" s="56">
        <f t="shared" si="49"/>
        <v>9.0992016811414063E-5</v>
      </c>
      <c r="R114" s="9">
        <f>F114*$C$14</f>
        <v>1.4999999999999999E-4</v>
      </c>
      <c r="S114" s="9">
        <f t="shared" ref="S114:S116" si="57">$R114*L114</f>
        <v>2.6722054260098204E-7</v>
      </c>
      <c r="T114" s="9">
        <f t="shared" ref="T114:T116" si="58">R114*K114</f>
        <v>1.4612950188087195E-4</v>
      </c>
      <c r="U114" s="9">
        <f t="shared" ref="U114:U116" si="59">$R114*M114</f>
        <v>1.4973277945739901E-4</v>
      </c>
      <c r="V114" s="102">
        <f t="shared" ref="V114:V116" si="60">K114/M114</f>
        <v>0.97593527890429477</v>
      </c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6" t="s">
        <v>255</v>
      </c>
      <c r="C115" s="46" t="s">
        <v>256</v>
      </c>
      <c r="D115" s="47">
        <v>1.9888079999999992</v>
      </c>
      <c r="E115" s="47">
        <v>1.7269960000000002</v>
      </c>
      <c r="F115" s="98">
        <v>9.9999999999999995E-7</v>
      </c>
      <c r="G115" s="7"/>
      <c r="H115" s="7"/>
      <c r="I115" s="54">
        <f t="shared" si="43"/>
        <v>2.0480395290290027E-2</v>
      </c>
      <c r="J115" s="54">
        <f t="shared" si="44"/>
        <v>0.82079702681253663</v>
      </c>
      <c r="K115" s="55">
        <f t="shared" si="45"/>
        <v>0.95064149016998489</v>
      </c>
      <c r="L115" s="55">
        <f t="shared" si="46"/>
        <v>2.9379580846301211E-3</v>
      </c>
      <c r="M115" s="55">
        <f t="shared" si="51"/>
        <v>0.99706204191536985</v>
      </c>
      <c r="N115" s="55">
        <f t="shared" si="47"/>
        <v>1.4203514503039892E-4</v>
      </c>
      <c r="O115" s="56">
        <f t="shared" si="52"/>
        <v>9.5157804029026791E-7</v>
      </c>
      <c r="P115" s="56">
        <f t="shared" si="48"/>
        <v>6.298562425149174E-6</v>
      </c>
      <c r="Q115" s="56">
        <f t="shared" si="49"/>
        <v>5.0750510035028474E-5</v>
      </c>
      <c r="R115" s="9">
        <f>F115*$C$14</f>
        <v>1.4999999999999999E-4</v>
      </c>
      <c r="S115" s="9">
        <f t="shared" si="57"/>
        <v>4.4069371269451813E-7</v>
      </c>
      <c r="T115" s="9">
        <f t="shared" si="58"/>
        <v>1.4259622352549771E-4</v>
      </c>
      <c r="U115" s="9">
        <f t="shared" si="59"/>
        <v>1.4955930628730545E-4</v>
      </c>
      <c r="V115" s="102">
        <f t="shared" si="60"/>
        <v>0.95344266475513351</v>
      </c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6" t="s">
        <v>257</v>
      </c>
      <c r="C116" s="46" t="s">
        <v>258</v>
      </c>
      <c r="D116" s="47">
        <v>0.57692000000000121</v>
      </c>
      <c r="E116" s="47">
        <v>0.1355349999999973</v>
      </c>
      <c r="F116" s="98">
        <v>9.9999999999999995E-7</v>
      </c>
      <c r="G116" s="7"/>
      <c r="H116" s="7"/>
      <c r="I116" s="54">
        <f t="shared" si="43"/>
        <v>5.8413729360461944E-4</v>
      </c>
      <c r="J116" s="54">
        <f t="shared" si="44"/>
        <v>6.2515818411451873E-2</v>
      </c>
      <c r="K116" s="55">
        <f t="shared" si="45"/>
        <v>0.9976016718199382</v>
      </c>
      <c r="L116" s="55">
        <f t="shared" si="46"/>
        <v>5.37904020623435E-4</v>
      </c>
      <c r="M116" s="55">
        <f t="shared" si="51"/>
        <v>0.99946209597937652</v>
      </c>
      <c r="N116" s="55">
        <f t="shared" si="47"/>
        <v>3.8183454983921991E-6</v>
      </c>
      <c r="O116" s="56">
        <f t="shared" si="52"/>
        <v>9.9858448603055111E-7</v>
      </c>
      <c r="P116" s="56">
        <f t="shared" si="48"/>
        <v>1.1531893767851265E-6</v>
      </c>
      <c r="Q116" s="56">
        <f t="shared" si="49"/>
        <v>1.3643312117707551E-6</v>
      </c>
      <c r="R116" s="9">
        <f>F116*$C$14</f>
        <v>1.4999999999999999E-4</v>
      </c>
      <c r="S116" s="9">
        <f t="shared" si="57"/>
        <v>8.0685603093515244E-8</v>
      </c>
      <c r="T116" s="9">
        <f t="shared" si="58"/>
        <v>1.4964025077299071E-4</v>
      </c>
      <c r="U116" s="9">
        <f t="shared" si="59"/>
        <v>1.4991931439690647E-4</v>
      </c>
      <c r="V116" s="102">
        <f t="shared" si="60"/>
        <v>0.99813857457234001</v>
      </c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6" t="s">
        <v>259</v>
      </c>
      <c r="C117" s="46" t="s">
        <v>260</v>
      </c>
      <c r="D117" s="47"/>
      <c r="E117" s="47"/>
      <c r="F117" s="98"/>
      <c r="G117" s="7"/>
      <c r="H117" s="7"/>
      <c r="I117" s="54" t="str">
        <f t="shared" si="43"/>
        <v/>
      </c>
      <c r="J117" s="54" t="str">
        <f t="shared" si="44"/>
        <v/>
      </c>
      <c r="K117" s="55" t="str">
        <f t="shared" si="45"/>
        <v/>
      </c>
      <c r="L117" s="55" t="str">
        <f t="shared" si="46"/>
        <v/>
      </c>
      <c r="M117" s="55" t="str">
        <f t="shared" si="51"/>
        <v/>
      </c>
      <c r="N117" s="55" t="str">
        <f t="shared" si="47"/>
        <v/>
      </c>
      <c r="O117" s="56" t="str">
        <f t="shared" si="52"/>
        <v/>
      </c>
      <c r="P117" s="56" t="str">
        <f t="shared" si="48"/>
        <v/>
      </c>
      <c r="Q117" s="56" t="str">
        <f t="shared" si="49"/>
        <v/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6" t="s">
        <v>261</v>
      </c>
      <c r="C118" s="46" t="s">
        <v>262</v>
      </c>
      <c r="D118" s="47"/>
      <c r="E118" s="47"/>
      <c r="F118" s="57"/>
      <c r="G118" s="7"/>
      <c r="H118" s="7"/>
      <c r="I118" s="54" t="str">
        <f t="shared" si="43"/>
        <v/>
      </c>
      <c r="J118" s="54" t="str">
        <f t="shared" si="44"/>
        <v/>
      </c>
      <c r="K118" s="55" t="str">
        <f t="shared" si="45"/>
        <v/>
      </c>
      <c r="L118" s="55" t="str">
        <f t="shared" si="46"/>
        <v/>
      </c>
      <c r="M118" s="55" t="str">
        <f t="shared" si="51"/>
        <v/>
      </c>
      <c r="N118" s="55" t="str">
        <f t="shared" si="47"/>
        <v/>
      </c>
      <c r="O118" s="56" t="str">
        <f t="shared" si="52"/>
        <v/>
      </c>
      <c r="P118" s="56" t="str">
        <f t="shared" si="48"/>
        <v/>
      </c>
      <c r="Q118" s="56" t="str">
        <f t="shared" si="49"/>
        <v/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6" t="s">
        <v>263</v>
      </c>
      <c r="C119" s="46" t="s">
        <v>264</v>
      </c>
      <c r="D119" s="47">
        <v>3.598704000000001</v>
      </c>
      <c r="E119" s="47">
        <v>4.3131730000000008</v>
      </c>
      <c r="F119" s="98">
        <v>9.9999999999999995E-7</v>
      </c>
      <c r="G119" s="7"/>
      <c r="H119" s="7"/>
      <c r="I119" s="54">
        <f t="shared" si="43"/>
        <v>0.56658503951123784</v>
      </c>
      <c r="J119" s="54">
        <f t="shared" si="44"/>
        <v>2.5348483209025892</v>
      </c>
      <c r="K119" s="55">
        <f t="shared" si="45"/>
        <v>0.25986526909493435</v>
      </c>
      <c r="L119" s="55">
        <f t="shared" si="46"/>
        <v>4.1574627312086498E-2</v>
      </c>
      <c r="M119" s="55">
        <f t="shared" si="51"/>
        <v>0.9584253726879135</v>
      </c>
      <c r="N119" s="55">
        <f t="shared" si="47"/>
        <v>1.4972843809830941E-2</v>
      </c>
      <c r="O119" s="56">
        <f t="shared" si="52"/>
        <v>2.6012128237811717E-7</v>
      </c>
      <c r="P119" s="56">
        <f t="shared" si="48"/>
        <v>8.913006172464026E-5</v>
      </c>
      <c r="Q119" s="56">
        <f t="shared" si="49"/>
        <v>5.3499396917650686E-3</v>
      </c>
      <c r="R119" s="9">
        <f>F119*$C$14</f>
        <v>1.4999999999999999E-4</v>
      </c>
      <c r="S119" s="9">
        <f t="shared" ref="S119:S121" si="61">$R119*L119</f>
        <v>6.236194096812974E-6</v>
      </c>
      <c r="T119" s="9">
        <f t="shared" ref="T119:T121" si="62">R119*K119</f>
        <v>3.8979790364240147E-5</v>
      </c>
      <c r="U119" s="9">
        <f t="shared" ref="U119:U121" si="63">$R119*M119</f>
        <v>1.4376380590318702E-4</v>
      </c>
      <c r="V119" s="102">
        <f t="shared" ref="V119:V121" si="64">K119/M119</f>
        <v>0.27113771870014208</v>
      </c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6" t="s">
        <v>265</v>
      </c>
      <c r="C120" s="46" t="s">
        <v>266</v>
      </c>
      <c r="D120" s="47">
        <v>2.0168880000000002</v>
      </c>
      <c r="E120" s="47">
        <v>2.2161360000000005</v>
      </c>
      <c r="F120" s="98">
        <v>9.9999999999999995E-7</v>
      </c>
      <c r="G120" s="7"/>
      <c r="H120" s="7"/>
      <c r="I120" s="54">
        <f t="shared" si="43"/>
        <v>2.3514137427377815E-2</v>
      </c>
      <c r="J120" s="54">
        <f t="shared" si="44"/>
        <v>0.88332170856564241</v>
      </c>
      <c r="K120" s="55">
        <f t="shared" si="45"/>
        <v>0.94361697368511022</v>
      </c>
      <c r="L120" s="55">
        <f t="shared" si="46"/>
        <v>3.367822985444842E-3</v>
      </c>
      <c r="M120" s="55">
        <f t="shared" si="51"/>
        <v>0.9966321770145552</v>
      </c>
      <c r="N120" s="55">
        <f t="shared" si="47"/>
        <v>4.3482529322568642E-4</v>
      </c>
      <c r="O120" s="56">
        <f t="shared" si="52"/>
        <v>9.4454660341339791E-7</v>
      </c>
      <c r="P120" s="56">
        <f t="shared" si="48"/>
        <v>7.2201313632243893E-6</v>
      </c>
      <c r="Q120" s="56">
        <f t="shared" si="49"/>
        <v>1.5536721846280653E-4</v>
      </c>
      <c r="R120" s="9">
        <f>F120*$C$14</f>
        <v>1.4999999999999999E-4</v>
      </c>
      <c r="S120" s="9">
        <f t="shared" si="61"/>
        <v>5.0517344781672629E-7</v>
      </c>
      <c r="T120" s="9">
        <f t="shared" si="62"/>
        <v>1.4154254605276652E-4</v>
      </c>
      <c r="U120" s="9">
        <f t="shared" si="63"/>
        <v>1.4949482655218327E-4</v>
      </c>
      <c r="V120" s="102">
        <f t="shared" si="64"/>
        <v>0.94680564750753504</v>
      </c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6" t="s">
        <v>267</v>
      </c>
      <c r="C121" s="46" t="s">
        <v>268</v>
      </c>
      <c r="D121" s="47">
        <v>4.2132720000000008</v>
      </c>
      <c r="E121" s="47">
        <v>4.705258999999999</v>
      </c>
      <c r="F121" s="98">
        <v>9.9999999999999995E-7</v>
      </c>
      <c r="G121" s="7"/>
      <c r="H121" s="7"/>
      <c r="I121" s="54">
        <f t="shared" si="43"/>
        <v>1.0322461970770105</v>
      </c>
      <c r="J121" s="54">
        <f t="shared" si="44"/>
        <v>3.0806467478593547</v>
      </c>
      <c r="K121" s="55">
        <f t="shared" si="45"/>
        <v>8.8194912743326054E-2</v>
      </c>
      <c r="L121" s="55">
        <f t="shared" si="46"/>
        <v>4.9581776863814188E-2</v>
      </c>
      <c r="M121" s="55">
        <f t="shared" si="51"/>
        <v>0.95041822313618585</v>
      </c>
      <c r="N121" s="55">
        <f t="shared" si="47"/>
        <v>1.253388163448891E-2</v>
      </c>
      <c r="O121" s="56">
        <f t="shared" si="52"/>
        <v>8.8281800341850002E-8</v>
      </c>
      <c r="P121" s="56">
        <f t="shared" si="48"/>
        <v>1.0629624648503707E-4</v>
      </c>
      <c r="Q121" s="56">
        <f t="shared" si="49"/>
        <v>4.478475278304167E-3</v>
      </c>
      <c r="R121" s="9">
        <f>F121*$C$14</f>
        <v>1.4999999999999999E-4</v>
      </c>
      <c r="S121" s="9">
        <f t="shared" si="61"/>
        <v>7.4372665295721275E-6</v>
      </c>
      <c r="T121" s="9">
        <f t="shared" si="62"/>
        <v>1.3229236911498908E-5</v>
      </c>
      <c r="U121" s="9">
        <f t="shared" si="63"/>
        <v>1.4256273347042786E-4</v>
      </c>
      <c r="V121" s="102">
        <f t="shared" si="64"/>
        <v>9.2795898264977361E-2</v>
      </c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6" t="s">
        <v>269</v>
      </c>
      <c r="C122" s="46" t="s">
        <v>270</v>
      </c>
      <c r="D122" s="47"/>
      <c r="E122" s="47"/>
      <c r="F122" s="57"/>
      <c r="G122" s="7"/>
      <c r="H122" s="7"/>
      <c r="I122" s="54" t="str">
        <f t="shared" si="43"/>
        <v/>
      </c>
      <c r="J122" s="54" t="str">
        <f t="shared" si="44"/>
        <v/>
      </c>
      <c r="K122" s="55" t="str">
        <f t="shared" si="45"/>
        <v/>
      </c>
      <c r="L122" s="55" t="str">
        <f t="shared" si="46"/>
        <v/>
      </c>
      <c r="M122" s="55" t="str">
        <f t="shared" si="51"/>
        <v/>
      </c>
      <c r="N122" s="55" t="str">
        <f t="shared" si="47"/>
        <v/>
      </c>
      <c r="O122" s="56" t="str">
        <f t="shared" si="52"/>
        <v/>
      </c>
      <c r="P122" s="56" t="str">
        <f t="shared" si="48"/>
        <v/>
      </c>
      <c r="Q122" s="56" t="str">
        <f t="shared" si="49"/>
        <v/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6" t="s">
        <v>271</v>
      </c>
      <c r="C123" s="46" t="s">
        <v>272</v>
      </c>
      <c r="D123" s="46"/>
      <c r="E123" s="46"/>
      <c r="F123" s="46"/>
      <c r="G123" s="7"/>
      <c r="H123" s="7"/>
      <c r="I123" s="54" t="str">
        <f t="shared" ref="I123:I127" si="65">IF(D123=0,"",LOG($K$15*10^D123+$K$16*10^E123+$K$14))</f>
        <v/>
      </c>
      <c r="J123" s="54" t="str">
        <f t="shared" ref="J123:J127" si="66">IF(D123=0,"",LOG($K$21*10^D123+$K$22*10^E123+$K$20))</f>
        <v/>
      </c>
      <c r="K123" s="55" t="str">
        <f t="shared" ref="K123:K127" si="67">IF(D123=0,"",1/(1+10^D123*$J$15/$J$14+10^E123*$J$16/$J$14+10^J123*$J$19/$J$14))</f>
        <v/>
      </c>
      <c r="L123" s="55" t="str">
        <f t="shared" ref="L123:L127" si="68">IF(D123=0,"",1/(1+10^I123/10^J123*$J$13/$J$19))</f>
        <v/>
      </c>
      <c r="M123" s="55" t="str">
        <f t="shared" si="51"/>
        <v/>
      </c>
      <c r="N123" s="55" t="str">
        <f t="shared" ref="N123:N127" si="69">IF(D123=0,"",1/(1/10^E123*$J$20/$J$22+10^D123/10^E123*$J$21/$J$22+10^I123/10^E123*$J$13/$J$22+1))</f>
        <v/>
      </c>
      <c r="O123" s="56" t="str">
        <f t="shared" si="52"/>
        <v/>
      </c>
      <c r="P123" s="56" t="str">
        <f t="shared" ref="P123:P127" si="70">IF(D123=0,"",O123*10^J123)</f>
        <v/>
      </c>
      <c r="Q123" s="56" t="str">
        <f t="shared" ref="Q123:Q127" si="71">IF(D123=0,"",F123*N123*$J$7/$J$22)</f>
        <v/>
      </c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6" t="s">
        <v>273</v>
      </c>
      <c r="C124" s="46" t="s">
        <v>274</v>
      </c>
      <c r="D124" s="46">
        <v>2.7542720000000003</v>
      </c>
      <c r="E124" s="46">
        <v>3.4524839999999992</v>
      </c>
      <c r="F124" s="98">
        <v>9.9999999999999995E-7</v>
      </c>
      <c r="G124" s="7"/>
      <c r="H124" s="7"/>
      <c r="I124" s="54">
        <f t="shared" si="65"/>
        <v>0.13981203375224763</v>
      </c>
      <c r="J124" s="54">
        <f t="shared" si="66"/>
        <v>1.6917956300821193</v>
      </c>
      <c r="K124" s="55">
        <f t="shared" si="67"/>
        <v>0.71252222728322145</v>
      </c>
      <c r="L124" s="55">
        <f t="shared" si="68"/>
        <v>1.6361602999711823E-2</v>
      </c>
      <c r="M124" s="55">
        <f t="shared" si="51"/>
        <v>0.98363839700028821</v>
      </c>
      <c r="N124" s="55">
        <f t="shared" si="69"/>
        <v>5.6580329329912558E-3</v>
      </c>
      <c r="O124" s="56">
        <f t="shared" si="52"/>
        <v>7.1322418778522641E-7</v>
      </c>
      <c r="P124" s="56">
        <f t="shared" si="70"/>
        <v>3.507693945952504E-5</v>
      </c>
      <c r="Q124" s="56">
        <f t="shared" si="71"/>
        <v>2.0216690529857085E-3</v>
      </c>
      <c r="R124" s="9">
        <f>F124*$C$14</f>
        <v>1.4999999999999999E-4</v>
      </c>
      <c r="S124" s="9">
        <f t="shared" ref="S124:S127" si="72">$R124*L124</f>
        <v>2.4542404499567731E-6</v>
      </c>
      <c r="T124" s="9">
        <f t="shared" ref="T124:T127" si="73">R124*K124</f>
        <v>1.0687833409248321E-4</v>
      </c>
      <c r="U124" s="9">
        <f t="shared" ref="U124:U127" si="74">$R124*M124</f>
        <v>1.4754575955004321E-4</v>
      </c>
      <c r="V124" s="102">
        <f t="shared" ref="V124:V127" si="75">K124/M124</f>
        <v>0.72437414954126955</v>
      </c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6" t="s">
        <v>275</v>
      </c>
      <c r="C125" s="46" t="s">
        <v>276</v>
      </c>
      <c r="D125" s="46"/>
      <c r="E125" s="46"/>
      <c r="F125" s="46"/>
      <c r="G125" s="7"/>
      <c r="H125" s="7"/>
      <c r="I125" s="54" t="str">
        <f t="shared" si="65"/>
        <v/>
      </c>
      <c r="J125" s="54" t="str">
        <f t="shared" si="66"/>
        <v/>
      </c>
      <c r="K125" s="55" t="str">
        <f t="shared" si="67"/>
        <v/>
      </c>
      <c r="L125" s="55" t="str">
        <f t="shared" si="68"/>
        <v/>
      </c>
      <c r="M125" s="55" t="str">
        <f t="shared" si="51"/>
        <v/>
      </c>
      <c r="N125" s="55" t="str">
        <f t="shared" si="69"/>
        <v/>
      </c>
      <c r="O125" s="56" t="str">
        <f t="shared" si="52"/>
        <v/>
      </c>
      <c r="P125" s="56" t="str">
        <f t="shared" si="70"/>
        <v/>
      </c>
      <c r="Q125" s="56" t="str">
        <f t="shared" si="71"/>
        <v/>
      </c>
      <c r="R125" s="9"/>
      <c r="S125" s="9"/>
      <c r="T125" s="9"/>
      <c r="U125" s="9"/>
      <c r="V125" s="102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6" t="s">
        <v>277</v>
      </c>
      <c r="C126" s="46" t="s">
        <v>278</v>
      </c>
      <c r="D126" s="46">
        <v>2.3368320000000007</v>
      </c>
      <c r="E126" s="46">
        <v>2.6380540000000012</v>
      </c>
      <c r="F126" s="98">
        <v>9.9999999999999995E-7</v>
      </c>
      <c r="G126" s="7"/>
      <c r="H126" s="7"/>
      <c r="I126" s="54">
        <f t="shared" si="65"/>
        <v>4.9312922410980113E-2</v>
      </c>
      <c r="J126" s="54">
        <f t="shared" si="66"/>
        <v>1.1900968435828845</v>
      </c>
      <c r="K126" s="55">
        <f t="shared" si="67"/>
        <v>0.88647883239918868</v>
      </c>
      <c r="L126" s="55">
        <f t="shared" si="68"/>
        <v>6.4120517270445125E-3</v>
      </c>
      <c r="M126" s="55">
        <f t="shared" si="51"/>
        <v>0.99358794827295549</v>
      </c>
      <c r="N126" s="55">
        <f t="shared" si="69"/>
        <v>1.0792086659396046E-3</v>
      </c>
      <c r="O126" s="56">
        <f t="shared" si="52"/>
        <v>8.8735217094552456E-7</v>
      </c>
      <c r="P126" s="56">
        <f t="shared" si="70"/>
        <v>1.3746522895393851E-5</v>
      </c>
      <c r="Q126" s="56">
        <f t="shared" si="71"/>
        <v>3.8561153451799151E-4</v>
      </c>
      <c r="R126" s="9">
        <f>F126*$C$14</f>
        <v>1.4999999999999999E-4</v>
      </c>
      <c r="S126" s="9">
        <f t="shared" si="72"/>
        <v>9.6180775905667681E-7</v>
      </c>
      <c r="T126" s="9">
        <f t="shared" si="73"/>
        <v>1.329718248598783E-4</v>
      </c>
      <c r="U126" s="9">
        <f t="shared" si="74"/>
        <v>1.4903819224094332E-4</v>
      </c>
      <c r="V126" s="102">
        <f t="shared" si="75"/>
        <v>0.89219966278783591</v>
      </c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6" t="s">
        <v>279</v>
      </c>
      <c r="C127" s="46" t="s">
        <v>280</v>
      </c>
      <c r="D127" s="46">
        <v>9.5872000000000845E-2</v>
      </c>
      <c r="E127" s="46">
        <v>7.4959000000001108E-2</v>
      </c>
      <c r="F127" s="98">
        <v>9.9999999999999995E-7</v>
      </c>
      <c r="G127" s="7"/>
      <c r="H127" s="7"/>
      <c r="I127" s="54">
        <f t="shared" si="65"/>
        <v>5.4598878066109929E-5</v>
      </c>
      <c r="J127" s="54">
        <f t="shared" si="66"/>
        <v>6.344600861861672E-3</v>
      </c>
      <c r="K127" s="55">
        <f t="shared" si="67"/>
        <v>0.99888340842962053</v>
      </c>
      <c r="L127" s="55">
        <f t="shared" si="68"/>
        <v>4.73250633680515E-4</v>
      </c>
      <c r="M127" s="55">
        <f t="shared" si="51"/>
        <v>0.99952674936631947</v>
      </c>
      <c r="N127" s="55">
        <f t="shared" si="69"/>
        <v>3.3254992458090379E-6</v>
      </c>
      <c r="O127" s="56">
        <f t="shared" si="52"/>
        <v>9.9986748537764652E-7</v>
      </c>
      <c r="P127" s="56">
        <f t="shared" si="70"/>
        <v>1.0145817513776409E-6</v>
      </c>
      <c r="Q127" s="56">
        <f t="shared" si="71"/>
        <v>1.1882325519489576E-6</v>
      </c>
      <c r="R127" s="9">
        <f>F127*$C$14</f>
        <v>1.4999999999999999E-4</v>
      </c>
      <c r="S127" s="9">
        <f t="shared" si="72"/>
        <v>7.098759505207724E-8</v>
      </c>
      <c r="T127" s="9">
        <f t="shared" si="73"/>
        <v>1.4983251126444308E-4</v>
      </c>
      <c r="U127" s="9">
        <f t="shared" si="74"/>
        <v>1.499290124049479E-4</v>
      </c>
      <c r="V127" s="102">
        <f t="shared" si="75"/>
        <v>0.99935635445764026</v>
      </c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46" t="s">
        <v>281</v>
      </c>
      <c r="C128" s="46" t="s">
        <v>282</v>
      </c>
      <c r="D128" s="46"/>
      <c r="E128" s="46"/>
      <c r="F128" s="46"/>
      <c r="G128" s="7"/>
      <c r="H128" s="7"/>
      <c r="I128" s="54" t="str">
        <f t="shared" ref="I128:I134" si="76">IF(D128=0,"",LOG($K$15*10^D128+$K$16*10^E128+$K$14))</f>
        <v/>
      </c>
      <c r="J128" s="54" t="str">
        <f t="shared" ref="J128:J134" si="77">IF(D128=0,"",LOG($K$21*10^D128+$K$22*10^E128+$K$20))</f>
        <v/>
      </c>
      <c r="K128" s="55" t="str">
        <f t="shared" ref="K128:K134" si="78">IF(D128=0,"",1/(1+10^D128*$J$15/$J$14+10^E128*$J$16/$J$14+10^J128*$J$19/$J$14))</f>
        <v/>
      </c>
      <c r="L128" s="55" t="str">
        <f t="shared" ref="L128:L134" si="79">IF(D128=0,"",1/(1+10^I128/10^J128*$J$13/$J$19))</f>
        <v/>
      </c>
      <c r="M128" s="55" t="str">
        <f t="shared" ref="M128:M134" si="80">IF(D128=0,"",1-L128)</f>
        <v/>
      </c>
      <c r="N128" s="55" t="str">
        <f t="shared" ref="N128:N134" si="81">IF(D128=0,"",1/(1/10^E128*$J$20/$J$22+10^D128/10^E128*$J$21/$J$22+10^I128/10^E128*$J$13/$J$22+1))</f>
        <v/>
      </c>
      <c r="O128" s="56" t="str">
        <f t="shared" ref="O128:O134" si="82">IF(D128=0,"",F128*K128*$J$7/$J$14)</f>
        <v/>
      </c>
      <c r="P128" s="56" t="str">
        <f t="shared" ref="P128:P134" si="83">IF(D128=0,"",O128*10^J128)</f>
        <v/>
      </c>
      <c r="Q128" s="56" t="str">
        <f t="shared" ref="Q128:Q134" si="84">IF(D128=0,"",F128*N128*$J$7/$J$22)</f>
        <v/>
      </c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6" t="s">
        <v>283</v>
      </c>
      <c r="C129" s="46" t="s">
        <v>284</v>
      </c>
      <c r="D129" s="46"/>
      <c r="E129" s="46"/>
      <c r="F129" s="46"/>
      <c r="G129" s="7"/>
      <c r="H129" s="7"/>
      <c r="I129" s="54" t="str">
        <f t="shared" si="76"/>
        <v/>
      </c>
      <c r="J129" s="54" t="str">
        <f t="shared" si="77"/>
        <v/>
      </c>
      <c r="K129" s="55" t="str">
        <f t="shared" si="78"/>
        <v/>
      </c>
      <c r="L129" s="55" t="str">
        <f t="shared" si="79"/>
        <v/>
      </c>
      <c r="M129" s="55" t="str">
        <f t="shared" si="80"/>
        <v/>
      </c>
      <c r="N129" s="55" t="str">
        <f t="shared" si="81"/>
        <v/>
      </c>
      <c r="O129" s="56" t="str">
        <f t="shared" si="82"/>
        <v/>
      </c>
      <c r="P129" s="56" t="str">
        <f t="shared" si="83"/>
        <v/>
      </c>
      <c r="Q129" s="56" t="str">
        <f t="shared" si="84"/>
        <v/>
      </c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6" t="s">
        <v>285</v>
      </c>
      <c r="C130" s="46" t="s">
        <v>286</v>
      </c>
      <c r="D130" s="46">
        <v>1.0310160000000004</v>
      </c>
      <c r="E130" s="46">
        <v>0.78085199999999966</v>
      </c>
      <c r="F130" s="98">
        <v>9.9999999999999995E-7</v>
      </c>
      <c r="G130" s="7"/>
      <c r="H130" s="7"/>
      <c r="I130" s="54">
        <f t="shared" si="76"/>
        <v>2.1084810301724875E-3</v>
      </c>
      <c r="J130" s="54">
        <f t="shared" si="77"/>
        <v>0.19477525924393749</v>
      </c>
      <c r="K130" s="55">
        <f t="shared" si="78"/>
        <v>0.99391850773124502</v>
      </c>
      <c r="L130" s="55">
        <f t="shared" si="79"/>
        <v>7.2670448526429999E-4</v>
      </c>
      <c r="M130" s="55">
        <f t="shared" si="80"/>
        <v>0.99927329551473565</v>
      </c>
      <c r="N130" s="55">
        <f t="shared" si="81"/>
        <v>1.6810701313428233E-5</v>
      </c>
      <c r="O130" s="56">
        <f t="shared" si="82"/>
        <v>9.9489769337335348E-7</v>
      </c>
      <c r="P130" s="56">
        <f t="shared" si="83"/>
        <v>1.5579506014801923E-6</v>
      </c>
      <c r="Q130" s="56">
        <f t="shared" si="84"/>
        <v>6.0066236812051768E-6</v>
      </c>
      <c r="R130" s="9">
        <f>F130*$C$14</f>
        <v>1.4999999999999999E-4</v>
      </c>
      <c r="S130" s="9">
        <f t="shared" ref="S130:S131" si="85">$R130*L130</f>
        <v>1.0900567278964499E-7</v>
      </c>
      <c r="T130" s="9">
        <f t="shared" ref="T130:T131" si="86">R130*K130</f>
        <v>1.4908777615968674E-4</v>
      </c>
      <c r="U130" s="9">
        <f t="shared" ref="U130:U131" si="87">$R130*M130</f>
        <v>1.4989099432721035E-4</v>
      </c>
      <c r="V130" s="102">
        <f t="shared" ref="V130:V131" si="88">K130/M130</f>
        <v>0.9946413180382927</v>
      </c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6" t="s">
        <v>287</v>
      </c>
      <c r="C131" s="46" t="s">
        <v>288</v>
      </c>
      <c r="D131" s="46">
        <v>-0.1224400000000001</v>
      </c>
      <c r="E131" s="46">
        <v>-0.24365499999999995</v>
      </c>
      <c r="F131" s="98">
        <v>9.9999999999999995E-7</v>
      </c>
      <c r="G131" s="7"/>
      <c r="H131" s="7"/>
      <c r="I131" s="54">
        <f t="shared" si="76"/>
        <v>-5.830329626681688E-5</v>
      </c>
      <c r="J131" s="54">
        <f t="shared" si="77"/>
        <v>-7.0438651482899592E-3</v>
      </c>
      <c r="K131" s="55">
        <f t="shared" si="78"/>
        <v>0.99915735427817376</v>
      </c>
      <c r="L131" s="55">
        <f t="shared" si="79"/>
        <v>4.5900966262464327E-4</v>
      </c>
      <c r="M131" s="55">
        <f t="shared" si="80"/>
        <v>0.99954099033737531</v>
      </c>
      <c r="N131" s="55">
        <f t="shared" si="81"/>
        <v>1.5972097164389325E-6</v>
      </c>
      <c r="O131" s="56">
        <f t="shared" si="82"/>
        <v>1.0001417011113458E-6</v>
      </c>
      <c r="P131" s="56">
        <f t="shared" si="83"/>
        <v>9.8405114385828847E-7</v>
      </c>
      <c r="Q131" s="56">
        <f t="shared" si="84"/>
        <v>5.7069824320473938E-7</v>
      </c>
      <c r="R131" s="9">
        <f>F131*$C$14</f>
        <v>1.4999999999999999E-4</v>
      </c>
      <c r="S131" s="9">
        <f t="shared" si="85"/>
        <v>6.885144939369648E-8</v>
      </c>
      <c r="T131" s="9">
        <f t="shared" si="86"/>
        <v>1.4987360314172606E-4</v>
      </c>
      <c r="U131" s="9">
        <f t="shared" si="87"/>
        <v>1.4993114855060629E-4</v>
      </c>
      <c r="V131" s="102">
        <f t="shared" si="88"/>
        <v>0.99961618776727501</v>
      </c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6" t="s">
        <v>289</v>
      </c>
      <c r="C132" s="46" t="s">
        <v>290</v>
      </c>
      <c r="D132" s="46"/>
      <c r="E132" s="46"/>
      <c r="F132" s="46"/>
      <c r="G132" s="7"/>
      <c r="H132" s="7"/>
      <c r="I132" s="54" t="str">
        <f t="shared" si="76"/>
        <v/>
      </c>
      <c r="J132" s="54" t="str">
        <f t="shared" si="77"/>
        <v/>
      </c>
      <c r="K132" s="55" t="str">
        <f t="shared" si="78"/>
        <v/>
      </c>
      <c r="L132" s="55" t="str">
        <f t="shared" si="79"/>
        <v/>
      </c>
      <c r="M132" s="55" t="str">
        <f t="shared" si="80"/>
        <v/>
      </c>
      <c r="N132" s="55" t="str">
        <f t="shared" si="81"/>
        <v/>
      </c>
      <c r="O132" s="56" t="str">
        <f t="shared" si="82"/>
        <v/>
      </c>
      <c r="P132" s="56" t="str">
        <f t="shared" si="83"/>
        <v/>
      </c>
      <c r="Q132" s="56" t="str">
        <f t="shared" si="84"/>
        <v/>
      </c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6" t="s">
        <v>291</v>
      </c>
      <c r="C133" s="46" t="s">
        <v>292</v>
      </c>
      <c r="D133" s="46"/>
      <c r="E133" s="46"/>
      <c r="F133" s="46"/>
      <c r="G133" s="7"/>
      <c r="H133" s="7"/>
      <c r="I133" s="54" t="str">
        <f t="shared" si="76"/>
        <v/>
      </c>
      <c r="J133" s="54" t="str">
        <f t="shared" si="77"/>
        <v/>
      </c>
      <c r="K133" s="55" t="str">
        <f t="shared" si="78"/>
        <v/>
      </c>
      <c r="L133" s="55" t="str">
        <f t="shared" si="79"/>
        <v/>
      </c>
      <c r="M133" s="55" t="str">
        <f t="shared" si="80"/>
        <v/>
      </c>
      <c r="N133" s="55" t="str">
        <f t="shared" si="81"/>
        <v/>
      </c>
      <c r="O133" s="56" t="str">
        <f t="shared" si="82"/>
        <v/>
      </c>
      <c r="P133" s="56" t="str">
        <f t="shared" si="83"/>
        <v/>
      </c>
      <c r="Q133" s="56" t="str">
        <f t="shared" si="84"/>
        <v/>
      </c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6" t="s">
        <v>96</v>
      </c>
      <c r="C134" s="46" t="s">
        <v>293</v>
      </c>
      <c r="D134" s="46"/>
      <c r="E134" s="46"/>
      <c r="F134" s="46"/>
      <c r="G134" s="7"/>
      <c r="H134" s="7"/>
      <c r="I134" s="54" t="str">
        <f t="shared" si="76"/>
        <v/>
      </c>
      <c r="J134" s="54" t="str">
        <f t="shared" si="77"/>
        <v/>
      </c>
      <c r="K134" s="55" t="str">
        <f t="shared" si="78"/>
        <v/>
      </c>
      <c r="L134" s="55" t="str">
        <f t="shared" si="79"/>
        <v/>
      </c>
      <c r="M134" s="55" t="str">
        <f t="shared" si="80"/>
        <v/>
      </c>
      <c r="N134" s="55" t="str">
        <f t="shared" si="81"/>
        <v/>
      </c>
      <c r="O134" s="56" t="str">
        <f t="shared" si="82"/>
        <v/>
      </c>
      <c r="P134" s="56" t="str">
        <f t="shared" si="83"/>
        <v/>
      </c>
      <c r="Q134" s="56" t="str">
        <f t="shared" si="84"/>
        <v/>
      </c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8"/>
      <c r="C135" s="48"/>
      <c r="D135" s="48"/>
      <c r="E135" s="48"/>
      <c r="F135" s="48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8"/>
      <c r="C136" s="48"/>
      <c r="D136" s="48"/>
      <c r="E136" s="48"/>
      <c r="F136" s="48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8"/>
      <c r="C137" s="48"/>
      <c r="D137" s="48"/>
      <c r="E137" s="48"/>
      <c r="F137" s="48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8"/>
      <c r="C138" s="48"/>
      <c r="D138" s="48"/>
      <c r="E138" s="48"/>
      <c r="F138" s="48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8"/>
      <c r="C139" s="48"/>
      <c r="D139" s="48"/>
      <c r="E139" s="48"/>
      <c r="F139" s="48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8"/>
      <c r="C140" s="48"/>
      <c r="D140" s="48"/>
      <c r="E140" s="48"/>
      <c r="F140" s="48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8"/>
      <c r="C141" s="48"/>
      <c r="D141" s="48"/>
      <c r="E141" s="48"/>
      <c r="F141" s="48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8"/>
      <c r="C142" s="48"/>
      <c r="D142" s="48"/>
      <c r="E142" s="48"/>
      <c r="F142" s="48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8"/>
      <c r="C143" s="48"/>
      <c r="D143" s="48"/>
      <c r="E143" s="48"/>
      <c r="F143" s="48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8"/>
      <c r="C144" s="48"/>
      <c r="D144" s="48"/>
      <c r="E144" s="48"/>
      <c r="F144" s="48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8"/>
      <c r="C145" s="48"/>
      <c r="D145" s="48"/>
      <c r="E145" s="48"/>
      <c r="F145" s="48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8"/>
      <c r="C146" s="48"/>
      <c r="D146" s="48"/>
      <c r="E146" s="48"/>
      <c r="F146" s="48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8"/>
      <c r="C147" s="48"/>
      <c r="D147" s="48"/>
      <c r="E147" s="48"/>
      <c r="F147" s="48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8"/>
      <c r="C148" s="48"/>
      <c r="D148" s="48"/>
      <c r="E148" s="48"/>
      <c r="F148" s="48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8"/>
      <c r="C149" s="48"/>
      <c r="D149" s="48"/>
      <c r="E149" s="48"/>
      <c r="F149" s="48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8"/>
      <c r="C150" s="48"/>
      <c r="D150" s="48"/>
      <c r="E150" s="48"/>
      <c r="F150" s="48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8"/>
      <c r="C151" s="48"/>
      <c r="D151" s="48"/>
      <c r="E151" s="48"/>
      <c r="F151" s="48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8"/>
      <c r="C152" s="48"/>
      <c r="D152" s="48"/>
      <c r="E152" s="48"/>
      <c r="F152" s="48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8"/>
      <c r="C153" s="48"/>
      <c r="D153" s="48"/>
      <c r="E153" s="48"/>
      <c r="F153" s="48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8"/>
      <c r="C154" s="48"/>
      <c r="D154" s="48"/>
      <c r="E154" s="48"/>
      <c r="F154" s="48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8"/>
      <c r="C155" s="48"/>
      <c r="D155" s="48"/>
      <c r="E155" s="48"/>
      <c r="F155" s="48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8"/>
      <c r="C156" s="48"/>
      <c r="D156" s="48"/>
      <c r="E156" s="48"/>
      <c r="F156" s="48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8"/>
      <c r="C157" s="48"/>
      <c r="D157" s="48"/>
      <c r="E157" s="48"/>
      <c r="F157" s="48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8"/>
      <c r="C158" s="48"/>
      <c r="D158" s="48"/>
      <c r="E158" s="48"/>
      <c r="F158" s="48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8"/>
      <c r="C159" s="48"/>
      <c r="D159" s="48"/>
      <c r="E159" s="48"/>
      <c r="F159" s="48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8"/>
      <c r="C160" s="48"/>
      <c r="D160" s="48"/>
      <c r="E160" s="48"/>
      <c r="F160" s="48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8"/>
      <c r="C161" s="48"/>
      <c r="D161" s="48"/>
      <c r="E161" s="48"/>
      <c r="F161" s="48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8"/>
      <c r="C162" s="48"/>
      <c r="D162" s="48"/>
      <c r="E162" s="48"/>
      <c r="F162" s="48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8"/>
      <c r="C163" s="48"/>
      <c r="D163" s="48"/>
      <c r="E163" s="48"/>
      <c r="F163" s="48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8"/>
      <c r="C164" s="48"/>
      <c r="D164" s="48"/>
      <c r="E164" s="48"/>
      <c r="F164" s="48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8"/>
      <c r="C165" s="48"/>
      <c r="D165" s="48"/>
      <c r="E165" s="48"/>
      <c r="F165" s="48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8"/>
      <c r="C166" s="48"/>
      <c r="D166" s="48"/>
      <c r="E166" s="48"/>
      <c r="F166" s="48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8"/>
      <c r="C167" s="48"/>
      <c r="D167" s="48"/>
      <c r="E167" s="48"/>
      <c r="F167" s="48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8"/>
      <c r="C168" s="48"/>
      <c r="D168" s="48"/>
      <c r="E168" s="48"/>
      <c r="F168" s="48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8"/>
      <c r="C169" s="48"/>
      <c r="D169" s="48"/>
      <c r="E169" s="48"/>
      <c r="F169" s="48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8"/>
      <c r="C170" s="48"/>
      <c r="D170" s="48"/>
      <c r="E170" s="48"/>
      <c r="F170" s="48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8"/>
      <c r="C171" s="48"/>
      <c r="D171" s="48"/>
      <c r="E171" s="48"/>
      <c r="F171" s="48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8"/>
      <c r="C172" s="48"/>
      <c r="D172" s="48"/>
      <c r="E172" s="48"/>
      <c r="F172" s="48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8"/>
      <c r="C173" s="48"/>
      <c r="D173" s="48"/>
      <c r="E173" s="48"/>
      <c r="F173" s="48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8"/>
      <c r="C174" s="48"/>
      <c r="D174" s="48"/>
      <c r="E174" s="48"/>
      <c r="F174" s="48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8"/>
      <c r="C175" s="48"/>
      <c r="D175" s="48"/>
      <c r="E175" s="48"/>
      <c r="F175" s="48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8"/>
      <c r="C176" s="48"/>
      <c r="D176" s="48"/>
      <c r="E176" s="48"/>
      <c r="F176" s="48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8"/>
      <c r="C177" s="48"/>
      <c r="D177" s="48"/>
      <c r="E177" s="48"/>
      <c r="F177" s="48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8"/>
      <c r="C178" s="48"/>
      <c r="D178" s="48"/>
      <c r="E178" s="48"/>
      <c r="F178" s="48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8"/>
      <c r="C179" s="48"/>
      <c r="D179" s="48"/>
      <c r="E179" s="48"/>
      <c r="F179" s="48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8"/>
      <c r="C180" s="48"/>
      <c r="D180" s="48"/>
      <c r="E180" s="48"/>
      <c r="F180" s="48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8"/>
      <c r="C181" s="48"/>
      <c r="D181" s="48"/>
      <c r="E181" s="48"/>
      <c r="F181" s="48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8"/>
      <c r="C182" s="48"/>
      <c r="D182" s="48"/>
      <c r="E182" s="48"/>
      <c r="F182" s="48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8"/>
      <c r="C183" s="48"/>
      <c r="D183" s="48"/>
      <c r="E183" s="48"/>
      <c r="F183" s="48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8"/>
      <c r="C184" s="48"/>
      <c r="D184" s="48"/>
      <c r="E184" s="48"/>
      <c r="F184" s="48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8"/>
      <c r="C185" s="48"/>
      <c r="D185" s="48"/>
      <c r="E185" s="48"/>
      <c r="F185" s="48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8"/>
      <c r="C186" s="48"/>
      <c r="D186" s="48"/>
      <c r="E186" s="48"/>
      <c r="F186" s="48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8"/>
      <c r="C187" s="48"/>
      <c r="D187" s="48"/>
      <c r="E187" s="48"/>
      <c r="F187" s="48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8"/>
      <c r="C188" s="48"/>
      <c r="D188" s="48"/>
      <c r="E188" s="48"/>
      <c r="F188" s="48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8"/>
      <c r="C189" s="48"/>
      <c r="D189" s="48"/>
      <c r="E189" s="48"/>
      <c r="F189" s="48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8"/>
      <c r="C190" s="48"/>
      <c r="D190" s="48"/>
      <c r="E190" s="48"/>
      <c r="F190" s="48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8"/>
      <c r="C191" s="48"/>
      <c r="D191" s="48"/>
      <c r="E191" s="48"/>
      <c r="F191" s="48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8"/>
      <c r="C192" s="48"/>
      <c r="D192" s="48"/>
      <c r="E192" s="48"/>
      <c r="F192" s="48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8"/>
      <c r="C193" s="48"/>
      <c r="D193" s="48"/>
      <c r="E193" s="48"/>
      <c r="F193" s="48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8"/>
      <c r="C194" s="48"/>
      <c r="D194" s="48"/>
      <c r="E194" s="48"/>
      <c r="F194" s="48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8"/>
      <c r="C195" s="48"/>
      <c r="D195" s="48"/>
      <c r="E195" s="48"/>
      <c r="F195" s="48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8"/>
      <c r="C196" s="48"/>
      <c r="D196" s="48"/>
      <c r="E196" s="48"/>
      <c r="F196" s="48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8"/>
      <c r="C197" s="48"/>
      <c r="D197" s="48"/>
      <c r="E197" s="48"/>
      <c r="F197" s="48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8"/>
      <c r="C198" s="48"/>
      <c r="D198" s="48"/>
      <c r="E198" s="48"/>
      <c r="F198" s="48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8"/>
      <c r="C199" s="48"/>
      <c r="D199" s="48"/>
      <c r="E199" s="48"/>
      <c r="F199" s="48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8"/>
      <c r="C200" s="48"/>
      <c r="D200" s="48"/>
      <c r="E200" s="48"/>
      <c r="F200" s="48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8"/>
      <c r="C201" s="48"/>
      <c r="D201" s="48"/>
      <c r="E201" s="48"/>
      <c r="F201" s="48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8"/>
      <c r="C202" s="48"/>
      <c r="D202" s="48"/>
      <c r="E202" s="48"/>
      <c r="F202" s="48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8"/>
      <c r="C203" s="48"/>
      <c r="D203" s="48"/>
      <c r="E203" s="48"/>
      <c r="F203" s="48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8"/>
      <c r="C204" s="48"/>
      <c r="D204" s="48"/>
      <c r="E204" s="48"/>
      <c r="F204" s="48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8"/>
      <c r="C205" s="48"/>
      <c r="D205" s="48"/>
      <c r="E205" s="48"/>
      <c r="F205" s="48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8"/>
      <c r="C206" s="48"/>
      <c r="D206" s="48"/>
      <c r="E206" s="48"/>
      <c r="F206" s="48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8"/>
      <c r="C207" s="48"/>
      <c r="D207" s="48"/>
      <c r="E207" s="48"/>
      <c r="F207" s="48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8"/>
      <c r="C208" s="48"/>
      <c r="D208" s="48"/>
      <c r="E208" s="48"/>
      <c r="F208" s="48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8"/>
      <c r="C209" s="48"/>
      <c r="D209" s="48"/>
      <c r="E209" s="48"/>
      <c r="F209" s="48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8"/>
      <c r="C210" s="48"/>
      <c r="D210" s="48"/>
      <c r="E210" s="48"/>
      <c r="F210" s="48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8"/>
      <c r="C211" s="48"/>
      <c r="D211" s="48"/>
      <c r="E211" s="48"/>
      <c r="F211" s="48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8"/>
      <c r="C212" s="48"/>
      <c r="D212" s="48"/>
      <c r="E212" s="48"/>
      <c r="F212" s="48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8"/>
      <c r="C213" s="48"/>
      <c r="D213" s="48"/>
      <c r="E213" s="48"/>
      <c r="F213" s="48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8"/>
      <c r="C214" s="48"/>
      <c r="D214" s="48"/>
      <c r="E214" s="48"/>
      <c r="F214" s="48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8"/>
      <c r="C215" s="48"/>
      <c r="D215" s="48"/>
      <c r="E215" s="48"/>
      <c r="F215" s="48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8"/>
      <c r="C216" s="48"/>
      <c r="D216" s="48"/>
      <c r="E216" s="48"/>
      <c r="F216" s="48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8"/>
      <c r="C217" s="48"/>
      <c r="D217" s="48"/>
      <c r="E217" s="48"/>
      <c r="F217" s="48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8"/>
      <c r="C218" s="48"/>
      <c r="D218" s="48"/>
      <c r="E218" s="48"/>
      <c r="F218" s="48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8"/>
      <c r="C219" s="48"/>
      <c r="D219" s="48"/>
      <c r="E219" s="48"/>
      <c r="F219" s="48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8"/>
      <c r="C220" s="48"/>
      <c r="D220" s="48"/>
      <c r="E220" s="48"/>
      <c r="F220" s="48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8"/>
      <c r="C221" s="48"/>
      <c r="D221" s="48"/>
      <c r="E221" s="48"/>
      <c r="F221" s="48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8"/>
      <c r="C222" s="48"/>
      <c r="D222" s="48"/>
      <c r="E222" s="48"/>
      <c r="F222" s="48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8"/>
      <c r="C223" s="48"/>
      <c r="D223" s="48"/>
      <c r="E223" s="48"/>
      <c r="F223" s="48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8"/>
      <c r="C224" s="48"/>
      <c r="D224" s="48"/>
      <c r="E224" s="48"/>
      <c r="F224" s="48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8"/>
      <c r="C225" s="48"/>
      <c r="D225" s="48"/>
      <c r="E225" s="48"/>
      <c r="F225" s="48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8"/>
      <c r="C226" s="48"/>
      <c r="D226" s="48"/>
      <c r="E226" s="48"/>
      <c r="F226" s="48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8"/>
      <c r="C227" s="48"/>
      <c r="D227" s="48"/>
      <c r="E227" s="48"/>
      <c r="F227" s="48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8"/>
      <c r="C228" s="48"/>
      <c r="D228" s="48"/>
      <c r="E228" s="48"/>
      <c r="F228" s="48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8"/>
      <c r="C229" s="48"/>
      <c r="D229" s="48"/>
      <c r="E229" s="48"/>
      <c r="F229" s="48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E26:E27"/>
    <mergeCell ref="F26:F27"/>
    <mergeCell ref="L19:Q19"/>
    <mergeCell ref="L20:Q20"/>
    <mergeCell ref="L21:Q21"/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</mergeCells>
  <phoneticPr fontId="17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2024-10-28T20:58:43Z</dcterms:modified>
</cp:coreProperties>
</file>