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96well_1um\"/>
    </mc:Choice>
  </mc:AlternateContent>
  <xr:revisionPtr revIDLastSave="0" documentId="13_ncr:1_{4230BFA1-426D-4825-A4DA-8CA41F53EF9C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5" i="4" l="1"/>
  <c r="J135" i="4"/>
  <c r="K135" i="4"/>
  <c r="O135" i="4"/>
  <c r="P135" i="4"/>
  <c r="I136" i="4"/>
  <c r="J136" i="4"/>
  <c r="K136" i="4" s="1"/>
  <c r="O136" i="4" s="1"/>
  <c r="P136" i="4" s="1"/>
  <c r="I137" i="4"/>
  <c r="L137" i="4" s="1"/>
  <c r="J137" i="4"/>
  <c r="K137" i="4"/>
  <c r="O137" i="4" s="1"/>
  <c r="P137" i="4" s="1"/>
  <c r="N137" i="4"/>
  <c r="Q137" i="4" s="1"/>
  <c r="I138" i="4"/>
  <c r="N138" i="4" s="1"/>
  <c r="J138" i="4"/>
  <c r="K138" i="4"/>
  <c r="L138" i="4"/>
  <c r="M138" i="4"/>
  <c r="Q138" i="4"/>
  <c r="I139" i="4"/>
  <c r="J139" i="4"/>
  <c r="K139" i="4"/>
  <c r="N139" i="4"/>
  <c r="O139" i="4"/>
  <c r="P139" i="4"/>
  <c r="Q139" i="4"/>
  <c r="I140" i="4"/>
  <c r="L140" i="4" s="1"/>
  <c r="M140" i="4" s="1"/>
  <c r="J140" i="4"/>
  <c r="K140" i="4"/>
  <c r="O140" i="4" s="1"/>
  <c r="P140" i="4" s="1"/>
  <c r="I141" i="4"/>
  <c r="J141" i="4"/>
  <c r="K141" i="4" s="1"/>
  <c r="O141" i="4" s="1"/>
  <c r="P141" i="4" s="1"/>
  <c r="I142" i="4"/>
  <c r="N142" i="4" s="1"/>
  <c r="Q142" i="4" s="1"/>
  <c r="J142" i="4"/>
  <c r="L142" i="4" s="1"/>
  <c r="M142" i="4" s="1"/>
  <c r="K142" i="4"/>
  <c r="I143" i="4"/>
  <c r="J143" i="4"/>
  <c r="K143" i="4"/>
  <c r="O143" i="4" s="1"/>
  <c r="P143" i="4" s="1"/>
  <c r="N143" i="4"/>
  <c r="Q143" i="4"/>
  <c r="R143" i="4"/>
  <c r="T143" i="4" s="1"/>
  <c r="R142" i="4"/>
  <c r="R141" i="4"/>
  <c r="R140" i="4"/>
  <c r="T139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V142" i="4" l="1"/>
  <c r="O142" i="4"/>
  <c r="P142" i="4" s="1"/>
  <c r="L136" i="4"/>
  <c r="M136" i="4" s="1"/>
  <c r="U136" i="4" s="1"/>
  <c r="L141" i="4"/>
  <c r="M141" i="4" s="1"/>
  <c r="U141" i="4" s="1"/>
  <c r="V138" i="4"/>
  <c r="O138" i="4"/>
  <c r="P138" i="4" s="1"/>
  <c r="S137" i="4"/>
  <c r="M137" i="4"/>
  <c r="U137" i="4" s="1"/>
  <c r="L135" i="4"/>
  <c r="M135" i="4" s="1"/>
  <c r="V135" i="4" s="1"/>
  <c r="N135" i="4"/>
  <c r="Q135" i="4" s="1"/>
  <c r="T138" i="4"/>
  <c r="N141" i="4"/>
  <c r="Q141" i="4" s="1"/>
  <c r="L143" i="4"/>
  <c r="M143" i="4" s="1"/>
  <c r="L139" i="4"/>
  <c r="S139" i="4" s="1"/>
  <c r="S143" i="4"/>
  <c r="T137" i="4"/>
  <c r="V140" i="4"/>
  <c r="T141" i="4"/>
  <c r="U138" i="4"/>
  <c r="V141" i="4"/>
  <c r="N140" i="4"/>
  <c r="Q140" i="4" s="1"/>
  <c r="N136" i="4"/>
  <c r="Q136" i="4" s="1"/>
  <c r="U140" i="4"/>
  <c r="T140" i="4"/>
  <c r="S140" i="4"/>
  <c r="U142" i="4"/>
  <c r="T142" i="4"/>
  <c r="S142" i="4"/>
  <c r="T135" i="4"/>
  <c r="S135" i="4"/>
  <c r="S138" i="4"/>
  <c r="T136" i="4"/>
  <c r="S141" i="4"/>
  <c r="V143" i="4" l="1"/>
  <c r="U143" i="4"/>
  <c r="V136" i="4"/>
  <c r="M139" i="4"/>
  <c r="U139" i="4" s="1"/>
  <c r="S136" i="4"/>
  <c r="U135" i="4"/>
  <c r="V137" i="4"/>
  <c r="I128" i="4"/>
  <c r="L128" i="4" s="1"/>
  <c r="J128" i="4"/>
  <c r="K128" i="4" s="1"/>
  <c r="I129" i="4"/>
  <c r="N129" i="4" s="1"/>
  <c r="Q129" i="4" s="1"/>
  <c r="J129" i="4"/>
  <c r="K129" i="4"/>
  <c r="L129" i="4"/>
  <c r="S129" i="4" s="1"/>
  <c r="M129" i="4"/>
  <c r="U129" i="4" s="1"/>
  <c r="I130" i="4"/>
  <c r="J130" i="4"/>
  <c r="K130" i="4"/>
  <c r="L130" i="4"/>
  <c r="S130" i="4" s="1"/>
  <c r="M130" i="4"/>
  <c r="U130" i="4" s="1"/>
  <c r="N130" i="4"/>
  <c r="Q130" i="4" s="1"/>
  <c r="I131" i="4"/>
  <c r="J131" i="4"/>
  <c r="K131" i="4" s="1"/>
  <c r="I132" i="4"/>
  <c r="N132" i="4" s="1"/>
  <c r="Q132" i="4" s="1"/>
  <c r="J132" i="4"/>
  <c r="K132" i="4"/>
  <c r="L132" i="4"/>
  <c r="S132" i="4" s="1"/>
  <c r="I133" i="4"/>
  <c r="J133" i="4"/>
  <c r="K133" i="4"/>
  <c r="L133" i="4"/>
  <c r="S133" i="4" s="1"/>
  <c r="M133" i="4"/>
  <c r="U133" i="4" s="1"/>
  <c r="N133" i="4"/>
  <c r="Q133" i="4" s="1"/>
  <c r="O133" i="4"/>
  <c r="P133" i="4" s="1"/>
  <c r="I134" i="4"/>
  <c r="N134" i="4" s="1"/>
  <c r="Q134" i="4" s="1"/>
  <c r="J134" i="4"/>
  <c r="K134" i="4" s="1"/>
  <c r="L134" i="4"/>
  <c r="S134" i="4" s="1"/>
  <c r="T131" i="4" l="1"/>
  <c r="M128" i="4"/>
  <c r="U128" i="4" s="1"/>
  <c r="S128" i="4"/>
  <c r="V139" i="4"/>
  <c r="O132" i="4"/>
  <c r="P132" i="4" s="1"/>
  <c r="T132" i="4"/>
  <c r="L131" i="4"/>
  <c r="O128" i="4"/>
  <c r="P128" i="4" s="1"/>
  <c r="V128" i="4"/>
  <c r="T128" i="4"/>
  <c r="V133" i="4"/>
  <c r="T133" i="4"/>
  <c r="O130" i="4"/>
  <c r="P130" i="4" s="1"/>
  <c r="V130" i="4"/>
  <c r="T130" i="4"/>
  <c r="M134" i="4"/>
  <c r="U134" i="4" s="1"/>
  <c r="M132" i="4"/>
  <c r="U132" i="4" s="1"/>
  <c r="O134" i="4"/>
  <c r="P134" i="4" s="1"/>
  <c r="V134" i="4"/>
  <c r="T134" i="4"/>
  <c r="O129" i="4"/>
  <c r="P129" i="4" s="1"/>
  <c r="V129" i="4"/>
  <c r="T129" i="4"/>
  <c r="O131" i="4"/>
  <c r="P131" i="4" s="1"/>
  <c r="N131" i="4"/>
  <c r="Q131" i="4" s="1"/>
  <c r="N128" i="4"/>
  <c r="Q128" i="4" s="1"/>
  <c r="M131" i="4" l="1"/>
  <c r="S131" i="4"/>
  <c r="V132" i="4"/>
  <c r="O15" i="1"/>
  <c r="L15" i="1"/>
  <c r="N15" i="1"/>
  <c r="J16" i="4"/>
  <c r="J15" i="4"/>
  <c r="J87" i="4"/>
  <c r="K87" i="4" s="1"/>
  <c r="J122" i="4"/>
  <c r="K122" i="4"/>
  <c r="J117" i="4"/>
  <c r="K117" i="4"/>
  <c r="J120" i="4"/>
  <c r="K120" i="4" s="1"/>
  <c r="J101" i="4"/>
  <c r="K101" i="4" s="1"/>
  <c r="J86" i="4"/>
  <c r="K86" i="4" s="1"/>
  <c r="J85" i="4"/>
  <c r="K85" i="4" s="1"/>
  <c r="J88" i="4"/>
  <c r="K88" i="4" s="1"/>
  <c r="J119" i="4"/>
  <c r="K119" i="4" s="1"/>
  <c r="J72" i="4"/>
  <c r="K72" i="4" s="1"/>
  <c r="J103" i="4"/>
  <c r="K103" i="4"/>
  <c r="J118" i="4"/>
  <c r="K118" i="4"/>
  <c r="J104" i="4"/>
  <c r="K104" i="4"/>
  <c r="J90" i="4"/>
  <c r="K90" i="4" s="1"/>
  <c r="J71" i="4"/>
  <c r="K71" i="4"/>
  <c r="J110" i="4"/>
  <c r="K110" i="4" s="1"/>
  <c r="J82" i="4"/>
  <c r="K82" i="4" s="1"/>
  <c r="J113" i="4"/>
  <c r="K113" i="4"/>
  <c r="J97" i="4"/>
  <c r="K97" i="4" s="1"/>
  <c r="J81" i="4"/>
  <c r="K81" i="4" s="1"/>
  <c r="J116" i="4"/>
  <c r="K116" i="4" s="1"/>
  <c r="J100" i="4"/>
  <c r="K100" i="4" s="1"/>
  <c r="O100" i="4" s="1"/>
  <c r="P100" i="4" s="1"/>
  <c r="J84" i="4"/>
  <c r="K84" i="4" s="1"/>
  <c r="J114" i="4"/>
  <c r="K114" i="4" s="1"/>
  <c r="J78" i="4"/>
  <c r="K78" i="4" s="1"/>
  <c r="J115" i="4"/>
  <c r="K115" i="4" s="1"/>
  <c r="J99" i="4"/>
  <c r="L99" i="4" s="1"/>
  <c r="K99" i="4"/>
  <c r="J83" i="4"/>
  <c r="K83" i="4"/>
  <c r="J102" i="4"/>
  <c r="K102" i="4"/>
  <c r="J74" i="4"/>
  <c r="K74" i="4"/>
  <c r="J125" i="4"/>
  <c r="K125" i="4" s="1"/>
  <c r="J109" i="4"/>
  <c r="K109" i="4"/>
  <c r="J93" i="4"/>
  <c r="K93" i="4" s="1"/>
  <c r="J77" i="4"/>
  <c r="L77" i="4" s="1"/>
  <c r="S77" i="4" s="1"/>
  <c r="K77" i="4"/>
  <c r="J112" i="4"/>
  <c r="K112" i="4"/>
  <c r="J96" i="4"/>
  <c r="K96" i="4"/>
  <c r="J80" i="4"/>
  <c r="K80" i="4" s="1"/>
  <c r="J106" i="4"/>
  <c r="K106" i="4" s="1"/>
  <c r="J127" i="4"/>
  <c r="K127" i="4"/>
  <c r="J111" i="4"/>
  <c r="K111" i="4"/>
  <c r="J95" i="4"/>
  <c r="K95" i="4" s="1"/>
  <c r="J79" i="4"/>
  <c r="K79" i="4" s="1"/>
  <c r="J126" i="4"/>
  <c r="K126" i="4" s="1"/>
  <c r="J94" i="4"/>
  <c r="K94" i="4" s="1"/>
  <c r="J121" i="4"/>
  <c r="L121" i="4" s="1"/>
  <c r="S121" i="4" s="1"/>
  <c r="K121" i="4"/>
  <c r="J105" i="4"/>
  <c r="K105" i="4" s="1"/>
  <c r="J89" i="4"/>
  <c r="K89" i="4" s="1"/>
  <c r="J73" i="4"/>
  <c r="K73" i="4"/>
  <c r="J124" i="4"/>
  <c r="K124" i="4" s="1"/>
  <c r="J108" i="4"/>
  <c r="K108" i="4" s="1"/>
  <c r="J92" i="4"/>
  <c r="K92" i="4" s="1"/>
  <c r="J76" i="4"/>
  <c r="K76" i="4" s="1"/>
  <c r="J98" i="4"/>
  <c r="K98" i="4"/>
  <c r="J123" i="4"/>
  <c r="K123" i="4" s="1"/>
  <c r="J107" i="4"/>
  <c r="K107" i="4" s="1"/>
  <c r="J91" i="4"/>
  <c r="K91" i="4"/>
  <c r="J75" i="4"/>
  <c r="K75" i="4" s="1"/>
  <c r="O112" i="4"/>
  <c r="P112" i="4"/>
  <c r="O127" i="4"/>
  <c r="P127" i="4"/>
  <c r="O109" i="4"/>
  <c r="P109" i="4"/>
  <c r="I76" i="4"/>
  <c r="I77" i="4"/>
  <c r="N77" i="4" s="1"/>
  <c r="Q77" i="4" s="1"/>
  <c r="I81" i="4"/>
  <c r="N81" i="4" s="1"/>
  <c r="Q81" i="4" s="1"/>
  <c r="I89" i="4"/>
  <c r="N89" i="4" s="1"/>
  <c r="Q89" i="4" s="1"/>
  <c r="I90" i="4"/>
  <c r="I96" i="4"/>
  <c r="I99" i="4"/>
  <c r="N99" i="4" s="1"/>
  <c r="Q99" i="4" s="1"/>
  <c r="I102" i="4"/>
  <c r="I104" i="4"/>
  <c r="I108" i="4"/>
  <c r="I111" i="4"/>
  <c r="L111" i="4" s="1"/>
  <c r="I113" i="4"/>
  <c r="L113" i="4" s="1"/>
  <c r="I115" i="4"/>
  <c r="I119" i="4"/>
  <c r="I120" i="4"/>
  <c r="L120" i="4" s="1"/>
  <c r="S120" i="4" s="1"/>
  <c r="I123" i="4"/>
  <c r="L123" i="4" s="1"/>
  <c r="I125" i="4"/>
  <c r="I79" i="4"/>
  <c r="I92" i="4"/>
  <c r="I100" i="4"/>
  <c r="I103" i="4"/>
  <c r="I107" i="4"/>
  <c r="N107" i="4" s="1"/>
  <c r="Q107" i="4" s="1"/>
  <c r="I109" i="4"/>
  <c r="N109" i="4" s="1"/>
  <c r="Q109" i="4" s="1"/>
  <c r="I110" i="4"/>
  <c r="I117" i="4"/>
  <c r="I124" i="4"/>
  <c r="I72" i="4"/>
  <c r="N72" i="4" s="1"/>
  <c r="Q72" i="4" s="1"/>
  <c r="I106" i="4"/>
  <c r="L106" i="4" s="1"/>
  <c r="I71" i="4"/>
  <c r="L71" i="4" s="1"/>
  <c r="S71" i="4" s="1"/>
  <c r="I75" i="4"/>
  <c r="I80" i="4"/>
  <c r="L80" i="4" s="1"/>
  <c r="S80" i="4" s="1"/>
  <c r="I83" i="4"/>
  <c r="N83" i="4" s="1"/>
  <c r="Q83" i="4" s="1"/>
  <c r="I86" i="4"/>
  <c r="L86" i="4" s="1"/>
  <c r="S86" i="4" s="1"/>
  <c r="I88" i="4"/>
  <c r="N88" i="4" s="1"/>
  <c r="Q88" i="4" s="1"/>
  <c r="I94" i="4"/>
  <c r="I95" i="4"/>
  <c r="N95" i="4" s="1"/>
  <c r="Q95" i="4" s="1"/>
  <c r="I98" i="4"/>
  <c r="I101" i="4"/>
  <c r="L101" i="4" s="1"/>
  <c r="I118" i="4"/>
  <c r="N118" i="4" s="1"/>
  <c r="Q118" i="4" s="1"/>
  <c r="I127" i="4"/>
  <c r="L127" i="4" s="1"/>
  <c r="S127" i="4" s="1"/>
  <c r="I73" i="4"/>
  <c r="N73" i="4" s="1"/>
  <c r="Q73" i="4" s="1"/>
  <c r="I74" i="4"/>
  <c r="N74" i="4" s="1"/>
  <c r="Q74" i="4" s="1"/>
  <c r="I78" i="4"/>
  <c r="N78" i="4" s="1"/>
  <c r="Q78" i="4" s="1"/>
  <c r="I82" i="4"/>
  <c r="N82" i="4" s="1"/>
  <c r="Q82" i="4" s="1"/>
  <c r="I85" i="4"/>
  <c r="L85" i="4" s="1"/>
  <c r="S85" i="4" s="1"/>
  <c r="I93" i="4"/>
  <c r="N93" i="4" s="1"/>
  <c r="Q93" i="4" s="1"/>
  <c r="I112" i="4"/>
  <c r="N112" i="4" s="1"/>
  <c r="Q112" i="4" s="1"/>
  <c r="I114" i="4"/>
  <c r="N114" i="4" s="1"/>
  <c r="Q114" i="4" s="1"/>
  <c r="I121" i="4"/>
  <c r="I122" i="4"/>
  <c r="I84" i="4"/>
  <c r="I87" i="4"/>
  <c r="L87" i="4" s="1"/>
  <c r="S87" i="4" s="1"/>
  <c r="I91" i="4"/>
  <c r="N91" i="4" s="1"/>
  <c r="Q91" i="4" s="1"/>
  <c r="I97" i="4"/>
  <c r="N97" i="4" s="1"/>
  <c r="Q97" i="4" s="1"/>
  <c r="I105" i="4"/>
  <c r="L105" i="4" s="1"/>
  <c r="I116" i="4"/>
  <c r="N116" i="4" s="1"/>
  <c r="Q116" i="4" s="1"/>
  <c r="I126" i="4"/>
  <c r="L126" i="4" s="1"/>
  <c r="S126" i="4" s="1"/>
  <c r="N121" i="4"/>
  <c r="Q121" i="4" s="1"/>
  <c r="N101" i="4"/>
  <c r="Q101" i="4"/>
  <c r="N75" i="4"/>
  <c r="Q75" i="4" s="1"/>
  <c r="L75" i="4"/>
  <c r="S75" i="4" s="1"/>
  <c r="N124" i="4"/>
  <c r="Q124" i="4" s="1"/>
  <c r="N79" i="4"/>
  <c r="Q79" i="4" s="1"/>
  <c r="N119" i="4"/>
  <c r="Q119" i="4"/>
  <c r="N108" i="4"/>
  <c r="Q108" i="4" s="1"/>
  <c r="N98" i="4"/>
  <c r="Q98" i="4" s="1"/>
  <c r="N117" i="4"/>
  <c r="Q117" i="4"/>
  <c r="L117" i="4"/>
  <c r="N115" i="4"/>
  <c r="Q115" i="4" s="1"/>
  <c r="N90" i="4"/>
  <c r="Q90" i="4" s="1"/>
  <c r="N76" i="4"/>
  <c r="Q76" i="4" s="1"/>
  <c r="N110" i="4"/>
  <c r="Q110" i="4" s="1"/>
  <c r="N122" i="4"/>
  <c r="Q122" i="4"/>
  <c r="N94" i="4"/>
  <c r="Q94" i="4" s="1"/>
  <c r="N80" i="4"/>
  <c r="Q80" i="4" s="1"/>
  <c r="L109" i="4"/>
  <c r="N111" i="4"/>
  <c r="Q111" i="4" s="1"/>
  <c r="M123" i="4" l="1"/>
  <c r="U123" i="4" s="1"/>
  <c r="S123" i="4"/>
  <c r="M111" i="4"/>
  <c r="U111" i="4" s="1"/>
  <c r="S111" i="4"/>
  <c r="T76" i="4"/>
  <c r="M101" i="4"/>
  <c r="U101" i="4" s="1"/>
  <c r="S101" i="4"/>
  <c r="M99" i="4"/>
  <c r="U99" i="4" s="1"/>
  <c r="S99" i="4"/>
  <c r="O101" i="4"/>
  <c r="P101" i="4" s="1"/>
  <c r="V101" i="4"/>
  <c r="T101" i="4"/>
  <c r="T121" i="4"/>
  <c r="T102" i="4"/>
  <c r="M117" i="4"/>
  <c r="U117" i="4" s="1"/>
  <c r="S117" i="4"/>
  <c r="T79" i="4"/>
  <c r="V99" i="4"/>
  <c r="T99" i="4"/>
  <c r="T122" i="4"/>
  <c r="O111" i="4"/>
  <c r="P111" i="4" s="1"/>
  <c r="V111" i="4"/>
  <c r="T111" i="4"/>
  <c r="T72" i="4"/>
  <c r="N127" i="4"/>
  <c r="Q127" i="4" s="1"/>
  <c r="T124" i="4"/>
  <c r="T82" i="4"/>
  <c r="L72" i="4"/>
  <c r="S72" i="4" s="1"/>
  <c r="T75" i="4"/>
  <c r="T88" i="4"/>
  <c r="L96" i="4"/>
  <c r="S96" i="4" s="1"/>
  <c r="T89" i="4"/>
  <c r="O106" i="4"/>
  <c r="P106" i="4" s="1"/>
  <c r="T106" i="4"/>
  <c r="T74" i="4"/>
  <c r="T86" i="4"/>
  <c r="O123" i="4"/>
  <c r="P123" i="4" s="1"/>
  <c r="V123" i="4"/>
  <c r="T123" i="4"/>
  <c r="T96" i="4"/>
  <c r="M113" i="4"/>
  <c r="U113" i="4" s="1"/>
  <c r="S113" i="4"/>
  <c r="V77" i="4"/>
  <c r="T77" i="4"/>
  <c r="T103" i="4"/>
  <c r="O99" i="4"/>
  <c r="P99" i="4" s="1"/>
  <c r="T92" i="4"/>
  <c r="T95" i="4"/>
  <c r="T113" i="4"/>
  <c r="L118" i="4"/>
  <c r="T108" i="4"/>
  <c r="T93" i="4"/>
  <c r="T115" i="4"/>
  <c r="O87" i="4"/>
  <c r="P87" i="4" s="1"/>
  <c r="T87" i="4"/>
  <c r="L79" i="4"/>
  <c r="S79" i="4" s="1"/>
  <c r="L103" i="4"/>
  <c r="L104" i="4"/>
  <c r="O122" i="4"/>
  <c r="P122" i="4" s="1"/>
  <c r="T109" i="4"/>
  <c r="T78" i="4"/>
  <c r="T119" i="4"/>
  <c r="L81" i="4"/>
  <c r="S81" i="4" s="1"/>
  <c r="L100" i="4"/>
  <c r="M100" i="4" s="1"/>
  <c r="L102" i="4"/>
  <c r="T73" i="4"/>
  <c r="T127" i="4"/>
  <c r="V114" i="4"/>
  <c r="T114" i="4"/>
  <c r="O110" i="4"/>
  <c r="P110" i="4" s="1"/>
  <c r="T110" i="4"/>
  <c r="N87" i="4"/>
  <c r="Q87" i="4" s="1"/>
  <c r="L107" i="4"/>
  <c r="M105" i="4"/>
  <c r="U105" i="4" s="1"/>
  <c r="S105" i="4"/>
  <c r="L92" i="4"/>
  <c r="S92" i="4" s="1"/>
  <c r="O103" i="4"/>
  <c r="P103" i="4" s="1"/>
  <c r="T91" i="4"/>
  <c r="O125" i="4"/>
  <c r="P125" i="4" s="1"/>
  <c r="T125" i="4"/>
  <c r="T84" i="4"/>
  <c r="T71" i="4"/>
  <c r="T85" i="4"/>
  <c r="L89" i="4"/>
  <c r="S89" i="4" s="1"/>
  <c r="N113" i="4"/>
  <c r="Q113" i="4" s="1"/>
  <c r="N126" i="4"/>
  <c r="Q126" i="4" s="1"/>
  <c r="L114" i="4"/>
  <c r="S114" i="4" s="1"/>
  <c r="L125" i="4"/>
  <c r="O113" i="4"/>
  <c r="P113" i="4" s="1"/>
  <c r="O105" i="4"/>
  <c r="P105" i="4" s="1"/>
  <c r="T105" i="4"/>
  <c r="T80" i="4"/>
  <c r="T90" i="4"/>
  <c r="M106" i="4"/>
  <c r="U106" i="4" s="1"/>
  <c r="S106" i="4"/>
  <c r="O104" i="4"/>
  <c r="P104" i="4" s="1"/>
  <c r="T104" i="4"/>
  <c r="M109" i="4"/>
  <c r="U109" i="4" s="1"/>
  <c r="S109" i="4"/>
  <c r="N123" i="4"/>
  <c r="Q123" i="4" s="1"/>
  <c r="O98" i="4"/>
  <c r="P98" i="4" s="1"/>
  <c r="T98" i="4"/>
  <c r="T116" i="4"/>
  <c r="V120" i="4"/>
  <c r="T120" i="4"/>
  <c r="L122" i="4"/>
  <c r="L124" i="4"/>
  <c r="S124" i="4" s="1"/>
  <c r="L119" i="4"/>
  <c r="S119" i="4" s="1"/>
  <c r="T94" i="4"/>
  <c r="T112" i="4"/>
  <c r="T83" i="4"/>
  <c r="T81" i="4"/>
  <c r="O118" i="4"/>
  <c r="P118" i="4" s="1"/>
  <c r="T118" i="4"/>
  <c r="O117" i="4"/>
  <c r="P117" i="4" s="1"/>
  <c r="V117" i="4"/>
  <c r="T117" i="4"/>
  <c r="N103" i="4"/>
  <c r="Q103" i="4" s="1"/>
  <c r="L98" i="4"/>
  <c r="O102" i="4"/>
  <c r="P102" i="4" s="1"/>
  <c r="T126" i="4"/>
  <c r="L112" i="4"/>
  <c r="U131" i="4"/>
  <c r="V131" i="4"/>
  <c r="M120" i="4"/>
  <c r="U120" i="4" s="1"/>
  <c r="M121" i="4"/>
  <c r="U121" i="4" s="1"/>
  <c r="O114" i="4"/>
  <c r="P114" i="4" s="1"/>
  <c r="M71" i="4"/>
  <c r="U71" i="4" s="1"/>
  <c r="O107" i="4"/>
  <c r="P107" i="4" s="1"/>
  <c r="M126" i="4"/>
  <c r="U126" i="4" s="1"/>
  <c r="O121" i="4"/>
  <c r="P121" i="4" s="1"/>
  <c r="M127" i="4"/>
  <c r="U127" i="4" s="1"/>
  <c r="O126" i="4"/>
  <c r="P126" i="4" s="1"/>
  <c r="L97" i="4"/>
  <c r="M97" i="4" s="1"/>
  <c r="L90" i="4"/>
  <c r="S90" i="4" s="1"/>
  <c r="O116" i="4"/>
  <c r="P116" i="4" s="1"/>
  <c r="L94" i="4"/>
  <c r="S94" i="4" s="1"/>
  <c r="L78" i="4"/>
  <c r="S78" i="4" s="1"/>
  <c r="O108" i="4"/>
  <c r="P108" i="4" s="1"/>
  <c r="O120" i="4"/>
  <c r="P120" i="4" s="1"/>
  <c r="N96" i="4"/>
  <c r="Q96" i="4" s="1"/>
  <c r="O115" i="4"/>
  <c r="P115" i="4" s="1"/>
  <c r="L116" i="4"/>
  <c r="S116" i="4" s="1"/>
  <c r="L84" i="4"/>
  <c r="S84" i="4" s="1"/>
  <c r="O124" i="4"/>
  <c r="P124" i="4" s="1"/>
  <c r="N71" i="4"/>
  <c r="Q71" i="4" s="1"/>
  <c r="M114" i="4"/>
  <c r="U114" i="4" s="1"/>
  <c r="N104" i="4"/>
  <c r="Q104" i="4" s="1"/>
  <c r="M107" i="4"/>
  <c r="N100" i="4"/>
  <c r="Q100" i="4" s="1"/>
  <c r="L73" i="4"/>
  <c r="S73" i="4" s="1"/>
  <c r="N120" i="4"/>
  <c r="Q120" i="4" s="1"/>
  <c r="N102" i="4"/>
  <c r="Q102" i="4" s="1"/>
  <c r="N125" i="4"/>
  <c r="Q125" i="4" s="1"/>
  <c r="N86" i="4"/>
  <c r="Q86" i="4" s="1"/>
  <c r="N84" i="4"/>
  <c r="Q84" i="4" s="1"/>
  <c r="N92" i="4"/>
  <c r="Q92" i="4" s="1"/>
  <c r="L74" i="4"/>
  <c r="S74" i="4" s="1"/>
  <c r="L91" i="4"/>
  <c r="S91" i="4" s="1"/>
  <c r="L108" i="4"/>
  <c r="S108" i="4" s="1"/>
  <c r="N106" i="4"/>
  <c r="Q106" i="4" s="1"/>
  <c r="N105" i="4"/>
  <c r="Q105" i="4" s="1"/>
  <c r="O91" i="4"/>
  <c r="P91" i="4" s="1"/>
  <c r="L110" i="4"/>
  <c r="L95" i="4"/>
  <c r="S95" i="4" s="1"/>
  <c r="O71" i="4"/>
  <c r="P71" i="4" s="1"/>
  <c r="O119" i="4"/>
  <c r="P119" i="4" s="1"/>
  <c r="O85" i="4"/>
  <c r="P85" i="4" s="1"/>
  <c r="O79" i="4"/>
  <c r="P79" i="4" s="1"/>
  <c r="O82" i="4"/>
  <c r="P82" i="4" s="1"/>
  <c r="M74" i="4"/>
  <c r="U74" i="4" s="1"/>
  <c r="M75" i="4"/>
  <c r="U75" i="4" s="1"/>
  <c r="L76" i="4"/>
  <c r="S76" i="4" s="1"/>
  <c r="O78" i="4"/>
  <c r="P78" i="4" s="1"/>
  <c r="M85" i="4"/>
  <c r="U85" i="4" s="1"/>
  <c r="M86" i="4"/>
  <c r="U86" i="4" s="1"/>
  <c r="O92" i="4"/>
  <c r="P92" i="4" s="1"/>
  <c r="O94" i="4"/>
  <c r="P94" i="4" s="1"/>
  <c r="O80" i="4"/>
  <c r="P80" i="4" s="1"/>
  <c r="O74" i="4"/>
  <c r="P74" i="4" s="1"/>
  <c r="L115" i="4"/>
  <c r="S115" i="4" s="1"/>
  <c r="O75" i="4"/>
  <c r="P75" i="4" s="1"/>
  <c r="O96" i="4"/>
  <c r="P96" i="4" s="1"/>
  <c r="O76" i="4"/>
  <c r="P76" i="4" s="1"/>
  <c r="M77" i="4"/>
  <c r="U77" i="4" s="1"/>
  <c r="O84" i="4"/>
  <c r="P84" i="4" s="1"/>
  <c r="L82" i="4"/>
  <c r="S82" i="4" s="1"/>
  <c r="O72" i="4"/>
  <c r="P72" i="4" s="1"/>
  <c r="M81" i="4"/>
  <c r="U81" i="4" s="1"/>
  <c r="O83" i="4"/>
  <c r="P83" i="4" s="1"/>
  <c r="M79" i="4"/>
  <c r="U79" i="4" s="1"/>
  <c r="M96" i="4"/>
  <c r="U96" i="4" s="1"/>
  <c r="M87" i="4"/>
  <c r="U87" i="4" s="1"/>
  <c r="O73" i="4"/>
  <c r="P73" i="4" s="1"/>
  <c r="O95" i="4"/>
  <c r="P95" i="4" s="1"/>
  <c r="O77" i="4"/>
  <c r="P77" i="4" s="1"/>
  <c r="L83" i="4"/>
  <c r="S83" i="4" s="1"/>
  <c r="O88" i="4"/>
  <c r="P88" i="4" s="1"/>
  <c r="M80" i="4"/>
  <c r="U80" i="4" s="1"/>
  <c r="O89" i="4"/>
  <c r="P89" i="4" s="1"/>
  <c r="O93" i="4"/>
  <c r="P93" i="4" s="1"/>
  <c r="O90" i="4"/>
  <c r="P90" i="4" s="1"/>
  <c r="M94" i="4"/>
  <c r="U94" i="4" s="1"/>
  <c r="O81" i="4"/>
  <c r="P81" i="4" s="1"/>
  <c r="O86" i="4"/>
  <c r="P86" i="4" s="1"/>
  <c r="O97" i="4"/>
  <c r="P97" i="4" s="1"/>
  <c r="N85" i="4"/>
  <c r="Q85" i="4" s="1"/>
  <c r="L93" i="4"/>
  <c r="S93" i="4" s="1"/>
  <c r="L88" i="4"/>
  <c r="S88" i="4" s="1"/>
  <c r="J14" i="4"/>
  <c r="J13" i="4" s="1"/>
  <c r="K16" i="4" s="1"/>
  <c r="M112" i="4" l="1"/>
  <c r="S112" i="4"/>
  <c r="V81" i="4"/>
  <c r="V74" i="4"/>
  <c r="V126" i="4"/>
  <c r="S118" i="4"/>
  <c r="M118" i="4"/>
  <c r="V106" i="4"/>
  <c r="M98" i="4"/>
  <c r="S98" i="4"/>
  <c r="V85" i="4"/>
  <c r="M103" i="4"/>
  <c r="S103" i="4"/>
  <c r="M95" i="4"/>
  <c r="M92" i="4"/>
  <c r="M119" i="4"/>
  <c r="V80" i="4"/>
  <c r="M102" i="4"/>
  <c r="S102" i="4"/>
  <c r="V113" i="4"/>
  <c r="M89" i="4"/>
  <c r="V71" i="4"/>
  <c r="V96" i="4"/>
  <c r="V109" i="4"/>
  <c r="V127" i="4"/>
  <c r="M104" i="4"/>
  <c r="S104" i="4"/>
  <c r="M110" i="4"/>
  <c r="S110" i="4"/>
  <c r="V79" i="4"/>
  <c r="M124" i="4"/>
  <c r="V94" i="4"/>
  <c r="V105" i="4"/>
  <c r="V87" i="4"/>
  <c r="M72" i="4"/>
  <c r="M122" i="4"/>
  <c r="S122" i="4"/>
  <c r="M125" i="4"/>
  <c r="S125" i="4"/>
  <c r="V121" i="4"/>
  <c r="M73" i="4"/>
  <c r="V86" i="4"/>
  <c r="V75" i="4"/>
  <c r="M84" i="4"/>
  <c r="M90" i="4"/>
  <c r="M115" i="4"/>
  <c r="M108" i="4"/>
  <c r="M78" i="4"/>
  <c r="M91" i="4"/>
  <c r="M116" i="4"/>
  <c r="M93" i="4"/>
  <c r="M82" i="4"/>
  <c r="M88" i="4"/>
  <c r="M83" i="4"/>
  <c r="M76" i="4"/>
  <c r="K14" i="4"/>
  <c r="K13" i="4"/>
  <c r="K15" i="4"/>
  <c r="U110" i="4" l="1"/>
  <c r="V110" i="4"/>
  <c r="U78" i="4"/>
  <c r="V78" i="4"/>
  <c r="U122" i="4"/>
  <c r="V122" i="4"/>
  <c r="U103" i="4"/>
  <c r="V103" i="4"/>
  <c r="U108" i="4"/>
  <c r="V108" i="4"/>
  <c r="U72" i="4"/>
  <c r="V72" i="4"/>
  <c r="U115" i="4"/>
  <c r="V115" i="4"/>
  <c r="U90" i="4"/>
  <c r="V90" i="4"/>
  <c r="U89" i="4"/>
  <c r="V89" i="4"/>
  <c r="U98" i="4"/>
  <c r="V98" i="4"/>
  <c r="U84" i="4"/>
  <c r="V84" i="4"/>
  <c r="U76" i="4"/>
  <c r="V76" i="4"/>
  <c r="U124" i="4"/>
  <c r="V124" i="4"/>
  <c r="U118" i="4"/>
  <c r="V118" i="4"/>
  <c r="U83" i="4"/>
  <c r="V83" i="4"/>
  <c r="U102" i="4"/>
  <c r="V102" i="4"/>
  <c r="U88" i="4"/>
  <c r="V88" i="4"/>
  <c r="U73" i="4"/>
  <c r="V73" i="4"/>
  <c r="U82" i="4"/>
  <c r="V82" i="4"/>
  <c r="U119" i="4"/>
  <c r="V119" i="4"/>
  <c r="U93" i="4"/>
  <c r="V93" i="4"/>
  <c r="U92" i="4"/>
  <c r="V92" i="4"/>
  <c r="U116" i="4"/>
  <c r="V116" i="4"/>
  <c r="U125" i="4"/>
  <c r="V125" i="4"/>
  <c r="U104" i="4"/>
  <c r="V104" i="4"/>
  <c r="U95" i="4"/>
  <c r="V95" i="4"/>
  <c r="U91" i="4"/>
  <c r="V91" i="4"/>
  <c r="U112" i="4"/>
  <c r="V112" i="4"/>
  <c r="I63" i="4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J58" i="4"/>
  <c r="K58" i="4" s="1"/>
  <c r="J55" i="4"/>
  <c r="K55" i="4" s="1"/>
  <c r="J61" i="4"/>
  <c r="K61" i="4" s="1"/>
  <c r="J57" i="4"/>
  <c r="K57" i="4" s="1"/>
  <c r="J59" i="4"/>
  <c r="K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6" i="4" l="1"/>
  <c r="P56" i="4" s="1"/>
  <c r="T56" i="4"/>
  <c r="O59" i="4"/>
  <c r="P59" i="4" s="1"/>
  <c r="T59" i="4"/>
  <c r="T57" i="4"/>
  <c r="T61" i="4"/>
  <c r="O55" i="4"/>
  <c r="P55" i="4" s="1"/>
  <c r="T55" i="4"/>
  <c r="T63" i="4"/>
  <c r="T58" i="4"/>
  <c r="T60" i="4"/>
  <c r="T62" i="4"/>
  <c r="O61" i="4"/>
  <c r="P61" i="4" s="1"/>
  <c r="O62" i="4"/>
  <c r="P62" i="4" s="1"/>
  <c r="O60" i="4"/>
  <c r="P60" i="4" s="1"/>
  <c r="O57" i="4"/>
  <c r="P57" i="4" s="1"/>
  <c r="O58" i="4"/>
  <c r="P58" i="4" s="1"/>
  <c r="L66" i="4"/>
  <c r="S66" i="4" s="1"/>
  <c r="K66" i="4"/>
  <c r="K70" i="4"/>
  <c r="L70" i="4"/>
  <c r="S70" i="4" s="1"/>
  <c r="K64" i="4"/>
  <c r="L64" i="4"/>
  <c r="S64" i="4" s="1"/>
  <c r="O63" i="4"/>
  <c r="P63" i="4" s="1"/>
  <c r="L63" i="4"/>
  <c r="S63" i="4" s="1"/>
  <c r="K68" i="4"/>
  <c r="L68" i="4"/>
  <c r="S68" i="4" s="1"/>
  <c r="L67" i="4"/>
  <c r="S67" i="4" s="1"/>
  <c r="K67" i="4"/>
  <c r="L65" i="4"/>
  <c r="S65" i="4" s="1"/>
  <c r="K65" i="4"/>
  <c r="K69" i="4"/>
  <c r="L69" i="4"/>
  <c r="S69" i="4" s="1"/>
  <c r="N62" i="4"/>
  <c r="Q62" i="4" s="1"/>
  <c r="L62" i="4"/>
  <c r="S62" i="4" s="1"/>
  <c r="N55" i="4"/>
  <c r="Q55" i="4" s="1"/>
  <c r="L55" i="4"/>
  <c r="L56" i="4"/>
  <c r="N56" i="4"/>
  <c r="Q56" i="4" s="1"/>
  <c r="N59" i="4"/>
  <c r="Q59" i="4" s="1"/>
  <c r="L59" i="4"/>
  <c r="N57" i="4"/>
  <c r="Q57" i="4" s="1"/>
  <c r="L57" i="4"/>
  <c r="S57" i="4" s="1"/>
  <c r="L58" i="4"/>
  <c r="S58" i="4" s="1"/>
  <c r="N58" i="4"/>
  <c r="Q58" i="4" s="1"/>
  <c r="N61" i="4"/>
  <c r="Q61" i="4" s="1"/>
  <c r="L61" i="4"/>
  <c r="S61" i="4" s="1"/>
  <c r="L60" i="4"/>
  <c r="S60" i="4" s="1"/>
  <c r="N60" i="4"/>
  <c r="Q60" i="4" s="1"/>
  <c r="T68" i="4" l="1"/>
  <c r="V69" i="4"/>
  <c r="T69" i="4"/>
  <c r="T70" i="4"/>
  <c r="M56" i="4"/>
  <c r="S56" i="4"/>
  <c r="M55" i="4"/>
  <c r="S55" i="4"/>
  <c r="T64" i="4"/>
  <c r="T65" i="4"/>
  <c r="T66" i="4"/>
  <c r="M59" i="4"/>
  <c r="S59" i="4"/>
  <c r="T67" i="4"/>
  <c r="M60" i="4"/>
  <c r="M61" i="4"/>
  <c r="M62" i="4"/>
  <c r="M70" i="4"/>
  <c r="U70" i="4" s="1"/>
  <c r="M63" i="4"/>
  <c r="M64" i="4"/>
  <c r="U64" i="4" s="1"/>
  <c r="O64" i="4"/>
  <c r="P64" i="4" s="1"/>
  <c r="M65" i="4"/>
  <c r="U65" i="4" s="1"/>
  <c r="M58" i="4"/>
  <c r="M57" i="4"/>
  <c r="M68" i="4"/>
  <c r="U68" i="4" s="1"/>
  <c r="M69" i="4"/>
  <c r="U69" i="4" s="1"/>
  <c r="O65" i="4"/>
  <c r="P65" i="4" s="1"/>
  <c r="M67" i="4"/>
  <c r="U67" i="4" s="1"/>
  <c r="O68" i="4"/>
  <c r="P68" i="4" s="1"/>
  <c r="O66" i="4"/>
  <c r="P66" i="4" s="1"/>
  <c r="O67" i="4"/>
  <c r="P67" i="4" s="1"/>
  <c r="O69" i="4"/>
  <c r="P69" i="4" s="1"/>
  <c r="M66" i="4"/>
  <c r="U66" i="4" s="1"/>
  <c r="O70" i="4"/>
  <c r="P70" i="4" s="1"/>
  <c r="V66" i="4" l="1"/>
  <c r="U62" i="4"/>
  <c r="V62" i="4"/>
  <c r="V64" i="4"/>
  <c r="U61" i="4"/>
  <c r="V61" i="4"/>
  <c r="U60" i="4"/>
  <c r="V60" i="4"/>
  <c r="U55" i="4"/>
  <c r="V55" i="4"/>
  <c r="V67" i="4"/>
  <c r="U56" i="4"/>
  <c r="V56" i="4"/>
  <c r="U57" i="4"/>
  <c r="V57" i="4"/>
  <c r="U58" i="4"/>
  <c r="V58" i="4"/>
  <c r="U59" i="4"/>
  <c r="V59" i="4"/>
  <c r="V70" i="4"/>
  <c r="U63" i="4"/>
  <c r="V63" i="4"/>
  <c r="V65" i="4"/>
  <c r="V68" i="4"/>
  <c r="J21" i="4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J39" i="4" s="1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45" i="4" l="1"/>
  <c r="J30" i="4"/>
  <c r="K30" i="4" s="1"/>
  <c r="J43" i="4"/>
  <c r="J31" i="4"/>
  <c r="J44" i="4"/>
  <c r="L44" i="4" s="1"/>
  <c r="S44" i="4" s="1"/>
  <c r="J36" i="4"/>
  <c r="L36" i="4" s="1"/>
  <c r="S36" i="4" s="1"/>
  <c r="J46" i="4"/>
  <c r="K46" i="4" s="1"/>
  <c r="J35" i="4"/>
  <c r="L35" i="4" s="1"/>
  <c r="S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S34" i="4" s="1"/>
  <c r="J41" i="4"/>
  <c r="K41" i="4" s="1"/>
  <c r="J42" i="4"/>
  <c r="L42" i="4" s="1"/>
  <c r="S42" i="4" s="1"/>
  <c r="J32" i="4"/>
  <c r="L32" i="4" s="1"/>
  <c r="S32" i="4" s="1"/>
  <c r="J37" i="4"/>
  <c r="L37" i="4" s="1"/>
  <c r="S37" i="4" s="1"/>
  <c r="J40" i="4"/>
  <c r="L40" i="4" s="1"/>
  <c r="S40" i="4" s="1"/>
  <c r="J38" i="4"/>
  <c r="L38" i="4" s="1"/>
  <c r="S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S31" i="4" s="1"/>
  <c r="L45" i="4"/>
  <c r="S45" i="4" s="1"/>
  <c r="K45" i="4"/>
  <c r="L47" i="4"/>
  <c r="S47" i="4" s="1"/>
  <c r="K52" i="4"/>
  <c r="L52" i="4"/>
  <c r="L43" i="4"/>
  <c r="S43" i="4" s="1"/>
  <c r="K43" i="4"/>
  <c r="L54" i="4"/>
  <c r="K54" i="4"/>
  <c r="L51" i="4"/>
  <c r="K51" i="4"/>
  <c r="L53" i="4"/>
  <c r="K53" i="4"/>
  <c r="L48" i="4"/>
  <c r="S48" i="4" s="1"/>
  <c r="K48" i="4"/>
  <c r="L39" i="4"/>
  <c r="S39" i="4" s="1"/>
  <c r="K39" i="4"/>
  <c r="L50" i="4"/>
  <c r="K50" i="4"/>
  <c r="L49" i="4"/>
  <c r="S49" i="4" s="1"/>
  <c r="K49" i="4"/>
  <c r="L30" i="4"/>
  <c r="S30" i="4" s="1"/>
  <c r="O53" i="4" l="1"/>
  <c r="P53" i="4" s="1"/>
  <c r="V53" i="4"/>
  <c r="T53" i="4"/>
  <c r="O54" i="4"/>
  <c r="P54" i="4" s="1"/>
  <c r="T54" i="4"/>
  <c r="T48" i="4"/>
  <c r="T45" i="4"/>
  <c r="M51" i="4"/>
  <c r="U51" i="4" s="1"/>
  <c r="S51" i="4"/>
  <c r="M54" i="4"/>
  <c r="U54" i="4" s="1"/>
  <c r="S54" i="4"/>
  <c r="V30" i="4"/>
  <c r="T30" i="4"/>
  <c r="M53" i="4"/>
  <c r="U53" i="4" s="1"/>
  <c r="S53" i="4"/>
  <c r="T47" i="4"/>
  <c r="O51" i="4"/>
  <c r="P51" i="4" s="1"/>
  <c r="T51" i="4"/>
  <c r="V31" i="4"/>
  <c r="T31" i="4"/>
  <c r="T33" i="4"/>
  <c r="T28" i="4"/>
  <c r="T46" i="4"/>
  <c r="T49" i="4"/>
  <c r="O50" i="4"/>
  <c r="P50" i="4" s="1"/>
  <c r="T50" i="4"/>
  <c r="T43" i="4"/>
  <c r="M50" i="4"/>
  <c r="U50" i="4" s="1"/>
  <c r="S50" i="4"/>
  <c r="T39" i="4"/>
  <c r="M52" i="4"/>
  <c r="U52" i="4" s="1"/>
  <c r="S52" i="4"/>
  <c r="T41" i="4"/>
  <c r="O52" i="4"/>
  <c r="P52" i="4" s="1"/>
  <c r="V52" i="4"/>
  <c r="T52" i="4"/>
  <c r="M48" i="4"/>
  <c r="U48" i="4" s="1"/>
  <c r="O48" i="4"/>
  <c r="P48" i="4" s="1"/>
  <c r="M49" i="4"/>
  <c r="U49" i="4" s="1"/>
  <c r="O49" i="4"/>
  <c r="P49" i="4" s="1"/>
  <c r="K44" i="4"/>
  <c r="M35" i="4"/>
  <c r="U35" i="4" s="1"/>
  <c r="O33" i="4"/>
  <c r="P33" i="4" s="1"/>
  <c r="O46" i="4"/>
  <c r="P46" i="4" s="1"/>
  <c r="O43" i="4"/>
  <c r="P43" i="4" s="1"/>
  <c r="M44" i="4"/>
  <c r="U44" i="4" s="1"/>
  <c r="M45" i="4"/>
  <c r="U45" i="4" s="1"/>
  <c r="K35" i="4"/>
  <c r="O28" i="4"/>
  <c r="P28" i="4" s="1"/>
  <c r="M43" i="4"/>
  <c r="U43" i="4" s="1"/>
  <c r="O39" i="4"/>
  <c r="P39" i="4" s="1"/>
  <c r="O45" i="4"/>
  <c r="P45" i="4" s="1"/>
  <c r="O47" i="4"/>
  <c r="P47" i="4" s="1"/>
  <c r="M39" i="4"/>
  <c r="U39" i="4" s="1"/>
  <c r="O41" i="4"/>
  <c r="P41" i="4" s="1"/>
  <c r="O30" i="4"/>
  <c r="P30" i="4" s="1"/>
  <c r="M47" i="4"/>
  <c r="U47" i="4" s="1"/>
  <c r="M31" i="4"/>
  <c r="U31" i="4" s="1"/>
  <c r="O31" i="4"/>
  <c r="P31" i="4" s="1"/>
  <c r="K36" i="4"/>
  <c r="L46" i="4"/>
  <c r="S46" i="4" s="1"/>
  <c r="K37" i="4"/>
  <c r="L41" i="4"/>
  <c r="S41" i="4" s="1"/>
  <c r="K42" i="4"/>
  <c r="K34" i="4"/>
  <c r="L33" i="4"/>
  <c r="S33" i="4" s="1"/>
  <c r="K38" i="4"/>
  <c r="K29" i="4"/>
  <c r="M32" i="4"/>
  <c r="U32" i="4" s="1"/>
  <c r="M40" i="4"/>
  <c r="U40" i="4" s="1"/>
  <c r="M34" i="4"/>
  <c r="U34" i="4" s="1"/>
  <c r="M29" i="4"/>
  <c r="U29" i="4" s="1"/>
  <c r="M37" i="4"/>
  <c r="U37" i="4" s="1"/>
  <c r="M42" i="4"/>
  <c r="U42" i="4" s="1"/>
  <c r="M38" i="4"/>
  <c r="U38" i="4" s="1"/>
  <c r="M30" i="4"/>
  <c r="U30" i="4" s="1"/>
  <c r="M36" i="4"/>
  <c r="U36" i="4" s="1"/>
  <c r="K40" i="4"/>
  <c r="K32" i="4"/>
  <c r="L28" i="4"/>
  <c r="S28" i="4" s="1"/>
  <c r="V37" i="4" l="1"/>
  <c r="T37" i="4"/>
  <c r="V35" i="4"/>
  <c r="T35" i="4"/>
  <c r="V43" i="4"/>
  <c r="V50" i="4"/>
  <c r="V51" i="4"/>
  <c r="V29" i="4"/>
  <c r="T29" i="4"/>
  <c r="V45" i="4"/>
  <c r="V32" i="4"/>
  <c r="T32" i="4"/>
  <c r="V38" i="4"/>
  <c r="T38" i="4"/>
  <c r="V49" i="4"/>
  <c r="V40" i="4"/>
  <c r="T40" i="4"/>
  <c r="V47" i="4"/>
  <c r="V48" i="4"/>
  <c r="V34" i="4"/>
  <c r="T34" i="4"/>
  <c r="V44" i="4"/>
  <c r="T44" i="4"/>
  <c r="V36" i="4"/>
  <c r="T36" i="4"/>
  <c r="V42" i="4"/>
  <c r="T42" i="4"/>
  <c r="V39" i="4"/>
  <c r="V54" i="4"/>
  <c r="O44" i="4"/>
  <c r="P44" i="4" s="1"/>
  <c r="O29" i="4"/>
  <c r="P29" i="4" s="1"/>
  <c r="O38" i="4"/>
  <c r="P38" i="4" s="1"/>
  <c r="O40" i="4"/>
  <c r="P40" i="4" s="1"/>
  <c r="O42" i="4"/>
  <c r="P42" i="4" s="1"/>
  <c r="O32" i="4"/>
  <c r="P32" i="4" s="1"/>
  <c r="O37" i="4"/>
  <c r="P37" i="4" s="1"/>
  <c r="M46" i="4"/>
  <c r="M33" i="4"/>
  <c r="O34" i="4"/>
  <c r="P34" i="4" s="1"/>
  <c r="M41" i="4"/>
  <c r="O35" i="4"/>
  <c r="P35" i="4" s="1"/>
  <c r="O36" i="4"/>
  <c r="P36" i="4" s="1"/>
  <c r="M28" i="4"/>
  <c r="U28" i="4" l="1"/>
  <c r="V28" i="4"/>
  <c r="U41" i="4"/>
  <c r="V41" i="4"/>
  <c r="U33" i="4"/>
  <c r="V33" i="4"/>
  <c r="U46" i="4"/>
  <c r="V4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<sst xmlns="http://schemas.openxmlformats.org/spreadsheetml/2006/main" count="340" uniqueCount="313">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</sst>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31</v>
      </c>
      <c r="K17" s="31" t="s">
        <v>79</v>
      </c>
      <c r="L17" s="80">
        <v>2.2349599999999998E-3</v>
      </c>
      <c r="M17" s="80">
        <v>2.99E-4</v>
      </c>
      <c r="N17" s="80">
        <v>6.6039999999999998E-5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27" zoomScale="70" zoomScaleNormal="70" workbookViewId="0">
      <selection activeCell="B28" sqref="B28:F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68"/>
      <c r="H1" s="16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68"/>
      <c r="H2" s="168"/>
      <c r="I2" s="113" t="s">
        <v>19</v>
      </c>
      <c r="J2" s="114"/>
      <c r="K2" s="114"/>
      <c r="L2" s="114"/>
      <c r="M2" s="114"/>
      <c r="N2" s="114"/>
      <c r="O2" s="114"/>
      <c r="P2" s="114"/>
      <c r="Q2" s="1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68"/>
      <c r="H3" s="168"/>
      <c r="I3" s="116"/>
      <c r="J3" s="117"/>
      <c r="K3" s="117"/>
      <c r="L3" s="117"/>
      <c r="M3" s="117"/>
      <c r="N3" s="117"/>
      <c r="O3" s="117"/>
      <c r="P3" s="117"/>
      <c r="Q3" s="11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68"/>
      <c r="H4" s="168"/>
      <c r="I4" s="119"/>
      <c r="J4" s="120"/>
      <c r="K4" s="120"/>
      <c r="L4" s="120"/>
      <c r="M4" s="120"/>
      <c r="N4" s="120"/>
      <c r="O4" s="120"/>
      <c r="P4" s="120"/>
      <c r="Q4" s="12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68"/>
      <c r="H5" s="168"/>
      <c r="I5" s="122" t="s">
        <v>38</v>
      </c>
      <c r="J5" s="123"/>
      <c r="K5" s="123"/>
      <c r="L5" s="123"/>
      <c r="M5" s="123"/>
      <c r="N5" s="123"/>
      <c r="O5" s="123"/>
      <c r="P5" s="123"/>
      <c r="Q5" s="12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68"/>
      <c r="H6" s="168"/>
      <c r="I6" s="49" t="s">
        <v>49</v>
      </c>
      <c r="J6" s="49" t="s">
        <v>50</v>
      </c>
      <c r="K6" s="49" t="s">
        <v>46</v>
      </c>
      <c r="L6" s="165" t="s">
        <v>39</v>
      </c>
      <c r="M6" s="166"/>
      <c r="N6" s="166"/>
      <c r="O6" s="166"/>
      <c r="P6" s="166"/>
      <c r="Q6" s="16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68"/>
      <c r="H7" s="168"/>
      <c r="I7" s="50" t="s">
        <v>20</v>
      </c>
      <c r="J7" s="37">
        <f>SUM(J13,J19)</f>
        <v>150.05199999999999</v>
      </c>
      <c r="K7" s="38">
        <f>J7/J7</f>
        <v>1</v>
      </c>
      <c r="L7" s="159" t="s">
        <v>68</v>
      </c>
      <c r="M7" s="160"/>
      <c r="N7" s="160"/>
      <c r="O7" s="160"/>
      <c r="P7" s="160"/>
      <c r="Q7" s="161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0" t="s">
        <v>3</v>
      </c>
      <c r="C8" s="141"/>
      <c r="D8" s="141"/>
      <c r="E8" s="141"/>
      <c r="F8" s="142"/>
      <c r="G8" s="168"/>
      <c r="H8" s="168"/>
      <c r="I8" s="51" t="s">
        <v>6</v>
      </c>
      <c r="J8" s="37">
        <f>SUM(J14,J20)</f>
        <v>149.9669992</v>
      </c>
      <c r="K8" s="39">
        <f>J8/J7</f>
        <v>0.99943352437821564</v>
      </c>
      <c r="L8" s="159" t="s">
        <v>69</v>
      </c>
      <c r="M8" s="160"/>
      <c r="N8" s="160"/>
      <c r="O8" s="160"/>
      <c r="P8" s="160"/>
      <c r="Q8" s="16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3"/>
      <c r="C9" s="144"/>
      <c r="D9" s="144"/>
      <c r="E9" s="144"/>
      <c r="F9" s="145"/>
      <c r="G9" s="168"/>
      <c r="H9" s="168"/>
      <c r="I9" s="50" t="s">
        <v>8</v>
      </c>
      <c r="J9" s="40">
        <f t="shared" ref="J9:J10" si="0">SUM(J15,J21)</f>
        <v>7.7979999999999994E-2</v>
      </c>
      <c r="K9" s="39">
        <f>J9/J7</f>
        <v>5.1968650867699191E-4</v>
      </c>
      <c r="L9" s="159" t="s">
        <v>69</v>
      </c>
      <c r="M9" s="160"/>
      <c r="N9" s="160"/>
      <c r="O9" s="160"/>
      <c r="P9" s="160"/>
      <c r="Q9" s="16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6"/>
      <c r="C10" s="147"/>
      <c r="D10" s="147"/>
      <c r="E10" s="147"/>
      <c r="F10" s="148"/>
      <c r="G10" s="168"/>
      <c r="H10" s="168"/>
      <c r="I10" s="51" t="s">
        <v>9</v>
      </c>
      <c r="J10" s="40">
        <f t="shared" si="0"/>
        <v>7.0207999999999989E-3</v>
      </c>
      <c r="K10" s="39">
        <f>J10/J7</f>
        <v>4.6789113107456075E-5</v>
      </c>
      <c r="L10" s="159" t="s">
        <v>69</v>
      </c>
      <c r="M10" s="160"/>
      <c r="N10" s="160"/>
      <c r="O10" s="160"/>
      <c r="P10" s="160"/>
      <c r="Q10" s="161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9" t="s">
        <v>36</v>
      </c>
      <c r="C11" s="150"/>
      <c r="D11" s="150"/>
      <c r="E11" s="150"/>
      <c r="F11" s="151"/>
      <c r="G11" s="168"/>
      <c r="H11" s="168"/>
      <c r="I11" s="184"/>
      <c r="J11" s="184"/>
      <c r="K11" s="184"/>
      <c r="L11" s="184"/>
      <c r="M11" s="184"/>
      <c r="N11" s="184"/>
      <c r="O11" s="184"/>
      <c r="P11" s="184"/>
      <c r="Q11" s="18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2"/>
      <c r="C12" s="153"/>
      <c r="D12" s="153"/>
      <c r="E12" s="153"/>
      <c r="F12" s="154"/>
      <c r="G12" s="168"/>
      <c r="H12" s="168"/>
      <c r="I12" s="49" t="s">
        <v>51</v>
      </c>
      <c r="J12" s="49" t="s">
        <v>50</v>
      </c>
      <c r="K12" s="49" t="s">
        <v>46</v>
      </c>
      <c r="L12" s="165" t="s">
        <v>39</v>
      </c>
      <c r="M12" s="166"/>
      <c r="N12" s="166"/>
      <c r="O12" s="166"/>
      <c r="P12" s="166"/>
      <c r="Q12" s="16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28" t="s">
        <v>39</v>
      </c>
      <c r="E13" s="128"/>
      <c r="F13" s="128"/>
      <c r="G13" s="168"/>
      <c r="H13" s="168"/>
      <c r="I13" s="50" t="s">
        <v>5</v>
      </c>
      <c r="J13" s="41">
        <f>SUM(J14:J16)</f>
        <v>150</v>
      </c>
      <c r="K13" s="38">
        <f>J13/J13</f>
        <v>1</v>
      </c>
      <c r="L13" s="159" t="s">
        <v>71</v>
      </c>
      <c r="M13" s="160"/>
      <c r="N13" s="160"/>
      <c r="O13" s="160"/>
      <c r="P13" s="160"/>
      <c r="Q13" s="16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29" t="s">
        <v>17</v>
      </c>
      <c r="E14" s="129"/>
      <c r="F14" s="129"/>
      <c r="G14" s="168"/>
      <c r="H14" s="168"/>
      <c r="I14" s="51" t="s">
        <v>43</v>
      </c>
      <c r="J14" s="41">
        <f>C14-SUM(J15:J16)</f>
        <v>149.92230000000001</v>
      </c>
      <c r="K14" s="39">
        <f>J14/J13</f>
        <v>0.99948200000000009</v>
      </c>
      <c r="L14" s="162" t="s">
        <v>70</v>
      </c>
      <c r="M14" s="163"/>
      <c r="N14" s="163"/>
      <c r="O14" s="163"/>
      <c r="P14" s="163"/>
      <c r="Q14" s="16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0" t="s">
        <v>60</v>
      </c>
      <c r="E15" s="130"/>
      <c r="F15" s="130"/>
      <c r="G15" s="168"/>
      <c r="H15" s="16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7.1999999999999995E-2</v>
      </c>
      <c r="K15" s="39">
        <f>J15/J13</f>
        <v>4.7999999999999996E-4</v>
      </c>
      <c r="L15" s="159" t="s">
        <v>69</v>
      </c>
      <c r="M15" s="160"/>
      <c r="N15" s="160"/>
      <c r="O15" s="160"/>
      <c r="P15" s="160"/>
      <c r="Q15" s="161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1" t="s">
        <v>40</v>
      </c>
      <c r="E16" s="132"/>
      <c r="F16" s="133"/>
      <c r="G16" s="168"/>
      <c r="H16" s="16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5.6999999999999993E-3</v>
      </c>
      <c r="K16" s="39">
        <f>J16/J13</f>
        <v>3.7999999999999995E-5</v>
      </c>
      <c r="L16" s="159" t="s">
        <v>69</v>
      </c>
      <c r="M16" s="160"/>
      <c r="N16" s="160"/>
      <c r="O16" s="160"/>
      <c r="P16" s="160"/>
      <c r="Q16" s="161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4" t="s">
        <v>61</v>
      </c>
      <c r="E17" s="135"/>
      <c r="F17" s="136"/>
      <c r="G17" s="168"/>
      <c r="H17" s="168"/>
      <c r="I17" s="162"/>
      <c r="J17" s="163"/>
      <c r="K17" s="163"/>
      <c r="L17" s="163"/>
      <c r="M17" s="163"/>
      <c r="N17" s="163"/>
      <c r="O17" s="163"/>
      <c r="P17" s="163"/>
      <c r="Q17" s="16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1" t="s">
        <v>41</v>
      </c>
      <c r="E18" s="132"/>
      <c r="F18" s="133"/>
      <c r="G18" s="168"/>
      <c r="H18" s="168"/>
      <c r="I18" s="49" t="s">
        <v>29</v>
      </c>
      <c r="J18" s="49" t="s">
        <v>50</v>
      </c>
      <c r="K18" s="49" t="s">
        <v>46</v>
      </c>
      <c r="L18" s="165" t="s">
        <v>39</v>
      </c>
      <c r="M18" s="166"/>
      <c r="N18" s="166"/>
      <c r="O18" s="166"/>
      <c r="P18" s="166"/>
      <c r="Q18" s="16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0"/>
      <c r="C19" s="130"/>
      <c r="D19" s="130"/>
      <c r="E19" s="130"/>
      <c r="F19" s="130"/>
      <c r="G19" s="168"/>
      <c r="H19" s="168"/>
      <c r="I19" s="50" t="s">
        <v>5</v>
      </c>
      <c r="J19" s="41">
        <f>SUM(J20:J22)</f>
        <v>5.1999999999999991E-2</v>
      </c>
      <c r="K19" s="38">
        <f>J19/J19</f>
        <v>1</v>
      </c>
      <c r="L19" s="159" t="s">
        <v>55</v>
      </c>
      <c r="M19" s="160"/>
      <c r="N19" s="160"/>
      <c r="O19" s="160"/>
      <c r="P19" s="160"/>
      <c r="Q19" s="161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28" t="s">
        <v>39</v>
      </c>
      <c r="E20" s="128"/>
      <c r="F20" s="128"/>
      <c r="G20" s="168"/>
      <c r="H20" s="16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4.4699199999999994E-2</v>
      </c>
      <c r="K20" s="39">
        <f>J20/J19</f>
        <v>0.85960000000000003</v>
      </c>
      <c r="L20" s="159" t="s">
        <v>69</v>
      </c>
      <c r="M20" s="160"/>
      <c r="N20" s="160"/>
      <c r="O20" s="160"/>
      <c r="P20" s="160"/>
      <c r="Q20" s="161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4" t="s">
        <v>61</v>
      </c>
      <c r="E21" s="135"/>
      <c r="F21" s="136"/>
      <c r="G21" s="168"/>
      <c r="H21" s="16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5.9800000000000001E-3</v>
      </c>
      <c r="K21" s="39">
        <f>J21/J19</f>
        <v>0.11500000000000002</v>
      </c>
      <c r="L21" s="159" t="s">
        <v>69</v>
      </c>
      <c r="M21" s="160"/>
      <c r="N21" s="160"/>
      <c r="O21" s="160"/>
      <c r="P21" s="160"/>
      <c r="Q21" s="161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7" t="s">
        <v>67</v>
      </c>
      <c r="E22" s="137"/>
      <c r="F22" s="137"/>
      <c r="G22" s="168"/>
      <c r="H22" s="16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1.3208E-3</v>
      </c>
      <c r="K22" s="39">
        <f>J22/J19</f>
        <v>2.5400000000000006E-2</v>
      </c>
      <c r="L22" s="159" t="s">
        <v>69</v>
      </c>
      <c r="M22" s="160"/>
      <c r="N22" s="160"/>
      <c r="O22" s="160"/>
      <c r="P22" s="160"/>
      <c r="Q22" s="161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5"/>
      <c r="C23" s="126"/>
      <c r="D23" s="126"/>
      <c r="E23" s="126"/>
      <c r="F23" s="127"/>
      <c r="G23" s="168"/>
      <c r="H23" s="168"/>
      <c r="I23" s="179"/>
      <c r="J23" s="180"/>
      <c r="K23" s="180"/>
      <c r="L23" s="180"/>
      <c r="M23" s="180"/>
      <c r="N23" s="180"/>
      <c r="O23" s="180"/>
      <c r="P23" s="180"/>
      <c r="Q23" s="18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9" t="s">
        <v>37</v>
      </c>
      <c r="C24" s="150"/>
      <c r="D24" s="150"/>
      <c r="E24" s="150"/>
      <c r="F24" s="151"/>
      <c r="G24" s="168"/>
      <c r="H24" s="168"/>
      <c r="I24" s="173" t="s">
        <v>42</v>
      </c>
      <c r="J24" s="174"/>
      <c r="K24" s="174"/>
      <c r="L24" s="174"/>
      <c r="M24" s="174"/>
      <c r="N24" s="174"/>
      <c r="O24" s="174"/>
      <c r="P24" s="174"/>
      <c r="Q24" s="17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2"/>
      <c r="C25" s="153"/>
      <c r="D25" s="153"/>
      <c r="E25" s="153"/>
      <c r="F25" s="154"/>
      <c r="G25" s="168"/>
      <c r="H25" s="168"/>
      <c r="I25" s="176"/>
      <c r="J25" s="177"/>
      <c r="K25" s="177"/>
      <c r="L25" s="177"/>
      <c r="M25" s="177"/>
      <c r="N25" s="177"/>
      <c r="O25" s="177"/>
      <c r="P25" s="177"/>
      <c r="Q25" s="17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1" t="s">
        <v>11</v>
      </c>
      <c r="C26" s="171" t="s">
        <v>12</v>
      </c>
      <c r="D26" s="155" t="s">
        <v>47</v>
      </c>
      <c r="E26" s="155" t="s">
        <v>48</v>
      </c>
      <c r="F26" s="157" t="s">
        <v>66</v>
      </c>
      <c r="G26" s="168"/>
      <c r="H26" s="168"/>
      <c r="I26" s="182" t="s">
        <v>53</v>
      </c>
      <c r="J26" s="182" t="s">
        <v>54</v>
      </c>
      <c r="K26" s="169" t="s">
        <v>73</v>
      </c>
      <c r="L26" s="169" t="s">
        <v>52</v>
      </c>
      <c r="M26" s="169" t="s">
        <v>59</v>
      </c>
      <c r="N26" s="169" t="s">
        <v>62</v>
      </c>
      <c r="O26" s="169" t="s">
        <v>72</v>
      </c>
      <c r="P26" s="169" t="s">
        <v>64</v>
      </c>
      <c r="Q26" s="169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2"/>
      <c r="C27" s="172"/>
      <c r="D27" s="156"/>
      <c r="E27" s="156"/>
      <c r="F27" s="158"/>
      <c r="G27" s="168"/>
      <c r="H27" s="168"/>
      <c r="I27" s="183"/>
      <c r="J27" s="183"/>
      <c r="K27" s="170"/>
      <c r="L27" s="170"/>
      <c r="M27" s="170"/>
      <c r="N27" s="170"/>
      <c r="O27" s="170"/>
      <c r="P27" s="170"/>
      <c r="Q27" s="170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88</v>
      </c>
      <c r="C28" s="46" t="s">
        <v>89</v>
      </c>
      <c r="D28" s="47">
        <v>6.5247999999999973E-2</v>
      </c>
      <c r="E28" s="47">
        <v>8.2216000000000289E-2</v>
      </c>
      <c r="F28" s="96">
        <v>9.9999999999999995E-7</v>
      </c>
      <c r="G28" s="168"/>
      <c r="H28" s="168"/>
      <c r="I28" s="92">
        <f t="shared" ref="I28:I47" si="1">IF(D28=0,"",LOG($K$15*10^D28+$K$16*10^E28+$K$14))</f>
        <v>3.7232006014196545E-5</v>
      </c>
      <c r="J28" s="92">
        <f t="shared" ref="J28:J47" si="2">IF(D28=0,"",LOG($K$21*10^D28+$K$22*10^E28+$K$20))</f>
        <v>1.0273074416240108E-2</v>
      </c>
      <c r="K28" s="93">
        <f t="shared" ref="K28:K47" si="3">IF(D28=0,"",1/(1+10^D28*$J$15/$J$14+10^E28*$J$16/$J$14+10^J28*$J$19/$J$14))</f>
        <v>0.99904172407939651</v>
      </c>
      <c r="L28" s="93">
        <f t="shared" ref="L28:L47" si="4">IF(D28=0,"",1/(1+10^I28/10^J28*$J$13/$J$19))</f>
        <v>3.5480833076269455E-4</v>
      </c>
      <c r="M28" s="93">
        <f t="shared" ref="M28:M47" si="5">IF(D28=0,"",1-L28)</f>
        <v>0.99964519166923727</v>
      </c>
      <c r="N28" s="93">
        <f t="shared" ref="N28:N47" si="6">IF(D28=0,"",1/(1/10^E28*$J$20/$J$22+10^D28/10^E28*$J$21/$J$22+10^I28/10^E28*$J$13/$J$22+1))</f>
        <v>1.0635807064521957E-5</v>
      </c>
      <c r="O28" s="40">
        <f t="shared" ref="O28:O47" si="7">IF(D28=0,"",F28*K28*$J$7/$J$14)</f>
        <v>9.9990600985684968E-7</v>
      </c>
      <c r="P28" s="40">
        <f t="shared" ref="P28:P47" si="8">IF(D28=0,"",O28*10^J28)</f>
        <v>1.0238403778385354E-6</v>
      </c>
      <c r="Q28" s="40">
        <f t="shared" ref="Q28:Q47" si="9">IF(D28=0,"",F28*N28*$J$7/$J$22)</f>
        <v>1.2083011217789585E-6</v>
      </c>
      <c r="R28" s="9">
        <f>F28*$C$14</f>
        <v>1.4999999999999999E-4</v>
      </c>
      <c r="S28" s="9">
        <f>$R28*L28</f>
        <v>5.3221249614404177E-8</v>
      </c>
      <c r="T28" s="9">
        <f t="shared" ref="T28:T91" si="10">R28*K28</f>
        <v>1.4985625861190947E-4</v>
      </c>
      <c r="U28" s="9">
        <f t="shared" ref="U28:U91" si="11">$R28*M28</f>
        <v>1.4994677875038558E-4</v>
      </c>
      <c r="V28" s="100">
        <f>K28/M28</f>
        <v>0.99939631821883412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161</v>
      </c>
      <c r="C29" s="46" t="s">
        <v>162</v>
      </c>
      <c r="D29" s="47">
        <v>2.31</v>
      </c>
      <c r="E29" s="47">
        <v>2.58</v>
      </c>
      <c r="F29" s="96">
        <v>9.9999999999999995E-7</v>
      </c>
      <c r="G29" s="168"/>
      <c r="H29" s="168"/>
      <c r="I29" s="92">
        <f t="shared" si="1"/>
        <v>4.6078470391874224E-2</v>
      </c>
      <c r="J29" s="92">
        <f t="shared" si="2"/>
        <v>1.5314328925481873</v>
      </c>
      <c r="K29" s="93">
        <f t="shared" si="3"/>
        <v>0.8894419845043009</v>
      </c>
      <c r="L29" s="93">
        <f t="shared" si="4"/>
        <v>1.0487877972188741E-2</v>
      </c>
      <c r="M29" s="93">
        <f t="shared" si="5"/>
        <v>0.98951212202781125</v>
      </c>
      <c r="N29" s="93">
        <f t="shared" si="6"/>
        <v>2.9791231047552359E-3</v>
      </c>
      <c r="O29" s="40">
        <f t="shared" si="7"/>
        <v>8.9021145392539546E-7</v>
      </c>
      <c r="P29" s="40">
        <f t="shared" si="8"/>
        <v>3.0263982028516632E-5</v>
      </c>
      <c r="Q29" s="40">
        <f t="shared" si="9"/>
        <v>3.3844895526554558E-4</v>
      </c>
      <c r="R29" s="9">
        <f t="shared" ref="R29:R92" si="12">F29*$C$14</f>
        <v>1.4999999999999999E-4</v>
      </c>
      <c r="S29" s="9">
        <f t="shared" ref="S29:S92" si="13">$R29*L29</f>
        <v>1.573181695828311E-6</v>
      </c>
      <c r="T29" s="9">
        <f t="shared" si="10"/>
        <v>1.3341629767564512E-4</v>
      </c>
      <c r="U29" s="9">
        <f t="shared" si="11"/>
        <v>1.4842681830417166E-4</v>
      </c>
      <c r="V29" s="100">
        <f t="shared" ref="V29:V92" si="14">K29/M29</f>
        <v>0.89886921514570617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163</v>
      </c>
      <c r="C30" s="46" t="s">
        <v>164</v>
      </c>
      <c r="D30" s="90">
        <v>4.4000000000000004</v>
      </c>
      <c r="E30" s="90">
        <v>2.64</v>
      </c>
      <c r="F30" s="96">
        <v>9.9999999999999995E-7</v>
      </c>
      <c r="G30" s="168"/>
      <c r="H30" s="168"/>
      <c r="I30" s="92">
        <f t="shared" si="1"/>
        <v>1.116379396238508</v>
      </c>
      <c r="J30" s="92">
        <f t="shared" si="2"/>
        <v>3.4624903128601039</v>
      </c>
      <c r="K30" s="93">
        <f t="shared" si="3"/>
        <v>7.0992635788090522E-2</v>
      </c>
      <c r="L30" s="93">
        <f t="shared" si="4"/>
        <v>7.1423433023392713E-2</v>
      </c>
      <c r="M30" s="93">
        <f t="shared" si="5"/>
        <v>0.92857656697660729</v>
      </c>
      <c r="N30" s="93">
        <f t="shared" si="6"/>
        <v>2.730135013912148E-4</v>
      </c>
      <c r="O30" s="40">
        <f t="shared" si="7"/>
        <v>7.1054052567727141E-8</v>
      </c>
      <c r="P30" s="40">
        <f t="shared" si="8"/>
        <v>2.0610055715434867E-4</v>
      </c>
      <c r="Q30" s="40">
        <f t="shared" si="9"/>
        <v>3.1016218890637918E-5</v>
      </c>
      <c r="R30" s="9">
        <f t="shared" si="12"/>
        <v>1.4999999999999999E-4</v>
      </c>
      <c r="S30" s="9">
        <f t="shared" si="13"/>
        <v>1.0713514953508905E-5</v>
      </c>
      <c r="T30" s="9">
        <f t="shared" si="10"/>
        <v>1.0648895368213578E-5</v>
      </c>
      <c r="U30" s="9">
        <f t="shared" si="11"/>
        <v>1.3928648504649108E-4</v>
      </c>
      <c r="V30" s="100">
        <f t="shared" si="14"/>
        <v>7.6453184705315716E-2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90</v>
      </c>
      <c r="C31" s="46" t="s">
        <v>91</v>
      </c>
      <c r="D31" s="47">
        <v>-0.92190615231165807</v>
      </c>
      <c r="E31" s="47">
        <v>-1.7889087518799642</v>
      </c>
      <c r="F31" s="96">
        <v>9.9999999999999995E-7</v>
      </c>
      <c r="G31" s="168"/>
      <c r="H31" s="168"/>
      <c r="I31" s="92">
        <f t="shared" si="1"/>
        <v>-1.9978935919434454E-4</v>
      </c>
      <c r="J31" s="92">
        <f t="shared" si="2"/>
        <v>-5.859866227494568E-2</v>
      </c>
      <c r="K31" s="93">
        <f t="shared" si="3"/>
        <v>0.99963895964408689</v>
      </c>
      <c r="L31" s="93">
        <f t="shared" si="4"/>
        <v>3.029574376696069E-4</v>
      </c>
      <c r="M31" s="93">
        <f t="shared" si="5"/>
        <v>0.99969704256233038</v>
      </c>
      <c r="N31" s="93">
        <f t="shared" si="6"/>
        <v>1.4318754598243491E-7</v>
      </c>
      <c r="O31" s="40">
        <f t="shared" si="7"/>
        <v>1.0005037620988639E-6</v>
      </c>
      <c r="P31" s="40">
        <f t="shared" si="8"/>
        <v>8.7421864302307424E-7</v>
      </c>
      <c r="Q31" s="40">
        <f t="shared" si="9"/>
        <v>1.6267093920166807E-8</v>
      </c>
      <c r="R31" s="9">
        <f t="shared" si="12"/>
        <v>1.4999999999999999E-4</v>
      </c>
      <c r="S31" s="9">
        <f t="shared" si="13"/>
        <v>4.5443615650441033E-8</v>
      </c>
      <c r="T31" s="9">
        <f t="shared" si="10"/>
        <v>1.4994584394661302E-4</v>
      </c>
      <c r="U31" s="9">
        <f t="shared" si="11"/>
        <v>1.4995455638434956E-4</v>
      </c>
      <c r="V31" s="100">
        <f t="shared" si="14"/>
        <v>0.99994189947977175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92</v>
      </c>
      <c r="C32" s="46" t="s">
        <v>93</v>
      </c>
      <c r="D32" s="47">
        <v>0.54749180498968375</v>
      </c>
      <c r="E32" s="47">
        <v>0.30136158174588817</v>
      </c>
      <c r="F32" s="96">
        <v>9.9999999999999995E-7</v>
      </c>
      <c r="G32" s="168"/>
      <c r="H32" s="168"/>
      <c r="I32" s="92">
        <f t="shared" si="1"/>
        <v>5.4311668398331027E-4</v>
      </c>
      <c r="J32" s="92">
        <f t="shared" si="2"/>
        <v>0.11929695728567689</v>
      </c>
      <c r="K32" s="93">
        <f t="shared" si="3"/>
        <v>0.9977781828516421</v>
      </c>
      <c r="L32" s="93">
        <f t="shared" si="4"/>
        <v>4.5547869558578162E-4</v>
      </c>
      <c r="M32" s="93">
        <f t="shared" si="5"/>
        <v>0.99954452130441418</v>
      </c>
      <c r="N32" s="93">
        <f t="shared" si="6"/>
        <v>1.7594073799429144E-5</v>
      </c>
      <c r="O32" s="40">
        <f t="shared" si="7"/>
        <v>9.9864137552088366E-7</v>
      </c>
      <c r="P32" s="40">
        <f t="shared" si="8"/>
        <v>1.3143363313468791E-6</v>
      </c>
      <c r="Q32" s="40">
        <f t="shared" si="9"/>
        <v>1.9988082690429599E-6</v>
      </c>
      <c r="R32" s="9">
        <f t="shared" si="12"/>
        <v>1.4999999999999999E-4</v>
      </c>
      <c r="S32" s="9">
        <f t="shared" si="13"/>
        <v>6.832180433786724E-8</v>
      </c>
      <c r="T32" s="9">
        <f t="shared" si="10"/>
        <v>1.4966672742774631E-4</v>
      </c>
      <c r="U32" s="9">
        <f t="shared" si="11"/>
        <v>1.499316781956621E-4</v>
      </c>
      <c r="V32" s="100">
        <f t="shared" si="14"/>
        <v>0.99823285665108041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165</v>
      </c>
      <c r="C33" s="94" t="s">
        <v>110</v>
      </c>
      <c r="D33" s="95">
        <v>1.6452318246143236</v>
      </c>
      <c r="E33" s="95">
        <v>1.8629354124795308</v>
      </c>
      <c r="F33" s="96">
        <v>9.9999999999999995E-7</v>
      </c>
      <c r="G33" s="168"/>
      <c r="H33" s="168"/>
      <c r="I33" s="92">
        <f t="shared" si="1"/>
        <v>1.0070969156464394E-2</v>
      </c>
      <c r="J33" s="92">
        <f t="shared" si="2"/>
        <v>0.89170011001555038</v>
      </c>
      <c r="K33" s="93">
        <f t="shared" si="3"/>
        <v>0.97400042513014817</v>
      </c>
      <c r="L33" s="93">
        <f t="shared" si="4"/>
        <v>2.6326696320488454E-3</v>
      </c>
      <c r="M33" s="93">
        <f t="shared" si="5"/>
        <v>0.99736733036795111</v>
      </c>
      <c r="N33" s="93">
        <f t="shared" si="6"/>
        <v>6.2584297679386177E-4</v>
      </c>
      <c r="O33" s="40">
        <f t="shared" si="7"/>
        <v>9.7484304730936603E-7</v>
      </c>
      <c r="P33" s="40">
        <f t="shared" si="8"/>
        <v>7.5968719928498723E-6</v>
      </c>
      <c r="Q33" s="40">
        <f t="shared" si="9"/>
        <v>7.1100083550781752E-5</v>
      </c>
      <c r="R33" s="9">
        <f t="shared" si="12"/>
        <v>1.4999999999999999E-4</v>
      </c>
      <c r="S33" s="9">
        <f t="shared" si="13"/>
        <v>3.9490044480732679E-7</v>
      </c>
      <c r="T33" s="9">
        <f t="shared" si="10"/>
        <v>1.4610006376952222E-4</v>
      </c>
      <c r="U33" s="9">
        <f t="shared" si="11"/>
        <v>1.4960509955519265E-4</v>
      </c>
      <c r="V33" s="100">
        <f t="shared" si="14"/>
        <v>0.9765714150380459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94</v>
      </c>
      <c r="C34" s="46" t="s">
        <v>95</v>
      </c>
      <c r="D34" s="90">
        <v>0.39857726844789648</v>
      </c>
      <c r="E34" s="90">
        <v>8.9525410045599246E-2</v>
      </c>
      <c r="F34" s="96">
        <v>9.9999999999999995E-7</v>
      </c>
      <c r="G34" s="168"/>
      <c r="H34" s="168"/>
      <c r="I34" s="92">
        <f t="shared" si="1"/>
        <v>3.1711948665398576E-4</v>
      </c>
      <c r="J34" s="92">
        <f t="shared" si="2"/>
        <v>7.1416867604929449E-2</v>
      </c>
      <c r="K34" s="93">
        <f t="shared" si="3"/>
        <v>0.99834479538635534</v>
      </c>
      <c r="L34" s="93">
        <f t="shared" si="4"/>
        <v>4.0816384571768866E-4</v>
      </c>
      <c r="M34" s="93">
        <f t="shared" si="5"/>
        <v>0.99959183615428226</v>
      </c>
      <c r="N34" s="93">
        <f t="shared" si="6"/>
        <v>1.0808782859324574E-5</v>
      </c>
      <c r="O34" s="40">
        <f t="shared" si="7"/>
        <v>9.9920847824048424E-7</v>
      </c>
      <c r="P34" s="40">
        <f t="shared" si="8"/>
        <v>1.1778038726467425E-6</v>
      </c>
      <c r="Q34" s="40">
        <f t="shared" si="9"/>
        <v>1.2279523664501596E-6</v>
      </c>
      <c r="R34" s="9">
        <f t="shared" si="12"/>
        <v>1.4999999999999999E-4</v>
      </c>
      <c r="S34" s="9">
        <f t="shared" si="13"/>
        <v>6.1224576857653289E-8</v>
      </c>
      <c r="T34" s="9">
        <f t="shared" si="10"/>
        <v>1.4975171930795329E-4</v>
      </c>
      <c r="U34" s="9">
        <f t="shared" si="11"/>
        <v>1.4993877542314232E-4</v>
      </c>
      <c r="V34" s="100">
        <f t="shared" si="14"/>
        <v>0.99875245002727853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96</v>
      </c>
      <c r="C35" s="46" t="s">
        <v>97</v>
      </c>
      <c r="D35" s="90">
        <v>0.27761205565007074</v>
      </c>
      <c r="E35" s="90">
        <v>-8.2551864497786676E-2</v>
      </c>
      <c r="F35" s="96">
        <v>9.9999999999999995E-7</v>
      </c>
      <c r="G35" s="168"/>
      <c r="H35" s="168"/>
      <c r="I35" s="92">
        <f t="shared" si="1"/>
        <v>1.8367979099029661E-4</v>
      </c>
      <c r="J35" s="92">
        <f t="shared" si="2"/>
        <v>4.0811704581714597E-2</v>
      </c>
      <c r="K35" s="93">
        <f t="shared" si="3"/>
        <v>0.99867921037588137</v>
      </c>
      <c r="L35" s="93">
        <f t="shared" si="4"/>
        <v>3.8051766334473974E-4</v>
      </c>
      <c r="M35" s="93">
        <f t="shared" si="5"/>
        <v>0.99961948233665521</v>
      </c>
      <c r="N35" s="93">
        <f t="shared" si="6"/>
        <v>7.2752005340171989E-6</v>
      </c>
      <c r="O35" s="40">
        <f t="shared" si="7"/>
        <v>9.9954318253736582E-7</v>
      </c>
      <c r="P35" s="40">
        <f t="shared" si="8"/>
        <v>1.098027623465479E-6</v>
      </c>
      <c r="Q35" s="40">
        <f t="shared" si="9"/>
        <v>8.2651301524102697E-7</v>
      </c>
      <c r="R35" s="9">
        <f t="shared" si="12"/>
        <v>1.4999999999999999E-4</v>
      </c>
      <c r="S35" s="9">
        <f t="shared" si="13"/>
        <v>5.7077649501710956E-8</v>
      </c>
      <c r="T35" s="9">
        <f t="shared" si="10"/>
        <v>1.498018815563822E-4</v>
      </c>
      <c r="U35" s="9">
        <f t="shared" si="11"/>
        <v>1.4994292235049827E-4</v>
      </c>
      <c r="V35" s="100">
        <f t="shared" si="14"/>
        <v>0.99905937011293944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166</v>
      </c>
      <c r="C36" s="46" t="s">
        <v>167</v>
      </c>
      <c r="D36" s="47">
        <v>3.4409280000000009</v>
      </c>
      <c r="E36" s="47">
        <v>4.1160660000000009</v>
      </c>
      <c r="F36" s="96">
        <v>9.9999999999999995E-7</v>
      </c>
      <c r="G36" s="168"/>
      <c r="H36" s="168"/>
      <c r="I36" s="92">
        <f t="shared" si="1"/>
        <v>0.45036614920415591</v>
      </c>
      <c r="J36" s="92">
        <f t="shared" si="2"/>
        <v>2.8129743237059617</v>
      </c>
      <c r="K36" s="93">
        <f t="shared" si="3"/>
        <v>0.32811587943346127</v>
      </c>
      <c r="L36" s="93">
        <f t="shared" si="4"/>
        <v>7.3984148544421161E-2</v>
      </c>
      <c r="M36" s="93">
        <f t="shared" si="5"/>
        <v>0.92601585145557885</v>
      </c>
      <c r="N36" s="93">
        <f t="shared" si="6"/>
        <v>3.7762789955478812E-2</v>
      </c>
      <c r="O36" s="40">
        <f t="shared" si="7"/>
        <v>3.2839973733560467E-7</v>
      </c>
      <c r="P36" s="40">
        <f t="shared" si="8"/>
        <v>2.1348979725745168E-4</v>
      </c>
      <c r="Q36" s="40">
        <f t="shared" si="9"/>
        <v>4.2901136874617697E-3</v>
      </c>
      <c r="R36" s="9">
        <f t="shared" si="12"/>
        <v>1.4999999999999999E-4</v>
      </c>
      <c r="S36" s="9">
        <f t="shared" si="13"/>
        <v>1.1097622281663174E-5</v>
      </c>
      <c r="T36" s="9">
        <f t="shared" si="10"/>
        <v>4.9217381915019188E-5</v>
      </c>
      <c r="U36" s="9">
        <f t="shared" si="11"/>
        <v>1.3890237771833683E-4</v>
      </c>
      <c r="V36" s="100">
        <f t="shared" si="14"/>
        <v>0.35433073733857251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168</v>
      </c>
      <c r="C37" s="94" t="s">
        <v>169</v>
      </c>
      <c r="D37" s="95">
        <v>4.9025336133267672</v>
      </c>
      <c r="E37" s="95">
        <v>6.4965619006479365</v>
      </c>
      <c r="F37" s="96">
        <v>9.9999999999999995E-7</v>
      </c>
      <c r="G37" s="168"/>
      <c r="H37" s="168"/>
      <c r="I37" s="92">
        <f t="shared" si="1"/>
        <v>2.2002191789801899</v>
      </c>
      <c r="J37" s="92">
        <f t="shared" si="2"/>
        <v>4.9487921948544864</v>
      </c>
      <c r="K37" s="93">
        <f t="shared" si="3"/>
        <v>5.2776473173717087E-3</v>
      </c>
      <c r="L37" s="93">
        <f t="shared" si="4"/>
        <v>0.16269329954489289</v>
      </c>
      <c r="M37" s="93">
        <f t="shared" si="5"/>
        <v>0.83730670045510713</v>
      </c>
      <c r="N37" s="93">
        <f t="shared" si="6"/>
        <v>0.14587238694660123</v>
      </c>
      <c r="O37" s="40">
        <f t="shared" si="7"/>
        <v>5.282213088154728E-9</v>
      </c>
      <c r="P37" s="40">
        <f t="shared" si="8"/>
        <v>4.6947028814058208E-4</v>
      </c>
      <c r="Q37" s="40">
        <f t="shared" si="9"/>
        <v>1.6572110392270897E-2</v>
      </c>
      <c r="R37" s="9">
        <f t="shared" si="12"/>
        <v>1.4999999999999999E-4</v>
      </c>
      <c r="S37" s="9">
        <f t="shared" si="13"/>
        <v>2.4403994931733934E-5</v>
      </c>
      <c r="T37" s="9">
        <f t="shared" si="10"/>
        <v>7.9164709760575628E-7</v>
      </c>
      <c r="U37" s="9">
        <f t="shared" si="11"/>
        <v>1.2559600506826605E-4</v>
      </c>
      <c r="V37" s="100">
        <f t="shared" si="14"/>
        <v>6.3031232337005215E-3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170</v>
      </c>
      <c r="C38" s="46" t="s">
        <v>171</v>
      </c>
      <c r="D38" s="90">
        <v>-0.51108880646233978</v>
      </c>
      <c r="E38" s="90">
        <v>-1.2045066120098076</v>
      </c>
      <c r="F38" s="96">
        <v>9.9999999999999995E-7</v>
      </c>
      <c r="G38" s="168"/>
      <c r="H38" s="168"/>
      <c r="I38" s="92">
        <f t="shared" si="1"/>
        <v>-1.5970395933982679E-4</v>
      </c>
      <c r="J38" s="92">
        <f t="shared" si="2"/>
        <v>-4.7384070735103416E-2</v>
      </c>
      <c r="K38" s="93">
        <f t="shared" si="3"/>
        <v>0.99953880450117016</v>
      </c>
      <c r="L38" s="93">
        <f t="shared" si="4"/>
        <v>3.1085130562188789E-4</v>
      </c>
      <c r="M38" s="93">
        <f t="shared" si="5"/>
        <v>0.99968914869437808</v>
      </c>
      <c r="N38" s="93">
        <f t="shared" si="6"/>
        <v>5.4987486853729419E-7</v>
      </c>
      <c r="O38" s="40">
        <f t="shared" si="7"/>
        <v>1.0004035203102513E-6</v>
      </c>
      <c r="P38" s="40">
        <f t="shared" si="8"/>
        <v>8.9699730983029857E-7</v>
      </c>
      <c r="Q38" s="40">
        <f t="shared" si="9"/>
        <v>6.2469581900180233E-8</v>
      </c>
      <c r="R38" s="9">
        <f t="shared" si="12"/>
        <v>1.4999999999999999E-4</v>
      </c>
      <c r="S38" s="9">
        <f t="shared" si="13"/>
        <v>4.6627695843283176E-8</v>
      </c>
      <c r="T38" s="9">
        <f t="shared" si="10"/>
        <v>1.4993082067517552E-4</v>
      </c>
      <c r="U38" s="9">
        <f t="shared" si="11"/>
        <v>1.4995337230415669E-4</v>
      </c>
      <c r="V38" s="100">
        <f t="shared" si="14"/>
        <v>0.99984960905757125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98</v>
      </c>
      <c r="C39" s="46" t="s">
        <v>99</v>
      </c>
      <c r="D39" s="90">
        <v>2.3414159999999997</v>
      </c>
      <c r="E39" s="90">
        <v>2.4767320000000002</v>
      </c>
      <c r="F39" s="96">
        <v>9.9999999999999995E-7</v>
      </c>
      <c r="G39" s="168"/>
      <c r="H39" s="168"/>
      <c r="I39" s="92">
        <f t="shared" si="1"/>
        <v>4.7752637245013392E-2</v>
      </c>
      <c r="J39" s="92">
        <f t="shared" si="2"/>
        <v>1.5278128154398603</v>
      </c>
      <c r="K39" s="93">
        <f t="shared" si="3"/>
        <v>0.88613247045595578</v>
      </c>
      <c r="L39" s="93">
        <f t="shared" si="4"/>
        <v>1.0362118952836589E-2</v>
      </c>
      <c r="M39" s="93">
        <f t="shared" si="5"/>
        <v>0.98963788104716344</v>
      </c>
      <c r="N39" s="93">
        <f t="shared" si="6"/>
        <v>2.3399225064304648E-3</v>
      </c>
      <c r="O39" s="40">
        <f t="shared" si="7"/>
        <v>8.8689907676747937E-7</v>
      </c>
      <c r="P39" s="40">
        <f t="shared" si="8"/>
        <v>2.9901089867519924E-5</v>
      </c>
      <c r="Q39" s="40">
        <f t="shared" si="9"/>
        <v>2.6583135367572993E-4</v>
      </c>
      <c r="R39" s="9">
        <f t="shared" si="12"/>
        <v>1.4999999999999999E-4</v>
      </c>
      <c r="S39" s="9">
        <f t="shared" si="13"/>
        <v>1.5543178429254883E-6</v>
      </c>
      <c r="T39" s="9">
        <f t="shared" si="10"/>
        <v>1.3291987056839337E-4</v>
      </c>
      <c r="U39" s="9">
        <f t="shared" si="11"/>
        <v>1.4844568215707451E-4</v>
      </c>
      <c r="V39" s="100">
        <f t="shared" si="14"/>
        <v>0.89541082392512528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172</v>
      </c>
      <c r="C40" s="46" t="s">
        <v>173</v>
      </c>
      <c r="D40" s="47">
        <v>2.349974877229557</v>
      </c>
      <c r="E40" s="47">
        <v>2.8654572197209189</v>
      </c>
      <c r="F40" s="96">
        <v>9.9999999999999995E-7</v>
      </c>
      <c r="G40" s="168"/>
      <c r="H40" s="168"/>
      <c r="I40" s="92">
        <f t="shared" si="1"/>
        <v>5.4923561227077443E-2</v>
      </c>
      <c r="J40" s="92">
        <f t="shared" si="2"/>
        <v>1.6554914305111572</v>
      </c>
      <c r="K40" s="93">
        <f t="shared" si="3"/>
        <v>0.86874225215199785</v>
      </c>
      <c r="L40" s="93">
        <f t="shared" si="4"/>
        <v>1.3630741518480696E-2</v>
      </c>
      <c r="M40" s="93">
        <f t="shared" si="5"/>
        <v>0.98636925848151935</v>
      </c>
      <c r="N40" s="93">
        <f t="shared" si="6"/>
        <v>5.6146021562957756E-3</v>
      </c>
      <c r="O40" s="40">
        <f t="shared" si="7"/>
        <v>8.694938139283587E-7</v>
      </c>
      <c r="P40" s="40">
        <f t="shared" si="8"/>
        <v>3.9333077429443578E-5</v>
      </c>
      <c r="Q40" s="40">
        <f t="shared" si="9"/>
        <v>6.3785757325597635E-4</v>
      </c>
      <c r="R40" s="9">
        <f t="shared" si="12"/>
        <v>1.4999999999999999E-4</v>
      </c>
      <c r="S40" s="9">
        <f t="shared" si="13"/>
        <v>2.044611227772104E-6</v>
      </c>
      <c r="T40" s="9">
        <f t="shared" si="10"/>
        <v>1.3031133782279966E-4</v>
      </c>
      <c r="U40" s="9">
        <f t="shared" si="11"/>
        <v>1.4795538877222789E-4</v>
      </c>
      <c r="V40" s="100">
        <f t="shared" si="14"/>
        <v>0.88074749358003701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174</v>
      </c>
      <c r="C41" s="94" t="s">
        <v>175</v>
      </c>
      <c r="D41" s="95">
        <v>1.4854320000000003</v>
      </c>
      <c r="E41" s="95">
        <v>1.5057189999999996</v>
      </c>
      <c r="F41" s="96">
        <v>9.9999999999999995E-7</v>
      </c>
      <c r="G41" s="168"/>
      <c r="H41" s="168"/>
      <c r="I41" s="92">
        <f t="shared" si="1"/>
        <v>6.6276677113325539E-3</v>
      </c>
      <c r="J41" s="92">
        <f t="shared" si="2"/>
        <v>0.7151775048840503</v>
      </c>
      <c r="K41" s="93">
        <f t="shared" si="3"/>
        <v>0.98260376495682378</v>
      </c>
      <c r="L41" s="93">
        <f t="shared" si="4"/>
        <v>1.7688582689379421E-3</v>
      </c>
      <c r="M41" s="93">
        <f t="shared" si="5"/>
        <v>0.99823114173106209</v>
      </c>
      <c r="N41" s="93">
        <f t="shared" si="6"/>
        <v>2.7737559565661746E-4</v>
      </c>
      <c r="O41" s="40">
        <f t="shared" si="7"/>
        <v>9.8345383001262185E-7</v>
      </c>
      <c r="P41" s="40">
        <f t="shared" si="8"/>
        <v>5.1042446340514633E-6</v>
      </c>
      <c r="Q41" s="40">
        <f t="shared" si="9"/>
        <v>3.1511782919039038E-5</v>
      </c>
      <c r="R41" s="9">
        <f t="shared" si="12"/>
        <v>1.4999999999999999E-4</v>
      </c>
      <c r="S41" s="9">
        <f t="shared" si="13"/>
        <v>2.6532874034069131E-7</v>
      </c>
      <c r="T41" s="9">
        <f t="shared" si="10"/>
        <v>1.4739056474352355E-4</v>
      </c>
      <c r="U41" s="9">
        <f t="shared" si="11"/>
        <v>1.4973467125965929E-4</v>
      </c>
      <c r="V41" s="100">
        <f t="shared" si="14"/>
        <v>0.98434493162862224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176</v>
      </c>
      <c r="C42" s="46" t="s">
        <v>177</v>
      </c>
      <c r="D42" s="90">
        <v>2.0758240000000003</v>
      </c>
      <c r="E42" s="90">
        <v>2.477398</v>
      </c>
      <c r="F42" s="96">
        <v>9.9999999999999995E-7</v>
      </c>
      <c r="G42" s="168"/>
      <c r="H42" s="168"/>
      <c r="I42" s="92">
        <f t="shared" si="1"/>
        <v>2.8589842167479149E-2</v>
      </c>
      <c r="J42" s="92">
        <f t="shared" si="2"/>
        <v>1.345926094870141</v>
      </c>
      <c r="K42" s="93">
        <f t="shared" si="3"/>
        <v>0.92911617217370557</v>
      </c>
      <c r="L42" s="93">
        <f t="shared" si="4"/>
        <v>7.1471553457918635E-3</v>
      </c>
      <c r="M42" s="93">
        <f t="shared" si="5"/>
        <v>0.99285284465420809</v>
      </c>
      <c r="N42" s="93">
        <f t="shared" si="6"/>
        <v>2.4571905900084979E-3</v>
      </c>
      <c r="O42" s="40">
        <f t="shared" si="7"/>
        <v>9.2991996432157752E-7</v>
      </c>
      <c r="P42" s="40">
        <f t="shared" si="8"/>
        <v>2.0623941422053092E-5</v>
      </c>
      <c r="Q42" s="40">
        <f t="shared" si="9"/>
        <v>2.7915381769530218E-4</v>
      </c>
      <c r="R42" s="9">
        <f t="shared" si="12"/>
        <v>1.4999999999999999E-4</v>
      </c>
      <c r="S42" s="9">
        <f t="shared" si="13"/>
        <v>1.0720733018687794E-6</v>
      </c>
      <c r="T42" s="9">
        <f t="shared" si="10"/>
        <v>1.3936742582605584E-4</v>
      </c>
      <c r="U42" s="9">
        <f t="shared" si="11"/>
        <v>1.4892792669813119E-4</v>
      </c>
      <c r="V42" s="100">
        <f t="shared" si="14"/>
        <v>0.93580451239710072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178</v>
      </c>
      <c r="C43" s="46" t="s">
        <v>179</v>
      </c>
      <c r="D43" s="90">
        <v>2.3078000000000003</v>
      </c>
      <c r="E43" s="90">
        <v>2.5099249999999995</v>
      </c>
      <c r="F43" s="96">
        <v>9.9999999999999995E-7</v>
      </c>
      <c r="G43" s="168"/>
      <c r="H43" s="168"/>
      <c r="I43" s="92">
        <f t="shared" si="1"/>
        <v>4.5043006346732313E-2</v>
      </c>
      <c r="J43" s="92">
        <f t="shared" si="2"/>
        <v>1.511064839547366</v>
      </c>
      <c r="K43" s="93">
        <f t="shared" si="3"/>
        <v>0.89197246130052787</v>
      </c>
      <c r="L43" s="93">
        <f t="shared" si="4"/>
        <v>1.0035832243824839E-2</v>
      </c>
      <c r="M43" s="93">
        <f t="shared" si="5"/>
        <v>0.98996416775617513</v>
      </c>
      <c r="N43" s="93">
        <f t="shared" si="6"/>
        <v>2.5424198475988199E-3</v>
      </c>
      <c r="O43" s="40">
        <f t="shared" si="7"/>
        <v>8.9274411987454034E-7</v>
      </c>
      <c r="P43" s="40">
        <f t="shared" si="8"/>
        <v>2.8959551920200093E-5</v>
      </c>
      <c r="Q43" s="40">
        <f t="shared" si="9"/>
        <v>2.8883644985758488E-4</v>
      </c>
      <c r="R43" s="9">
        <f t="shared" si="12"/>
        <v>1.4999999999999999E-4</v>
      </c>
      <c r="S43" s="9">
        <f t="shared" si="13"/>
        <v>1.5053748365737257E-6</v>
      </c>
      <c r="T43" s="9">
        <f t="shared" si="10"/>
        <v>1.3379586919507917E-4</v>
      </c>
      <c r="U43" s="9">
        <f t="shared" si="11"/>
        <v>1.4849462516342625E-4</v>
      </c>
      <c r="V43" s="100">
        <f t="shared" si="14"/>
        <v>0.90101489564238224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180</v>
      </c>
      <c r="C44" s="46" t="s">
        <v>181</v>
      </c>
      <c r="D44" s="90">
        <v>5.676184000000001</v>
      </c>
      <c r="E44" s="90">
        <v>7.0708080000000004</v>
      </c>
      <c r="F44" s="96">
        <v>9.9999999999999995E-7</v>
      </c>
      <c r="G44" s="168"/>
      <c r="H44" s="168"/>
      <c r="I44" s="92">
        <f t="shared" si="1"/>
        <v>2.829962486439805</v>
      </c>
      <c r="J44" s="92">
        <f t="shared" si="2"/>
        <v>5.5484404117146227</v>
      </c>
      <c r="K44" s="93">
        <f t="shared" si="3"/>
        <v>1.2515652114606819E-3</v>
      </c>
      <c r="L44" s="93">
        <f t="shared" si="4"/>
        <v>0.15347265353105402</v>
      </c>
      <c r="M44" s="93">
        <f t="shared" si="5"/>
        <v>0.84652734646894601</v>
      </c>
      <c r="N44" s="93">
        <f t="shared" si="6"/>
        <v>0.12978733264171907</v>
      </c>
      <c r="O44" s="40">
        <f t="shared" si="7"/>
        <v>1.2526479590434393E-9</v>
      </c>
      <c r="P44" s="40">
        <f t="shared" si="8"/>
        <v>4.4286305014695635E-4</v>
      </c>
      <c r="Q44" s="40">
        <f t="shared" si="9"/>
        <v>1.474473715744642E-2</v>
      </c>
      <c r="R44" s="9">
        <f t="shared" si="12"/>
        <v>1.4999999999999999E-4</v>
      </c>
      <c r="S44" s="9">
        <f t="shared" si="13"/>
        <v>2.3020898029658103E-5</v>
      </c>
      <c r="T44" s="9">
        <f t="shared" si="10"/>
        <v>1.8773478171910226E-7</v>
      </c>
      <c r="U44" s="9">
        <f t="shared" si="11"/>
        <v>1.2697910197034188E-4</v>
      </c>
      <c r="V44" s="100">
        <f t="shared" si="14"/>
        <v>1.4784699120249795E-3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182</v>
      </c>
      <c r="C45" s="46" t="s">
        <v>183</v>
      </c>
      <c r="D45" s="90">
        <v>1.2599279999999999</v>
      </c>
      <c r="E45" s="90">
        <v>1.3925860000000003</v>
      </c>
      <c r="F45" s="96">
        <v>9.9999999999999995E-7</v>
      </c>
      <c r="G45" s="168"/>
      <c r="H45" s="168"/>
      <c r="I45" s="92">
        <f t="shared" si="1"/>
        <v>3.957220636313619E-3</v>
      </c>
      <c r="J45" s="92">
        <f t="shared" si="2"/>
        <v>0.55377732988068618</v>
      </c>
      <c r="K45" s="93">
        <f t="shared" si="3"/>
        <v>0.98920001656398149</v>
      </c>
      <c r="L45" s="93">
        <f t="shared" si="4"/>
        <v>1.2280005243559067E-3</v>
      </c>
      <c r="M45" s="93">
        <f t="shared" si="5"/>
        <v>0.9987719994756441</v>
      </c>
      <c r="N45" s="93">
        <f t="shared" si="6"/>
        <v>2.1519934195223241E-4</v>
      </c>
      <c r="O45" s="40">
        <f t="shared" si="7"/>
        <v>9.9005578813464391E-7</v>
      </c>
      <c r="P45" s="40">
        <f t="shared" si="8"/>
        <v>3.5435372053971646E-6</v>
      </c>
      <c r="Q45" s="40">
        <f t="shared" si="9"/>
        <v>2.4448131177026327E-5</v>
      </c>
      <c r="R45" s="9">
        <f t="shared" si="12"/>
        <v>1.4999999999999999E-4</v>
      </c>
      <c r="S45" s="9">
        <f t="shared" si="13"/>
        <v>1.8420007865338598E-7</v>
      </c>
      <c r="T45" s="9">
        <f t="shared" si="10"/>
        <v>1.483800024845972E-4</v>
      </c>
      <c r="U45" s="9">
        <f t="shared" si="11"/>
        <v>1.4981579992134661E-4</v>
      </c>
      <c r="V45" s="100">
        <f t="shared" si="14"/>
        <v>0.99041624823614605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184</v>
      </c>
      <c r="C46" s="46" t="s">
        <v>185</v>
      </c>
      <c r="D46" s="91">
        <v>1.2889359999999999</v>
      </c>
      <c r="E46" s="91">
        <v>1.371977</v>
      </c>
      <c r="F46" s="96">
        <v>9.9999999999999995E-7</v>
      </c>
      <c r="G46" s="168"/>
      <c r="H46" s="168"/>
      <c r="I46" s="92">
        <f t="shared" si="1"/>
        <v>4.1980440605165602E-3</v>
      </c>
      <c r="J46" s="92">
        <f t="shared" si="2"/>
        <v>0.56756569522901168</v>
      </c>
      <c r="K46" s="93">
        <f t="shared" si="3"/>
        <v>0.98861317358928413</v>
      </c>
      <c r="L46" s="93">
        <f t="shared" si="4"/>
        <v>1.2668616686183872E-3</v>
      </c>
      <c r="M46" s="93">
        <f t="shared" si="5"/>
        <v>0.99873313833138166</v>
      </c>
      <c r="N46" s="93">
        <f t="shared" si="6"/>
        <v>2.0510404113993806E-4</v>
      </c>
      <c r="O46" s="40">
        <f t="shared" si="7"/>
        <v>9.8946843747340626E-7</v>
      </c>
      <c r="P46" s="40">
        <f t="shared" si="8"/>
        <v>3.6556755211447364E-6</v>
      </c>
      <c r="Q46" s="40">
        <f t="shared" si="9"/>
        <v>2.3301235297645354E-5</v>
      </c>
      <c r="R46" s="9">
        <f t="shared" si="12"/>
        <v>1.4999999999999999E-4</v>
      </c>
      <c r="S46" s="9">
        <f t="shared" si="13"/>
        <v>1.9002925029275806E-7</v>
      </c>
      <c r="T46" s="9">
        <f t="shared" si="10"/>
        <v>1.482919760383926E-4</v>
      </c>
      <c r="U46" s="9">
        <f t="shared" si="11"/>
        <v>1.4980997074970722E-4</v>
      </c>
      <c r="V46" s="100">
        <f t="shared" si="14"/>
        <v>0.98986719839995962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186</v>
      </c>
      <c r="C47" s="46" t="s">
        <v>187</v>
      </c>
      <c r="D47" s="90">
        <v>2.5448008164668257</v>
      </c>
      <c r="E47" s="90">
        <v>3.1426039783542175</v>
      </c>
      <c r="F47" s="96">
        <v>9.9999999999999995E-7</v>
      </c>
      <c r="G47" s="168"/>
      <c r="H47" s="168"/>
      <c r="I47" s="92">
        <f t="shared" si="1"/>
        <v>8.655050783580702E-2</v>
      </c>
      <c r="J47" s="92">
        <f t="shared" si="2"/>
        <v>1.8833785574234878</v>
      </c>
      <c r="K47" s="93">
        <f t="shared" si="3"/>
        <v>0.80148448287202523</v>
      </c>
      <c r="L47" s="93">
        <f t="shared" si="4"/>
        <v>2.1252537122675184E-2</v>
      </c>
      <c r="M47" s="93">
        <f t="shared" si="5"/>
        <v>0.97874746287732484</v>
      </c>
      <c r="N47" s="93">
        <f t="shared" si="6"/>
        <v>9.8055039958363979E-3</v>
      </c>
      <c r="O47" s="40">
        <f t="shared" si="7"/>
        <v>8.0217785895702712E-7</v>
      </c>
      <c r="P47" s="40">
        <f t="shared" si="8"/>
        <v>6.1326648083301097E-5</v>
      </c>
      <c r="Q47" s="40">
        <f t="shared" si="9"/>
        <v>1.1139729600115407E-3</v>
      </c>
      <c r="R47" s="9">
        <f t="shared" si="12"/>
        <v>1.4999999999999999E-4</v>
      </c>
      <c r="S47" s="9">
        <f t="shared" si="13"/>
        <v>3.1878805684012774E-6</v>
      </c>
      <c r="T47" s="9">
        <f t="shared" si="10"/>
        <v>1.2022267243080378E-4</v>
      </c>
      <c r="U47" s="9">
        <f t="shared" si="11"/>
        <v>1.4681211943159871E-4</v>
      </c>
      <c r="V47" s="100">
        <f t="shared" si="14"/>
        <v>0.81888792898202634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100</v>
      </c>
      <c r="C48" s="46" t="s">
        <v>101</v>
      </c>
      <c r="D48" s="90">
        <v>0.29376000000000013</v>
      </c>
      <c r="E48" s="90">
        <v>0.18140000000000034</v>
      </c>
      <c r="F48" s="96">
        <v>9.9999999999999995E-7</v>
      </c>
      <c r="G48" s="168"/>
      <c r="H48" s="168"/>
      <c r="I48" s="92">
        <f t="shared" ref="I48:I50" si="15">IF(D48=0,"",LOG($K$15*10^D48+$K$16*10^E48+$K$14))</f>
        <v>2.1004549420906745E-4</v>
      </c>
      <c r="J48" s="92">
        <f t="shared" ref="J48:J50" si="16">IF(D48=0,"",LOG($K$21*10^D48+$K$22*10^E48+$K$20))</f>
        <v>5.0901710407050667E-2</v>
      </c>
      <c r="K48" s="93">
        <f t="shared" ref="K48:K50" si="17">IF(D48=0,"",1/(1+10^D48*$J$15/$J$14+10^E48*$J$16/$J$14+10^J48*$J$19/$J$14))</f>
        <v>0.9986096750697071</v>
      </c>
      <c r="L48" s="93">
        <f t="shared" ref="L48:L50" si="18">IF(D48=0,"",1/(1+10^I48/10^J48*$J$13/$J$19))</f>
        <v>3.8943464723808032E-4</v>
      </c>
      <c r="M48" s="93">
        <f t="shared" ref="M48:M92" si="19">IF(D48=0,"",1-L48)</f>
        <v>0.99961056535276194</v>
      </c>
      <c r="N48" s="93">
        <f t="shared" ref="N48:N50" si="20">IF(D48=0,"",1/(1/10^E48*$J$20/$J$22+10^D48/10^E48*$J$21/$J$22+10^I48/10^E48*$J$13/$J$22+1))</f>
        <v>1.3358773717164427E-5</v>
      </c>
      <c r="O48" s="40">
        <f t="shared" ref="O48:O92" si="21">IF(D48=0,"",F48*K48*$J$7/$J$14)</f>
        <v>9.9947358707516944E-7</v>
      </c>
      <c r="P48" s="40">
        <f t="shared" ref="P48:P50" si="22">IF(D48=0,"",O48*10^J48)</f>
        <v>1.1237586093724696E-6</v>
      </c>
      <c r="Q48" s="40">
        <f t="shared" ref="Q48:Q50" si="23">IF(D48=0,"",F48*N48*$J$7/$J$22)</f>
        <v>1.5176489353482407E-6</v>
      </c>
      <c r="R48" s="9">
        <f t="shared" si="12"/>
        <v>1.4999999999999999E-4</v>
      </c>
      <c r="S48" s="9">
        <f t="shared" si="13"/>
        <v>5.8415197085712042E-8</v>
      </c>
      <c r="T48" s="9">
        <f t="shared" si="10"/>
        <v>1.4979145126045606E-4</v>
      </c>
      <c r="U48" s="9">
        <f t="shared" si="11"/>
        <v>1.4994158480291427E-4</v>
      </c>
      <c r="V48" s="100">
        <f t="shared" si="14"/>
        <v>0.99899871978373733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188</v>
      </c>
      <c r="C49" s="46" t="s">
        <v>189</v>
      </c>
      <c r="D49" s="90">
        <v>1.6175039999999998</v>
      </c>
      <c r="E49" s="90">
        <v>1.8999029999999997</v>
      </c>
      <c r="F49" s="96">
        <v>9.9999999999999995E-7</v>
      </c>
      <c r="G49" s="168"/>
      <c r="H49" s="168"/>
      <c r="I49" s="92">
        <f t="shared" si="15"/>
        <v>9.6186457475178466E-3</v>
      </c>
      <c r="J49" s="92">
        <f t="shared" si="16"/>
        <v>0.88327907371680614</v>
      </c>
      <c r="K49" s="93">
        <f t="shared" si="17"/>
        <v>0.97506205959182579</v>
      </c>
      <c r="L49" s="93">
        <f t="shared" si="18"/>
        <v>2.5849279303788242E-3</v>
      </c>
      <c r="M49" s="93">
        <f t="shared" si="19"/>
        <v>0.99741507206962121</v>
      </c>
      <c r="N49" s="93">
        <f t="shared" si="20"/>
        <v>6.8219115159703502E-4</v>
      </c>
      <c r="O49" s="40">
        <f t="shared" si="21"/>
        <v>9.7590560020672457E-7</v>
      </c>
      <c r="P49" s="40">
        <f t="shared" si="22"/>
        <v>7.4591078040231412E-6</v>
      </c>
      <c r="Q49" s="40">
        <f t="shared" si="23"/>
        <v>7.7501625287279137E-5</v>
      </c>
      <c r="R49" s="9">
        <f t="shared" si="12"/>
        <v>1.4999999999999999E-4</v>
      </c>
      <c r="S49" s="9">
        <f t="shared" si="13"/>
        <v>3.877391895568236E-7</v>
      </c>
      <c r="T49" s="9">
        <f t="shared" si="10"/>
        <v>1.4625930893877385E-4</v>
      </c>
      <c r="U49" s="9">
        <f t="shared" si="11"/>
        <v>1.4961226081044318E-4</v>
      </c>
      <c r="V49" s="100">
        <f t="shared" si="14"/>
        <v>0.97758905684930819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190</v>
      </c>
      <c r="C50" s="46" t="s">
        <v>191</v>
      </c>
      <c r="D50" s="90">
        <v>2.5898400000000001</v>
      </c>
      <c r="E50" s="90">
        <v>2.96393</v>
      </c>
      <c r="F50" s="96">
        <v>9.9999999999999995E-7</v>
      </c>
      <c r="G50" s="168"/>
      <c r="H50" s="168"/>
      <c r="I50" s="92">
        <f t="shared" si="15"/>
        <v>8.6760595853303396E-2</v>
      </c>
      <c r="J50" s="92">
        <f t="shared" si="16"/>
        <v>1.8385907214946637</v>
      </c>
      <c r="K50" s="93">
        <f t="shared" si="17"/>
        <v>0.80277608619709584</v>
      </c>
      <c r="L50" s="93">
        <f t="shared" si="18"/>
        <v>1.9200929621057197E-2</v>
      </c>
      <c r="M50" s="93">
        <f t="shared" si="19"/>
        <v>0.98079907037894276</v>
      </c>
      <c r="N50" s="93">
        <f t="shared" si="20"/>
        <v>6.5087149336797104E-3</v>
      </c>
      <c r="O50" s="40">
        <f t="shared" si="21"/>
        <v>8.0347057966724503E-7</v>
      </c>
      <c r="P50" s="40">
        <f t="shared" si="22"/>
        <v>5.5406497913439921E-5</v>
      </c>
      <c r="Q50" s="40">
        <f t="shared" si="23"/>
        <v>7.3943495853157765E-4</v>
      </c>
      <c r="R50" s="9">
        <f t="shared" si="12"/>
        <v>1.4999999999999999E-4</v>
      </c>
      <c r="S50" s="9">
        <f t="shared" si="13"/>
        <v>2.8801394431585792E-6</v>
      </c>
      <c r="T50" s="9">
        <f t="shared" si="10"/>
        <v>1.2041641292956437E-4</v>
      </c>
      <c r="U50" s="9">
        <f t="shared" si="11"/>
        <v>1.4711986055684139E-4</v>
      </c>
      <c r="V50" s="100">
        <f t="shared" si="14"/>
        <v>0.81849189139925904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192</v>
      </c>
      <c r="C51" s="46" t="s">
        <v>193</v>
      </c>
      <c r="D51" s="90">
        <v>5.0487680000000008</v>
      </c>
      <c r="E51" s="90">
        <v>6.0352960000000007</v>
      </c>
      <c r="F51" s="96">
        <v>9.9999999999999995E-7</v>
      </c>
      <c r="G51" s="168"/>
      <c r="H51" s="168"/>
      <c r="I51" s="92">
        <f t="shared" ref="I51:I70" si="24">IF(D51=0,"",LOG($K$15*10^D51+$K$16*10^E51+$K$14))</f>
        <v>1.9819141928346475</v>
      </c>
      <c r="J51" s="92">
        <f t="shared" ref="J51:J70" si="25">IF(D51=0,"",LOG($K$21*10^D51+$K$22*10^E51+$K$20))</f>
        <v>4.6065751929206078</v>
      </c>
      <c r="K51" s="93">
        <f t="shared" ref="K51:K70" si="26">IF(D51=0,"",1/(1+10^D51*$J$15/$J$14+10^E51*$J$16/$J$14+10^J51*$J$19/$J$14))</f>
        <v>9.0917629415687914E-3</v>
      </c>
      <c r="L51" s="93">
        <f t="shared" ref="L51:L70" si="27">IF(D51=0,"",1/(1+10^I51/10^J51*$J$13/$J$19))</f>
        <v>0.12745603492792679</v>
      </c>
      <c r="M51" s="93">
        <f t="shared" ref="M51:M70" si="28">IF(D51=0,"",1-L51)</f>
        <v>0.87254396507207321</v>
      </c>
      <c r="N51" s="93">
        <f t="shared" ref="N51:N70" si="29">IF(D51=0,"",1/(1/10^E51*$J$20/$J$22+10^D51/10^E51*$J$21/$J$22+10^I51/10^E51*$J$13/$J$22+1))</f>
        <v>8.6879022807617778E-2</v>
      </c>
      <c r="O51" s="40">
        <f t="shared" ref="O51:O70" si="30">IF(D51=0,"",F51*K51*$J$7/$J$14)</f>
        <v>9.0996283602124565E-9</v>
      </c>
      <c r="P51" s="40">
        <f t="shared" ref="P51:P70" si="31">IF(D51=0,"",O51*10^J51)</f>
        <v>3.6778909525010152E-4</v>
      </c>
      <c r="Q51" s="40">
        <f t="shared" ref="Q51:Q70" si="32">IF(D51=0,"",F51*N51*$J$7/$J$22)</f>
        <v>9.8700568824414466E-3</v>
      </c>
      <c r="R51" s="9">
        <f t="shared" si="12"/>
        <v>1.4999999999999999E-4</v>
      </c>
      <c r="S51" s="9">
        <f t="shared" si="13"/>
        <v>1.9118405239189016E-5</v>
      </c>
      <c r="T51" s="9">
        <f t="shared" si="10"/>
        <v>1.3637644412353185E-6</v>
      </c>
      <c r="U51" s="9">
        <f t="shared" si="11"/>
        <v>1.3088159476081098E-4</v>
      </c>
      <c r="V51" s="100">
        <f t="shared" si="14"/>
        <v>1.0419833619292525E-2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194</v>
      </c>
      <c r="C52" s="46" t="s">
        <v>195</v>
      </c>
      <c r="D52" s="47">
        <v>2.7330160000000001</v>
      </c>
      <c r="E52" s="47">
        <v>3.3310319999999995</v>
      </c>
      <c r="F52" s="96">
        <v>9.9999999999999995E-7</v>
      </c>
      <c r="G52" s="168"/>
      <c r="H52" s="168"/>
      <c r="I52" s="92">
        <f t="shared" si="24"/>
        <v>0.12726341031571042</v>
      </c>
      <c r="J52" s="92">
        <f t="shared" si="25"/>
        <v>2.0699715906138327</v>
      </c>
      <c r="K52" s="93">
        <f t="shared" si="26"/>
        <v>0.72362437657256917</v>
      </c>
      <c r="L52" s="93">
        <f t="shared" si="27"/>
        <v>2.9486409080317098E-2</v>
      </c>
      <c r="M52" s="93">
        <f t="shared" si="28"/>
        <v>0.97051359091968292</v>
      </c>
      <c r="N52" s="93">
        <f t="shared" si="29"/>
        <v>1.3662054467704196E-2</v>
      </c>
      <c r="O52" s="40">
        <f t="shared" si="30"/>
        <v>7.2425039472758313E-7</v>
      </c>
      <c r="P52" s="40">
        <f t="shared" si="31"/>
        <v>8.5086435679225788E-5</v>
      </c>
      <c r="Q52" s="40">
        <f t="shared" si="32"/>
        <v>1.5521037227346683E-3</v>
      </c>
      <c r="R52" s="9">
        <f t="shared" si="12"/>
        <v>1.4999999999999999E-4</v>
      </c>
      <c r="S52" s="9">
        <f t="shared" si="13"/>
        <v>4.4229613620475644E-6</v>
      </c>
      <c r="T52" s="9">
        <f t="shared" si="10"/>
        <v>1.0854365648588537E-4</v>
      </c>
      <c r="U52" s="9">
        <f t="shared" si="11"/>
        <v>1.4557703863795244E-4</v>
      </c>
      <c r="V52" s="100">
        <f t="shared" si="14"/>
        <v>0.74560973008821507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196</v>
      </c>
      <c r="C53" s="46" t="s">
        <v>197</v>
      </c>
      <c r="D53" s="47">
        <v>3.4406639999999999</v>
      </c>
      <c r="E53" s="47">
        <v>4.222847999999999</v>
      </c>
      <c r="F53" s="96">
        <v>9.9999999999999995E-7</v>
      </c>
      <c r="G53" s="168"/>
      <c r="H53" s="168"/>
      <c r="I53" s="92">
        <f t="shared" si="24"/>
        <v>0.47104615060046062</v>
      </c>
      <c r="J53" s="92">
        <f t="shared" si="25"/>
        <v>2.8706315398293074</v>
      </c>
      <c r="K53" s="93">
        <f t="shared" si="26"/>
        <v>0.31081432423629346</v>
      </c>
      <c r="L53" s="93">
        <f t="shared" si="27"/>
        <v>8.0033106195023115E-2</v>
      </c>
      <c r="M53" s="93">
        <f t="shared" si="28"/>
        <v>0.91996689380497687</v>
      </c>
      <c r="N53" s="93">
        <f t="shared" si="29"/>
        <v>4.5742495031664665E-2</v>
      </c>
      <c r="O53" s="40">
        <f t="shared" si="30"/>
        <v>3.1108321430703967E-7</v>
      </c>
      <c r="P53" s="40">
        <f t="shared" si="31"/>
        <v>2.3094476251491565E-4</v>
      </c>
      <c r="Q53" s="40">
        <f t="shared" si="32"/>
        <v>5.1966632832308795E-3</v>
      </c>
      <c r="R53" s="9">
        <f t="shared" si="12"/>
        <v>1.4999999999999999E-4</v>
      </c>
      <c r="S53" s="9">
        <f t="shared" si="13"/>
        <v>1.2004965929253467E-5</v>
      </c>
      <c r="T53" s="9">
        <f t="shared" si="10"/>
        <v>4.6622148635444015E-5</v>
      </c>
      <c r="U53" s="9">
        <f t="shared" si="11"/>
        <v>1.3799503407074652E-4</v>
      </c>
      <c r="V53" s="100">
        <f t="shared" si="14"/>
        <v>0.33785381444626505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198</v>
      </c>
      <c r="C54" s="46" t="s">
        <v>199</v>
      </c>
      <c r="D54" s="47">
        <v>2.8976480000000002</v>
      </c>
      <c r="E54" s="47">
        <v>3.5312959999999993</v>
      </c>
      <c r="F54" s="96">
        <v>9.9999999999999995E-7</v>
      </c>
      <c r="G54" s="168"/>
      <c r="H54" s="168"/>
      <c r="I54" s="92">
        <f t="shared" si="24"/>
        <v>0.17835694544431213</v>
      </c>
      <c r="J54" s="92">
        <f t="shared" si="25"/>
        <v>2.250511751652323</v>
      </c>
      <c r="K54" s="93">
        <f t="shared" si="26"/>
        <v>0.63678894863836666</v>
      </c>
      <c r="L54" s="93">
        <f t="shared" si="27"/>
        <v>3.9322794778124129E-2</v>
      </c>
      <c r="M54" s="93">
        <f t="shared" si="28"/>
        <v>0.96067720522187583</v>
      </c>
      <c r="N54" s="93">
        <f t="shared" si="29"/>
        <v>1.9066120861401623E-2</v>
      </c>
      <c r="O54" s="40">
        <f t="shared" si="30"/>
        <v>6.3733984417984641E-7</v>
      </c>
      <c r="P54" s="40">
        <f t="shared" si="31"/>
        <v>1.1347046157782855E-4</v>
      </c>
      <c r="Q54" s="40">
        <f t="shared" si="32"/>
        <v>2.1660429796297974E-3</v>
      </c>
      <c r="R54" s="9">
        <f t="shared" si="12"/>
        <v>1.4999999999999999E-4</v>
      </c>
      <c r="S54" s="9">
        <f t="shared" si="13"/>
        <v>5.8984192167186189E-6</v>
      </c>
      <c r="T54" s="9">
        <f t="shared" si="10"/>
        <v>9.5518342295754989E-5</v>
      </c>
      <c r="U54" s="9">
        <f t="shared" si="11"/>
        <v>1.4410158078328135E-4</v>
      </c>
      <c r="V54" s="100">
        <f t="shared" si="14"/>
        <v>0.6628542294716937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102</v>
      </c>
      <c r="C55" s="46" t="s">
        <v>103</v>
      </c>
      <c r="D55" s="47">
        <v>1.423632</v>
      </c>
      <c r="E55" s="47">
        <v>1.638849</v>
      </c>
      <c r="F55" s="96">
        <v>9.9999999999999995E-7</v>
      </c>
      <c r="G55" s="168"/>
      <c r="H55" s="168"/>
      <c r="I55" s="54">
        <f t="shared" si="24"/>
        <v>5.9812805986470914E-3</v>
      </c>
      <c r="J55" s="54">
        <f t="shared" si="25"/>
        <v>0.70032517200595146</v>
      </c>
      <c r="K55" s="55">
        <f t="shared" si="26"/>
        <v>0.98412334350352115</v>
      </c>
      <c r="L55" s="55">
        <f t="shared" si="27"/>
        <v>1.7120317434910328E-3</v>
      </c>
      <c r="M55" s="55">
        <f t="shared" si="28"/>
        <v>0.99828796825650901</v>
      </c>
      <c r="N55" s="55">
        <f t="shared" si="29"/>
        <v>3.7745862841844137E-4</v>
      </c>
      <c r="O55" s="56">
        <f t="shared" si="30"/>
        <v>9.8497472316920393E-7</v>
      </c>
      <c r="P55" s="56">
        <f t="shared" si="31"/>
        <v>4.940265137967625E-6</v>
      </c>
      <c r="Q55" s="56">
        <f t="shared" si="32"/>
        <v>4.2881906504727401E-5</v>
      </c>
      <c r="R55" s="9">
        <f t="shared" si="12"/>
        <v>1.4999999999999999E-4</v>
      </c>
      <c r="S55" s="9">
        <f t="shared" si="13"/>
        <v>2.5680476152365491E-7</v>
      </c>
      <c r="T55" s="9">
        <f t="shared" si="10"/>
        <v>1.4761850152552816E-4</v>
      </c>
      <c r="U55" s="9">
        <f t="shared" si="11"/>
        <v>1.4974319523847633E-4</v>
      </c>
      <c r="V55" s="100">
        <f t="shared" si="14"/>
        <v>0.98581108337133816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200</v>
      </c>
      <c r="C56" s="46" t="s">
        <v>201</v>
      </c>
      <c r="D56" s="47">
        <v>2.6912000000000003</v>
      </c>
      <c r="E56" s="47">
        <v>3.3249699999999995</v>
      </c>
      <c r="F56" s="96">
        <v>9.9999999999999995E-7</v>
      </c>
      <c r="G56" s="168"/>
      <c r="H56" s="168"/>
      <c r="I56" s="54">
        <f t="shared" si="24"/>
        <v>0.11910186422699467</v>
      </c>
      <c r="J56" s="54">
        <f t="shared" si="25"/>
        <v>2.0453970116067448</v>
      </c>
      <c r="K56" s="55">
        <f t="shared" si="26"/>
        <v>0.73815900954650693</v>
      </c>
      <c r="L56" s="55">
        <f t="shared" si="27"/>
        <v>2.8423924695126453E-2</v>
      </c>
      <c r="M56" s="55">
        <f t="shared" si="28"/>
        <v>0.97157607530487355</v>
      </c>
      <c r="N56" s="55">
        <f t="shared" si="29"/>
        <v>1.3743291207852719E-2</v>
      </c>
      <c r="O56" s="56">
        <f t="shared" si="30"/>
        <v>7.3879760182756295E-7</v>
      </c>
      <c r="P56" s="56">
        <f t="shared" si="31"/>
        <v>8.2020514391406048E-5</v>
      </c>
      <c r="Q56" s="56">
        <f t="shared" si="32"/>
        <v>1.5613327773476044E-3</v>
      </c>
      <c r="R56" s="9">
        <f t="shared" si="12"/>
        <v>1.4999999999999999E-4</v>
      </c>
      <c r="S56" s="9">
        <f t="shared" si="13"/>
        <v>4.2635887042689675E-6</v>
      </c>
      <c r="T56" s="9">
        <f t="shared" si="10"/>
        <v>1.1072385143197603E-4</v>
      </c>
      <c r="U56" s="9">
        <f t="shared" si="11"/>
        <v>1.4573641129573102E-4</v>
      </c>
      <c r="V56" s="100">
        <f t="shared" si="14"/>
        <v>0.75975420588128206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104</v>
      </c>
      <c r="C57" s="87" t="s">
        <v>105</v>
      </c>
      <c r="D57" s="90">
        <v>2.1493200000000003</v>
      </c>
      <c r="E57" s="90">
        <v>2.6108399999999996</v>
      </c>
      <c r="F57" s="96">
        <v>9.9999999999999995E-7</v>
      </c>
      <c r="G57" s="168"/>
      <c r="H57" s="168"/>
      <c r="I57" s="54">
        <f t="shared" si="24"/>
        <v>3.4503381608646556E-2</v>
      </c>
      <c r="J57" s="54">
        <f t="shared" si="25"/>
        <v>1.4384768340970948</v>
      </c>
      <c r="K57" s="55">
        <f t="shared" si="26"/>
        <v>0.91510668383651839</v>
      </c>
      <c r="L57" s="55">
        <f t="shared" si="27"/>
        <v>8.7113541312967523E-3</v>
      </c>
      <c r="M57" s="55">
        <f t="shared" si="28"/>
        <v>0.99128864586870324</v>
      </c>
      <c r="N57" s="55">
        <f t="shared" si="29"/>
        <v>3.2906565093393137E-3</v>
      </c>
      <c r="O57" s="56">
        <f t="shared" si="30"/>
        <v>9.1589835616874364E-7</v>
      </c>
      <c r="P57" s="56">
        <f t="shared" si="31"/>
        <v>2.5137617502102698E-5</v>
      </c>
      <c r="Q57" s="56">
        <f t="shared" si="32"/>
        <v>3.7384130113520789E-4</v>
      </c>
      <c r="R57" s="9">
        <f t="shared" si="12"/>
        <v>1.4999999999999999E-4</v>
      </c>
      <c r="S57" s="9">
        <f t="shared" si="13"/>
        <v>1.3067031196945127E-6</v>
      </c>
      <c r="T57" s="9">
        <f t="shared" si="10"/>
        <v>1.3726600257547774E-4</v>
      </c>
      <c r="U57" s="9">
        <f t="shared" si="11"/>
        <v>1.4869329688030548E-4</v>
      </c>
      <c r="V57" s="100">
        <f t="shared" si="14"/>
        <v>0.92314855783965555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143</v>
      </c>
      <c r="C58" s="46" t="s">
        <v>144</v>
      </c>
      <c r="D58" s="47">
        <v>2.0184960000000003</v>
      </c>
      <c r="E58" s="47">
        <v>2.3512620000000002</v>
      </c>
      <c r="F58" s="96">
        <v>9.9999999999999995E-7</v>
      </c>
      <c r="G58" s="168"/>
      <c r="H58" s="168"/>
      <c r="I58" s="54">
        <f t="shared" si="24"/>
        <v>2.4527660835054643E-2</v>
      </c>
      <c r="J58" s="54">
        <f t="shared" si="25"/>
        <v>1.2686445962783868</v>
      </c>
      <c r="K58" s="55">
        <f t="shared" si="26"/>
        <v>0.93888854938910227</v>
      </c>
      <c r="L58" s="55">
        <f t="shared" si="27"/>
        <v>6.0449922186405301E-3</v>
      </c>
      <c r="M58" s="55">
        <f t="shared" si="28"/>
        <v>0.99395500778135948</v>
      </c>
      <c r="N58" s="55">
        <f t="shared" si="29"/>
        <v>1.8571495032903664E-3</v>
      </c>
      <c r="O58" s="56">
        <f t="shared" si="30"/>
        <v>9.3970079576509681E-7</v>
      </c>
      <c r="P58" s="56">
        <f t="shared" si="31"/>
        <v>1.7443522545989405E-5</v>
      </c>
      <c r="Q58" s="56">
        <f t="shared" si="32"/>
        <v>2.1098500701675197E-4</v>
      </c>
      <c r="R58" s="9">
        <f t="shared" si="12"/>
        <v>1.4999999999999999E-4</v>
      </c>
      <c r="S58" s="9">
        <f t="shared" si="13"/>
        <v>9.067488327960794E-7</v>
      </c>
      <c r="T58" s="9">
        <f t="shared" si="10"/>
        <v>1.4083328240836534E-4</v>
      </c>
      <c r="U58" s="9">
        <f t="shared" si="11"/>
        <v>1.4909325116720391E-4</v>
      </c>
      <c r="V58" s="100">
        <f t="shared" si="14"/>
        <v>0.94459864082261336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145</v>
      </c>
      <c r="C59" s="46" t="s">
        <v>146</v>
      </c>
      <c r="D59" s="47">
        <v>1.4665360000000003</v>
      </c>
      <c r="E59" s="47">
        <v>1.8522119999999997</v>
      </c>
      <c r="F59" s="96">
        <v>9.9999999999999995E-7</v>
      </c>
      <c r="G59" s="168"/>
      <c r="H59" s="168"/>
      <c r="I59" s="54">
        <f t="shared" si="24"/>
        <v>6.9959414880738915E-3</v>
      </c>
      <c r="J59" s="54">
        <f t="shared" si="25"/>
        <v>0.78059756535561797</v>
      </c>
      <c r="K59" s="55">
        <f t="shared" si="26"/>
        <v>0.9814903539256149</v>
      </c>
      <c r="L59" s="55">
        <f t="shared" si="27"/>
        <v>2.0540958656997325E-3</v>
      </c>
      <c r="M59" s="55">
        <f t="shared" si="28"/>
        <v>0.99794590413430029</v>
      </c>
      <c r="N59" s="55">
        <f t="shared" si="29"/>
        <v>6.1527442006921137E-4</v>
      </c>
      <c r="O59" s="56">
        <f t="shared" si="30"/>
        <v>9.8233945575305568E-7</v>
      </c>
      <c r="P59" s="56">
        <f t="shared" si="31"/>
        <v>5.9273306315380055E-6</v>
      </c>
      <c r="Q59" s="56">
        <f t="shared" si="32"/>
        <v>6.9899422531969485E-5</v>
      </c>
      <c r="R59" s="9">
        <f t="shared" si="12"/>
        <v>1.4999999999999999E-4</v>
      </c>
      <c r="S59" s="9">
        <f t="shared" si="13"/>
        <v>3.0811437985495983E-7</v>
      </c>
      <c r="T59" s="9">
        <f t="shared" si="10"/>
        <v>1.4722355308884223E-4</v>
      </c>
      <c r="U59" s="9">
        <f t="shared" si="11"/>
        <v>1.4969188562014504E-4</v>
      </c>
      <c r="V59" s="100">
        <f t="shared" si="14"/>
        <v>0.98351057893968685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147</v>
      </c>
      <c r="C60" s="46" t="s">
        <v>148</v>
      </c>
      <c r="D60" s="47">
        <v>2.7203999877244023</v>
      </c>
      <c r="E60" s="47">
        <v>3.3923999825375306</v>
      </c>
      <c r="F60" s="96">
        <v>9.9999999999999995E-7</v>
      </c>
      <c r="G60" s="168"/>
      <c r="H60" s="168"/>
      <c r="I60" s="54">
        <f t="shared" si="24"/>
        <v>0.12885708410514962</v>
      </c>
      <c r="J60" s="54">
        <f t="shared" si="25"/>
        <v>2.0932927199973492</v>
      </c>
      <c r="K60" s="55">
        <f t="shared" si="26"/>
        <v>0.71988487622065345</v>
      </c>
      <c r="L60" s="55">
        <f t="shared" si="27"/>
        <v>3.0952296513523964E-2</v>
      </c>
      <c r="M60" s="55">
        <f t="shared" si="28"/>
        <v>0.96904770348647606</v>
      </c>
      <c r="N60" s="55">
        <f t="shared" si="29"/>
        <v>1.5654307349316408E-2</v>
      </c>
      <c r="O60" s="56">
        <f t="shared" si="30"/>
        <v>7.2050765927858285E-7</v>
      </c>
      <c r="P60" s="56">
        <f t="shared" si="31"/>
        <v>8.9316423008601871E-5</v>
      </c>
      <c r="Q60" s="56">
        <f t="shared" si="32"/>
        <v>1.7784374064049255E-3</v>
      </c>
      <c r="R60" s="9">
        <f t="shared" si="12"/>
        <v>1.4999999999999999E-4</v>
      </c>
      <c r="S60" s="9">
        <f t="shared" si="13"/>
        <v>4.6428444770285943E-6</v>
      </c>
      <c r="T60" s="9">
        <f t="shared" si="10"/>
        <v>1.0798273143309801E-4</v>
      </c>
      <c r="U60" s="9">
        <f t="shared" si="11"/>
        <v>1.4535715552297138E-4</v>
      </c>
      <c r="V60" s="100">
        <f t="shared" si="14"/>
        <v>0.74287867731446522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149</v>
      </c>
      <c r="C61" s="46" t="s">
        <v>150</v>
      </c>
      <c r="D61" s="47">
        <v>3.4658999877244021</v>
      </c>
      <c r="E61" s="47">
        <v>4.4528999825375299</v>
      </c>
      <c r="F61" s="96">
        <v>9.9999999999999995E-7</v>
      </c>
      <c r="G61" s="168"/>
      <c r="H61" s="168"/>
      <c r="I61" s="54">
        <f t="shared" si="24"/>
        <v>0.54169315053805034</v>
      </c>
      <c r="J61" s="54">
        <f t="shared" si="25"/>
        <v>3.0243728259141727</v>
      </c>
      <c r="K61" s="55">
        <f t="shared" si="26"/>
        <v>0.25976826170599132</v>
      </c>
      <c r="L61" s="55">
        <f t="shared" si="27"/>
        <v>9.5300684837520924E-2</v>
      </c>
      <c r="M61" s="55">
        <f t="shared" si="28"/>
        <v>0.90469931516247903</v>
      </c>
      <c r="N61" s="55">
        <f t="shared" si="29"/>
        <v>6.4931718139188604E-2</v>
      </c>
      <c r="O61" s="56">
        <f t="shared" si="30"/>
        <v>2.5999299107275837E-7</v>
      </c>
      <c r="P61" s="56">
        <f t="shared" si="31"/>
        <v>2.7500112233153258E-4</v>
      </c>
      <c r="Q61" s="56">
        <f t="shared" si="32"/>
        <v>7.3766915280296247E-3</v>
      </c>
      <c r="R61" s="9">
        <f t="shared" si="12"/>
        <v>1.4999999999999999E-4</v>
      </c>
      <c r="S61" s="9">
        <f t="shared" si="13"/>
        <v>1.4295102725628137E-5</v>
      </c>
      <c r="T61" s="9">
        <f t="shared" si="10"/>
        <v>3.8965239255898693E-5</v>
      </c>
      <c r="U61" s="9">
        <f t="shared" si="11"/>
        <v>1.3570489727437185E-4</v>
      </c>
      <c r="V61" s="100">
        <f t="shared" si="14"/>
        <v>0.28713215247580726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151</v>
      </c>
      <c r="C62" s="46" t="s">
        <v>152</v>
      </c>
      <c r="D62" s="47">
        <v>4.1687999877244026</v>
      </c>
      <c r="E62" s="47">
        <v>5.4527999825375302</v>
      </c>
      <c r="F62" s="96">
        <v>9.9999999999999995E-7</v>
      </c>
      <c r="G62" s="168"/>
      <c r="H62" s="168"/>
      <c r="I62" s="54">
        <f t="shared" si="24"/>
        <v>1.2755126419323455</v>
      </c>
      <c r="J62" s="54">
        <f t="shared" si="25"/>
        <v>3.9494942235672861</v>
      </c>
      <c r="K62" s="55">
        <f t="shared" si="26"/>
        <v>4.5545251396039897E-2</v>
      </c>
      <c r="L62" s="55">
        <f t="shared" si="27"/>
        <v>0.1406288529970777</v>
      </c>
      <c r="M62" s="55">
        <f t="shared" si="28"/>
        <v>0.85937114700292228</v>
      </c>
      <c r="N62" s="55">
        <f t="shared" si="29"/>
        <v>0.1138187757994142</v>
      </c>
      <c r="O62" s="56">
        <f t="shared" si="30"/>
        <v>4.5584653266916109E-8</v>
      </c>
      <c r="P62" s="56">
        <f t="shared" si="31"/>
        <v>4.0580078172918285E-4</v>
      </c>
      <c r="Q62" s="56">
        <f t="shared" si="32"/>
        <v>1.2930598838774756E-2</v>
      </c>
      <c r="R62" s="9">
        <f t="shared" si="12"/>
        <v>1.4999999999999999E-4</v>
      </c>
      <c r="S62" s="9">
        <f t="shared" si="13"/>
        <v>2.1094327949561653E-5</v>
      </c>
      <c r="T62" s="9">
        <f t="shared" si="10"/>
        <v>6.8317877094059843E-6</v>
      </c>
      <c r="U62" s="9">
        <f t="shared" si="11"/>
        <v>1.2890567205043832E-4</v>
      </c>
      <c r="V62" s="100">
        <f t="shared" si="14"/>
        <v>5.2998348332824609E-2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153</v>
      </c>
      <c r="C63" s="46" t="s">
        <v>154</v>
      </c>
      <c r="D63" s="47">
        <v>4.999499987724402</v>
      </c>
      <c r="E63" s="47">
        <v>6.6344999825375304</v>
      </c>
      <c r="F63" s="96">
        <v>9.9999999999999995E-7</v>
      </c>
      <c r="G63" s="168"/>
      <c r="H63" s="168"/>
      <c r="I63" s="54">
        <f t="shared" si="24"/>
        <v>2.3278344887119857</v>
      </c>
      <c r="J63" s="54">
        <f t="shared" si="25"/>
        <v>5.0826681752527678</v>
      </c>
      <c r="K63" s="55">
        <f t="shared" si="26"/>
        <v>3.9246444535785919E-3</v>
      </c>
      <c r="L63" s="55">
        <f t="shared" si="27"/>
        <v>0.16466663146416771</v>
      </c>
      <c r="M63" s="55">
        <f t="shared" si="28"/>
        <v>0.83533336853583229</v>
      </c>
      <c r="N63" s="55">
        <f t="shared" si="29"/>
        <v>0.14902911597290455</v>
      </c>
      <c r="O63" s="56">
        <f t="shared" si="30"/>
        <v>3.928039721564936E-9</v>
      </c>
      <c r="P63" s="56">
        <f t="shared" si="31"/>
        <v>4.7516456508579433E-4</v>
      </c>
      <c r="Q63" s="56">
        <f t="shared" si="32"/>
        <v>1.6930736606576523E-2</v>
      </c>
      <c r="R63" s="9">
        <f t="shared" si="12"/>
        <v>1.4999999999999999E-4</v>
      </c>
      <c r="S63" s="9">
        <f t="shared" si="13"/>
        <v>2.4699994719625156E-5</v>
      </c>
      <c r="T63" s="9">
        <f t="shared" si="10"/>
        <v>5.8869666803678871E-7</v>
      </c>
      <c r="U63" s="9">
        <f t="shared" si="11"/>
        <v>1.2530000528037483E-4</v>
      </c>
      <c r="V63" s="100">
        <f t="shared" si="14"/>
        <v>4.6982972324662274E-3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155</v>
      </c>
      <c r="C64" s="46" t="s">
        <v>156</v>
      </c>
      <c r="D64" s="47">
        <v>4.4669999877244022</v>
      </c>
      <c r="E64" s="47">
        <v>5.8769999825375301</v>
      </c>
      <c r="F64" s="96">
        <v>9.9999999999999995E-7</v>
      </c>
      <c r="G64" s="168"/>
      <c r="H64" s="168"/>
      <c r="I64" s="54">
        <f t="shared" si="24"/>
        <v>1.6404345211947191</v>
      </c>
      <c r="J64" s="54">
        <f t="shared" si="25"/>
        <v>4.3523102260385738</v>
      </c>
      <c r="K64" s="55">
        <f t="shared" si="26"/>
        <v>1.9408331950011667E-2</v>
      </c>
      <c r="L64" s="55">
        <f t="shared" si="27"/>
        <v>0.15150799291930636</v>
      </c>
      <c r="M64" s="55">
        <f t="shared" si="28"/>
        <v>0.84849200708069361</v>
      </c>
      <c r="N64" s="55">
        <f t="shared" si="29"/>
        <v>0.12881279926371941</v>
      </c>
      <c r="O64" s="56">
        <f t="shared" si="30"/>
        <v>1.9425122385149841E-8</v>
      </c>
      <c r="P64" s="56">
        <f t="shared" si="31"/>
        <v>4.3719379526014935E-4</v>
      </c>
      <c r="Q64" s="56">
        <f t="shared" si="32"/>
        <v>1.4634023436644172E-2</v>
      </c>
      <c r="R64" s="9">
        <f t="shared" si="12"/>
        <v>1.4999999999999999E-4</v>
      </c>
      <c r="S64" s="9">
        <f t="shared" si="13"/>
        <v>2.2726198937895951E-5</v>
      </c>
      <c r="T64" s="9">
        <f t="shared" si="10"/>
        <v>2.9112497925017497E-6</v>
      </c>
      <c r="U64" s="9">
        <f t="shared" si="11"/>
        <v>1.2727380106210403E-4</v>
      </c>
      <c r="V64" s="100">
        <f t="shared" si="14"/>
        <v>2.2873912527223005E-2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157</v>
      </c>
      <c r="C65" s="46" t="s">
        <v>158</v>
      </c>
      <c r="D65" s="47">
        <v>4.2539999877244021</v>
      </c>
      <c r="E65" s="47">
        <v>5.5739999825375302</v>
      </c>
      <c r="F65" s="96">
        <v>9.9999999999999995E-7</v>
      </c>
      <c r="G65" s="168"/>
      <c r="H65" s="168"/>
      <c r="I65" s="54">
        <f t="shared" si="24"/>
        <v>1.3777282566754774</v>
      </c>
      <c r="J65" s="54">
        <f t="shared" si="25"/>
        <v>4.0640503506291052</v>
      </c>
      <c r="K65" s="55">
        <f t="shared" si="26"/>
        <v>3.5848478123195152E-2</v>
      </c>
      <c r="L65" s="55">
        <f t="shared" si="27"/>
        <v>0.14409807572312389</v>
      </c>
      <c r="M65" s="55">
        <f t="shared" si="28"/>
        <v>0.85590192427687617</v>
      </c>
      <c r="N65" s="55">
        <f t="shared" si="29"/>
        <v>0.11842449183854137</v>
      </c>
      <c r="O65" s="56">
        <f t="shared" si="30"/>
        <v>3.5879491172038308E-8</v>
      </c>
      <c r="P65" s="56">
        <f t="shared" si="31"/>
        <v>4.1581162420011925E-4</v>
      </c>
      <c r="Q65" s="56">
        <f t="shared" si="32"/>
        <v>1.3453839982856456E-2</v>
      </c>
      <c r="R65" s="9">
        <f t="shared" si="12"/>
        <v>1.4999999999999999E-4</v>
      </c>
      <c r="S65" s="9">
        <f t="shared" si="13"/>
        <v>2.161471135846858E-5</v>
      </c>
      <c r="T65" s="9">
        <f t="shared" si="10"/>
        <v>5.3772717184792718E-6</v>
      </c>
      <c r="U65" s="9">
        <f t="shared" si="11"/>
        <v>1.2838528864153142E-4</v>
      </c>
      <c r="V65" s="100">
        <f t="shared" si="14"/>
        <v>4.1883862048192458E-2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159</v>
      </c>
      <c r="C66" s="46" t="s">
        <v>160</v>
      </c>
      <c r="D66" s="47">
        <v>4.4669999877244022</v>
      </c>
      <c r="E66" s="47">
        <v>5.8769999825375301</v>
      </c>
      <c r="F66" s="96">
        <v>9.9999999999999995E-7</v>
      </c>
      <c r="G66" s="168"/>
      <c r="H66" s="168"/>
      <c r="I66" s="54">
        <f t="shared" si="24"/>
        <v>1.6404345211947191</v>
      </c>
      <c r="J66" s="54">
        <f t="shared" si="25"/>
        <v>4.3523102260385738</v>
      </c>
      <c r="K66" s="55">
        <f t="shared" si="26"/>
        <v>1.9408331950011667E-2</v>
      </c>
      <c r="L66" s="55">
        <f t="shared" si="27"/>
        <v>0.15150799291930636</v>
      </c>
      <c r="M66" s="55">
        <f t="shared" si="28"/>
        <v>0.84849200708069361</v>
      </c>
      <c r="N66" s="55">
        <f t="shared" si="29"/>
        <v>0.12881279926371941</v>
      </c>
      <c r="O66" s="56">
        <f t="shared" si="30"/>
        <v>1.9425122385149841E-8</v>
      </c>
      <c r="P66" s="56">
        <f t="shared" si="31"/>
        <v>4.3719379526014935E-4</v>
      </c>
      <c r="Q66" s="56">
        <f t="shared" si="32"/>
        <v>1.4634023436644172E-2</v>
      </c>
      <c r="R66" s="9">
        <f t="shared" si="12"/>
        <v>1.4999999999999999E-4</v>
      </c>
      <c r="S66" s="9">
        <f t="shared" si="13"/>
        <v>2.2726198937895951E-5</v>
      </c>
      <c r="T66" s="9">
        <f t="shared" si="10"/>
        <v>2.9112497925017497E-6</v>
      </c>
      <c r="U66" s="9">
        <f t="shared" si="11"/>
        <v>1.2727380106210403E-4</v>
      </c>
      <c r="V66" s="100">
        <f t="shared" si="14"/>
        <v>2.2873912527223005E-2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113</v>
      </c>
      <c r="C67" s="46" t="s">
        <v>114</v>
      </c>
      <c r="D67" s="47">
        <v>-0.73745450190951667</v>
      </c>
      <c r="E67" s="47">
        <v>-1.5265197844064957</v>
      </c>
      <c r="F67" s="96">
        <v>9.9999999999999995E-7</v>
      </c>
      <c r="G67" s="168"/>
      <c r="H67" s="168"/>
      <c r="I67" s="54">
        <f t="shared" si="24"/>
        <v>-1.8635683569884906E-4</v>
      </c>
      <c r="J67" s="54">
        <f t="shared" si="25"/>
        <v>-5.4824384934967059E-2</v>
      </c>
      <c r="K67" s="55">
        <f t="shared" si="26"/>
        <v>0.99960540789818142</v>
      </c>
      <c r="L67" s="55">
        <f t="shared" si="27"/>
        <v>3.0559153466894423E-4</v>
      </c>
      <c r="M67" s="55">
        <f t="shared" si="28"/>
        <v>0.99969440846533109</v>
      </c>
      <c r="N67" s="55">
        <f t="shared" si="29"/>
        <v>2.6198693654205157E-7</v>
      </c>
      <c r="O67" s="56">
        <f t="shared" si="30"/>
        <v>1.0004701813268466E-6</v>
      </c>
      <c r="P67" s="56">
        <f t="shared" si="31"/>
        <v>8.8181963384893129E-7</v>
      </c>
      <c r="Q67" s="56">
        <f t="shared" si="32"/>
        <v>2.9763524986377892E-8</v>
      </c>
      <c r="R67" s="9">
        <f t="shared" si="12"/>
        <v>1.4999999999999999E-4</v>
      </c>
      <c r="S67" s="9">
        <f t="shared" si="13"/>
        <v>4.5838730200341633E-8</v>
      </c>
      <c r="T67" s="9">
        <f t="shared" si="10"/>
        <v>1.4994081118472721E-4</v>
      </c>
      <c r="U67" s="9">
        <f t="shared" si="11"/>
        <v>1.4995416126979965E-4</v>
      </c>
      <c r="V67" s="100">
        <f t="shared" si="14"/>
        <v>0.99991097222671643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115</v>
      </c>
      <c r="C68" s="46" t="s">
        <v>116</v>
      </c>
      <c r="D68" s="47">
        <v>4.7386560000000006</v>
      </c>
      <c r="E68" s="47">
        <v>5.8355820000000005</v>
      </c>
      <c r="F68" s="96">
        <v>9.9999999999999995E-7</v>
      </c>
      <c r="G68" s="168"/>
      <c r="H68" s="168"/>
      <c r="I68" s="54">
        <f t="shared" si="24"/>
        <v>1.7268855172909561</v>
      </c>
      <c r="J68" s="54">
        <f t="shared" si="25"/>
        <v>4.3746696029949694</v>
      </c>
      <c r="K68" s="55">
        <f t="shared" si="26"/>
        <v>1.6242775189407338E-2</v>
      </c>
      <c r="L68" s="55">
        <f t="shared" si="27"/>
        <v>0.13349559760075724</v>
      </c>
      <c r="M68" s="55">
        <f t="shared" si="28"/>
        <v>0.86650440239924276</v>
      </c>
      <c r="N68" s="55">
        <f t="shared" si="29"/>
        <v>9.7997062436106938E-2</v>
      </c>
      <c r="O68" s="56">
        <f t="shared" si="30"/>
        <v>1.6256827054553924E-8</v>
      </c>
      <c r="P68" s="56">
        <f t="shared" si="31"/>
        <v>3.8521695021516986E-4</v>
      </c>
      <c r="Q68" s="56">
        <f t="shared" si="32"/>
        <v>1.1133142953257659E-2</v>
      </c>
      <c r="R68" s="9">
        <f t="shared" si="12"/>
        <v>1.4999999999999999E-4</v>
      </c>
      <c r="S68" s="9">
        <f t="shared" si="13"/>
        <v>2.0024339640113583E-5</v>
      </c>
      <c r="T68" s="9">
        <f t="shared" si="10"/>
        <v>2.4364162784111003E-6</v>
      </c>
      <c r="U68" s="9">
        <f t="shared" si="11"/>
        <v>1.299756603598864E-4</v>
      </c>
      <c r="V68" s="100">
        <f t="shared" si="14"/>
        <v>1.8745173301408645E-2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117</v>
      </c>
      <c r="C69" s="46" t="s">
        <v>118</v>
      </c>
      <c r="D69" s="47">
        <v>2.3724999877244022</v>
      </c>
      <c r="E69" s="47">
        <v>2.8974999825375303</v>
      </c>
      <c r="F69" s="96">
        <v>9.9999999999999995E-7</v>
      </c>
      <c r="G69" s="168"/>
      <c r="H69" s="168"/>
      <c r="I69" s="54">
        <f t="shared" si="24"/>
        <v>5.7919228101834593E-2</v>
      </c>
      <c r="J69" s="54">
        <f t="shared" si="25"/>
        <v>1.6815486855199218</v>
      </c>
      <c r="K69" s="55">
        <f t="shared" si="26"/>
        <v>0.86212959770204811</v>
      </c>
      <c r="L69" s="55">
        <f t="shared" si="27"/>
        <v>1.4363436144985097E-2</v>
      </c>
      <c r="M69" s="55">
        <f t="shared" si="28"/>
        <v>0.98563656385501486</v>
      </c>
      <c r="N69" s="55">
        <f t="shared" si="29"/>
        <v>5.9985096470790856E-3</v>
      </c>
      <c r="O69" s="56">
        <f t="shared" si="30"/>
        <v>8.6287543877320257E-7</v>
      </c>
      <c r="P69" s="56">
        <f t="shared" si="31"/>
        <v>4.1447352315909694E-5</v>
      </c>
      <c r="Q69" s="56">
        <f t="shared" si="32"/>
        <v>6.8147211505414202E-4</v>
      </c>
      <c r="R69" s="9">
        <f t="shared" si="12"/>
        <v>1.4999999999999999E-4</v>
      </c>
      <c r="S69" s="9">
        <f t="shared" si="13"/>
        <v>2.1545154217477643E-6</v>
      </c>
      <c r="T69" s="9">
        <f t="shared" si="10"/>
        <v>1.293194396553072E-4</v>
      </c>
      <c r="U69" s="9">
        <f t="shared" si="11"/>
        <v>1.4784548457825222E-4</v>
      </c>
      <c r="V69" s="100">
        <f t="shared" si="14"/>
        <v>0.87469319759211528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111</v>
      </c>
      <c r="C70" s="46" t="s">
        <v>112</v>
      </c>
      <c r="D70" s="47">
        <v>3.3511520000000004</v>
      </c>
      <c r="E70" s="47">
        <v>4.2962190000000007</v>
      </c>
      <c r="F70" s="96">
        <v>9.9999999999999995E-7</v>
      </c>
      <c r="G70" s="168"/>
      <c r="H70" s="168"/>
      <c r="I70" s="54">
        <f t="shared" si="24"/>
        <v>0.45156382049297444</v>
      </c>
      <c r="J70" s="54">
        <f t="shared" si="25"/>
        <v>2.8816128275856787</v>
      </c>
      <c r="K70" s="55">
        <f t="shared" si="26"/>
        <v>0.32319529372734412</v>
      </c>
      <c r="L70" s="55">
        <f t="shared" si="27"/>
        <v>8.5352247816065555E-2</v>
      </c>
      <c r="M70" s="55">
        <f t="shared" si="28"/>
        <v>0.91464775218393446</v>
      </c>
      <c r="N70" s="55">
        <f t="shared" si="29"/>
        <v>5.6318989267567045E-2</v>
      </c>
      <c r="O70" s="56">
        <f t="shared" si="30"/>
        <v>3.2347489475798754E-7</v>
      </c>
      <c r="P70" s="56">
        <f t="shared" si="31"/>
        <v>2.4629375940954368E-4</v>
      </c>
      <c r="Q70" s="56">
        <f t="shared" si="32"/>
        <v>6.398226058129142E-3</v>
      </c>
      <c r="R70" s="9">
        <f t="shared" si="12"/>
        <v>1.4999999999999999E-4</v>
      </c>
      <c r="S70" s="9">
        <f t="shared" si="13"/>
        <v>1.2802837172409833E-5</v>
      </c>
      <c r="T70" s="9">
        <f t="shared" si="10"/>
        <v>4.8479294059101614E-5</v>
      </c>
      <c r="U70" s="9">
        <f t="shared" si="11"/>
        <v>1.3719716282759015E-4</v>
      </c>
      <c r="V70" s="100">
        <f t="shared" si="14"/>
        <v>0.35335493139915353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119</v>
      </c>
      <c r="C71" s="46" t="s">
        <v>120</v>
      </c>
      <c r="D71" s="47">
        <v>5.9183200000000005</v>
      </c>
      <c r="E71" s="47">
        <v>7.0401399999999992</v>
      </c>
      <c r="F71" s="96">
        <v>9.9999999999999995E-7</v>
      </c>
      <c r="G71" s="168"/>
      <c r="H71" s="168"/>
      <c r="I71" s="54">
        <f t="shared" ref="I71:I122" si="33">IF(D71=0,"",LOG($K$15*10^D71+$K$16*10^E71+$K$14))</f>
        <v>2.9114243406645759</v>
      </c>
      <c r="J71" s="54">
        <f t="shared" ref="J71:J122" si="34">IF(D71=0,"",LOG($K$21*10^D71+$K$22*10^E71+$K$20))</f>
        <v>5.5727318227152489</v>
      </c>
      <c r="K71" s="55">
        <f t="shared" ref="K71:K122" si="35">IF(D71=0,"",1/(1+10^D71*$J$15/$J$14+10^E71*$J$16/$J$14+10^J71*$J$19/$J$14))</f>
        <v>1.0575272206661032E-3</v>
      </c>
      <c r="L71" s="55">
        <f t="shared" ref="L71:L122" si="36">IF(D71=0,"",1/(1+10^I71/10^J71*$J$13/$J$19))</f>
        <v>0.13713884422768569</v>
      </c>
      <c r="M71" s="55">
        <f t="shared" si="19"/>
        <v>0.86286115577231426</v>
      </c>
      <c r="N71" s="55">
        <f t="shared" ref="N71:N122" si="37">IF(D71=0,"",1/(1/10^E71*$J$20/$J$22+10^D71/10^E71*$J$21/$J$22+10^I71/10^E71*$J$13/$J$22+1))</f>
        <v>0.10218858344287537</v>
      </c>
      <c r="O71" s="56">
        <f t="shared" si="21"/>
        <v>1.0584421031120125E-9</v>
      </c>
      <c r="P71" s="56">
        <f t="shared" ref="P71:P122" si="38">IF(D71=0,"",O71*10^J71)</f>
        <v>3.9572995873178254E-4</v>
      </c>
      <c r="Q71" s="56">
        <f t="shared" ref="Q71:Q122" si="39">IF(D71=0,"",F71*N71*$J$7/$J$22)</f>
        <v>1.1609328681685595E-2</v>
      </c>
      <c r="R71" s="9">
        <f t="shared" si="12"/>
        <v>1.4999999999999999E-4</v>
      </c>
      <c r="S71" s="9">
        <f t="shared" si="13"/>
        <v>2.057082663415285E-5</v>
      </c>
      <c r="T71" s="9">
        <f t="shared" si="10"/>
        <v>1.5862908309991547E-7</v>
      </c>
      <c r="U71" s="9">
        <f t="shared" si="11"/>
        <v>1.2942917336584712E-4</v>
      </c>
      <c r="V71" s="100">
        <f t="shared" si="14"/>
        <v>1.2256053173694565E-3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121</v>
      </c>
      <c r="C72" s="46" t="s">
        <v>122</v>
      </c>
      <c r="D72" s="47">
        <v>5.5295200000000007</v>
      </c>
      <c r="E72" s="47">
        <v>6.5305900000000001</v>
      </c>
      <c r="F72" s="96">
        <v>9.9999999999999995E-7</v>
      </c>
      <c r="G72" s="168"/>
      <c r="H72" s="168"/>
      <c r="I72" s="54">
        <f t="shared" si="33"/>
        <v>2.4659786116205753</v>
      </c>
      <c r="J72" s="54">
        <f t="shared" si="34"/>
        <v>5.0972861639869835</v>
      </c>
      <c r="K72" s="55">
        <f t="shared" si="35"/>
        <v>2.9766711869398206E-3</v>
      </c>
      <c r="L72" s="55">
        <f t="shared" si="36"/>
        <v>0.12916776204278441</v>
      </c>
      <c r="M72" s="55">
        <f t="shared" si="19"/>
        <v>0.87083223795721554</v>
      </c>
      <c r="N72" s="55">
        <f t="shared" si="37"/>
        <v>8.8979853772148218E-2</v>
      </c>
      <c r="O72" s="56">
        <f t="shared" si="21"/>
        <v>2.9792463492268588E-9</v>
      </c>
      <c r="P72" s="56">
        <f t="shared" si="38"/>
        <v>3.7272848134699808E-4</v>
      </c>
      <c r="Q72" s="56">
        <f t="shared" si="39"/>
        <v>1.0108725786052682E-2</v>
      </c>
      <c r="R72" s="9">
        <f t="shared" si="12"/>
        <v>1.4999999999999999E-4</v>
      </c>
      <c r="S72" s="9">
        <f t="shared" si="13"/>
        <v>1.937516430641766E-5</v>
      </c>
      <c r="T72" s="9">
        <f t="shared" si="10"/>
        <v>4.4650067804097305E-7</v>
      </c>
      <c r="U72" s="9">
        <f t="shared" si="11"/>
        <v>1.3062483569358232E-4</v>
      </c>
      <c r="V72" s="100">
        <f t="shared" si="14"/>
        <v>3.4181913084918038E-3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123</v>
      </c>
      <c r="C73" s="46" t="s">
        <v>124</v>
      </c>
      <c r="D73" s="47">
        <v>5.4845040000000003</v>
      </c>
      <c r="E73" s="47">
        <v>6.5678879999999999</v>
      </c>
      <c r="F73" s="96">
        <v>9.9999999999999995E-7</v>
      </c>
      <c r="G73" s="168"/>
      <c r="H73" s="168"/>
      <c r="I73" s="54">
        <f t="shared" si="33"/>
        <v>2.4593424067669152</v>
      </c>
      <c r="J73" s="54">
        <f t="shared" si="34"/>
        <v>5.1106048185108754</v>
      </c>
      <c r="K73" s="55">
        <f t="shared" si="35"/>
        <v>3.0042591207140464E-3</v>
      </c>
      <c r="L73" s="55">
        <f t="shared" si="36"/>
        <v>0.13442477376884243</v>
      </c>
      <c r="M73" s="55">
        <f t="shared" si="19"/>
        <v>0.86557522623115757</v>
      </c>
      <c r="N73" s="55">
        <f t="shared" si="37"/>
        <v>9.7857972253086803E-2</v>
      </c>
      <c r="O73" s="56">
        <f t="shared" si="21"/>
        <v>3.0068581497307874E-9</v>
      </c>
      <c r="P73" s="56">
        <f t="shared" si="38"/>
        <v>3.8789819526081437E-4</v>
      </c>
      <c r="Q73" s="56">
        <f t="shared" si="39"/>
        <v>1.1117341348061915E-2</v>
      </c>
      <c r="R73" s="9">
        <f t="shared" si="12"/>
        <v>1.4999999999999999E-4</v>
      </c>
      <c r="S73" s="9">
        <f t="shared" si="13"/>
        <v>2.0163716065326364E-5</v>
      </c>
      <c r="T73" s="9">
        <f t="shared" si="10"/>
        <v>4.5063886810710693E-7</v>
      </c>
      <c r="U73" s="9">
        <f t="shared" si="11"/>
        <v>1.2983628393467363E-4</v>
      </c>
      <c r="V73" s="100">
        <f t="shared" si="14"/>
        <v>3.4708238286752205E-3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125</v>
      </c>
      <c r="C74" s="46" t="s">
        <v>126</v>
      </c>
      <c r="D74" s="47">
        <v>2.7195840000000011</v>
      </c>
      <c r="E74" s="47">
        <v>3.2500779999999994</v>
      </c>
      <c r="F74" s="96">
        <v>9.9999999999999995E-7</v>
      </c>
      <c r="G74" s="168"/>
      <c r="H74" s="168"/>
      <c r="I74" s="54">
        <f t="shared" si="33"/>
        <v>0.12015758400049081</v>
      </c>
      <c r="J74" s="54">
        <f t="shared" si="34"/>
        <v>2.0266602459751883</v>
      </c>
      <c r="K74" s="55">
        <f t="shared" si="35"/>
        <v>0.73730046326232779</v>
      </c>
      <c r="L74" s="55">
        <f t="shared" si="36"/>
        <v>2.7192044366008281E-2</v>
      </c>
      <c r="M74" s="55">
        <f t="shared" si="19"/>
        <v>0.97280795563399169</v>
      </c>
      <c r="N74" s="55">
        <f t="shared" si="37"/>
        <v>1.155296162606795E-2</v>
      </c>
      <c r="O74" s="56">
        <f t="shared" si="21"/>
        <v>7.3793831280229025E-7</v>
      </c>
      <c r="P74" s="56">
        <f t="shared" si="38"/>
        <v>7.8465781561697578E-5</v>
      </c>
      <c r="Q74" s="56">
        <f t="shared" si="39"/>
        <v>1.3124962128367261E-3</v>
      </c>
      <c r="R74" s="9">
        <f t="shared" si="12"/>
        <v>1.4999999999999999E-4</v>
      </c>
      <c r="S74" s="9">
        <f t="shared" si="13"/>
        <v>4.0788066549012418E-6</v>
      </c>
      <c r="T74" s="9">
        <f t="shared" si="10"/>
        <v>1.1059506948934916E-4</v>
      </c>
      <c r="U74" s="9">
        <f t="shared" si="11"/>
        <v>1.4592119334509875E-4</v>
      </c>
      <c r="V74" s="100">
        <f t="shared" si="14"/>
        <v>0.75790957402462789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80</v>
      </c>
      <c r="C75" s="46" t="s">
        <v>81</v>
      </c>
      <c r="D75" s="47">
        <v>3.9841999877244016</v>
      </c>
      <c r="E75" s="47">
        <v>5.1901999825375293</v>
      </c>
      <c r="F75" s="96">
        <v>9.9999999999999995E-7</v>
      </c>
      <c r="G75" s="168"/>
      <c r="H75" s="168"/>
      <c r="I75" s="54">
        <f t="shared" si="33"/>
        <v>1.0613094291357714</v>
      </c>
      <c r="J75" s="54">
        <f t="shared" si="34"/>
        <v>3.7029110658853894</v>
      </c>
      <c r="K75" s="55">
        <f t="shared" si="35"/>
        <v>7.5345371518417623E-2</v>
      </c>
      <c r="L75" s="55">
        <f t="shared" si="36"/>
        <v>0.13185747408388479</v>
      </c>
      <c r="M75" s="55">
        <f t="shared" si="19"/>
        <v>0.86814252591611518</v>
      </c>
      <c r="N75" s="55">
        <f t="shared" si="37"/>
        <v>0.10285546815103996</v>
      </c>
      <c r="O75" s="56">
        <f t="shared" si="21"/>
        <v>7.5410553914138185E-8</v>
      </c>
      <c r="P75" s="56">
        <f t="shared" si="38"/>
        <v>3.8048995579298243E-4</v>
      </c>
      <c r="Q75" s="56">
        <f t="shared" si="39"/>
        <v>1.1685091389309394E-2</v>
      </c>
      <c r="R75" s="9">
        <f t="shared" si="12"/>
        <v>1.4999999999999999E-4</v>
      </c>
      <c r="S75" s="9">
        <f t="shared" si="13"/>
        <v>1.9778621112582718E-5</v>
      </c>
      <c r="T75" s="9">
        <f t="shared" si="10"/>
        <v>1.1301805727762642E-5</v>
      </c>
      <c r="U75" s="9">
        <f t="shared" si="11"/>
        <v>1.3022137888741726E-4</v>
      </c>
      <c r="V75" s="100">
        <f t="shared" si="14"/>
        <v>8.6789172594567629E-2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127</v>
      </c>
      <c r="C76" s="46" t="s">
        <v>128</v>
      </c>
      <c r="D76" s="47">
        <v>4.10616</v>
      </c>
      <c r="E76" s="47">
        <v>5.1108449999999994</v>
      </c>
      <c r="F76" s="96">
        <v>9.9999999999999995E-7</v>
      </c>
      <c r="G76" s="168"/>
      <c r="H76" s="168"/>
      <c r="I76" s="54">
        <f t="shared" si="33"/>
        <v>1.080392983851221</v>
      </c>
      <c r="J76" s="54">
        <f t="shared" si="34"/>
        <v>3.6764953216012835</v>
      </c>
      <c r="K76" s="55">
        <f t="shared" si="35"/>
        <v>7.3064522939087995E-2</v>
      </c>
      <c r="L76" s="55">
        <f t="shared" si="36"/>
        <v>0.12032032102975329</v>
      </c>
      <c r="M76" s="55">
        <f t="shared" si="19"/>
        <v>0.87967967897024668</v>
      </c>
      <c r="N76" s="55">
        <f t="shared" si="37"/>
        <v>8.3084952711500862E-2</v>
      </c>
      <c r="O76" s="56">
        <f t="shared" si="21"/>
        <v>7.3127732138954854E-8</v>
      </c>
      <c r="P76" s="56">
        <f t="shared" si="38"/>
        <v>3.471981694453183E-4</v>
      </c>
      <c r="Q76" s="56">
        <f t="shared" si="39"/>
        <v>9.4390243218247481E-3</v>
      </c>
      <c r="R76" s="9">
        <f t="shared" si="12"/>
        <v>1.4999999999999999E-4</v>
      </c>
      <c r="S76" s="9">
        <f t="shared" si="13"/>
        <v>1.8048048154462992E-5</v>
      </c>
      <c r="T76" s="9">
        <f t="shared" si="10"/>
        <v>1.0959678440863198E-5</v>
      </c>
      <c r="U76" s="9">
        <f t="shared" si="11"/>
        <v>1.3195195184553698E-4</v>
      </c>
      <c r="V76" s="100">
        <f t="shared" si="14"/>
        <v>8.3058100221909584E-2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129</v>
      </c>
      <c r="C77" s="46" t="s">
        <v>130</v>
      </c>
      <c r="D77" s="47">
        <v>2.8295519999999996</v>
      </c>
      <c r="E77" s="47">
        <v>3.5791989999999991</v>
      </c>
      <c r="F77" s="96">
        <v>9.9999999999999995E-7</v>
      </c>
      <c r="G77" s="168"/>
      <c r="H77" s="168"/>
      <c r="I77" s="54">
        <f t="shared" si="33"/>
        <v>0.16668848098518507</v>
      </c>
      <c r="J77" s="54">
        <f t="shared" si="34"/>
        <v>2.2428373428324342</v>
      </c>
      <c r="K77" s="55">
        <f t="shared" si="35"/>
        <v>0.65389230851470714</v>
      </c>
      <c r="L77" s="55">
        <f t="shared" si="36"/>
        <v>3.9671687947603791E-2</v>
      </c>
      <c r="M77" s="55">
        <f t="shared" si="19"/>
        <v>0.96032831205239622</v>
      </c>
      <c r="N77" s="55">
        <f t="shared" si="37"/>
        <v>2.1861303469410232E-2</v>
      </c>
      <c r="O77" s="56">
        <f t="shared" si="21"/>
        <v>6.5445800042587943E-7</v>
      </c>
      <c r="P77" s="56">
        <f t="shared" si="38"/>
        <v>1.1447723307526622E-4</v>
      </c>
      <c r="Q77" s="56">
        <f t="shared" si="39"/>
        <v>2.4835950243730647E-3</v>
      </c>
      <c r="R77" s="9">
        <f t="shared" si="12"/>
        <v>1.4999999999999999E-4</v>
      </c>
      <c r="S77" s="9">
        <f t="shared" si="13"/>
        <v>5.950753192140568E-6</v>
      </c>
      <c r="T77" s="9">
        <f t="shared" si="10"/>
        <v>9.8083846277206057E-5</v>
      </c>
      <c r="U77" s="9">
        <f t="shared" si="11"/>
        <v>1.4404924680785943E-4</v>
      </c>
      <c r="V77" s="100">
        <f t="shared" si="14"/>
        <v>0.68090495751106239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82</v>
      </c>
      <c r="C78" s="46" t="s">
        <v>83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0.26960058474961779</v>
      </c>
      <c r="J78" s="54">
        <f t="shared" si="34"/>
        <v>2.551126686071854</v>
      </c>
      <c r="K78" s="55">
        <f t="shared" si="35"/>
        <v>0.50384814903592934</v>
      </c>
      <c r="L78" s="55">
        <f t="shared" si="36"/>
        <v>6.2167508288584437E-2</v>
      </c>
      <c r="M78" s="55">
        <f t="shared" si="19"/>
        <v>0.93783249171141558</v>
      </c>
      <c r="N78" s="55">
        <f t="shared" si="37"/>
        <v>4.0482795204454948E-2</v>
      </c>
      <c r="O78" s="56">
        <f t="shared" si="21"/>
        <v>5.0428403552466352E-7</v>
      </c>
      <c r="P78" s="56">
        <f t="shared" si="38"/>
        <v>1.7939151834074374E-4</v>
      </c>
      <c r="Q78" s="56">
        <f t="shared" si="39"/>
        <v>4.5991250651263426E-3</v>
      </c>
      <c r="R78" s="9">
        <f t="shared" si="12"/>
        <v>1.4999999999999999E-4</v>
      </c>
      <c r="S78" s="9">
        <f t="shared" si="13"/>
        <v>9.3251262432876654E-6</v>
      </c>
      <c r="T78" s="9">
        <f t="shared" si="10"/>
        <v>7.5577222355389389E-5</v>
      </c>
      <c r="U78" s="9">
        <f t="shared" si="11"/>
        <v>1.4067487375671233E-4</v>
      </c>
      <c r="V78" s="100">
        <f t="shared" si="14"/>
        <v>0.53724748661296173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131</v>
      </c>
      <c r="C79" s="46" t="s">
        <v>132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0.30972420580945559</v>
      </c>
      <c r="J79" s="54">
        <f t="shared" si="34"/>
        <v>2.5350986776322406</v>
      </c>
      <c r="K79" s="55">
        <f t="shared" si="35"/>
        <v>0.46287423804850375</v>
      </c>
      <c r="L79" s="55">
        <f t="shared" si="36"/>
        <v>5.5042581633346438E-2</v>
      </c>
      <c r="M79" s="55">
        <f t="shared" si="19"/>
        <v>0.94495741836665359</v>
      </c>
      <c r="N79" s="55">
        <f t="shared" si="37"/>
        <v>2.3169615897495405E-2</v>
      </c>
      <c r="O79" s="56">
        <f t="shared" si="21"/>
        <v>4.6327467740058736E-7</v>
      </c>
      <c r="P79" s="56">
        <f t="shared" si="38"/>
        <v>1.5883172037013272E-4</v>
      </c>
      <c r="Q79" s="56">
        <f t="shared" si="39"/>
        <v>2.6322283499780282E-3</v>
      </c>
      <c r="R79" s="9">
        <f t="shared" si="12"/>
        <v>1.4999999999999999E-4</v>
      </c>
      <c r="S79" s="9">
        <f t="shared" si="13"/>
        <v>8.2563872450019647E-6</v>
      </c>
      <c r="T79" s="9">
        <f t="shared" si="10"/>
        <v>6.9431135707275556E-5</v>
      </c>
      <c r="U79" s="9">
        <f t="shared" si="11"/>
        <v>1.4174361275499803E-4</v>
      </c>
      <c r="V79" s="100">
        <f t="shared" si="14"/>
        <v>0.48983608049617278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133</v>
      </c>
      <c r="C80" s="46" t="s">
        <v>134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0.35763444792585858</v>
      </c>
      <c r="J80" s="54">
        <f t="shared" si="34"/>
        <v>2.6183785550286847</v>
      </c>
      <c r="K80" s="55">
        <f t="shared" si="35"/>
        <v>0.41259995889141637</v>
      </c>
      <c r="L80" s="55">
        <f t="shared" si="36"/>
        <v>5.9435352504518479E-2</v>
      </c>
      <c r="M80" s="55">
        <f t="shared" si="19"/>
        <v>0.94056464749548152</v>
      </c>
      <c r="N80" s="55">
        <f t="shared" si="37"/>
        <v>2.4100219851444182E-2</v>
      </c>
      <c r="O80" s="56">
        <f t="shared" si="21"/>
        <v>4.1295690522073637E-7</v>
      </c>
      <c r="P80" s="56">
        <f t="shared" si="38"/>
        <v>1.7150756757707708E-4</v>
      </c>
      <c r="Q80" s="56">
        <f t="shared" si="39"/>
        <v>2.7379513848795442E-3</v>
      </c>
      <c r="R80" s="9">
        <f t="shared" si="12"/>
        <v>1.4999999999999999E-4</v>
      </c>
      <c r="S80" s="9">
        <f t="shared" si="13"/>
        <v>8.9153028756777716E-6</v>
      </c>
      <c r="T80" s="9">
        <f t="shared" si="10"/>
        <v>6.1889993833712446E-5</v>
      </c>
      <c r="U80" s="9">
        <f t="shared" si="11"/>
        <v>1.4108469712432222E-4</v>
      </c>
      <c r="V80" s="100">
        <f t="shared" si="14"/>
        <v>0.43867262073912733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135</v>
      </c>
      <c r="C81" s="46" t="s">
        <v>136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1.4796577057346771</v>
      </c>
      <c r="J81" s="54">
        <f t="shared" si="34"/>
        <v>4.1487686637317767</v>
      </c>
      <c r="K81" s="55">
        <f t="shared" si="35"/>
        <v>2.8508849947145361E-2</v>
      </c>
      <c r="L81" s="55">
        <f t="shared" si="36"/>
        <v>0.13927894526081205</v>
      </c>
      <c r="M81" s="55">
        <f t="shared" si="19"/>
        <v>0.86072105473918792</v>
      </c>
      <c r="N81" s="55">
        <f t="shared" si="37"/>
        <v>0.10934237985783495</v>
      </c>
      <c r="O81" s="56">
        <f t="shared" si="21"/>
        <v>2.8533513375055313E-8</v>
      </c>
      <c r="P81" s="56">
        <f t="shared" si="38"/>
        <v>4.0190546719760334E-4</v>
      </c>
      <c r="Q81" s="56">
        <f t="shared" si="39"/>
        <v>1.2422049350717633E-2</v>
      </c>
      <c r="R81" s="9">
        <f t="shared" si="12"/>
        <v>1.4999999999999999E-4</v>
      </c>
      <c r="S81" s="9">
        <f t="shared" si="13"/>
        <v>2.0891841789121807E-5</v>
      </c>
      <c r="T81" s="9">
        <f t="shared" si="10"/>
        <v>4.2763274920718041E-6</v>
      </c>
      <c r="U81" s="9">
        <f t="shared" si="11"/>
        <v>1.2910815821087817E-4</v>
      </c>
      <c r="V81" s="100">
        <f t="shared" si="14"/>
        <v>3.312205480529809E-2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137</v>
      </c>
      <c r="C82" s="46" t="s">
        <v>138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1.2498866711591912</v>
      </c>
      <c r="J82" s="54">
        <f t="shared" si="34"/>
        <v>3.8654689347124402</v>
      </c>
      <c r="K82" s="55">
        <f t="shared" si="35"/>
        <v>4.9183821120642415E-2</v>
      </c>
      <c r="L82" s="55">
        <f t="shared" si="36"/>
        <v>0.12514926646565655</v>
      </c>
      <c r="M82" s="55">
        <f t="shared" si="19"/>
        <v>0.87485073353434339</v>
      </c>
      <c r="N82" s="55">
        <f t="shared" si="37"/>
        <v>8.8156449436044518E-2</v>
      </c>
      <c r="O82" s="56">
        <f t="shared" si="21"/>
        <v>4.9226370772024136E-8</v>
      </c>
      <c r="P82" s="56">
        <f t="shared" si="38"/>
        <v>3.6113264868662889E-4</v>
      </c>
      <c r="Q82" s="56">
        <f t="shared" si="39"/>
        <v>1.0015181367941665E-2</v>
      </c>
      <c r="R82" s="9">
        <f t="shared" si="12"/>
        <v>1.4999999999999999E-4</v>
      </c>
      <c r="S82" s="9">
        <f t="shared" si="13"/>
        <v>1.8772389969848479E-5</v>
      </c>
      <c r="T82" s="9">
        <f t="shared" si="10"/>
        <v>7.3775731680963614E-6</v>
      </c>
      <c r="U82" s="9">
        <f t="shared" si="11"/>
        <v>1.3122761003015151E-4</v>
      </c>
      <c r="V82" s="100">
        <f t="shared" si="14"/>
        <v>5.6219671808404148E-2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84</v>
      </c>
      <c r="C83" s="46" t="s">
        <v>85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0.14841008082679891</v>
      </c>
      <c r="J83" s="54">
        <f t="shared" si="34"/>
        <v>2.1853806972032932</v>
      </c>
      <c r="K83" s="55">
        <f t="shared" si="35"/>
        <v>0.68434232404195383</v>
      </c>
      <c r="L83" s="55">
        <f t="shared" si="36"/>
        <v>3.6374011933462992E-2</v>
      </c>
      <c r="M83" s="55">
        <f t="shared" si="19"/>
        <v>0.96362598806653699</v>
      </c>
      <c r="N83" s="55">
        <f t="shared" si="37"/>
        <v>2.0222191761195558E-2</v>
      </c>
      <c r="O83" s="56">
        <f t="shared" si="21"/>
        <v>6.8493435871210114E-7</v>
      </c>
      <c r="P83" s="56">
        <f t="shared" si="38"/>
        <v>1.0496140843538439E-4</v>
      </c>
      <c r="Q83" s="56">
        <f t="shared" si="39"/>
        <v>2.2973806164074163E-3</v>
      </c>
      <c r="R83" s="9">
        <f t="shared" si="12"/>
        <v>1.4999999999999999E-4</v>
      </c>
      <c r="S83" s="9">
        <f t="shared" si="13"/>
        <v>5.456101790019448E-6</v>
      </c>
      <c r="T83" s="9">
        <f t="shared" si="10"/>
        <v>1.0265134860629306E-4</v>
      </c>
      <c r="U83" s="9">
        <f t="shared" si="11"/>
        <v>1.4454389820998053E-4</v>
      </c>
      <c r="V83" s="100">
        <f t="shared" si="14"/>
        <v>0.71017420920231655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139</v>
      </c>
      <c r="C84" s="46" t="s">
        <v>140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1.3452769109111</v>
      </c>
      <c r="J84" s="54">
        <f t="shared" si="34"/>
        <v>3.9072949503750691</v>
      </c>
      <c r="K84" s="55">
        <f t="shared" si="35"/>
        <v>4.006682041675929E-2</v>
      </c>
      <c r="L84" s="55">
        <f t="shared" si="36"/>
        <v>0.11225790610606924</v>
      </c>
      <c r="M84" s="55">
        <f t="shared" si="19"/>
        <v>0.88774209389393077</v>
      </c>
      <c r="N84" s="55">
        <f t="shared" si="37"/>
        <v>6.5218034100461217E-2</v>
      </c>
      <c r="O84" s="56">
        <f t="shared" si="21"/>
        <v>4.0101482815935752E-8</v>
      </c>
      <c r="P84" s="56">
        <f t="shared" si="38"/>
        <v>3.2393314090438288E-4</v>
      </c>
      <c r="Q84" s="56">
        <f t="shared" si="39"/>
        <v>7.4092189982150258E-3</v>
      </c>
      <c r="R84" s="9">
        <f t="shared" si="12"/>
        <v>1.4999999999999999E-4</v>
      </c>
      <c r="S84" s="9">
        <f t="shared" si="13"/>
        <v>1.6838685915910384E-5</v>
      </c>
      <c r="T84" s="9">
        <f t="shared" si="10"/>
        <v>6.0100230625138933E-6</v>
      </c>
      <c r="U84" s="9">
        <f t="shared" si="11"/>
        <v>1.331613140840896E-4</v>
      </c>
      <c r="V84" s="100">
        <f t="shared" si="14"/>
        <v>4.5133401572761911E-2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86</v>
      </c>
      <c r="C85" s="46" t="s">
        <v>87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0.12747825886296762</v>
      </c>
      <c r="J85" s="54">
        <f t="shared" si="34"/>
        <v>2.1028585007358584</v>
      </c>
      <c r="K85" s="55">
        <f t="shared" si="35"/>
        <v>0.7216040218912354</v>
      </c>
      <c r="L85" s="55">
        <f t="shared" si="36"/>
        <v>3.1717179003275517E-2</v>
      </c>
      <c r="M85" s="55">
        <f t="shared" si="19"/>
        <v>0.96828282099672447</v>
      </c>
      <c r="N85" s="55">
        <f t="shared" si="37"/>
        <v>1.7167291010496188E-2</v>
      </c>
      <c r="O85" s="56">
        <f t="shared" si="21"/>
        <v>7.2222829220752103E-7</v>
      </c>
      <c r="P85" s="56">
        <f t="shared" si="38"/>
        <v>9.1523579688451874E-5</v>
      </c>
      <c r="Q85" s="56">
        <f t="shared" si="39"/>
        <v>1.9503227973250862E-3</v>
      </c>
      <c r="R85" s="9">
        <f t="shared" si="12"/>
        <v>1.4999999999999999E-4</v>
      </c>
      <c r="S85" s="9">
        <f t="shared" si="13"/>
        <v>4.757576850491327E-6</v>
      </c>
      <c r="T85" s="9">
        <f t="shared" si="10"/>
        <v>1.082406032836853E-4</v>
      </c>
      <c r="U85" s="9">
        <f t="shared" si="11"/>
        <v>1.4524242314950867E-4</v>
      </c>
      <c r="V85" s="100">
        <f t="shared" si="14"/>
        <v>0.74524096291250475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141</v>
      </c>
      <c r="C86" s="46" t="s">
        <v>142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0.71310437974280194</v>
      </c>
      <c r="J86" s="54">
        <f t="shared" si="34"/>
        <v>3.1127564089177628</v>
      </c>
      <c r="K86" s="55">
        <f t="shared" si="35"/>
        <v>0.1780071564340607</v>
      </c>
      <c r="L86" s="55">
        <f t="shared" si="36"/>
        <v>8.00444046792671E-2</v>
      </c>
      <c r="M86" s="55">
        <f t="shared" si="19"/>
        <v>0.9199555953207329</v>
      </c>
      <c r="N86" s="55">
        <f t="shared" si="37"/>
        <v>2.8630457419438947E-2</v>
      </c>
      <c r="O86" s="56">
        <f t="shared" si="21"/>
        <v>1.78161153058909E-7</v>
      </c>
      <c r="P86" s="56">
        <f t="shared" si="38"/>
        <v>2.3097736559487284E-4</v>
      </c>
      <c r="Q86" s="56">
        <f t="shared" si="39"/>
        <v>3.2526176534688465E-3</v>
      </c>
      <c r="R86" s="9">
        <f t="shared" si="12"/>
        <v>1.4999999999999999E-4</v>
      </c>
      <c r="S86" s="9">
        <f t="shared" si="13"/>
        <v>1.2006660701890064E-5</v>
      </c>
      <c r="T86" s="9">
        <f t="shared" si="10"/>
        <v>2.6701073465109102E-5</v>
      </c>
      <c r="U86" s="9">
        <f t="shared" si="11"/>
        <v>1.3799333929810992E-4</v>
      </c>
      <c r="V86" s="100">
        <f t="shared" si="14"/>
        <v>0.19349537884162807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279</v>
      </c>
      <c r="C87" s="46" t="s">
        <v>280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7.9970216478940079E-2</v>
      </c>
      <c r="J87" s="54">
        <f t="shared" si="34"/>
        <v>1.8429362830281297</v>
      </c>
      <c r="K87" s="55">
        <f t="shared" si="35"/>
        <v>0.81502001641812705</v>
      </c>
      <c r="L87" s="55">
        <f t="shared" si="36"/>
        <v>1.968981634553758E-2</v>
      </c>
      <c r="M87" s="55">
        <f t="shared" si="19"/>
        <v>0.98031018365446243</v>
      </c>
      <c r="N87" s="55">
        <f t="shared" si="37"/>
        <v>8.9133966075573678E-3</v>
      </c>
      <c r="O87" s="56">
        <f t="shared" si="21"/>
        <v>8.1572510229347318E-7</v>
      </c>
      <c r="P87" s="56">
        <f t="shared" si="38"/>
        <v>5.6817236966934731E-5</v>
      </c>
      <c r="Q87" s="56">
        <f t="shared" si="39"/>
        <v>1.0126234007852802E-3</v>
      </c>
      <c r="R87" s="9">
        <f t="shared" si="12"/>
        <v>1.4999999999999999E-4</v>
      </c>
      <c r="S87" s="9">
        <f t="shared" si="13"/>
        <v>2.9534724518306368E-6</v>
      </c>
      <c r="T87" s="9">
        <f t="shared" si="10"/>
        <v>1.2225300246271906E-4</v>
      </c>
      <c r="U87" s="9">
        <f t="shared" si="11"/>
        <v>1.4704652754816936E-4</v>
      </c>
      <c r="V87" s="100">
        <f t="shared" si="14"/>
        <v>0.83138993148050733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281</v>
      </c>
      <c r="C88" s="46" t="s">
        <v>282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1.7455890954858774E-2</v>
      </c>
      <c r="J88" s="54">
        <f t="shared" si="34"/>
        <v>1.0452983449628208</v>
      </c>
      <c r="K88" s="55">
        <f t="shared" si="35"/>
        <v>0.95657011745681519</v>
      </c>
      <c r="L88" s="55">
        <f t="shared" si="36"/>
        <v>3.6825806096030863E-3</v>
      </c>
      <c r="M88" s="55">
        <f t="shared" si="19"/>
        <v>0.99631741939039686</v>
      </c>
      <c r="N88" s="55">
        <f t="shared" si="37"/>
        <v>1.4986065751455949E-4</v>
      </c>
      <c r="O88" s="56">
        <f t="shared" si="21"/>
        <v>9.573976604189638E-7</v>
      </c>
      <c r="P88" s="56">
        <f t="shared" si="38"/>
        <v>1.0626511262156969E-5</v>
      </c>
      <c r="Q88" s="56">
        <f t="shared" si="39"/>
        <v>1.7025205467424803E-5</v>
      </c>
      <c r="R88" s="9">
        <f t="shared" si="12"/>
        <v>1.4999999999999999E-4</v>
      </c>
      <c r="S88" s="9">
        <f t="shared" si="13"/>
        <v>5.5238709144046292E-7</v>
      </c>
      <c r="T88" s="9">
        <f t="shared" si="10"/>
        <v>1.4348551761852226E-4</v>
      </c>
      <c r="U88" s="9">
        <f t="shared" si="11"/>
        <v>1.4944761290855952E-4</v>
      </c>
      <c r="V88" s="100">
        <f t="shared" si="14"/>
        <v>0.96010578440162042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283</v>
      </c>
      <c r="C89" s="46" t="s">
        <v>284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3.8813937169773554E-3</v>
      </c>
      <c r="J89" s="54">
        <f t="shared" si="34"/>
        <v>0.54031268652594377</v>
      </c>
      <c r="K89" s="55">
        <f t="shared" si="35"/>
        <v>0.9894096293942789</v>
      </c>
      <c r="L89" s="55">
        <f t="shared" si="36"/>
        <v>1.1907646318692056E-3</v>
      </c>
      <c r="M89" s="55">
        <f t="shared" si="19"/>
        <v>0.99880923536813082</v>
      </c>
      <c r="N89" s="55">
        <f t="shared" si="37"/>
        <v>1.7937848215163123E-4</v>
      </c>
      <c r="O89" s="56">
        <f t="shared" si="21"/>
        <v>9.9026558230410235E-7</v>
      </c>
      <c r="P89" s="56">
        <f t="shared" si="38"/>
        <v>3.4360887411776539E-6</v>
      </c>
      <c r="Q89" s="56">
        <f t="shared" si="39"/>
        <v>2.0378634164004066E-5</v>
      </c>
      <c r="R89" s="9">
        <f t="shared" si="12"/>
        <v>1.4999999999999999E-4</v>
      </c>
      <c r="S89" s="9">
        <f t="shared" si="13"/>
        <v>1.7861469478038081E-7</v>
      </c>
      <c r="T89" s="9">
        <f t="shared" si="10"/>
        <v>1.4841144440914182E-4</v>
      </c>
      <c r="U89" s="9">
        <f t="shared" si="11"/>
        <v>1.498213853052196E-4</v>
      </c>
      <c r="V89" s="100">
        <f t="shared" si="14"/>
        <v>0.99058918796401851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285</v>
      </c>
      <c r="C90" s="46" t="s">
        <v>286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1.2917346823443875E-4</v>
      </c>
      <c r="J90" s="54">
        <f t="shared" si="34"/>
        <v>2.775579380944819E-2</v>
      </c>
      <c r="K90" s="55">
        <f t="shared" si="35"/>
        <v>0.99881576730392874</v>
      </c>
      <c r="L90" s="55">
        <f t="shared" si="36"/>
        <v>3.6929913526042885E-4</v>
      </c>
      <c r="M90" s="55">
        <f t="shared" si="19"/>
        <v>0.9996307008647396</v>
      </c>
      <c r="N90" s="55">
        <f t="shared" si="37"/>
        <v>5.95158144828336E-6</v>
      </c>
      <c r="O90" s="56">
        <f t="shared" si="21"/>
        <v>9.9967985760283232E-7</v>
      </c>
      <c r="P90" s="56">
        <f t="shared" si="38"/>
        <v>1.0656552662326515E-6</v>
      </c>
      <c r="Q90" s="56">
        <f t="shared" si="39"/>
        <v>6.7614074763614067E-7</v>
      </c>
      <c r="R90" s="9">
        <f t="shared" si="12"/>
        <v>1.4999999999999999E-4</v>
      </c>
      <c r="S90" s="9">
        <f t="shared" si="13"/>
        <v>5.5394870289064326E-8</v>
      </c>
      <c r="T90" s="9">
        <f t="shared" si="10"/>
        <v>1.4982236509558929E-4</v>
      </c>
      <c r="U90" s="9">
        <f t="shared" si="11"/>
        <v>1.4994460512971093E-4</v>
      </c>
      <c r="V90" s="100">
        <f t="shared" si="14"/>
        <v>0.99918476537374668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287</v>
      </c>
      <c r="C91" s="46" t="s">
        <v>288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-2.2956464274597468E-5</v>
      </c>
      <c r="J91" s="54">
        <f t="shared" si="34"/>
        <v>-1.052960814664851E-2</v>
      </c>
      <c r="K91" s="55">
        <f t="shared" si="35"/>
        <v>0.99919672445867147</v>
      </c>
      <c r="L91" s="55">
        <f t="shared" si="36"/>
        <v>3.3826611919099907E-4</v>
      </c>
      <c r="M91" s="55">
        <f t="shared" si="19"/>
        <v>0.99966173388080903</v>
      </c>
      <c r="N91" s="55">
        <f t="shared" si="37"/>
        <v>2.7041414554959753E-6</v>
      </c>
      <c r="O91" s="56">
        <f t="shared" si="21"/>
        <v>1.0000611443292462E-6</v>
      </c>
      <c r="P91" s="56">
        <f t="shared" si="38"/>
        <v>9.761059176316882E-7</v>
      </c>
      <c r="Q91" s="56">
        <f t="shared" si="39"/>
        <v>3.0720914118722146E-7</v>
      </c>
      <c r="R91" s="9">
        <f t="shared" si="12"/>
        <v>1.4999999999999999E-4</v>
      </c>
      <c r="S91" s="9">
        <f t="shared" si="13"/>
        <v>5.0739917878649855E-8</v>
      </c>
      <c r="T91" s="9">
        <f t="shared" si="10"/>
        <v>1.4987950866880072E-4</v>
      </c>
      <c r="U91" s="9">
        <f t="shared" si="11"/>
        <v>1.4994926008212134E-4</v>
      </c>
      <c r="V91" s="100">
        <f t="shared" si="14"/>
        <v>0.99953483322770365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289</v>
      </c>
      <c r="C92" s="46" t="s">
        <v>290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4.9737704902702096E-3</v>
      </c>
      <c r="J92" s="54">
        <f t="shared" si="34"/>
        <v>0.6240422823810835</v>
      </c>
      <c r="K92" s="55">
        <f t="shared" si="35"/>
        <v>0.98667785964663945</v>
      </c>
      <c r="L92" s="55">
        <f t="shared" si="36"/>
        <v>1.4399744053135803E-3</v>
      </c>
      <c r="M92" s="55">
        <f t="shared" si="19"/>
        <v>0.99856002559468637</v>
      </c>
      <c r="N92" s="55">
        <f t="shared" si="37"/>
        <v>2.4770145618233861E-4</v>
      </c>
      <c r="O92" s="56">
        <f t="shared" si="21"/>
        <v>9.8753144926203464E-7</v>
      </c>
      <c r="P92" s="56">
        <f t="shared" si="38"/>
        <v>4.1552122974252576E-6</v>
      </c>
      <c r="Q92" s="56">
        <f t="shared" si="39"/>
        <v>2.8140595777613775E-5</v>
      </c>
      <c r="R92" s="9">
        <f t="shared" si="12"/>
        <v>1.4999999999999999E-4</v>
      </c>
      <c r="S92" s="9">
        <f t="shared" si="13"/>
        <v>2.1599616079703703E-7</v>
      </c>
      <c r="T92" s="9">
        <f t="shared" ref="T92:T143" si="40">R92*K92</f>
        <v>1.4800167894699591E-4</v>
      </c>
      <c r="U92" s="9">
        <f t="shared" ref="U92:U143" si="41">$R92*M92</f>
        <v>1.4978400383920294E-4</v>
      </c>
      <c r="V92" s="100">
        <f t="shared" si="14"/>
        <v>0.98810069936359557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291</v>
      </c>
      <c r="C93" s="46" t="s">
        <v>292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-1.6944268240451622E-5</v>
      </c>
      <c r="J93" s="54">
        <f t="shared" si="34"/>
        <v>-8.9628675548333609E-3</v>
      </c>
      <c r="K93" s="55">
        <f t="shared" si="35"/>
        <v>0.99918167526099722</v>
      </c>
      <c r="L93" s="55">
        <f t="shared" si="36"/>
        <v>3.3948352300676741E-4</v>
      </c>
      <c r="M93" s="55">
        <f t="shared" ref="M93:M127" si="42">IF(D93=0,"",1-L93)</f>
        <v>0.99966051647699328</v>
      </c>
      <c r="N93" s="55">
        <f t="shared" si="37"/>
        <v>2.8180551324231138E-6</v>
      </c>
      <c r="O93" s="56">
        <f t="shared" ref="O93:O127" si="43">IF(D93=0,"",F93*K93*$J$7/$J$14)</f>
        <v>1.0000460821122884E-6</v>
      </c>
      <c r="P93" s="56">
        <f t="shared" si="38"/>
        <v>9.7961887681175909E-7</v>
      </c>
      <c r="Q93" s="56">
        <f t="shared" si="39"/>
        <v>3.2015052144938904E-7</v>
      </c>
      <c r="R93" s="9">
        <f t="shared" ref="R93:R143" si="44">F93*$C$14</f>
        <v>1.4999999999999999E-4</v>
      </c>
      <c r="S93" s="9">
        <f t="shared" ref="S93:S143" si="45">$R93*L93</f>
        <v>5.0922528451015108E-8</v>
      </c>
      <c r="T93" s="9">
        <f t="shared" si="40"/>
        <v>1.4987725128914957E-4</v>
      </c>
      <c r="U93" s="9">
        <f t="shared" si="41"/>
        <v>1.4994907747154898E-4</v>
      </c>
      <c r="V93" s="100">
        <f t="shared" ref="V93:V143" si="46">K93/M93</f>
        <v>0.99952099617009627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293</v>
      </c>
      <c r="C94" s="46" t="s">
        <v>294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-1.664624595209951E-4</v>
      </c>
      <c r="J94" s="54">
        <f t="shared" si="34"/>
        <v>-4.9263850672939993E-2</v>
      </c>
      <c r="K94" s="55">
        <f t="shared" si="35"/>
        <v>0.99955569662246679</v>
      </c>
      <c r="L94" s="55">
        <f t="shared" si="36"/>
        <v>3.0951396967776129E-4</v>
      </c>
      <c r="M94" s="55">
        <f t="shared" si="42"/>
        <v>0.99969048603032229</v>
      </c>
      <c r="N94" s="55">
        <f t="shared" si="37"/>
        <v>4.7122232188787053E-7</v>
      </c>
      <c r="O94" s="56">
        <f t="shared" si="43"/>
        <v>1.0004204270451717E-6</v>
      </c>
      <c r="P94" s="56">
        <f t="shared" si="38"/>
        <v>8.9313827265552779E-7</v>
      </c>
      <c r="Q94" s="56">
        <f t="shared" si="39"/>
        <v>5.3534109512355195E-8</v>
      </c>
      <c r="R94" s="9">
        <f t="shared" si="44"/>
        <v>1.4999999999999999E-4</v>
      </c>
      <c r="S94" s="9">
        <f t="shared" si="45"/>
        <v>4.6427095451664189E-8</v>
      </c>
      <c r="T94" s="9">
        <f t="shared" si="40"/>
        <v>1.4993335449337E-4</v>
      </c>
      <c r="U94" s="9">
        <f t="shared" si="41"/>
        <v>1.4995357290454832E-4</v>
      </c>
      <c r="V94" s="100">
        <f t="shared" si="46"/>
        <v>0.99986516886002308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295</v>
      </c>
      <c r="C95" s="46" t="s">
        <v>296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0.94867954725222914</v>
      </c>
      <c r="J95" s="54">
        <f t="shared" si="34"/>
        <v>3.5683081622045494</v>
      </c>
      <c r="K95" s="55">
        <f t="shared" si="35"/>
        <v>9.829262277873968E-2</v>
      </c>
      <c r="L95" s="55">
        <f t="shared" si="36"/>
        <v>0.12617293141492877</v>
      </c>
      <c r="M95" s="55">
        <f t="shared" si="42"/>
        <v>0.8738270685850712</v>
      </c>
      <c r="N95" s="55">
        <f t="shared" si="37"/>
        <v>9.6219197457147049E-2</v>
      </c>
      <c r="O95" s="56">
        <f t="shared" si="43"/>
        <v>9.8377657181056081E-8</v>
      </c>
      <c r="P95" s="56">
        <f t="shared" si="38"/>
        <v>3.6408655201294041E-4</v>
      </c>
      <c r="Q95" s="56">
        <f t="shared" si="39"/>
        <v>1.0931165215657046E-2</v>
      </c>
      <c r="R95" s="9">
        <f t="shared" si="44"/>
        <v>1.4999999999999999E-4</v>
      </c>
      <c r="S95" s="9">
        <f t="shared" si="45"/>
        <v>1.8925939712239313E-5</v>
      </c>
      <c r="T95" s="9">
        <f t="shared" si="40"/>
        <v>1.4743893416810951E-5</v>
      </c>
      <c r="U95" s="9">
        <f t="shared" si="41"/>
        <v>1.3107406028776066E-4</v>
      </c>
      <c r="V95" s="100">
        <f t="shared" si="46"/>
        <v>0.11248521167683469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297</v>
      </c>
      <c r="C96" s="46" t="s">
        <v>210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-2.2502251762220258E-4</v>
      </c>
      <c r="J96" s="54">
        <f t="shared" si="34"/>
        <v>-6.5703506823937385E-2</v>
      </c>
      <c r="K96" s="55">
        <f t="shared" si="35"/>
        <v>0.9997019389859827</v>
      </c>
      <c r="L96" s="55">
        <f t="shared" si="36"/>
        <v>2.980603005464934E-4</v>
      </c>
      <c r="M96" s="55">
        <f t="shared" si="42"/>
        <v>0.99970193969945353</v>
      </c>
      <c r="N96" s="55">
        <f t="shared" si="37"/>
        <v>1.5025929901649676E-14</v>
      </c>
      <c r="O96" s="56">
        <f t="shared" si="43"/>
        <v>1.0005667959251204E-6</v>
      </c>
      <c r="P96" s="56">
        <f t="shared" si="38"/>
        <v>8.6008738880004699E-7</v>
      </c>
      <c r="Q96" s="56">
        <f t="shared" si="39"/>
        <v>1.7070493894627022E-15</v>
      </c>
      <c r="R96" s="9">
        <f t="shared" si="44"/>
        <v>1.4999999999999999E-4</v>
      </c>
      <c r="S96" s="9">
        <f t="shared" si="45"/>
        <v>4.4709045081974007E-8</v>
      </c>
      <c r="T96" s="9">
        <f t="shared" si="40"/>
        <v>1.499552908478974E-4</v>
      </c>
      <c r="U96" s="9">
        <f t="shared" si="41"/>
        <v>1.4995529095491802E-4</v>
      </c>
      <c r="V96" s="100">
        <f t="shared" si="46"/>
        <v>0.99999999928631644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298</v>
      </c>
      <c r="C97" s="46" t="s">
        <v>211</v>
      </c>
      <c r="D97" s="47" t="s">
        <v>299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1.4999999999999999E-4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300</v>
      </c>
      <c r="C98" s="46" t="s">
        <v>212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1.2628922084387679</v>
      </c>
      <c r="J98" s="54">
        <f t="shared" si="34"/>
        <v>3.6473845694063871</v>
      </c>
      <c r="K98" s="55">
        <f t="shared" si="35"/>
        <v>5.033195348085754E-2</v>
      </c>
      <c r="L98" s="55">
        <f t="shared" si="36"/>
        <v>7.7511378979736589E-2</v>
      </c>
      <c r="M98" s="55">
        <f t="shared" si="42"/>
        <v>0.92248862102026341</v>
      </c>
      <c r="N98" s="55">
        <f t="shared" si="37"/>
        <v>7.8852344485599649E-3</v>
      </c>
      <c r="O98" s="56">
        <f t="shared" si="43"/>
        <v>5.0375496398532005E-8</v>
      </c>
      <c r="P98" s="56">
        <f t="shared" si="38"/>
        <v>2.2366802766668155E-4</v>
      </c>
      <c r="Q98" s="56">
        <f t="shared" si="39"/>
        <v>8.9581708015999369E-4</v>
      </c>
      <c r="R98" s="9">
        <f t="shared" si="44"/>
        <v>1.4999999999999999E-4</v>
      </c>
      <c r="S98" s="9">
        <f t="shared" si="45"/>
        <v>1.1626706846960487E-5</v>
      </c>
      <c r="T98" s="9">
        <f t="shared" si="40"/>
        <v>7.54979302212863E-6</v>
      </c>
      <c r="U98" s="9">
        <f t="shared" si="41"/>
        <v>1.3837329315303951E-4</v>
      </c>
      <c r="V98" s="100">
        <f t="shared" si="46"/>
        <v>5.4561056184292973E-2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301</v>
      </c>
      <c r="C99" s="46" t="s">
        <v>213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0.12448503768629132</v>
      </c>
      <c r="J99" s="54">
        <f t="shared" si="34"/>
        <v>1.9238445379940865</v>
      </c>
      <c r="K99" s="55">
        <f t="shared" si="35"/>
        <v>0.7343559791637152</v>
      </c>
      <c r="L99" s="55">
        <f t="shared" si="36"/>
        <v>2.1374121838895768E-2</v>
      </c>
      <c r="M99" s="55">
        <f t="shared" si="42"/>
        <v>0.97862587816110425</v>
      </c>
      <c r="N99" s="55">
        <f t="shared" si="37"/>
        <v>1.3516911156783468E-3</v>
      </c>
      <c r="O99" s="56">
        <f t="shared" si="43"/>
        <v>7.349912813869169E-7</v>
      </c>
      <c r="P99" s="56">
        <f t="shared" si="38"/>
        <v>6.1677494810961315E-5</v>
      </c>
      <c r="Q99" s="56">
        <f t="shared" si="39"/>
        <v>1.5356144404131381E-4</v>
      </c>
      <c r="R99" s="9">
        <f t="shared" si="44"/>
        <v>1.4999999999999999E-4</v>
      </c>
      <c r="S99" s="9">
        <f t="shared" si="45"/>
        <v>3.2061182758343652E-6</v>
      </c>
      <c r="T99" s="9">
        <f t="shared" si="40"/>
        <v>1.1015339687455727E-4</v>
      </c>
      <c r="U99" s="9">
        <f t="shared" si="41"/>
        <v>1.4679388172416562E-4</v>
      </c>
      <c r="V99" s="100">
        <f t="shared" si="46"/>
        <v>0.75039501361195704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302</v>
      </c>
      <c r="C100" s="46" t="s">
        <v>214</v>
      </c>
      <c r="D100" s="47" t="s">
        <v>299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1.4999999999999999E-4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303</v>
      </c>
      <c r="C101" s="46" t="s">
        <v>215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0.94115347171694241</v>
      </c>
      <c r="J101" s="54">
        <f t="shared" si="34"/>
        <v>3.2804859651125566</v>
      </c>
      <c r="K101" s="55">
        <f t="shared" si="35"/>
        <v>0.10639466974689019</v>
      </c>
      <c r="L101" s="55">
        <f t="shared" si="36"/>
        <v>7.0395183177187862E-2</v>
      </c>
      <c r="M101" s="55">
        <f t="shared" si="42"/>
        <v>0.92960481682281215</v>
      </c>
      <c r="N101" s="55">
        <f t="shared" si="37"/>
        <v>3.1037783173208091E-3</v>
      </c>
      <c r="O101" s="56">
        <f t="shared" si="43"/>
        <v>1.064867133499177E-7</v>
      </c>
      <c r="P101" s="56">
        <f t="shared" si="38"/>
        <v>2.0313342357891146E-4</v>
      </c>
      <c r="Q101" s="56">
        <f t="shared" si="39"/>
        <v>3.5261064814553448E-4</v>
      </c>
      <c r="R101" s="9">
        <f t="shared" si="44"/>
        <v>1.4999999999999999E-4</v>
      </c>
      <c r="S101" s="9">
        <f t="shared" si="45"/>
        <v>1.0559277476578178E-5</v>
      </c>
      <c r="T101" s="9">
        <f t="shared" si="40"/>
        <v>1.5959200462033526E-5</v>
      </c>
      <c r="U101" s="9">
        <f t="shared" si="41"/>
        <v>1.3944072252342182E-4</v>
      </c>
      <c r="V101" s="100">
        <f t="shared" si="46"/>
        <v>0.11445150436130927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304</v>
      </c>
      <c r="C102" s="46" t="s">
        <v>216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0.36577089944725916</v>
      </c>
      <c r="J102" s="54">
        <f t="shared" si="34"/>
        <v>2.5018749283324597</v>
      </c>
      <c r="K102" s="55">
        <f t="shared" si="35"/>
        <v>0.41103683703864197</v>
      </c>
      <c r="L102" s="55">
        <f t="shared" si="36"/>
        <v>4.5278578168809584E-2</v>
      </c>
      <c r="M102" s="55">
        <f t="shared" si="42"/>
        <v>0.95472142183119046</v>
      </c>
      <c r="N102" s="55">
        <f t="shared" si="37"/>
        <v>4.1548096380160343E-9</v>
      </c>
      <c r="O102" s="56">
        <f t="shared" si="43"/>
        <v>4.1139243108811891E-7</v>
      </c>
      <c r="P102" s="56">
        <f t="shared" si="38"/>
        <v>1.3065656175742727E-4</v>
      </c>
      <c r="Q102" s="56">
        <f t="shared" si="39"/>
        <v>4.7201506344910804E-10</v>
      </c>
      <c r="R102" s="9">
        <f t="shared" si="44"/>
        <v>1.4999999999999999E-4</v>
      </c>
      <c r="S102" s="9">
        <f t="shared" si="45"/>
        <v>6.7917867253214371E-6</v>
      </c>
      <c r="T102" s="9">
        <f t="shared" si="40"/>
        <v>6.1655525555796289E-5</v>
      </c>
      <c r="U102" s="9">
        <f t="shared" si="41"/>
        <v>1.4320821327467855E-4</v>
      </c>
      <c r="V102" s="100">
        <f t="shared" si="46"/>
        <v>0.43053065285814823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305</v>
      </c>
      <c r="C103" s="46" t="s">
        <v>217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1.199560490818528</v>
      </c>
      <c r="J103" s="54">
        <f t="shared" si="34"/>
        <v>3.5508029338400835</v>
      </c>
      <c r="K103" s="55">
        <f t="shared" si="35"/>
        <v>5.8568442832054077E-2</v>
      </c>
      <c r="L103" s="55">
        <f t="shared" si="36"/>
        <v>7.2211059774272945E-2</v>
      </c>
      <c r="M103" s="55">
        <f t="shared" si="42"/>
        <v>0.92778894022572711</v>
      </c>
      <c r="N103" s="55">
        <f t="shared" si="37"/>
        <v>9.8726573201638609E-9</v>
      </c>
      <c r="O103" s="56">
        <f t="shared" si="43"/>
        <v>5.861911125853443E-8</v>
      </c>
      <c r="P103" s="56">
        <f t="shared" si="38"/>
        <v>2.0837334502402322E-4</v>
      </c>
      <c r="Q103" s="56">
        <f t="shared" si="39"/>
        <v>1.1216020413425403E-9</v>
      </c>
      <c r="R103" s="9">
        <f t="shared" si="44"/>
        <v>1.4999999999999999E-4</v>
      </c>
      <c r="S103" s="9">
        <f t="shared" si="45"/>
        <v>1.0831658966140942E-5</v>
      </c>
      <c r="T103" s="9">
        <f t="shared" si="40"/>
        <v>8.7852664248081115E-6</v>
      </c>
      <c r="U103" s="9">
        <f t="shared" si="41"/>
        <v>1.3916834103385906E-4</v>
      </c>
      <c r="V103" s="100">
        <f t="shared" si="46"/>
        <v>6.3126903428924921E-2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306</v>
      </c>
      <c r="C104" s="46" t="s">
        <v>218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1.8651886014657959</v>
      </c>
      <c r="J104" s="54">
        <f t="shared" si="34"/>
        <v>4.2526423267701308</v>
      </c>
      <c r="K104" s="55">
        <f t="shared" si="35"/>
        <v>1.2569474775422591E-2</v>
      </c>
      <c r="L104" s="55">
        <f t="shared" si="36"/>
        <v>7.800035242285018E-2</v>
      </c>
      <c r="M104" s="55">
        <f t="shared" si="42"/>
        <v>0.92199964757714981</v>
      </c>
      <c r="N104" s="55">
        <f t="shared" si="37"/>
        <v>3.8396174325635198E-3</v>
      </c>
      <c r="O104" s="56">
        <f t="shared" si="43"/>
        <v>1.2580348814030404E-8</v>
      </c>
      <c r="P104" s="56">
        <f t="shared" si="38"/>
        <v>2.2507901695679848E-4</v>
      </c>
      <c r="Q104" s="56">
        <f t="shared" si="39"/>
        <v>4.3620705253711472E-4</v>
      </c>
      <c r="R104" s="9">
        <f t="shared" si="44"/>
        <v>1.4999999999999999E-4</v>
      </c>
      <c r="S104" s="9">
        <f t="shared" si="45"/>
        <v>1.1700052863427526E-5</v>
      </c>
      <c r="T104" s="9">
        <f t="shared" si="40"/>
        <v>1.8854212163133885E-6</v>
      </c>
      <c r="U104" s="9">
        <f t="shared" si="41"/>
        <v>1.3829994713657247E-4</v>
      </c>
      <c r="V104" s="100">
        <f t="shared" si="46"/>
        <v>1.3632841193001455E-2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307</v>
      </c>
      <c r="C105" s="46" t="s">
        <v>219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1.4992792320699506</v>
      </c>
      <c r="J105" s="54">
        <f t="shared" si="34"/>
        <v>3.9339975399006524</v>
      </c>
      <c r="K105" s="55">
        <f t="shared" si="35"/>
        <v>2.8930045440758206E-2</v>
      </c>
      <c r="L105" s="55">
        <f t="shared" si="36"/>
        <v>8.6195335240228807E-2</v>
      </c>
      <c r="M105" s="55">
        <f t="shared" si="42"/>
        <v>0.91380466475977118</v>
      </c>
      <c r="N105" s="55">
        <f t="shared" si="37"/>
        <v>1.9784265878495466E-2</v>
      </c>
      <c r="O105" s="56">
        <f t="shared" si="43"/>
        <v>2.8955073251121747E-8</v>
      </c>
      <c r="P105" s="56">
        <f t="shared" si="38"/>
        <v>2.4872658545128495E-4</v>
      </c>
      <c r="Q105" s="56">
        <f t="shared" si="39"/>
        <v>2.2476292122955792E-3</v>
      </c>
      <c r="R105" s="9">
        <f t="shared" si="44"/>
        <v>1.4999999999999999E-4</v>
      </c>
      <c r="S105" s="9">
        <f t="shared" si="45"/>
        <v>1.2929300286034321E-5</v>
      </c>
      <c r="T105" s="9">
        <f t="shared" si="40"/>
        <v>4.3395068161137301E-6</v>
      </c>
      <c r="U105" s="9">
        <f t="shared" si="41"/>
        <v>1.3707069971396566E-4</v>
      </c>
      <c r="V105" s="100">
        <f t="shared" si="46"/>
        <v>3.165889446226846E-2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308</v>
      </c>
      <c r="C106" s="46" t="s">
        <v>220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0.70891628628139558</v>
      </c>
      <c r="J106" s="54">
        <f t="shared" si="34"/>
        <v>3.0001364508445363</v>
      </c>
      <c r="K106" s="55">
        <f t="shared" si="35"/>
        <v>0.18296792420407382</v>
      </c>
      <c r="L106" s="55">
        <f t="shared" si="36"/>
        <v>6.3481695739830632E-2</v>
      </c>
      <c r="M106" s="55">
        <f t="shared" si="42"/>
        <v>0.93651830426016935</v>
      </c>
      <c r="N106" s="55">
        <f t="shared" si="37"/>
        <v>1.3102247079268114E-3</v>
      </c>
      <c r="O106" s="56">
        <f t="shared" si="43"/>
        <v>1.8312621246252011E-7</v>
      </c>
      <c r="P106" s="56">
        <f t="shared" si="38"/>
        <v>1.8318375786832822E-4</v>
      </c>
      <c r="Q106" s="56">
        <f t="shared" si="39"/>
        <v>1.4885057379908682E-4</v>
      </c>
      <c r="R106" s="9">
        <f t="shared" si="44"/>
        <v>1.4999999999999999E-4</v>
      </c>
      <c r="S106" s="9">
        <f t="shared" si="45"/>
        <v>9.5222543609745943E-6</v>
      </c>
      <c r="T106" s="9">
        <f t="shared" si="40"/>
        <v>2.7445188630611069E-5</v>
      </c>
      <c r="U106" s="9">
        <f t="shared" si="41"/>
        <v>1.4047774563902539E-4</v>
      </c>
      <c r="V106" s="100">
        <f t="shared" si="46"/>
        <v>0.19537036635777749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309</v>
      </c>
      <c r="C107" s="46" t="s">
        <v>221</v>
      </c>
      <c r="D107" s="47" t="s">
        <v>299</v>
      </c>
      <c r="E107" s="47" t="s">
        <v>310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1.4999999999999999E-4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311</v>
      </c>
      <c r="C108" s="46" t="s">
        <v>222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1.3235891145541188</v>
      </c>
      <c r="J108" s="54">
        <f t="shared" si="34"/>
        <v>3.7014271719824365</v>
      </c>
      <c r="K108" s="55">
        <f t="shared" si="35"/>
        <v>4.3818654222421337E-2</v>
      </c>
      <c r="L108" s="55">
        <f t="shared" si="36"/>
        <v>7.6422864955915548E-2</v>
      </c>
      <c r="M108" s="55">
        <f t="shared" si="42"/>
        <v>0.92357713504408445</v>
      </c>
      <c r="N108" s="55">
        <f t="shared" si="37"/>
        <v>5.2075069617545933E-3</v>
      </c>
      <c r="O108" s="56">
        <f t="shared" si="43"/>
        <v>4.3856562388535693E-8</v>
      </c>
      <c r="P108" s="56">
        <f t="shared" si="38"/>
        <v>2.2052699485317393E-4</v>
      </c>
      <c r="Q108" s="56">
        <f t="shared" si="39"/>
        <v>5.9160874820199892E-4</v>
      </c>
      <c r="R108" s="9">
        <f t="shared" si="44"/>
        <v>1.4999999999999999E-4</v>
      </c>
      <c r="S108" s="9">
        <f t="shared" si="45"/>
        <v>1.1463429743387331E-5</v>
      </c>
      <c r="T108" s="9">
        <f t="shared" si="40"/>
        <v>6.5727981333632E-6</v>
      </c>
      <c r="U108" s="9">
        <f t="shared" si="41"/>
        <v>1.3853657025661266E-4</v>
      </c>
      <c r="V108" s="100">
        <f t="shared" si="46"/>
        <v>4.7444498742738768E-2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312</v>
      </c>
      <c r="C109" s="46" t="s">
        <v>223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1.537838229995057</v>
      </c>
      <c r="J109" s="54">
        <f t="shared" si="34"/>
        <v>3.9592343762414268</v>
      </c>
      <c r="K109" s="55">
        <f t="shared" si="35"/>
        <v>2.6541316890321895E-2</v>
      </c>
      <c r="L109" s="55">
        <f t="shared" si="36"/>
        <v>8.3809635322901518E-2</v>
      </c>
      <c r="M109" s="55">
        <f t="shared" si="42"/>
        <v>0.91619036467709847</v>
      </c>
      <c r="N109" s="55">
        <f t="shared" si="37"/>
        <v>1.5448748081481596E-2</v>
      </c>
      <c r="O109" s="56">
        <f t="shared" si="43"/>
        <v>2.6564278176272511E-8</v>
      </c>
      <c r="P109" s="56">
        <f t="shared" si="38"/>
        <v>2.4184237306676968E-4</v>
      </c>
      <c r="Q109" s="56">
        <f t="shared" si="39"/>
        <v>1.7550844542114448E-3</v>
      </c>
      <c r="R109" s="9">
        <f t="shared" si="44"/>
        <v>1.4999999999999999E-4</v>
      </c>
      <c r="S109" s="9">
        <f t="shared" si="45"/>
        <v>1.2571445298435226E-5</v>
      </c>
      <c r="T109" s="9">
        <f t="shared" si="40"/>
        <v>3.9811975335482839E-6</v>
      </c>
      <c r="U109" s="9">
        <f t="shared" si="41"/>
        <v>1.3742855470156475E-4</v>
      </c>
      <c r="V109" s="100">
        <f t="shared" si="46"/>
        <v>2.896921634804149E-2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202</v>
      </c>
      <c r="C110" s="46" t="s">
        <v>203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0.24151373144665708</v>
      </c>
      <c r="J110" s="54">
        <f t="shared" si="34"/>
        <v>2.2543342131627062</v>
      </c>
      <c r="K110" s="55">
        <f t="shared" si="35"/>
        <v>0.55338202877197418</v>
      </c>
      <c r="L110" s="55">
        <f t="shared" si="36"/>
        <v>3.4474372646967046E-2</v>
      </c>
      <c r="M110" s="55">
        <f t="shared" si="42"/>
        <v>0.96552562735303293</v>
      </c>
      <c r="N110" s="55">
        <f t="shared" si="37"/>
        <v>1.224604568370094E-4</v>
      </c>
      <c r="O110" s="56">
        <f t="shared" si="43"/>
        <v>5.5386076775297776E-7</v>
      </c>
      <c r="P110" s="56">
        <f t="shared" si="38"/>
        <v>9.9479780085051921E-5</v>
      </c>
      <c r="Q110" s="56">
        <f t="shared" si="39"/>
        <v>1.3912353474641833E-5</v>
      </c>
      <c r="R110" s="9">
        <f t="shared" si="44"/>
        <v>1.4999999999999999E-4</v>
      </c>
      <c r="S110" s="9">
        <f t="shared" si="45"/>
        <v>5.1711558970450564E-6</v>
      </c>
      <c r="T110" s="9">
        <f t="shared" si="40"/>
        <v>8.3007304315796114E-5</v>
      </c>
      <c r="U110" s="9">
        <f t="shared" si="41"/>
        <v>1.4482884410295494E-4</v>
      </c>
      <c r="V110" s="100">
        <f t="shared" si="46"/>
        <v>0.57314069465878259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204</v>
      </c>
      <c r="C111" s="46" t="s">
        <v>205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0.16670977104284687</v>
      </c>
      <c r="J111" s="54">
        <f t="shared" si="34"/>
        <v>2.2360989063469887</v>
      </c>
      <c r="K111" s="55">
        <f t="shared" si="35"/>
        <v>0.65426112184147556</v>
      </c>
      <c r="L111" s="55">
        <f t="shared" si="36"/>
        <v>3.9082931164358445E-2</v>
      </c>
      <c r="M111" s="55">
        <f t="shared" si="42"/>
        <v>0.96091706883564154</v>
      </c>
      <c r="N111" s="55">
        <f t="shared" si="37"/>
        <v>2.0914975033346609E-2</v>
      </c>
      <c r="O111" s="56">
        <f t="shared" si="43"/>
        <v>6.5482713281851379E-7</v>
      </c>
      <c r="P111" s="56">
        <f t="shared" si="38"/>
        <v>1.1277830744373678E-4</v>
      </c>
      <c r="Q111" s="56">
        <f t="shared" si="39"/>
        <v>2.3760855797272302E-3</v>
      </c>
      <c r="R111" s="9">
        <f t="shared" si="44"/>
        <v>1.4999999999999999E-4</v>
      </c>
      <c r="S111" s="9">
        <f t="shared" si="45"/>
        <v>5.862439674653766E-6</v>
      </c>
      <c r="T111" s="9">
        <f t="shared" si="40"/>
        <v>9.813916827622133E-5</v>
      </c>
      <c r="U111" s="9">
        <f t="shared" si="41"/>
        <v>1.4413756032534623E-4</v>
      </c>
      <c r="V111" s="100">
        <f t="shared" si="46"/>
        <v>0.68087157889104222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206</v>
      </c>
      <c r="C112" s="46" t="s">
        <v>207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2.5219720041185627</v>
      </c>
      <c r="J112" s="54">
        <f t="shared" si="34"/>
        <v>5.2243795044903081</v>
      </c>
      <c r="K112" s="55">
        <f t="shared" si="35"/>
        <v>2.5578321180112925E-3</v>
      </c>
      <c r="L112" s="55">
        <f t="shared" si="36"/>
        <v>0.14872659949360995</v>
      </c>
      <c r="M112" s="55">
        <f t="shared" si="42"/>
        <v>0.85127340050639</v>
      </c>
      <c r="N112" s="55">
        <f t="shared" si="37"/>
        <v>0.12194383820786529</v>
      </c>
      <c r="O112" s="56">
        <f t="shared" si="43"/>
        <v>2.5600449364226029E-9</v>
      </c>
      <c r="P112" s="56">
        <f t="shared" si="38"/>
        <v>4.2916776360029139E-4</v>
      </c>
      <c r="Q112" s="56">
        <f t="shared" si="39"/>
        <v>1.385366203116793E-2</v>
      </c>
      <c r="R112" s="9">
        <f t="shared" si="44"/>
        <v>1.4999999999999999E-4</v>
      </c>
      <c r="S112" s="9">
        <f t="shared" si="45"/>
        <v>2.2308989924041489E-5</v>
      </c>
      <c r="T112" s="9">
        <f t="shared" si="40"/>
        <v>3.8367481770169384E-7</v>
      </c>
      <c r="U112" s="9">
        <f t="shared" si="41"/>
        <v>1.2769101007595849E-4</v>
      </c>
      <c r="V112" s="100">
        <f t="shared" si="46"/>
        <v>3.0047128413618184E-3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208</v>
      </c>
      <c r="C113" s="46" t="s">
        <v>209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2.8671793282646911</v>
      </c>
      <c r="J113" s="54">
        <f t="shared" si="34"/>
        <v>5.592091109253353</v>
      </c>
      <c r="K113" s="55">
        <f t="shared" si="35"/>
        <v>1.1461540872732606E-3</v>
      </c>
      <c r="L113" s="55">
        <f t="shared" si="36"/>
        <v>0.15540723162515174</v>
      </c>
      <c r="M113" s="55">
        <f t="shared" si="42"/>
        <v>0.8445927683748482</v>
      </c>
      <c r="N113" s="55">
        <f t="shared" si="37"/>
        <v>0.13303956968580966</v>
      </c>
      <c r="O113" s="56">
        <f t="shared" si="43"/>
        <v>1.1471456421328066E-9</v>
      </c>
      <c r="P113" s="56">
        <f t="shared" si="38"/>
        <v>4.4844549845802486E-4</v>
      </c>
      <c r="Q113" s="56">
        <f t="shared" si="39"/>
        <v>1.511421374204657E-2</v>
      </c>
      <c r="R113" s="9">
        <f t="shared" si="44"/>
        <v>1.4999999999999999E-4</v>
      </c>
      <c r="S113" s="9">
        <f t="shared" si="45"/>
        <v>2.3311084743772761E-5</v>
      </c>
      <c r="T113" s="9">
        <f t="shared" si="40"/>
        <v>1.7192311309098908E-7</v>
      </c>
      <c r="U113" s="9">
        <f t="shared" si="41"/>
        <v>1.2668891525622722E-4</v>
      </c>
      <c r="V113" s="100">
        <f t="shared" si="46"/>
        <v>1.3570493736036501E-3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106</v>
      </c>
      <c r="C114" s="46" t="s">
        <v>107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3.2678433041260839</v>
      </c>
      <c r="J114" s="54">
        <f t="shared" si="34"/>
        <v>6.012357132853051</v>
      </c>
      <c r="K114" s="55">
        <f t="shared" si="35"/>
        <v>4.5234944675358514E-4</v>
      </c>
      <c r="L114" s="55">
        <f t="shared" si="36"/>
        <v>0.16142407398848779</v>
      </c>
      <c r="M114" s="55">
        <f t="shared" si="42"/>
        <v>0.83857592601151221</v>
      </c>
      <c r="N114" s="55">
        <f t="shared" si="37"/>
        <v>0.14310733279871662</v>
      </c>
      <c r="O114" s="56">
        <f t="shared" si="43"/>
        <v>4.5274078095299333E-10</v>
      </c>
      <c r="P114" s="56">
        <f t="shared" si="38"/>
        <v>4.6580779134847313E-4</v>
      </c>
      <c r="Q114" s="56">
        <f t="shared" si="39"/>
        <v>1.625798114863191E-2</v>
      </c>
      <c r="R114" s="9">
        <f t="shared" si="44"/>
        <v>1.4999999999999999E-4</v>
      </c>
      <c r="S114" s="9">
        <f t="shared" si="45"/>
        <v>2.4213611098273167E-5</v>
      </c>
      <c r="T114" s="9">
        <f t="shared" si="40"/>
        <v>6.7852417013037764E-8</v>
      </c>
      <c r="U114" s="9">
        <f t="shared" si="41"/>
        <v>1.2578638890172681E-4</v>
      </c>
      <c r="V114" s="100">
        <f t="shared" si="46"/>
        <v>5.3942574872746247E-4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108</v>
      </c>
      <c r="C115" s="46" t="s">
        <v>109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1.873926252180699</v>
      </c>
      <c r="J115" s="54">
        <f t="shared" si="34"/>
        <v>4.6033243950447487</v>
      </c>
      <c r="K115" s="55">
        <f t="shared" si="35"/>
        <v>1.1266676425103738E-2</v>
      </c>
      <c r="L115" s="55">
        <f t="shared" si="36"/>
        <v>0.1567679662094526</v>
      </c>
      <c r="M115" s="55">
        <f t="shared" si="42"/>
        <v>0.84323203379054745</v>
      </c>
      <c r="N115" s="55">
        <f t="shared" si="37"/>
        <v>0.13664214721745763</v>
      </c>
      <c r="O115" s="56">
        <f t="shared" si="43"/>
        <v>1.1276423393582315E-8</v>
      </c>
      <c r="P115" s="56">
        <f t="shared" si="38"/>
        <v>4.5237205510886114E-4</v>
      </c>
      <c r="Q115" s="56">
        <f t="shared" si="39"/>
        <v>1.5523491425101415E-2</v>
      </c>
      <c r="R115" s="9">
        <f t="shared" si="44"/>
        <v>1.4999999999999999E-4</v>
      </c>
      <c r="S115" s="9">
        <f t="shared" si="45"/>
        <v>2.3515194931417888E-5</v>
      </c>
      <c r="T115" s="9">
        <f t="shared" si="40"/>
        <v>1.6900014637655607E-6</v>
      </c>
      <c r="U115" s="9">
        <f t="shared" si="41"/>
        <v>1.2648480506858212E-4</v>
      </c>
      <c r="V115" s="100">
        <f t="shared" si="46"/>
        <v>1.3361300298871589E-2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224</v>
      </c>
      <c r="C116" s="46" t="s">
        <v>225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-6.4011746653915488E-5</v>
      </c>
      <c r="J116" s="54">
        <f t="shared" si="34"/>
        <v>-2.1349672211087228E-2</v>
      </c>
      <c r="K116" s="55">
        <f t="shared" si="35"/>
        <v>0.99929947275280151</v>
      </c>
      <c r="L116" s="55">
        <f t="shared" si="36"/>
        <v>3.2997656209083427E-4</v>
      </c>
      <c r="M116" s="55">
        <f t="shared" si="42"/>
        <v>0.99967002343790912</v>
      </c>
      <c r="N116" s="55">
        <f t="shared" si="37"/>
        <v>1.9639730671333801E-6</v>
      </c>
      <c r="O116" s="56">
        <f t="shared" si="43"/>
        <v>1.0001639815124459E-6</v>
      </c>
      <c r="P116" s="56">
        <f t="shared" si="38"/>
        <v>9.5218544413180531E-7</v>
      </c>
      <c r="Q116" s="56">
        <f t="shared" si="39"/>
        <v>2.2312090147599783E-7</v>
      </c>
      <c r="R116" s="9">
        <f t="shared" si="44"/>
        <v>1.4999999999999999E-4</v>
      </c>
      <c r="S116" s="9">
        <f t="shared" si="45"/>
        <v>4.9496484313625136E-8</v>
      </c>
      <c r="T116" s="9">
        <f t="shared" si="40"/>
        <v>1.4989492091292022E-4</v>
      </c>
      <c r="U116" s="9">
        <f t="shared" si="41"/>
        <v>1.4995050351568635E-4</v>
      </c>
      <c r="V116" s="100">
        <f t="shared" si="46"/>
        <v>0.99962932700149065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226</v>
      </c>
      <c r="C117" s="46" t="s">
        <v>227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1.5422749478710035E-2</v>
      </c>
      <c r="J117" s="54">
        <f t="shared" si="34"/>
        <v>1.0644941049967591</v>
      </c>
      <c r="K117" s="55">
        <f t="shared" si="35"/>
        <v>0.96088151612842998</v>
      </c>
      <c r="L117" s="55">
        <f t="shared" si="36"/>
        <v>3.8663489832167844E-3</v>
      </c>
      <c r="M117" s="55">
        <f t="shared" si="42"/>
        <v>0.99613365101678319</v>
      </c>
      <c r="N117" s="55">
        <f t="shared" si="37"/>
        <v>1.0162245051530095E-3</v>
      </c>
      <c r="O117" s="56">
        <f t="shared" si="43"/>
        <v>9.6171278894536146E-7</v>
      </c>
      <c r="P117" s="56">
        <f t="shared" si="38"/>
        <v>1.1156796108262405E-5</v>
      </c>
      <c r="Q117" s="56">
        <f t="shared" si="39"/>
        <v>1.1545012072018427E-4</v>
      </c>
      <c r="R117" s="9">
        <f t="shared" si="44"/>
        <v>1.4999999999999999E-4</v>
      </c>
      <c r="S117" s="9">
        <f t="shared" si="45"/>
        <v>5.799523474825176E-7</v>
      </c>
      <c r="T117" s="9">
        <f t="shared" si="40"/>
        <v>1.4413222741926449E-4</v>
      </c>
      <c r="U117" s="9">
        <f t="shared" si="41"/>
        <v>1.4942004765251747E-4</v>
      </c>
      <c r="V117" s="100">
        <f t="shared" si="46"/>
        <v>0.96461103903841583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228</v>
      </c>
      <c r="C118" s="46" t="s">
        <v>229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0.17039252388598855</v>
      </c>
      <c r="J118" s="54">
        <f t="shared" si="34"/>
        <v>2.2485216506404617</v>
      </c>
      <c r="K118" s="55">
        <f t="shared" si="35"/>
        <v>0.64822153266475246</v>
      </c>
      <c r="L118" s="55">
        <f t="shared" si="36"/>
        <v>3.984576886548534E-2</v>
      </c>
      <c r="M118" s="55">
        <f t="shared" si="42"/>
        <v>0.9601542311345147</v>
      </c>
      <c r="N118" s="55">
        <f t="shared" si="37"/>
        <v>2.1423689232120093E-2</v>
      </c>
      <c r="O118" s="56">
        <f t="shared" si="43"/>
        <v>6.487823187038315E-7</v>
      </c>
      <c r="P118" s="56">
        <f t="shared" si="38"/>
        <v>1.1497956365007323E-4</v>
      </c>
      <c r="Q118" s="56">
        <f t="shared" si="39"/>
        <v>2.4338790253316807E-3</v>
      </c>
      <c r="R118" s="9">
        <f t="shared" si="44"/>
        <v>1.4999999999999999E-4</v>
      </c>
      <c r="S118" s="9">
        <f t="shared" si="45"/>
        <v>5.9768653298228004E-6</v>
      </c>
      <c r="T118" s="9">
        <f t="shared" si="40"/>
        <v>9.7233229899712856E-5</v>
      </c>
      <c r="U118" s="9">
        <f t="shared" si="41"/>
        <v>1.440231346701772E-4</v>
      </c>
      <c r="V118" s="100">
        <f t="shared" si="46"/>
        <v>0.67512229977762661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230</v>
      </c>
      <c r="C119" s="46" t="s">
        <v>231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-2.0346404759841822E-4</v>
      </c>
      <c r="J119" s="54">
        <f t="shared" si="34"/>
        <v>-5.9633312344076983E-2</v>
      </c>
      <c r="K119" s="55">
        <f t="shared" si="35"/>
        <v>0.9996481359952637</v>
      </c>
      <c r="L119" s="55">
        <f t="shared" si="36"/>
        <v>3.0223931450526313E-4</v>
      </c>
      <c r="M119" s="55">
        <f t="shared" si="42"/>
        <v>0.99969776068549476</v>
      </c>
      <c r="N119" s="55">
        <f t="shared" si="37"/>
        <v>1.1457600089543264E-7</v>
      </c>
      <c r="O119" s="56">
        <f t="shared" si="43"/>
        <v>1.0005129463886379E-6</v>
      </c>
      <c r="P119" s="56">
        <f t="shared" si="38"/>
        <v>8.7214641577199515E-7</v>
      </c>
      <c r="Q119" s="56">
        <f t="shared" si="39"/>
        <v>1.3016624838250649E-8</v>
      </c>
      <c r="R119" s="9">
        <f t="shared" si="44"/>
        <v>1.4999999999999999E-4</v>
      </c>
      <c r="S119" s="9">
        <f t="shared" si="45"/>
        <v>4.5335897175789466E-8</v>
      </c>
      <c r="T119" s="9">
        <f t="shared" si="40"/>
        <v>1.4994722039928955E-4</v>
      </c>
      <c r="U119" s="9">
        <f t="shared" si="41"/>
        <v>1.4995466410282421E-4</v>
      </c>
      <c r="V119" s="100">
        <f t="shared" si="46"/>
        <v>0.99995036030670204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232</v>
      </c>
      <c r="C120" s="46" t="s">
        <v>233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-2.2502281549544107E-4</v>
      </c>
      <c r="J120" s="54">
        <f t="shared" si="34"/>
        <v>-6.5703589816534555E-2</v>
      </c>
      <c r="K120" s="55">
        <f t="shared" si="35"/>
        <v>0.99970193972839361</v>
      </c>
      <c r="L120" s="55">
        <f t="shared" si="36"/>
        <v>2.9806024380926477E-4</v>
      </c>
      <c r="M120" s="55">
        <f t="shared" si="42"/>
        <v>0.99970193975619071</v>
      </c>
      <c r="N120" s="55">
        <f t="shared" si="37"/>
        <v>1.4859060766796151E-16</v>
      </c>
      <c r="O120" s="56">
        <f t="shared" si="43"/>
        <v>1.0005667966681735E-6</v>
      </c>
      <c r="P120" s="56">
        <f t="shared" si="38"/>
        <v>8.6008722507822673E-7</v>
      </c>
      <c r="Q120" s="56">
        <f t="shared" si="39"/>
        <v>1.6880919035276315E-17</v>
      </c>
      <c r="R120" s="9">
        <f t="shared" si="44"/>
        <v>1.4999999999999999E-4</v>
      </c>
      <c r="S120" s="9">
        <f t="shared" si="45"/>
        <v>4.4709036571389711E-8</v>
      </c>
      <c r="T120" s="9">
        <f t="shared" si="40"/>
        <v>1.4995529095925903E-4</v>
      </c>
      <c r="U120" s="9">
        <f t="shared" si="41"/>
        <v>1.499552909634286E-4</v>
      </c>
      <c r="V120" s="100">
        <f t="shared" si="46"/>
        <v>0.99999999997219458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234</v>
      </c>
      <c r="C121" s="46" t="s">
        <v>235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1.5262652347248487E-3</v>
      </c>
      <c r="J121" s="54">
        <f t="shared" si="34"/>
        <v>0.28558081208397795</v>
      </c>
      <c r="K121" s="55">
        <f t="shared" si="35"/>
        <v>0.995311999995659</v>
      </c>
      <c r="L121" s="55">
        <f t="shared" si="36"/>
        <v>6.6631127103692418E-4</v>
      </c>
      <c r="M121" s="55">
        <f t="shared" si="42"/>
        <v>0.99933368872896311</v>
      </c>
      <c r="N121" s="55">
        <f t="shared" si="37"/>
        <v>5.5389733840355379E-5</v>
      </c>
      <c r="O121" s="56">
        <f t="shared" si="43"/>
        <v>9.9617305913362187E-7</v>
      </c>
      <c r="P121" s="56">
        <f t="shared" si="38"/>
        <v>1.9227180546467798E-6</v>
      </c>
      <c r="Q121" s="56">
        <f t="shared" si="39"/>
        <v>6.2926562251764122E-6</v>
      </c>
      <c r="R121" s="9">
        <f t="shared" si="44"/>
        <v>1.4999999999999999E-4</v>
      </c>
      <c r="S121" s="9">
        <f t="shared" si="45"/>
        <v>9.9946690655538613E-8</v>
      </c>
      <c r="T121" s="9">
        <f t="shared" si="40"/>
        <v>1.4929679999934885E-4</v>
      </c>
      <c r="U121" s="9">
        <f t="shared" si="41"/>
        <v>1.4990005330934444E-4</v>
      </c>
      <c r="V121" s="100">
        <f t="shared" si="46"/>
        <v>0.99597562978346177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236</v>
      </c>
      <c r="C122" s="46" t="s">
        <v>237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2.4878679358864142</v>
      </c>
      <c r="J122" s="54">
        <f t="shared" si="34"/>
        <v>5.2497736530396644</v>
      </c>
      <c r="K122" s="55">
        <f t="shared" si="35"/>
        <v>2.7076616567144364E-3</v>
      </c>
      <c r="L122" s="55">
        <f t="shared" si="36"/>
        <v>0.16691876215676393</v>
      </c>
      <c r="M122" s="55">
        <f t="shared" si="42"/>
        <v>0.83308123784323607</v>
      </c>
      <c r="N122" s="55">
        <f t="shared" si="37"/>
        <v>0.15267404127833475</v>
      </c>
      <c r="O122" s="56">
        <f t="shared" si="43"/>
        <v>2.7100040948765765E-9</v>
      </c>
      <c r="P122" s="56">
        <f t="shared" si="38"/>
        <v>4.816633480605144E-4</v>
      </c>
      <c r="Q122" s="56">
        <f t="shared" si="39"/>
        <v>1.7344825289140435E-2</v>
      </c>
      <c r="R122" s="9">
        <f t="shared" si="44"/>
        <v>1.4999999999999999E-4</v>
      </c>
      <c r="S122" s="9">
        <f t="shared" si="45"/>
        <v>2.5037814323514589E-5</v>
      </c>
      <c r="T122" s="9">
        <f t="shared" si="40"/>
        <v>4.0614924850716542E-7</v>
      </c>
      <c r="U122" s="9">
        <f t="shared" si="41"/>
        <v>1.2496218567648539E-4</v>
      </c>
      <c r="V122" s="100">
        <f t="shared" si="46"/>
        <v>3.2501772140785469E-3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238</v>
      </c>
      <c r="C123" s="46" t="s">
        <v>239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1.0353959656071578E-2</v>
      </c>
      <c r="J123" s="54">
        <f t="shared" ref="J123:J127" si="48">IF(D123=0,"",LOG($K$21*10^D123+$K$22*10^E123+$K$20))</f>
        <v>0.91828095208380334</v>
      </c>
      <c r="K123" s="55">
        <f t="shared" ref="K123:K127" si="49">IF(D123=0,"",1/(1+10^D123*$J$15/$J$14+10^E123*$J$16/$J$14+10^J123*$J$19/$J$14))</f>
        <v>0.97320602546570767</v>
      </c>
      <c r="L123" s="55">
        <f t="shared" ref="L123:L127" si="50">IF(D123=0,"",1/(1+10^I123/10^J123*$J$13/$J$19))</f>
        <v>2.7965516746678611E-3</v>
      </c>
      <c r="M123" s="55">
        <f t="shared" si="42"/>
        <v>0.99720344832533214</v>
      </c>
      <c r="N123" s="55">
        <f t="shared" ref="N123:N127" si="51">IF(D123=0,"",1/(1/10^E123*$J$20/$J$22+10^D123/10^E123*$J$21/$J$22+10^I123/10^E123*$J$13/$J$22+1))</f>
        <v>8.0002694286161692E-4</v>
      </c>
      <c r="O123" s="56">
        <f t="shared" si="43"/>
        <v>9.7404796039802187E-7</v>
      </c>
      <c r="P123" s="56">
        <f t="shared" ref="P123:P127" si="52">IF(D123=0,"",O123*10^J123)</f>
        <v>8.0697725362935E-6</v>
      </c>
      <c r="Q123" s="56">
        <f t="shared" ref="Q123:Q127" si="53">IF(D123=0,"",F123*N123*$J$7/$J$22)</f>
        <v>9.0888584820011592E-5</v>
      </c>
      <c r="R123" s="9">
        <f t="shared" si="44"/>
        <v>1.4999999999999999E-4</v>
      </c>
      <c r="S123" s="9">
        <f t="shared" si="45"/>
        <v>4.1948275120017911E-7</v>
      </c>
      <c r="T123" s="9">
        <f t="shared" si="40"/>
        <v>1.4598090381985615E-4</v>
      </c>
      <c r="U123" s="9">
        <f t="shared" si="41"/>
        <v>1.495805172487998E-4</v>
      </c>
      <c r="V123" s="100">
        <f t="shared" si="46"/>
        <v>0.97593527890429488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240</v>
      </c>
      <c r="C124" s="46" t="s">
        <v>241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2.0480395290290027E-2</v>
      </c>
      <c r="J124" s="54">
        <f t="shared" si="48"/>
        <v>1.1278069815675698</v>
      </c>
      <c r="K124" s="55">
        <f t="shared" si="49"/>
        <v>0.94922948594647549</v>
      </c>
      <c r="L124" s="55">
        <f t="shared" si="50"/>
        <v>4.4189115553582309E-3</v>
      </c>
      <c r="M124" s="55">
        <f t="shared" si="42"/>
        <v>0.99558108844464177</v>
      </c>
      <c r="N124" s="55">
        <f t="shared" si="51"/>
        <v>4.4600327144556442E-4</v>
      </c>
      <c r="O124" s="56">
        <f t="shared" si="43"/>
        <v>9.5005067841969152E-7</v>
      </c>
      <c r="P124" s="56">
        <f t="shared" si="52"/>
        <v>1.2751279167396409E-5</v>
      </c>
      <c r="Q124" s="56">
        <f t="shared" si="53"/>
        <v>5.0669051246933542E-5</v>
      </c>
      <c r="R124" s="9">
        <f t="shared" si="44"/>
        <v>1.4999999999999999E-4</v>
      </c>
      <c r="S124" s="9">
        <f t="shared" si="45"/>
        <v>6.6283673330373456E-7</v>
      </c>
      <c r="T124" s="9">
        <f t="shared" si="40"/>
        <v>1.4238442289197132E-4</v>
      </c>
      <c r="U124" s="9">
        <f t="shared" si="41"/>
        <v>1.4933716326669626E-4</v>
      </c>
      <c r="V124" s="100">
        <f t="shared" si="46"/>
        <v>0.95344266475513351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242</v>
      </c>
      <c r="C125" s="46" t="s">
        <v>243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5.8413729360461944E-4</v>
      </c>
      <c r="J125" s="54">
        <f t="shared" si="48"/>
        <v>0.12333905997992552</v>
      </c>
      <c r="K125" s="55">
        <f t="shared" si="49"/>
        <v>0.99767973785991504</v>
      </c>
      <c r="L125" s="55">
        <f t="shared" si="50"/>
        <v>4.5969239553899732E-4</v>
      </c>
      <c r="M125" s="55">
        <f t="shared" si="42"/>
        <v>0.999540307604461</v>
      </c>
      <c r="N125" s="55">
        <f t="shared" si="51"/>
        <v>1.2008727116577683E-5</v>
      </c>
      <c r="O125" s="56">
        <f t="shared" si="43"/>
        <v>9.9854284536293767E-7</v>
      </c>
      <c r="P125" s="56">
        <f t="shared" si="52"/>
        <v>1.3264954487580313E-6</v>
      </c>
      <c r="Q125" s="56">
        <f t="shared" si="53"/>
        <v>1.3642743195765553E-6</v>
      </c>
      <c r="R125" s="9">
        <f t="shared" si="44"/>
        <v>1.4999999999999999E-4</v>
      </c>
      <c r="S125" s="9">
        <f t="shared" si="45"/>
        <v>6.8953859330849588E-8</v>
      </c>
      <c r="T125" s="9">
        <f t="shared" si="40"/>
        <v>1.4965196067898726E-4</v>
      </c>
      <c r="U125" s="9">
        <f t="shared" si="41"/>
        <v>1.4993104614066912E-4</v>
      </c>
      <c r="V125" s="100">
        <f t="shared" si="46"/>
        <v>0.99813857457234012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244</v>
      </c>
      <c r="C126" s="46" t="s">
        <v>245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1.4729644553070216</v>
      </c>
      <c r="J126" s="54">
        <f t="shared" si="48"/>
        <v>4.169446444927372</v>
      </c>
      <c r="K126" s="55">
        <f t="shared" si="49"/>
        <v>2.8691665873823224E-2</v>
      </c>
      <c r="L126" s="55">
        <f t="shared" si="50"/>
        <v>0.14700744073776251</v>
      </c>
      <c r="M126" s="55">
        <f t="shared" si="42"/>
        <v>0.85299255926223749</v>
      </c>
      <c r="N126" s="55">
        <f t="shared" si="51"/>
        <v>0.12241272653698995</v>
      </c>
      <c r="O126" s="56">
        <f t="shared" si="43"/>
        <v>2.8716487458496314E-8</v>
      </c>
      <c r="P126" s="56">
        <f t="shared" si="52"/>
        <v>4.2420693264582211E-4</v>
      </c>
      <c r="Q126" s="56">
        <f t="shared" si="53"/>
        <v>1.3906930982986383E-2</v>
      </c>
      <c r="R126" s="9">
        <f t="shared" si="44"/>
        <v>1.4999999999999999E-4</v>
      </c>
      <c r="S126" s="9">
        <f t="shared" si="45"/>
        <v>2.2051116110664374E-5</v>
      </c>
      <c r="T126" s="9">
        <f t="shared" si="40"/>
        <v>4.3037498810734835E-6</v>
      </c>
      <c r="U126" s="9">
        <f t="shared" si="41"/>
        <v>1.279488838893356E-4</v>
      </c>
      <c r="V126" s="100">
        <f t="shared" si="46"/>
        <v>3.3636478492425487E-2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246</v>
      </c>
      <c r="C127" s="46" t="s">
        <v>247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0.12683662687631939</v>
      </c>
      <c r="J127" s="54">
        <f t="shared" si="48"/>
        <v>2.0847278512161855</v>
      </c>
      <c r="K127" s="55">
        <f t="shared" si="49"/>
        <v>0.72357674308177933</v>
      </c>
      <c r="L127" s="55">
        <f t="shared" si="50"/>
        <v>3.0503491891422808E-2</v>
      </c>
      <c r="M127" s="55">
        <f t="shared" si="42"/>
        <v>0.96949650810857724</v>
      </c>
      <c r="N127" s="55">
        <f t="shared" si="51"/>
        <v>1.5372885980117679E-2</v>
      </c>
      <c r="O127" s="56">
        <f t="shared" si="43"/>
        <v>7.242027200283556E-7</v>
      </c>
      <c r="P127" s="56">
        <f t="shared" si="52"/>
        <v>8.8021345486380298E-5</v>
      </c>
      <c r="Q127" s="56">
        <f t="shared" si="53"/>
        <v>1.7464659956758161E-3</v>
      </c>
      <c r="R127" s="9">
        <f t="shared" si="44"/>
        <v>1.4999999999999999E-4</v>
      </c>
      <c r="S127" s="9">
        <f t="shared" si="45"/>
        <v>4.5755237837134212E-6</v>
      </c>
      <c r="T127" s="9">
        <f t="shared" si="40"/>
        <v>1.0853651146226689E-4</v>
      </c>
      <c r="U127" s="9">
        <f t="shared" si="41"/>
        <v>1.4542447621628657E-4</v>
      </c>
      <c r="V127" s="100">
        <f t="shared" si="46"/>
        <v>0.74634280477546955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248</v>
      </c>
      <c r="C128" s="46" t="s">
        <v>249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0.56658503951123784</v>
      </c>
      <c r="J128" s="54">
        <f t="shared" ref="J128:J134" si="55">IF(D128=0,"",LOG($K$21*10^D128+$K$22*10^E128+$K$20))</f>
        <v>2.99110327595359</v>
      </c>
      <c r="K128" s="55">
        <f t="shared" ref="K128:K134" si="56">IF(D128=0,"",1/(1+10^D128*$J$15/$J$14+10^E128*$J$16/$J$14+10^J128*$J$19/$J$14))</f>
        <v>0.24826364826236089</v>
      </c>
      <c r="L128" s="55">
        <f t="shared" ref="L128:L134" si="57">IF(D128=0,"",1/(1+10^I128/10^J128*$J$13/$J$19))</f>
        <v>8.4363291641758695E-2</v>
      </c>
      <c r="M128" s="55">
        <f t="shared" ref="M128:M134" si="58">IF(D128=0,"",1-L128)</f>
        <v>0.91563670835824129</v>
      </c>
      <c r="N128" s="55">
        <f t="shared" ref="N128:N134" si="59">IF(D128=0,"",1/(1/10^E128*$J$20/$J$22+10^D128/10^E128*$J$21/$J$22+10^I128/10^E128*$J$13/$J$22+1))</f>
        <v>4.4983884678131088E-2</v>
      </c>
      <c r="O128" s="56">
        <f t="shared" ref="O128:O134" si="60">IF(D128=0,"",F128*K128*$J$7/$J$14)</f>
        <v>2.4847842481781408E-7</v>
      </c>
      <c r="P128" s="56">
        <f t="shared" ref="P128:P134" si="61">IF(D128=0,"",O128*10^J128)</f>
        <v>2.4344001225825337E-4</v>
      </c>
      <c r="Q128" s="56">
        <f t="shared" ref="Q128:Q134" si="62">IF(D128=0,"",F128*N128*$J$7/$J$22)</f>
        <v>5.1104799089361939E-3</v>
      </c>
      <c r="R128" s="9">
        <f t="shared" si="44"/>
        <v>1.4999999999999999E-4</v>
      </c>
      <c r="S128" s="9">
        <f t="shared" si="45"/>
        <v>1.2654493746263804E-5</v>
      </c>
      <c r="T128" s="9">
        <f t="shared" si="40"/>
        <v>3.7239547239354126E-5</v>
      </c>
      <c r="U128" s="9">
        <f t="shared" si="41"/>
        <v>1.3734550625373618E-4</v>
      </c>
      <c r="V128" s="100">
        <f t="shared" si="46"/>
        <v>0.27113771870014208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250</v>
      </c>
      <c r="C129" s="46" t="s">
        <v>251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-2.135446795447277E-4</v>
      </c>
      <c r="J129" s="54">
        <f t="shared" si="55"/>
        <v>-6.2474275560847933E-2</v>
      </c>
      <c r="K129" s="55">
        <f t="shared" si="56"/>
        <v>0.99967330266264565</v>
      </c>
      <c r="L129" s="55">
        <f t="shared" si="57"/>
        <v>3.002762100862271E-4</v>
      </c>
      <c r="M129" s="55">
        <f t="shared" si="58"/>
        <v>0.99969972378991379</v>
      </c>
      <c r="N129" s="55">
        <f t="shared" si="59"/>
        <v>4.689337122707666E-8</v>
      </c>
      <c r="O129" s="56">
        <f t="shared" si="60"/>
        <v>1.0005381348280762E-6</v>
      </c>
      <c r="P129" s="56">
        <f t="shared" si="61"/>
        <v>8.6648165145881818E-7</v>
      </c>
      <c r="Q129" s="56">
        <f t="shared" si="62"/>
        <v>5.3274107657217642E-9</v>
      </c>
      <c r="R129" s="9">
        <f t="shared" si="44"/>
        <v>1.4999999999999999E-4</v>
      </c>
      <c r="S129" s="9">
        <f t="shared" si="45"/>
        <v>4.5041431512934064E-8</v>
      </c>
      <c r="T129" s="9">
        <f t="shared" si="40"/>
        <v>1.4995099539939685E-4</v>
      </c>
      <c r="U129" s="9">
        <f t="shared" si="41"/>
        <v>1.4995495856848706E-4</v>
      </c>
      <c r="V129" s="100">
        <f t="shared" si="46"/>
        <v>0.99997357093671291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252</v>
      </c>
      <c r="C130" s="46" t="s">
        <v>253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3.4815258927436928E-2</v>
      </c>
      <c r="J130" s="54">
        <f t="shared" si="55"/>
        <v>1.4371310508166708</v>
      </c>
      <c r="K130" s="55">
        <f t="shared" si="56"/>
        <v>0.91448010848955641</v>
      </c>
      <c r="L130" s="55">
        <f t="shared" si="57"/>
        <v>8.6784551120907723E-3</v>
      </c>
      <c r="M130" s="55">
        <f t="shared" si="58"/>
        <v>0.99132154488790925</v>
      </c>
      <c r="N130" s="55">
        <f t="shared" si="59"/>
        <v>3.1542949962108787E-3</v>
      </c>
      <c r="O130" s="56">
        <f t="shared" si="60"/>
        <v>9.1527123876217815E-7</v>
      </c>
      <c r="P130" s="56">
        <f t="shared" si="61"/>
        <v>2.5042683586143164E-5</v>
      </c>
      <c r="Q130" s="56">
        <f t="shared" si="62"/>
        <v>3.5834969168037156E-4</v>
      </c>
      <c r="R130" s="9">
        <f t="shared" si="44"/>
        <v>1.4999999999999999E-4</v>
      </c>
      <c r="S130" s="9">
        <f t="shared" si="45"/>
        <v>1.3017682668136156E-6</v>
      </c>
      <c r="T130" s="9">
        <f t="shared" si="40"/>
        <v>1.3717201627343344E-4</v>
      </c>
      <c r="U130" s="9">
        <f t="shared" si="41"/>
        <v>1.4869823173318638E-4</v>
      </c>
      <c r="V130" s="100">
        <f t="shared" si="46"/>
        <v>0.92248586062250726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254</v>
      </c>
      <c r="C131" s="46" t="s">
        <v>255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4.8235239734115414E-4</v>
      </c>
      <c r="J131" s="54">
        <f t="shared" si="55"/>
        <v>0.10687476179790768</v>
      </c>
      <c r="K131" s="55">
        <f t="shared" si="56"/>
        <v>0.99793055187906521</v>
      </c>
      <c r="L131" s="55">
        <f t="shared" si="57"/>
        <v>4.4270271769193724E-4</v>
      </c>
      <c r="M131" s="55">
        <f t="shared" si="58"/>
        <v>0.99955729728230802</v>
      </c>
      <c r="N131" s="55">
        <f t="shared" si="59"/>
        <v>1.5680905061118531E-5</v>
      </c>
      <c r="O131" s="56">
        <f t="shared" si="60"/>
        <v>9.9879387636500692E-7</v>
      </c>
      <c r="P131" s="56">
        <f t="shared" si="61"/>
        <v>1.2774697729828956E-6</v>
      </c>
      <c r="Q131" s="56">
        <f t="shared" si="62"/>
        <v>1.7814590901203495E-6</v>
      </c>
      <c r="R131" s="9">
        <f t="shared" si="44"/>
        <v>1.4999999999999999E-4</v>
      </c>
      <c r="S131" s="9">
        <f t="shared" si="45"/>
        <v>6.6405407653790585E-8</v>
      </c>
      <c r="T131" s="9">
        <f t="shared" si="40"/>
        <v>1.4968958278185977E-4</v>
      </c>
      <c r="U131" s="9">
        <f t="shared" si="41"/>
        <v>1.4993359459234619E-4</v>
      </c>
      <c r="V131" s="100">
        <f t="shared" si="46"/>
        <v>0.99837253411318616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256</v>
      </c>
      <c r="C132" s="46" t="s">
        <v>257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1.6296434031808995E-3</v>
      </c>
      <c r="J132" s="54">
        <f t="shared" si="55"/>
        <v>0.30013556038076544</v>
      </c>
      <c r="K132" s="55">
        <f t="shared" si="56"/>
        <v>0.99505267375351403</v>
      </c>
      <c r="L132" s="55">
        <f t="shared" si="57"/>
        <v>6.8884060388571804E-4</v>
      </c>
      <c r="M132" s="55">
        <f t="shared" si="58"/>
        <v>0.99931115939611426</v>
      </c>
      <c r="N132" s="55">
        <f t="shared" si="59"/>
        <v>5.9971244724320905E-5</v>
      </c>
      <c r="O132" s="56">
        <f t="shared" si="60"/>
        <v>9.9591350854450766E-7</v>
      </c>
      <c r="P132" s="56">
        <f t="shared" si="61"/>
        <v>1.9877290441203803E-6</v>
      </c>
      <c r="Q132" s="56">
        <f t="shared" si="62"/>
        <v>6.8131474964974264E-6</v>
      </c>
      <c r="R132" s="9">
        <f t="shared" si="44"/>
        <v>1.4999999999999999E-4</v>
      </c>
      <c r="S132" s="9">
        <f t="shared" si="45"/>
        <v>1.0332609058285769E-7</v>
      </c>
      <c r="T132" s="9">
        <f t="shared" si="40"/>
        <v>1.4925790106302709E-4</v>
      </c>
      <c r="U132" s="9">
        <f t="shared" si="41"/>
        <v>1.4989667390941712E-4</v>
      </c>
      <c r="V132" s="100">
        <f t="shared" si="46"/>
        <v>0.99573857891752793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258</v>
      </c>
      <c r="C133" s="46" t="s">
        <v>259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0.18829844715874175</v>
      </c>
      <c r="J133" s="54">
        <f t="shared" si="55"/>
        <v>2.3060233847120806</v>
      </c>
      <c r="K133" s="55">
        <f t="shared" si="56"/>
        <v>0.61968185382263774</v>
      </c>
      <c r="L133" s="55">
        <f t="shared" si="57"/>
        <v>4.3483978364361194E-2</v>
      </c>
      <c r="M133" s="55">
        <f t="shared" si="58"/>
        <v>0.95651602163563876</v>
      </c>
      <c r="N133" s="55">
        <f t="shared" si="59"/>
        <v>2.3884087216586719E-2</v>
      </c>
      <c r="O133" s="56">
        <f t="shared" si="60"/>
        <v>6.2021794976327357E-7</v>
      </c>
      <c r="P133" s="56">
        <f t="shared" si="61"/>
        <v>1.2547803695248325E-4</v>
      </c>
      <c r="Q133" s="56">
        <f t="shared" si="62"/>
        <v>2.7133972251841836E-3</v>
      </c>
      <c r="R133" s="9">
        <f t="shared" si="44"/>
        <v>1.4999999999999999E-4</v>
      </c>
      <c r="S133" s="9">
        <f t="shared" si="45"/>
        <v>6.5225967546541787E-6</v>
      </c>
      <c r="T133" s="9">
        <f t="shared" si="40"/>
        <v>9.295227807339565E-5</v>
      </c>
      <c r="U133" s="9">
        <f t="shared" si="41"/>
        <v>1.4347740324534579E-4</v>
      </c>
      <c r="V133" s="100">
        <f t="shared" si="46"/>
        <v>0.64785308327923674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260</v>
      </c>
      <c r="C134" s="46" t="s">
        <v>261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-2.2139482595652795E-4</v>
      </c>
      <c r="J134" s="54">
        <f t="shared" si="55"/>
        <v>-6.4685575959527716E-2</v>
      </c>
      <c r="K134" s="55">
        <f t="shared" si="56"/>
        <v>0.99969289171672304</v>
      </c>
      <c r="L134" s="55">
        <f t="shared" si="57"/>
        <v>2.9875703147562552E-4</v>
      </c>
      <c r="M134" s="55">
        <f t="shared" si="58"/>
        <v>0.99970124296852436</v>
      </c>
      <c r="N134" s="55">
        <f t="shared" si="59"/>
        <v>9.1491028072402319E-9</v>
      </c>
      <c r="O134" s="56">
        <f t="shared" si="60"/>
        <v>1.000557740828934E-6</v>
      </c>
      <c r="P134" s="56">
        <f t="shared" si="61"/>
        <v>8.6209788628808801E-7</v>
      </c>
      <c r="Q134" s="56">
        <f t="shared" si="62"/>
        <v>1.0394012525984336E-9</v>
      </c>
      <c r="R134" s="9">
        <f t="shared" si="44"/>
        <v>1.4999999999999999E-4</v>
      </c>
      <c r="S134" s="9">
        <f t="shared" si="45"/>
        <v>4.4813554721343823E-8</v>
      </c>
      <c r="T134" s="9">
        <f t="shared" si="40"/>
        <v>1.4995393375750844E-4</v>
      </c>
      <c r="U134" s="9">
        <f t="shared" si="41"/>
        <v>1.4995518644527863E-4</v>
      </c>
      <c r="V134" s="100">
        <f t="shared" si="46"/>
        <v>0.99999164625245784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262</v>
      </c>
      <c r="C135" s="46" t="s">
        <v>263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2.8479282847897803E-3</v>
      </c>
      <c r="J135" s="54">
        <f t="shared" ref="J135:J143" si="64">IF(D135=0,"",LOG($K$21*10^D135+$K$22*10^E135+$K$20))</f>
        <v>0.444755005450504</v>
      </c>
      <c r="K135" s="55">
        <f t="shared" ref="K135:K143" si="65">IF(D135=0,"",1/(1+10^D135*$J$15/$J$14+10^E135*$J$16/$J$14+10^J135*$J$19/$J$14))</f>
        <v>0.99199791541114424</v>
      </c>
      <c r="L135" s="55">
        <f t="shared" ref="L135:L143" si="66">IF(D135=0,"",1/(1+10^I135/10^J135*$J$13/$J$19))</f>
        <v>9.5808242238353892E-4</v>
      </c>
      <c r="M135" s="55">
        <f t="shared" ref="M135:M143" si="67">IF(D135=0,"",1-L135)</f>
        <v>0.99904191757761651</v>
      </c>
      <c r="N135" s="55">
        <f t="shared" ref="N135:N143" si="68">IF(D135=0,"",1/(1/10^E135*$J$20/$J$22+10^D135/10^E135*$J$21/$J$22+10^I135/10^E135*$J$13/$J$22+1))</f>
        <v>1.204480062987637E-4</v>
      </c>
      <c r="O135" s="56">
        <f t="shared" ref="O135:O143" si="69">IF(D135=0,"",F135*K135*$J$7/$J$14)</f>
        <v>9.9285610748549745E-7</v>
      </c>
      <c r="P135" s="56">
        <f t="shared" ref="P135:P143" si="70">IF(D135=0,"",O135*10^J135)</f>
        <v>2.7646573777595152E-6</v>
      </c>
      <c r="Q135" s="56">
        <f t="shared" ref="Q135:Q143" si="71">IF(D135=0,"",F135*N135*$J$7/$J$22)</f>
        <v>1.3683725197715089E-5</v>
      </c>
      <c r="R135" s="9">
        <f t="shared" si="44"/>
        <v>1.4999999999999999E-4</v>
      </c>
      <c r="S135" s="9">
        <f t="shared" si="45"/>
        <v>1.4371236335753084E-7</v>
      </c>
      <c r="T135" s="9">
        <f t="shared" si="40"/>
        <v>1.4879968731167163E-4</v>
      </c>
      <c r="U135" s="9">
        <f t="shared" si="41"/>
        <v>1.4985628763664247E-4</v>
      </c>
      <c r="V135" s="100">
        <f t="shared" si="46"/>
        <v>0.99294924262682405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264</v>
      </c>
      <c r="C136" s="46" t="s">
        <v>265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-7.9190837002413863E-5</v>
      </c>
      <c r="J136" s="54">
        <f t="shared" si="64"/>
        <v>-2.5403823157142385E-2</v>
      </c>
      <c r="K136" s="55">
        <f t="shared" si="65"/>
        <v>0.99933745258359474</v>
      </c>
      <c r="L136" s="55">
        <f t="shared" si="66"/>
        <v>3.2692297940654707E-4</v>
      </c>
      <c r="M136" s="55">
        <f t="shared" si="67"/>
        <v>0.99967307702059349</v>
      </c>
      <c r="N136" s="55">
        <f t="shared" si="68"/>
        <v>1.7082132177921223E-6</v>
      </c>
      <c r="O136" s="56">
        <f t="shared" si="69"/>
        <v>1.0002019942001526E-6</v>
      </c>
      <c r="P136" s="56">
        <f t="shared" si="70"/>
        <v>9.4337397895983083E-7</v>
      </c>
      <c r="Q136" s="56">
        <f t="shared" si="71"/>
        <v>1.9406481659308263E-7</v>
      </c>
      <c r="R136" s="9">
        <f t="shared" si="44"/>
        <v>1.4999999999999999E-4</v>
      </c>
      <c r="S136" s="9">
        <f t="shared" si="45"/>
        <v>4.9038446910982057E-8</v>
      </c>
      <c r="T136" s="9">
        <f t="shared" si="40"/>
        <v>1.4990061788753919E-4</v>
      </c>
      <c r="U136" s="9">
        <f t="shared" si="41"/>
        <v>1.4995096155308901E-4</v>
      </c>
      <c r="V136" s="100">
        <f t="shared" si="46"/>
        <v>0.99966426580377754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266</v>
      </c>
      <c r="C137" s="46" t="s">
        <v>267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-2.2462984868396082E-4</v>
      </c>
      <c r="J137" s="54">
        <f t="shared" si="64"/>
        <v>-6.5593771005989093E-2</v>
      </c>
      <c r="K137" s="55">
        <f t="shared" si="65"/>
        <v>0.9997009600720268</v>
      </c>
      <c r="L137" s="55">
        <f t="shared" si="66"/>
        <v>2.9813533082797633E-4</v>
      </c>
      <c r="M137" s="55">
        <f t="shared" si="67"/>
        <v>0.99970186466917199</v>
      </c>
      <c r="N137" s="55">
        <f t="shared" si="68"/>
        <v>3.8903535276891467E-10</v>
      </c>
      <c r="O137" s="56">
        <f t="shared" si="69"/>
        <v>1.0005658161642917E-6</v>
      </c>
      <c r="P137" s="56">
        <f t="shared" si="70"/>
        <v>8.6030389733460617E-7</v>
      </c>
      <c r="Q137" s="56">
        <f t="shared" si="71"/>
        <v>4.4197102327135961E-11</v>
      </c>
      <c r="R137" s="9">
        <f t="shared" si="44"/>
        <v>1.4999999999999999E-4</v>
      </c>
      <c r="S137" s="9">
        <f t="shared" si="45"/>
        <v>4.4720299624196445E-8</v>
      </c>
      <c r="T137" s="9">
        <f t="shared" si="40"/>
        <v>1.49955144010804E-4</v>
      </c>
      <c r="U137" s="9">
        <f t="shared" si="41"/>
        <v>1.4995527970037577E-4</v>
      </c>
      <c r="V137" s="100">
        <f t="shared" si="46"/>
        <v>0.99999909513308205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268</v>
      </c>
      <c r="C138" s="46" t="s">
        <v>269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-9.5327662881748492E-5</v>
      </c>
      <c r="J138" s="54">
        <f t="shared" si="64"/>
        <v>-2.9745510894273335E-2</v>
      </c>
      <c r="K138" s="55">
        <f t="shared" si="65"/>
        <v>0.99937782302888301</v>
      </c>
      <c r="L138" s="55">
        <f t="shared" si="66"/>
        <v>3.2368405369143593E-4</v>
      </c>
      <c r="M138" s="55">
        <f t="shared" si="67"/>
        <v>0.99967631594630857</v>
      </c>
      <c r="N138" s="55">
        <f t="shared" si="68"/>
        <v>1.4479398285813683E-6</v>
      </c>
      <c r="O138" s="56">
        <f t="shared" si="69"/>
        <v>1.0002423995705105E-6</v>
      </c>
      <c r="P138" s="56">
        <f t="shared" si="70"/>
        <v>9.3402768508667998E-7</v>
      </c>
      <c r="Q138" s="56">
        <f t="shared" si="71"/>
        <v>1.6449596241542356E-7</v>
      </c>
      <c r="R138" s="9">
        <f t="shared" si="44"/>
        <v>1.4999999999999999E-4</v>
      </c>
      <c r="S138" s="9">
        <f t="shared" si="45"/>
        <v>4.8552608053715387E-8</v>
      </c>
      <c r="T138" s="9">
        <f t="shared" si="40"/>
        <v>1.4990667345433245E-4</v>
      </c>
      <c r="U138" s="9">
        <f t="shared" si="41"/>
        <v>1.4995144739194627E-4</v>
      </c>
      <c r="V138" s="100">
        <f t="shared" si="46"/>
        <v>0.99970141043389327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270</v>
      </c>
      <c r="C139" s="46" t="s">
        <v>271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2.1084810301724875E-3</v>
      </c>
      <c r="J139" s="54">
        <f t="shared" si="64"/>
        <v>0.35181253681606744</v>
      </c>
      <c r="K139" s="55">
        <f t="shared" si="65"/>
        <v>0.99387051051461928</v>
      </c>
      <c r="L139" s="55">
        <f t="shared" si="66"/>
        <v>7.7496028939723284E-4</v>
      </c>
      <c r="M139" s="55">
        <f t="shared" si="67"/>
        <v>0.99922503971060272</v>
      </c>
      <c r="N139" s="55">
        <f t="shared" si="68"/>
        <v>5.2863100152973932E-5</v>
      </c>
      <c r="O139" s="56">
        <f t="shared" si="69"/>
        <v>9.9473032259870371E-7</v>
      </c>
      <c r="P139" s="56">
        <f t="shared" si="70"/>
        <v>2.2362373335506469E-6</v>
      </c>
      <c r="Q139" s="56">
        <f t="shared" si="71"/>
        <v>6.005613192121474E-6</v>
      </c>
      <c r="R139" s="9">
        <f t="shared" si="44"/>
        <v>1.4999999999999999E-4</v>
      </c>
      <c r="S139" s="9">
        <f t="shared" si="45"/>
        <v>1.1624404340958491E-7</v>
      </c>
      <c r="T139" s="9">
        <f t="shared" si="40"/>
        <v>1.4908057657719287E-4</v>
      </c>
      <c r="U139" s="9">
        <f t="shared" si="41"/>
        <v>1.4988375595659039E-4</v>
      </c>
      <c r="V139" s="100">
        <f t="shared" si="46"/>
        <v>0.9946413180382927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272</v>
      </c>
      <c r="C140" s="46" t="s">
        <v>273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-2.2206215862113771E-4</v>
      </c>
      <c r="J140" s="54">
        <f t="shared" si="64"/>
        <v>-6.4873220931103495E-2</v>
      </c>
      <c r="K140" s="55">
        <f t="shared" si="65"/>
        <v>0.99969455639372529</v>
      </c>
      <c r="L140" s="55">
        <f t="shared" si="66"/>
        <v>2.9862847312317519E-4</v>
      </c>
      <c r="M140" s="55">
        <f t="shared" si="67"/>
        <v>0.99970137152687677</v>
      </c>
      <c r="N140" s="55">
        <f t="shared" si="68"/>
        <v>6.8555252017059768E-9</v>
      </c>
      <c r="O140" s="56">
        <f t="shared" si="69"/>
        <v>1.000559406946073E-6</v>
      </c>
      <c r="P140" s="56">
        <f t="shared" si="70"/>
        <v>8.6172691632843635E-7</v>
      </c>
      <c r="Q140" s="56">
        <f t="shared" si="71"/>
        <v>7.788349996717029E-10</v>
      </c>
      <c r="R140" s="9">
        <f t="shared" si="44"/>
        <v>1.4999999999999999E-4</v>
      </c>
      <c r="S140" s="9">
        <f t="shared" si="45"/>
        <v>4.4794270968476274E-8</v>
      </c>
      <c r="T140" s="9">
        <f t="shared" si="40"/>
        <v>1.4995418345905878E-4</v>
      </c>
      <c r="U140" s="9">
        <f t="shared" si="41"/>
        <v>1.499552057290315E-4</v>
      </c>
      <c r="V140" s="100">
        <f t="shared" si="46"/>
        <v>0.99999318283104777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274</v>
      </c>
      <c r="C141" s="46" t="s">
        <v>275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-2.1765065893421197E-4</v>
      </c>
      <c r="J141" s="54">
        <f t="shared" si="64"/>
        <v>-6.3631462661885949E-2</v>
      </c>
      <c r="K141" s="55">
        <f t="shared" si="65"/>
        <v>0.99968354992971775</v>
      </c>
      <c r="L141" s="55">
        <f t="shared" si="66"/>
        <v>2.9948025239925544E-4</v>
      </c>
      <c r="M141" s="55">
        <f t="shared" si="67"/>
        <v>0.99970051974760077</v>
      </c>
      <c r="N141" s="55">
        <f t="shared" si="68"/>
        <v>2.5026408486227874E-8</v>
      </c>
      <c r="O141" s="56">
        <f t="shared" si="69"/>
        <v>1.0005483909602105E-6</v>
      </c>
      <c r="P141" s="56">
        <f t="shared" si="70"/>
        <v>8.6418482371178997E-7</v>
      </c>
      <c r="Q141" s="56">
        <f t="shared" si="71"/>
        <v>2.8431728090365419E-9</v>
      </c>
      <c r="R141" s="9">
        <f t="shared" si="44"/>
        <v>1.4999999999999999E-4</v>
      </c>
      <c r="S141" s="9">
        <f t="shared" si="45"/>
        <v>4.4922037859888312E-8</v>
      </c>
      <c r="T141" s="9">
        <f t="shared" si="40"/>
        <v>1.4995253248945766E-4</v>
      </c>
      <c r="U141" s="9">
        <f t="shared" si="41"/>
        <v>1.4995507796214009E-4</v>
      </c>
      <c r="V141" s="100">
        <f t="shared" si="46"/>
        <v>0.99998302509846915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276</v>
      </c>
      <c r="C142" s="46" t="s">
        <v>277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5.0919667310397418E-2</v>
      </c>
      <c r="J142" s="54">
        <f t="shared" si="64"/>
        <v>1.6185844152121505</v>
      </c>
      <c r="K142" s="55">
        <f t="shared" si="65"/>
        <v>0.87766136054365973</v>
      </c>
      <c r="L142" s="55">
        <f t="shared" si="66"/>
        <v>1.2648775992751536E-2</v>
      </c>
      <c r="M142" s="55">
        <f t="shared" si="67"/>
        <v>0.98735122400724851</v>
      </c>
      <c r="N142" s="55">
        <f t="shared" si="68"/>
        <v>5.1074060099589487E-3</v>
      </c>
      <c r="O142" s="56">
        <f t="shared" si="69"/>
        <v>8.7842063837265854E-7</v>
      </c>
      <c r="P142" s="56">
        <f t="shared" si="70"/>
        <v>3.6499502601237583E-5</v>
      </c>
      <c r="Q142" s="56">
        <f t="shared" si="71"/>
        <v>5.802365888903393E-4</v>
      </c>
      <c r="R142" s="9">
        <f t="shared" si="44"/>
        <v>1.4999999999999999E-4</v>
      </c>
      <c r="S142" s="9">
        <f t="shared" si="45"/>
        <v>1.8973163989127303E-6</v>
      </c>
      <c r="T142" s="9">
        <f t="shared" si="40"/>
        <v>1.3164920408154896E-4</v>
      </c>
      <c r="U142" s="9">
        <f t="shared" si="41"/>
        <v>1.4810268360108728E-4</v>
      </c>
      <c r="V142" s="100">
        <f t="shared" si="46"/>
        <v>0.88890491975246333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96</v>
      </c>
      <c r="C143" s="46" t="s">
        <v>278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0.38018124000089604</v>
      </c>
      <c r="J143" s="54">
        <f t="shared" si="64"/>
        <v>2.5355844584974991</v>
      </c>
      <c r="K143" s="55">
        <f t="shared" si="65"/>
        <v>0.39680558471301075</v>
      </c>
      <c r="L143" s="55">
        <f t="shared" si="66"/>
        <v>4.7238852754400103E-2</v>
      </c>
      <c r="M143" s="55">
        <f t="shared" si="67"/>
        <v>0.9527611472455999</v>
      </c>
      <c r="N143" s="55">
        <f t="shared" si="68"/>
        <v>1.4734947147554969E-3</v>
      </c>
      <c r="O143" s="56">
        <f t="shared" si="69"/>
        <v>3.9714886709553335E-7</v>
      </c>
      <c r="P143" s="56">
        <f t="shared" si="70"/>
        <v>1.3631316025967776E-4</v>
      </c>
      <c r="Q143" s="56">
        <f t="shared" si="71"/>
        <v>1.6739917393889447E-4</v>
      </c>
      <c r="R143" s="9">
        <f t="shared" si="44"/>
        <v>1.4999999999999999E-4</v>
      </c>
      <c r="S143" s="9">
        <f t="shared" si="45"/>
        <v>7.0858279131600146E-6</v>
      </c>
      <c r="T143" s="9">
        <f t="shared" si="40"/>
        <v>5.952083770695161E-5</v>
      </c>
      <c r="U143" s="9">
        <f t="shared" si="41"/>
        <v>1.4291417208683998E-4</v>
      </c>
      <c r="V143" s="100">
        <f t="shared" si="46"/>
        <v>0.4164796033719072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2025-02-02T14:52:49Z</dcterms:modified>
</cp:coreProperties>
</file>