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6F1363CC-17BC-4D35-8AFD-F3598605357D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1" i="4" l="1"/>
  <c r="S91" i="4" s="1"/>
  <c r="T91" i="4"/>
  <c r="U91" i="4"/>
  <c r="V91" i="4"/>
  <c r="R92" i="4"/>
  <c r="U92" i="4" s="1"/>
  <c r="S92" i="4"/>
  <c r="T92" i="4"/>
  <c r="V92" i="4"/>
  <c r="R70" i="4"/>
  <c r="S70" i="4" s="1"/>
  <c r="V70" i="4"/>
  <c r="R71" i="4"/>
  <c r="S71" i="4"/>
  <c r="T71" i="4"/>
  <c r="U71" i="4"/>
  <c r="V71" i="4"/>
  <c r="R62" i="4"/>
  <c r="S62" i="4"/>
  <c r="T62" i="4"/>
  <c r="U62" i="4"/>
  <c r="V62" i="4"/>
  <c r="R63" i="4"/>
  <c r="S63" i="4"/>
  <c r="T63" i="4"/>
  <c r="U63" i="4"/>
  <c r="V63" i="4"/>
  <c r="V61" i="4"/>
  <c r="R61" i="4"/>
  <c r="U61" i="4" s="1"/>
  <c r="V60" i="4"/>
  <c r="R60" i="4"/>
  <c r="U60" i="4" s="1"/>
  <c r="V131" i="4"/>
  <c r="U131" i="4"/>
  <c r="T131" i="4"/>
  <c r="S131" i="4"/>
  <c r="R131" i="4"/>
  <c r="V130" i="4"/>
  <c r="R130" i="4"/>
  <c r="T130" i="4" s="1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U121" i="4"/>
  <c r="T121" i="4"/>
  <c r="R121" i="4"/>
  <c r="S121" i="4" s="1"/>
  <c r="V120" i="4"/>
  <c r="R120" i="4"/>
  <c r="S120" i="4" s="1"/>
  <c r="V119" i="4"/>
  <c r="R119" i="4"/>
  <c r="U119" i="4" s="1"/>
  <c r="V116" i="4"/>
  <c r="R116" i="4"/>
  <c r="U116" i="4" s="1"/>
  <c r="V115" i="4"/>
  <c r="U115" i="4"/>
  <c r="T115" i="4"/>
  <c r="R115" i="4"/>
  <c r="S115" i="4" s="1"/>
  <c r="V114" i="4"/>
  <c r="U114" i="4"/>
  <c r="R114" i="4"/>
  <c r="T114" i="4" s="1"/>
  <c r="V108" i="4"/>
  <c r="R108" i="4"/>
  <c r="T108" i="4" s="1"/>
  <c r="V107" i="4"/>
  <c r="U107" i="4"/>
  <c r="T107" i="4"/>
  <c r="S107" i="4"/>
  <c r="R107" i="4"/>
  <c r="V93" i="4"/>
  <c r="R93" i="4"/>
  <c r="S93" i="4" s="1"/>
  <c r="V90" i="4"/>
  <c r="R90" i="4"/>
  <c r="U90" i="4" s="1"/>
  <c r="V89" i="4"/>
  <c r="U89" i="4"/>
  <c r="T89" i="4"/>
  <c r="S89" i="4"/>
  <c r="R89" i="4"/>
  <c r="V88" i="4"/>
  <c r="U88" i="4"/>
  <c r="T88" i="4"/>
  <c r="R88" i="4"/>
  <c r="S88" i="4" s="1"/>
  <c r="V86" i="4"/>
  <c r="R86" i="4"/>
  <c r="T86" i="4" s="1"/>
  <c r="V85" i="4"/>
  <c r="R85" i="4"/>
  <c r="U85" i="4" s="1"/>
  <c r="V84" i="4"/>
  <c r="R84" i="4"/>
  <c r="U84" i="4" s="1"/>
  <c r="V83" i="4"/>
  <c r="U83" i="4"/>
  <c r="T83" i="4"/>
  <c r="R83" i="4"/>
  <c r="S83" i="4" s="1"/>
  <c r="V82" i="4"/>
  <c r="U82" i="4"/>
  <c r="R82" i="4"/>
  <c r="T82" i="4" s="1"/>
  <c r="V81" i="4"/>
  <c r="R81" i="4"/>
  <c r="U81" i="4" s="1"/>
  <c r="V80" i="4"/>
  <c r="U80" i="4"/>
  <c r="T80" i="4"/>
  <c r="S80" i="4"/>
  <c r="R80" i="4"/>
  <c r="V79" i="4"/>
  <c r="R79" i="4"/>
  <c r="T79" i="4" s="1"/>
  <c r="V78" i="4"/>
  <c r="U78" i="4"/>
  <c r="R78" i="4"/>
  <c r="T78" i="4" s="1"/>
  <c r="V77" i="4"/>
  <c r="R77" i="4"/>
  <c r="U77" i="4" s="1"/>
  <c r="V76" i="4"/>
  <c r="U76" i="4"/>
  <c r="T76" i="4"/>
  <c r="S76" i="4"/>
  <c r="R76" i="4"/>
  <c r="V75" i="4"/>
  <c r="U75" i="4"/>
  <c r="T75" i="4"/>
  <c r="R75" i="4"/>
  <c r="S75" i="4" s="1"/>
  <c r="V74" i="4"/>
  <c r="R74" i="4"/>
  <c r="U74" i="4" s="1"/>
  <c r="V73" i="4"/>
  <c r="R73" i="4"/>
  <c r="U73" i="4" s="1"/>
  <c r="V72" i="4"/>
  <c r="R72" i="4"/>
  <c r="U72" i="4" s="1"/>
  <c r="V69" i="4"/>
  <c r="U69" i="4"/>
  <c r="T69" i="4"/>
  <c r="R69" i="4"/>
  <c r="S69" i="4" s="1"/>
  <c r="V68" i="4"/>
  <c r="U68" i="4"/>
  <c r="R68" i="4"/>
  <c r="T68" i="4" s="1"/>
  <c r="V65" i="4"/>
  <c r="R65" i="4"/>
  <c r="U65" i="4" s="1"/>
  <c r="V64" i="4"/>
  <c r="U64" i="4"/>
  <c r="T64" i="4"/>
  <c r="S64" i="4"/>
  <c r="R64" i="4"/>
  <c r="V58" i="4"/>
  <c r="R58" i="4"/>
  <c r="T58" i="4" s="1"/>
  <c r="V57" i="4"/>
  <c r="U57" i="4"/>
  <c r="R57" i="4"/>
  <c r="T57" i="4" s="1"/>
  <c r="V49" i="4"/>
  <c r="R49" i="4"/>
  <c r="U49" i="4" s="1"/>
  <c r="V48" i="4"/>
  <c r="U48" i="4"/>
  <c r="T48" i="4"/>
  <c r="S48" i="4"/>
  <c r="R48" i="4"/>
  <c r="V47" i="4"/>
  <c r="U47" i="4"/>
  <c r="T47" i="4"/>
  <c r="R47" i="4"/>
  <c r="S47" i="4" s="1"/>
  <c r="V46" i="4"/>
  <c r="R46" i="4"/>
  <c r="U46" i="4" s="1"/>
  <c r="V45" i="4"/>
  <c r="R45" i="4"/>
  <c r="U45" i="4" s="1"/>
  <c r="V44" i="4"/>
  <c r="R44" i="4"/>
  <c r="U44" i="4" s="1"/>
  <c r="V43" i="4"/>
  <c r="U43" i="4"/>
  <c r="T43" i="4"/>
  <c r="R43" i="4"/>
  <c r="S43" i="4" s="1"/>
  <c r="V42" i="4"/>
  <c r="U42" i="4"/>
  <c r="R42" i="4"/>
  <c r="T42" i="4" s="1"/>
  <c r="V41" i="4"/>
  <c r="R41" i="4"/>
  <c r="U41" i="4" s="1"/>
  <c r="V40" i="4"/>
  <c r="U40" i="4"/>
  <c r="T40" i="4"/>
  <c r="S40" i="4"/>
  <c r="R40" i="4"/>
  <c r="V39" i="4"/>
  <c r="R39" i="4"/>
  <c r="T39" i="4" s="1"/>
  <c r="V38" i="4"/>
  <c r="U38" i="4"/>
  <c r="R38" i="4"/>
  <c r="T38" i="4" s="1"/>
  <c r="V37" i="4"/>
  <c r="R37" i="4"/>
  <c r="U37" i="4" s="1"/>
  <c r="V36" i="4"/>
  <c r="U36" i="4"/>
  <c r="T36" i="4"/>
  <c r="S36" i="4"/>
  <c r="R36" i="4"/>
  <c r="V35" i="4"/>
  <c r="U35" i="4"/>
  <c r="T35" i="4"/>
  <c r="R35" i="4"/>
  <c r="S35" i="4" s="1"/>
  <c r="V34" i="4"/>
  <c r="R34" i="4"/>
  <c r="U34" i="4" s="1"/>
  <c r="V33" i="4"/>
  <c r="R33" i="4"/>
  <c r="U33" i="4" s="1"/>
  <c r="V32" i="4"/>
  <c r="R32" i="4"/>
  <c r="U32" i="4" s="1"/>
  <c r="V31" i="4"/>
  <c r="U31" i="4"/>
  <c r="T31" i="4"/>
  <c r="R31" i="4"/>
  <c r="S31" i="4" s="1"/>
  <c r="V30" i="4"/>
  <c r="U30" i="4"/>
  <c r="R30" i="4"/>
  <c r="T30" i="4" s="1"/>
  <c r="V29" i="4"/>
  <c r="R29" i="4"/>
  <c r="U29" i="4" s="1"/>
  <c r="V28" i="4"/>
  <c r="U28" i="4"/>
  <c r="T28" i="4"/>
  <c r="S28" i="4"/>
  <c r="R28" i="4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L130" i="4" s="1"/>
  <c r="M130" i="4" s="1"/>
  <c r="J130" i="4"/>
  <c r="K130" i="4" s="1"/>
  <c r="O130" i="4" s="1"/>
  <c r="P130" i="4" s="1"/>
  <c r="I131" i="4"/>
  <c r="N131" i="4" s="1"/>
  <c r="Q131" i="4" s="1"/>
  <c r="J131" i="4"/>
  <c r="K131" i="4" s="1"/>
  <c r="O131" i="4" s="1"/>
  <c r="P131" i="4" s="1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70" i="4" l="1"/>
  <c r="T70" i="4"/>
  <c r="S60" i="4"/>
  <c r="T60" i="4"/>
  <c r="S61" i="4"/>
  <c r="T61" i="4"/>
  <c r="S65" i="4"/>
  <c r="S81" i="4"/>
  <c r="S46" i="4"/>
  <c r="T65" i="4"/>
  <c r="T81" i="4"/>
  <c r="S39" i="4"/>
  <c r="T46" i="4"/>
  <c r="S79" i="4"/>
  <c r="T120" i="4"/>
  <c r="S32" i="4"/>
  <c r="U86" i="4"/>
  <c r="S116" i="4"/>
  <c r="U120" i="4"/>
  <c r="T32" i="4"/>
  <c r="S37" i="4"/>
  <c r="U39" i="4"/>
  <c r="T44" i="4"/>
  <c r="S49" i="4"/>
  <c r="U58" i="4"/>
  <c r="T72" i="4"/>
  <c r="S77" i="4"/>
  <c r="U79" i="4"/>
  <c r="T84" i="4"/>
  <c r="S90" i="4"/>
  <c r="U93" i="4"/>
  <c r="T116" i="4"/>
  <c r="S126" i="4"/>
  <c r="U130" i="4"/>
  <c r="S29" i="4"/>
  <c r="S41" i="4"/>
  <c r="S108" i="4"/>
  <c r="T29" i="4"/>
  <c r="T41" i="4"/>
  <c r="S86" i="4"/>
  <c r="T74" i="4"/>
  <c r="U108" i="4"/>
  <c r="S130" i="4"/>
  <c r="S44" i="4"/>
  <c r="S72" i="4"/>
  <c r="S84" i="4"/>
  <c r="T93" i="4"/>
  <c r="S30" i="4"/>
  <c r="T37" i="4"/>
  <c r="S42" i="4"/>
  <c r="T49" i="4"/>
  <c r="S68" i="4"/>
  <c r="T77" i="4"/>
  <c r="S82" i="4"/>
  <c r="T90" i="4"/>
  <c r="S114" i="4"/>
  <c r="T126" i="4"/>
  <c r="S34" i="4"/>
  <c r="S74" i="4"/>
  <c r="T34" i="4"/>
  <c r="S58" i="4"/>
  <c r="S33" i="4"/>
  <c r="S45" i="4"/>
  <c r="S73" i="4"/>
  <c r="S85" i="4"/>
  <c r="S119" i="4"/>
  <c r="T33" i="4"/>
  <c r="S38" i="4"/>
  <c r="T45" i="4"/>
  <c r="S57" i="4"/>
  <c r="T73" i="4"/>
  <c r="S78" i="4"/>
  <c r="T85" i="4"/>
  <c r="T119" i="4"/>
  <c r="S127" i="4"/>
  <c r="L131" i="4"/>
  <c r="M131" i="4" s="1"/>
  <c r="N130" i="4"/>
  <c r="Q130" i="4" s="1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4" i="4"/>
  <c r="M117" i="4"/>
  <c r="M118" i="4"/>
  <c r="M122" i="4"/>
  <c r="M123" i="4"/>
  <c r="M125" i="4"/>
  <c r="M126" i="4"/>
  <c r="J16" i="4"/>
  <c r="J15" i="4"/>
  <c r="J87" i="4"/>
  <c r="L87" i="4" s="1"/>
  <c r="J122" i="4"/>
  <c r="K122" i="4"/>
  <c r="J117" i="4"/>
  <c r="K117" i="4"/>
  <c r="J120" i="4"/>
  <c r="K120" i="4" s="1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 s="1"/>
  <c r="O119" i="4" s="1"/>
  <c r="P119" i="4" s="1"/>
  <c r="J72" i="4"/>
  <c r="J103" i="4"/>
  <c r="K103" i="4"/>
  <c r="J118" i="4"/>
  <c r="K118" i="4"/>
  <c r="J104" i="4"/>
  <c r="K104" i="4"/>
  <c r="J90" i="4"/>
  <c r="K90" i="4" s="1"/>
  <c r="J71" i="4"/>
  <c r="K71" i="4" s="1"/>
  <c r="O71" i="4" s="1"/>
  <c r="P71" i="4" s="1"/>
  <c r="J110" i="4"/>
  <c r="K110" i="4"/>
  <c r="J82" i="4"/>
  <c r="K82" i="4" s="1"/>
  <c r="J113" i="4"/>
  <c r="K113" i="4"/>
  <c r="J97" i="4"/>
  <c r="K97" i="4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K114" i="4" s="1"/>
  <c r="O114" i="4" s="1"/>
  <c r="P114" i="4" s="1"/>
  <c r="J78" i="4"/>
  <c r="K78" i="4" s="1"/>
  <c r="J115" i="4"/>
  <c r="K115" i="4" s="1"/>
  <c r="O115" i="4" s="1"/>
  <c r="P115" i="4" s="1"/>
  <c r="J99" i="4"/>
  <c r="K99" i="4"/>
  <c r="J83" i="4"/>
  <c r="K83" i="4" s="1"/>
  <c r="J102" i="4"/>
  <c r="K102" i="4"/>
  <c r="J74" i="4"/>
  <c r="K74" i="4" s="1"/>
  <c r="J125" i="4"/>
  <c r="K125" i="4"/>
  <c r="J109" i="4"/>
  <c r="K109" i="4"/>
  <c r="J93" i="4"/>
  <c r="K93" i="4" s="1"/>
  <c r="J77" i="4"/>
  <c r="K77" i="4" s="1"/>
  <c r="J112" i="4"/>
  <c r="K112" i="4"/>
  <c r="J96" i="4"/>
  <c r="K96" i="4" s="1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 s="1"/>
  <c r="J126" i="4"/>
  <c r="K126" i="4" s="1"/>
  <c r="O126" i="4" s="1"/>
  <c r="P126" i="4" s="1"/>
  <c r="J94" i="4"/>
  <c r="K94" i="4" s="1"/>
  <c r="J121" i="4"/>
  <c r="K121" i="4" s="1"/>
  <c r="O121" i="4" s="1"/>
  <c r="P121" i="4" s="1"/>
  <c r="J105" i="4"/>
  <c r="K105" i="4"/>
  <c r="J89" i="4"/>
  <c r="K89" i="4" s="1"/>
  <c r="J73" i="4"/>
  <c r="K73" i="4" s="1"/>
  <c r="J124" i="4"/>
  <c r="K124" i="4" s="1"/>
  <c r="O124" i="4" s="1"/>
  <c r="P124" i="4" s="1"/>
  <c r="J108" i="4"/>
  <c r="K108" i="4" s="1"/>
  <c r="O108" i="4" s="1"/>
  <c r="P108" i="4" s="1"/>
  <c r="J92" i="4"/>
  <c r="K92" i="4" s="1"/>
  <c r="J76" i="4"/>
  <c r="K76" i="4"/>
  <c r="J98" i="4"/>
  <c r="K98" i="4"/>
  <c r="J123" i="4"/>
  <c r="K123" i="4"/>
  <c r="J107" i="4"/>
  <c r="K107" i="4"/>
  <c r="O107" i="4" s="1"/>
  <c r="P107" i="4" s="1"/>
  <c r="J91" i="4"/>
  <c r="K91" i="4" s="1"/>
  <c r="O91" i="4" s="1"/>
  <c r="P91" i="4" s="1"/>
  <c r="J75" i="4"/>
  <c r="K75" i="4" s="1"/>
  <c r="P100" i="4"/>
  <c r="O112" i="4"/>
  <c r="P112" i="4"/>
  <c r="O98" i="4"/>
  <c r="P98" i="4"/>
  <c r="O105" i="4"/>
  <c r="P105" i="4"/>
  <c r="O111" i="4"/>
  <c r="P111" i="4"/>
  <c r="O104" i="4"/>
  <c r="P104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L76" i="4" s="1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N92" i="4" s="1"/>
  <c r="Q92" i="4" s="1"/>
  <c r="I100" i="4"/>
  <c r="I103" i="4"/>
  <c r="I107" i="4"/>
  <c r="I109" i="4"/>
  <c r="I110" i="4"/>
  <c r="I117" i="4"/>
  <c r="I124" i="4"/>
  <c r="I72" i="4"/>
  <c r="I106" i="4"/>
  <c r="I71" i="4"/>
  <c r="I75" i="4"/>
  <c r="I80" i="4"/>
  <c r="L80" i="4" s="1"/>
  <c r="I83" i="4"/>
  <c r="I86" i="4"/>
  <c r="L86" i="4" s="1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I78" i="4"/>
  <c r="N78" i="4" s="1"/>
  <c r="Q78" i="4" s="1"/>
  <c r="I82" i="4"/>
  <c r="I85" i="4"/>
  <c r="L85" i="4" s="1"/>
  <c r="I93" i="4"/>
  <c r="N93" i="4" s="1"/>
  <c r="Q93" i="4" s="1"/>
  <c r="I112" i="4"/>
  <c r="I114" i="4"/>
  <c r="I121" i="4"/>
  <c r="N121" i="4" s="1"/>
  <c r="Q121" i="4" s="1"/>
  <c r="I122" i="4"/>
  <c r="I84" i="4"/>
  <c r="I87" i="4"/>
  <c r="I91" i="4"/>
  <c r="I97" i="4"/>
  <c r="L97" i="4" s="1"/>
  <c r="I105" i="4"/>
  <c r="I116" i="4"/>
  <c r="I126" i="4"/>
  <c r="L105" i="4"/>
  <c r="N105" i="4"/>
  <c r="Q105" i="4"/>
  <c r="N84" i="4"/>
  <c r="Q84" i="4" s="1"/>
  <c r="L73" i="4"/>
  <c r="N101" i="4"/>
  <c r="Q101" i="4"/>
  <c r="L101" i="4"/>
  <c r="N75" i="4"/>
  <c r="Q75" i="4" s="1"/>
  <c r="L75" i="4"/>
  <c r="L106" i="4"/>
  <c r="N106" i="4"/>
  <c r="Q106" i="4"/>
  <c r="N124" i="4"/>
  <c r="Q124" i="4"/>
  <c r="N107" i="4"/>
  <c r="Q107" i="4" s="1"/>
  <c r="L107" i="4"/>
  <c r="M107" i="4" s="1"/>
  <c r="N79" i="4"/>
  <c r="Q79" i="4" s="1"/>
  <c r="L79" i="4"/>
  <c r="N119" i="4"/>
  <c r="Q119" i="4" s="1"/>
  <c r="L119" i="4"/>
  <c r="M119" i="4" s="1"/>
  <c r="N108" i="4"/>
  <c r="Q108" i="4" s="1"/>
  <c r="L108" i="4"/>
  <c r="M108" i="4" s="1"/>
  <c r="N96" i="4"/>
  <c r="Q96" i="4"/>
  <c r="N77" i="4"/>
  <c r="Q77" i="4" s="1"/>
  <c r="L77" i="4"/>
  <c r="N97" i="4"/>
  <c r="Q97" i="4"/>
  <c r="N114" i="4"/>
  <c r="Q114" i="4" s="1"/>
  <c r="L114" i="4"/>
  <c r="N82" i="4"/>
  <c r="Q82" i="4" s="1"/>
  <c r="N98" i="4"/>
  <c r="Q98" i="4"/>
  <c r="L98" i="4"/>
  <c r="N86" i="4"/>
  <c r="Q86" i="4" s="1"/>
  <c r="N71" i="4"/>
  <c r="Q71" i="4" s="1"/>
  <c r="L71" i="4"/>
  <c r="M71" i="4" s="1"/>
  <c r="N72" i="4"/>
  <c r="Q72" i="4" s="1"/>
  <c r="N117" i="4"/>
  <c r="Q117" i="4"/>
  <c r="L117" i="4"/>
  <c r="N103" i="4"/>
  <c r="Q103" i="4"/>
  <c r="L103" i="4"/>
  <c r="L125" i="4"/>
  <c r="N125" i="4"/>
  <c r="Q125" i="4"/>
  <c r="N115" i="4"/>
  <c r="Q115" i="4"/>
  <c r="L115" i="4"/>
  <c r="M115" i="4" s="1"/>
  <c r="L104" i="4"/>
  <c r="N104" i="4"/>
  <c r="Q104" i="4"/>
  <c r="N90" i="4"/>
  <c r="Q90" i="4" s="1"/>
  <c r="L90" i="4"/>
  <c r="N76" i="4"/>
  <c r="Q76" i="4" s="1"/>
  <c r="N126" i="4"/>
  <c r="Q126" i="4"/>
  <c r="L126" i="4"/>
  <c r="N91" i="4"/>
  <c r="Q91" i="4"/>
  <c r="L91" i="4"/>
  <c r="M91" i="4" s="1"/>
  <c r="L112" i="4"/>
  <c r="N112" i="4"/>
  <c r="Q112" i="4"/>
  <c r="L127" i="4"/>
  <c r="M127" i="4" s="1"/>
  <c r="N127" i="4"/>
  <c r="Q127" i="4" s="1"/>
  <c r="N95" i="4"/>
  <c r="Q95" i="4" s="1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89" i="4"/>
  <c r="N116" i="4"/>
  <c r="Q116" i="4" s="1"/>
  <c r="L116" i="4"/>
  <c r="M116" i="4" s="1"/>
  <c r="N87" i="4"/>
  <c r="Q87" i="4" s="1"/>
  <c r="N122" i="4"/>
  <c r="Q122" i="4"/>
  <c r="L122" i="4"/>
  <c r="N74" i="4"/>
  <c r="Q74" i="4" s="1"/>
  <c r="L74" i="4"/>
  <c r="N118" i="4"/>
  <c r="Q118" i="4"/>
  <c r="L118" i="4"/>
  <c r="L94" i="4"/>
  <c r="N94" i="4"/>
  <c r="Q94" i="4" s="1"/>
  <c r="N109" i="4"/>
  <c r="Q109" i="4"/>
  <c r="L109" i="4"/>
  <c r="N120" i="4"/>
  <c r="Q120" i="4" s="1"/>
  <c r="L120" i="4"/>
  <c r="M120" i="4" s="1"/>
  <c r="N111" i="4"/>
  <c r="Q111" i="4"/>
  <c r="L111" i="4"/>
  <c r="N99" i="4"/>
  <c r="Q99" i="4"/>
  <c r="L99" i="4"/>
  <c r="N81" i="4"/>
  <c r="Q81" i="4" s="1"/>
  <c r="O83" i="4" l="1"/>
  <c r="P83" i="4" s="1"/>
  <c r="O77" i="4"/>
  <c r="P77" i="4" s="1"/>
  <c r="O82" i="4"/>
  <c r="P82" i="4" s="1"/>
  <c r="M97" i="4"/>
  <c r="O73" i="4"/>
  <c r="P73" i="4" s="1"/>
  <c r="O97" i="4"/>
  <c r="P97" i="4" s="1"/>
  <c r="M77" i="4"/>
  <c r="M73" i="4"/>
  <c r="O89" i="4"/>
  <c r="P89" i="4" s="1"/>
  <c r="L121" i="4"/>
  <c r="M121" i="4" s="1"/>
  <c r="O78" i="4"/>
  <c r="P78" i="4" s="1"/>
  <c r="O81" i="4"/>
  <c r="P81" i="4" s="1"/>
  <c r="L81" i="4"/>
  <c r="L78" i="4"/>
  <c r="M94" i="4"/>
  <c r="M89" i="4"/>
  <c r="L124" i="4"/>
  <c r="M124" i="4" s="1"/>
  <c r="O74" i="4"/>
  <c r="P74" i="4" s="1"/>
  <c r="M76" i="4"/>
  <c r="O76" i="4"/>
  <c r="P76" i="4" s="1"/>
  <c r="O80" i="4"/>
  <c r="P80" i="4" s="1"/>
  <c r="O84" i="4"/>
  <c r="P84" i="4" s="1"/>
  <c r="L82" i="4"/>
  <c r="L72" i="4"/>
  <c r="M90" i="4"/>
  <c r="O94" i="4"/>
  <c r="P94" i="4" s="1"/>
  <c r="O96" i="4"/>
  <c r="P96" i="4" s="1"/>
  <c r="M79" i="4"/>
  <c r="M80" i="4"/>
  <c r="O93" i="4"/>
  <c r="P93" i="4" s="1"/>
  <c r="M74" i="4"/>
  <c r="O92" i="4"/>
  <c r="P92" i="4" s="1"/>
  <c r="M87" i="4"/>
  <c r="M75" i="4"/>
  <c r="O75" i="4"/>
  <c r="P75" i="4" s="1"/>
  <c r="L83" i="4"/>
  <c r="O88" i="4"/>
  <c r="P88" i="4" s="1"/>
  <c r="M85" i="4"/>
  <c r="M86" i="4"/>
  <c r="O79" i="4"/>
  <c r="P79" i="4" s="1"/>
  <c r="O85" i="4"/>
  <c r="P85" i="4" s="1"/>
  <c r="L92" i="4"/>
  <c r="M95" i="4"/>
  <c r="O95" i="4"/>
  <c r="P95" i="4" s="1"/>
  <c r="O90" i="4"/>
  <c r="P90" i="4" s="1"/>
  <c r="O86" i="4"/>
  <c r="P86" i="4" s="1"/>
  <c r="K72" i="4"/>
  <c r="L93" i="4"/>
  <c r="L88" i="4"/>
  <c r="N80" i="4"/>
  <c r="Q80" i="4" s="1"/>
  <c r="N85" i="4"/>
  <c r="Q85" i="4" s="1"/>
  <c r="L96" i="4"/>
  <c r="K87" i="4"/>
  <c r="L84" i="4"/>
  <c r="J14" i="4"/>
  <c r="J13" i="4" s="1"/>
  <c r="K16" i="4" s="1"/>
  <c r="M88" i="4" l="1"/>
  <c r="M93" i="4"/>
  <c r="M78" i="4"/>
  <c r="M81" i="4"/>
  <c r="M92" i="4"/>
  <c r="O72" i="4"/>
  <c r="P72" i="4" s="1"/>
  <c r="M83" i="4"/>
  <c r="M72" i="4"/>
  <c r="M82" i="4"/>
  <c r="O87" i="4"/>
  <c r="P87" i="4" s="1"/>
  <c r="M96" i="4"/>
  <c r="M84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57" i="4" l="1"/>
  <c r="M64" i="4"/>
  <c r="M69" i="4"/>
  <c r="M65" i="4"/>
  <c r="M66" i="4"/>
  <c r="M68" i="4"/>
  <c r="O69" i="4"/>
  <c r="P69" i="4" s="1"/>
  <c r="O66" i="4"/>
  <c r="P66" i="4" s="1"/>
  <c r="O67" i="4"/>
  <c r="P67" i="4" s="1"/>
  <c r="M67" i="4"/>
  <c r="O68" i="4"/>
  <c r="P68" i="4" s="1"/>
  <c r="O64" i="4"/>
  <c r="P64" i="4" s="1"/>
  <c r="M58" i="4"/>
  <c r="O65" i="4"/>
  <c r="P65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L45" i="4" s="1"/>
  <c r="J30" i="4"/>
  <c r="J43" i="4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7" i="4"/>
  <c r="K47" i="4"/>
  <c r="K52" i="4"/>
  <c r="O52" i="4" s="1"/>
  <c r="P52" i="4" s="1"/>
  <c r="L52" i="4"/>
  <c r="M52" i="4" s="1"/>
  <c r="L43" i="4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30" i="4"/>
  <c r="L30" i="4"/>
  <c r="O48" i="4" l="1"/>
  <c r="P48" i="4" s="1"/>
  <c r="O49" i="4"/>
  <c r="P49" i="4" s="1"/>
  <c r="M49" i="4"/>
  <c r="M48" i="4"/>
  <c r="O35" i="4"/>
  <c r="P35" i="4" s="1"/>
  <c r="O47" i="4"/>
  <c r="P47" i="4" s="1"/>
  <c r="M47" i="4"/>
  <c r="M31" i="4"/>
  <c r="O30" i="4"/>
  <c r="P30" i="4" s="1"/>
  <c r="O33" i="4"/>
  <c r="P33" i="4" s="1"/>
  <c r="O28" i="4"/>
  <c r="P28" i="4" s="1"/>
  <c r="O46" i="4"/>
  <c r="P46" i="4" s="1"/>
  <c r="L35" i="4"/>
  <c r="O43" i="4"/>
  <c r="P43" i="4" s="1"/>
  <c r="M39" i="4"/>
  <c r="M44" i="4"/>
  <c r="M43" i="4"/>
  <c r="O41" i="4"/>
  <c r="P41" i="4" s="1"/>
  <c r="O31" i="4"/>
  <c r="P31" i="4" s="1"/>
  <c r="O39" i="4"/>
  <c r="P39" i="4" s="1"/>
  <c r="M45" i="4"/>
  <c r="K45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M46" i="4" l="1"/>
  <c r="M35" i="4"/>
  <c r="O44" i="4"/>
  <c r="P44" i="4" s="1"/>
  <c r="O36" i="4"/>
  <c r="P36" i="4" s="1"/>
  <c r="O38" i="4"/>
  <c r="P38" i="4" s="1"/>
  <c r="O40" i="4"/>
  <c r="P40" i="4" s="1"/>
  <c r="O34" i="4"/>
  <c r="P34" i="4" s="1"/>
  <c r="O45" i="4"/>
  <c r="P45" i="4" s="1"/>
  <c r="O29" i="4"/>
  <c r="P29" i="4" s="1"/>
  <c r="M33" i="4"/>
  <c r="O42" i="4"/>
  <c r="P42" i="4" s="1"/>
  <c r="O37" i="4"/>
  <c r="P37" i="4" s="1"/>
  <c r="O32" i="4"/>
  <c r="P32" i="4" s="1"/>
  <c r="M41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<sst xmlns="http://schemas.openxmlformats.org/spreadsheetml/2006/main" count="318" uniqueCount="293">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</sst>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4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30</v>
      </c>
      <c r="K17" s="31" t="s">
        <v>79</v>
      </c>
      <c r="L17" s="81">
        <v>2.5693999999999999E-3</v>
      </c>
      <c r="M17" s="81">
        <v>2.32E-4</v>
      </c>
      <c r="N17" s="81">
        <v>9.8599999999999998E-5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05" zoomScale="66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150.05799999999999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149.97368800000001</v>
      </c>
      <c r="K8" s="39">
        <f>J8/J7</f>
        <v>0.99943813725359543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7.664E-2</v>
      </c>
      <c r="K9" s="39">
        <f>J9/J7</f>
        <v>5.1073584880512873E-4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7.6719999999999991E-3</v>
      </c>
      <c r="K10" s="39">
        <f>J10/J7</f>
        <v>5.1126897599594822E-5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150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5.7999999999999996E-2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5.1387999999999996E-2</v>
      </c>
      <c r="K20" s="39">
        <f>J20/J19</f>
        <v>0.88600000000000001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4.6400000000000009E-3</v>
      </c>
      <c r="K21" s="39">
        <f>J21/J19</f>
        <v>8.0000000000000016E-2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1.9719999999999998E-3</v>
      </c>
      <c r="K22" s="39">
        <f>J22/J19</f>
        <v>3.3999999999999996E-2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113</v>
      </c>
      <c r="C28" s="46" t="s">
        <v>114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0.85273188304651759</v>
      </c>
      <c r="K28" s="95">
        <f t="shared" ref="K28:K47" si="3">IF(D28=0,"",1/(1+10^D28*$J$15/$J$14+10^E28*$J$16/$J$14+10^J28*$J$19/$J$14))</f>
        <v>0.97376946484995497</v>
      </c>
      <c r="L28" s="95">
        <f t="shared" ref="L28:L47" si="4">IF(D28=0,"",1/(1+10^I28/10^J28*$J$13/$J$19))</f>
        <v>2.6837977986859073E-3</v>
      </c>
      <c r="M28" s="95">
        <f t="shared" ref="M28:M47" si="5">IF(D28=0,"",1-L28)</f>
        <v>0.99731620220131412</v>
      </c>
      <c r="N28" s="95">
        <f t="shared" ref="N28:N47" si="6">IF(D28=0,"",1/(1/10^E28*$J$20/$J$22+10^D28/10^E28*$J$21/$J$22+10^I28/10^E28*$J$13/$J$22+1))</f>
        <v>1.0231559315515535E-3</v>
      </c>
      <c r="O28" s="40">
        <f t="shared" ref="O28:O47" si="7">IF(D28=0,"",F28*K28*$J$7/$J$14)</f>
        <v>9.7465085818757121E-7</v>
      </c>
      <c r="P28" s="40">
        <f t="shared" ref="P28:P47" si="8">IF(D28=0,"",O28*10^J28)</f>
        <v>6.9435401737105171E-6</v>
      </c>
      <c r="Q28" s="40">
        <f t="shared" ref="Q28:Q47" si="9">IF(D28=0,"",F28*N28*$J$7/$J$22)</f>
        <v>7.785635536347009E-5</v>
      </c>
      <c r="R28" s="9">
        <f>F28*$C$14</f>
        <v>1.4999999999999999E-4</v>
      </c>
      <c r="S28" s="9">
        <f>$R28*L28</f>
        <v>4.0256966980288607E-7</v>
      </c>
      <c r="T28" s="9">
        <f t="shared" ref="T28:T49" si="10">R28*K28</f>
        <v>1.4606541972749323E-4</v>
      </c>
      <c r="U28" s="9">
        <f t="shared" ref="U28:U49" si="11">$R28*M28</f>
        <v>1.4959743033019711E-4</v>
      </c>
      <c r="V28" s="102">
        <f>K28/M28</f>
        <v>0.9763898979086213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115</v>
      </c>
      <c r="C29" s="46" t="s">
        <v>116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4.4419747400947829</v>
      </c>
      <c r="K29" s="95">
        <f t="shared" si="3"/>
        <v>1.5612600311012966E-2</v>
      </c>
      <c r="L29" s="95">
        <f t="shared" si="4"/>
        <v>0.16711357852105177</v>
      </c>
      <c r="M29" s="95">
        <f t="shared" si="5"/>
        <v>0.8328864214789482</v>
      </c>
      <c r="N29" s="95">
        <f t="shared" si="6"/>
        <v>0.14063645675960731</v>
      </c>
      <c r="O29" s="40">
        <f t="shared" si="7"/>
        <v>1.5626731830221277E-8</v>
      </c>
      <c r="P29" s="40">
        <f t="shared" si="8"/>
        <v>4.3235740285710328E-4</v>
      </c>
      <c r="Q29" s="40">
        <f t="shared" si="9"/>
        <v>1.0701635612795718E-2</v>
      </c>
      <c r="R29" s="9">
        <f>F29*$C$14</f>
        <v>1.4999999999999999E-4</v>
      </c>
      <c r="S29" s="9">
        <f t="shared" ref="S29:S49" si="12">$R29*L29</f>
        <v>2.5067036778157762E-5</v>
      </c>
      <c r="T29" s="9">
        <f t="shared" si="10"/>
        <v>2.3418900466519448E-6</v>
      </c>
      <c r="U29" s="9">
        <f t="shared" si="11"/>
        <v>1.2493296322184223E-4</v>
      </c>
      <c r="V29" s="102">
        <f t="shared" ref="V29:V49" si="13">K29/M29</f>
        <v>1.8745173301408641E-2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117</v>
      </c>
      <c r="C30" s="46" t="s">
        <v>118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7.8384660336474994</v>
      </c>
      <c r="K30" s="95">
        <f t="shared" si="3"/>
        <v>9.158122431445498E-6</v>
      </c>
      <c r="L30" s="95">
        <f t="shared" si="4"/>
        <v>0.24424981088488576</v>
      </c>
      <c r="M30" s="95">
        <f t="shared" si="5"/>
        <v>0.75575018911511427</v>
      </c>
      <c r="N30" s="95">
        <f t="shared" si="6"/>
        <v>0.24031015276723597</v>
      </c>
      <c r="O30" s="40">
        <f t="shared" si="7"/>
        <v>9.166411773417621E-12</v>
      </c>
      <c r="P30" s="40">
        <f t="shared" si="8"/>
        <v>6.3192479520283182E-4</v>
      </c>
      <c r="Q30" s="40">
        <f t="shared" si="9"/>
        <v>1.8286237780905629E-2</v>
      </c>
      <c r="R30" s="9">
        <f t="shared" ref="R30:R49" si="14">F30*$C$14</f>
        <v>1.4999999999999999E-4</v>
      </c>
      <c r="S30" s="9">
        <f t="shared" si="12"/>
        <v>3.6637471632732863E-5</v>
      </c>
      <c r="T30" s="9">
        <f t="shared" si="10"/>
        <v>1.3737183647168246E-9</v>
      </c>
      <c r="U30" s="9">
        <f t="shared" si="11"/>
        <v>1.1336252836726712E-4</v>
      </c>
      <c r="V30" s="102">
        <f t="shared" si="13"/>
        <v>1.2117922778383258E-5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111</v>
      </c>
      <c r="C31" s="46" t="s">
        <v>112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2.9309327933636746</v>
      </c>
      <c r="K31" s="95">
        <f t="shared" si="3"/>
        <v>0.31645560032394632</v>
      </c>
      <c r="L31" s="95">
        <f t="shared" si="4"/>
        <v>0.10442568589349981</v>
      </c>
      <c r="M31" s="95">
        <f t="shared" si="5"/>
        <v>0.89557431410650024</v>
      </c>
      <c r="N31" s="95">
        <f t="shared" si="6"/>
        <v>8.233271940849872E-2</v>
      </c>
      <c r="O31" s="40">
        <f t="shared" si="7"/>
        <v>3.1674203553047629E-7</v>
      </c>
      <c r="P31" s="40">
        <f t="shared" si="8"/>
        <v>2.7017085472080669E-4</v>
      </c>
      <c r="Q31" s="40">
        <f t="shared" si="9"/>
        <v>6.2650523372213491E-3</v>
      </c>
      <c r="R31" s="9">
        <f t="shared" si="14"/>
        <v>1.4999999999999999E-4</v>
      </c>
      <c r="S31" s="9">
        <f t="shared" si="12"/>
        <v>1.566385288402497E-5</v>
      </c>
      <c r="T31" s="9">
        <f t="shared" si="10"/>
        <v>4.7468340048591946E-5</v>
      </c>
      <c r="U31" s="9">
        <f t="shared" si="11"/>
        <v>1.3433614711597501E-4</v>
      </c>
      <c r="V31" s="102">
        <f t="shared" si="13"/>
        <v>0.35335493139915347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119</v>
      </c>
      <c r="C32" s="46" t="s">
        <v>120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2.9114243406645759</v>
      </c>
      <c r="J32" s="94">
        <f t="shared" si="2"/>
        <v>5.6426701080559019</v>
      </c>
      <c r="K32" s="95">
        <f t="shared" si="3"/>
        <v>1.0143650216004382E-3</v>
      </c>
      <c r="L32" s="95">
        <f t="shared" si="4"/>
        <v>0.17235589041210084</v>
      </c>
      <c r="M32" s="95">
        <f t="shared" si="5"/>
        <v>0.82764410958789913</v>
      </c>
      <c r="N32" s="95">
        <f t="shared" si="6"/>
        <v>0.14634400606713646</v>
      </c>
      <c r="O32" s="40">
        <f t="shared" si="7"/>
        <v>1.0152831594187024E-9</v>
      </c>
      <c r="P32" s="40">
        <f t="shared" si="8"/>
        <v>4.4592034833550062E-4</v>
      </c>
      <c r="Q32" s="40">
        <f t="shared" si="9"/>
        <v>1.1135947698997143E-2</v>
      </c>
      <c r="R32" s="9">
        <f t="shared" si="14"/>
        <v>1.4999999999999999E-4</v>
      </c>
      <c r="S32" s="9">
        <f t="shared" si="12"/>
        <v>2.5853383561815123E-5</v>
      </c>
      <c r="T32" s="9">
        <f t="shared" si="10"/>
        <v>1.5215475324006571E-7</v>
      </c>
      <c r="U32" s="9">
        <f t="shared" si="11"/>
        <v>1.2414661643818487E-4</v>
      </c>
      <c r="V32" s="102">
        <f t="shared" si="13"/>
        <v>1.2256053173694563E-3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121</v>
      </c>
      <c r="C33" s="96" t="s">
        <v>122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5.1536383853683807</v>
      </c>
      <c r="K33" s="95">
        <f t="shared" si="3"/>
        <v>2.8763855604523499E-3</v>
      </c>
      <c r="L33" s="95">
        <f t="shared" si="4"/>
        <v>0.15850656067536295</v>
      </c>
      <c r="M33" s="95">
        <f t="shared" si="5"/>
        <v>0.84149343932463705</v>
      </c>
      <c r="N33" s="95">
        <f t="shared" si="6"/>
        <v>0.12837420712564002</v>
      </c>
      <c r="O33" s="40">
        <f t="shared" si="7"/>
        <v>2.8789890792120896E-9</v>
      </c>
      <c r="P33" s="40">
        <f t="shared" si="8"/>
        <v>4.1008926692799369E-4</v>
      </c>
      <c r="Q33" s="40">
        <f t="shared" si="9"/>
        <v>9.7685480592592747E-3</v>
      </c>
      <c r="R33" s="9">
        <f t="shared" si="14"/>
        <v>1.4999999999999999E-4</v>
      </c>
      <c r="S33" s="9">
        <f t="shared" si="12"/>
        <v>2.3775984101304439E-5</v>
      </c>
      <c r="T33" s="9">
        <f t="shared" si="10"/>
        <v>4.3145783406785243E-7</v>
      </c>
      <c r="U33" s="9">
        <f t="shared" si="11"/>
        <v>1.2622401589869556E-4</v>
      </c>
      <c r="V33" s="102">
        <f t="shared" si="13"/>
        <v>3.4181913084918043E-3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123</v>
      </c>
      <c r="C34" s="46" t="s">
        <v>124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5.1764429441964488</v>
      </c>
      <c r="K34" s="95">
        <f t="shared" si="3"/>
        <v>2.8885612796573251E-3</v>
      </c>
      <c r="L34" s="95">
        <f t="shared" si="4"/>
        <v>0.16775917700211801</v>
      </c>
      <c r="M34" s="95">
        <f t="shared" si="5"/>
        <v>0.83224082299788193</v>
      </c>
      <c r="N34" s="95">
        <f t="shared" si="6"/>
        <v>0.14047862888496809</v>
      </c>
      <c r="O34" s="40">
        <f t="shared" si="7"/>
        <v>2.8911758190930824E-9</v>
      </c>
      <c r="P34" s="40">
        <f t="shared" si="8"/>
        <v>4.3402769969972109E-4</v>
      </c>
      <c r="Q34" s="40">
        <f t="shared" si="9"/>
        <v>1.0689625807921167E-2</v>
      </c>
      <c r="R34" s="9">
        <f t="shared" si="14"/>
        <v>1.4999999999999999E-4</v>
      </c>
      <c r="S34" s="9">
        <f t="shared" si="12"/>
        <v>2.5163876550317698E-5</v>
      </c>
      <c r="T34" s="9">
        <f t="shared" si="10"/>
        <v>4.3328419194859874E-7</v>
      </c>
      <c r="U34" s="9">
        <f t="shared" si="11"/>
        <v>1.2483612344968228E-4</v>
      </c>
      <c r="V34" s="102">
        <f t="shared" si="13"/>
        <v>3.4708238286752205E-3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125</v>
      </c>
      <c r="C35" s="46" t="s">
        <v>126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2.0141119248188848</v>
      </c>
      <c r="K35" s="95">
        <f t="shared" si="3"/>
        <v>0.73562782773045887</v>
      </c>
      <c r="L35" s="95">
        <f t="shared" si="4"/>
        <v>2.9398950821862852E-2</v>
      </c>
      <c r="M35" s="95">
        <f t="shared" si="5"/>
        <v>0.97060104917813717</v>
      </c>
      <c r="N35" s="95">
        <f t="shared" si="6"/>
        <v>1.7209839654241395E-2</v>
      </c>
      <c r="O35" s="40">
        <f t="shared" si="7"/>
        <v>7.3629367061189148E-7</v>
      </c>
      <c r="P35" s="40">
        <f t="shared" si="8"/>
        <v>7.6061168317708542E-5</v>
      </c>
      <c r="Q35" s="40">
        <f t="shared" si="9"/>
        <v>1.3095710541765494E-3</v>
      </c>
      <c r="R35" s="9">
        <f t="shared" si="14"/>
        <v>1.4999999999999999E-4</v>
      </c>
      <c r="S35" s="9">
        <f t="shared" si="12"/>
        <v>4.4098426232794275E-6</v>
      </c>
      <c r="T35" s="9">
        <f t="shared" si="10"/>
        <v>1.1034417415956882E-4</v>
      </c>
      <c r="U35" s="9">
        <f t="shared" si="11"/>
        <v>1.4559015737672056E-4</v>
      </c>
      <c r="V35" s="102">
        <f t="shared" si="13"/>
        <v>0.75790957402462789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8.2839991745411492</v>
      </c>
      <c r="K36" s="95">
        <f t="shared" si="3"/>
        <v>3.2953135331138365E-6</v>
      </c>
      <c r="L36" s="95">
        <f t="shared" si="4"/>
        <v>0.24516455055144498</v>
      </c>
      <c r="M36" s="95">
        <f t="shared" si="5"/>
        <v>0.75483544944855496</v>
      </c>
      <c r="N36" s="95">
        <f t="shared" si="6"/>
        <v>0.2415062732673405</v>
      </c>
      <c r="O36" s="40">
        <f t="shared" si="7"/>
        <v>3.2982962384648319E-12</v>
      </c>
      <c r="P36" s="40">
        <f t="shared" si="8"/>
        <v>6.3429141597670343E-4</v>
      </c>
      <c r="Q36" s="40">
        <f t="shared" si="9"/>
        <v>1.8377255757581434E-2</v>
      </c>
      <c r="R36" s="9">
        <f t="shared" si="14"/>
        <v>1.4999999999999999E-4</v>
      </c>
      <c r="S36" s="9">
        <f t="shared" si="12"/>
        <v>3.6774682582716746E-5</v>
      </c>
      <c r="T36" s="9">
        <f t="shared" si="10"/>
        <v>4.9429702996707546E-10</v>
      </c>
      <c r="U36" s="9">
        <f t="shared" si="11"/>
        <v>1.1322531741728324E-4</v>
      </c>
      <c r="V36" s="102">
        <f t="shared" si="13"/>
        <v>4.3656051600666448E-6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127</v>
      </c>
      <c r="C37" s="96" t="s">
        <v>128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3.7332769148114004</v>
      </c>
      <c r="K37" s="95">
        <f t="shared" si="3"/>
        <v>7.0755887115801053E-2</v>
      </c>
      <c r="L37" s="95">
        <f t="shared" si="4"/>
        <v>0.14811575358983917</v>
      </c>
      <c r="M37" s="95">
        <f t="shared" si="5"/>
        <v>0.85188424641016081</v>
      </c>
      <c r="N37" s="95">
        <f t="shared" si="6"/>
        <v>0.12012910868185429</v>
      </c>
      <c r="O37" s="40">
        <f t="shared" si="7"/>
        <v>7.0819930782964731E-8</v>
      </c>
      <c r="P37" s="40">
        <f t="shared" si="8"/>
        <v>3.832060991755878E-4</v>
      </c>
      <c r="Q37" s="40">
        <f t="shared" si="9"/>
        <v>9.1411428958325016E-3</v>
      </c>
      <c r="R37" s="9">
        <f t="shared" si="14"/>
        <v>1.4999999999999999E-4</v>
      </c>
      <c r="S37" s="9">
        <f t="shared" si="12"/>
        <v>2.2217363038475872E-5</v>
      </c>
      <c r="T37" s="9">
        <f t="shared" si="10"/>
        <v>1.0613383067370157E-5</v>
      </c>
      <c r="U37" s="9">
        <f t="shared" si="11"/>
        <v>1.2778263696152411E-4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129</v>
      </c>
      <c r="C38" s="46" t="s">
        <v>130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2.264683445445602</v>
      </c>
      <c r="K38" s="95">
        <f t="shared" si="3"/>
        <v>0.64943698813597173</v>
      </c>
      <c r="L38" s="95">
        <f t="shared" si="4"/>
        <v>4.6214921815398088E-2</v>
      </c>
      <c r="M38" s="95">
        <f t="shared" si="5"/>
        <v>0.9537850781846019</v>
      </c>
      <c r="N38" s="95">
        <f t="shared" si="6"/>
        <v>3.241728911110537E-2</v>
      </c>
      <c r="O38" s="40">
        <f t="shared" si="7"/>
        <v>6.5002481662639669E-7</v>
      </c>
      <c r="P38" s="40">
        <f t="shared" si="8"/>
        <v>1.1956756444439667E-4</v>
      </c>
      <c r="Q38" s="40">
        <f t="shared" si="9"/>
        <v>2.4667715869342035E-3</v>
      </c>
      <c r="R38" s="9">
        <f t="shared" si="14"/>
        <v>1.4999999999999999E-4</v>
      </c>
      <c r="S38" s="9">
        <f t="shared" si="12"/>
        <v>6.9322382723097127E-6</v>
      </c>
      <c r="T38" s="9">
        <f t="shared" si="10"/>
        <v>9.7415548220395744E-5</v>
      </c>
      <c r="U38" s="9">
        <f t="shared" si="11"/>
        <v>1.4306776172769026E-4</v>
      </c>
      <c r="V38" s="102">
        <f t="shared" si="13"/>
        <v>0.68090495751106239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-1.4473112501902181E-2</v>
      </c>
      <c r="K39" s="95">
        <f t="shared" si="3"/>
        <v>0.99914699196546219</v>
      </c>
      <c r="L39" s="95">
        <f t="shared" si="4"/>
        <v>3.7386777214695147E-4</v>
      </c>
      <c r="M39" s="95">
        <f t="shared" si="5"/>
        <v>0.99962613222785301</v>
      </c>
      <c r="N39" s="95">
        <f t="shared" si="6"/>
        <v>6.3658596534079215E-7</v>
      </c>
      <c r="O39" s="40">
        <f t="shared" si="7"/>
        <v>1.0000513554044548E-6</v>
      </c>
      <c r="P39" s="40">
        <f t="shared" si="8"/>
        <v>9.6727327849702124E-7</v>
      </c>
      <c r="Q39" s="40">
        <f t="shared" si="9"/>
        <v>4.8440576464051004E-8</v>
      </c>
      <c r="R39" s="9">
        <f t="shared" si="14"/>
        <v>1.4999999999999999E-4</v>
      </c>
      <c r="S39" s="9">
        <f t="shared" si="12"/>
        <v>5.6080165822042715E-8</v>
      </c>
      <c r="T39" s="9">
        <f t="shared" si="10"/>
        <v>1.4987204879481932E-4</v>
      </c>
      <c r="U39" s="9">
        <f t="shared" si="11"/>
        <v>1.4994391983417794E-4</v>
      </c>
      <c r="V39" s="102">
        <f t="shared" si="13"/>
        <v>0.9995206805355088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131</v>
      </c>
      <c r="C40" s="46" t="s">
        <v>132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2.5205823295230894</v>
      </c>
      <c r="K40" s="95">
        <f t="shared" si="3"/>
        <v>0.46087730582500763</v>
      </c>
      <c r="L40" s="95">
        <f t="shared" si="4"/>
        <v>5.9119317306785026E-2</v>
      </c>
      <c r="M40" s="95">
        <f t="shared" si="5"/>
        <v>0.94088068269321501</v>
      </c>
      <c r="N40" s="95">
        <f t="shared" si="6"/>
        <v>3.444379516332003E-2</v>
      </c>
      <c r="O40" s="40">
        <f t="shared" si="7"/>
        <v>4.6129446224803773E-7</v>
      </c>
      <c r="P40" s="40">
        <f t="shared" si="8"/>
        <v>1.529539054555439E-4</v>
      </c>
      <c r="Q40" s="40">
        <f t="shared" si="9"/>
        <v>2.6209771879398972E-3</v>
      </c>
      <c r="R40" s="9">
        <f t="shared" si="14"/>
        <v>1.4999999999999999E-4</v>
      </c>
      <c r="S40" s="9">
        <f t="shared" si="12"/>
        <v>8.8678975960177525E-6</v>
      </c>
      <c r="T40" s="9">
        <f t="shared" si="10"/>
        <v>6.9131595873751138E-5</v>
      </c>
      <c r="U40" s="9">
        <f t="shared" si="11"/>
        <v>1.4113210240398224E-4</v>
      </c>
      <c r="V40" s="102">
        <f t="shared" si="13"/>
        <v>0.48983608049617272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133</v>
      </c>
      <c r="C41" s="96" t="s">
        <v>134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2.5993109864972253</v>
      </c>
      <c r="K41" s="95">
        <f t="shared" si="3"/>
        <v>0.41095191506614803</v>
      </c>
      <c r="L41" s="95">
        <f t="shared" si="4"/>
        <v>6.3192240323255711E-2</v>
      </c>
      <c r="M41" s="95">
        <f t="shared" si="5"/>
        <v>0.93680775967674434</v>
      </c>
      <c r="N41" s="95">
        <f t="shared" si="6"/>
        <v>3.5838735911311662E-2</v>
      </c>
      <c r="O41" s="40">
        <f t="shared" si="7"/>
        <v>4.113238822443094E-7</v>
      </c>
      <c r="P41" s="40">
        <f t="shared" si="8"/>
        <v>1.6349139997288111E-4</v>
      </c>
      <c r="Q41" s="40">
        <f t="shared" si="9"/>
        <v>2.727124256277691E-3</v>
      </c>
      <c r="R41" s="9">
        <f t="shared" si="14"/>
        <v>1.4999999999999999E-4</v>
      </c>
      <c r="S41" s="9">
        <f t="shared" si="12"/>
        <v>9.4788360484883552E-6</v>
      </c>
      <c r="T41" s="9">
        <f t="shared" si="10"/>
        <v>6.16427872599222E-5</v>
      </c>
      <c r="U41" s="9">
        <f t="shared" si="11"/>
        <v>1.4052116395151163E-4</v>
      </c>
      <c r="V41" s="102">
        <f t="shared" si="13"/>
        <v>0.43867262073912733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135</v>
      </c>
      <c r="C42" s="46" t="s">
        <v>136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1.4796577057346771</v>
      </c>
      <c r="J42" s="94">
        <f t="shared" si="2"/>
        <v>4.2280989480409303</v>
      </c>
      <c r="K42" s="95">
        <f t="shared" si="3"/>
        <v>2.7223764366567826E-2</v>
      </c>
      <c r="L42" s="95">
        <f t="shared" si="4"/>
        <v>0.17807743128867712</v>
      </c>
      <c r="M42" s="95">
        <f t="shared" si="5"/>
        <v>0.82192256871132285</v>
      </c>
      <c r="N42" s="95">
        <f t="shared" si="6"/>
        <v>0.15589308499986781</v>
      </c>
      <c r="O42" s="40">
        <f t="shared" si="7"/>
        <v>2.7248405562871132E-8</v>
      </c>
      <c r="P42" s="40">
        <f t="shared" si="8"/>
        <v>4.6072315835028125E-4</v>
      </c>
      <c r="Q42" s="40">
        <f t="shared" si="9"/>
        <v>1.1862578371658298E-2</v>
      </c>
      <c r="R42" s="9">
        <f t="shared" si="14"/>
        <v>1.4999999999999999E-4</v>
      </c>
      <c r="S42" s="9">
        <f t="shared" si="12"/>
        <v>2.6711614693301565E-5</v>
      </c>
      <c r="T42" s="9">
        <f t="shared" si="10"/>
        <v>4.0835646549851731E-6</v>
      </c>
      <c r="U42" s="9">
        <f t="shared" si="11"/>
        <v>1.2328838530669843E-4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137</v>
      </c>
      <c r="C43" s="46" t="s">
        <v>138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3.9256295758213415</v>
      </c>
      <c r="K43" s="95">
        <f t="shared" si="3"/>
        <v>4.751232365000313E-2</v>
      </c>
      <c r="L43" s="95">
        <f t="shared" si="4"/>
        <v>0.15488080734579043</v>
      </c>
      <c r="M43" s="95">
        <f t="shared" si="5"/>
        <v>0.84511919265420954</v>
      </c>
      <c r="N43" s="95">
        <f t="shared" si="6"/>
        <v>0.12714753502231332</v>
      </c>
      <c r="O43" s="40">
        <f t="shared" si="7"/>
        <v>4.7555328742102866E-8</v>
      </c>
      <c r="P43" s="40">
        <f t="shared" si="8"/>
        <v>4.0070869290852797E-4</v>
      </c>
      <c r="Q43" s="40">
        <f t="shared" si="9"/>
        <v>9.6752052790964969E-3</v>
      </c>
      <c r="R43" s="9">
        <f t="shared" si="14"/>
        <v>1.4999999999999999E-4</v>
      </c>
      <c r="S43" s="9">
        <f t="shared" si="12"/>
        <v>2.3232121101868565E-5</v>
      </c>
      <c r="T43" s="9">
        <f t="shared" si="10"/>
        <v>7.1268485475004687E-6</v>
      </c>
      <c r="U43" s="9">
        <f t="shared" si="11"/>
        <v>1.2676787889813143E-4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0.14841008082679891</v>
      </c>
      <c r="J44" s="94">
        <f t="shared" si="2"/>
        <v>2.2086207765897057</v>
      </c>
      <c r="K44" s="95">
        <f t="shared" si="3"/>
        <v>0.67997201675175867</v>
      </c>
      <c r="L44" s="95">
        <f t="shared" si="4"/>
        <v>4.2527864373562166E-2</v>
      </c>
      <c r="M44" s="95">
        <f t="shared" si="5"/>
        <v>0.95747213562643785</v>
      </c>
      <c r="N44" s="95">
        <f t="shared" si="6"/>
        <v>2.9999617311470005E-2</v>
      </c>
      <c r="O44" s="40">
        <f t="shared" si="7"/>
        <v>6.8058748358139781E-7</v>
      </c>
      <c r="P44" s="40">
        <f t="shared" si="8"/>
        <v>1.100283840028964E-4</v>
      </c>
      <c r="Q44" s="40">
        <f t="shared" si="9"/>
        <v>2.2828004941808145E-3</v>
      </c>
      <c r="R44" s="9">
        <f t="shared" si="14"/>
        <v>1.4999999999999999E-4</v>
      </c>
      <c r="S44" s="9">
        <f t="shared" si="12"/>
        <v>6.3791796560343241E-6</v>
      </c>
      <c r="T44" s="9">
        <f t="shared" si="10"/>
        <v>1.0199580251276379E-4</v>
      </c>
      <c r="U44" s="9">
        <f t="shared" si="11"/>
        <v>1.4362082034396567E-4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139</v>
      </c>
      <c r="C45" s="46" t="s">
        <v>140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3.9363574076389534</v>
      </c>
      <c r="K45" s="95">
        <f t="shared" si="3"/>
        <v>3.9218965226741766E-2</v>
      </c>
      <c r="L45" s="95">
        <f t="shared" si="4"/>
        <v>0.1310434432132305</v>
      </c>
      <c r="M45" s="95">
        <f t="shared" si="5"/>
        <v>0.86895655678676953</v>
      </c>
      <c r="N45" s="95">
        <f t="shared" si="6"/>
        <v>9.531226828572964E-2</v>
      </c>
      <c r="O45" s="40">
        <f t="shared" si="7"/>
        <v>3.9254463705495549E-8</v>
      </c>
      <c r="P45" s="40">
        <f t="shared" si="8"/>
        <v>3.3903650002915428E-4</v>
      </c>
      <c r="Q45" s="40">
        <f t="shared" si="9"/>
        <v>7.2527222892596437E-3</v>
      </c>
      <c r="R45" s="9">
        <f t="shared" si="14"/>
        <v>1.4999999999999999E-4</v>
      </c>
      <c r="S45" s="9">
        <f t="shared" si="12"/>
        <v>1.9656516481984574E-5</v>
      </c>
      <c r="T45" s="9">
        <f t="shared" si="10"/>
        <v>5.8828447840112643E-6</v>
      </c>
      <c r="U45" s="9">
        <f t="shared" si="11"/>
        <v>1.3034348351801542E-4</v>
      </c>
      <c r="V45" s="102">
        <f t="shared" si="13"/>
        <v>4.5133401572761918E-2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0.12747825886296762</v>
      </c>
      <c r="J46" s="94">
        <f t="shared" si="2"/>
        <v>2.1223563706849542</v>
      </c>
      <c r="K46" s="95">
        <f t="shared" si="3"/>
        <v>0.71781101610537423</v>
      </c>
      <c r="L46" s="95">
        <f t="shared" si="4"/>
        <v>3.6806815744441383E-2</v>
      </c>
      <c r="M46" s="95">
        <f t="shared" si="5"/>
        <v>0.96319318425555867</v>
      </c>
      <c r="N46" s="95">
        <f t="shared" si="6"/>
        <v>2.5496630693529396E-2</v>
      </c>
      <c r="O46" s="40">
        <f t="shared" si="7"/>
        <v>7.1846073235762943E-7</v>
      </c>
      <c r="P46" s="40">
        <f t="shared" si="8"/>
        <v>9.5226847534127324E-5</v>
      </c>
      <c r="Q46" s="40">
        <f t="shared" si="9"/>
        <v>1.9401487873274006E-3</v>
      </c>
      <c r="R46" s="9">
        <f t="shared" si="14"/>
        <v>1.4999999999999999E-4</v>
      </c>
      <c r="S46" s="9">
        <f t="shared" si="12"/>
        <v>5.5210223616662069E-6</v>
      </c>
      <c r="T46" s="9">
        <f t="shared" si="10"/>
        <v>1.0767165241580612E-4</v>
      </c>
      <c r="U46" s="9">
        <f t="shared" si="11"/>
        <v>1.4447897763833378E-4</v>
      </c>
      <c r="V46" s="102">
        <f t="shared" si="13"/>
        <v>0.74524096291250486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141</v>
      </c>
      <c r="C47" s="46" t="s">
        <v>142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3.0792919353710997</v>
      </c>
      <c r="K47" s="95">
        <f t="shared" si="3"/>
        <v>0.17754291947175074</v>
      </c>
      <c r="L47" s="95">
        <f t="shared" si="4"/>
        <v>8.2443619405164606E-2</v>
      </c>
      <c r="M47" s="95">
        <f t="shared" si="5"/>
        <v>0.91755638059483535</v>
      </c>
      <c r="N47" s="95">
        <f t="shared" si="6"/>
        <v>4.2634780499832332E-2</v>
      </c>
      <c r="O47" s="40">
        <f t="shared" si="7"/>
        <v>1.7770361987570873E-7</v>
      </c>
      <c r="P47" s="40">
        <f t="shared" si="8"/>
        <v>2.1329870070172736E-4</v>
      </c>
      <c r="Q47" s="40">
        <f t="shared" si="9"/>
        <v>3.2442646512392697E-3</v>
      </c>
      <c r="R47" s="9">
        <f t="shared" si="14"/>
        <v>1.4999999999999999E-4</v>
      </c>
      <c r="S47" s="9">
        <f t="shared" si="12"/>
        <v>1.236654291077469E-5</v>
      </c>
      <c r="T47" s="9">
        <f t="shared" si="10"/>
        <v>2.663143792076261E-5</v>
      </c>
      <c r="U47" s="9">
        <f t="shared" si="11"/>
        <v>1.3763345708922529E-4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143</v>
      </c>
      <c r="C48" s="46" t="s">
        <v>144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1.2270602613474699</v>
      </c>
      <c r="K48" s="95">
        <f t="shared" ref="K48:K50" si="17">IF(D48=0,"",1/(1+10^D48*$J$15/$J$14+10^E48*$J$16/$J$14+10^J48*$J$19/$J$14))</f>
        <v>0.93881171606248437</v>
      </c>
      <c r="L48" s="95">
        <f t="shared" ref="L48:L50" si="18">IF(D48=0,"",1/(1+10^I48/10^J48*$J$13/$J$19))</f>
        <v>6.1263318726450921E-3</v>
      </c>
      <c r="M48" s="95">
        <f t="shared" ref="M48:M92" si="19">IF(D48=0,"",1-L48)</f>
        <v>0.99387366812735489</v>
      </c>
      <c r="N48" s="95">
        <f t="shared" ref="N48:N50" si="20">IF(D48=0,"",1/(1/10^E48*$J$20/$J$22+10^D48/10^E48*$J$21/$J$22+10^I48/10^E48*$J$13/$J$22+1))</f>
        <v>2.772561416319313E-3</v>
      </c>
      <c r="O48" s="40">
        <f t="shared" ref="O48:O92" si="21">IF(D48=0,"",F48*K48*$J$7/$J$14)</f>
        <v>9.3966146789973381E-7</v>
      </c>
      <c r="P48" s="40">
        <f t="shared" ref="P48:P50" si="22">IF(D48=0,"",O48*10^J48)</f>
        <v>1.585008807147202E-5</v>
      </c>
      <c r="Q48" s="40">
        <f t="shared" ref="Q48:Q50" si="23">IF(D48=0,"",F48*N48*$J$7/$J$22)</f>
        <v>2.1097617698278068E-4</v>
      </c>
      <c r="R48" s="9">
        <f t="shared" si="14"/>
        <v>1.4999999999999999E-4</v>
      </c>
      <c r="S48" s="9">
        <f t="shared" si="12"/>
        <v>9.1894978089676368E-7</v>
      </c>
      <c r="T48" s="9">
        <f t="shared" si="10"/>
        <v>1.4082175740937265E-4</v>
      </c>
      <c r="U48" s="9">
        <f t="shared" si="11"/>
        <v>1.4908105021910323E-4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145</v>
      </c>
      <c r="C49" s="46" t="s">
        <v>146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0.75185758381499102</v>
      </c>
      <c r="K49" s="95">
        <f t="shared" si="17"/>
        <v>0.98140173133528885</v>
      </c>
      <c r="L49" s="95">
        <f t="shared" si="18"/>
        <v>2.1442042918049732E-3</v>
      </c>
      <c r="M49" s="95">
        <f t="shared" si="19"/>
        <v>0.99785579570819505</v>
      </c>
      <c r="N49" s="95">
        <f t="shared" si="20"/>
        <v>9.1854300490553384E-4</v>
      </c>
      <c r="O49" s="40">
        <f t="shared" si="21"/>
        <v>9.8229003290845147E-7</v>
      </c>
      <c r="P49" s="40">
        <f t="shared" si="22"/>
        <v>5.5475001313736326E-6</v>
      </c>
      <c r="Q49" s="40">
        <f t="shared" si="23"/>
        <v>6.989590579620415E-5</v>
      </c>
      <c r="R49" s="9">
        <f t="shared" si="14"/>
        <v>1.4999999999999999E-4</v>
      </c>
      <c r="S49" s="9">
        <f t="shared" si="12"/>
        <v>3.2163064377074594E-7</v>
      </c>
      <c r="T49" s="9">
        <f t="shared" si="10"/>
        <v>1.472102597002933E-4</v>
      </c>
      <c r="U49" s="9">
        <f t="shared" si="11"/>
        <v>1.4967836935622924E-4</v>
      </c>
      <c r="V49" s="102">
        <f t="shared" si="13"/>
        <v>0.98351057893968685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147</v>
      </c>
      <c r="C50" s="46" t="s">
        <v>148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149</v>
      </c>
      <c r="C51" s="46" t="s">
        <v>150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151</v>
      </c>
      <c r="C52" s="46" t="s">
        <v>152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153</v>
      </c>
      <c r="C53" s="46" t="s">
        <v>154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155</v>
      </c>
      <c r="C54" s="46" t="s">
        <v>156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157</v>
      </c>
      <c r="C55" s="46" t="s">
        <v>158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159</v>
      </c>
      <c r="C56" s="46" t="s">
        <v>160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8.6236157418987745E-3</v>
      </c>
      <c r="K57" s="55">
        <f t="shared" si="26"/>
        <v>0.99900232421092638</v>
      </c>
      <c r="L57" s="55">
        <f t="shared" si="27"/>
        <v>3.9423199858289735E-4</v>
      </c>
      <c r="M57" s="55">
        <f t="shared" si="28"/>
        <v>0.99960576800141709</v>
      </c>
      <c r="N57" s="55">
        <f t="shared" si="29"/>
        <v>1.5879000888231371E-5</v>
      </c>
      <c r="O57" s="56">
        <f t="shared" si="30"/>
        <v>9.9990655670599477E-7</v>
      </c>
      <c r="P57" s="56">
        <f t="shared" si="31"/>
        <v>1.0199597455750417E-6</v>
      </c>
      <c r="Q57" s="56">
        <f t="shared" si="32"/>
        <v>1.2083017825995046E-6</v>
      </c>
      <c r="R57" s="9">
        <f t="shared" ref="R57:R58" si="33">F57*$C$14</f>
        <v>1.4999999999999999E-4</v>
      </c>
      <c r="S57" s="9">
        <f t="shared" ref="S57:S58" si="34">$R57*L57</f>
        <v>5.9134799787434596E-8</v>
      </c>
      <c r="T57" s="9">
        <f t="shared" ref="T57:T58" si="35">R57*K57</f>
        <v>1.4985034863163895E-4</v>
      </c>
      <c r="U57" s="9">
        <f t="shared" ref="U57:U58" si="36">$R57*M57</f>
        <v>1.4994086520021254E-4</v>
      </c>
      <c r="V57" s="102">
        <f t="shared" ref="V57:V58" si="37">K57/M57</f>
        <v>0.99939631821883423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161</v>
      </c>
      <c r="C58" s="46" t="s">
        <v>162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1.4188837414976314</v>
      </c>
      <c r="K58" s="55">
        <f t="shared" si="26"/>
        <v>0.91077553064945882</v>
      </c>
      <c r="L58" s="55">
        <f t="shared" si="27"/>
        <v>9.243934360244321E-3</v>
      </c>
      <c r="M58" s="55">
        <f t="shared" si="28"/>
        <v>0.99075606563975571</v>
      </c>
      <c r="N58" s="55">
        <f t="shared" si="29"/>
        <v>4.6421698704485013E-3</v>
      </c>
      <c r="O58" s="56">
        <f t="shared" si="30"/>
        <v>9.1159990593925298E-7</v>
      </c>
      <c r="P58" s="56">
        <f t="shared" si="31"/>
        <v>2.3915970728095556E-5</v>
      </c>
      <c r="Q58" s="56">
        <f t="shared" si="32"/>
        <v>3.5324276187614662E-4</v>
      </c>
      <c r="R58" s="9">
        <f t="shared" si="33"/>
        <v>1.4999999999999999E-4</v>
      </c>
      <c r="S58" s="9">
        <f t="shared" si="34"/>
        <v>1.386590154036648E-6</v>
      </c>
      <c r="T58" s="9">
        <f t="shared" si="35"/>
        <v>1.3661632959741882E-4</v>
      </c>
      <c r="U58" s="9">
        <f t="shared" si="36"/>
        <v>1.4861340984596334E-4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163</v>
      </c>
      <c r="C59" s="46" t="s">
        <v>164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1.5036461500927543</v>
      </c>
      <c r="K60" s="55">
        <f t="shared" si="26"/>
        <v>0.8794187170420249</v>
      </c>
      <c r="L60" s="55">
        <f t="shared" si="27"/>
        <v>1.0849347309989718E-2</v>
      </c>
      <c r="M60" s="55">
        <f t="shared" si="28"/>
        <v>0.98915065269001023</v>
      </c>
      <c r="N60" s="55">
        <f t="shared" si="29"/>
        <v>4.2720800219677307E-3</v>
      </c>
      <c r="O60" s="56">
        <f t="shared" si="30"/>
        <v>8.8021471016581353E-7</v>
      </c>
      <c r="P60" s="56">
        <f t="shared" si="31"/>
        <v>2.8069506183490294E-5</v>
      </c>
      <c r="Q60" s="56">
        <f t="shared" si="32"/>
        <v>3.2508102633693395E-4</v>
      </c>
      <c r="R60" s="9">
        <f>F60*$C$14</f>
        <v>1.4999999999999999E-4</v>
      </c>
      <c r="S60" s="9">
        <f t="shared" ref="S60:S61" si="38">$R60*L60</f>
        <v>1.6274020964984576E-6</v>
      </c>
      <c r="T60" s="9">
        <f t="shared" ref="T60:T61" si="39">R60*K60</f>
        <v>1.3191280755630374E-4</v>
      </c>
      <c r="U60" s="9">
        <f t="shared" ref="U60:U61" si="40">$R60*M60</f>
        <v>1.4837259790350153E-4</v>
      </c>
      <c r="V60" s="102">
        <f t="shared" ref="V60:V61" si="41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2.465978133838072</v>
      </c>
      <c r="K61" s="55">
        <f t="shared" si="26"/>
        <v>0.4625027988585253</v>
      </c>
      <c r="L61" s="55">
        <f t="shared" si="27"/>
        <v>5.2318376204539573E-2</v>
      </c>
      <c r="M61" s="55">
        <f t="shared" si="28"/>
        <v>0.94768162379546039</v>
      </c>
      <c r="N61" s="55">
        <f t="shared" si="29"/>
        <v>2.5675448559214286E-2</v>
      </c>
      <c r="O61" s="56">
        <f t="shared" si="30"/>
        <v>4.6292142657304871E-7</v>
      </c>
      <c r="P61" s="56">
        <f t="shared" si="31"/>
        <v>1.353584637327724E-4</v>
      </c>
      <c r="Q61" s="56">
        <f t="shared" si="32"/>
        <v>1.9537558113075951E-3</v>
      </c>
      <c r="R61" s="9">
        <f>F61*$C$14</f>
        <v>1.4999999999999999E-4</v>
      </c>
      <c r="S61" s="9">
        <f t="shared" si="38"/>
        <v>7.8477564306809351E-6</v>
      </c>
      <c r="T61" s="9">
        <f t="shared" si="39"/>
        <v>6.9375419828778789E-5</v>
      </c>
      <c r="U61" s="9">
        <f t="shared" si="40"/>
        <v>1.4215224356931906E-4</v>
      </c>
      <c r="V61" s="102">
        <f t="shared" si="41"/>
        <v>0.4880360526631336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165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2.1853515861255404</v>
      </c>
      <c r="K62" s="55">
        <f t="shared" si="26"/>
        <v>0.6465423253517506</v>
      </c>
      <c r="L62" s="55">
        <f t="shared" si="27"/>
        <v>3.8327483410121377E-2</v>
      </c>
      <c r="M62" s="55">
        <f t="shared" si="28"/>
        <v>0.96167251658987862</v>
      </c>
      <c r="N62" s="55">
        <f t="shared" si="29"/>
        <v>2.1871604057681831E-2</v>
      </c>
      <c r="O62" s="56">
        <f t="shared" si="30"/>
        <v>6.4712753378005122E-7</v>
      </c>
      <c r="P62" s="56">
        <f t="shared" si="31"/>
        <v>9.9161129406137832E-5</v>
      </c>
      <c r="Q62" s="56">
        <f t="shared" si="32"/>
        <v>1.6643048487259737E-3</v>
      </c>
      <c r="R62" s="9">
        <f>F62*$C$14</f>
        <v>1.4999999999999999E-4</v>
      </c>
      <c r="S62" s="9">
        <f t="shared" ref="S62:S63" si="42">$R62*L62</f>
        <v>5.749122511518206E-6</v>
      </c>
      <c r="T62" s="9">
        <f t="shared" ref="T62:T63" si="43">R62*K62</f>
        <v>9.6981348802762578E-5</v>
      </c>
      <c r="U62" s="9">
        <f t="shared" ref="U62:U63" si="44">$R62*M62</f>
        <v>1.4425087748848179E-4</v>
      </c>
      <c r="V62" s="102">
        <f t="shared" ref="V62:V63" si="45">K62/M62</f>
        <v>0.67231028671216508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2.1173032596981405</v>
      </c>
      <c r="K63" s="55">
        <f t="shared" si="26"/>
        <v>0.67676418586020926</v>
      </c>
      <c r="L63" s="55">
        <f t="shared" si="27"/>
        <v>3.4300652757567017E-2</v>
      </c>
      <c r="M63" s="55">
        <f t="shared" si="28"/>
        <v>0.965699347242433</v>
      </c>
      <c r="N63" s="55">
        <f t="shared" si="29"/>
        <v>1.8984800698334338E-2</v>
      </c>
      <c r="O63" s="56">
        <f t="shared" si="30"/>
        <v>6.773767491681442E-7</v>
      </c>
      <c r="P63" s="56">
        <f t="shared" si="31"/>
        <v>8.8742885370603287E-5</v>
      </c>
      <c r="Q63" s="56">
        <f t="shared" si="32"/>
        <v>1.4446355087173704E-3</v>
      </c>
      <c r="R63" s="9">
        <f>F63*$C$14</f>
        <v>1.4999999999999999E-4</v>
      </c>
      <c r="S63" s="9">
        <f t="shared" si="42"/>
        <v>5.1450979136350524E-6</v>
      </c>
      <c r="T63" s="9">
        <f t="shared" si="43"/>
        <v>1.0151462787903138E-4</v>
      </c>
      <c r="U63" s="9">
        <f t="shared" si="44"/>
        <v>1.4485490208636495E-4</v>
      </c>
      <c r="V63" s="102">
        <f t="shared" si="45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1.3674698928675459</v>
      </c>
      <c r="K64" s="55">
        <f t="shared" si="26"/>
        <v>0.92515985994783845</v>
      </c>
      <c r="L64" s="55">
        <f t="shared" si="27"/>
        <v>8.3415821637082728E-3</v>
      </c>
      <c r="M64" s="55">
        <f t="shared" si="28"/>
        <v>0.99165841783629172</v>
      </c>
      <c r="N64" s="55">
        <f t="shared" si="29"/>
        <v>4.5949253069571807E-3</v>
      </c>
      <c r="O64" s="56">
        <f t="shared" si="30"/>
        <v>9.2599725500511079E-7</v>
      </c>
      <c r="P64" s="56">
        <f t="shared" si="31"/>
        <v>2.1581398902098892E-5</v>
      </c>
      <c r="Q64" s="56">
        <f t="shared" si="32"/>
        <v>3.4964771892057842E-4</v>
      </c>
      <c r="R64" s="9">
        <f>F64*$C$14</f>
        <v>1.4999999999999999E-4</v>
      </c>
      <c r="S64" s="9">
        <f t="shared" ref="S64:S69" si="46">$R64*L64</f>
        <v>1.2512373245562409E-6</v>
      </c>
      <c r="T64" s="9">
        <f t="shared" ref="T64:T69" si="47">R64*K64</f>
        <v>1.3877397899217576E-4</v>
      </c>
      <c r="U64" s="9">
        <f t="shared" ref="U64:U69" si="48">$R64*M64</f>
        <v>1.4874876267544375E-4</v>
      </c>
      <c r="V64" s="102">
        <f t="shared" ref="V64:V69" si="49">K64/M64</f>
        <v>0.93294207290293862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166</v>
      </c>
      <c r="C65" s="46" t="s">
        <v>167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2.8233837190602822</v>
      </c>
      <c r="K65" s="55">
        <f t="shared" si="26"/>
        <v>0.32469411402210713</v>
      </c>
      <c r="L65" s="55">
        <f t="shared" si="27"/>
        <v>8.36411301460048E-2</v>
      </c>
      <c r="M65" s="55">
        <f t="shared" si="28"/>
        <v>0.91635886985399517</v>
      </c>
      <c r="N65" s="55">
        <f t="shared" si="29"/>
        <v>5.5793176792171412E-2</v>
      </c>
      <c r="O65" s="56">
        <f t="shared" si="30"/>
        <v>3.2498800620007391E-7</v>
      </c>
      <c r="P65" s="56">
        <f t="shared" si="31"/>
        <v>2.1639690874912399E-4</v>
      </c>
      <c r="Q65" s="56">
        <f t="shared" si="32"/>
        <v>4.2455438758010437E-3</v>
      </c>
      <c r="R65" s="9">
        <f>F65*$C$14</f>
        <v>1.4999999999999999E-4</v>
      </c>
      <c r="S65" s="9">
        <f t="shared" si="46"/>
        <v>1.2546169521900718E-5</v>
      </c>
      <c r="T65" s="9">
        <f t="shared" si="47"/>
        <v>4.8704117103316064E-5</v>
      </c>
      <c r="U65" s="9">
        <f t="shared" si="48"/>
        <v>1.3745383047809927E-4</v>
      </c>
      <c r="V65" s="102">
        <f t="shared" si="49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168</v>
      </c>
      <c r="C66" s="46" t="s">
        <v>169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170</v>
      </c>
      <c r="C67" s="46" t="s">
        <v>171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1.4569140663004096</v>
      </c>
      <c r="K68" s="55">
        <f t="shared" si="26"/>
        <v>0.88661586808230364</v>
      </c>
      <c r="L68" s="55">
        <f t="shared" si="27"/>
        <v>9.8222576808577843E-3</v>
      </c>
      <c r="M68" s="55">
        <f t="shared" si="28"/>
        <v>0.99017774231914224</v>
      </c>
      <c r="N68" s="55">
        <f t="shared" si="29"/>
        <v>3.4954908862357449E-3</v>
      </c>
      <c r="O68" s="56">
        <f t="shared" si="30"/>
        <v>8.8741837560319124E-7</v>
      </c>
      <c r="P68" s="56">
        <f t="shared" si="31"/>
        <v>2.5412212811623406E-5</v>
      </c>
      <c r="Q68" s="56">
        <f t="shared" si="32"/>
        <v>2.6598700375596518E-4</v>
      </c>
      <c r="R68" s="9">
        <f>F68*$C$14</f>
        <v>1.4999999999999999E-4</v>
      </c>
      <c r="S68" s="9">
        <f t="shared" si="46"/>
        <v>1.4733386521286674E-6</v>
      </c>
      <c r="T68" s="9">
        <f t="shared" si="47"/>
        <v>1.3299238021234554E-4</v>
      </c>
      <c r="U68" s="9">
        <f t="shared" si="48"/>
        <v>1.4852666134787133E-4</v>
      </c>
      <c r="V68" s="102">
        <f t="shared" si="49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172</v>
      </c>
      <c r="C69" s="46" t="s">
        <v>173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3.7592307464751822</v>
      </c>
      <c r="K69" s="55">
        <f t="shared" si="26"/>
        <v>5.5541278493182057E-2</v>
      </c>
      <c r="L69" s="55">
        <f t="shared" si="27"/>
        <v>0.12342648930767382</v>
      </c>
      <c r="M69" s="55">
        <f t="shared" si="28"/>
        <v>0.87657351069232614</v>
      </c>
      <c r="N69" s="55">
        <f t="shared" si="29"/>
        <v>8.6634235401316609E-2</v>
      </c>
      <c r="O69" s="56">
        <f t="shared" si="30"/>
        <v>5.5591550877553987E-8</v>
      </c>
      <c r="P69" s="56">
        <f t="shared" si="31"/>
        <v>3.1932986435398149E-4</v>
      </c>
      <c r="Q69" s="56">
        <f t="shared" si="32"/>
        <v>6.5923732737579949E-3</v>
      </c>
      <c r="R69" s="9">
        <f>F69*$C$14</f>
        <v>1.4999999999999999E-4</v>
      </c>
      <c r="S69" s="9">
        <f t="shared" si="46"/>
        <v>1.8513973396151071E-5</v>
      </c>
      <c r="T69" s="9">
        <f t="shared" si="47"/>
        <v>8.3311917739773071E-6</v>
      </c>
      <c r="U69" s="9">
        <f t="shared" si="48"/>
        <v>1.3148602660384892E-4</v>
      </c>
      <c r="V69" s="102">
        <f t="shared" si="49"/>
        <v>6.336180344910837E-2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174</v>
      </c>
      <c r="C70" s="46" t="s">
        <v>175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0.64559866119554743</v>
      </c>
      <c r="K70" s="55">
        <f t="shared" si="26"/>
        <v>0.98269021222939579</v>
      </c>
      <c r="L70" s="55">
        <f t="shared" si="27"/>
        <v>1.6810361348524947E-3</v>
      </c>
      <c r="M70" s="55">
        <f t="shared" si="28"/>
        <v>0.99831896386514751</v>
      </c>
      <c r="N70" s="55">
        <f t="shared" si="29"/>
        <v>4.1416777492288043E-4</v>
      </c>
      <c r="O70" s="56">
        <f t="shared" si="30"/>
        <v>9.835796800523915E-7</v>
      </c>
      <c r="P70" s="56">
        <f t="shared" si="31"/>
        <v>4.3491882814430287E-6</v>
      </c>
      <c r="Q70" s="56">
        <f t="shared" si="32"/>
        <v>3.1515815400292892E-5</v>
      </c>
      <c r="R70" s="9">
        <f t="shared" ref="R70:R71" si="50">F70*$C$14</f>
        <v>1.4999999999999999E-4</v>
      </c>
      <c r="S70" s="9">
        <f t="shared" ref="S70:S71" si="51">$R70*L70</f>
        <v>2.5215542022787422E-7</v>
      </c>
      <c r="T70" s="9">
        <f t="shared" ref="T70:T71" si="52">R70*K70</f>
        <v>1.4740353183440935E-4</v>
      </c>
      <c r="U70" s="9">
        <f t="shared" ref="U70:U71" si="53">$R70*M70</f>
        <v>1.497478445797721E-4</v>
      </c>
      <c r="V70" s="102">
        <f t="shared" ref="V70:V71" si="54">K70/M70</f>
        <v>0.98434493162862235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176</v>
      </c>
      <c r="C71" s="46" t="s">
        <v>177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55">IF(D71=0,"",LOG($K$15*10^D71+$K$16*10^E71+$K$14))</f>
        <v>2.8589842167479149E-2</v>
      </c>
      <c r="J71" s="54">
        <f t="shared" ref="J71:J122" si="56">IF(D71=0,"",LOG($K$21*10^D71+$K$22*10^E71+$K$20))</f>
        <v>1.3142586806508352</v>
      </c>
      <c r="K71" s="55">
        <f t="shared" ref="K71:K122" si="57">IF(D71=0,"",1/(1+10^D71*$J$15/$J$14+10^E71*$J$16/$J$14+10^J71*$J$19/$J$14))</f>
        <v>0.92887087828510984</v>
      </c>
      <c r="L71" s="55">
        <f t="shared" ref="L71:L122" si="58">IF(D71=0,"",1/(1+10^I71/10^J71*$J$13/$J$19))</f>
        <v>7.4092762111501106E-3</v>
      </c>
      <c r="M71" s="55">
        <f t="shared" si="19"/>
        <v>0.99259072378884994</v>
      </c>
      <c r="N71" s="55">
        <f t="shared" ref="N71:N122" si="59">IF(D71=0,"",1/(1/10^E71*$J$20/$J$22+10^D71/10^E71*$J$21/$J$22+10^I71/10^E71*$J$13/$J$22+1))</f>
        <v>3.667701826747723E-3</v>
      </c>
      <c r="O71" s="56">
        <f t="shared" si="21"/>
        <v>9.2971163231692015E-7</v>
      </c>
      <c r="P71" s="56">
        <f t="shared" ref="P71:P122" si="60">IF(D71=0,"",O71*10^J71)</f>
        <v>1.9169330511944194E-5</v>
      </c>
      <c r="Q71" s="56">
        <f t="shared" ref="Q71:Q122" si="61">IF(D71=0,"",F71*N71*$J$7/$J$22)</f>
        <v>2.7909127825461962E-4</v>
      </c>
      <c r="R71" s="9">
        <f t="shared" si="50"/>
        <v>1.4999999999999999E-4</v>
      </c>
      <c r="S71" s="9">
        <f t="shared" si="51"/>
        <v>1.1113914316725164E-6</v>
      </c>
      <c r="T71" s="9">
        <f t="shared" si="52"/>
        <v>1.3933063174276645E-4</v>
      </c>
      <c r="U71" s="9">
        <f t="shared" si="53"/>
        <v>1.4888860856832747E-4</v>
      </c>
      <c r="V71" s="102">
        <f t="shared" si="54"/>
        <v>0.93580451239710061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178</v>
      </c>
      <c r="C72" s="46" t="s">
        <v>179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55"/>
        <v>4.5043006346732313E-2</v>
      </c>
      <c r="J72" s="54">
        <f t="shared" si="56"/>
        <v>1.4492878976223589</v>
      </c>
      <c r="K72" s="55">
        <f t="shared" si="57"/>
        <v>0.89226355118410194</v>
      </c>
      <c r="L72" s="55">
        <f t="shared" si="58"/>
        <v>9.7127633523092002E-3</v>
      </c>
      <c r="M72" s="55">
        <f t="shared" si="19"/>
        <v>0.99028723664769081</v>
      </c>
      <c r="N72" s="55">
        <f t="shared" si="59"/>
        <v>3.7971593843282815E-3</v>
      </c>
      <c r="O72" s="56">
        <f t="shared" si="21"/>
        <v>8.9307117062360937E-7</v>
      </c>
      <c r="P72" s="56">
        <f t="shared" si="60"/>
        <v>2.5128928329669203E-5</v>
      </c>
      <c r="Q72" s="56">
        <f t="shared" si="61"/>
        <v>2.8894226313059499E-4</v>
      </c>
      <c r="R72" s="9">
        <f t="shared" ref="R72:R86" si="62">F72*$C$14</f>
        <v>1.4999999999999999E-4</v>
      </c>
      <c r="S72" s="9">
        <f t="shared" ref="S72:S90" si="63">$R72*L72</f>
        <v>1.45691450284638E-6</v>
      </c>
      <c r="T72" s="9">
        <f t="shared" ref="T72:T90" si="64">R72*K72</f>
        <v>1.3383953267761528E-4</v>
      </c>
      <c r="U72" s="9">
        <f t="shared" ref="U72:U90" si="65">$R72*M72</f>
        <v>1.485430854971536E-4</v>
      </c>
      <c r="V72" s="102">
        <f t="shared" ref="V72:V90" si="66">K72/M72</f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180</v>
      </c>
      <c r="C73" s="46" t="s">
        <v>181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55"/>
        <v>2.829962486439805</v>
      </c>
      <c r="J73" s="54">
        <f t="shared" si="56"/>
        <v>5.6416380635271075</v>
      </c>
      <c r="K73" s="55">
        <f t="shared" si="57"/>
        <v>1.1821914259518083E-3</v>
      </c>
      <c r="L73" s="55">
        <f t="shared" si="58"/>
        <v>0.20039534363426775</v>
      </c>
      <c r="M73" s="55">
        <f t="shared" si="19"/>
        <v>0.79960465636573219</v>
      </c>
      <c r="N73" s="55">
        <f t="shared" si="59"/>
        <v>0.18303598453140482</v>
      </c>
      <c r="O73" s="56">
        <f t="shared" si="21"/>
        <v>1.1832614694109978E-9</v>
      </c>
      <c r="P73" s="56">
        <f t="shared" si="60"/>
        <v>5.1846421508743045E-4</v>
      </c>
      <c r="Q73" s="56">
        <f t="shared" si="61"/>
        <v>1.3927998867552506E-2</v>
      </c>
      <c r="R73" s="9">
        <f t="shared" si="62"/>
        <v>1.4999999999999999E-4</v>
      </c>
      <c r="S73" s="9">
        <f t="shared" si="63"/>
        <v>3.0059301545140161E-5</v>
      </c>
      <c r="T73" s="9">
        <f t="shared" si="64"/>
        <v>1.7732871389277122E-7</v>
      </c>
      <c r="U73" s="9">
        <f t="shared" si="65"/>
        <v>1.1994069845485982E-4</v>
      </c>
      <c r="V73" s="102">
        <f t="shared" si="66"/>
        <v>1.4784699120249799E-3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182</v>
      </c>
      <c r="C74" s="46" t="s">
        <v>183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55"/>
        <v>3.957220636313619E-3</v>
      </c>
      <c r="J74" s="54">
        <f t="shared" si="56"/>
        <v>0.50257798213592542</v>
      </c>
      <c r="K74" s="55">
        <f t="shared" si="57"/>
        <v>0.98921052889866545</v>
      </c>
      <c r="L74" s="55">
        <f t="shared" si="58"/>
        <v>1.2173864671826387E-3</v>
      </c>
      <c r="M74" s="55">
        <f t="shared" si="19"/>
        <v>0.99878261353281739</v>
      </c>
      <c r="N74" s="55">
        <f t="shared" si="59"/>
        <v>3.2130346168101281E-4</v>
      </c>
      <c r="O74" s="56">
        <f t="shared" si="21"/>
        <v>9.9010589849192504E-7</v>
      </c>
      <c r="P74" s="56">
        <f t="shared" si="60"/>
        <v>3.1496306636636624E-6</v>
      </c>
      <c r="Q74" s="56">
        <f t="shared" si="61"/>
        <v>2.4449368586678203E-5</v>
      </c>
      <c r="R74" s="9">
        <f t="shared" si="62"/>
        <v>1.4999999999999999E-4</v>
      </c>
      <c r="S74" s="9">
        <f t="shared" si="63"/>
        <v>1.826079700773958E-7</v>
      </c>
      <c r="T74" s="9">
        <f t="shared" si="64"/>
        <v>1.4838157933479981E-4</v>
      </c>
      <c r="U74" s="9">
        <f t="shared" si="65"/>
        <v>1.4981739202992258E-4</v>
      </c>
      <c r="V74" s="102">
        <f t="shared" si="66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184</v>
      </c>
      <c r="C75" s="46" t="s">
        <v>185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55"/>
        <v>4.1980440605165602E-3</v>
      </c>
      <c r="J75" s="54">
        <f t="shared" si="56"/>
        <v>0.51091120344487995</v>
      </c>
      <c r="K75" s="55">
        <f t="shared" si="57"/>
        <v>0.98863951083525425</v>
      </c>
      <c r="L75" s="55">
        <f t="shared" si="58"/>
        <v>1.2402548207373675E-3</v>
      </c>
      <c r="M75" s="55">
        <f t="shared" si="19"/>
        <v>0.99875974517926258</v>
      </c>
      <c r="N75" s="55">
        <f t="shared" si="59"/>
        <v>3.0623557262406576E-4</v>
      </c>
      <c r="O75" s="56">
        <f t="shared" si="21"/>
        <v>9.8953436357977822E-7</v>
      </c>
      <c r="P75" s="56">
        <f t="shared" si="60"/>
        <v>3.2087958256932394E-6</v>
      </c>
      <c r="Q75" s="56">
        <f t="shared" si="61"/>
        <v>2.33027878077191E-5</v>
      </c>
      <c r="R75" s="9">
        <f t="shared" si="62"/>
        <v>1.4999999999999999E-4</v>
      </c>
      <c r="S75" s="9">
        <f t="shared" si="63"/>
        <v>1.8603822311060512E-7</v>
      </c>
      <c r="T75" s="9">
        <f t="shared" si="64"/>
        <v>1.4829592662528811E-4</v>
      </c>
      <c r="U75" s="9">
        <f t="shared" si="65"/>
        <v>1.4981396177688938E-4</v>
      </c>
      <c r="V75" s="102">
        <f t="shared" si="66"/>
        <v>0.98986719839995962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186</v>
      </c>
      <c r="C76" s="46" t="s">
        <v>187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55"/>
        <v>0.35626551305621779</v>
      </c>
      <c r="J76" s="54">
        <f t="shared" si="56"/>
        <v>2.621107442671748</v>
      </c>
      <c r="K76" s="55">
        <f t="shared" si="57"/>
        <v>0.41082694710048179</v>
      </c>
      <c r="L76" s="55">
        <f t="shared" si="58"/>
        <v>6.6424473730567798E-2</v>
      </c>
      <c r="M76" s="55">
        <f t="shared" si="19"/>
        <v>0.93357552626943219</v>
      </c>
      <c r="N76" s="55">
        <f t="shared" si="59"/>
        <v>4.0057016250742081E-2</v>
      </c>
      <c r="O76" s="56">
        <f t="shared" si="21"/>
        <v>4.1119880116569777E-7</v>
      </c>
      <c r="P76" s="56">
        <f t="shared" si="60"/>
        <v>1.718538565355439E-4</v>
      </c>
      <c r="Q76" s="56">
        <f t="shared" si="61"/>
        <v>3.0481114323295416E-3</v>
      </c>
      <c r="R76" s="9">
        <f t="shared" si="62"/>
        <v>1.4999999999999999E-4</v>
      </c>
      <c r="S76" s="9">
        <f t="shared" si="63"/>
        <v>9.9636710595851695E-6</v>
      </c>
      <c r="T76" s="9">
        <f t="shared" si="64"/>
        <v>6.1624042065072269E-5</v>
      </c>
      <c r="U76" s="9">
        <f t="shared" si="65"/>
        <v>1.4003632894041482E-4</v>
      </c>
      <c r="V76" s="102">
        <f t="shared" si="66"/>
        <v>0.44005753743582621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55"/>
        <v>2.1004549420906745E-4</v>
      </c>
      <c r="J77" s="54">
        <f t="shared" si="56"/>
        <v>3.9402684082655383E-2</v>
      </c>
      <c r="K77" s="55">
        <f t="shared" si="57"/>
        <v>0.99857613820904478</v>
      </c>
      <c r="L77" s="55">
        <f t="shared" si="58"/>
        <v>4.2300512135191035E-4</v>
      </c>
      <c r="M77" s="55">
        <f t="shared" si="19"/>
        <v>0.99957699487864804</v>
      </c>
      <c r="N77" s="55">
        <f t="shared" si="59"/>
        <v>1.9944440537452987E-5</v>
      </c>
      <c r="O77" s="56">
        <f t="shared" si="21"/>
        <v>9.9947998494802188E-7</v>
      </c>
      <c r="P77" s="56">
        <f t="shared" si="60"/>
        <v>1.094401767238361E-6</v>
      </c>
      <c r="Q77" s="56">
        <f t="shared" si="61"/>
        <v>1.5176586501871808E-6</v>
      </c>
      <c r="R77" s="9">
        <f t="shared" si="62"/>
        <v>1.4999999999999999E-4</v>
      </c>
      <c r="S77" s="9">
        <f t="shared" si="63"/>
        <v>6.3450768202786552E-8</v>
      </c>
      <c r="T77" s="9">
        <f t="shared" si="64"/>
        <v>1.4978642073135671E-4</v>
      </c>
      <c r="U77" s="9">
        <f t="shared" si="65"/>
        <v>1.499365492317972E-4</v>
      </c>
      <c r="V77" s="102">
        <f t="shared" si="66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188</v>
      </c>
      <c r="C78" s="46" t="s">
        <v>189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55"/>
        <v>9.6186457475178466E-3</v>
      </c>
      <c r="J78" s="54">
        <f t="shared" si="56"/>
        <v>0.83897219078208807</v>
      </c>
      <c r="K78" s="55">
        <f t="shared" si="57"/>
        <v>0.9750439005985051</v>
      </c>
      <c r="L78" s="55">
        <f t="shared" si="58"/>
        <v>2.6035032133094353E-3</v>
      </c>
      <c r="M78" s="55">
        <f t="shared" si="19"/>
        <v>0.99739649678669051</v>
      </c>
      <c r="N78" s="55">
        <f t="shared" si="59"/>
        <v>1.0185159730564544E-3</v>
      </c>
      <c r="O78" s="56">
        <f t="shared" si="21"/>
        <v>9.7592644747319427E-7</v>
      </c>
      <c r="P78" s="56">
        <f t="shared" si="60"/>
        <v>6.7358014686687475E-6</v>
      </c>
      <c r="Q78" s="56">
        <f t="shared" si="61"/>
        <v>7.7503280874698506E-5</v>
      </c>
      <c r="R78" s="9">
        <f t="shared" si="62"/>
        <v>1.4999999999999999E-4</v>
      </c>
      <c r="S78" s="9">
        <f t="shared" si="63"/>
        <v>3.9052548199641526E-7</v>
      </c>
      <c r="T78" s="9">
        <f t="shared" si="64"/>
        <v>1.4625658508977575E-4</v>
      </c>
      <c r="U78" s="9">
        <f t="shared" si="65"/>
        <v>1.4960947451800357E-4</v>
      </c>
      <c r="V78" s="102">
        <f t="shared" si="66"/>
        <v>0.97758905684930841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190</v>
      </c>
      <c r="C79" s="46" t="s">
        <v>191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55"/>
        <v>8.6760595853303396E-2</v>
      </c>
      <c r="J79" s="54">
        <f t="shared" si="56"/>
        <v>1.8013240408300564</v>
      </c>
      <c r="K79" s="55">
        <f t="shared" si="57"/>
        <v>0.80241147428484205</v>
      </c>
      <c r="L79" s="55">
        <f t="shared" si="58"/>
        <v>1.9646397579976552E-2</v>
      </c>
      <c r="M79" s="55">
        <f t="shared" si="19"/>
        <v>0.98035360242002345</v>
      </c>
      <c r="N79" s="55">
        <f t="shared" si="59"/>
        <v>9.7133224193503113E-3</v>
      </c>
      <c r="O79" s="56">
        <f t="shared" si="21"/>
        <v>8.0313776541738498E-7</v>
      </c>
      <c r="P79" s="56">
        <f t="shared" si="60"/>
        <v>5.0829295311312456E-5</v>
      </c>
      <c r="Q79" s="56">
        <f t="shared" si="61"/>
        <v>7.3912866916981193E-4</v>
      </c>
      <c r="R79" s="9">
        <f t="shared" si="62"/>
        <v>1.4999999999999999E-4</v>
      </c>
      <c r="S79" s="9">
        <f t="shared" si="63"/>
        <v>2.9469596369964826E-6</v>
      </c>
      <c r="T79" s="9">
        <f t="shared" si="64"/>
        <v>1.203617211427263E-4</v>
      </c>
      <c r="U79" s="9">
        <f t="shared" si="65"/>
        <v>1.4705304036300351E-4</v>
      </c>
      <c r="V79" s="102">
        <f t="shared" si="66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192</v>
      </c>
      <c r="C80" s="46" t="s">
        <v>193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55"/>
        <v>1.9819141928346475</v>
      </c>
      <c r="J80" s="54">
        <f t="shared" si="56"/>
        <v>4.6611522076147738</v>
      </c>
      <c r="K80" s="55">
        <f t="shared" si="57"/>
        <v>8.7949946421531974E-3</v>
      </c>
      <c r="L80" s="55">
        <f t="shared" si="58"/>
        <v>0.15593713263625517</v>
      </c>
      <c r="M80" s="55">
        <f t="shared" si="19"/>
        <v>0.84406286736374481</v>
      </c>
      <c r="N80" s="55">
        <f t="shared" si="59"/>
        <v>0.12547934805673822</v>
      </c>
      <c r="O80" s="56">
        <f t="shared" si="21"/>
        <v>8.802955304262437E-9</v>
      </c>
      <c r="P80" s="56">
        <f t="shared" si="60"/>
        <v>4.0344162498502054E-4</v>
      </c>
      <c r="Q80" s="56">
        <f t="shared" si="61"/>
        <v>9.5482657255060964E-3</v>
      </c>
      <c r="R80" s="9">
        <f t="shared" si="62"/>
        <v>1.4999999999999999E-4</v>
      </c>
      <c r="S80" s="9">
        <f t="shared" si="63"/>
        <v>2.3390569895438273E-5</v>
      </c>
      <c r="T80" s="9">
        <f t="shared" si="64"/>
        <v>1.3192491963229795E-6</v>
      </c>
      <c r="U80" s="9">
        <f t="shared" si="65"/>
        <v>1.2660943010456171E-4</v>
      </c>
      <c r="V80" s="102">
        <f t="shared" si="66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194</v>
      </c>
      <c r="C81" s="46" t="s">
        <v>195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55"/>
        <v>0.12726341031571042</v>
      </c>
      <c r="J81" s="54">
        <f t="shared" si="56"/>
        <v>2.0682288758066103</v>
      </c>
      <c r="K81" s="55">
        <f t="shared" si="57"/>
        <v>0.72126542868537935</v>
      </c>
      <c r="L81" s="55">
        <f t="shared" si="58"/>
        <v>3.2650192748900235E-2</v>
      </c>
      <c r="M81" s="55">
        <f t="shared" si="19"/>
        <v>0.96734980725109976</v>
      </c>
      <c r="N81" s="55">
        <f t="shared" si="59"/>
        <v>2.0331423685366036E-2</v>
      </c>
      <c r="O81" s="56">
        <f t="shared" si="21"/>
        <v>7.2191827164918524E-7</v>
      </c>
      <c r="P81" s="56">
        <f t="shared" si="60"/>
        <v>8.4472803853697772E-5</v>
      </c>
      <c r="Q81" s="56">
        <f t="shared" si="61"/>
        <v>1.547105869867473E-3</v>
      </c>
      <c r="R81" s="9">
        <f t="shared" si="62"/>
        <v>1.4999999999999999E-4</v>
      </c>
      <c r="S81" s="9">
        <f t="shared" si="63"/>
        <v>4.8975289123350345E-6</v>
      </c>
      <c r="T81" s="9">
        <f t="shared" si="64"/>
        <v>1.081898143028069E-4</v>
      </c>
      <c r="U81" s="9">
        <f t="shared" si="65"/>
        <v>1.4510247108766495E-4</v>
      </c>
      <c r="V81" s="102">
        <f t="shared" si="66"/>
        <v>0.74560973008821507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196</v>
      </c>
      <c r="C82" s="46" t="s">
        <v>197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55"/>
        <v>0.47104615060046062</v>
      </c>
      <c r="J82" s="54">
        <f t="shared" si="56"/>
        <v>2.8973705182690765</v>
      </c>
      <c r="K82" s="55">
        <f t="shared" si="57"/>
        <v>0.30625015196160921</v>
      </c>
      <c r="L82" s="55">
        <f t="shared" si="58"/>
        <v>9.354241726248809E-2</v>
      </c>
      <c r="M82" s="55">
        <f t="shared" si="19"/>
        <v>0.90645758273751187</v>
      </c>
      <c r="N82" s="55">
        <f t="shared" si="59"/>
        <v>6.7292240319890534E-2</v>
      </c>
      <c r="O82" s="56">
        <f t="shared" si="21"/>
        <v>3.0652734985425882E-7</v>
      </c>
      <c r="P82" s="56">
        <f t="shared" si="60"/>
        <v>2.4201358706162822E-4</v>
      </c>
      <c r="Q82" s="56">
        <f t="shared" si="61"/>
        <v>5.1205573011775529E-3</v>
      </c>
      <c r="R82" s="9">
        <f t="shared" si="62"/>
        <v>1.4999999999999999E-4</v>
      </c>
      <c r="S82" s="9">
        <f t="shared" si="63"/>
        <v>1.4031362589373213E-5</v>
      </c>
      <c r="T82" s="9">
        <f t="shared" si="64"/>
        <v>4.593752279424138E-5</v>
      </c>
      <c r="U82" s="9">
        <f t="shared" si="65"/>
        <v>1.3596863741062676E-4</v>
      </c>
      <c r="V82" s="102">
        <f t="shared" si="66"/>
        <v>0.33785381444626494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198</v>
      </c>
      <c r="C83" s="46" t="s">
        <v>199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55"/>
        <v>0.17835694544431213</v>
      </c>
      <c r="J83" s="54">
        <f t="shared" si="56"/>
        <v>2.2544039273222234</v>
      </c>
      <c r="K83" s="55">
        <f t="shared" si="57"/>
        <v>0.6336636631973328</v>
      </c>
      <c r="L83" s="55">
        <f t="shared" si="58"/>
        <v>4.4037685778404452E-2</v>
      </c>
      <c r="M83" s="55">
        <f t="shared" si="19"/>
        <v>0.9559623142215955</v>
      </c>
      <c r="N83" s="55">
        <f t="shared" si="59"/>
        <v>2.8326667058284977E-2</v>
      </c>
      <c r="O83" s="56">
        <f t="shared" si="21"/>
        <v>6.3423721469097898E-7</v>
      </c>
      <c r="P83" s="56">
        <f t="shared" si="60"/>
        <v>1.1393460435406579E-4</v>
      </c>
      <c r="Q83" s="56">
        <f t="shared" si="61"/>
        <v>2.1554984814564537E-3</v>
      </c>
      <c r="R83" s="9">
        <f t="shared" si="62"/>
        <v>1.4999999999999999E-4</v>
      </c>
      <c r="S83" s="9">
        <f t="shared" si="63"/>
        <v>6.605652866760667E-6</v>
      </c>
      <c r="T83" s="9">
        <f t="shared" si="64"/>
        <v>9.5049549479599913E-5</v>
      </c>
      <c r="U83" s="9">
        <f t="shared" si="65"/>
        <v>1.4339434713323931E-4</v>
      </c>
      <c r="V83" s="102">
        <f t="shared" si="66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55"/>
        <v>5.9812805986470914E-3</v>
      </c>
      <c r="J84" s="54">
        <f t="shared" si="56"/>
        <v>0.65206362088681824</v>
      </c>
      <c r="K84" s="55">
        <f t="shared" si="57"/>
        <v>0.98412658715563162</v>
      </c>
      <c r="L84" s="55">
        <f t="shared" si="58"/>
        <v>1.708741405042539E-3</v>
      </c>
      <c r="M84" s="55">
        <f t="shared" si="19"/>
        <v>0.99829125859495749</v>
      </c>
      <c r="N84" s="55">
        <f t="shared" si="59"/>
        <v>5.6356062128982704E-4</v>
      </c>
      <c r="O84" s="56">
        <f t="shared" si="21"/>
        <v>9.8501735509260299E-7</v>
      </c>
      <c r="P84" s="56">
        <f t="shared" si="60"/>
        <v>4.4208675475495402E-6</v>
      </c>
      <c r="Q84" s="56">
        <f t="shared" si="61"/>
        <v>4.2883762530176909E-5</v>
      </c>
      <c r="R84" s="9">
        <f t="shared" si="62"/>
        <v>1.4999999999999999E-4</v>
      </c>
      <c r="S84" s="9">
        <f t="shared" si="63"/>
        <v>2.5631121075638083E-7</v>
      </c>
      <c r="T84" s="9">
        <f t="shared" si="64"/>
        <v>1.4761898807334474E-4</v>
      </c>
      <c r="U84" s="9">
        <f t="shared" si="65"/>
        <v>1.4974368878924361E-4</v>
      </c>
      <c r="V84" s="102">
        <f t="shared" si="66"/>
        <v>0.98581108337133805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200</v>
      </c>
      <c r="C85" s="46" t="s">
        <v>201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55"/>
        <v>0.11910186422699467</v>
      </c>
      <c r="J85" s="54">
        <f t="shared" si="56"/>
        <v>2.0493358233382901</v>
      </c>
      <c r="K85" s="55">
        <f t="shared" si="57"/>
        <v>0.73553423670304807</v>
      </c>
      <c r="L85" s="55">
        <f t="shared" si="58"/>
        <v>3.1878690490617187E-2</v>
      </c>
      <c r="M85" s="55">
        <f t="shared" si="19"/>
        <v>0.9681213095093828</v>
      </c>
      <c r="N85" s="55">
        <f t="shared" si="59"/>
        <v>2.0446245301713947E-2</v>
      </c>
      <c r="O85" s="56">
        <f t="shared" si="21"/>
        <v>7.3619999487191678E-7</v>
      </c>
      <c r="P85" s="56">
        <f t="shared" si="60"/>
        <v>8.2476767890362639E-5</v>
      </c>
      <c r="Q85" s="56">
        <f t="shared" si="61"/>
        <v>1.5558431427406649E-3</v>
      </c>
      <c r="R85" s="9">
        <f t="shared" si="62"/>
        <v>1.4999999999999999E-4</v>
      </c>
      <c r="S85" s="9">
        <f t="shared" si="63"/>
        <v>4.7818035735925773E-6</v>
      </c>
      <c r="T85" s="9">
        <f t="shared" si="64"/>
        <v>1.1033013550545721E-4</v>
      </c>
      <c r="U85" s="9">
        <f t="shared" si="65"/>
        <v>1.4521819642640741E-4</v>
      </c>
      <c r="V85" s="102">
        <f t="shared" si="66"/>
        <v>0.75975420588128217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55"/>
        <v>3.4503381608646556E-2</v>
      </c>
      <c r="J86" s="54">
        <f t="shared" si="56"/>
        <v>1.4157471407554194</v>
      </c>
      <c r="K86" s="55">
        <f t="shared" si="57"/>
        <v>0.91464049053025576</v>
      </c>
      <c r="L86" s="55">
        <f t="shared" si="58"/>
        <v>9.2163576892869432E-3</v>
      </c>
      <c r="M86" s="55">
        <f t="shared" si="19"/>
        <v>0.99078364231071303</v>
      </c>
      <c r="N86" s="55">
        <f t="shared" si="59"/>
        <v>4.9105608583175885E-3</v>
      </c>
      <c r="O86" s="56">
        <f t="shared" si="21"/>
        <v>9.1546836413254803E-7</v>
      </c>
      <c r="P86" s="56">
        <f t="shared" si="60"/>
        <v>2.3844624174810691E-5</v>
      </c>
      <c r="Q86" s="56">
        <f t="shared" si="61"/>
        <v>3.7366579172282995E-4</v>
      </c>
      <c r="R86" s="9">
        <f t="shared" si="62"/>
        <v>1.4999999999999999E-4</v>
      </c>
      <c r="S86" s="9">
        <f t="shared" si="63"/>
        <v>1.3824536533930413E-6</v>
      </c>
      <c r="T86" s="9">
        <f t="shared" si="64"/>
        <v>1.3719607357953834E-4</v>
      </c>
      <c r="U86" s="9">
        <f t="shared" si="65"/>
        <v>1.4861754634660693E-4</v>
      </c>
      <c r="V86" s="102">
        <f t="shared" si="66"/>
        <v>0.92314855783965544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202</v>
      </c>
      <c r="C87" s="46" t="s">
        <v>203</v>
      </c>
      <c r="D87" s="47"/>
      <c r="E87" s="47"/>
      <c r="F87" s="57"/>
      <c r="G87" s="7"/>
      <c r="H87" s="7"/>
      <c r="I87" s="54" t="str">
        <f t="shared" si="55"/>
        <v/>
      </c>
      <c r="J87" s="54" t="str">
        <f t="shared" si="56"/>
        <v/>
      </c>
      <c r="K87" s="55" t="str">
        <f t="shared" si="57"/>
        <v/>
      </c>
      <c r="L87" s="55" t="str">
        <f t="shared" si="58"/>
        <v/>
      </c>
      <c r="M87" s="55" t="str">
        <f t="shared" si="19"/>
        <v/>
      </c>
      <c r="N87" s="55" t="str">
        <f t="shared" si="59"/>
        <v/>
      </c>
      <c r="O87" s="56" t="str">
        <f t="shared" si="21"/>
        <v/>
      </c>
      <c r="P87" s="56" t="str">
        <f t="shared" si="60"/>
        <v/>
      </c>
      <c r="Q87" s="56" t="str">
        <f t="shared" si="61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204</v>
      </c>
      <c r="C88" s="46" t="s">
        <v>205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55"/>
        <v>1.1640116161103842</v>
      </c>
      <c r="J88" s="54">
        <f t="shared" si="56"/>
        <v>3.853517361878346</v>
      </c>
      <c r="K88" s="55">
        <f t="shared" si="57"/>
        <v>5.7613064040666802E-2</v>
      </c>
      <c r="L88" s="55">
        <f t="shared" si="58"/>
        <v>0.15907432613731526</v>
      </c>
      <c r="M88" s="55">
        <f t="shared" si="19"/>
        <v>0.84092567386268469</v>
      </c>
      <c r="N88" s="55">
        <f t="shared" si="59"/>
        <v>0.13342882063086389</v>
      </c>
      <c r="O88" s="56">
        <f t="shared" si="21"/>
        <v>5.766521167174182E-8</v>
      </c>
      <c r="P88" s="56">
        <f t="shared" si="60"/>
        <v>4.1155819364678038E-4</v>
      </c>
      <c r="Q88" s="56">
        <f t="shared" si="61"/>
        <v>1.0153175439262765E-2</v>
      </c>
      <c r="R88" s="9">
        <f>F88*$C$14</f>
        <v>1.4999999999999999E-4</v>
      </c>
      <c r="S88" s="9">
        <f t="shared" si="63"/>
        <v>2.3861148920597287E-5</v>
      </c>
      <c r="T88" s="9">
        <f t="shared" si="64"/>
        <v>8.64195960610002E-6</v>
      </c>
      <c r="U88" s="9">
        <f t="shared" si="65"/>
        <v>1.261388510794027E-4</v>
      </c>
      <c r="V88" s="102">
        <f t="shared" si="66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206</v>
      </c>
      <c r="C89" s="46" t="s">
        <v>207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55"/>
        <v>2.5219720041185627</v>
      </c>
      <c r="J89" s="54">
        <f t="shared" si="56"/>
        <v>5.3117367618268752</v>
      </c>
      <c r="K89" s="55">
        <f t="shared" si="57"/>
        <v>2.426506391584371E-3</v>
      </c>
      <c r="L89" s="55">
        <f t="shared" si="58"/>
        <v>0.1924331809076931</v>
      </c>
      <c r="M89" s="55">
        <f t="shared" si="19"/>
        <v>0.80756681909230688</v>
      </c>
      <c r="N89" s="55">
        <f t="shared" si="59"/>
        <v>0.17271860194822605</v>
      </c>
      <c r="O89" s="56">
        <f t="shared" si="21"/>
        <v>2.4287027087255698E-9</v>
      </c>
      <c r="P89" s="56">
        <f t="shared" si="60"/>
        <v>4.9786445276976904E-4</v>
      </c>
      <c r="Q89" s="56">
        <f t="shared" si="61"/>
        <v>1.3142904650683015E-2</v>
      </c>
      <c r="R89" s="9">
        <f>F89*$C$14</f>
        <v>1.4999999999999999E-4</v>
      </c>
      <c r="S89" s="9">
        <f t="shared" si="63"/>
        <v>2.8864977136153962E-5</v>
      </c>
      <c r="T89" s="9">
        <f t="shared" si="64"/>
        <v>3.6397595873765559E-7</v>
      </c>
      <c r="U89" s="9">
        <f t="shared" si="65"/>
        <v>1.2113502286384601E-4</v>
      </c>
      <c r="V89" s="102">
        <f t="shared" si="66"/>
        <v>3.0047128413618184E-3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208</v>
      </c>
      <c r="C90" s="46" t="s">
        <v>209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55"/>
        <v>2.8671793282646911</v>
      </c>
      <c r="J90" s="54">
        <f t="shared" si="56"/>
        <v>5.6876254788112171</v>
      </c>
      <c r="K90" s="55">
        <f t="shared" si="57"/>
        <v>1.0806850245643099E-3</v>
      </c>
      <c r="L90" s="55">
        <f t="shared" si="58"/>
        <v>0.20365091677206523</v>
      </c>
      <c r="M90" s="55">
        <f t="shared" si="19"/>
        <v>0.79634908322793474</v>
      </c>
      <c r="N90" s="55">
        <f t="shared" si="59"/>
        <v>0.18728664406069545</v>
      </c>
      <c r="O90" s="56">
        <f t="shared" si="21"/>
        <v>1.081663190973399E-9</v>
      </c>
      <c r="P90" s="56">
        <f t="shared" si="60"/>
        <v>5.2688705636176896E-4</v>
      </c>
      <c r="Q90" s="56">
        <f t="shared" si="61"/>
        <v>1.4251449916054685E-2</v>
      </c>
      <c r="R90" s="9">
        <f>F90*$C$14</f>
        <v>1.4999999999999999E-4</v>
      </c>
      <c r="S90" s="9">
        <f t="shared" si="63"/>
        <v>3.054763751580978E-5</v>
      </c>
      <c r="T90" s="9">
        <f t="shared" si="64"/>
        <v>1.6210275368464647E-7</v>
      </c>
      <c r="U90" s="9">
        <f t="shared" si="65"/>
        <v>1.194523624841902E-4</v>
      </c>
      <c r="V90" s="102">
        <f t="shared" si="66"/>
        <v>1.3570493736036501E-3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55"/>
        <v>3.2678433041260839</v>
      </c>
      <c r="J91" s="54">
        <f t="shared" si="56"/>
        <v>6.1146638337723394</v>
      </c>
      <c r="K91" s="55">
        <f t="shared" si="57"/>
        <v>4.2416277586300005E-4</v>
      </c>
      <c r="L91" s="55">
        <f t="shared" si="58"/>
        <v>0.21367718010564868</v>
      </c>
      <c r="M91" s="55">
        <f t="shared" si="19"/>
        <v>0.78632281989435127</v>
      </c>
      <c r="N91" s="55">
        <f t="shared" si="59"/>
        <v>0.20035040604529411</v>
      </c>
      <c r="O91" s="56">
        <f t="shared" si="21"/>
        <v>4.2454670066060927E-10</v>
      </c>
      <c r="P91" s="56">
        <f t="shared" si="60"/>
        <v>5.5282707400505988E-4</v>
      </c>
      <c r="Q91" s="56">
        <f t="shared" si="61"/>
        <v>1.524552800727421E-2</v>
      </c>
      <c r="R91" s="9">
        <f t="shared" ref="R91:R92" si="67">F91*$C$14</f>
        <v>1.4999999999999999E-4</v>
      </c>
      <c r="S91" s="9">
        <f t="shared" ref="S91:S92" si="68">$R91*L91</f>
        <v>3.2051577015847302E-5</v>
      </c>
      <c r="T91" s="9">
        <f t="shared" ref="T91:T92" si="69">R91*K91</f>
        <v>6.3624416379449996E-8</v>
      </c>
      <c r="U91" s="9">
        <f t="shared" ref="U91:U92" si="70">$R91*M91</f>
        <v>1.1794842298415268E-4</v>
      </c>
      <c r="V91" s="102">
        <f t="shared" ref="V91:V92" si="71">K91/M91</f>
        <v>5.3942574872746247E-4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55"/>
        <v>4.4880081925943038</v>
      </c>
      <c r="J92" s="54">
        <f t="shared" si="56"/>
        <v>7.3741192893466714</v>
      </c>
      <c r="K92" s="55">
        <f t="shared" si="57"/>
        <v>2.5041964282164981E-5</v>
      </c>
      <c r="L92" s="55">
        <f t="shared" si="58"/>
        <v>0.22927116535891934</v>
      </c>
      <c r="M92" s="55">
        <f t="shared" si="19"/>
        <v>0.77072883464108066</v>
      </c>
      <c r="N92" s="55">
        <f t="shared" si="59"/>
        <v>0.22071765133210883</v>
      </c>
      <c r="O92" s="56">
        <f t="shared" si="21"/>
        <v>2.5064630653699363E-11</v>
      </c>
      <c r="P92" s="56">
        <f t="shared" si="60"/>
        <v>5.9317194019704747E-4</v>
      </c>
      <c r="Q92" s="56">
        <f t="shared" si="61"/>
        <v>1.6795359697562674E-2</v>
      </c>
      <c r="R92" s="9">
        <f t="shared" si="67"/>
        <v>1.4999999999999999E-4</v>
      </c>
      <c r="S92" s="9">
        <f t="shared" si="68"/>
        <v>3.4390674803837897E-5</v>
      </c>
      <c r="T92" s="9">
        <f t="shared" si="69"/>
        <v>3.7562946423247469E-9</v>
      </c>
      <c r="U92" s="9">
        <f t="shared" si="70"/>
        <v>1.1560932519616208E-4</v>
      </c>
      <c r="V92" s="102">
        <f t="shared" si="71"/>
        <v>3.2491277290574872E-5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210</v>
      </c>
      <c r="C93" s="46" t="s">
        <v>211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55"/>
        <v>3.2311126461878961E-2</v>
      </c>
      <c r="J93" s="54">
        <f t="shared" si="56"/>
        <v>1.2733489644967997</v>
      </c>
      <c r="K93" s="55">
        <f t="shared" si="57"/>
        <v>0.92161266834478406</v>
      </c>
      <c r="L93" s="55">
        <f t="shared" si="58"/>
        <v>6.6905089761426749E-3</v>
      </c>
      <c r="M93" s="55">
        <f t="shared" ref="M93:M127" si="72">IF(D93=0,"",1-L93)</f>
        <v>0.99330949102385735</v>
      </c>
      <c r="N93" s="55">
        <f t="shared" si="59"/>
        <v>2.1557039139587387E-3</v>
      </c>
      <c r="O93" s="56">
        <f t="shared" ref="O93:O127" si="73">IF(D93=0,"",F93*K93*$J$7/$J$14)</f>
        <v>9.2244685271291584E-7</v>
      </c>
      <c r="P93" s="56">
        <f t="shared" si="60"/>
        <v>1.7309730964517545E-5</v>
      </c>
      <c r="Q93" s="56">
        <f t="shared" si="61"/>
        <v>1.6403682450345862E-4</v>
      </c>
      <c r="R93" s="9">
        <f>F93*$C$14</f>
        <v>1.4999999999999999E-4</v>
      </c>
      <c r="S93" s="9">
        <f t="shared" ref="S92:S93" si="74">$R93*L93</f>
        <v>1.0035763464214012E-6</v>
      </c>
      <c r="T93" s="9">
        <f t="shared" ref="T92:T93" si="75">R93*K93</f>
        <v>1.3824190025171759E-4</v>
      </c>
      <c r="U93" s="9">
        <f t="shared" ref="U92:U93" si="76">$R93*M93</f>
        <v>1.4899642365357859E-4</v>
      </c>
      <c r="V93" s="102">
        <f t="shared" ref="V92:V93" si="77">K93/M93</f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212</v>
      </c>
      <c r="C94" s="46" t="s">
        <v>213</v>
      </c>
      <c r="D94" s="47"/>
      <c r="E94" s="47"/>
      <c r="F94" s="57"/>
      <c r="G94" s="7"/>
      <c r="H94" s="7"/>
      <c r="I94" s="54" t="str">
        <f t="shared" si="55"/>
        <v/>
      </c>
      <c r="J94" s="54" t="str">
        <f t="shared" si="56"/>
        <v/>
      </c>
      <c r="K94" s="55" t="str">
        <f t="shared" si="57"/>
        <v/>
      </c>
      <c r="L94" s="55" t="str">
        <f t="shared" si="58"/>
        <v/>
      </c>
      <c r="M94" s="55" t="str">
        <f t="shared" si="72"/>
        <v/>
      </c>
      <c r="N94" s="55" t="str">
        <f t="shared" si="59"/>
        <v/>
      </c>
      <c r="O94" s="56" t="str">
        <f t="shared" si="73"/>
        <v/>
      </c>
      <c r="P94" s="56" t="str">
        <f t="shared" si="60"/>
        <v/>
      </c>
      <c r="Q94" s="56" t="str">
        <f t="shared" si="61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214</v>
      </c>
      <c r="C95" s="46" t="s">
        <v>215</v>
      </c>
      <c r="D95" s="47"/>
      <c r="E95" s="47"/>
      <c r="F95" s="57"/>
      <c r="G95" s="7"/>
      <c r="H95" s="7"/>
      <c r="I95" s="54" t="str">
        <f t="shared" si="55"/>
        <v/>
      </c>
      <c r="J95" s="54" t="str">
        <f t="shared" si="56"/>
        <v/>
      </c>
      <c r="K95" s="55" t="str">
        <f t="shared" si="57"/>
        <v/>
      </c>
      <c r="L95" s="55" t="str">
        <f t="shared" si="58"/>
        <v/>
      </c>
      <c r="M95" s="55" t="str">
        <f t="shared" si="72"/>
        <v/>
      </c>
      <c r="N95" s="55" t="str">
        <f t="shared" si="59"/>
        <v/>
      </c>
      <c r="O95" s="56" t="str">
        <f t="shared" si="73"/>
        <v/>
      </c>
      <c r="P95" s="56" t="str">
        <f t="shared" si="60"/>
        <v/>
      </c>
      <c r="Q95" s="56" t="str">
        <f t="shared" si="61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216</v>
      </c>
      <c r="C96" s="46" t="s">
        <v>217</v>
      </c>
      <c r="D96" s="47"/>
      <c r="E96" s="47"/>
      <c r="F96" s="57"/>
      <c r="G96" s="7"/>
      <c r="H96" s="7"/>
      <c r="I96" s="54" t="str">
        <f t="shared" si="55"/>
        <v/>
      </c>
      <c r="J96" s="54" t="str">
        <f t="shared" si="56"/>
        <v/>
      </c>
      <c r="K96" s="55" t="str">
        <f t="shared" si="57"/>
        <v/>
      </c>
      <c r="L96" s="55" t="str">
        <f t="shared" si="58"/>
        <v/>
      </c>
      <c r="M96" s="55" t="str">
        <f t="shared" si="72"/>
        <v/>
      </c>
      <c r="N96" s="55" t="str">
        <f t="shared" si="59"/>
        <v/>
      </c>
      <c r="O96" s="56" t="str">
        <f t="shared" si="73"/>
        <v/>
      </c>
      <c r="P96" s="56" t="str">
        <f t="shared" si="60"/>
        <v/>
      </c>
      <c r="Q96" s="56" t="str">
        <f t="shared" si="61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218</v>
      </c>
      <c r="C97" s="46" t="s">
        <v>219</v>
      </c>
      <c r="D97" s="47"/>
      <c r="E97" s="47"/>
      <c r="F97" s="57"/>
      <c r="G97" s="7"/>
      <c r="H97" s="7"/>
      <c r="I97" s="54" t="str">
        <f t="shared" si="55"/>
        <v/>
      </c>
      <c r="J97" s="54" t="str">
        <f t="shared" si="56"/>
        <v/>
      </c>
      <c r="K97" s="55" t="str">
        <f t="shared" si="57"/>
        <v/>
      </c>
      <c r="L97" s="55" t="str">
        <f t="shared" si="58"/>
        <v/>
      </c>
      <c r="M97" s="55" t="str">
        <f t="shared" si="72"/>
        <v/>
      </c>
      <c r="N97" s="55" t="str">
        <f t="shared" si="59"/>
        <v/>
      </c>
      <c r="O97" s="56" t="str">
        <f t="shared" si="73"/>
        <v/>
      </c>
      <c r="P97" s="56" t="str">
        <f t="shared" si="60"/>
        <v/>
      </c>
      <c r="Q97" s="56" t="str">
        <f t="shared" si="61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220</v>
      </c>
      <c r="C98" s="46" t="s">
        <v>221</v>
      </c>
      <c r="D98" s="47"/>
      <c r="E98" s="47"/>
      <c r="F98" s="57"/>
      <c r="G98" s="7"/>
      <c r="H98" s="7"/>
      <c r="I98" s="54" t="str">
        <f t="shared" si="55"/>
        <v/>
      </c>
      <c r="J98" s="54" t="str">
        <f t="shared" si="56"/>
        <v/>
      </c>
      <c r="K98" s="55" t="str">
        <f t="shared" si="57"/>
        <v/>
      </c>
      <c r="L98" s="55" t="str">
        <f t="shared" si="58"/>
        <v/>
      </c>
      <c r="M98" s="55" t="str">
        <f t="shared" si="72"/>
        <v/>
      </c>
      <c r="N98" s="55" t="str">
        <f t="shared" si="59"/>
        <v/>
      </c>
      <c r="O98" s="56" t="str">
        <f t="shared" si="73"/>
        <v/>
      </c>
      <c r="P98" s="56" t="str">
        <f t="shared" si="60"/>
        <v/>
      </c>
      <c r="Q98" s="56" t="str">
        <f t="shared" si="61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222</v>
      </c>
      <c r="C99" s="46" t="s">
        <v>223</v>
      </c>
      <c r="D99" s="47"/>
      <c r="E99" s="47"/>
      <c r="F99" s="57"/>
      <c r="G99" s="7"/>
      <c r="H99" s="7"/>
      <c r="I99" s="54" t="str">
        <f t="shared" si="55"/>
        <v/>
      </c>
      <c r="J99" s="54" t="str">
        <f t="shared" si="56"/>
        <v/>
      </c>
      <c r="K99" s="55" t="str">
        <f t="shared" si="57"/>
        <v/>
      </c>
      <c r="L99" s="55" t="str">
        <f t="shared" si="58"/>
        <v/>
      </c>
      <c r="M99" s="55" t="str">
        <f t="shared" si="72"/>
        <v/>
      </c>
      <c r="N99" s="55" t="str">
        <f t="shared" si="59"/>
        <v/>
      </c>
      <c r="O99" s="56" t="str">
        <f t="shared" si="73"/>
        <v/>
      </c>
      <c r="P99" s="56" t="str">
        <f t="shared" si="60"/>
        <v/>
      </c>
      <c r="Q99" s="56" t="str">
        <f t="shared" si="61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224</v>
      </c>
      <c r="C100" s="46" t="s">
        <v>225</v>
      </c>
      <c r="D100" s="47"/>
      <c r="E100" s="47"/>
      <c r="F100" s="57"/>
      <c r="G100" s="7"/>
      <c r="H100" s="7"/>
      <c r="I100" s="54" t="str">
        <f t="shared" si="55"/>
        <v/>
      </c>
      <c r="J100" s="54" t="str">
        <f t="shared" si="56"/>
        <v/>
      </c>
      <c r="K100" s="55" t="str">
        <f t="shared" si="57"/>
        <v/>
      </c>
      <c r="L100" s="55" t="str">
        <f t="shared" si="58"/>
        <v/>
      </c>
      <c r="M100" s="55" t="str">
        <f t="shared" si="72"/>
        <v/>
      </c>
      <c r="N100" s="55" t="str">
        <f t="shared" si="59"/>
        <v/>
      </c>
      <c r="O100" s="56" t="str">
        <f t="shared" si="73"/>
        <v/>
      </c>
      <c r="P100" s="56" t="str">
        <f t="shared" si="60"/>
        <v/>
      </c>
      <c r="Q100" s="56" t="str">
        <f t="shared" si="61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226</v>
      </c>
      <c r="C101" s="46" t="s">
        <v>227</v>
      </c>
      <c r="D101" s="47"/>
      <c r="E101" s="47"/>
      <c r="F101" s="57"/>
      <c r="G101" s="7"/>
      <c r="H101" s="7"/>
      <c r="I101" s="54" t="str">
        <f t="shared" si="55"/>
        <v/>
      </c>
      <c r="J101" s="54" t="str">
        <f t="shared" si="56"/>
        <v/>
      </c>
      <c r="K101" s="55" t="str">
        <f t="shared" si="57"/>
        <v/>
      </c>
      <c r="L101" s="55" t="str">
        <f t="shared" si="58"/>
        <v/>
      </c>
      <c r="M101" s="55" t="str">
        <f t="shared" si="72"/>
        <v/>
      </c>
      <c r="N101" s="55" t="str">
        <f t="shared" si="59"/>
        <v/>
      </c>
      <c r="O101" s="56" t="str">
        <f t="shared" si="73"/>
        <v/>
      </c>
      <c r="P101" s="56" t="str">
        <f t="shared" si="60"/>
        <v/>
      </c>
      <c r="Q101" s="56" t="str">
        <f t="shared" si="61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228</v>
      </c>
      <c r="C102" s="46" t="s">
        <v>229</v>
      </c>
      <c r="D102" s="47"/>
      <c r="E102" s="47"/>
      <c r="F102" s="57"/>
      <c r="G102" s="7"/>
      <c r="H102" s="7"/>
      <c r="I102" s="54" t="str">
        <f t="shared" si="55"/>
        <v/>
      </c>
      <c r="J102" s="54" t="str">
        <f t="shared" si="56"/>
        <v/>
      </c>
      <c r="K102" s="55" t="str">
        <f t="shared" si="57"/>
        <v/>
      </c>
      <c r="L102" s="55" t="str">
        <f t="shared" si="58"/>
        <v/>
      </c>
      <c r="M102" s="55" t="str">
        <f t="shared" si="72"/>
        <v/>
      </c>
      <c r="N102" s="55" t="str">
        <f t="shared" si="59"/>
        <v/>
      </c>
      <c r="O102" s="56" t="str">
        <f t="shared" si="73"/>
        <v/>
      </c>
      <c r="P102" s="56" t="str">
        <f t="shared" si="60"/>
        <v/>
      </c>
      <c r="Q102" s="56" t="str">
        <f t="shared" si="61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230</v>
      </c>
      <c r="C103" s="46" t="s">
        <v>231</v>
      </c>
      <c r="D103" s="47"/>
      <c r="E103" s="47"/>
      <c r="F103" s="57"/>
      <c r="G103" s="7"/>
      <c r="H103" s="7"/>
      <c r="I103" s="54" t="str">
        <f t="shared" si="55"/>
        <v/>
      </c>
      <c r="J103" s="54" t="str">
        <f t="shared" si="56"/>
        <v/>
      </c>
      <c r="K103" s="55" t="str">
        <f t="shared" si="57"/>
        <v/>
      </c>
      <c r="L103" s="55" t="str">
        <f t="shared" si="58"/>
        <v/>
      </c>
      <c r="M103" s="55" t="str">
        <f t="shared" si="72"/>
        <v/>
      </c>
      <c r="N103" s="55" t="str">
        <f t="shared" si="59"/>
        <v/>
      </c>
      <c r="O103" s="56" t="str">
        <f t="shared" si="73"/>
        <v/>
      </c>
      <c r="P103" s="56" t="str">
        <f t="shared" si="60"/>
        <v/>
      </c>
      <c r="Q103" s="56" t="str">
        <f t="shared" si="61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232</v>
      </c>
      <c r="C104" s="46" t="s">
        <v>233</v>
      </c>
      <c r="D104" s="47"/>
      <c r="E104" s="47"/>
      <c r="F104" s="57"/>
      <c r="G104" s="7"/>
      <c r="H104" s="7"/>
      <c r="I104" s="54" t="str">
        <f t="shared" si="55"/>
        <v/>
      </c>
      <c r="J104" s="54" t="str">
        <f t="shared" si="56"/>
        <v/>
      </c>
      <c r="K104" s="55" t="str">
        <f t="shared" si="57"/>
        <v/>
      </c>
      <c r="L104" s="55" t="str">
        <f t="shared" si="58"/>
        <v/>
      </c>
      <c r="M104" s="55" t="str">
        <f t="shared" si="72"/>
        <v/>
      </c>
      <c r="N104" s="55" t="str">
        <f t="shared" si="59"/>
        <v/>
      </c>
      <c r="O104" s="56" t="str">
        <f t="shared" si="73"/>
        <v/>
      </c>
      <c r="P104" s="56" t="str">
        <f t="shared" si="60"/>
        <v/>
      </c>
      <c r="Q104" s="56" t="str">
        <f t="shared" si="61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234</v>
      </c>
      <c r="C105" s="46" t="s">
        <v>235</v>
      </c>
      <c r="D105" s="47"/>
      <c r="E105" s="47"/>
      <c r="F105" s="57"/>
      <c r="G105" s="7"/>
      <c r="H105" s="7"/>
      <c r="I105" s="54" t="str">
        <f t="shared" si="55"/>
        <v/>
      </c>
      <c r="J105" s="54" t="str">
        <f t="shared" si="56"/>
        <v/>
      </c>
      <c r="K105" s="55" t="str">
        <f t="shared" si="57"/>
        <v/>
      </c>
      <c r="L105" s="55" t="str">
        <f t="shared" si="58"/>
        <v/>
      </c>
      <c r="M105" s="55" t="str">
        <f t="shared" si="72"/>
        <v/>
      </c>
      <c r="N105" s="55" t="str">
        <f t="shared" si="59"/>
        <v/>
      </c>
      <c r="O105" s="56" t="str">
        <f t="shared" si="73"/>
        <v/>
      </c>
      <c r="P105" s="56" t="str">
        <f t="shared" si="60"/>
        <v/>
      </c>
      <c r="Q105" s="56" t="str">
        <f t="shared" si="61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236</v>
      </c>
      <c r="C106" s="46" t="s">
        <v>237</v>
      </c>
      <c r="D106" s="47"/>
      <c r="E106" s="47"/>
      <c r="F106" s="57"/>
      <c r="G106" s="7"/>
      <c r="H106" s="7"/>
      <c r="I106" s="54" t="str">
        <f t="shared" si="55"/>
        <v/>
      </c>
      <c r="J106" s="54" t="str">
        <f t="shared" si="56"/>
        <v/>
      </c>
      <c r="K106" s="55" t="str">
        <f t="shared" si="57"/>
        <v/>
      </c>
      <c r="L106" s="55" t="str">
        <f t="shared" si="58"/>
        <v/>
      </c>
      <c r="M106" s="55" t="str">
        <f t="shared" si="72"/>
        <v/>
      </c>
      <c r="N106" s="55" t="str">
        <f t="shared" si="59"/>
        <v/>
      </c>
      <c r="O106" s="56" t="str">
        <f t="shared" si="73"/>
        <v/>
      </c>
      <c r="P106" s="56" t="str">
        <f t="shared" si="60"/>
        <v/>
      </c>
      <c r="Q106" s="56" t="str">
        <f t="shared" si="61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238</v>
      </c>
      <c r="C107" s="46" t="s">
        <v>239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55"/>
        <v>1.9446765022663539E-3</v>
      </c>
      <c r="J107" s="54">
        <f t="shared" si="56"/>
        <v>0.31039088979163149</v>
      </c>
      <c r="K107" s="55">
        <f t="shared" si="57"/>
        <v>0.99423442447273447</v>
      </c>
      <c r="L107" s="55">
        <f t="shared" si="58"/>
        <v>7.8603420151035659E-4</v>
      </c>
      <c r="M107" s="55">
        <f t="shared" si="72"/>
        <v>0.99921396579848965</v>
      </c>
      <c r="N107" s="55">
        <f t="shared" si="59"/>
        <v>1.5280637406610767E-4</v>
      </c>
      <c r="O107" s="56">
        <f t="shared" si="73"/>
        <v>9.9513434137236158E-7</v>
      </c>
      <c r="P107" s="56">
        <f t="shared" si="60"/>
        <v>2.0336331070731233E-6</v>
      </c>
      <c r="Q107" s="56">
        <f t="shared" si="61"/>
        <v>1.1627697200614596E-5</v>
      </c>
      <c r="R107" s="9">
        <f>F107*$C$14</f>
        <v>1.4999999999999999E-4</v>
      </c>
      <c r="S107" s="9">
        <f t="shared" ref="S107:S108" si="78">$R107*L107</f>
        <v>1.1790513022655348E-7</v>
      </c>
      <c r="T107" s="9">
        <f t="shared" ref="T107:T108" si="79">R107*K107</f>
        <v>1.4913516367091016E-4</v>
      </c>
      <c r="U107" s="9">
        <f t="shared" ref="U107:U108" si="80">$R107*M107</f>
        <v>1.4988209486977344E-4</v>
      </c>
      <c r="V107" s="102">
        <f t="shared" ref="V107:V108" si="81">K107/M107</f>
        <v>0.99501654150542629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240</v>
      </c>
      <c r="C108" s="46" t="s">
        <v>241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55"/>
        <v>1.5422749478710035E-2</v>
      </c>
      <c r="J108" s="54">
        <f t="shared" si="56"/>
        <v>1.0136234276499627</v>
      </c>
      <c r="K108" s="55">
        <f t="shared" si="57"/>
        <v>0.96091087887689697</v>
      </c>
      <c r="L108" s="55">
        <f t="shared" si="58"/>
        <v>3.8359089952022564E-3</v>
      </c>
      <c r="M108" s="55">
        <f t="shared" si="72"/>
        <v>0.99616409100479775</v>
      </c>
      <c r="N108" s="55">
        <f t="shared" si="59"/>
        <v>1.5173046354527023E-3</v>
      </c>
      <c r="O108" s="56">
        <f t="shared" si="73"/>
        <v>9.6178063345152382E-7</v>
      </c>
      <c r="P108" s="56">
        <f t="shared" si="60"/>
        <v>9.9242902069320736E-6</v>
      </c>
      <c r="Q108" s="56">
        <f t="shared" si="61"/>
        <v>1.1545826520626857E-4</v>
      </c>
      <c r="R108" s="9">
        <f>F108*$C$14</f>
        <v>1.4999999999999999E-4</v>
      </c>
      <c r="S108" s="9">
        <f t="shared" si="78"/>
        <v>5.7538634928033843E-7</v>
      </c>
      <c r="T108" s="9">
        <f t="shared" si="79"/>
        <v>1.4413663183153452E-4</v>
      </c>
      <c r="U108" s="9">
        <f t="shared" si="80"/>
        <v>1.4942461365071965E-4</v>
      </c>
      <c r="V108" s="102">
        <f t="shared" si="81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242</v>
      </c>
      <c r="C109" s="46" t="s">
        <v>243</v>
      </c>
      <c r="D109" s="47"/>
      <c r="E109" s="47"/>
      <c r="F109" s="98"/>
      <c r="G109" s="7"/>
      <c r="H109" s="7"/>
      <c r="I109" s="54" t="str">
        <f t="shared" si="55"/>
        <v/>
      </c>
      <c r="J109" s="54" t="str">
        <f t="shared" si="56"/>
        <v/>
      </c>
      <c r="K109" s="55" t="str">
        <f t="shared" si="57"/>
        <v/>
      </c>
      <c r="L109" s="55" t="str">
        <f t="shared" si="58"/>
        <v/>
      </c>
      <c r="M109" s="55" t="str">
        <f t="shared" si="72"/>
        <v/>
      </c>
      <c r="N109" s="55" t="str">
        <f t="shared" si="59"/>
        <v/>
      </c>
      <c r="O109" s="56" t="str">
        <f t="shared" si="73"/>
        <v/>
      </c>
      <c r="P109" s="56" t="str">
        <f t="shared" si="60"/>
        <v/>
      </c>
      <c r="Q109" s="56" t="str">
        <f t="shared" si="61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244</v>
      </c>
      <c r="C110" s="46" t="s">
        <v>245</v>
      </c>
      <c r="D110" s="47"/>
      <c r="E110" s="47"/>
      <c r="F110" s="98"/>
      <c r="G110" s="7"/>
      <c r="H110" s="7"/>
      <c r="I110" s="54" t="str">
        <f t="shared" si="55"/>
        <v/>
      </c>
      <c r="J110" s="54" t="str">
        <f t="shared" si="56"/>
        <v/>
      </c>
      <c r="K110" s="55" t="str">
        <f t="shared" si="57"/>
        <v/>
      </c>
      <c r="L110" s="55" t="str">
        <f t="shared" si="58"/>
        <v/>
      </c>
      <c r="M110" s="55" t="str">
        <f t="shared" si="72"/>
        <v/>
      </c>
      <c r="N110" s="55" t="str">
        <f t="shared" si="59"/>
        <v/>
      </c>
      <c r="O110" s="56" t="str">
        <f t="shared" si="73"/>
        <v/>
      </c>
      <c r="P110" s="56" t="str">
        <f t="shared" si="60"/>
        <v/>
      </c>
      <c r="Q110" s="56" t="str">
        <f t="shared" si="61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246</v>
      </c>
      <c r="C111" s="46" t="s">
        <v>247</v>
      </c>
      <c r="D111" s="47"/>
      <c r="E111" s="47"/>
      <c r="F111" s="98"/>
      <c r="G111" s="7"/>
      <c r="H111" s="7"/>
      <c r="I111" s="54" t="str">
        <f t="shared" si="55"/>
        <v/>
      </c>
      <c r="J111" s="54" t="str">
        <f t="shared" si="56"/>
        <v/>
      </c>
      <c r="K111" s="55" t="str">
        <f t="shared" si="57"/>
        <v/>
      </c>
      <c r="L111" s="55" t="str">
        <f t="shared" si="58"/>
        <v/>
      </c>
      <c r="M111" s="55" t="str">
        <f t="shared" si="72"/>
        <v/>
      </c>
      <c r="N111" s="55" t="str">
        <f t="shared" si="59"/>
        <v/>
      </c>
      <c r="O111" s="56" t="str">
        <f t="shared" si="73"/>
        <v/>
      </c>
      <c r="P111" s="56" t="str">
        <f t="shared" si="60"/>
        <v/>
      </c>
      <c r="Q111" s="56" t="str">
        <f t="shared" si="61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248</v>
      </c>
      <c r="C112" s="46" t="s">
        <v>249</v>
      </c>
      <c r="D112" s="47"/>
      <c r="E112" s="47"/>
      <c r="F112" s="98"/>
      <c r="G112" s="7"/>
      <c r="H112" s="7"/>
      <c r="I112" s="54" t="str">
        <f t="shared" si="55"/>
        <v/>
      </c>
      <c r="J112" s="54" t="str">
        <f t="shared" si="56"/>
        <v/>
      </c>
      <c r="K112" s="55" t="str">
        <f t="shared" si="57"/>
        <v/>
      </c>
      <c r="L112" s="55" t="str">
        <f t="shared" si="58"/>
        <v/>
      </c>
      <c r="M112" s="55" t="str">
        <f t="shared" si="72"/>
        <v/>
      </c>
      <c r="N112" s="55" t="str">
        <f t="shared" si="59"/>
        <v/>
      </c>
      <c r="O112" s="56" t="str">
        <f t="shared" si="73"/>
        <v/>
      </c>
      <c r="P112" s="56" t="str">
        <f t="shared" si="60"/>
        <v/>
      </c>
      <c r="Q112" s="56" t="str">
        <f t="shared" si="61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250</v>
      </c>
      <c r="C113" s="46" t="s">
        <v>251</v>
      </c>
      <c r="D113" s="47"/>
      <c r="E113" s="47"/>
      <c r="F113" s="57"/>
      <c r="G113" s="7"/>
      <c r="H113" s="7"/>
      <c r="I113" s="54" t="str">
        <f t="shared" si="55"/>
        <v/>
      </c>
      <c r="J113" s="54" t="str">
        <f t="shared" si="56"/>
        <v/>
      </c>
      <c r="K113" s="55" t="str">
        <f t="shared" si="57"/>
        <v/>
      </c>
      <c r="L113" s="55" t="str">
        <f t="shared" si="58"/>
        <v/>
      </c>
      <c r="M113" s="55" t="str">
        <f t="shared" si="72"/>
        <v/>
      </c>
      <c r="N113" s="55" t="str">
        <f t="shared" si="59"/>
        <v/>
      </c>
      <c r="O113" s="56" t="str">
        <f t="shared" si="73"/>
        <v/>
      </c>
      <c r="P113" s="56" t="str">
        <f t="shared" si="60"/>
        <v/>
      </c>
      <c r="Q113" s="56" t="str">
        <f t="shared" si="61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252</v>
      </c>
      <c r="C114" s="46" t="s">
        <v>253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55"/>
        <v>1.0353959656071578E-2</v>
      </c>
      <c r="J114" s="54">
        <f t="shared" si="56"/>
        <v>0.87939054598043731</v>
      </c>
      <c r="K114" s="55">
        <f t="shared" si="57"/>
        <v>0.97315201743016333</v>
      </c>
      <c r="L114" s="55">
        <f t="shared" si="58"/>
        <v>2.8518914463839997E-3</v>
      </c>
      <c r="M114" s="55">
        <f t="shared" si="72"/>
        <v>0.99714810855361602</v>
      </c>
      <c r="N114" s="55">
        <f t="shared" si="59"/>
        <v>1.194401559294231E-3</v>
      </c>
      <c r="O114" s="56">
        <f t="shared" si="73"/>
        <v>9.7403285189418406E-7</v>
      </c>
      <c r="P114" s="56">
        <f t="shared" si="60"/>
        <v>7.3784332183015568E-6</v>
      </c>
      <c r="Q114" s="56">
        <f t="shared" si="61"/>
        <v>9.0887175042887288E-5</v>
      </c>
      <c r="R114" s="9">
        <f>F114*$C$14</f>
        <v>1.4999999999999999E-4</v>
      </c>
      <c r="S114" s="9">
        <f t="shared" ref="S114:S116" si="82">$R114*L114</f>
        <v>4.2778371695759993E-7</v>
      </c>
      <c r="T114" s="9">
        <f t="shared" ref="T114:T116" si="83">R114*K114</f>
        <v>1.4597280261452447E-4</v>
      </c>
      <c r="U114" s="9">
        <f t="shared" ref="U114:U116" si="84">$R114*M114</f>
        <v>1.4957221628304239E-4</v>
      </c>
      <c r="V114" s="102">
        <f t="shared" ref="V114:V116" si="85">K114/M114</f>
        <v>0.97593527890429488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254</v>
      </c>
      <c r="C115" s="46" t="s">
        <v>255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55"/>
        <v>2.0480395290290027E-2</v>
      </c>
      <c r="J115" s="54">
        <f t="shared" si="56"/>
        <v>1.0210151944953776</v>
      </c>
      <c r="K115" s="55">
        <f t="shared" si="57"/>
        <v>0.94976571224581574</v>
      </c>
      <c r="L115" s="55">
        <f t="shared" si="58"/>
        <v>3.8565009153037977E-3</v>
      </c>
      <c r="M115" s="55">
        <f t="shared" si="72"/>
        <v>0.99614349908469624</v>
      </c>
      <c r="N115" s="55">
        <f t="shared" si="59"/>
        <v>6.662744528653481E-4</v>
      </c>
      <c r="O115" s="56">
        <f t="shared" si="73"/>
        <v>9.5062537893417188E-7</v>
      </c>
      <c r="P115" s="56">
        <f t="shared" si="60"/>
        <v>9.977565764632022E-6</v>
      </c>
      <c r="Q115" s="56">
        <f t="shared" si="61"/>
        <v>5.0699701748513388E-5</v>
      </c>
      <c r="R115" s="9">
        <f>F115*$C$14</f>
        <v>1.4999999999999999E-4</v>
      </c>
      <c r="S115" s="9">
        <f t="shared" si="82"/>
        <v>5.7847513729556957E-7</v>
      </c>
      <c r="T115" s="9">
        <f t="shared" si="83"/>
        <v>1.4246485683687234E-4</v>
      </c>
      <c r="U115" s="9">
        <f t="shared" si="84"/>
        <v>1.4942152486270441E-4</v>
      </c>
      <c r="V115" s="102">
        <f t="shared" si="85"/>
        <v>0.95344266475513362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256</v>
      </c>
      <c r="C116" s="46" t="s">
        <v>257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55"/>
        <v>5.8413729360461944E-4</v>
      </c>
      <c r="J116" s="54">
        <f t="shared" si="56"/>
        <v>9.1475309817773021E-2</v>
      </c>
      <c r="K116" s="55">
        <f t="shared" si="57"/>
        <v>0.9976630075007803</v>
      </c>
      <c r="L116" s="55">
        <f t="shared" si="58"/>
        <v>4.764539550667845E-4</v>
      </c>
      <c r="M116" s="55">
        <f t="shared" si="72"/>
        <v>0.99952354604493321</v>
      </c>
      <c r="N116" s="55">
        <f t="shared" si="59"/>
        <v>1.79291435170584E-5</v>
      </c>
      <c r="O116" s="56">
        <f t="shared" si="73"/>
        <v>9.9856602773271268E-7</v>
      </c>
      <c r="P116" s="56">
        <f t="shared" si="60"/>
        <v>1.2326849584381303E-6</v>
      </c>
      <c r="Q116" s="56">
        <f t="shared" si="61"/>
        <v>1.3643059928411509E-6</v>
      </c>
      <c r="R116" s="9">
        <f>F116*$C$14</f>
        <v>1.4999999999999999E-4</v>
      </c>
      <c r="S116" s="9">
        <f t="shared" si="82"/>
        <v>7.1468093260017669E-8</v>
      </c>
      <c r="T116" s="9">
        <f t="shared" si="83"/>
        <v>1.4964945112511704E-4</v>
      </c>
      <c r="U116" s="9">
        <f t="shared" si="84"/>
        <v>1.4992853190673997E-4</v>
      </c>
      <c r="V116" s="102">
        <f t="shared" si="85"/>
        <v>0.99813857457234001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258</v>
      </c>
      <c r="C117" s="46" t="s">
        <v>259</v>
      </c>
      <c r="D117" s="47"/>
      <c r="E117" s="47"/>
      <c r="F117" s="98"/>
      <c r="G117" s="7"/>
      <c r="H117" s="7"/>
      <c r="I117" s="54" t="str">
        <f t="shared" si="55"/>
        <v/>
      </c>
      <c r="J117" s="54" t="str">
        <f t="shared" si="56"/>
        <v/>
      </c>
      <c r="K117" s="55" t="str">
        <f t="shared" si="57"/>
        <v/>
      </c>
      <c r="L117" s="55" t="str">
        <f t="shared" si="58"/>
        <v/>
      </c>
      <c r="M117" s="55" t="str">
        <f t="shared" si="72"/>
        <v/>
      </c>
      <c r="N117" s="55" t="str">
        <f t="shared" si="59"/>
        <v/>
      </c>
      <c r="O117" s="56" t="str">
        <f t="shared" si="73"/>
        <v/>
      </c>
      <c r="P117" s="56" t="str">
        <f t="shared" si="60"/>
        <v/>
      </c>
      <c r="Q117" s="56" t="str">
        <f t="shared" si="61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260</v>
      </c>
      <c r="C118" s="46" t="s">
        <v>261</v>
      </c>
      <c r="D118" s="47"/>
      <c r="E118" s="47"/>
      <c r="F118" s="57"/>
      <c r="G118" s="7"/>
      <c r="H118" s="7"/>
      <c r="I118" s="54" t="str">
        <f t="shared" si="55"/>
        <v/>
      </c>
      <c r="J118" s="54" t="str">
        <f t="shared" si="56"/>
        <v/>
      </c>
      <c r="K118" s="55" t="str">
        <f t="shared" si="57"/>
        <v/>
      </c>
      <c r="L118" s="55" t="str">
        <f t="shared" si="58"/>
        <v/>
      </c>
      <c r="M118" s="55" t="str">
        <f t="shared" si="72"/>
        <v/>
      </c>
      <c r="N118" s="55" t="str">
        <f t="shared" si="59"/>
        <v/>
      </c>
      <c r="O118" s="56" t="str">
        <f t="shared" si="73"/>
        <v/>
      </c>
      <c r="P118" s="56" t="str">
        <f t="shared" si="60"/>
        <v/>
      </c>
      <c r="Q118" s="56" t="str">
        <f t="shared" si="61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262</v>
      </c>
      <c r="C119" s="46" t="s">
        <v>263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55"/>
        <v>0.56658503951123784</v>
      </c>
      <c r="J119" s="54">
        <f t="shared" si="56"/>
        <v>3.0076215018515007</v>
      </c>
      <c r="K119" s="55">
        <f t="shared" si="57"/>
        <v>0.24498522588931376</v>
      </c>
      <c r="L119" s="55">
        <f t="shared" si="58"/>
        <v>9.6454646502912536E-2</v>
      </c>
      <c r="M119" s="55">
        <f t="shared" si="72"/>
        <v>0.90354535349708742</v>
      </c>
      <c r="N119" s="55">
        <f t="shared" si="59"/>
        <v>6.627558485782227E-2</v>
      </c>
      <c r="O119" s="56">
        <f t="shared" si="73"/>
        <v>2.4520697072082433E-7</v>
      </c>
      <c r="P119" s="56">
        <f t="shared" si="60"/>
        <v>2.4954812663679398E-4</v>
      </c>
      <c r="Q119" s="56">
        <f t="shared" si="61"/>
        <v>5.0431955946222589E-3</v>
      </c>
      <c r="R119" s="9">
        <f>F119*$C$14</f>
        <v>1.4999999999999999E-4</v>
      </c>
      <c r="S119" s="9">
        <f t="shared" ref="S119:S121" si="86">$R119*L119</f>
        <v>1.446819697543688E-5</v>
      </c>
      <c r="T119" s="9">
        <f t="shared" ref="T119:T121" si="87">R119*K119</f>
        <v>3.6747783883397062E-5</v>
      </c>
      <c r="U119" s="9">
        <f t="shared" ref="U119:U121" si="88">$R119*M119</f>
        <v>1.3553180302456309E-4</v>
      </c>
      <c r="V119" s="102">
        <f t="shared" ref="V119:V121" si="89">K119/M119</f>
        <v>0.27113771870014214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264</v>
      </c>
      <c r="C120" s="46" t="s">
        <v>265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55"/>
        <v>2.3514137427377815E-2</v>
      </c>
      <c r="J120" s="54">
        <f t="shared" si="56"/>
        <v>1.1701393635089397</v>
      </c>
      <c r="K120" s="55">
        <f t="shared" si="57"/>
        <v>0.94170206098956188</v>
      </c>
      <c r="L120" s="55">
        <f t="shared" si="58"/>
        <v>5.3903211619072203E-3</v>
      </c>
      <c r="M120" s="55">
        <f t="shared" si="72"/>
        <v>0.99460967883809281</v>
      </c>
      <c r="N120" s="55">
        <f t="shared" si="59"/>
        <v>2.0374651792648526E-3</v>
      </c>
      <c r="O120" s="56">
        <f t="shared" si="73"/>
        <v>9.4255442898068972E-7</v>
      </c>
      <c r="P120" s="56">
        <f t="shared" si="60"/>
        <v>1.3945876084715066E-5</v>
      </c>
      <c r="Q120" s="56">
        <f t="shared" si="61"/>
        <v>1.550395283317065E-4</v>
      </c>
      <c r="R120" s="9">
        <f>F120*$C$14</f>
        <v>1.4999999999999999E-4</v>
      </c>
      <c r="S120" s="9">
        <f t="shared" si="86"/>
        <v>8.0854817428608296E-7</v>
      </c>
      <c r="T120" s="9">
        <f t="shared" si="87"/>
        <v>1.4125530914843427E-4</v>
      </c>
      <c r="U120" s="9">
        <f t="shared" si="88"/>
        <v>1.491914518257139E-4</v>
      </c>
      <c r="V120" s="102">
        <f t="shared" si="89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266</v>
      </c>
      <c r="C121" s="46" t="s">
        <v>267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55"/>
        <v>1.0322461970770105</v>
      </c>
      <c r="J121" s="54">
        <f t="shared" si="56"/>
        <v>3.4818642141609106</v>
      </c>
      <c r="K121" s="55">
        <f t="shared" si="57"/>
        <v>8.3684220987644622E-2</v>
      </c>
      <c r="L121" s="55">
        <f t="shared" si="58"/>
        <v>9.819051755191234E-2</v>
      </c>
      <c r="M121" s="55">
        <f t="shared" si="72"/>
        <v>0.90180948244808767</v>
      </c>
      <c r="N121" s="55">
        <f t="shared" si="59"/>
        <v>5.5839722586997889E-2</v>
      </c>
      <c r="O121" s="56">
        <f t="shared" si="73"/>
        <v>8.3759966549098928E-8</v>
      </c>
      <c r="P121" s="56">
        <f t="shared" si="60"/>
        <v>2.540391841862908E-4</v>
      </c>
      <c r="Q121" s="56">
        <f t="shared" si="61"/>
        <v>4.2490857464298828E-3</v>
      </c>
      <c r="R121" s="9">
        <f>F121*$C$14</f>
        <v>1.4999999999999999E-4</v>
      </c>
      <c r="S121" s="9">
        <f t="shared" si="86"/>
        <v>1.472857763278685E-5</v>
      </c>
      <c r="T121" s="9">
        <f t="shared" si="87"/>
        <v>1.2552633148146692E-5</v>
      </c>
      <c r="U121" s="9">
        <f t="shared" si="88"/>
        <v>1.3527142236721313E-4</v>
      </c>
      <c r="V121" s="102">
        <f t="shared" si="89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268</v>
      </c>
      <c r="C122" s="46" t="s">
        <v>269</v>
      </c>
      <c r="D122" s="47"/>
      <c r="E122" s="47"/>
      <c r="F122" s="57"/>
      <c r="G122" s="7"/>
      <c r="H122" s="7"/>
      <c r="I122" s="54" t="str">
        <f t="shared" si="55"/>
        <v/>
      </c>
      <c r="J122" s="54" t="str">
        <f t="shared" si="56"/>
        <v/>
      </c>
      <c r="K122" s="55" t="str">
        <f t="shared" si="57"/>
        <v/>
      </c>
      <c r="L122" s="55" t="str">
        <f t="shared" si="58"/>
        <v/>
      </c>
      <c r="M122" s="55" t="str">
        <f t="shared" si="72"/>
        <v/>
      </c>
      <c r="N122" s="55" t="str">
        <f t="shared" si="59"/>
        <v/>
      </c>
      <c r="O122" s="56" t="str">
        <f t="shared" si="73"/>
        <v/>
      </c>
      <c r="P122" s="56" t="str">
        <f t="shared" si="60"/>
        <v/>
      </c>
      <c r="Q122" s="56" t="str">
        <f t="shared" si="61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270</v>
      </c>
      <c r="C123" s="46" t="s">
        <v>271</v>
      </c>
      <c r="D123" s="46"/>
      <c r="E123" s="46"/>
      <c r="F123" s="46"/>
      <c r="G123" s="7"/>
      <c r="H123" s="7"/>
      <c r="I123" s="54" t="str">
        <f t="shared" ref="I123:I127" si="90">IF(D123=0,"",LOG($K$15*10^D123+$K$16*10^E123+$K$14))</f>
        <v/>
      </c>
      <c r="J123" s="54" t="str">
        <f t="shared" ref="J123:J127" si="91">IF(D123=0,"",LOG($K$21*10^D123+$K$22*10^E123+$K$20))</f>
        <v/>
      </c>
      <c r="K123" s="55" t="str">
        <f t="shared" ref="K123:K127" si="92">IF(D123=0,"",1/(1+10^D123*$J$15/$J$14+10^E123*$J$16/$J$14+10^J123*$J$19/$J$14))</f>
        <v/>
      </c>
      <c r="L123" s="55" t="str">
        <f t="shared" ref="L123:L127" si="93">IF(D123=0,"",1/(1+10^I123/10^J123*$J$13/$J$19))</f>
        <v/>
      </c>
      <c r="M123" s="55" t="str">
        <f t="shared" si="72"/>
        <v/>
      </c>
      <c r="N123" s="55" t="str">
        <f t="shared" ref="N123:N127" si="94">IF(D123=0,"",1/(1/10^E123*$J$20/$J$22+10^D123/10^E123*$J$21/$J$22+10^I123/10^E123*$J$13/$J$22+1))</f>
        <v/>
      </c>
      <c r="O123" s="56" t="str">
        <f t="shared" si="73"/>
        <v/>
      </c>
      <c r="P123" s="56" t="str">
        <f t="shared" ref="P123:P127" si="95">IF(D123=0,"",O123*10^J123)</f>
        <v/>
      </c>
      <c r="Q123" s="56" t="str">
        <f t="shared" ref="Q123:Q127" si="96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272</v>
      </c>
      <c r="C124" s="46" t="s">
        <v>273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90"/>
        <v>0.13981203375224763</v>
      </c>
      <c r="J124" s="54">
        <f t="shared" si="91"/>
        <v>2.1544017149863013</v>
      </c>
      <c r="K124" s="55">
        <f t="shared" si="92"/>
        <v>0.6965218436240258</v>
      </c>
      <c r="L124" s="55">
        <f t="shared" si="93"/>
        <v>3.8450165477166821E-2</v>
      </c>
      <c r="M124" s="55">
        <f t="shared" si="72"/>
        <v>0.96154983452283316</v>
      </c>
      <c r="N124" s="55">
        <f t="shared" si="94"/>
        <v>2.5969250478995915E-2</v>
      </c>
      <c r="O124" s="56">
        <f t="shared" si="73"/>
        <v>6.971522902899305E-7</v>
      </c>
      <c r="P124" s="56">
        <f t="shared" si="95"/>
        <v>9.9478533296081014E-5</v>
      </c>
      <c r="Q124" s="56">
        <f t="shared" si="96"/>
        <v>1.9761124687510999E-3</v>
      </c>
      <c r="R124" s="9">
        <f>F124*$C$14</f>
        <v>1.4999999999999999E-4</v>
      </c>
      <c r="S124" s="9">
        <f t="shared" ref="S124:S127" si="97">$R124*L124</f>
        <v>5.7675248215750231E-6</v>
      </c>
      <c r="T124" s="9">
        <f t="shared" ref="T124:T127" si="98">R124*K124</f>
        <v>1.0447827654360386E-4</v>
      </c>
      <c r="U124" s="9">
        <f t="shared" ref="U124:U127" si="99">$R124*M124</f>
        <v>1.4423247517842495E-4</v>
      </c>
      <c r="V124" s="102">
        <f t="shared" ref="V124:V127" si="100">K124/M124</f>
        <v>0.72437414954126966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274</v>
      </c>
      <c r="C125" s="46" t="s">
        <v>275</v>
      </c>
      <c r="D125" s="46"/>
      <c r="E125" s="46"/>
      <c r="F125" s="46"/>
      <c r="G125" s="7"/>
      <c r="H125" s="7"/>
      <c r="I125" s="54" t="str">
        <f t="shared" si="90"/>
        <v/>
      </c>
      <c r="J125" s="54" t="str">
        <f t="shared" si="91"/>
        <v/>
      </c>
      <c r="K125" s="55" t="str">
        <f t="shared" si="92"/>
        <v/>
      </c>
      <c r="L125" s="55" t="str">
        <f t="shared" si="93"/>
        <v/>
      </c>
      <c r="M125" s="55" t="str">
        <f t="shared" si="72"/>
        <v/>
      </c>
      <c r="N125" s="55" t="str">
        <f t="shared" si="94"/>
        <v/>
      </c>
      <c r="O125" s="56" t="str">
        <f t="shared" si="73"/>
        <v/>
      </c>
      <c r="P125" s="56" t="str">
        <f t="shared" si="95"/>
        <v/>
      </c>
      <c r="Q125" s="56" t="str">
        <f t="shared" si="96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276</v>
      </c>
      <c r="C126" s="46" t="s">
        <v>277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90"/>
        <v>4.9312922410980113E-2</v>
      </c>
      <c r="J126" s="54">
        <f t="shared" si="91"/>
        <v>1.5189883983942118</v>
      </c>
      <c r="K126" s="55">
        <f t="shared" si="92"/>
        <v>0.88214077170377148</v>
      </c>
      <c r="L126" s="55">
        <f t="shared" si="93"/>
        <v>1.1274260127641877E-2</v>
      </c>
      <c r="M126" s="55">
        <f t="shared" si="72"/>
        <v>0.98872573987235812</v>
      </c>
      <c r="N126" s="55">
        <f t="shared" si="94"/>
        <v>5.0423451459676834E-3</v>
      </c>
      <c r="O126" s="56">
        <f t="shared" si="73"/>
        <v>8.8293922865594067E-7</v>
      </c>
      <c r="P126" s="56">
        <f t="shared" si="95"/>
        <v>2.9168843555753186E-5</v>
      </c>
      <c r="Q126" s="56">
        <f t="shared" si="96"/>
        <v>3.8369382754240293E-4</v>
      </c>
      <c r="R126" s="9">
        <f>F126*$C$14</f>
        <v>1.4999999999999999E-4</v>
      </c>
      <c r="S126" s="9">
        <f t="shared" si="97"/>
        <v>1.6911390191462815E-6</v>
      </c>
      <c r="T126" s="9">
        <f t="shared" si="98"/>
        <v>1.3232111575556572E-4</v>
      </c>
      <c r="U126" s="9">
        <f t="shared" si="99"/>
        <v>1.4830886098085371E-4</v>
      </c>
      <c r="V126" s="102">
        <f t="shared" si="100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278</v>
      </c>
      <c r="C127" s="46" t="s">
        <v>279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90"/>
        <v>5.4598878066109929E-5</v>
      </c>
      <c r="J127" s="54">
        <f t="shared" si="91"/>
        <v>1.1217847539260454E-2</v>
      </c>
      <c r="K127" s="55">
        <f t="shared" si="92"/>
        <v>0.99896003253507071</v>
      </c>
      <c r="L127" s="55">
        <f t="shared" si="93"/>
        <v>3.9657717770209876E-4</v>
      </c>
      <c r="M127" s="55">
        <f t="shared" si="72"/>
        <v>0.99960342282229786</v>
      </c>
      <c r="N127" s="55">
        <f t="shared" si="94"/>
        <v>1.5615208491608146E-5</v>
      </c>
      <c r="O127" s="56">
        <f t="shared" si="73"/>
        <v>9.9986422675044089E-7</v>
      </c>
      <c r="P127" s="56">
        <f t="shared" si="95"/>
        <v>1.0260272091658884E-6</v>
      </c>
      <c r="Q127" s="56">
        <f t="shared" si="96"/>
        <v>1.1882286794288719E-6</v>
      </c>
      <c r="R127" s="9">
        <f>F127*$C$14</f>
        <v>1.4999999999999999E-4</v>
      </c>
      <c r="S127" s="9">
        <f t="shared" si="97"/>
        <v>5.9486576655314808E-8</v>
      </c>
      <c r="T127" s="9">
        <f t="shared" si="98"/>
        <v>1.4984400488026058E-4</v>
      </c>
      <c r="U127" s="9">
        <f t="shared" si="99"/>
        <v>1.4994051342334466E-4</v>
      </c>
      <c r="V127" s="102">
        <f t="shared" si="100"/>
        <v>0.99935635445764026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280</v>
      </c>
      <c r="C128" s="46" t="s">
        <v>281</v>
      </c>
      <c r="D128" s="46"/>
      <c r="E128" s="46"/>
      <c r="F128" s="46"/>
      <c r="G128" s="7"/>
      <c r="H128" s="7"/>
      <c r="I128" s="54" t="str">
        <f t="shared" ref="I128:I134" si="101">IF(D128=0,"",LOG($K$15*10^D128+$K$16*10^E128+$K$14))</f>
        <v/>
      </c>
      <c r="J128" s="54" t="str">
        <f t="shared" ref="J128:J134" si="102">IF(D128=0,"",LOG($K$21*10^D128+$K$22*10^E128+$K$20))</f>
        <v/>
      </c>
      <c r="K128" s="55" t="str">
        <f t="shared" ref="K128:K134" si="103">IF(D128=0,"",1/(1+10^D128*$J$15/$J$14+10^E128*$J$16/$J$14+10^J128*$J$19/$J$14))</f>
        <v/>
      </c>
      <c r="L128" s="55" t="str">
        <f t="shared" ref="L128:L134" si="104">IF(D128=0,"",1/(1+10^I128/10^J128*$J$13/$J$19))</f>
        <v/>
      </c>
      <c r="M128" s="55" t="str">
        <f t="shared" ref="M128:M134" si="105">IF(D128=0,"",1-L128)</f>
        <v/>
      </c>
      <c r="N128" s="55" t="str">
        <f t="shared" ref="N128:N134" si="106">IF(D128=0,"",1/(1/10^E128*$J$20/$J$22+10^D128/10^E128*$J$21/$J$22+10^I128/10^E128*$J$13/$J$22+1))</f>
        <v/>
      </c>
      <c r="O128" s="56" t="str">
        <f t="shared" ref="O128:O134" si="107">IF(D128=0,"",F128*K128*$J$7/$J$14)</f>
        <v/>
      </c>
      <c r="P128" s="56" t="str">
        <f t="shared" ref="P128:P134" si="108">IF(D128=0,"",O128*10^J128)</f>
        <v/>
      </c>
      <c r="Q128" s="56" t="str">
        <f t="shared" ref="Q128:Q134" si="109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282</v>
      </c>
      <c r="C129" s="46" t="s">
        <v>283</v>
      </c>
      <c r="D129" s="46"/>
      <c r="E129" s="46"/>
      <c r="F129" s="46"/>
      <c r="G129" s="7"/>
      <c r="H129" s="7"/>
      <c r="I129" s="54" t="str">
        <f t="shared" si="101"/>
        <v/>
      </c>
      <c r="J129" s="54" t="str">
        <f t="shared" si="102"/>
        <v/>
      </c>
      <c r="K129" s="55" t="str">
        <f t="shared" si="103"/>
        <v/>
      </c>
      <c r="L129" s="55" t="str">
        <f t="shared" si="104"/>
        <v/>
      </c>
      <c r="M129" s="55" t="str">
        <f t="shared" si="105"/>
        <v/>
      </c>
      <c r="N129" s="55" t="str">
        <f t="shared" si="106"/>
        <v/>
      </c>
      <c r="O129" s="56" t="str">
        <f t="shared" si="107"/>
        <v/>
      </c>
      <c r="P129" s="56" t="str">
        <f t="shared" si="108"/>
        <v/>
      </c>
      <c r="Q129" s="56" t="str">
        <f t="shared" si="109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284</v>
      </c>
      <c r="C130" s="46" t="s">
        <v>285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101"/>
        <v>2.1084810301724875E-3</v>
      </c>
      <c r="J130" s="54">
        <f t="shared" si="102"/>
        <v>0.29014500901604634</v>
      </c>
      <c r="K130" s="55">
        <f t="shared" si="103"/>
        <v>0.99389536081112051</v>
      </c>
      <c r="L130" s="55">
        <f t="shared" si="104"/>
        <v>7.4997611062790968E-4</v>
      </c>
      <c r="M130" s="55">
        <f t="shared" si="105"/>
        <v>0.99925002388937212</v>
      </c>
      <c r="N130" s="55">
        <f t="shared" si="106"/>
        <v>7.8928407043573761E-5</v>
      </c>
      <c r="O130" s="56">
        <f t="shared" si="107"/>
        <v>9.9479497081218152E-7</v>
      </c>
      <c r="P130" s="56">
        <f t="shared" si="108"/>
        <v>1.9403433656655675E-6</v>
      </c>
      <c r="Q130" s="56">
        <f t="shared" si="109"/>
        <v>6.006003501087521E-6</v>
      </c>
      <c r="R130" s="9">
        <f>F130*$C$14</f>
        <v>1.4999999999999999E-4</v>
      </c>
      <c r="S130" s="9">
        <f t="shared" ref="S130:S131" si="110">$R130*L130</f>
        <v>1.1249641659418644E-7</v>
      </c>
      <c r="T130" s="9">
        <f t="shared" ref="T130:T131" si="111">R130*K130</f>
        <v>1.4908430412166807E-4</v>
      </c>
      <c r="U130" s="9">
        <f t="shared" ref="U130:U131" si="112">$R130*M130</f>
        <v>1.4988750358340579E-4</v>
      </c>
      <c r="V130" s="102">
        <f t="shared" ref="V130:V131" si="113">K130/M130</f>
        <v>0.9946413180382927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286</v>
      </c>
      <c r="C131" s="46" t="s">
        <v>287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101"/>
        <v>-5.830329626681688E-5</v>
      </c>
      <c r="J131" s="54">
        <f t="shared" si="102"/>
        <v>-1.5136542625182742E-2</v>
      </c>
      <c r="K131" s="55">
        <f t="shared" si="103"/>
        <v>0.9992429981014942</v>
      </c>
      <c r="L131" s="55">
        <f t="shared" si="104"/>
        <v>3.7333295553597509E-4</v>
      </c>
      <c r="M131" s="55">
        <f t="shared" si="105"/>
        <v>0.99962666704446401</v>
      </c>
      <c r="N131" s="55">
        <f t="shared" si="106"/>
        <v>7.4999227153718385E-6</v>
      </c>
      <c r="O131" s="56">
        <f t="shared" si="107"/>
        <v>1.0001474484390512E-6</v>
      </c>
      <c r="P131" s="56">
        <f t="shared" si="108"/>
        <v>9.6588959727271242E-7</v>
      </c>
      <c r="Q131" s="56">
        <f t="shared" si="109"/>
        <v>5.7070152272985167E-7</v>
      </c>
      <c r="R131" s="9">
        <f>F131*$C$14</f>
        <v>1.4999999999999999E-4</v>
      </c>
      <c r="S131" s="9">
        <f t="shared" si="110"/>
        <v>5.5999943330396256E-8</v>
      </c>
      <c r="T131" s="9">
        <f t="shared" si="111"/>
        <v>1.4988644971522411E-4</v>
      </c>
      <c r="U131" s="9">
        <f t="shared" si="112"/>
        <v>1.4994400005666959E-4</v>
      </c>
      <c r="V131" s="102">
        <f t="shared" si="113"/>
        <v>0.99961618776727501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288</v>
      </c>
      <c r="C132" s="46" t="s">
        <v>289</v>
      </c>
      <c r="D132" s="46"/>
      <c r="E132" s="46"/>
      <c r="F132" s="46"/>
      <c r="G132" s="7"/>
      <c r="H132" s="7"/>
      <c r="I132" s="54" t="str">
        <f t="shared" si="101"/>
        <v/>
      </c>
      <c r="J132" s="54" t="str">
        <f t="shared" si="102"/>
        <v/>
      </c>
      <c r="K132" s="55" t="str">
        <f t="shared" si="103"/>
        <v/>
      </c>
      <c r="L132" s="55" t="str">
        <f t="shared" si="104"/>
        <v/>
      </c>
      <c r="M132" s="55" t="str">
        <f t="shared" si="105"/>
        <v/>
      </c>
      <c r="N132" s="55" t="str">
        <f t="shared" si="106"/>
        <v/>
      </c>
      <c r="O132" s="56" t="str">
        <f t="shared" si="107"/>
        <v/>
      </c>
      <c r="P132" s="56" t="str">
        <f t="shared" si="108"/>
        <v/>
      </c>
      <c r="Q132" s="56" t="str">
        <f t="shared" si="109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290</v>
      </c>
      <c r="C133" s="46" t="s">
        <v>291</v>
      </c>
      <c r="D133" s="46"/>
      <c r="E133" s="46"/>
      <c r="F133" s="46"/>
      <c r="G133" s="7"/>
      <c r="H133" s="7"/>
      <c r="I133" s="54" t="str">
        <f t="shared" si="101"/>
        <v/>
      </c>
      <c r="J133" s="54" t="str">
        <f t="shared" si="102"/>
        <v/>
      </c>
      <c r="K133" s="55" t="str">
        <f t="shared" si="103"/>
        <v/>
      </c>
      <c r="L133" s="55" t="str">
        <f t="shared" si="104"/>
        <v/>
      </c>
      <c r="M133" s="55" t="str">
        <f t="shared" si="105"/>
        <v/>
      </c>
      <c r="N133" s="55" t="str">
        <f t="shared" si="106"/>
        <v/>
      </c>
      <c r="O133" s="56" t="str">
        <f t="shared" si="107"/>
        <v/>
      </c>
      <c r="P133" s="56" t="str">
        <f t="shared" si="108"/>
        <v/>
      </c>
      <c r="Q133" s="56" t="str">
        <f t="shared" si="109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292</v>
      </c>
      <c r="D134" s="46"/>
      <c r="E134" s="46"/>
      <c r="F134" s="46"/>
      <c r="G134" s="7"/>
      <c r="H134" s="7"/>
      <c r="I134" s="54" t="str">
        <f t="shared" si="101"/>
        <v/>
      </c>
      <c r="J134" s="54" t="str">
        <f t="shared" si="102"/>
        <v/>
      </c>
      <c r="K134" s="55" t="str">
        <f t="shared" si="103"/>
        <v/>
      </c>
      <c r="L134" s="55" t="str">
        <f t="shared" si="104"/>
        <v/>
      </c>
      <c r="M134" s="55" t="str">
        <f t="shared" si="105"/>
        <v/>
      </c>
      <c r="N134" s="55" t="str">
        <f t="shared" si="106"/>
        <v/>
      </c>
      <c r="O134" s="56" t="str">
        <f t="shared" si="107"/>
        <v/>
      </c>
      <c r="P134" s="56" t="str">
        <f t="shared" si="108"/>
        <v/>
      </c>
      <c r="Q134" s="56" t="str">
        <f t="shared" si="109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2024-10-28T21:00:05Z</dcterms:modified>
</cp:coreProperties>
</file>