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490238C6-367B-4AA3-8AE4-FE60392A9315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5" i="4" l="1"/>
  <c r="J135" i="4"/>
  <c r="K135" i="4" s="1"/>
  <c r="O135" i="4" s="1"/>
  <c r="P135" i="4" s="1"/>
  <c r="I136" i="4"/>
  <c r="J136" i="4"/>
  <c r="K136" i="4" s="1"/>
  <c r="O136" i="4" s="1"/>
  <c r="P136" i="4" s="1"/>
  <c r="I137" i="4"/>
  <c r="L137" i="4" s="1"/>
  <c r="M137" i="4" s="1"/>
  <c r="J137" i="4"/>
  <c r="K137" i="4"/>
  <c r="I138" i="4"/>
  <c r="J138" i="4"/>
  <c r="K138" i="4"/>
  <c r="N138" i="4"/>
  <c r="Q138" i="4" s="1"/>
  <c r="O138" i="4"/>
  <c r="P138" i="4" s="1"/>
  <c r="I139" i="4"/>
  <c r="L139" i="4" s="1"/>
  <c r="M139" i="4" s="1"/>
  <c r="U139" i="4" s="1"/>
  <c r="J139" i="4"/>
  <c r="K139" i="4"/>
  <c r="O139" i="4" s="1"/>
  <c r="P139" i="4" s="1"/>
  <c r="I140" i="4"/>
  <c r="J140" i="4"/>
  <c r="K140" i="4"/>
  <c r="O140" i="4" s="1"/>
  <c r="P140" i="4" s="1"/>
  <c r="I141" i="4"/>
  <c r="N141" i="4" s="1"/>
  <c r="Q141" i="4" s="1"/>
  <c r="J141" i="4"/>
  <c r="K141" i="4"/>
  <c r="O141" i="4" s="1"/>
  <c r="P141" i="4" s="1"/>
  <c r="L141" i="4"/>
  <c r="I142" i="4"/>
  <c r="J142" i="4"/>
  <c r="K142" i="4"/>
  <c r="N142" i="4"/>
  <c r="Q142" i="4" s="1"/>
  <c r="O142" i="4"/>
  <c r="P142" i="4"/>
  <c r="I143" i="4"/>
  <c r="L143" i="4" s="1"/>
  <c r="M143" i="4" s="1"/>
  <c r="J143" i="4"/>
  <c r="K143" i="4"/>
  <c r="O143" i="4" s="1"/>
  <c r="P143" i="4" s="1"/>
  <c r="R143" i="4"/>
  <c r="R142" i="4"/>
  <c r="R141" i="4"/>
  <c r="R140" i="4"/>
  <c r="T139" i="4"/>
  <c r="R139" i="4"/>
  <c r="S139" i="4" s="1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O137" i="4" l="1"/>
  <c r="P137" i="4" s="1"/>
  <c r="V137" i="4"/>
  <c r="S141" i="4"/>
  <c r="M141" i="4"/>
  <c r="V141" i="4" s="1"/>
  <c r="L135" i="4"/>
  <c r="M135" i="4" s="1"/>
  <c r="U141" i="4"/>
  <c r="L136" i="4"/>
  <c r="M136" i="4" s="1"/>
  <c r="U136" i="4" s="1"/>
  <c r="L138" i="4"/>
  <c r="M138" i="4" s="1"/>
  <c r="V138" i="4" s="1"/>
  <c r="L142" i="4"/>
  <c r="M142" i="4" s="1"/>
  <c r="V142" i="4" s="1"/>
  <c r="N137" i="4"/>
  <c r="Q137" i="4" s="1"/>
  <c r="N135" i="4"/>
  <c r="Q135" i="4" s="1"/>
  <c r="L140" i="4"/>
  <c r="M140" i="4" s="1"/>
  <c r="N143" i="4"/>
  <c r="Q143" i="4" s="1"/>
  <c r="N139" i="4"/>
  <c r="Q139" i="4" s="1"/>
  <c r="T143" i="4"/>
  <c r="V143" i="4"/>
  <c r="U143" i="4"/>
  <c r="V139" i="4"/>
  <c r="V135" i="4"/>
  <c r="U138" i="4"/>
  <c r="T136" i="4"/>
  <c r="V140" i="4"/>
  <c r="N140" i="4"/>
  <c r="Q140" i="4" s="1"/>
  <c r="V136" i="4"/>
  <c r="T141" i="4"/>
  <c r="S140" i="4"/>
  <c r="N136" i="4"/>
  <c r="Q136" i="4" s="1"/>
  <c r="U137" i="4"/>
  <c r="T137" i="4"/>
  <c r="U135" i="4"/>
  <c r="T135" i="4"/>
  <c r="S135" i="4"/>
  <c r="S137" i="4"/>
  <c r="T142" i="4"/>
  <c r="S138" i="4"/>
  <c r="U140" i="4"/>
  <c r="T140" i="4"/>
  <c r="T138" i="4"/>
  <c r="S143" i="4"/>
  <c r="S136" i="4"/>
  <c r="S142" i="4" l="1"/>
  <c r="U142" i="4"/>
  <c r="I128" i="4"/>
  <c r="J128" i="4"/>
  <c r="K128" i="4" s="1"/>
  <c r="I129" i="4"/>
  <c r="J129" i="4"/>
  <c r="K129" i="4"/>
  <c r="L129" i="4"/>
  <c r="N129" i="4"/>
  <c r="Q129" i="4" s="1"/>
  <c r="I130" i="4"/>
  <c r="J130" i="4"/>
  <c r="K130" i="4" s="1"/>
  <c r="I131" i="4"/>
  <c r="N131" i="4" s="1"/>
  <c r="Q131" i="4" s="1"/>
  <c r="J131" i="4"/>
  <c r="K131" i="4" s="1"/>
  <c r="I132" i="4"/>
  <c r="N132" i="4" s="1"/>
  <c r="Q132" i="4" s="1"/>
  <c r="J132" i="4"/>
  <c r="K132" i="4" s="1"/>
  <c r="I133" i="4"/>
  <c r="J133" i="4"/>
  <c r="K133" i="4"/>
  <c r="L133" i="4"/>
  <c r="S133" i="4" s="1"/>
  <c r="M133" i="4"/>
  <c r="U133" i="4" s="1"/>
  <c r="N133" i="4"/>
  <c r="Q133" i="4" s="1"/>
  <c r="I134" i="4"/>
  <c r="N134" i="4" s="1"/>
  <c r="Q134" i="4" s="1"/>
  <c r="J134" i="4"/>
  <c r="K134" i="4" s="1"/>
  <c r="O128" i="4" l="1"/>
  <c r="P128" i="4" s="1"/>
  <c r="T128" i="4"/>
  <c r="O132" i="4"/>
  <c r="P132" i="4" s="1"/>
  <c r="T132" i="4"/>
  <c r="O130" i="4"/>
  <c r="P130" i="4" s="1"/>
  <c r="T130" i="4"/>
  <c r="L130" i="4"/>
  <c r="M129" i="4"/>
  <c r="U129" i="4" s="1"/>
  <c r="S129" i="4"/>
  <c r="O129" i="4"/>
  <c r="P129" i="4" s="1"/>
  <c r="T129" i="4"/>
  <c r="O133" i="4"/>
  <c r="P133" i="4" s="1"/>
  <c r="V133" i="4"/>
  <c r="T133" i="4"/>
  <c r="L128" i="4"/>
  <c r="O131" i="4"/>
  <c r="P131" i="4" s="1"/>
  <c r="T131" i="4"/>
  <c r="O134" i="4"/>
  <c r="P134" i="4" s="1"/>
  <c r="T134" i="4"/>
  <c r="L132" i="4"/>
  <c r="L134" i="4"/>
  <c r="N128" i="4"/>
  <c r="Q128" i="4" s="1"/>
  <c r="L131" i="4"/>
  <c r="N130" i="4"/>
  <c r="Q130" i="4" s="1"/>
  <c r="M130" i="4" l="1"/>
  <c r="S130" i="4"/>
  <c r="M128" i="4"/>
  <c r="S128" i="4"/>
  <c r="M131" i="4"/>
  <c r="S131" i="4"/>
  <c r="M134" i="4"/>
  <c r="S134" i="4"/>
  <c r="M132" i="4"/>
  <c r="S132" i="4"/>
  <c r="V129" i="4"/>
  <c r="O15" i="1"/>
  <c r="L15" i="1"/>
  <c r="N15" i="1"/>
  <c r="M114" i="4"/>
  <c r="U114" i="4" s="1"/>
  <c r="J16" i="4"/>
  <c r="J15" i="4"/>
  <c r="J87" i="4"/>
  <c r="J122" i="4"/>
  <c r="K122" i="4"/>
  <c r="J117" i="4"/>
  <c r="K117" i="4"/>
  <c r="J120" i="4"/>
  <c r="K120" i="4" s="1"/>
  <c r="J101" i="4"/>
  <c r="K101" i="4" s="1"/>
  <c r="J86" i="4"/>
  <c r="K86" i="4" s="1"/>
  <c r="J85" i="4"/>
  <c r="K85" i="4" s="1"/>
  <c r="J88" i="4"/>
  <c r="K88" i="4" s="1"/>
  <c r="J119" i="4"/>
  <c r="K119" i="4" s="1"/>
  <c r="J72" i="4"/>
  <c r="J103" i="4"/>
  <c r="K103" i="4"/>
  <c r="J118" i="4"/>
  <c r="K118" i="4"/>
  <c r="J104" i="4"/>
  <c r="K104" i="4"/>
  <c r="J90" i="4"/>
  <c r="K90" i="4" s="1"/>
  <c r="J71" i="4"/>
  <c r="K71" i="4" s="1"/>
  <c r="J110" i="4"/>
  <c r="K110" i="4"/>
  <c r="J82" i="4"/>
  <c r="K82" i="4" s="1"/>
  <c r="J113" i="4"/>
  <c r="K113" i="4" s="1"/>
  <c r="J97" i="4"/>
  <c r="K97" i="4"/>
  <c r="J81" i="4"/>
  <c r="K81" i="4" s="1"/>
  <c r="J116" i="4"/>
  <c r="K116" i="4" s="1"/>
  <c r="J100" i="4"/>
  <c r="K100" i="4" s="1"/>
  <c r="O100" i="4" s="1"/>
  <c r="P100" i="4" s="1"/>
  <c r="J84" i="4"/>
  <c r="K84" i="4" s="1"/>
  <c r="J114" i="4"/>
  <c r="K114" i="4" s="1"/>
  <c r="J78" i="4"/>
  <c r="K78" i="4" s="1"/>
  <c r="J115" i="4"/>
  <c r="K115" i="4" s="1"/>
  <c r="J99" i="4"/>
  <c r="K99" i="4" s="1"/>
  <c r="J83" i="4"/>
  <c r="K83" i="4" s="1"/>
  <c r="J102" i="4"/>
  <c r="K102" i="4" s="1"/>
  <c r="J74" i="4"/>
  <c r="K74" i="4" s="1"/>
  <c r="J125" i="4"/>
  <c r="K125" i="4" s="1"/>
  <c r="J109" i="4"/>
  <c r="K109" i="4"/>
  <c r="J93" i="4"/>
  <c r="K93" i="4" s="1"/>
  <c r="J77" i="4"/>
  <c r="K77" i="4" s="1"/>
  <c r="J112" i="4"/>
  <c r="K112" i="4"/>
  <c r="J96" i="4"/>
  <c r="K96" i="4" s="1"/>
  <c r="J80" i="4"/>
  <c r="K80" i="4" s="1"/>
  <c r="J106" i="4"/>
  <c r="K106" i="4"/>
  <c r="J127" i="4"/>
  <c r="K127" i="4" s="1"/>
  <c r="J111" i="4"/>
  <c r="L111" i="4" s="1"/>
  <c r="K111" i="4"/>
  <c r="J95" i="4"/>
  <c r="K95" i="4" s="1"/>
  <c r="J79" i="4"/>
  <c r="K79" i="4" s="1"/>
  <c r="J126" i="4"/>
  <c r="K126" i="4" s="1"/>
  <c r="J94" i="4"/>
  <c r="K94" i="4" s="1"/>
  <c r="J121" i="4"/>
  <c r="K121" i="4" s="1"/>
  <c r="J105" i="4"/>
  <c r="K105" i="4"/>
  <c r="J89" i="4"/>
  <c r="K89" i="4" s="1"/>
  <c r="J73" i="4"/>
  <c r="K73" i="4" s="1"/>
  <c r="J124" i="4"/>
  <c r="K124" i="4" s="1"/>
  <c r="J108" i="4"/>
  <c r="K108" i="4" s="1"/>
  <c r="J92" i="4"/>
  <c r="K92" i="4" s="1"/>
  <c r="J76" i="4"/>
  <c r="K76" i="4" s="1"/>
  <c r="J98" i="4"/>
  <c r="K98" i="4"/>
  <c r="J123" i="4"/>
  <c r="K123" i="4"/>
  <c r="J107" i="4"/>
  <c r="K107" i="4" s="1"/>
  <c r="J91" i="4"/>
  <c r="K91" i="4" s="1"/>
  <c r="J75" i="4"/>
  <c r="K75" i="4" s="1"/>
  <c r="O109" i="4"/>
  <c r="P109" i="4" s="1"/>
  <c r="I76" i="4"/>
  <c r="L76" i="4" s="1"/>
  <c r="S76" i="4" s="1"/>
  <c r="I77" i="4"/>
  <c r="L77" i="4" s="1"/>
  <c r="S77" i="4" s="1"/>
  <c r="I81" i="4"/>
  <c r="N81" i="4" s="1"/>
  <c r="Q81" i="4" s="1"/>
  <c r="I89" i="4"/>
  <c r="I90" i="4"/>
  <c r="N90" i="4" s="1"/>
  <c r="Q90" i="4" s="1"/>
  <c r="I96" i="4"/>
  <c r="N96" i="4" s="1"/>
  <c r="Q96" i="4" s="1"/>
  <c r="I99" i="4"/>
  <c r="N99" i="4" s="1"/>
  <c r="Q99" i="4" s="1"/>
  <c r="I102" i="4"/>
  <c r="L102" i="4" s="1"/>
  <c r="I104" i="4"/>
  <c r="L104" i="4" s="1"/>
  <c r="I108" i="4"/>
  <c r="N108" i="4" s="1"/>
  <c r="Q108" i="4" s="1"/>
  <c r="I111" i="4"/>
  <c r="I113" i="4"/>
  <c r="L113" i="4" s="1"/>
  <c r="I115" i="4"/>
  <c r="N115" i="4" s="1"/>
  <c r="Q115" i="4" s="1"/>
  <c r="I119" i="4"/>
  <c r="N119" i="4" s="1"/>
  <c r="Q119" i="4" s="1"/>
  <c r="I120" i="4"/>
  <c r="N120" i="4" s="1"/>
  <c r="Q120" i="4" s="1"/>
  <c r="I123" i="4"/>
  <c r="I125" i="4"/>
  <c r="I79" i="4"/>
  <c r="N79" i="4" s="1"/>
  <c r="Q79" i="4" s="1"/>
  <c r="I92" i="4"/>
  <c r="N92" i="4" s="1"/>
  <c r="Q92" i="4" s="1"/>
  <c r="I100" i="4"/>
  <c r="I103" i="4"/>
  <c r="N103" i="4" s="1"/>
  <c r="Q103" i="4" s="1"/>
  <c r="I107" i="4"/>
  <c r="N107" i="4" s="1"/>
  <c r="Q107" i="4" s="1"/>
  <c r="I109" i="4"/>
  <c r="N109" i="4" s="1"/>
  <c r="Q109" i="4" s="1"/>
  <c r="I110" i="4"/>
  <c r="L110" i="4" s="1"/>
  <c r="I117" i="4"/>
  <c r="L117" i="4" s="1"/>
  <c r="I124" i="4"/>
  <c r="N124" i="4" s="1"/>
  <c r="Q124" i="4" s="1"/>
  <c r="I72" i="4"/>
  <c r="N72" i="4" s="1"/>
  <c r="Q72" i="4" s="1"/>
  <c r="I106" i="4"/>
  <c r="I71" i="4"/>
  <c r="I75" i="4"/>
  <c r="I80" i="4"/>
  <c r="I83" i="4"/>
  <c r="I86" i="4"/>
  <c r="L86" i="4" s="1"/>
  <c r="S86" i="4" s="1"/>
  <c r="I88" i="4"/>
  <c r="N88" i="4" s="1"/>
  <c r="Q88" i="4" s="1"/>
  <c r="I94" i="4"/>
  <c r="N94" i="4" s="1"/>
  <c r="Q94" i="4" s="1"/>
  <c r="I95" i="4"/>
  <c r="N95" i="4" s="1"/>
  <c r="Q95" i="4" s="1"/>
  <c r="I98" i="4"/>
  <c r="L98" i="4" s="1"/>
  <c r="I101" i="4"/>
  <c r="N101" i="4" s="1"/>
  <c r="Q101" i="4" s="1"/>
  <c r="I118" i="4"/>
  <c r="I127" i="4"/>
  <c r="N127" i="4" s="1"/>
  <c r="Q127" i="4" s="1"/>
  <c r="I73" i="4"/>
  <c r="N73" i="4" s="1"/>
  <c r="Q73" i="4" s="1"/>
  <c r="I74" i="4"/>
  <c r="I78" i="4"/>
  <c r="N78" i="4" s="1"/>
  <c r="Q78" i="4" s="1"/>
  <c r="I82" i="4"/>
  <c r="N82" i="4" s="1"/>
  <c r="Q82" i="4" s="1"/>
  <c r="I85" i="4"/>
  <c r="L85" i="4" s="1"/>
  <c r="S85" i="4" s="1"/>
  <c r="I93" i="4"/>
  <c r="N93" i="4" s="1"/>
  <c r="Q93" i="4" s="1"/>
  <c r="I112" i="4"/>
  <c r="I114" i="4"/>
  <c r="N114" i="4" s="1"/>
  <c r="Q114" i="4" s="1"/>
  <c r="I121" i="4"/>
  <c r="N121" i="4" s="1"/>
  <c r="Q121" i="4" s="1"/>
  <c r="I122" i="4"/>
  <c r="L122" i="4" s="1"/>
  <c r="I84" i="4"/>
  <c r="N84" i="4" s="1"/>
  <c r="Q84" i="4" s="1"/>
  <c r="I87" i="4"/>
  <c r="I91" i="4"/>
  <c r="I97" i="4"/>
  <c r="L97" i="4" s="1"/>
  <c r="I105" i="4"/>
  <c r="N105" i="4" s="1"/>
  <c r="Q105" i="4" s="1"/>
  <c r="I116" i="4"/>
  <c r="N116" i="4" s="1"/>
  <c r="Q116" i="4" s="1"/>
  <c r="I126" i="4"/>
  <c r="L126" i="4" s="1"/>
  <c r="S126" i="4" s="1"/>
  <c r="L105" i="4"/>
  <c r="N75" i="4"/>
  <c r="Q75" i="4" s="1"/>
  <c r="L75" i="4"/>
  <c r="S75" i="4" s="1"/>
  <c r="L106" i="4"/>
  <c r="N106" i="4"/>
  <c r="Q106" i="4" s="1"/>
  <c r="L114" i="4"/>
  <c r="S114" i="4" s="1"/>
  <c r="N98" i="4"/>
  <c r="Q98" i="4" s="1"/>
  <c r="N86" i="4"/>
  <c r="Q86" i="4" s="1"/>
  <c r="N71" i="4"/>
  <c r="Q71" i="4" s="1"/>
  <c r="L71" i="4"/>
  <c r="S71" i="4" s="1"/>
  <c r="N125" i="4"/>
  <c r="Q125" i="4" s="1"/>
  <c r="L90" i="4"/>
  <c r="S90" i="4" s="1"/>
  <c r="N126" i="4"/>
  <c r="Q126" i="4"/>
  <c r="N91" i="4"/>
  <c r="Q91" i="4" s="1"/>
  <c r="N83" i="4"/>
  <c r="Q83" i="4" s="1"/>
  <c r="N110" i="4"/>
  <c r="Q110" i="4"/>
  <c r="N123" i="4"/>
  <c r="Q123" i="4"/>
  <c r="N113" i="4"/>
  <c r="Q113" i="4" s="1"/>
  <c r="N89" i="4"/>
  <c r="Q89" i="4" s="1"/>
  <c r="L89" i="4"/>
  <c r="S89" i="4" s="1"/>
  <c r="N87" i="4"/>
  <c r="Q87" i="4" s="1"/>
  <c r="N74" i="4"/>
  <c r="Q74" i="4" s="1"/>
  <c r="N118" i="4"/>
  <c r="Q118" i="4" s="1"/>
  <c r="L94" i="4"/>
  <c r="S94" i="4" s="1"/>
  <c r="L109" i="4"/>
  <c r="N111" i="4"/>
  <c r="Q111" i="4" s="1"/>
  <c r="M111" i="4" l="1"/>
  <c r="U111" i="4" s="1"/>
  <c r="S111" i="4"/>
  <c r="M122" i="4"/>
  <c r="U122" i="4" s="1"/>
  <c r="S122" i="4"/>
  <c r="M98" i="4"/>
  <c r="U98" i="4" s="1"/>
  <c r="S98" i="4"/>
  <c r="M110" i="4"/>
  <c r="U110" i="4" s="1"/>
  <c r="S110" i="4"/>
  <c r="M113" i="4"/>
  <c r="U113" i="4" s="1"/>
  <c r="S113" i="4"/>
  <c r="V113" i="4"/>
  <c r="T113" i="4"/>
  <c r="O113" i="4"/>
  <c r="P113" i="4" s="1"/>
  <c r="O99" i="4"/>
  <c r="P99" i="4" s="1"/>
  <c r="T99" i="4"/>
  <c r="M106" i="4"/>
  <c r="U106" i="4" s="1"/>
  <c r="S106" i="4"/>
  <c r="T121" i="4"/>
  <c r="T76" i="4"/>
  <c r="V95" i="4"/>
  <c r="T95" i="4"/>
  <c r="T120" i="4"/>
  <c r="N122" i="4"/>
  <c r="Q122" i="4" s="1"/>
  <c r="M104" i="4"/>
  <c r="U104" i="4" s="1"/>
  <c r="S104" i="4"/>
  <c r="T92" i="4"/>
  <c r="V111" i="4"/>
  <c r="T111" i="4"/>
  <c r="T116" i="4"/>
  <c r="O117" i="4"/>
  <c r="P117" i="4" s="1"/>
  <c r="T117" i="4"/>
  <c r="N77" i="4"/>
  <c r="Q77" i="4" s="1"/>
  <c r="M102" i="4"/>
  <c r="U102" i="4" s="1"/>
  <c r="S102" i="4"/>
  <c r="T108" i="4"/>
  <c r="O125" i="4"/>
  <c r="P125" i="4" s="1"/>
  <c r="T125" i="4"/>
  <c r="T81" i="4"/>
  <c r="L95" i="4"/>
  <c r="S95" i="4" s="1"/>
  <c r="L125" i="4"/>
  <c r="L119" i="4"/>
  <c r="S119" i="4" s="1"/>
  <c r="T124" i="4"/>
  <c r="T127" i="4"/>
  <c r="O122" i="4"/>
  <c r="P122" i="4" s="1"/>
  <c r="T122" i="4"/>
  <c r="U132" i="4"/>
  <c r="V132" i="4"/>
  <c r="O103" i="4"/>
  <c r="P103" i="4" s="1"/>
  <c r="T103" i="4"/>
  <c r="L120" i="4"/>
  <c r="S120" i="4" s="1"/>
  <c r="N102" i="4"/>
  <c r="Q102" i="4" s="1"/>
  <c r="N117" i="4"/>
  <c r="Q117" i="4" s="1"/>
  <c r="L91" i="4"/>
  <c r="S91" i="4" s="1"/>
  <c r="T75" i="4"/>
  <c r="V89" i="4"/>
  <c r="T89" i="4"/>
  <c r="T83" i="4"/>
  <c r="U134" i="4"/>
  <c r="V134" i="4"/>
  <c r="O112" i="4"/>
  <c r="P112" i="4" s="1"/>
  <c r="T112" i="4"/>
  <c r="V110" i="4"/>
  <c r="T110" i="4"/>
  <c r="L115" i="4"/>
  <c r="S115" i="4" s="1"/>
  <c r="T109" i="4"/>
  <c r="O104" i="4"/>
  <c r="P104" i="4" s="1"/>
  <c r="T104" i="4"/>
  <c r="L100" i="4"/>
  <c r="M100" i="4" s="1"/>
  <c r="O110" i="4"/>
  <c r="P110" i="4" s="1"/>
  <c r="O118" i="4"/>
  <c r="P118" i="4" s="1"/>
  <c r="T118" i="4"/>
  <c r="T74" i="4"/>
  <c r="L118" i="4"/>
  <c r="L103" i="4"/>
  <c r="O111" i="4"/>
  <c r="P111" i="4" s="1"/>
  <c r="T73" i="4"/>
  <c r="O106" i="4"/>
  <c r="P106" i="4" s="1"/>
  <c r="V106" i="4"/>
  <c r="T106" i="4"/>
  <c r="O102" i="4"/>
  <c r="P102" i="4" s="1"/>
  <c r="T102" i="4"/>
  <c r="L123" i="4"/>
  <c r="V91" i="4"/>
  <c r="T91" i="4"/>
  <c r="O105" i="4"/>
  <c r="P105" i="4" s="1"/>
  <c r="T105" i="4"/>
  <c r="T80" i="4"/>
  <c r="O123" i="4"/>
  <c r="P123" i="4" s="1"/>
  <c r="T123" i="4"/>
  <c r="T88" i="4"/>
  <c r="M105" i="4"/>
  <c r="U105" i="4" s="1"/>
  <c r="S105" i="4"/>
  <c r="M109" i="4"/>
  <c r="U109" i="4" s="1"/>
  <c r="S109" i="4"/>
  <c r="T96" i="4"/>
  <c r="T82" i="4"/>
  <c r="T119" i="4"/>
  <c r="U131" i="4"/>
  <c r="V131" i="4"/>
  <c r="T115" i="4"/>
  <c r="M117" i="4"/>
  <c r="U117" i="4" s="1"/>
  <c r="S117" i="4"/>
  <c r="V94" i="4"/>
  <c r="T94" i="4"/>
  <c r="T78" i="4"/>
  <c r="T85" i="4"/>
  <c r="U128" i="4"/>
  <c r="V128" i="4"/>
  <c r="N76" i="4"/>
  <c r="Q76" i="4" s="1"/>
  <c r="O98" i="4"/>
  <c r="P98" i="4" s="1"/>
  <c r="V98" i="4"/>
  <c r="T98" i="4"/>
  <c r="T126" i="4"/>
  <c r="V77" i="4"/>
  <c r="T77" i="4"/>
  <c r="V114" i="4"/>
  <c r="T114" i="4"/>
  <c r="T71" i="4"/>
  <c r="V86" i="4"/>
  <c r="T86" i="4"/>
  <c r="L112" i="4"/>
  <c r="T79" i="4"/>
  <c r="T93" i="4"/>
  <c r="T84" i="4"/>
  <c r="T90" i="4"/>
  <c r="O101" i="4"/>
  <c r="P101" i="4" s="1"/>
  <c r="T101" i="4"/>
  <c r="U130" i="4"/>
  <c r="V130" i="4"/>
  <c r="M91" i="4"/>
  <c r="U91" i="4" s="1"/>
  <c r="O107" i="4"/>
  <c r="P107" i="4" s="1"/>
  <c r="O91" i="4"/>
  <c r="P91" i="4" s="1"/>
  <c r="L74" i="4"/>
  <c r="S74" i="4" s="1"/>
  <c r="O116" i="4"/>
  <c r="P116" i="4" s="1"/>
  <c r="O120" i="4"/>
  <c r="P120" i="4" s="1"/>
  <c r="L108" i="4"/>
  <c r="S108" i="4" s="1"/>
  <c r="L80" i="4"/>
  <c r="S80" i="4" s="1"/>
  <c r="L101" i="4"/>
  <c r="L127" i="4"/>
  <c r="S127" i="4" s="1"/>
  <c r="L79" i="4"/>
  <c r="S79" i="4" s="1"/>
  <c r="O126" i="4"/>
  <c r="P126" i="4" s="1"/>
  <c r="O115" i="4"/>
  <c r="P115" i="4" s="1"/>
  <c r="L87" i="4"/>
  <c r="S87" i="4" s="1"/>
  <c r="L116" i="4"/>
  <c r="S116" i="4" s="1"/>
  <c r="O119" i="4"/>
  <c r="P119" i="4" s="1"/>
  <c r="O121" i="4"/>
  <c r="P121" i="4" s="1"/>
  <c r="N112" i="4"/>
  <c r="Q112" i="4" s="1"/>
  <c r="N104" i="4"/>
  <c r="Q104" i="4" s="1"/>
  <c r="L107" i="4"/>
  <c r="L73" i="4"/>
  <c r="S73" i="4" s="1"/>
  <c r="O114" i="4"/>
  <c r="P114" i="4" s="1"/>
  <c r="M126" i="4"/>
  <c r="U126" i="4" s="1"/>
  <c r="L99" i="4"/>
  <c r="N100" i="4"/>
  <c r="Q100" i="4" s="1"/>
  <c r="N97" i="4"/>
  <c r="Q97" i="4" s="1"/>
  <c r="O108" i="4"/>
  <c r="P108" i="4" s="1"/>
  <c r="O71" i="4"/>
  <c r="P71" i="4" s="1"/>
  <c r="M71" i="4"/>
  <c r="U71" i="4" s="1"/>
  <c r="O124" i="4"/>
  <c r="P124" i="4" s="1"/>
  <c r="O127" i="4"/>
  <c r="P127" i="4" s="1"/>
  <c r="O83" i="4"/>
  <c r="P83" i="4" s="1"/>
  <c r="O77" i="4"/>
  <c r="P77" i="4" s="1"/>
  <c r="O82" i="4"/>
  <c r="P82" i="4" s="1"/>
  <c r="M97" i="4"/>
  <c r="O73" i="4"/>
  <c r="P73" i="4" s="1"/>
  <c r="O97" i="4"/>
  <c r="P97" i="4" s="1"/>
  <c r="M77" i="4"/>
  <c r="U77" i="4" s="1"/>
  <c r="O89" i="4"/>
  <c r="P89" i="4" s="1"/>
  <c r="L121" i="4"/>
  <c r="S121" i="4" s="1"/>
  <c r="O78" i="4"/>
  <c r="P78" i="4" s="1"/>
  <c r="O81" i="4"/>
  <c r="P81" i="4" s="1"/>
  <c r="L81" i="4"/>
  <c r="S81" i="4" s="1"/>
  <c r="L78" i="4"/>
  <c r="S78" i="4" s="1"/>
  <c r="M94" i="4"/>
  <c r="U94" i="4" s="1"/>
  <c r="M89" i="4"/>
  <c r="U89" i="4" s="1"/>
  <c r="L124" i="4"/>
  <c r="S124" i="4" s="1"/>
  <c r="O74" i="4"/>
  <c r="P74" i="4" s="1"/>
  <c r="M76" i="4"/>
  <c r="U76" i="4" s="1"/>
  <c r="O76" i="4"/>
  <c r="P76" i="4" s="1"/>
  <c r="O80" i="4"/>
  <c r="P80" i="4" s="1"/>
  <c r="O84" i="4"/>
  <c r="P84" i="4" s="1"/>
  <c r="L82" i="4"/>
  <c r="S82" i="4" s="1"/>
  <c r="L72" i="4"/>
  <c r="S72" i="4" s="1"/>
  <c r="M90" i="4"/>
  <c r="U90" i="4" s="1"/>
  <c r="O94" i="4"/>
  <c r="P94" i="4" s="1"/>
  <c r="O96" i="4"/>
  <c r="P96" i="4" s="1"/>
  <c r="M80" i="4"/>
  <c r="U80" i="4" s="1"/>
  <c r="O93" i="4"/>
  <c r="P93" i="4" s="1"/>
  <c r="M74" i="4"/>
  <c r="U74" i="4" s="1"/>
  <c r="O92" i="4"/>
  <c r="P92" i="4" s="1"/>
  <c r="M75" i="4"/>
  <c r="U75" i="4" s="1"/>
  <c r="O75" i="4"/>
  <c r="P75" i="4" s="1"/>
  <c r="L83" i="4"/>
  <c r="S83" i="4" s="1"/>
  <c r="O88" i="4"/>
  <c r="P88" i="4" s="1"/>
  <c r="M85" i="4"/>
  <c r="U85" i="4" s="1"/>
  <c r="M86" i="4"/>
  <c r="U86" i="4" s="1"/>
  <c r="O79" i="4"/>
  <c r="P79" i="4" s="1"/>
  <c r="O85" i="4"/>
  <c r="P85" i="4" s="1"/>
  <c r="L92" i="4"/>
  <c r="S92" i="4" s="1"/>
  <c r="M95" i="4"/>
  <c r="U95" i="4" s="1"/>
  <c r="O95" i="4"/>
  <c r="P95" i="4" s="1"/>
  <c r="O90" i="4"/>
  <c r="P90" i="4" s="1"/>
  <c r="O86" i="4"/>
  <c r="P86" i="4" s="1"/>
  <c r="K72" i="4"/>
  <c r="L93" i="4"/>
  <c r="S93" i="4" s="1"/>
  <c r="L88" i="4"/>
  <c r="S88" i="4" s="1"/>
  <c r="N80" i="4"/>
  <c r="Q80" i="4" s="1"/>
  <c r="N85" i="4"/>
  <c r="Q85" i="4" s="1"/>
  <c r="L96" i="4"/>
  <c r="S96" i="4" s="1"/>
  <c r="K87" i="4"/>
  <c r="L84" i="4"/>
  <c r="S84" i="4" s="1"/>
  <c r="J14" i="4"/>
  <c r="J13" i="4" s="1"/>
  <c r="K16" i="4" s="1"/>
  <c r="M99" i="4" l="1"/>
  <c r="S99" i="4"/>
  <c r="M118" i="4"/>
  <c r="S118" i="4"/>
  <c r="M123" i="4"/>
  <c r="S123" i="4"/>
  <c r="V122" i="4"/>
  <c r="V76" i="4"/>
  <c r="V74" i="4"/>
  <c r="M87" i="4"/>
  <c r="U87" i="4" s="1"/>
  <c r="V87" i="4"/>
  <c r="T87" i="4"/>
  <c r="M112" i="4"/>
  <c r="S112" i="4"/>
  <c r="T72" i="4"/>
  <c r="V71" i="4"/>
  <c r="V75" i="4"/>
  <c r="V90" i="4"/>
  <c r="V102" i="4"/>
  <c r="M115" i="4"/>
  <c r="M119" i="4"/>
  <c r="V85" i="4"/>
  <c r="S103" i="4"/>
  <c r="M103" i="4"/>
  <c r="M101" i="4"/>
  <c r="S101" i="4"/>
  <c r="V109" i="4"/>
  <c r="V80" i="4"/>
  <c r="M79" i="4"/>
  <c r="V126" i="4"/>
  <c r="V104" i="4"/>
  <c r="M125" i="4"/>
  <c r="S125" i="4"/>
  <c r="M120" i="4"/>
  <c r="V105" i="4"/>
  <c r="V117" i="4"/>
  <c r="M108" i="4"/>
  <c r="M107" i="4"/>
  <c r="M124" i="4"/>
  <c r="M121" i="4"/>
  <c r="M127" i="4"/>
  <c r="M116" i="4"/>
  <c r="M73" i="4"/>
  <c r="M88" i="4"/>
  <c r="M93" i="4"/>
  <c r="M78" i="4"/>
  <c r="M81" i="4"/>
  <c r="M92" i="4"/>
  <c r="O72" i="4"/>
  <c r="P72" i="4" s="1"/>
  <c r="M83" i="4"/>
  <c r="M72" i="4"/>
  <c r="U72" i="4" s="1"/>
  <c r="M82" i="4"/>
  <c r="O87" i="4"/>
  <c r="P87" i="4" s="1"/>
  <c r="M96" i="4"/>
  <c r="M84" i="4"/>
  <c r="K14" i="4"/>
  <c r="K13" i="4"/>
  <c r="K15" i="4"/>
  <c r="U124" i="4" l="1"/>
  <c r="V124" i="4"/>
  <c r="U81" i="4"/>
  <c r="V81" i="4"/>
  <c r="U78" i="4"/>
  <c r="V78" i="4"/>
  <c r="U120" i="4"/>
  <c r="V120" i="4"/>
  <c r="U93" i="4"/>
  <c r="V93" i="4"/>
  <c r="U119" i="4"/>
  <c r="V119" i="4"/>
  <c r="U88" i="4"/>
  <c r="V88" i="4"/>
  <c r="U125" i="4"/>
  <c r="V125" i="4"/>
  <c r="U115" i="4"/>
  <c r="V115" i="4"/>
  <c r="U84" i="4"/>
  <c r="V84" i="4"/>
  <c r="U73" i="4"/>
  <c r="V73" i="4"/>
  <c r="U96" i="4"/>
  <c r="V96" i="4"/>
  <c r="U116" i="4"/>
  <c r="V116" i="4"/>
  <c r="U127" i="4"/>
  <c r="V127" i="4"/>
  <c r="U79" i="4"/>
  <c r="V79" i="4"/>
  <c r="U82" i="4"/>
  <c r="V82" i="4"/>
  <c r="U121" i="4"/>
  <c r="V121" i="4"/>
  <c r="U123" i="4"/>
  <c r="V123" i="4"/>
  <c r="U83" i="4"/>
  <c r="V83" i="4"/>
  <c r="V72" i="4"/>
  <c r="U118" i="4"/>
  <c r="V118" i="4"/>
  <c r="U108" i="4"/>
  <c r="V108" i="4"/>
  <c r="U101" i="4"/>
  <c r="V101" i="4"/>
  <c r="U92" i="4"/>
  <c r="V92" i="4"/>
  <c r="U103" i="4"/>
  <c r="V103" i="4"/>
  <c r="U112" i="4"/>
  <c r="V112" i="4"/>
  <c r="U99" i="4"/>
  <c r="V99" i="4"/>
  <c r="I63" i="4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J58" i="4"/>
  <c r="K58" i="4" s="1"/>
  <c r="J55" i="4"/>
  <c r="K55" i="4" s="1"/>
  <c r="J61" i="4"/>
  <c r="K61" i="4" s="1"/>
  <c r="J57" i="4"/>
  <c r="K57" i="4" s="1"/>
  <c r="J59" i="4"/>
  <c r="K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T57" i="4" l="1"/>
  <c r="O56" i="4"/>
  <c r="P56" i="4" s="1"/>
  <c r="T56" i="4"/>
  <c r="T60" i="4"/>
  <c r="T62" i="4"/>
  <c r="O59" i="4"/>
  <c r="P59" i="4" s="1"/>
  <c r="T59" i="4"/>
  <c r="T61" i="4"/>
  <c r="O55" i="4"/>
  <c r="P55" i="4" s="1"/>
  <c r="T55" i="4"/>
  <c r="T63" i="4"/>
  <c r="T58" i="4"/>
  <c r="O61" i="4"/>
  <c r="P61" i="4" s="1"/>
  <c r="O62" i="4"/>
  <c r="P62" i="4" s="1"/>
  <c r="O60" i="4"/>
  <c r="P60" i="4" s="1"/>
  <c r="O57" i="4"/>
  <c r="P57" i="4" s="1"/>
  <c r="O58" i="4"/>
  <c r="P58" i="4" s="1"/>
  <c r="L66" i="4"/>
  <c r="S66" i="4" s="1"/>
  <c r="K66" i="4"/>
  <c r="K70" i="4"/>
  <c r="L70" i="4"/>
  <c r="S70" i="4" s="1"/>
  <c r="K64" i="4"/>
  <c r="L64" i="4"/>
  <c r="S64" i="4" s="1"/>
  <c r="O63" i="4"/>
  <c r="P63" i="4" s="1"/>
  <c r="L63" i="4"/>
  <c r="S63" i="4" s="1"/>
  <c r="K68" i="4"/>
  <c r="L68" i="4"/>
  <c r="S68" i="4" s="1"/>
  <c r="L67" i="4"/>
  <c r="S67" i="4" s="1"/>
  <c r="K67" i="4"/>
  <c r="L65" i="4"/>
  <c r="S65" i="4" s="1"/>
  <c r="K65" i="4"/>
  <c r="K69" i="4"/>
  <c r="L69" i="4"/>
  <c r="S69" i="4" s="1"/>
  <c r="N62" i="4"/>
  <c r="Q62" i="4" s="1"/>
  <c r="L62" i="4"/>
  <c r="S62" i="4" s="1"/>
  <c r="N55" i="4"/>
  <c r="Q55" i="4" s="1"/>
  <c r="L55" i="4"/>
  <c r="L56" i="4"/>
  <c r="N56" i="4"/>
  <c r="Q56" i="4" s="1"/>
  <c r="N59" i="4"/>
  <c r="Q59" i="4" s="1"/>
  <c r="L59" i="4"/>
  <c r="N57" i="4"/>
  <c r="Q57" i="4" s="1"/>
  <c r="L57" i="4"/>
  <c r="S57" i="4" s="1"/>
  <c r="L58" i="4"/>
  <c r="S58" i="4" s="1"/>
  <c r="N58" i="4"/>
  <c r="Q58" i="4" s="1"/>
  <c r="N61" i="4"/>
  <c r="Q61" i="4" s="1"/>
  <c r="L61" i="4"/>
  <c r="S61" i="4" s="1"/>
  <c r="L60" i="4"/>
  <c r="S60" i="4" s="1"/>
  <c r="N60" i="4"/>
  <c r="Q60" i="4" s="1"/>
  <c r="T68" i="4" l="1"/>
  <c r="M56" i="4"/>
  <c r="S56" i="4"/>
  <c r="M55" i="4"/>
  <c r="S55" i="4"/>
  <c r="V64" i="4"/>
  <c r="T64" i="4"/>
  <c r="V69" i="4"/>
  <c r="T69" i="4"/>
  <c r="T70" i="4"/>
  <c r="T65" i="4"/>
  <c r="T66" i="4"/>
  <c r="M59" i="4"/>
  <c r="S59" i="4"/>
  <c r="T67" i="4"/>
  <c r="M60" i="4"/>
  <c r="M61" i="4"/>
  <c r="M62" i="4"/>
  <c r="M70" i="4"/>
  <c r="U70" i="4" s="1"/>
  <c r="M63" i="4"/>
  <c r="M57" i="4"/>
  <c r="M64" i="4"/>
  <c r="U64" i="4" s="1"/>
  <c r="M69" i="4"/>
  <c r="U69" i="4" s="1"/>
  <c r="M65" i="4"/>
  <c r="U65" i="4" s="1"/>
  <c r="M66" i="4"/>
  <c r="U66" i="4" s="1"/>
  <c r="M68" i="4"/>
  <c r="U68" i="4" s="1"/>
  <c r="O69" i="4"/>
  <c r="P69" i="4" s="1"/>
  <c r="O66" i="4"/>
  <c r="P66" i="4" s="1"/>
  <c r="O67" i="4"/>
  <c r="P67" i="4" s="1"/>
  <c r="M67" i="4"/>
  <c r="U67" i="4" s="1"/>
  <c r="O68" i="4"/>
  <c r="P68" i="4" s="1"/>
  <c r="O64" i="4"/>
  <c r="P64" i="4" s="1"/>
  <c r="M58" i="4"/>
  <c r="O65" i="4"/>
  <c r="P65" i="4" s="1"/>
  <c r="O70" i="4"/>
  <c r="P70" i="4" s="1"/>
  <c r="U62" i="4" l="1"/>
  <c r="V62" i="4"/>
  <c r="U61" i="4"/>
  <c r="V61" i="4"/>
  <c r="U60" i="4"/>
  <c r="V60" i="4"/>
  <c r="V67" i="4"/>
  <c r="U59" i="4"/>
  <c r="V59" i="4"/>
  <c r="U55" i="4"/>
  <c r="V55" i="4"/>
  <c r="V66" i="4"/>
  <c r="U56" i="4"/>
  <c r="V56" i="4"/>
  <c r="U58" i="4"/>
  <c r="V58" i="4"/>
  <c r="U57" i="4"/>
  <c r="V57" i="4"/>
  <c r="V70" i="4"/>
  <c r="U63" i="4"/>
  <c r="V63" i="4"/>
  <c r="V65" i="4"/>
  <c r="V68" i="4"/>
  <c r="J21" i="4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L45" i="4" s="1"/>
  <c r="S45" i="4" s="1"/>
  <c r="J30" i="4"/>
  <c r="K30" i="4" s="1"/>
  <c r="J43" i="4"/>
  <c r="K43" i="4" s="1"/>
  <c r="J31" i="4"/>
  <c r="K31" i="4" s="1"/>
  <c r="J44" i="4"/>
  <c r="L44" i="4" s="1"/>
  <c r="S44" i="4" s="1"/>
  <c r="J36" i="4"/>
  <c r="L36" i="4" s="1"/>
  <c r="S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S34" i="4" s="1"/>
  <c r="J41" i="4"/>
  <c r="K41" i="4" s="1"/>
  <c r="J42" i="4"/>
  <c r="L42" i="4" s="1"/>
  <c r="S42" i="4" s="1"/>
  <c r="J32" i="4"/>
  <c r="L32" i="4" s="1"/>
  <c r="S32" i="4" s="1"/>
  <c r="J37" i="4"/>
  <c r="L37" i="4" s="1"/>
  <c r="S37" i="4" s="1"/>
  <c r="J40" i="4"/>
  <c r="L40" i="4" s="1"/>
  <c r="S40" i="4" s="1"/>
  <c r="J38" i="4"/>
  <c r="L38" i="4" s="1"/>
  <c r="S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7" i="4"/>
  <c r="S47" i="4" s="1"/>
  <c r="K52" i="4"/>
  <c r="L52" i="4"/>
  <c r="L54" i="4"/>
  <c r="K54" i="4"/>
  <c r="L51" i="4"/>
  <c r="K51" i="4"/>
  <c r="L53" i="4"/>
  <c r="K53" i="4"/>
  <c r="L48" i="4"/>
  <c r="S48" i="4" s="1"/>
  <c r="K48" i="4"/>
  <c r="L39" i="4"/>
  <c r="S39" i="4" s="1"/>
  <c r="K39" i="4"/>
  <c r="L50" i="4"/>
  <c r="K50" i="4"/>
  <c r="L49" i="4"/>
  <c r="S49" i="4" s="1"/>
  <c r="K49" i="4"/>
  <c r="T31" i="4" l="1"/>
  <c r="T43" i="4"/>
  <c r="T30" i="4"/>
  <c r="O50" i="4"/>
  <c r="P50" i="4" s="1"/>
  <c r="V50" i="4"/>
  <c r="T50" i="4"/>
  <c r="T41" i="4"/>
  <c r="V39" i="4"/>
  <c r="T39" i="4"/>
  <c r="O52" i="4"/>
  <c r="P52" i="4" s="1"/>
  <c r="T52" i="4"/>
  <c r="T48" i="4"/>
  <c r="L31" i="4"/>
  <c r="S31" i="4" s="1"/>
  <c r="T47" i="4"/>
  <c r="O53" i="4"/>
  <c r="P53" i="4" s="1"/>
  <c r="V53" i="4"/>
  <c r="T53" i="4"/>
  <c r="T33" i="4"/>
  <c r="T35" i="4"/>
  <c r="M53" i="4"/>
  <c r="U53" i="4" s="1"/>
  <c r="S53" i="4"/>
  <c r="T28" i="4"/>
  <c r="T46" i="4"/>
  <c r="O54" i="4"/>
  <c r="P54" i="4" s="1"/>
  <c r="V54" i="4"/>
  <c r="T54" i="4"/>
  <c r="M54" i="4"/>
  <c r="U54" i="4" s="1"/>
  <c r="S54" i="4"/>
  <c r="L43" i="4"/>
  <c r="S43" i="4" s="1"/>
  <c r="M52" i="4"/>
  <c r="U52" i="4" s="1"/>
  <c r="S52" i="4"/>
  <c r="L30" i="4"/>
  <c r="S30" i="4" s="1"/>
  <c r="O51" i="4"/>
  <c r="P51" i="4" s="1"/>
  <c r="V51" i="4"/>
  <c r="T51" i="4"/>
  <c r="V49" i="4"/>
  <c r="T49" i="4"/>
  <c r="M50" i="4"/>
  <c r="U50" i="4" s="1"/>
  <c r="S50" i="4"/>
  <c r="M51" i="4"/>
  <c r="U51" i="4" s="1"/>
  <c r="S51" i="4"/>
  <c r="O48" i="4"/>
  <c r="P48" i="4" s="1"/>
  <c r="O49" i="4"/>
  <c r="P49" i="4" s="1"/>
  <c r="M49" i="4"/>
  <c r="U49" i="4" s="1"/>
  <c r="M48" i="4"/>
  <c r="U48" i="4" s="1"/>
  <c r="O35" i="4"/>
  <c r="P35" i="4" s="1"/>
  <c r="O47" i="4"/>
  <c r="P47" i="4" s="1"/>
  <c r="M47" i="4"/>
  <c r="U47" i="4" s="1"/>
  <c r="M31" i="4"/>
  <c r="U31" i="4" s="1"/>
  <c r="O30" i="4"/>
  <c r="P30" i="4" s="1"/>
  <c r="O33" i="4"/>
  <c r="P33" i="4" s="1"/>
  <c r="O28" i="4"/>
  <c r="P28" i="4" s="1"/>
  <c r="O46" i="4"/>
  <c r="P46" i="4" s="1"/>
  <c r="L35" i="4"/>
  <c r="S35" i="4" s="1"/>
  <c r="O43" i="4"/>
  <c r="P43" i="4" s="1"/>
  <c r="M39" i="4"/>
  <c r="U39" i="4" s="1"/>
  <c r="M44" i="4"/>
  <c r="U44" i="4" s="1"/>
  <c r="M43" i="4"/>
  <c r="U43" i="4" s="1"/>
  <c r="O41" i="4"/>
  <c r="P41" i="4" s="1"/>
  <c r="O31" i="4"/>
  <c r="P31" i="4" s="1"/>
  <c r="O39" i="4"/>
  <c r="P39" i="4" s="1"/>
  <c r="M45" i="4"/>
  <c r="U45" i="4" s="1"/>
  <c r="K45" i="4"/>
  <c r="K36" i="4"/>
  <c r="K44" i="4"/>
  <c r="L46" i="4"/>
  <c r="S46" i="4" s="1"/>
  <c r="K37" i="4"/>
  <c r="L41" i="4"/>
  <c r="S41" i="4" s="1"/>
  <c r="K42" i="4"/>
  <c r="K34" i="4"/>
  <c r="L33" i="4"/>
  <c r="S33" i="4" s="1"/>
  <c r="K38" i="4"/>
  <c r="K29" i="4"/>
  <c r="M32" i="4"/>
  <c r="U32" i="4" s="1"/>
  <c r="M40" i="4"/>
  <c r="U40" i="4" s="1"/>
  <c r="M34" i="4"/>
  <c r="U34" i="4" s="1"/>
  <c r="M29" i="4"/>
  <c r="U29" i="4" s="1"/>
  <c r="M37" i="4"/>
  <c r="U37" i="4" s="1"/>
  <c r="M42" i="4"/>
  <c r="U42" i="4" s="1"/>
  <c r="M38" i="4"/>
  <c r="U38" i="4" s="1"/>
  <c r="M30" i="4"/>
  <c r="U30" i="4" s="1"/>
  <c r="M36" i="4"/>
  <c r="U36" i="4" s="1"/>
  <c r="K40" i="4"/>
  <c r="K32" i="4"/>
  <c r="L28" i="4"/>
  <c r="S28" i="4" s="1"/>
  <c r="V38" i="4" l="1"/>
  <c r="T38" i="4"/>
  <c r="V47" i="4"/>
  <c r="V48" i="4"/>
  <c r="V30" i="4"/>
  <c r="V42" i="4"/>
  <c r="T42" i="4"/>
  <c r="V45" i="4"/>
  <c r="T45" i="4"/>
  <c r="V29" i="4"/>
  <c r="T29" i="4"/>
  <c r="V32" i="4"/>
  <c r="T32" i="4"/>
  <c r="V40" i="4"/>
  <c r="T40" i="4"/>
  <c r="V34" i="4"/>
  <c r="T34" i="4"/>
  <c r="V37" i="4"/>
  <c r="T37" i="4"/>
  <c r="V44" i="4"/>
  <c r="T44" i="4"/>
  <c r="V36" i="4"/>
  <c r="T36" i="4"/>
  <c r="V52" i="4"/>
  <c r="V43" i="4"/>
  <c r="V31" i="4"/>
  <c r="M46" i="4"/>
  <c r="M35" i="4"/>
  <c r="O44" i="4"/>
  <c r="P44" i="4" s="1"/>
  <c r="O36" i="4"/>
  <c r="P36" i="4" s="1"/>
  <c r="O38" i="4"/>
  <c r="P38" i="4" s="1"/>
  <c r="O40" i="4"/>
  <c r="P40" i="4" s="1"/>
  <c r="O34" i="4"/>
  <c r="P34" i="4" s="1"/>
  <c r="O45" i="4"/>
  <c r="P45" i="4" s="1"/>
  <c r="O29" i="4"/>
  <c r="P29" i="4" s="1"/>
  <c r="M33" i="4"/>
  <c r="O42" i="4"/>
  <c r="P42" i="4" s="1"/>
  <c r="O37" i="4"/>
  <c r="P37" i="4" s="1"/>
  <c r="O32" i="4"/>
  <c r="P32" i="4" s="1"/>
  <c r="M41" i="4"/>
  <c r="M28" i="4"/>
  <c r="U33" i="4" l="1"/>
  <c r="V33" i="4"/>
  <c r="U41" i="4"/>
  <c r="V41" i="4"/>
  <c r="U28" i="4"/>
  <c r="V28" i="4"/>
  <c r="U35" i="4"/>
  <c r="V35" i="4"/>
  <c r="U46" i="4"/>
  <c r="V4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<sst xmlns="http://schemas.openxmlformats.org/spreadsheetml/2006/main" count="340" uniqueCount="313">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</sst>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4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30</v>
      </c>
      <c r="K17" s="31" t="s">
        <v>79</v>
      </c>
      <c r="L17" s="80">
        <v>2.5693999999999999E-3</v>
      </c>
      <c r="M17" s="80">
        <v>2.32E-4</v>
      </c>
      <c r="N17" s="80">
        <v>9.8599999999999998E-5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24" zoomScale="66" zoomScaleNormal="70" workbookViewId="0">
      <selection activeCell="B28" sqref="B28:F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150.05799999999999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149.97368800000001</v>
      </c>
      <c r="K8" s="39">
        <f>J8/J7</f>
        <v>0.99943813725359543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7.664E-2</v>
      </c>
      <c r="K9" s="39">
        <f>J9/J7</f>
        <v>5.1073584880512873E-4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7.6719999999999991E-3</v>
      </c>
      <c r="K10" s="39">
        <f>J10/J7</f>
        <v>5.1126897599594822E-5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5.7999999999999996E-2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5.1387999999999996E-2</v>
      </c>
      <c r="K20" s="39">
        <f>J20/J19</f>
        <v>0.88600000000000001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4.6400000000000009E-3</v>
      </c>
      <c r="K21" s="39">
        <f>J21/J19</f>
        <v>8.0000000000000016E-2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1.9719999999999998E-3</v>
      </c>
      <c r="K22" s="39">
        <f>J22/J19</f>
        <v>3.3999999999999996E-2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8.6236157418987745E-3</v>
      </c>
      <c r="K28" s="93">
        <f t="shared" ref="K28:K47" si="3">IF(D28=0,"",1/(1+10^D28*$J$15/$J$14+10^E28*$J$16/$J$14+10^J28*$J$19/$J$14))</f>
        <v>0.99900232421092638</v>
      </c>
      <c r="L28" s="93">
        <f t="shared" ref="L28:L47" si="4">IF(D28=0,"",1/(1+10^I28/10^J28*$J$13/$J$19))</f>
        <v>3.9423199858289735E-4</v>
      </c>
      <c r="M28" s="93">
        <f t="shared" ref="M28:M47" si="5">IF(D28=0,"",1-L28)</f>
        <v>0.99960576800141709</v>
      </c>
      <c r="N28" s="93">
        <f t="shared" ref="N28:N47" si="6">IF(D28=0,"",1/(1/10^E28*$J$20/$J$22+10^D28/10^E28*$J$21/$J$22+10^I28/10^E28*$J$13/$J$22+1))</f>
        <v>1.5879000888231371E-5</v>
      </c>
      <c r="O28" s="40">
        <f t="shared" ref="O28:O47" si="7">IF(D28=0,"",F28*K28*$J$7/$J$14)</f>
        <v>9.9990655670599477E-7</v>
      </c>
      <c r="P28" s="40">
        <f t="shared" ref="P28:P47" si="8">IF(D28=0,"",O28*10^J28)</f>
        <v>1.0199597455750417E-6</v>
      </c>
      <c r="Q28" s="40">
        <f t="shared" ref="Q28:Q47" si="9">IF(D28=0,"",F28*N28*$J$7/$J$22)</f>
        <v>1.2083017825995046E-6</v>
      </c>
      <c r="R28" s="9">
        <f>F28*$C$14</f>
        <v>1.4999999999999999E-4</v>
      </c>
      <c r="S28" s="9">
        <f>$R28*L28</f>
        <v>5.9134799787434596E-8</v>
      </c>
      <c r="T28" s="9">
        <f t="shared" ref="T28:T91" si="10">R28*K28</f>
        <v>1.4985034863163895E-4</v>
      </c>
      <c r="U28" s="9">
        <f t="shared" ref="U28:U91" si="11">$R28*M28</f>
        <v>1.4994086520021254E-4</v>
      </c>
      <c r="V28" s="100">
        <f>K28/M28</f>
        <v>0.99939631821883423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161</v>
      </c>
      <c r="C29" s="46" t="s">
        <v>162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4.6078470391874224E-2</v>
      </c>
      <c r="J29" s="92">
        <f t="shared" si="2"/>
        <v>1.4792346366341074</v>
      </c>
      <c r="K29" s="93">
        <f t="shared" si="3"/>
        <v>0.88954396865567242</v>
      </c>
      <c r="L29" s="93">
        <f t="shared" si="4"/>
        <v>1.0374419696331544E-2</v>
      </c>
      <c r="M29" s="93">
        <f t="shared" si="5"/>
        <v>0.98962558030366843</v>
      </c>
      <c r="N29" s="93">
        <f t="shared" si="6"/>
        <v>4.4484436519661649E-3</v>
      </c>
      <c r="O29" s="40">
        <f t="shared" si="7"/>
        <v>8.903491265044152E-7</v>
      </c>
      <c r="P29" s="40">
        <f t="shared" si="8"/>
        <v>2.6840770186071018E-5</v>
      </c>
      <c r="Q29" s="40">
        <f t="shared" si="9"/>
        <v>3.3850129692025298E-4</v>
      </c>
      <c r="R29" s="9">
        <f t="shared" ref="R29:R92" si="12">F29*$C$14</f>
        <v>1.4999999999999999E-4</v>
      </c>
      <c r="S29" s="9">
        <f t="shared" ref="S29:S92" si="13">$R29*L29</f>
        <v>1.5561629544497314E-6</v>
      </c>
      <c r="T29" s="9">
        <f t="shared" si="10"/>
        <v>1.3343159529835086E-4</v>
      </c>
      <c r="U29" s="9">
        <f t="shared" si="11"/>
        <v>1.4844383704555025E-4</v>
      </c>
      <c r="V29" s="100">
        <f t="shared" ref="V29:V92" si="14">K29/M29</f>
        <v>0.89886921514570617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163</v>
      </c>
      <c r="C30" s="46" t="s">
        <v>164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1.116379396238508</v>
      </c>
      <c r="J30" s="92">
        <f t="shared" si="2"/>
        <v>3.3064757852460134</v>
      </c>
      <c r="K30" s="93">
        <f t="shared" si="3"/>
        <v>7.2132391750084582E-2</v>
      </c>
      <c r="L30" s="93">
        <f t="shared" si="4"/>
        <v>5.6515539174533488E-2</v>
      </c>
      <c r="M30" s="93">
        <f t="shared" si="5"/>
        <v>0.94348446082546655</v>
      </c>
      <c r="N30" s="93">
        <f t="shared" si="6"/>
        <v>4.1416272271749022E-4</v>
      </c>
      <c r="O30" s="40">
        <f t="shared" si="7"/>
        <v>7.2197681340495641E-8</v>
      </c>
      <c r="P30" s="40">
        <f t="shared" si="8"/>
        <v>1.462173927146922E-4</v>
      </c>
      <c r="Q30" s="40">
        <f t="shared" si="9"/>
        <v>3.1515430956156766E-5</v>
      </c>
      <c r="R30" s="9">
        <f t="shared" si="12"/>
        <v>1.4999999999999999E-4</v>
      </c>
      <c r="S30" s="9">
        <f t="shared" si="13"/>
        <v>8.4773308761800232E-6</v>
      </c>
      <c r="T30" s="9">
        <f t="shared" si="10"/>
        <v>1.0819858762512686E-5</v>
      </c>
      <c r="U30" s="9">
        <f t="shared" si="11"/>
        <v>1.4152266912381998E-4</v>
      </c>
      <c r="V30" s="100">
        <f t="shared" si="14"/>
        <v>7.6453184705315688E-2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-1.9978935919434454E-4</v>
      </c>
      <c r="J31" s="92">
        <f t="shared" si="2"/>
        <v>-4.7629566913209222E-2</v>
      </c>
      <c r="K31" s="93">
        <f t="shared" si="3"/>
        <v>0.99959537717369362</v>
      </c>
      <c r="L31" s="93">
        <f t="shared" si="4"/>
        <v>3.4654244037432948E-4</v>
      </c>
      <c r="M31" s="93">
        <f t="shared" si="5"/>
        <v>0.99965345755962565</v>
      </c>
      <c r="N31" s="93">
        <f t="shared" si="6"/>
        <v>2.1377462903681888E-7</v>
      </c>
      <c r="O31" s="40">
        <f t="shared" si="7"/>
        <v>1.000500146462068E-6</v>
      </c>
      <c r="P31" s="40">
        <f t="shared" si="8"/>
        <v>8.9657699168433019E-7</v>
      </c>
      <c r="Q31" s="40">
        <f t="shared" si="9"/>
        <v>1.6267035133877773E-8</v>
      </c>
      <c r="R31" s="9">
        <f t="shared" si="12"/>
        <v>1.4999999999999999E-4</v>
      </c>
      <c r="S31" s="9">
        <f t="shared" si="13"/>
        <v>5.1981366056149415E-8</v>
      </c>
      <c r="T31" s="9">
        <f t="shared" si="10"/>
        <v>1.4993930657605404E-4</v>
      </c>
      <c r="U31" s="9">
        <f t="shared" si="11"/>
        <v>1.4994801863394384E-4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5.4311668398331027E-4</v>
      </c>
      <c r="J32" s="92">
        <f t="shared" si="2"/>
        <v>9.2112642741615611E-2</v>
      </c>
      <c r="K32" s="93">
        <f t="shared" si="3"/>
        <v>0.9977565015426364</v>
      </c>
      <c r="L32" s="93">
        <f t="shared" si="4"/>
        <v>4.7719838639845237E-4</v>
      </c>
      <c r="M32" s="93">
        <f t="shared" si="5"/>
        <v>0.99952280161360152</v>
      </c>
      <c r="N32" s="93">
        <f t="shared" si="6"/>
        <v>2.6267988804704428E-5</v>
      </c>
      <c r="O32" s="40">
        <f t="shared" si="7"/>
        <v>9.9865960639934752E-7</v>
      </c>
      <c r="P32" s="40">
        <f t="shared" si="8"/>
        <v>1.2346109563134303E-6</v>
      </c>
      <c r="Q32" s="40">
        <f t="shared" si="9"/>
        <v>1.9988447586492581E-6</v>
      </c>
      <c r="R32" s="9">
        <f t="shared" si="12"/>
        <v>1.4999999999999999E-4</v>
      </c>
      <c r="S32" s="9">
        <f t="shared" si="13"/>
        <v>7.1579757959767846E-8</v>
      </c>
      <c r="T32" s="9">
        <f t="shared" si="10"/>
        <v>1.4966347523139543E-4</v>
      </c>
      <c r="U32" s="9">
        <f t="shared" si="11"/>
        <v>1.4992842024204021E-4</v>
      </c>
      <c r="V32" s="100">
        <f t="shared" si="14"/>
        <v>0.99823285665108019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165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1.0070969156464394E-2</v>
      </c>
      <c r="J33" s="92">
        <f t="shared" si="2"/>
        <v>0.83886397407051061</v>
      </c>
      <c r="K33" s="93">
        <f t="shared" si="3"/>
        <v>0.97403217916847362</v>
      </c>
      <c r="L33" s="93">
        <f t="shared" si="4"/>
        <v>2.6001537936406575E-3</v>
      </c>
      <c r="M33" s="93">
        <f t="shared" si="5"/>
        <v>0.99739984620635935</v>
      </c>
      <c r="N33" s="93">
        <f t="shared" si="6"/>
        <v>9.3443563445524307E-4</v>
      </c>
      <c r="O33" s="40">
        <f t="shared" si="7"/>
        <v>9.7491381029815315E-7</v>
      </c>
      <c r="P33" s="40">
        <f t="shared" si="8"/>
        <v>6.7271358270022387E-6</v>
      </c>
      <c r="Q33" s="40">
        <f t="shared" si="9"/>
        <v>7.1105244642537962E-5</v>
      </c>
      <c r="R33" s="9">
        <f t="shared" si="12"/>
        <v>1.4999999999999999E-4</v>
      </c>
      <c r="S33" s="9">
        <f t="shared" si="13"/>
        <v>3.9002306904609861E-7</v>
      </c>
      <c r="T33" s="9">
        <f t="shared" si="10"/>
        <v>1.4610482687527104E-4</v>
      </c>
      <c r="U33" s="9">
        <f t="shared" si="11"/>
        <v>1.496099769309539E-4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3.1711948665398576E-4</v>
      </c>
      <c r="J34" s="92">
        <f t="shared" si="2"/>
        <v>5.2338797505457266E-2</v>
      </c>
      <c r="K34" s="93">
        <f t="shared" si="3"/>
        <v>0.99831731202366358</v>
      </c>
      <c r="L34" s="93">
        <f t="shared" si="4"/>
        <v>4.3568153810586465E-4</v>
      </c>
      <c r="M34" s="93">
        <f t="shared" si="5"/>
        <v>0.99956431846189409</v>
      </c>
      <c r="N34" s="93">
        <f t="shared" si="6"/>
        <v>1.613744171841357E-5</v>
      </c>
      <c r="O34" s="40">
        <f t="shared" si="7"/>
        <v>9.9922092448986497E-7</v>
      </c>
      <c r="P34" s="40">
        <f t="shared" si="8"/>
        <v>1.1271982800877559E-6</v>
      </c>
      <c r="Q34" s="40">
        <f t="shared" si="9"/>
        <v>1.2279676619582675E-6</v>
      </c>
      <c r="R34" s="9">
        <f t="shared" si="12"/>
        <v>1.4999999999999999E-4</v>
      </c>
      <c r="S34" s="9">
        <f t="shared" si="13"/>
        <v>6.5352230715879692E-8</v>
      </c>
      <c r="T34" s="9">
        <f t="shared" si="10"/>
        <v>1.4974759680354952E-4</v>
      </c>
      <c r="U34" s="9">
        <f t="shared" si="11"/>
        <v>1.499346477692841E-4</v>
      </c>
      <c r="V34" s="100">
        <f t="shared" si="14"/>
        <v>0.99875245002727853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1.8367979099029661E-4</v>
      </c>
      <c r="J35" s="92">
        <f t="shared" si="2"/>
        <v>2.7641191606188362E-2</v>
      </c>
      <c r="K35" s="93">
        <f t="shared" si="3"/>
        <v>0.99864802466691349</v>
      </c>
      <c r="L35" s="93">
        <f t="shared" si="4"/>
        <v>4.1173273414110868E-4</v>
      </c>
      <c r="M35" s="93">
        <f t="shared" si="5"/>
        <v>0.99958826726585892</v>
      </c>
      <c r="N35" s="93">
        <f t="shared" si="6"/>
        <v>1.0861786379084171E-5</v>
      </c>
      <c r="O35" s="40">
        <f t="shared" si="7"/>
        <v>9.9955193647287759E-7</v>
      </c>
      <c r="P35" s="40">
        <f t="shared" si="8"/>
        <v>1.0652377693059742E-6</v>
      </c>
      <c r="Q35" s="40">
        <f t="shared" si="9"/>
        <v>8.2652025378935724E-7</v>
      </c>
      <c r="R35" s="9">
        <f t="shared" si="12"/>
        <v>1.4999999999999999E-4</v>
      </c>
      <c r="S35" s="9">
        <f t="shared" si="13"/>
        <v>6.1759910121166299E-8</v>
      </c>
      <c r="T35" s="9">
        <f t="shared" si="10"/>
        <v>1.49797203700037E-4</v>
      </c>
      <c r="U35" s="9">
        <f t="shared" si="11"/>
        <v>1.4993824008987882E-4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166</v>
      </c>
      <c r="C36" s="46" t="s">
        <v>167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0.45036614920415591</v>
      </c>
      <c r="J36" s="92">
        <f t="shared" si="2"/>
        <v>2.8233837190602822</v>
      </c>
      <c r="K36" s="93">
        <f t="shared" si="3"/>
        <v>0.32469411402210713</v>
      </c>
      <c r="L36" s="93">
        <f t="shared" si="4"/>
        <v>8.36411301460048E-2</v>
      </c>
      <c r="M36" s="93">
        <f t="shared" si="5"/>
        <v>0.91635886985399517</v>
      </c>
      <c r="N36" s="93">
        <f t="shared" si="6"/>
        <v>5.5793176792171412E-2</v>
      </c>
      <c r="O36" s="40">
        <f t="shared" si="7"/>
        <v>3.2498800620007391E-7</v>
      </c>
      <c r="P36" s="40">
        <f t="shared" si="8"/>
        <v>2.1639690874912399E-4</v>
      </c>
      <c r="Q36" s="40">
        <f t="shared" si="9"/>
        <v>4.2455438758010437E-3</v>
      </c>
      <c r="R36" s="9">
        <f t="shared" si="12"/>
        <v>1.4999999999999999E-4</v>
      </c>
      <c r="S36" s="9">
        <f t="shared" si="13"/>
        <v>1.2546169521900718E-5</v>
      </c>
      <c r="T36" s="9">
        <f t="shared" si="10"/>
        <v>4.8704117103316064E-5</v>
      </c>
      <c r="U36" s="9">
        <f t="shared" si="11"/>
        <v>1.3745383047809927E-4</v>
      </c>
      <c r="V36" s="100">
        <f t="shared" si="14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168</v>
      </c>
      <c r="C37" s="94" t="s">
        <v>169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2.2002191789801899</v>
      </c>
      <c r="J37" s="92">
        <f t="shared" si="2"/>
        <v>5.0533179287067078</v>
      </c>
      <c r="K37" s="93">
        <f t="shared" si="3"/>
        <v>4.9409165590828903E-3</v>
      </c>
      <c r="L37" s="93">
        <f t="shared" si="4"/>
        <v>0.2161161418095722</v>
      </c>
      <c r="M37" s="93">
        <f t="shared" si="5"/>
        <v>0.78388385819042783</v>
      </c>
      <c r="N37" s="93">
        <f t="shared" si="6"/>
        <v>0.20389665201815865</v>
      </c>
      <c r="O37" s="40">
        <f t="shared" si="7"/>
        <v>4.9453887581958135E-9</v>
      </c>
      <c r="P37" s="40">
        <f t="shared" si="8"/>
        <v>5.5913717254587551E-4</v>
      </c>
      <c r="Q37" s="40">
        <f t="shared" si="9"/>
        <v>1.5515377184858445E-2</v>
      </c>
      <c r="R37" s="9">
        <f t="shared" si="12"/>
        <v>1.4999999999999999E-4</v>
      </c>
      <c r="S37" s="9">
        <f t="shared" si="13"/>
        <v>3.2417421271435824E-5</v>
      </c>
      <c r="T37" s="9">
        <f t="shared" si="10"/>
        <v>7.4113748386243349E-7</v>
      </c>
      <c r="U37" s="9">
        <f t="shared" si="11"/>
        <v>1.1758257872856416E-4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170</v>
      </c>
      <c r="C38" s="46" t="s">
        <v>171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-1.5970395933982679E-4</v>
      </c>
      <c r="J38" s="92">
        <f t="shared" si="2"/>
        <v>-3.963218602129074E-2</v>
      </c>
      <c r="K38" s="93">
        <f t="shared" si="3"/>
        <v>0.99949671396170281</v>
      </c>
      <c r="L38" s="93">
        <f t="shared" si="4"/>
        <v>3.5294817607719287E-4</v>
      </c>
      <c r="M38" s="93">
        <f t="shared" si="5"/>
        <v>0.99964705182392277</v>
      </c>
      <c r="N38" s="93">
        <f t="shared" si="6"/>
        <v>8.2094759137153628E-7</v>
      </c>
      <c r="O38" s="40">
        <f t="shared" si="7"/>
        <v>1.0004013939464988E-6</v>
      </c>
      <c r="P38" s="40">
        <f t="shared" si="8"/>
        <v>9.1314995527226555E-7</v>
      </c>
      <c r="Q38" s="40">
        <f t="shared" si="9"/>
        <v>6.2469449120704871E-8</v>
      </c>
      <c r="R38" s="9">
        <f t="shared" si="12"/>
        <v>1.4999999999999999E-4</v>
      </c>
      <c r="S38" s="9">
        <f t="shared" si="13"/>
        <v>5.2942226411578925E-8</v>
      </c>
      <c r="T38" s="9">
        <f t="shared" si="10"/>
        <v>1.499245070942554E-4</v>
      </c>
      <c r="U38" s="9">
        <f t="shared" si="11"/>
        <v>1.499470577735884E-4</v>
      </c>
      <c r="V38" s="100">
        <f t="shared" si="14"/>
        <v>0.99984960905757125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4.7752637245013392E-2</v>
      </c>
      <c r="J39" s="92">
        <f t="shared" si="2"/>
        <v>1.4569140663004096</v>
      </c>
      <c r="K39" s="93">
        <f t="shared" si="3"/>
        <v>0.88661586808230364</v>
      </c>
      <c r="L39" s="93">
        <f t="shared" si="4"/>
        <v>9.8222576808577843E-3</v>
      </c>
      <c r="M39" s="93">
        <f t="shared" si="5"/>
        <v>0.99017774231914224</v>
      </c>
      <c r="N39" s="93">
        <f t="shared" si="6"/>
        <v>3.4954908862357449E-3</v>
      </c>
      <c r="O39" s="40">
        <f t="shared" si="7"/>
        <v>8.8741837560319124E-7</v>
      </c>
      <c r="P39" s="40">
        <f t="shared" si="8"/>
        <v>2.5412212811623406E-5</v>
      </c>
      <c r="Q39" s="40">
        <f t="shared" si="9"/>
        <v>2.6598700375596518E-4</v>
      </c>
      <c r="R39" s="9">
        <f t="shared" si="12"/>
        <v>1.4999999999999999E-4</v>
      </c>
      <c r="S39" s="9">
        <f t="shared" si="13"/>
        <v>1.4733386521286674E-6</v>
      </c>
      <c r="T39" s="9">
        <f t="shared" si="10"/>
        <v>1.3299238021234554E-4</v>
      </c>
      <c r="U39" s="9">
        <f t="shared" si="11"/>
        <v>1.4852666134787133E-4</v>
      </c>
      <c r="V39" s="100">
        <f t="shared" si="14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172</v>
      </c>
      <c r="C40" s="46" t="s">
        <v>173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5.4923561227077443E-2</v>
      </c>
      <c r="J40" s="92">
        <f t="shared" si="2"/>
        <v>1.6408491131175968</v>
      </c>
      <c r="K40" s="93">
        <f t="shared" si="3"/>
        <v>0.86781478969856174</v>
      </c>
      <c r="L40" s="93">
        <f t="shared" si="4"/>
        <v>1.4683781646549732E-2</v>
      </c>
      <c r="M40" s="93">
        <f t="shared" si="5"/>
        <v>0.98531621835345029</v>
      </c>
      <c r="N40" s="93">
        <f t="shared" si="6"/>
        <v>8.3738454544339761E-3</v>
      </c>
      <c r="O40" s="40">
        <f t="shared" si="7"/>
        <v>8.6860027969546063E-7</v>
      </c>
      <c r="P40" s="40">
        <f t="shared" si="8"/>
        <v>3.7989981143413109E-5</v>
      </c>
      <c r="Q40" s="40">
        <f t="shared" si="9"/>
        <v>6.3720207971676153E-4</v>
      </c>
      <c r="R40" s="9">
        <f t="shared" si="12"/>
        <v>1.4999999999999999E-4</v>
      </c>
      <c r="S40" s="9">
        <f t="shared" si="13"/>
        <v>2.2025672469824598E-6</v>
      </c>
      <c r="T40" s="9">
        <f t="shared" si="10"/>
        <v>1.3017221845478425E-4</v>
      </c>
      <c r="U40" s="9">
        <f t="shared" si="11"/>
        <v>1.4779743275301752E-4</v>
      </c>
      <c r="V40" s="100">
        <f t="shared" si="14"/>
        <v>0.8807474935800369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174</v>
      </c>
      <c r="C41" s="94" t="s">
        <v>175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6.6276677113325539E-3</v>
      </c>
      <c r="J41" s="92">
        <f t="shared" si="2"/>
        <v>0.64559866119554743</v>
      </c>
      <c r="K41" s="93">
        <f t="shared" si="3"/>
        <v>0.98269021222939579</v>
      </c>
      <c r="L41" s="93">
        <f t="shared" si="4"/>
        <v>1.6810361348524947E-3</v>
      </c>
      <c r="M41" s="93">
        <f t="shared" si="5"/>
        <v>0.99831896386514751</v>
      </c>
      <c r="N41" s="93">
        <f t="shared" si="6"/>
        <v>4.1416777492288043E-4</v>
      </c>
      <c r="O41" s="40">
        <f t="shared" si="7"/>
        <v>9.835796800523915E-7</v>
      </c>
      <c r="P41" s="40">
        <f t="shared" si="8"/>
        <v>4.3491882814430287E-6</v>
      </c>
      <c r="Q41" s="40">
        <f t="shared" si="9"/>
        <v>3.1515815400292892E-5</v>
      </c>
      <c r="R41" s="9">
        <f t="shared" si="12"/>
        <v>1.4999999999999999E-4</v>
      </c>
      <c r="S41" s="9">
        <f t="shared" si="13"/>
        <v>2.5215542022787422E-7</v>
      </c>
      <c r="T41" s="9">
        <f t="shared" si="10"/>
        <v>1.4740353183440935E-4</v>
      </c>
      <c r="U41" s="9">
        <f t="shared" si="11"/>
        <v>1.497478445797721E-4</v>
      </c>
      <c r="V41" s="100">
        <f t="shared" si="14"/>
        <v>0.98434493162862235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176</v>
      </c>
      <c r="C42" s="46" t="s">
        <v>177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2.8589842167479149E-2</v>
      </c>
      <c r="J42" s="92">
        <f t="shared" si="2"/>
        <v>1.3142586806508352</v>
      </c>
      <c r="K42" s="93">
        <f t="shared" si="3"/>
        <v>0.92887087828510984</v>
      </c>
      <c r="L42" s="93">
        <f t="shared" si="4"/>
        <v>7.4092762111501106E-3</v>
      </c>
      <c r="M42" s="93">
        <f t="shared" si="5"/>
        <v>0.99259072378884994</v>
      </c>
      <c r="N42" s="93">
        <f t="shared" si="6"/>
        <v>3.667701826747723E-3</v>
      </c>
      <c r="O42" s="40">
        <f t="shared" si="7"/>
        <v>9.2971163231692015E-7</v>
      </c>
      <c r="P42" s="40">
        <f t="shared" si="8"/>
        <v>1.9169330511944194E-5</v>
      </c>
      <c r="Q42" s="40">
        <f t="shared" si="9"/>
        <v>2.7909127825461962E-4</v>
      </c>
      <c r="R42" s="9">
        <f t="shared" si="12"/>
        <v>1.4999999999999999E-4</v>
      </c>
      <c r="S42" s="9">
        <f t="shared" si="13"/>
        <v>1.1113914316725164E-6</v>
      </c>
      <c r="T42" s="9">
        <f t="shared" si="10"/>
        <v>1.3933063174276645E-4</v>
      </c>
      <c r="U42" s="9">
        <f t="shared" si="11"/>
        <v>1.4888860856832747E-4</v>
      </c>
      <c r="V42" s="100">
        <f t="shared" si="14"/>
        <v>0.93580451239710061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178</v>
      </c>
      <c r="C43" s="46" t="s">
        <v>179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4.5043006346732313E-2</v>
      </c>
      <c r="J43" s="92">
        <f t="shared" si="2"/>
        <v>1.4492878976223589</v>
      </c>
      <c r="K43" s="93">
        <f t="shared" si="3"/>
        <v>0.89226355118410194</v>
      </c>
      <c r="L43" s="93">
        <f t="shared" si="4"/>
        <v>9.7127633523092002E-3</v>
      </c>
      <c r="M43" s="93">
        <f t="shared" si="5"/>
        <v>0.99028723664769081</v>
      </c>
      <c r="N43" s="93">
        <f t="shared" si="6"/>
        <v>3.7971593843282815E-3</v>
      </c>
      <c r="O43" s="40">
        <f t="shared" si="7"/>
        <v>8.9307117062360937E-7</v>
      </c>
      <c r="P43" s="40">
        <f t="shared" si="8"/>
        <v>2.5128928329669203E-5</v>
      </c>
      <c r="Q43" s="40">
        <f t="shared" si="9"/>
        <v>2.8894226313059499E-4</v>
      </c>
      <c r="R43" s="9">
        <f t="shared" si="12"/>
        <v>1.4999999999999999E-4</v>
      </c>
      <c r="S43" s="9">
        <f t="shared" si="13"/>
        <v>1.45691450284638E-6</v>
      </c>
      <c r="T43" s="9">
        <f t="shared" si="10"/>
        <v>1.3383953267761528E-4</v>
      </c>
      <c r="U43" s="9">
        <f t="shared" si="11"/>
        <v>1.485430854971536E-4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180</v>
      </c>
      <c r="C44" s="46" t="s">
        <v>181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2.829962486439805</v>
      </c>
      <c r="J44" s="92">
        <f t="shared" si="2"/>
        <v>5.6416380635271075</v>
      </c>
      <c r="K44" s="93">
        <f t="shared" si="3"/>
        <v>1.1821914259518083E-3</v>
      </c>
      <c r="L44" s="93">
        <f t="shared" si="4"/>
        <v>0.20039534363426775</v>
      </c>
      <c r="M44" s="93">
        <f t="shared" si="5"/>
        <v>0.79960465636573219</v>
      </c>
      <c r="N44" s="93">
        <f t="shared" si="6"/>
        <v>0.18303598453140482</v>
      </c>
      <c r="O44" s="40">
        <f t="shared" si="7"/>
        <v>1.1832614694109978E-9</v>
      </c>
      <c r="P44" s="40">
        <f t="shared" si="8"/>
        <v>5.1846421508743045E-4</v>
      </c>
      <c r="Q44" s="40">
        <f t="shared" si="9"/>
        <v>1.3927998867552506E-2</v>
      </c>
      <c r="R44" s="9">
        <f t="shared" si="12"/>
        <v>1.4999999999999999E-4</v>
      </c>
      <c r="S44" s="9">
        <f t="shared" si="13"/>
        <v>3.0059301545140161E-5</v>
      </c>
      <c r="T44" s="9">
        <f t="shared" si="10"/>
        <v>1.7732871389277122E-7</v>
      </c>
      <c r="U44" s="9">
        <f t="shared" si="11"/>
        <v>1.1994069845485982E-4</v>
      </c>
      <c r="V44" s="100">
        <f t="shared" si="14"/>
        <v>1.4784699120249799E-3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182</v>
      </c>
      <c r="C45" s="46" t="s">
        <v>183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3.957220636313619E-3</v>
      </c>
      <c r="J45" s="92">
        <f t="shared" si="2"/>
        <v>0.50257798213592542</v>
      </c>
      <c r="K45" s="93">
        <f t="shared" si="3"/>
        <v>0.98921052889866545</v>
      </c>
      <c r="L45" s="93">
        <f t="shared" si="4"/>
        <v>1.2173864671826387E-3</v>
      </c>
      <c r="M45" s="93">
        <f t="shared" si="5"/>
        <v>0.99878261353281739</v>
      </c>
      <c r="N45" s="93">
        <f t="shared" si="6"/>
        <v>3.2130346168101281E-4</v>
      </c>
      <c r="O45" s="40">
        <f t="shared" si="7"/>
        <v>9.9010589849192504E-7</v>
      </c>
      <c r="P45" s="40">
        <f t="shared" si="8"/>
        <v>3.1496306636636624E-6</v>
      </c>
      <c r="Q45" s="40">
        <f t="shared" si="9"/>
        <v>2.4449368586678203E-5</v>
      </c>
      <c r="R45" s="9">
        <f t="shared" si="12"/>
        <v>1.4999999999999999E-4</v>
      </c>
      <c r="S45" s="9">
        <f t="shared" si="13"/>
        <v>1.826079700773958E-7</v>
      </c>
      <c r="T45" s="9">
        <f t="shared" si="10"/>
        <v>1.4838157933479981E-4</v>
      </c>
      <c r="U45" s="9">
        <f t="shared" si="11"/>
        <v>1.4981739202992258E-4</v>
      </c>
      <c r="V45" s="100">
        <f t="shared" si="14"/>
        <v>0.99041624823614594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184</v>
      </c>
      <c r="C46" s="46" t="s">
        <v>185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4.1980440605165602E-3</v>
      </c>
      <c r="J46" s="92">
        <f t="shared" si="2"/>
        <v>0.51091120344487995</v>
      </c>
      <c r="K46" s="93">
        <f t="shared" si="3"/>
        <v>0.98863951083525425</v>
      </c>
      <c r="L46" s="93">
        <f t="shared" si="4"/>
        <v>1.2402548207373675E-3</v>
      </c>
      <c r="M46" s="93">
        <f t="shared" si="5"/>
        <v>0.99875974517926258</v>
      </c>
      <c r="N46" s="93">
        <f t="shared" si="6"/>
        <v>3.0623557262406576E-4</v>
      </c>
      <c r="O46" s="40">
        <f t="shared" si="7"/>
        <v>9.8953436357977822E-7</v>
      </c>
      <c r="P46" s="40">
        <f t="shared" si="8"/>
        <v>3.2087958256932394E-6</v>
      </c>
      <c r="Q46" s="40">
        <f t="shared" si="9"/>
        <v>2.33027878077191E-5</v>
      </c>
      <c r="R46" s="9">
        <f t="shared" si="12"/>
        <v>1.4999999999999999E-4</v>
      </c>
      <c r="S46" s="9">
        <f t="shared" si="13"/>
        <v>1.8603822311060512E-7</v>
      </c>
      <c r="T46" s="9">
        <f t="shared" si="10"/>
        <v>1.4829592662528811E-4</v>
      </c>
      <c r="U46" s="9">
        <f t="shared" si="11"/>
        <v>1.4981396177688938E-4</v>
      </c>
      <c r="V46" s="100">
        <f t="shared" si="14"/>
        <v>0.98986719839995962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186</v>
      </c>
      <c r="C47" s="46" t="s">
        <v>187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8.655050783580702E-2</v>
      </c>
      <c r="J47" s="92">
        <f t="shared" si="2"/>
        <v>1.881661916759644</v>
      </c>
      <c r="K47" s="93">
        <f t="shared" si="3"/>
        <v>0.79959846779414412</v>
      </c>
      <c r="L47" s="93">
        <f t="shared" si="4"/>
        <v>2.3555678994879384E-2</v>
      </c>
      <c r="M47" s="93">
        <f t="shared" si="5"/>
        <v>0.97644432100512057</v>
      </c>
      <c r="N47" s="93">
        <f t="shared" si="6"/>
        <v>1.4605505949650986E-2</v>
      </c>
      <c r="O47" s="40">
        <f t="shared" si="7"/>
        <v>8.0032221277457498E-7</v>
      </c>
      <c r="P47" s="40">
        <f t="shared" si="8"/>
        <v>6.0943415148510542E-5</v>
      </c>
      <c r="Q47" s="40">
        <f t="shared" si="9"/>
        <v>1.1113960506048315E-3</v>
      </c>
      <c r="R47" s="9">
        <f t="shared" si="12"/>
        <v>1.4999999999999999E-4</v>
      </c>
      <c r="S47" s="9">
        <f t="shared" si="13"/>
        <v>3.5333518492319071E-6</v>
      </c>
      <c r="T47" s="9">
        <f t="shared" si="10"/>
        <v>1.1993977016912161E-4</v>
      </c>
      <c r="U47" s="9">
        <f t="shared" si="11"/>
        <v>1.4646664815076807E-4</v>
      </c>
      <c r="V47" s="100">
        <f t="shared" si="14"/>
        <v>0.81888792898202634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3.9402684082655383E-2</v>
      </c>
      <c r="K48" s="93">
        <f t="shared" ref="K48:K50" si="17">IF(D48=0,"",1/(1+10^D48*$J$15/$J$14+10^E48*$J$16/$J$14+10^J48*$J$19/$J$14))</f>
        <v>0.99857613820904478</v>
      </c>
      <c r="L48" s="93">
        <f t="shared" ref="L48:L50" si="18">IF(D48=0,"",1/(1+10^I48/10^J48*$J$13/$J$19))</f>
        <v>4.2300512135191035E-4</v>
      </c>
      <c r="M48" s="93">
        <f t="shared" ref="M48:M92" si="19">IF(D48=0,"",1-L48)</f>
        <v>0.99957699487864804</v>
      </c>
      <c r="N48" s="93">
        <f t="shared" ref="N48:N50" si="20">IF(D48=0,"",1/(1/10^E48*$J$20/$J$22+10^D48/10^E48*$J$21/$J$22+10^I48/10^E48*$J$13/$J$22+1))</f>
        <v>1.9944440537452987E-5</v>
      </c>
      <c r="O48" s="40">
        <f t="shared" ref="O48:O92" si="21">IF(D48=0,"",F48*K48*$J$7/$J$14)</f>
        <v>9.9947998494802188E-7</v>
      </c>
      <c r="P48" s="40">
        <f t="shared" ref="P48:P50" si="22">IF(D48=0,"",O48*10^J48)</f>
        <v>1.094401767238361E-6</v>
      </c>
      <c r="Q48" s="40">
        <f t="shared" ref="Q48:Q50" si="23">IF(D48=0,"",F48*N48*$J$7/$J$22)</f>
        <v>1.5176586501871808E-6</v>
      </c>
      <c r="R48" s="9">
        <f t="shared" si="12"/>
        <v>1.4999999999999999E-4</v>
      </c>
      <c r="S48" s="9">
        <f t="shared" si="13"/>
        <v>6.3450768202786552E-8</v>
      </c>
      <c r="T48" s="9">
        <f t="shared" si="10"/>
        <v>1.4978642073135671E-4</v>
      </c>
      <c r="U48" s="9">
        <f t="shared" si="11"/>
        <v>1.499365492317972E-4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188</v>
      </c>
      <c r="C49" s="46" t="s">
        <v>189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9.6186457475178466E-3</v>
      </c>
      <c r="J49" s="92">
        <f t="shared" si="16"/>
        <v>0.83897219078208807</v>
      </c>
      <c r="K49" s="93">
        <f t="shared" si="17"/>
        <v>0.9750439005985051</v>
      </c>
      <c r="L49" s="93">
        <f t="shared" si="18"/>
        <v>2.6035032133094353E-3</v>
      </c>
      <c r="M49" s="93">
        <f t="shared" si="19"/>
        <v>0.99739649678669051</v>
      </c>
      <c r="N49" s="93">
        <f t="shared" si="20"/>
        <v>1.0185159730564544E-3</v>
      </c>
      <c r="O49" s="40">
        <f t="shared" si="21"/>
        <v>9.7592644747319427E-7</v>
      </c>
      <c r="P49" s="40">
        <f t="shared" si="22"/>
        <v>6.7358014686687475E-6</v>
      </c>
      <c r="Q49" s="40">
        <f t="shared" si="23"/>
        <v>7.7503280874698506E-5</v>
      </c>
      <c r="R49" s="9">
        <f t="shared" si="12"/>
        <v>1.4999999999999999E-4</v>
      </c>
      <c r="S49" s="9">
        <f t="shared" si="13"/>
        <v>3.9052548199641526E-7</v>
      </c>
      <c r="T49" s="9">
        <f t="shared" si="10"/>
        <v>1.4625658508977575E-4</v>
      </c>
      <c r="U49" s="9">
        <f t="shared" si="11"/>
        <v>1.4960947451800357E-4</v>
      </c>
      <c r="V49" s="100">
        <f t="shared" si="14"/>
        <v>0.97758905684930841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190</v>
      </c>
      <c r="C50" s="46" t="s">
        <v>191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8.6760595853303396E-2</v>
      </c>
      <c r="J50" s="92">
        <f t="shared" si="16"/>
        <v>1.8013240408300564</v>
      </c>
      <c r="K50" s="93">
        <f t="shared" si="17"/>
        <v>0.80241147428484205</v>
      </c>
      <c r="L50" s="93">
        <f t="shared" si="18"/>
        <v>1.9646397579976552E-2</v>
      </c>
      <c r="M50" s="93">
        <f t="shared" si="19"/>
        <v>0.98035360242002345</v>
      </c>
      <c r="N50" s="93">
        <f t="shared" si="20"/>
        <v>9.7133224193503113E-3</v>
      </c>
      <c r="O50" s="40">
        <f t="shared" si="21"/>
        <v>8.0313776541738498E-7</v>
      </c>
      <c r="P50" s="40">
        <f t="shared" si="22"/>
        <v>5.0829295311312456E-5</v>
      </c>
      <c r="Q50" s="40">
        <f t="shared" si="23"/>
        <v>7.3912866916981193E-4</v>
      </c>
      <c r="R50" s="9">
        <f t="shared" si="12"/>
        <v>1.4999999999999999E-4</v>
      </c>
      <c r="S50" s="9">
        <f t="shared" si="13"/>
        <v>2.9469596369964826E-6</v>
      </c>
      <c r="T50" s="9">
        <f t="shared" si="10"/>
        <v>1.203617211427263E-4</v>
      </c>
      <c r="U50" s="9">
        <f t="shared" si="11"/>
        <v>1.4705304036300351E-4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192</v>
      </c>
      <c r="C51" s="46" t="s">
        <v>193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4.6611522076147738</v>
      </c>
      <c r="K51" s="93">
        <f t="shared" ref="K51:K70" si="26">IF(D51=0,"",1/(1+10^D51*$J$15/$J$14+10^E51*$J$16/$J$14+10^J51*$J$19/$J$14))</f>
        <v>8.7949946421531974E-3</v>
      </c>
      <c r="L51" s="93">
        <f t="shared" ref="L51:L70" si="27">IF(D51=0,"",1/(1+10^I51/10^J51*$J$13/$J$19))</f>
        <v>0.15593713263625517</v>
      </c>
      <c r="M51" s="93">
        <f t="shared" ref="M51:M70" si="28">IF(D51=0,"",1-L51)</f>
        <v>0.84406286736374481</v>
      </c>
      <c r="N51" s="93">
        <f t="shared" ref="N51:N70" si="29">IF(D51=0,"",1/(1/10^E51*$J$20/$J$22+10^D51/10^E51*$J$21/$J$22+10^I51/10^E51*$J$13/$J$22+1))</f>
        <v>0.12547934805673822</v>
      </c>
      <c r="O51" s="40">
        <f t="shared" ref="O51:O70" si="30">IF(D51=0,"",F51*K51*$J$7/$J$14)</f>
        <v>8.802955304262437E-9</v>
      </c>
      <c r="P51" s="40">
        <f t="shared" ref="P51:P70" si="31">IF(D51=0,"",O51*10^J51)</f>
        <v>4.0344162498502054E-4</v>
      </c>
      <c r="Q51" s="40">
        <f t="shared" ref="Q51:Q70" si="32">IF(D51=0,"",F51*N51*$J$7/$J$22)</f>
        <v>9.5482657255060964E-3</v>
      </c>
      <c r="R51" s="9">
        <f t="shared" si="12"/>
        <v>1.4999999999999999E-4</v>
      </c>
      <c r="S51" s="9">
        <f t="shared" si="13"/>
        <v>2.3390569895438273E-5</v>
      </c>
      <c r="T51" s="9">
        <f t="shared" si="10"/>
        <v>1.3192491963229795E-6</v>
      </c>
      <c r="U51" s="9">
        <f t="shared" si="11"/>
        <v>1.2660943010456171E-4</v>
      </c>
      <c r="V51" s="100">
        <f t="shared" si="14"/>
        <v>1.0419833619292527E-2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194</v>
      </c>
      <c r="C52" s="46" t="s">
        <v>195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0.12726341031571042</v>
      </c>
      <c r="J52" s="92">
        <f t="shared" si="25"/>
        <v>2.0682288758066103</v>
      </c>
      <c r="K52" s="93">
        <f t="shared" si="26"/>
        <v>0.72126542868537935</v>
      </c>
      <c r="L52" s="93">
        <f t="shared" si="27"/>
        <v>3.2650192748900235E-2</v>
      </c>
      <c r="M52" s="93">
        <f t="shared" si="28"/>
        <v>0.96734980725109976</v>
      </c>
      <c r="N52" s="93">
        <f t="shared" si="29"/>
        <v>2.0331423685366036E-2</v>
      </c>
      <c r="O52" s="40">
        <f t="shared" si="30"/>
        <v>7.2191827164918524E-7</v>
      </c>
      <c r="P52" s="40">
        <f t="shared" si="31"/>
        <v>8.4472803853697772E-5</v>
      </c>
      <c r="Q52" s="40">
        <f t="shared" si="32"/>
        <v>1.547105869867473E-3</v>
      </c>
      <c r="R52" s="9">
        <f t="shared" si="12"/>
        <v>1.4999999999999999E-4</v>
      </c>
      <c r="S52" s="9">
        <f t="shared" si="13"/>
        <v>4.8975289123350345E-6</v>
      </c>
      <c r="T52" s="9">
        <f t="shared" si="10"/>
        <v>1.081898143028069E-4</v>
      </c>
      <c r="U52" s="9">
        <f t="shared" si="11"/>
        <v>1.4510247108766495E-4</v>
      </c>
      <c r="V52" s="100">
        <f t="shared" si="14"/>
        <v>0.74560973008821507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196</v>
      </c>
      <c r="C53" s="46" t="s">
        <v>197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0.47104615060046062</v>
      </c>
      <c r="J53" s="92">
        <f t="shared" si="25"/>
        <v>2.8973705182690765</v>
      </c>
      <c r="K53" s="93">
        <f t="shared" si="26"/>
        <v>0.30625015196160921</v>
      </c>
      <c r="L53" s="93">
        <f t="shared" si="27"/>
        <v>9.354241726248809E-2</v>
      </c>
      <c r="M53" s="93">
        <f t="shared" si="28"/>
        <v>0.90645758273751187</v>
      </c>
      <c r="N53" s="93">
        <f t="shared" si="29"/>
        <v>6.7292240319890534E-2</v>
      </c>
      <c r="O53" s="40">
        <f t="shared" si="30"/>
        <v>3.0652734985425882E-7</v>
      </c>
      <c r="P53" s="40">
        <f t="shared" si="31"/>
        <v>2.4201358706162822E-4</v>
      </c>
      <c r="Q53" s="40">
        <f t="shared" si="32"/>
        <v>5.1205573011775529E-3</v>
      </c>
      <c r="R53" s="9">
        <f t="shared" si="12"/>
        <v>1.4999999999999999E-4</v>
      </c>
      <c r="S53" s="9">
        <f t="shared" si="13"/>
        <v>1.4031362589373213E-5</v>
      </c>
      <c r="T53" s="9">
        <f t="shared" si="10"/>
        <v>4.593752279424138E-5</v>
      </c>
      <c r="U53" s="9">
        <f t="shared" si="11"/>
        <v>1.3596863741062676E-4</v>
      </c>
      <c r="V53" s="100">
        <f t="shared" si="14"/>
        <v>0.33785381444626494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198</v>
      </c>
      <c r="C54" s="46" t="s">
        <v>199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0.17835694544431213</v>
      </c>
      <c r="J54" s="92">
        <f t="shared" si="25"/>
        <v>2.2544039273222234</v>
      </c>
      <c r="K54" s="93">
        <f t="shared" si="26"/>
        <v>0.6336636631973328</v>
      </c>
      <c r="L54" s="93">
        <f t="shared" si="27"/>
        <v>4.4037685778404452E-2</v>
      </c>
      <c r="M54" s="93">
        <f t="shared" si="28"/>
        <v>0.9559623142215955</v>
      </c>
      <c r="N54" s="93">
        <f t="shared" si="29"/>
        <v>2.8326667058284977E-2</v>
      </c>
      <c r="O54" s="40">
        <f t="shared" si="30"/>
        <v>6.3423721469097898E-7</v>
      </c>
      <c r="P54" s="40">
        <f t="shared" si="31"/>
        <v>1.1393460435406579E-4</v>
      </c>
      <c r="Q54" s="40">
        <f t="shared" si="32"/>
        <v>2.1554984814564537E-3</v>
      </c>
      <c r="R54" s="9">
        <f t="shared" si="12"/>
        <v>1.4999999999999999E-4</v>
      </c>
      <c r="S54" s="9">
        <f t="shared" si="13"/>
        <v>6.605652866760667E-6</v>
      </c>
      <c r="T54" s="9">
        <f t="shared" si="10"/>
        <v>9.5049549479599913E-5</v>
      </c>
      <c r="U54" s="9">
        <f t="shared" si="11"/>
        <v>1.4339434713323931E-4</v>
      </c>
      <c r="V54" s="100">
        <f t="shared" si="14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5.9812805986470914E-3</v>
      </c>
      <c r="J55" s="54">
        <f t="shared" si="25"/>
        <v>0.65206362088681824</v>
      </c>
      <c r="K55" s="55">
        <f t="shared" si="26"/>
        <v>0.98412658715563162</v>
      </c>
      <c r="L55" s="55">
        <f t="shared" si="27"/>
        <v>1.708741405042539E-3</v>
      </c>
      <c r="M55" s="55">
        <f t="shared" si="28"/>
        <v>0.99829125859495749</v>
      </c>
      <c r="N55" s="55">
        <f t="shared" si="29"/>
        <v>5.6356062128982704E-4</v>
      </c>
      <c r="O55" s="56">
        <f t="shared" si="30"/>
        <v>9.8501735509260299E-7</v>
      </c>
      <c r="P55" s="56">
        <f t="shared" si="31"/>
        <v>4.4208675475495402E-6</v>
      </c>
      <c r="Q55" s="56">
        <f t="shared" si="32"/>
        <v>4.2883762530176909E-5</v>
      </c>
      <c r="R55" s="9">
        <f t="shared" si="12"/>
        <v>1.4999999999999999E-4</v>
      </c>
      <c r="S55" s="9">
        <f t="shared" si="13"/>
        <v>2.5631121075638083E-7</v>
      </c>
      <c r="T55" s="9">
        <f t="shared" si="10"/>
        <v>1.4761898807334474E-4</v>
      </c>
      <c r="U55" s="9">
        <f t="shared" si="11"/>
        <v>1.4974368878924361E-4</v>
      </c>
      <c r="V55" s="100">
        <f t="shared" si="14"/>
        <v>0.98581108337133805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200</v>
      </c>
      <c r="C56" s="46" t="s">
        <v>201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0.11910186422699467</v>
      </c>
      <c r="J56" s="54">
        <f t="shared" si="25"/>
        <v>2.0493358233382901</v>
      </c>
      <c r="K56" s="55">
        <f t="shared" si="26"/>
        <v>0.73553423670304807</v>
      </c>
      <c r="L56" s="55">
        <f t="shared" si="27"/>
        <v>3.1878690490617187E-2</v>
      </c>
      <c r="M56" s="55">
        <f t="shared" si="28"/>
        <v>0.9681213095093828</v>
      </c>
      <c r="N56" s="55">
        <f t="shared" si="29"/>
        <v>2.0446245301713947E-2</v>
      </c>
      <c r="O56" s="56">
        <f t="shared" si="30"/>
        <v>7.3619999487191678E-7</v>
      </c>
      <c r="P56" s="56">
        <f t="shared" si="31"/>
        <v>8.2476767890362639E-5</v>
      </c>
      <c r="Q56" s="56">
        <f t="shared" si="32"/>
        <v>1.5558431427406649E-3</v>
      </c>
      <c r="R56" s="9">
        <f t="shared" si="12"/>
        <v>1.4999999999999999E-4</v>
      </c>
      <c r="S56" s="9">
        <f t="shared" si="13"/>
        <v>4.7818035735925773E-6</v>
      </c>
      <c r="T56" s="9">
        <f t="shared" si="10"/>
        <v>1.1033013550545721E-4</v>
      </c>
      <c r="U56" s="9">
        <f t="shared" si="11"/>
        <v>1.4521819642640741E-4</v>
      </c>
      <c r="V56" s="100">
        <f t="shared" si="14"/>
        <v>0.75975420588128217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3.4503381608646556E-2</v>
      </c>
      <c r="J57" s="54">
        <f t="shared" si="25"/>
        <v>1.4157471407554194</v>
      </c>
      <c r="K57" s="55">
        <f t="shared" si="26"/>
        <v>0.91464049053025576</v>
      </c>
      <c r="L57" s="55">
        <f t="shared" si="27"/>
        <v>9.2163576892869432E-3</v>
      </c>
      <c r="M57" s="55">
        <f t="shared" si="28"/>
        <v>0.99078364231071303</v>
      </c>
      <c r="N57" s="55">
        <f t="shared" si="29"/>
        <v>4.9105608583175885E-3</v>
      </c>
      <c r="O57" s="56">
        <f t="shared" si="30"/>
        <v>9.1546836413254803E-7</v>
      </c>
      <c r="P57" s="56">
        <f t="shared" si="31"/>
        <v>2.3844624174810691E-5</v>
      </c>
      <c r="Q57" s="56">
        <f t="shared" si="32"/>
        <v>3.7366579172282995E-4</v>
      </c>
      <c r="R57" s="9">
        <f t="shared" si="12"/>
        <v>1.4999999999999999E-4</v>
      </c>
      <c r="S57" s="9">
        <f t="shared" si="13"/>
        <v>1.3824536533930413E-6</v>
      </c>
      <c r="T57" s="9">
        <f t="shared" si="10"/>
        <v>1.3719607357953834E-4</v>
      </c>
      <c r="U57" s="9">
        <f t="shared" si="11"/>
        <v>1.4861754634660693E-4</v>
      </c>
      <c r="V57" s="100">
        <f t="shared" si="14"/>
        <v>0.92314855783965544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143</v>
      </c>
      <c r="C58" s="46" t="s">
        <v>144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2.4527660835054643E-2</v>
      </c>
      <c r="J58" s="54">
        <f t="shared" si="25"/>
        <v>1.2270602613474699</v>
      </c>
      <c r="K58" s="55">
        <f t="shared" si="26"/>
        <v>0.93881171606248437</v>
      </c>
      <c r="L58" s="55">
        <f t="shared" si="27"/>
        <v>6.1263318726450921E-3</v>
      </c>
      <c r="M58" s="55">
        <f t="shared" si="28"/>
        <v>0.99387366812735489</v>
      </c>
      <c r="N58" s="55">
        <f t="shared" si="29"/>
        <v>2.772561416319313E-3</v>
      </c>
      <c r="O58" s="56">
        <f t="shared" si="30"/>
        <v>9.3966146789973381E-7</v>
      </c>
      <c r="P58" s="56">
        <f t="shared" si="31"/>
        <v>1.585008807147202E-5</v>
      </c>
      <c r="Q58" s="56">
        <f t="shared" si="32"/>
        <v>2.1097617698278068E-4</v>
      </c>
      <c r="R58" s="9">
        <f t="shared" si="12"/>
        <v>1.4999999999999999E-4</v>
      </c>
      <c r="S58" s="9">
        <f t="shared" si="13"/>
        <v>9.1894978089676368E-7</v>
      </c>
      <c r="T58" s="9">
        <f t="shared" si="10"/>
        <v>1.4082175740937265E-4</v>
      </c>
      <c r="U58" s="9">
        <f t="shared" si="11"/>
        <v>1.4908105021910323E-4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145</v>
      </c>
      <c r="C59" s="46" t="s">
        <v>146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6.9959414880738915E-3</v>
      </c>
      <c r="J59" s="54">
        <f t="shared" si="25"/>
        <v>0.75185758381499102</v>
      </c>
      <c r="K59" s="55">
        <f t="shared" si="26"/>
        <v>0.98140173133528885</v>
      </c>
      <c r="L59" s="55">
        <f t="shared" si="27"/>
        <v>2.1442042918049732E-3</v>
      </c>
      <c r="M59" s="55">
        <f t="shared" si="28"/>
        <v>0.99785579570819505</v>
      </c>
      <c r="N59" s="55">
        <f t="shared" si="29"/>
        <v>9.1854300490553384E-4</v>
      </c>
      <c r="O59" s="56">
        <f t="shared" si="30"/>
        <v>9.8229003290845147E-7</v>
      </c>
      <c r="P59" s="56">
        <f t="shared" si="31"/>
        <v>5.5475001313736326E-6</v>
      </c>
      <c r="Q59" s="56">
        <f t="shared" si="32"/>
        <v>6.989590579620415E-5</v>
      </c>
      <c r="R59" s="9">
        <f t="shared" si="12"/>
        <v>1.4999999999999999E-4</v>
      </c>
      <c r="S59" s="9">
        <f t="shared" si="13"/>
        <v>3.2163064377074594E-7</v>
      </c>
      <c r="T59" s="9">
        <f t="shared" si="10"/>
        <v>1.472102597002933E-4</v>
      </c>
      <c r="U59" s="9">
        <f t="shared" si="11"/>
        <v>1.4967836935622924E-4</v>
      </c>
      <c r="V59" s="100">
        <f t="shared" si="14"/>
        <v>0.98351057893968685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147</v>
      </c>
      <c r="C60" s="46" t="s">
        <v>148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0.12885708410514962</v>
      </c>
      <c r="J60" s="54">
        <f t="shared" si="25"/>
        <v>2.1032284188661468</v>
      </c>
      <c r="K60" s="55">
        <f t="shared" si="26"/>
        <v>0.71675241783124333</v>
      </c>
      <c r="L60" s="55">
        <f t="shared" si="27"/>
        <v>3.516894518721337E-2</v>
      </c>
      <c r="M60" s="55">
        <f t="shared" si="28"/>
        <v>0.96483105481278664</v>
      </c>
      <c r="N60" s="55">
        <f t="shared" si="29"/>
        <v>2.3270720155836769E-2</v>
      </c>
      <c r="O60" s="56">
        <f t="shared" si="30"/>
        <v>7.1740117590859195E-7</v>
      </c>
      <c r="P60" s="56">
        <f t="shared" si="31"/>
        <v>9.0989337532807984E-5</v>
      </c>
      <c r="Q60" s="56">
        <f t="shared" si="32"/>
        <v>1.7707696374972383E-3</v>
      </c>
      <c r="R60" s="9">
        <f t="shared" si="12"/>
        <v>1.4999999999999999E-4</v>
      </c>
      <c r="S60" s="9">
        <f t="shared" si="13"/>
        <v>5.2753417780820053E-6</v>
      </c>
      <c r="T60" s="9">
        <f t="shared" si="10"/>
        <v>1.0751286267468648E-4</v>
      </c>
      <c r="U60" s="9">
        <f t="shared" si="11"/>
        <v>1.4472465822191799E-4</v>
      </c>
      <c r="V60" s="100">
        <f t="shared" si="14"/>
        <v>0.74287867731446533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149</v>
      </c>
      <c r="C61" s="46" t="s">
        <v>150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0.54169315053805034</v>
      </c>
      <c r="J61" s="54">
        <f t="shared" si="25"/>
        <v>3.0789765751678111</v>
      </c>
      <c r="K61" s="55">
        <f t="shared" si="26"/>
        <v>0.2533737574323473</v>
      </c>
      <c r="L61" s="55">
        <f t="shared" si="27"/>
        <v>0.11757093293933445</v>
      </c>
      <c r="M61" s="55">
        <f t="shared" si="28"/>
        <v>0.8824290670606656</v>
      </c>
      <c r="N61" s="55">
        <f t="shared" si="29"/>
        <v>9.4558873298912757E-2</v>
      </c>
      <c r="O61" s="56">
        <f t="shared" si="30"/>
        <v>2.5360309502177573E-7</v>
      </c>
      <c r="P61" s="56">
        <f t="shared" si="31"/>
        <v>3.0418032853466646E-4</v>
      </c>
      <c r="Q61" s="56">
        <f t="shared" si="32"/>
        <v>7.1953932096796396E-3</v>
      </c>
      <c r="R61" s="9">
        <f t="shared" si="12"/>
        <v>1.4999999999999999E-4</v>
      </c>
      <c r="S61" s="9">
        <f t="shared" si="13"/>
        <v>1.7635639940900167E-5</v>
      </c>
      <c r="T61" s="9">
        <f t="shared" si="10"/>
        <v>3.8006063614852089E-5</v>
      </c>
      <c r="U61" s="9">
        <f t="shared" si="11"/>
        <v>1.3236436005909983E-4</v>
      </c>
      <c r="V61" s="100">
        <f t="shared" si="14"/>
        <v>0.28713215247580715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151</v>
      </c>
      <c r="C62" s="46" t="s">
        <v>152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1.2755126419323455</v>
      </c>
      <c r="J62" s="54">
        <f t="shared" si="25"/>
        <v>4.0344435307569677</v>
      </c>
      <c r="K62" s="55">
        <f t="shared" si="26"/>
        <v>4.3371718840459435E-2</v>
      </c>
      <c r="L62" s="55">
        <f t="shared" si="27"/>
        <v>0.18164017927333975</v>
      </c>
      <c r="M62" s="55">
        <f t="shared" si="28"/>
        <v>0.81835982072666025</v>
      </c>
      <c r="N62" s="55">
        <f t="shared" si="29"/>
        <v>0.16182562413177426</v>
      </c>
      <c r="O62" s="56">
        <f t="shared" si="30"/>
        <v>4.3410976124043326E-8</v>
      </c>
      <c r="P62" s="56">
        <f t="shared" si="31"/>
        <v>4.6994072450687628E-4</v>
      </c>
      <c r="Q62" s="56">
        <f t="shared" si="32"/>
        <v>1.2314010905662162E-2</v>
      </c>
      <c r="R62" s="9">
        <f t="shared" si="12"/>
        <v>1.4999999999999999E-4</v>
      </c>
      <c r="S62" s="9">
        <f t="shared" si="13"/>
        <v>2.7246026891000961E-5</v>
      </c>
      <c r="T62" s="9">
        <f t="shared" si="10"/>
        <v>6.5057578260689143E-6</v>
      </c>
      <c r="U62" s="9">
        <f t="shared" si="11"/>
        <v>1.2275397310899903E-4</v>
      </c>
      <c r="V62" s="100">
        <f t="shared" si="14"/>
        <v>5.2998348332824602E-2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153</v>
      </c>
      <c r="C63" s="46" t="s">
        <v>154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2.3278344887119857</v>
      </c>
      <c r="J63" s="54">
        <f t="shared" si="25"/>
        <v>5.1890390659693475</v>
      </c>
      <c r="K63" s="55">
        <f t="shared" si="26"/>
        <v>3.6679849876047749E-3</v>
      </c>
      <c r="L63" s="55">
        <f t="shared" si="27"/>
        <v>0.21929481977891405</v>
      </c>
      <c r="M63" s="55">
        <f t="shared" si="28"/>
        <v>0.78070518022108593</v>
      </c>
      <c r="N63" s="55">
        <f t="shared" si="29"/>
        <v>0.2079544443478594</v>
      </c>
      <c r="O63" s="56">
        <f t="shared" si="30"/>
        <v>3.6713050111290797E-9</v>
      </c>
      <c r="P63" s="56">
        <f t="shared" si="31"/>
        <v>5.6736107011007406E-4</v>
      </c>
      <c r="Q63" s="56">
        <f t="shared" si="32"/>
        <v>1.5824152134863635E-2</v>
      </c>
      <c r="R63" s="9">
        <f t="shared" si="12"/>
        <v>1.4999999999999999E-4</v>
      </c>
      <c r="S63" s="9">
        <f t="shared" si="13"/>
        <v>3.2894222966837105E-5</v>
      </c>
      <c r="T63" s="9">
        <f t="shared" si="10"/>
        <v>5.5019774814071623E-7</v>
      </c>
      <c r="U63" s="9">
        <f t="shared" si="11"/>
        <v>1.1710577703316288E-4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155</v>
      </c>
      <c r="C64" s="46" t="s">
        <v>156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1.6404345211947191</v>
      </c>
      <c r="J64" s="54">
        <f t="shared" si="25"/>
        <v>4.4465323312018885</v>
      </c>
      <c r="K64" s="55">
        <f t="shared" si="26"/>
        <v>1.8336979704488453E-2</v>
      </c>
      <c r="L64" s="55">
        <f t="shared" si="27"/>
        <v>0.19834529039730278</v>
      </c>
      <c r="M64" s="55">
        <f t="shared" si="28"/>
        <v>0.80165470960269725</v>
      </c>
      <c r="N64" s="55">
        <f t="shared" si="29"/>
        <v>0.18170566240266336</v>
      </c>
      <c r="O64" s="56">
        <f t="shared" si="30"/>
        <v>1.8353577156274469E-8</v>
      </c>
      <c r="P64" s="56">
        <f t="shared" si="31"/>
        <v>5.1316030321445617E-4</v>
      </c>
      <c r="Q64" s="56">
        <f t="shared" si="32"/>
        <v>1.3826768909137352E-2</v>
      </c>
      <c r="R64" s="9">
        <f t="shared" si="12"/>
        <v>1.4999999999999999E-4</v>
      </c>
      <c r="S64" s="9">
        <f t="shared" si="13"/>
        <v>2.9751793559595416E-5</v>
      </c>
      <c r="T64" s="9">
        <f t="shared" si="10"/>
        <v>2.7505469556732679E-6</v>
      </c>
      <c r="U64" s="9">
        <f t="shared" si="11"/>
        <v>1.2024820644040457E-4</v>
      </c>
      <c r="V64" s="100">
        <f t="shared" si="14"/>
        <v>2.2873912527223001E-2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157</v>
      </c>
      <c r="C65" s="46" t="s">
        <v>158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1.3777282566754774</v>
      </c>
      <c r="J65" s="54">
        <f t="shared" si="25"/>
        <v>4.1518524373281949</v>
      </c>
      <c r="K65" s="55">
        <f t="shared" si="26"/>
        <v>3.4055833086272629E-2</v>
      </c>
      <c r="L65" s="55">
        <f t="shared" si="27"/>
        <v>0.1868984515542701</v>
      </c>
      <c r="M65" s="55">
        <f t="shared" si="28"/>
        <v>0.8131015484457299</v>
      </c>
      <c r="N65" s="55">
        <f t="shared" si="29"/>
        <v>0.16797017146059337</v>
      </c>
      <c r="O65" s="56">
        <f t="shared" si="30"/>
        <v>3.4086658230696149E-8</v>
      </c>
      <c r="P65" s="56">
        <f t="shared" si="31"/>
        <v>4.8354496281604611E-4</v>
      </c>
      <c r="Q65" s="56">
        <f t="shared" si="32"/>
        <v>1.2781576059347727E-2</v>
      </c>
      <c r="R65" s="9">
        <f t="shared" si="12"/>
        <v>1.4999999999999999E-4</v>
      </c>
      <c r="S65" s="9">
        <f t="shared" si="13"/>
        <v>2.8034767733140512E-5</v>
      </c>
      <c r="T65" s="9">
        <f t="shared" si="10"/>
        <v>5.108374962940894E-6</v>
      </c>
      <c r="U65" s="9">
        <f t="shared" si="11"/>
        <v>1.2196523226685947E-4</v>
      </c>
      <c r="V65" s="100">
        <f t="shared" si="14"/>
        <v>4.1883862048192458E-2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159</v>
      </c>
      <c r="C66" s="46" t="s">
        <v>160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1.6404345211947191</v>
      </c>
      <c r="J66" s="54">
        <f t="shared" si="25"/>
        <v>4.4465323312018885</v>
      </c>
      <c r="K66" s="55">
        <f t="shared" si="26"/>
        <v>1.8336979704488453E-2</v>
      </c>
      <c r="L66" s="55">
        <f t="shared" si="27"/>
        <v>0.19834529039730278</v>
      </c>
      <c r="M66" s="55">
        <f t="shared" si="28"/>
        <v>0.80165470960269725</v>
      </c>
      <c r="N66" s="55">
        <f t="shared" si="29"/>
        <v>0.18170566240266336</v>
      </c>
      <c r="O66" s="56">
        <f t="shared" si="30"/>
        <v>1.8353577156274469E-8</v>
      </c>
      <c r="P66" s="56">
        <f t="shared" si="31"/>
        <v>5.1316030321445617E-4</v>
      </c>
      <c r="Q66" s="56">
        <f t="shared" si="32"/>
        <v>1.3826768909137352E-2</v>
      </c>
      <c r="R66" s="9">
        <f t="shared" si="12"/>
        <v>1.4999999999999999E-4</v>
      </c>
      <c r="S66" s="9">
        <f t="shared" si="13"/>
        <v>2.9751793559595416E-5</v>
      </c>
      <c r="T66" s="9">
        <f t="shared" si="10"/>
        <v>2.7505469556732679E-6</v>
      </c>
      <c r="U66" s="9">
        <f t="shared" si="11"/>
        <v>1.2024820644040457E-4</v>
      </c>
      <c r="V66" s="100">
        <f t="shared" si="14"/>
        <v>2.2873912527223001E-2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113</v>
      </c>
      <c r="C67" s="46" t="s">
        <v>114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-1.8635683569884906E-4</v>
      </c>
      <c r="J67" s="54">
        <f t="shared" si="25"/>
        <v>-4.4959764993656129E-2</v>
      </c>
      <c r="K67" s="55">
        <f t="shared" si="26"/>
        <v>0.9995623354405746</v>
      </c>
      <c r="L67" s="55">
        <f t="shared" si="27"/>
        <v>3.48667827262246E-4</v>
      </c>
      <c r="M67" s="55">
        <f t="shared" si="28"/>
        <v>0.99965133217273772</v>
      </c>
      <c r="N67" s="55">
        <f t="shared" si="29"/>
        <v>3.9113868655209554E-7</v>
      </c>
      <c r="O67" s="56">
        <f t="shared" si="30"/>
        <v>1.0004670748217026E-6</v>
      </c>
      <c r="P67" s="56">
        <f t="shared" si="31"/>
        <v>9.0207580729858835E-7</v>
      </c>
      <c r="Q67" s="56">
        <f t="shared" si="32"/>
        <v>2.9763432569287196E-8</v>
      </c>
      <c r="R67" s="9">
        <f t="shared" si="12"/>
        <v>1.4999999999999999E-4</v>
      </c>
      <c r="S67" s="9">
        <f t="shared" si="13"/>
        <v>5.2300174089336897E-8</v>
      </c>
      <c r="T67" s="9">
        <f t="shared" si="10"/>
        <v>1.4993435031608618E-4</v>
      </c>
      <c r="U67" s="9">
        <f t="shared" si="11"/>
        <v>1.4994769982591065E-4</v>
      </c>
      <c r="V67" s="100">
        <f t="shared" si="14"/>
        <v>0.99991097222671665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115</v>
      </c>
      <c r="C68" s="46" t="s">
        <v>116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1.7268855172909561</v>
      </c>
      <c r="J68" s="54">
        <f t="shared" si="25"/>
        <v>4.4419747400947829</v>
      </c>
      <c r="K68" s="55">
        <f t="shared" si="26"/>
        <v>1.5612600311012966E-2</v>
      </c>
      <c r="L68" s="55">
        <f t="shared" si="27"/>
        <v>0.16711357852105177</v>
      </c>
      <c r="M68" s="55">
        <f t="shared" si="28"/>
        <v>0.8328864214789482</v>
      </c>
      <c r="N68" s="55">
        <f t="shared" si="29"/>
        <v>0.14063645675960731</v>
      </c>
      <c r="O68" s="56">
        <f t="shared" si="30"/>
        <v>1.5626731830221277E-8</v>
      </c>
      <c r="P68" s="56">
        <f t="shared" si="31"/>
        <v>4.3235740285710328E-4</v>
      </c>
      <c r="Q68" s="56">
        <f t="shared" si="32"/>
        <v>1.0701635612795718E-2</v>
      </c>
      <c r="R68" s="9">
        <f t="shared" si="12"/>
        <v>1.4999999999999999E-4</v>
      </c>
      <c r="S68" s="9">
        <f t="shared" si="13"/>
        <v>2.5067036778157762E-5</v>
      </c>
      <c r="T68" s="9">
        <f t="shared" si="10"/>
        <v>2.3418900466519448E-6</v>
      </c>
      <c r="U68" s="9">
        <f t="shared" si="11"/>
        <v>1.2493296322184223E-4</v>
      </c>
      <c r="V68" s="100">
        <f t="shared" si="14"/>
        <v>1.8745173301408641E-2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117</v>
      </c>
      <c r="C69" s="46" t="s">
        <v>118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5.7919228101834593E-2</v>
      </c>
      <c r="J69" s="54">
        <f t="shared" si="25"/>
        <v>1.6683881238923828</v>
      </c>
      <c r="K69" s="55">
        <f t="shared" si="26"/>
        <v>0.86111424094196987</v>
      </c>
      <c r="L69" s="55">
        <f t="shared" si="27"/>
        <v>1.5524250888798458E-2</v>
      </c>
      <c r="M69" s="55">
        <f t="shared" si="28"/>
        <v>0.9844757491112015</v>
      </c>
      <c r="N69" s="55">
        <f t="shared" si="29"/>
        <v>8.9454342611122849E-3</v>
      </c>
      <c r="O69" s="56">
        <f t="shared" si="30"/>
        <v>8.6189366603413972E-7</v>
      </c>
      <c r="P69" s="56">
        <f t="shared" si="31"/>
        <v>4.0164448963298596E-5</v>
      </c>
      <c r="Q69" s="56">
        <f t="shared" si="32"/>
        <v>6.8069674155881712E-4</v>
      </c>
      <c r="R69" s="9">
        <f t="shared" si="12"/>
        <v>1.4999999999999999E-4</v>
      </c>
      <c r="S69" s="9">
        <f t="shared" si="13"/>
        <v>2.3286376333197686E-6</v>
      </c>
      <c r="T69" s="9">
        <f t="shared" si="10"/>
        <v>1.2916713614129547E-4</v>
      </c>
      <c r="U69" s="9">
        <f t="shared" si="11"/>
        <v>1.4767136236668022E-4</v>
      </c>
      <c r="V69" s="100">
        <f t="shared" si="14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111</v>
      </c>
      <c r="C70" s="46" t="s">
        <v>112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0.45156382049297444</v>
      </c>
      <c r="J70" s="54">
        <f t="shared" si="25"/>
        <v>2.9309327933636746</v>
      </c>
      <c r="K70" s="55">
        <f t="shared" si="26"/>
        <v>0.31645560032394632</v>
      </c>
      <c r="L70" s="55">
        <f t="shared" si="27"/>
        <v>0.10442568589349981</v>
      </c>
      <c r="M70" s="55">
        <f t="shared" si="28"/>
        <v>0.89557431410650024</v>
      </c>
      <c r="N70" s="55">
        <f t="shared" si="29"/>
        <v>8.233271940849872E-2</v>
      </c>
      <c r="O70" s="56">
        <f t="shared" si="30"/>
        <v>3.1674203553047629E-7</v>
      </c>
      <c r="P70" s="56">
        <f t="shared" si="31"/>
        <v>2.7017085472080669E-4</v>
      </c>
      <c r="Q70" s="56">
        <f t="shared" si="32"/>
        <v>6.2650523372213491E-3</v>
      </c>
      <c r="R70" s="9">
        <f t="shared" si="12"/>
        <v>1.4999999999999999E-4</v>
      </c>
      <c r="S70" s="9">
        <f t="shared" si="13"/>
        <v>1.566385288402497E-5</v>
      </c>
      <c r="T70" s="9">
        <f t="shared" si="10"/>
        <v>4.7468340048591946E-5</v>
      </c>
      <c r="U70" s="9">
        <f t="shared" si="11"/>
        <v>1.3433614711597501E-4</v>
      </c>
      <c r="V70" s="100">
        <f t="shared" si="14"/>
        <v>0.35335493139915347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119</v>
      </c>
      <c r="C71" s="46" t="s">
        <v>120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2.9114243406645759</v>
      </c>
      <c r="J71" s="54">
        <f t="shared" ref="J71:J122" si="34">IF(D71=0,"",LOG($K$21*10^D71+$K$22*10^E71+$K$20))</f>
        <v>5.6426701080559019</v>
      </c>
      <c r="K71" s="55">
        <f t="shared" ref="K71:K122" si="35">IF(D71=0,"",1/(1+10^D71*$J$15/$J$14+10^E71*$J$16/$J$14+10^J71*$J$19/$J$14))</f>
        <v>1.0143650216004382E-3</v>
      </c>
      <c r="L71" s="55">
        <f t="shared" ref="L71:L122" si="36">IF(D71=0,"",1/(1+10^I71/10^J71*$J$13/$J$19))</f>
        <v>0.17235589041210084</v>
      </c>
      <c r="M71" s="55">
        <f t="shared" si="19"/>
        <v>0.82764410958789913</v>
      </c>
      <c r="N71" s="55">
        <f t="shared" ref="N71:N122" si="37">IF(D71=0,"",1/(1/10^E71*$J$20/$J$22+10^D71/10^E71*$J$21/$J$22+10^I71/10^E71*$J$13/$J$22+1))</f>
        <v>0.14634400606713646</v>
      </c>
      <c r="O71" s="56">
        <f t="shared" si="21"/>
        <v>1.0152831594187024E-9</v>
      </c>
      <c r="P71" s="56">
        <f t="shared" ref="P71:P122" si="38">IF(D71=0,"",O71*10^J71)</f>
        <v>4.4592034833550062E-4</v>
      </c>
      <c r="Q71" s="56">
        <f t="shared" ref="Q71:Q122" si="39">IF(D71=0,"",F71*N71*$J$7/$J$22)</f>
        <v>1.1135947698997143E-2</v>
      </c>
      <c r="R71" s="9">
        <f t="shared" si="12"/>
        <v>1.4999999999999999E-4</v>
      </c>
      <c r="S71" s="9">
        <f t="shared" si="13"/>
        <v>2.5853383561815123E-5</v>
      </c>
      <c r="T71" s="9">
        <f t="shared" si="10"/>
        <v>1.5215475324006571E-7</v>
      </c>
      <c r="U71" s="9">
        <f t="shared" si="11"/>
        <v>1.2414661643818487E-4</v>
      </c>
      <c r="V71" s="100">
        <f t="shared" si="14"/>
        <v>1.2256053173694563E-3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121</v>
      </c>
      <c r="C72" s="46" t="s">
        <v>122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2.4659786116205753</v>
      </c>
      <c r="J72" s="54">
        <f t="shared" si="34"/>
        <v>5.1536383853683807</v>
      </c>
      <c r="K72" s="55">
        <f t="shared" si="35"/>
        <v>2.8763855604523499E-3</v>
      </c>
      <c r="L72" s="55">
        <f t="shared" si="36"/>
        <v>0.15850656067536295</v>
      </c>
      <c r="M72" s="55">
        <f t="shared" si="19"/>
        <v>0.84149343932463705</v>
      </c>
      <c r="N72" s="55">
        <f t="shared" si="37"/>
        <v>0.12837420712564002</v>
      </c>
      <c r="O72" s="56">
        <f t="shared" si="21"/>
        <v>2.8789890792120896E-9</v>
      </c>
      <c r="P72" s="56">
        <f t="shared" si="38"/>
        <v>4.1008926692799369E-4</v>
      </c>
      <c r="Q72" s="56">
        <f t="shared" si="39"/>
        <v>9.7685480592592747E-3</v>
      </c>
      <c r="R72" s="9">
        <f t="shared" si="12"/>
        <v>1.4999999999999999E-4</v>
      </c>
      <c r="S72" s="9">
        <f t="shared" si="13"/>
        <v>2.3775984101304439E-5</v>
      </c>
      <c r="T72" s="9">
        <f t="shared" si="10"/>
        <v>4.3145783406785243E-7</v>
      </c>
      <c r="U72" s="9">
        <f t="shared" si="11"/>
        <v>1.2622401589869556E-4</v>
      </c>
      <c r="V72" s="100">
        <f t="shared" si="14"/>
        <v>3.4181913084918043E-3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123</v>
      </c>
      <c r="C73" s="46" t="s">
        <v>124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2.4593424067669152</v>
      </c>
      <c r="J73" s="54">
        <f t="shared" si="34"/>
        <v>5.1764429441964488</v>
      </c>
      <c r="K73" s="55">
        <f t="shared" si="35"/>
        <v>2.8885612796573251E-3</v>
      </c>
      <c r="L73" s="55">
        <f t="shared" si="36"/>
        <v>0.16775917700211801</v>
      </c>
      <c r="M73" s="55">
        <f t="shared" si="19"/>
        <v>0.83224082299788193</v>
      </c>
      <c r="N73" s="55">
        <f t="shared" si="37"/>
        <v>0.14047862888496809</v>
      </c>
      <c r="O73" s="56">
        <f t="shared" si="21"/>
        <v>2.8911758190930824E-9</v>
      </c>
      <c r="P73" s="56">
        <f t="shared" si="38"/>
        <v>4.3402769969972109E-4</v>
      </c>
      <c r="Q73" s="56">
        <f t="shared" si="39"/>
        <v>1.0689625807921167E-2</v>
      </c>
      <c r="R73" s="9">
        <f t="shared" si="12"/>
        <v>1.4999999999999999E-4</v>
      </c>
      <c r="S73" s="9">
        <f t="shared" si="13"/>
        <v>2.5163876550317698E-5</v>
      </c>
      <c r="T73" s="9">
        <f t="shared" si="10"/>
        <v>4.3328419194859874E-7</v>
      </c>
      <c r="U73" s="9">
        <f t="shared" si="11"/>
        <v>1.2483612344968228E-4</v>
      </c>
      <c r="V73" s="100">
        <f t="shared" si="14"/>
        <v>3.4708238286752205E-3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125</v>
      </c>
      <c r="C74" s="46" t="s">
        <v>126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0.12015758400049081</v>
      </c>
      <c r="J74" s="54">
        <f t="shared" si="34"/>
        <v>2.0141119248188848</v>
      </c>
      <c r="K74" s="55">
        <f t="shared" si="35"/>
        <v>0.73562782773045887</v>
      </c>
      <c r="L74" s="55">
        <f t="shared" si="36"/>
        <v>2.9398950821862852E-2</v>
      </c>
      <c r="M74" s="55">
        <f t="shared" si="19"/>
        <v>0.97060104917813717</v>
      </c>
      <c r="N74" s="55">
        <f t="shared" si="37"/>
        <v>1.7209839654241395E-2</v>
      </c>
      <c r="O74" s="56">
        <f t="shared" si="21"/>
        <v>7.3629367061189148E-7</v>
      </c>
      <c r="P74" s="56">
        <f t="shared" si="38"/>
        <v>7.6061168317708542E-5</v>
      </c>
      <c r="Q74" s="56">
        <f t="shared" si="39"/>
        <v>1.3095710541765494E-3</v>
      </c>
      <c r="R74" s="9">
        <f t="shared" si="12"/>
        <v>1.4999999999999999E-4</v>
      </c>
      <c r="S74" s="9">
        <f t="shared" si="13"/>
        <v>4.4098426232794275E-6</v>
      </c>
      <c r="T74" s="9">
        <f t="shared" si="10"/>
        <v>1.1034417415956882E-4</v>
      </c>
      <c r="U74" s="9">
        <f t="shared" si="11"/>
        <v>1.4559015737672056E-4</v>
      </c>
      <c r="V74" s="100">
        <f t="shared" si="14"/>
        <v>0.75790957402462789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1.0613094291357714</v>
      </c>
      <c r="J75" s="54">
        <f t="shared" si="34"/>
        <v>3.7810877200174948</v>
      </c>
      <c r="K75" s="55">
        <f t="shared" si="35"/>
        <v>7.2154627860028797E-2</v>
      </c>
      <c r="L75" s="55">
        <f t="shared" si="36"/>
        <v>0.16862177961879593</v>
      </c>
      <c r="M75" s="55">
        <f t="shared" si="19"/>
        <v>0.83137822038120412</v>
      </c>
      <c r="N75" s="55">
        <f t="shared" si="37"/>
        <v>0.14706348321002644</v>
      </c>
      <c r="O75" s="56">
        <f t="shared" si="21"/>
        <v>7.2219937577132957E-8</v>
      </c>
      <c r="P75" s="56">
        <f t="shared" si="38"/>
        <v>4.3625943113857394E-4</v>
      </c>
      <c r="Q75" s="56">
        <f t="shared" si="39"/>
        <v>1.1190695823291149E-2</v>
      </c>
      <c r="R75" s="9">
        <f t="shared" si="12"/>
        <v>1.4999999999999999E-4</v>
      </c>
      <c r="S75" s="9">
        <f t="shared" si="13"/>
        <v>2.5293266942819388E-5</v>
      </c>
      <c r="T75" s="9">
        <f t="shared" si="10"/>
        <v>1.0823194179004318E-5</v>
      </c>
      <c r="U75" s="9">
        <f t="shared" si="11"/>
        <v>1.2470673305718061E-4</v>
      </c>
      <c r="V75" s="100">
        <f t="shared" si="14"/>
        <v>8.6789172594567615E-2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127</v>
      </c>
      <c r="C76" s="46" t="s">
        <v>128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1.080392983851221</v>
      </c>
      <c r="J76" s="54">
        <f t="shared" si="34"/>
        <v>3.7332769148114004</v>
      </c>
      <c r="K76" s="55">
        <f t="shared" si="35"/>
        <v>7.0755887115801053E-2</v>
      </c>
      <c r="L76" s="55">
        <f t="shared" si="36"/>
        <v>0.14811575358983917</v>
      </c>
      <c r="M76" s="55">
        <f t="shared" si="19"/>
        <v>0.85188424641016081</v>
      </c>
      <c r="N76" s="55">
        <f t="shared" si="37"/>
        <v>0.12012910868185429</v>
      </c>
      <c r="O76" s="56">
        <f t="shared" si="21"/>
        <v>7.0819930782964731E-8</v>
      </c>
      <c r="P76" s="56">
        <f t="shared" si="38"/>
        <v>3.832060991755878E-4</v>
      </c>
      <c r="Q76" s="56">
        <f t="shared" si="39"/>
        <v>9.1411428958325016E-3</v>
      </c>
      <c r="R76" s="9">
        <f t="shared" si="12"/>
        <v>1.4999999999999999E-4</v>
      </c>
      <c r="S76" s="9">
        <f t="shared" si="13"/>
        <v>2.2217363038475872E-5</v>
      </c>
      <c r="T76" s="9">
        <f t="shared" si="10"/>
        <v>1.0613383067370157E-5</v>
      </c>
      <c r="U76" s="9">
        <f t="shared" si="11"/>
        <v>1.2778263696152411E-4</v>
      </c>
      <c r="V76" s="100">
        <f t="shared" si="14"/>
        <v>8.3058100221909584E-2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129</v>
      </c>
      <c r="C77" s="46" t="s">
        <v>130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0.16668848098518507</v>
      </c>
      <c r="J77" s="54">
        <f t="shared" si="34"/>
        <v>2.264683445445602</v>
      </c>
      <c r="K77" s="55">
        <f t="shared" si="35"/>
        <v>0.64943698813597173</v>
      </c>
      <c r="L77" s="55">
        <f t="shared" si="36"/>
        <v>4.6214921815398088E-2</v>
      </c>
      <c r="M77" s="55">
        <f t="shared" si="19"/>
        <v>0.9537850781846019</v>
      </c>
      <c r="N77" s="55">
        <f t="shared" si="37"/>
        <v>3.241728911110537E-2</v>
      </c>
      <c r="O77" s="56">
        <f t="shared" si="21"/>
        <v>6.5002481662639669E-7</v>
      </c>
      <c r="P77" s="56">
        <f t="shared" si="38"/>
        <v>1.1956756444439667E-4</v>
      </c>
      <c r="Q77" s="56">
        <f t="shared" si="39"/>
        <v>2.4667715869342035E-3</v>
      </c>
      <c r="R77" s="9">
        <f t="shared" si="12"/>
        <v>1.4999999999999999E-4</v>
      </c>
      <c r="S77" s="9">
        <f t="shared" si="13"/>
        <v>6.9322382723097127E-6</v>
      </c>
      <c r="T77" s="9">
        <f t="shared" si="10"/>
        <v>9.7415548220395744E-5</v>
      </c>
      <c r="U77" s="9">
        <f t="shared" si="11"/>
        <v>1.4306776172769026E-4</v>
      </c>
      <c r="V77" s="100">
        <f t="shared" si="14"/>
        <v>0.68090495751106239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0.26960058474961779</v>
      </c>
      <c r="J78" s="54">
        <f t="shared" si="34"/>
        <v>2.5984525990333625</v>
      </c>
      <c r="K78" s="55">
        <f t="shared" si="35"/>
        <v>0.49632561937942543</v>
      </c>
      <c r="L78" s="55">
        <f t="shared" si="36"/>
        <v>7.6169490324701827E-2</v>
      </c>
      <c r="M78" s="55">
        <f t="shared" si="19"/>
        <v>0.92383050967529812</v>
      </c>
      <c r="N78" s="55">
        <f t="shared" si="37"/>
        <v>5.9539799469183023E-2</v>
      </c>
      <c r="O78" s="56">
        <f t="shared" si="21"/>
        <v>4.9677486133042122E-7</v>
      </c>
      <c r="P78" s="56">
        <f t="shared" si="38"/>
        <v>1.9706623067489845E-4</v>
      </c>
      <c r="Q78" s="56">
        <f t="shared" si="39"/>
        <v>4.5306405825287352E-3</v>
      </c>
      <c r="R78" s="9">
        <f t="shared" si="12"/>
        <v>1.4999999999999999E-4</v>
      </c>
      <c r="S78" s="9">
        <f t="shared" si="13"/>
        <v>1.1425423548705274E-5</v>
      </c>
      <c r="T78" s="9">
        <f t="shared" si="10"/>
        <v>7.4448842906913812E-5</v>
      </c>
      <c r="U78" s="9">
        <f t="shared" si="11"/>
        <v>1.3857457645129472E-4</v>
      </c>
      <c r="V78" s="100">
        <f t="shared" si="14"/>
        <v>0.53724748661296184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131</v>
      </c>
      <c r="C79" s="46" t="s">
        <v>132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2.5205823295230894</v>
      </c>
      <c r="K79" s="55">
        <f t="shared" si="35"/>
        <v>0.46087730582500763</v>
      </c>
      <c r="L79" s="55">
        <f t="shared" si="36"/>
        <v>5.9119317306785026E-2</v>
      </c>
      <c r="M79" s="55">
        <f t="shared" si="19"/>
        <v>0.94088068269321501</v>
      </c>
      <c r="N79" s="55">
        <f t="shared" si="37"/>
        <v>3.444379516332003E-2</v>
      </c>
      <c r="O79" s="56">
        <f t="shared" si="21"/>
        <v>4.6129446224803773E-7</v>
      </c>
      <c r="P79" s="56">
        <f t="shared" si="38"/>
        <v>1.529539054555439E-4</v>
      </c>
      <c r="Q79" s="56">
        <f t="shared" si="39"/>
        <v>2.6209771879398972E-3</v>
      </c>
      <c r="R79" s="9">
        <f t="shared" si="12"/>
        <v>1.4999999999999999E-4</v>
      </c>
      <c r="S79" s="9">
        <f t="shared" si="13"/>
        <v>8.8678975960177525E-6</v>
      </c>
      <c r="T79" s="9">
        <f t="shared" si="10"/>
        <v>6.9131595873751138E-5</v>
      </c>
      <c r="U79" s="9">
        <f t="shared" si="11"/>
        <v>1.4113210240398224E-4</v>
      </c>
      <c r="V79" s="100">
        <f t="shared" si="14"/>
        <v>0.48983608049617272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133</v>
      </c>
      <c r="C80" s="46" t="s">
        <v>134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2.5993109864972253</v>
      </c>
      <c r="K80" s="55">
        <f t="shared" si="35"/>
        <v>0.41095191506614803</v>
      </c>
      <c r="L80" s="55">
        <f t="shared" si="36"/>
        <v>6.3192240323255711E-2</v>
      </c>
      <c r="M80" s="55">
        <f t="shared" si="19"/>
        <v>0.93680775967674434</v>
      </c>
      <c r="N80" s="55">
        <f t="shared" si="37"/>
        <v>3.5838735911311662E-2</v>
      </c>
      <c r="O80" s="56">
        <f t="shared" si="21"/>
        <v>4.113238822443094E-7</v>
      </c>
      <c r="P80" s="56">
        <f t="shared" si="38"/>
        <v>1.6349139997288111E-4</v>
      </c>
      <c r="Q80" s="56">
        <f t="shared" si="39"/>
        <v>2.727124256277691E-3</v>
      </c>
      <c r="R80" s="9">
        <f t="shared" si="12"/>
        <v>1.4999999999999999E-4</v>
      </c>
      <c r="S80" s="9">
        <f t="shared" si="13"/>
        <v>9.4788360484883552E-6</v>
      </c>
      <c r="T80" s="9">
        <f t="shared" si="10"/>
        <v>6.16427872599222E-5</v>
      </c>
      <c r="U80" s="9">
        <f t="shared" si="11"/>
        <v>1.4052116395151163E-4</v>
      </c>
      <c r="V80" s="100">
        <f t="shared" si="14"/>
        <v>0.43867262073912733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135</v>
      </c>
      <c r="C81" s="46" t="s">
        <v>136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1.4796577057346771</v>
      </c>
      <c r="J81" s="54">
        <f t="shared" si="34"/>
        <v>4.2280989480409303</v>
      </c>
      <c r="K81" s="55">
        <f t="shared" si="35"/>
        <v>2.7223764366567826E-2</v>
      </c>
      <c r="L81" s="55">
        <f t="shared" si="36"/>
        <v>0.17807743128867712</v>
      </c>
      <c r="M81" s="55">
        <f t="shared" si="19"/>
        <v>0.82192256871132285</v>
      </c>
      <c r="N81" s="55">
        <f t="shared" si="37"/>
        <v>0.15589308499986781</v>
      </c>
      <c r="O81" s="56">
        <f t="shared" si="21"/>
        <v>2.7248405562871132E-8</v>
      </c>
      <c r="P81" s="56">
        <f t="shared" si="38"/>
        <v>4.6072315835028125E-4</v>
      </c>
      <c r="Q81" s="56">
        <f t="shared" si="39"/>
        <v>1.1862578371658298E-2</v>
      </c>
      <c r="R81" s="9">
        <f t="shared" si="12"/>
        <v>1.4999999999999999E-4</v>
      </c>
      <c r="S81" s="9">
        <f t="shared" si="13"/>
        <v>2.6711614693301565E-5</v>
      </c>
      <c r="T81" s="9">
        <f t="shared" si="10"/>
        <v>4.0835646549851731E-6</v>
      </c>
      <c r="U81" s="9">
        <f t="shared" si="11"/>
        <v>1.2328838530669843E-4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137</v>
      </c>
      <c r="C82" s="46" t="s">
        <v>138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3.9256295758213415</v>
      </c>
      <c r="K82" s="55">
        <f t="shared" si="35"/>
        <v>4.751232365000313E-2</v>
      </c>
      <c r="L82" s="55">
        <f t="shared" si="36"/>
        <v>0.15488080734579043</v>
      </c>
      <c r="M82" s="55">
        <f t="shared" si="19"/>
        <v>0.84511919265420954</v>
      </c>
      <c r="N82" s="55">
        <f t="shared" si="37"/>
        <v>0.12714753502231332</v>
      </c>
      <c r="O82" s="56">
        <f t="shared" si="21"/>
        <v>4.7555328742102866E-8</v>
      </c>
      <c r="P82" s="56">
        <f t="shared" si="38"/>
        <v>4.0070869290852797E-4</v>
      </c>
      <c r="Q82" s="56">
        <f t="shared" si="39"/>
        <v>9.6752052790964969E-3</v>
      </c>
      <c r="R82" s="9">
        <f t="shared" si="12"/>
        <v>1.4999999999999999E-4</v>
      </c>
      <c r="S82" s="9">
        <f t="shared" si="13"/>
        <v>2.3232121101868565E-5</v>
      </c>
      <c r="T82" s="9">
        <f t="shared" si="10"/>
        <v>7.1268485475004687E-6</v>
      </c>
      <c r="U82" s="9">
        <f t="shared" si="11"/>
        <v>1.2676787889813143E-4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0.14841008082679891</v>
      </c>
      <c r="J83" s="54">
        <f t="shared" si="34"/>
        <v>2.2086207765897057</v>
      </c>
      <c r="K83" s="55">
        <f t="shared" si="35"/>
        <v>0.67997201675175867</v>
      </c>
      <c r="L83" s="55">
        <f t="shared" si="36"/>
        <v>4.2527864373562166E-2</v>
      </c>
      <c r="M83" s="55">
        <f t="shared" si="19"/>
        <v>0.95747213562643785</v>
      </c>
      <c r="N83" s="55">
        <f t="shared" si="37"/>
        <v>2.9999617311470005E-2</v>
      </c>
      <c r="O83" s="56">
        <f t="shared" si="21"/>
        <v>6.8058748358139781E-7</v>
      </c>
      <c r="P83" s="56">
        <f t="shared" si="38"/>
        <v>1.100283840028964E-4</v>
      </c>
      <c r="Q83" s="56">
        <f t="shared" si="39"/>
        <v>2.2828004941808145E-3</v>
      </c>
      <c r="R83" s="9">
        <f t="shared" si="12"/>
        <v>1.4999999999999999E-4</v>
      </c>
      <c r="S83" s="9">
        <f t="shared" si="13"/>
        <v>6.3791796560343241E-6</v>
      </c>
      <c r="T83" s="9">
        <f t="shared" si="10"/>
        <v>1.0199580251276379E-4</v>
      </c>
      <c r="U83" s="9">
        <f t="shared" si="11"/>
        <v>1.4362082034396567E-4</v>
      </c>
      <c r="V83" s="100">
        <f t="shared" si="14"/>
        <v>0.71017420920231655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139</v>
      </c>
      <c r="C84" s="46" t="s">
        <v>140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3.9363574076389534</v>
      </c>
      <c r="K84" s="55">
        <f t="shared" si="35"/>
        <v>3.9218965226741766E-2</v>
      </c>
      <c r="L84" s="55">
        <f t="shared" si="36"/>
        <v>0.1310434432132305</v>
      </c>
      <c r="M84" s="55">
        <f t="shared" si="19"/>
        <v>0.86895655678676953</v>
      </c>
      <c r="N84" s="55">
        <f t="shared" si="37"/>
        <v>9.531226828572964E-2</v>
      </c>
      <c r="O84" s="56">
        <f t="shared" si="21"/>
        <v>3.9254463705495549E-8</v>
      </c>
      <c r="P84" s="56">
        <f t="shared" si="38"/>
        <v>3.3903650002915428E-4</v>
      </c>
      <c r="Q84" s="56">
        <f t="shared" si="39"/>
        <v>7.2527222892596437E-3</v>
      </c>
      <c r="R84" s="9">
        <f t="shared" si="12"/>
        <v>1.4999999999999999E-4</v>
      </c>
      <c r="S84" s="9">
        <f t="shared" si="13"/>
        <v>1.9656516481984574E-5</v>
      </c>
      <c r="T84" s="9">
        <f t="shared" si="10"/>
        <v>5.8828447840112643E-6</v>
      </c>
      <c r="U84" s="9">
        <f t="shared" si="11"/>
        <v>1.3034348351801542E-4</v>
      </c>
      <c r="V84" s="100">
        <f t="shared" si="14"/>
        <v>4.5133401572761918E-2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0.12747825886296762</v>
      </c>
      <c r="J85" s="54">
        <f t="shared" si="34"/>
        <v>2.1223563706849542</v>
      </c>
      <c r="K85" s="55">
        <f t="shared" si="35"/>
        <v>0.71781101610537423</v>
      </c>
      <c r="L85" s="55">
        <f t="shared" si="36"/>
        <v>3.6806815744441383E-2</v>
      </c>
      <c r="M85" s="55">
        <f t="shared" si="19"/>
        <v>0.96319318425555867</v>
      </c>
      <c r="N85" s="55">
        <f t="shared" si="37"/>
        <v>2.5496630693529396E-2</v>
      </c>
      <c r="O85" s="56">
        <f t="shared" si="21"/>
        <v>7.1846073235762943E-7</v>
      </c>
      <c r="P85" s="56">
        <f t="shared" si="38"/>
        <v>9.5226847534127324E-5</v>
      </c>
      <c r="Q85" s="56">
        <f t="shared" si="39"/>
        <v>1.9401487873274006E-3</v>
      </c>
      <c r="R85" s="9">
        <f t="shared" si="12"/>
        <v>1.4999999999999999E-4</v>
      </c>
      <c r="S85" s="9">
        <f t="shared" si="13"/>
        <v>5.5210223616662069E-6</v>
      </c>
      <c r="T85" s="9">
        <f t="shared" si="10"/>
        <v>1.0767165241580612E-4</v>
      </c>
      <c r="U85" s="9">
        <f t="shared" si="11"/>
        <v>1.4447897763833378E-4</v>
      </c>
      <c r="V85" s="100">
        <f t="shared" si="14"/>
        <v>0.74524096291250486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141</v>
      </c>
      <c r="C86" s="46" t="s">
        <v>142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3.0792919353710997</v>
      </c>
      <c r="K86" s="55">
        <f t="shared" si="35"/>
        <v>0.17754291947175074</v>
      </c>
      <c r="L86" s="55">
        <f t="shared" si="36"/>
        <v>8.2443619405164606E-2</v>
      </c>
      <c r="M86" s="55">
        <f t="shared" si="19"/>
        <v>0.91755638059483535</v>
      </c>
      <c r="N86" s="55">
        <f t="shared" si="37"/>
        <v>4.2634780499832332E-2</v>
      </c>
      <c r="O86" s="56">
        <f t="shared" si="21"/>
        <v>1.7770361987570873E-7</v>
      </c>
      <c r="P86" s="56">
        <f t="shared" si="38"/>
        <v>2.1329870070172736E-4</v>
      </c>
      <c r="Q86" s="56">
        <f t="shared" si="39"/>
        <v>3.2442646512392697E-3</v>
      </c>
      <c r="R86" s="9">
        <f t="shared" si="12"/>
        <v>1.4999999999999999E-4</v>
      </c>
      <c r="S86" s="9">
        <f t="shared" si="13"/>
        <v>1.236654291077469E-5</v>
      </c>
      <c r="T86" s="9">
        <f t="shared" si="10"/>
        <v>2.663143792076261E-5</v>
      </c>
      <c r="U86" s="9">
        <f t="shared" si="11"/>
        <v>1.3763345708922529E-4</v>
      </c>
      <c r="V86" s="100">
        <f t="shared" si="14"/>
        <v>0.19349537884162807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279</v>
      </c>
      <c r="C87" s="46" t="s">
        <v>280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1.8389380143467116</v>
      </c>
      <c r="K87" s="55">
        <f t="shared" si="35"/>
        <v>0.81333588864888373</v>
      </c>
      <c r="L87" s="55">
        <f t="shared" si="36"/>
        <v>2.1715493714812722E-2</v>
      </c>
      <c r="M87" s="55">
        <f t="shared" si="19"/>
        <v>0.97828450628518726</v>
      </c>
      <c r="N87" s="55">
        <f t="shared" si="37"/>
        <v>1.3280509679598908E-2</v>
      </c>
      <c r="O87" s="56">
        <f t="shared" si="21"/>
        <v>8.1407206785697782E-7</v>
      </c>
      <c r="P87" s="56">
        <f t="shared" si="38"/>
        <v>5.6182475100989107E-5</v>
      </c>
      <c r="Q87" s="56">
        <f t="shared" si="39"/>
        <v>1.0105713597876537E-3</v>
      </c>
      <c r="R87" s="9">
        <f t="shared" si="12"/>
        <v>1.4999999999999999E-4</v>
      </c>
      <c r="S87" s="9">
        <f t="shared" si="13"/>
        <v>3.2573240572219079E-6</v>
      </c>
      <c r="T87" s="9">
        <f t="shared" si="10"/>
        <v>1.2200038329733255E-4</v>
      </c>
      <c r="U87" s="9">
        <f t="shared" si="11"/>
        <v>1.4674267594277807E-4</v>
      </c>
      <c r="V87" s="100">
        <f t="shared" si="14"/>
        <v>0.83138993148050733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281</v>
      </c>
      <c r="C88" s="46" t="s">
        <v>282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0.9190634048655969</v>
      </c>
      <c r="K88" s="55">
        <f t="shared" si="35"/>
        <v>0.95715507422537693</v>
      </c>
      <c r="L88" s="55">
        <f t="shared" si="36"/>
        <v>3.0733177782928914E-3</v>
      </c>
      <c r="M88" s="55">
        <f t="shared" si="19"/>
        <v>0.99692668222170711</v>
      </c>
      <c r="N88" s="55">
        <f t="shared" si="37"/>
        <v>2.2388396021930492E-4</v>
      </c>
      <c r="O88" s="56">
        <f t="shared" si="21"/>
        <v>9.5802142928778166E-7</v>
      </c>
      <c r="P88" s="56">
        <f t="shared" si="38"/>
        <v>7.9513089512943918E-6</v>
      </c>
      <c r="Q88" s="56">
        <f t="shared" si="39"/>
        <v>1.7036297820785222E-5</v>
      </c>
      <c r="R88" s="9">
        <f t="shared" si="12"/>
        <v>1.4999999999999999E-4</v>
      </c>
      <c r="S88" s="9">
        <f t="shared" si="13"/>
        <v>4.6099766674393365E-7</v>
      </c>
      <c r="T88" s="9">
        <f t="shared" si="10"/>
        <v>1.4357326113380653E-4</v>
      </c>
      <c r="U88" s="9">
        <f t="shared" si="11"/>
        <v>1.4953900233325606E-4</v>
      </c>
      <c r="V88" s="100">
        <f t="shared" si="14"/>
        <v>0.96010578440162031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283</v>
      </c>
      <c r="C89" s="46" t="s">
        <v>284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0.48257353970878836</v>
      </c>
      <c r="K89" s="55">
        <f t="shared" si="35"/>
        <v>0.98943728167095746</v>
      </c>
      <c r="L89" s="55">
        <f t="shared" si="36"/>
        <v>1.162849652567548E-3</v>
      </c>
      <c r="M89" s="55">
        <f t="shared" si="19"/>
        <v>0.99883715034743248</v>
      </c>
      <c r="N89" s="55">
        <f t="shared" si="37"/>
        <v>2.6782575186459176E-4</v>
      </c>
      <c r="O89" s="56">
        <f t="shared" si="21"/>
        <v>9.9033285650620704E-7</v>
      </c>
      <c r="P89" s="56">
        <f t="shared" si="38"/>
        <v>3.0085326407755365E-6</v>
      </c>
      <c r="Q89" s="56">
        <f t="shared" si="39"/>
        <v>2.0380018597006545E-5</v>
      </c>
      <c r="R89" s="9">
        <f t="shared" si="12"/>
        <v>1.4999999999999999E-4</v>
      </c>
      <c r="S89" s="9">
        <f t="shared" si="13"/>
        <v>1.7442744788513218E-7</v>
      </c>
      <c r="T89" s="9">
        <f t="shared" si="10"/>
        <v>1.484155922506436E-4</v>
      </c>
      <c r="U89" s="9">
        <f t="shared" si="11"/>
        <v>1.4982557255211485E-4</v>
      </c>
      <c r="V89" s="100">
        <f t="shared" si="14"/>
        <v>0.99058918796401851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285</v>
      </c>
      <c r="C90" s="46" t="s">
        <v>286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1.7294425468926289E-2</v>
      </c>
      <c r="K90" s="55">
        <f t="shared" si="35"/>
        <v>0.99878299942296445</v>
      </c>
      <c r="L90" s="55">
        <f t="shared" si="36"/>
        <v>4.0209375153134021E-4</v>
      </c>
      <c r="M90" s="55">
        <f t="shared" si="19"/>
        <v>0.99959790624846867</v>
      </c>
      <c r="N90" s="55">
        <f t="shared" si="37"/>
        <v>8.8856250599611237E-6</v>
      </c>
      <c r="O90" s="56">
        <f t="shared" si="21"/>
        <v>9.996870333993752E-7</v>
      </c>
      <c r="P90" s="56">
        <f t="shared" si="38"/>
        <v>1.0402997270222384E-6</v>
      </c>
      <c r="Q90" s="56">
        <f t="shared" si="39"/>
        <v>6.7614560103836012E-7</v>
      </c>
      <c r="R90" s="9">
        <f t="shared" si="12"/>
        <v>1.4999999999999999E-4</v>
      </c>
      <c r="S90" s="9">
        <f t="shared" si="13"/>
        <v>6.0314062729701023E-8</v>
      </c>
      <c r="T90" s="9">
        <f t="shared" si="10"/>
        <v>1.4981744991344464E-4</v>
      </c>
      <c r="U90" s="9">
        <f t="shared" si="11"/>
        <v>1.4993968593727028E-4</v>
      </c>
      <c r="V90" s="100">
        <f t="shared" si="14"/>
        <v>0.99918476537374656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287</v>
      </c>
      <c r="C91" s="46" t="s">
        <v>288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-1.2323623691093395E-2</v>
      </c>
      <c r="K91" s="55">
        <f t="shared" si="35"/>
        <v>0.99915928060961656</v>
      </c>
      <c r="L91" s="55">
        <f t="shared" si="36"/>
        <v>3.7572739398627212E-4</v>
      </c>
      <c r="M91" s="55">
        <f t="shared" si="19"/>
        <v>0.99962427260601372</v>
      </c>
      <c r="N91" s="55">
        <f t="shared" si="37"/>
        <v>4.0372252558189444E-6</v>
      </c>
      <c r="O91" s="56">
        <f t="shared" si="21"/>
        <v>1.0000636551714976E-6</v>
      </c>
      <c r="P91" s="56">
        <f t="shared" si="38"/>
        <v>9.7208450494469001E-7</v>
      </c>
      <c r="Q91" s="56">
        <f t="shared" si="39"/>
        <v>3.0720991249375208E-7</v>
      </c>
      <c r="R91" s="9">
        <f t="shared" si="12"/>
        <v>1.4999999999999999E-4</v>
      </c>
      <c r="S91" s="9">
        <f t="shared" si="13"/>
        <v>5.6359109097940812E-8</v>
      </c>
      <c r="T91" s="9">
        <f t="shared" si="10"/>
        <v>1.4987389209144246E-4</v>
      </c>
      <c r="U91" s="9">
        <f t="shared" si="11"/>
        <v>1.4994364089090205E-4</v>
      </c>
      <c r="V91" s="100">
        <f t="shared" si="14"/>
        <v>0.99953483322770376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289</v>
      </c>
      <c r="C92" s="46" t="s">
        <v>290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0.56590053270295515</v>
      </c>
      <c r="K92" s="55">
        <f t="shared" si="35"/>
        <v>0.98671249270388939</v>
      </c>
      <c r="L92" s="55">
        <f t="shared" si="36"/>
        <v>1.4049242760381831E-3</v>
      </c>
      <c r="M92" s="55">
        <f t="shared" si="19"/>
        <v>0.99859507572396178</v>
      </c>
      <c r="N92" s="55">
        <f t="shared" si="37"/>
        <v>3.6983980702734128E-4</v>
      </c>
      <c r="O92" s="56">
        <f t="shared" si="21"/>
        <v>9.8760560123584147E-7</v>
      </c>
      <c r="P92" s="56">
        <f t="shared" si="38"/>
        <v>3.6348297760989249E-6</v>
      </c>
      <c r="Q92" s="56">
        <f t="shared" si="39"/>
        <v>2.8142708804720476E-5</v>
      </c>
      <c r="R92" s="9">
        <f t="shared" si="12"/>
        <v>1.4999999999999999E-4</v>
      </c>
      <c r="S92" s="9">
        <f t="shared" si="13"/>
        <v>2.1073864140572745E-7</v>
      </c>
      <c r="T92" s="9">
        <f t="shared" ref="T92:T143" si="40">R92*K92</f>
        <v>1.480068739055834E-4</v>
      </c>
      <c r="U92" s="9">
        <f t="shared" ref="U92:U143" si="41">$R92*M92</f>
        <v>1.4978926135859424E-4</v>
      </c>
      <c r="V92" s="100">
        <f t="shared" si="14"/>
        <v>0.98810069936359568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291</v>
      </c>
      <c r="C93" s="46" t="s">
        <v>292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-1.113440459384777E-2</v>
      </c>
      <c r="K93" s="55">
        <f t="shared" si="35"/>
        <v>0.99914442458757424</v>
      </c>
      <c r="L93" s="55">
        <f t="shared" si="36"/>
        <v>3.7675204819598654E-4</v>
      </c>
      <c r="M93" s="55">
        <f t="shared" ref="M93:M127" si="42">IF(D93=0,"",1-L93)</f>
        <v>0.99962324795180402</v>
      </c>
      <c r="N93" s="55">
        <f t="shared" si="37"/>
        <v>4.2072967458966817E-6</v>
      </c>
      <c r="O93" s="56">
        <f t="shared" ref="O93:O127" si="43">IF(D93=0,"",F93*K93*$J$7/$J$14)</f>
        <v>1.0000487857027419E-6</v>
      </c>
      <c r="P93" s="56">
        <f t="shared" si="38"/>
        <v>9.7473549738264404E-7</v>
      </c>
      <c r="Q93" s="56">
        <f t="shared" si="39"/>
        <v>3.2015138696539767E-7</v>
      </c>
      <c r="R93" s="9">
        <f t="shared" ref="R93:R143" si="44">F93*$C$14</f>
        <v>1.4999999999999999E-4</v>
      </c>
      <c r="S93" s="9">
        <f t="shared" ref="S93:S143" si="45">$R93*L93</f>
        <v>5.6512807229397975E-8</v>
      </c>
      <c r="T93" s="9">
        <f t="shared" si="40"/>
        <v>1.4987166368813612E-4</v>
      </c>
      <c r="U93" s="9">
        <f t="shared" si="41"/>
        <v>1.4994348719277059E-4</v>
      </c>
      <c r="V93" s="100">
        <f t="shared" ref="V93:V143" si="46">K93/M93</f>
        <v>0.99952099617009627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293</v>
      </c>
      <c r="C94" s="46" t="s">
        <v>294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-4.0985461790256819E-2</v>
      </c>
      <c r="K94" s="55">
        <f t="shared" si="35"/>
        <v>0.99951336035140403</v>
      </c>
      <c r="L94" s="55">
        <f t="shared" si="36"/>
        <v>3.518559497578997E-4</v>
      </c>
      <c r="M94" s="55">
        <f t="shared" si="42"/>
        <v>0.99964814405024205</v>
      </c>
      <c r="N94" s="55">
        <f t="shared" si="37"/>
        <v>7.0352139633416035E-7</v>
      </c>
      <c r="O94" s="56">
        <f t="shared" si="43"/>
        <v>1.0004180554034388E-6</v>
      </c>
      <c r="P94" s="56">
        <f t="shared" si="38"/>
        <v>9.1032413980639537E-7</v>
      </c>
      <c r="Q94" s="56">
        <f t="shared" si="39"/>
        <v>5.3533982601983486E-8</v>
      </c>
      <c r="R94" s="9">
        <f t="shared" si="44"/>
        <v>1.4999999999999999E-4</v>
      </c>
      <c r="S94" s="9">
        <f t="shared" si="45"/>
        <v>5.277839246368495E-8</v>
      </c>
      <c r="T94" s="9">
        <f t="shared" si="40"/>
        <v>1.4992700405271059E-4</v>
      </c>
      <c r="U94" s="9">
        <f t="shared" si="41"/>
        <v>1.499472216075363E-4</v>
      </c>
      <c r="V94" s="100">
        <f t="shared" si="46"/>
        <v>0.99986516886002319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295</v>
      </c>
      <c r="C95" s="46" t="s">
        <v>296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0.94867954725222914</v>
      </c>
      <c r="J95" s="54">
        <f t="shared" si="34"/>
        <v>3.6424028743761494</v>
      </c>
      <c r="K95" s="55">
        <f t="shared" si="35"/>
        <v>9.444509055853495E-2</v>
      </c>
      <c r="L95" s="55">
        <f t="shared" si="36"/>
        <v>0.16037771409568261</v>
      </c>
      <c r="M95" s="55">
        <f t="shared" si="42"/>
        <v>0.83962228590431742</v>
      </c>
      <c r="N95" s="55">
        <f t="shared" si="37"/>
        <v>0.13803526211797687</v>
      </c>
      <c r="O95" s="56">
        <f t="shared" si="43"/>
        <v>9.4530576165337878E-8</v>
      </c>
      <c r="P95" s="56">
        <f t="shared" si="38"/>
        <v>4.1493032796155086E-4</v>
      </c>
      <c r="Q95" s="56">
        <f t="shared" si="39"/>
        <v>1.0503699474086903E-2</v>
      </c>
      <c r="R95" s="9">
        <f t="shared" si="44"/>
        <v>1.4999999999999999E-4</v>
      </c>
      <c r="S95" s="9">
        <f t="shared" si="45"/>
        <v>2.4056657114352387E-5</v>
      </c>
      <c r="T95" s="9">
        <f t="shared" si="40"/>
        <v>1.4166763583780242E-5</v>
      </c>
      <c r="U95" s="9">
        <f t="shared" si="41"/>
        <v>1.2594334288564761E-4</v>
      </c>
      <c r="V95" s="100">
        <f t="shared" si="46"/>
        <v>0.11248521167683467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297</v>
      </c>
      <c r="C96" s="46" t="s">
        <v>210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-5.2566219815115632E-2</v>
      </c>
      <c r="K96" s="55">
        <f t="shared" si="35"/>
        <v>0.99965735246934673</v>
      </c>
      <c r="L96" s="55">
        <f t="shared" si="36"/>
        <v>3.4264681721422993E-4</v>
      </c>
      <c r="M96" s="55">
        <f t="shared" si="42"/>
        <v>0.99965735318278581</v>
      </c>
      <c r="N96" s="55">
        <f t="shared" si="37"/>
        <v>2.2433231543847765E-14</v>
      </c>
      <c r="O96" s="56">
        <f t="shared" si="43"/>
        <v>1.000562177853763E-6</v>
      </c>
      <c r="P96" s="56">
        <f t="shared" si="38"/>
        <v>8.8649820857815363E-7</v>
      </c>
      <c r="Q96" s="56">
        <f t="shared" si="39"/>
        <v>1.7070415106524887E-15</v>
      </c>
      <c r="R96" s="9">
        <f t="shared" si="44"/>
        <v>1.4999999999999999E-4</v>
      </c>
      <c r="S96" s="9">
        <f t="shared" si="45"/>
        <v>5.1397022582134484E-8</v>
      </c>
      <c r="T96" s="9">
        <f t="shared" si="40"/>
        <v>1.4994860287040199E-4</v>
      </c>
      <c r="U96" s="9">
        <f t="shared" si="41"/>
        <v>1.4994860297741787E-4</v>
      </c>
      <c r="V96" s="100">
        <f t="shared" si="46"/>
        <v>0.99999999928631633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298</v>
      </c>
      <c r="C97" s="46" t="s">
        <v>211</v>
      </c>
      <c r="D97" s="47" t="s">
        <v>299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300</v>
      </c>
      <c r="C98" s="46" t="s">
        <v>212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3.5288390603770239</v>
      </c>
      <c r="K98" s="55">
        <f t="shared" si="35"/>
        <v>5.0928249130134377E-2</v>
      </c>
      <c r="L98" s="55">
        <f t="shared" si="36"/>
        <v>6.6582418087507839E-2</v>
      </c>
      <c r="M98" s="55">
        <f t="shared" si="42"/>
        <v>0.93341758191249213</v>
      </c>
      <c r="N98" s="55">
        <f t="shared" si="37"/>
        <v>1.1912404174963474E-2</v>
      </c>
      <c r="O98" s="56">
        <f t="shared" si="43"/>
        <v>5.0974346097743322E-8</v>
      </c>
      <c r="P98" s="56">
        <f t="shared" si="38"/>
        <v>1.7226249126509063E-4</v>
      </c>
      <c r="Q98" s="56">
        <f t="shared" si="39"/>
        <v>9.0646630105814855E-4</v>
      </c>
      <c r="R98" s="9">
        <f t="shared" si="44"/>
        <v>1.4999999999999999E-4</v>
      </c>
      <c r="S98" s="9">
        <f t="shared" si="45"/>
        <v>9.9873627131261758E-6</v>
      </c>
      <c r="T98" s="9">
        <f t="shared" si="40"/>
        <v>7.6392373695201553E-6</v>
      </c>
      <c r="U98" s="9">
        <f t="shared" si="41"/>
        <v>1.4001263728687381E-4</v>
      </c>
      <c r="V98" s="100">
        <f t="shared" si="46"/>
        <v>5.456105618429298E-2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301</v>
      </c>
      <c r="C99" s="46" t="s">
        <v>213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1.7929254376502075</v>
      </c>
      <c r="K99" s="55">
        <f t="shared" si="35"/>
        <v>0.73711157943219585</v>
      </c>
      <c r="L99" s="55">
        <f t="shared" si="36"/>
        <v>1.770192223935842E-2</v>
      </c>
      <c r="M99" s="55">
        <f t="shared" si="42"/>
        <v>0.9822980777606416</v>
      </c>
      <c r="N99" s="55">
        <f t="shared" si="37"/>
        <v>2.0256943092823161E-3</v>
      </c>
      <c r="O99" s="56">
        <f t="shared" si="43"/>
        <v>7.3777876531000675E-7</v>
      </c>
      <c r="P99" s="56">
        <f t="shared" si="38"/>
        <v>4.5798535299890451E-5</v>
      </c>
      <c r="Q99" s="56">
        <f t="shared" si="39"/>
        <v>1.5414383197884674E-4</v>
      </c>
      <c r="R99" s="9">
        <f t="shared" si="44"/>
        <v>1.4999999999999999E-4</v>
      </c>
      <c r="S99" s="9">
        <f t="shared" si="45"/>
        <v>2.6552883359037629E-6</v>
      </c>
      <c r="T99" s="9">
        <f t="shared" si="40"/>
        <v>1.1056673691482937E-4</v>
      </c>
      <c r="U99" s="9">
        <f t="shared" si="41"/>
        <v>1.4734471166409622E-4</v>
      </c>
      <c r="V99" s="100">
        <f t="shared" si="46"/>
        <v>0.75039501361195704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302</v>
      </c>
      <c r="C100" s="46" t="s">
        <v>214</v>
      </c>
      <c r="D100" s="47" t="s">
        <v>299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303</v>
      </c>
      <c r="C101" s="46" t="s">
        <v>215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3.1403147783650343</v>
      </c>
      <c r="K101" s="55">
        <f t="shared" si="35"/>
        <v>0.10785464973209426</v>
      </c>
      <c r="L101" s="55">
        <f t="shared" si="36"/>
        <v>5.7638863429785421E-2</v>
      </c>
      <c r="M101" s="55">
        <f t="shared" si="42"/>
        <v>0.94236113657021459</v>
      </c>
      <c r="N101" s="55">
        <f t="shared" si="37"/>
        <v>4.6976380014420562E-3</v>
      </c>
      <c r="O101" s="56">
        <f t="shared" si="43"/>
        <v>1.0795227280730483E-7</v>
      </c>
      <c r="P101" s="56">
        <f t="shared" si="38"/>
        <v>1.4912366497494374E-4</v>
      </c>
      <c r="Q101" s="56">
        <f t="shared" si="39"/>
        <v>3.5746357161277488E-4</v>
      </c>
      <c r="R101" s="9">
        <f t="shared" si="44"/>
        <v>1.4999999999999999E-4</v>
      </c>
      <c r="S101" s="9">
        <f t="shared" si="45"/>
        <v>8.6458295144678125E-6</v>
      </c>
      <c r="T101" s="9">
        <f t="shared" si="40"/>
        <v>1.6178197459814138E-5</v>
      </c>
      <c r="U101" s="9">
        <f t="shared" si="41"/>
        <v>1.4135417048553219E-4</v>
      </c>
      <c r="V101" s="100">
        <f t="shared" si="46"/>
        <v>0.11445150436130926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304</v>
      </c>
      <c r="C102" s="46" t="s">
        <v>216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2.3448328988321441</v>
      </c>
      <c r="K102" s="55">
        <f t="shared" si="35"/>
        <v>0.41523076466870373</v>
      </c>
      <c r="L102" s="55">
        <f t="shared" si="36"/>
        <v>3.5537279605699988E-2</v>
      </c>
      <c r="M102" s="55">
        <f t="shared" si="42"/>
        <v>0.96446272039430003</v>
      </c>
      <c r="N102" s="55">
        <f t="shared" si="37"/>
        <v>6.2665680320308433E-9</v>
      </c>
      <c r="O102" s="56">
        <f t="shared" si="43"/>
        <v>4.1560660478565452E-7</v>
      </c>
      <c r="P102" s="56">
        <f t="shared" si="38"/>
        <v>9.1942294880553957E-5</v>
      </c>
      <c r="Q102" s="56">
        <f t="shared" si="39"/>
        <v>4.7685023618178712E-10</v>
      </c>
      <c r="R102" s="9">
        <f t="shared" si="44"/>
        <v>1.4999999999999999E-4</v>
      </c>
      <c r="S102" s="9">
        <f t="shared" si="45"/>
        <v>5.3305919408549978E-6</v>
      </c>
      <c r="T102" s="9">
        <f t="shared" si="40"/>
        <v>6.2284614700305551E-5</v>
      </c>
      <c r="U102" s="9">
        <f t="shared" si="41"/>
        <v>1.4466940805914498E-4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305</v>
      </c>
      <c r="C103" s="46" t="s">
        <v>217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3.3932457157943472</v>
      </c>
      <c r="K103" s="55">
        <f t="shared" si="35"/>
        <v>5.9531334821657476E-2</v>
      </c>
      <c r="L103" s="55">
        <f t="shared" si="36"/>
        <v>5.6957785222519833E-2</v>
      </c>
      <c r="M103" s="55">
        <f t="shared" si="42"/>
        <v>0.94304221477748018</v>
      </c>
      <c r="N103" s="55">
        <f t="shared" si="37"/>
        <v>1.4982554157766248E-8</v>
      </c>
      <c r="O103" s="56">
        <f t="shared" si="43"/>
        <v>5.958521874776652E-8</v>
      </c>
      <c r="P103" s="56">
        <f t="shared" si="38"/>
        <v>1.4736157474001522E-4</v>
      </c>
      <c r="Q103" s="56">
        <f t="shared" si="39"/>
        <v>1.1400872777921338E-9</v>
      </c>
      <c r="R103" s="9">
        <f t="shared" si="44"/>
        <v>1.4999999999999999E-4</v>
      </c>
      <c r="S103" s="9">
        <f t="shared" si="45"/>
        <v>8.5436677833779746E-6</v>
      </c>
      <c r="T103" s="9">
        <f t="shared" si="40"/>
        <v>8.9297002232486201E-6</v>
      </c>
      <c r="U103" s="9">
        <f t="shared" si="41"/>
        <v>1.4145633221662201E-4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306</v>
      </c>
      <c r="C104" s="46" t="s">
        <v>218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4.114366029010359</v>
      </c>
      <c r="K104" s="55">
        <f t="shared" si="35"/>
        <v>1.2757306892067329E-2</v>
      </c>
      <c r="L104" s="55">
        <f t="shared" si="36"/>
        <v>6.4222438194584827E-2</v>
      </c>
      <c r="M104" s="55">
        <f t="shared" si="42"/>
        <v>0.93577756180541516</v>
      </c>
      <c r="N104" s="55">
        <f t="shared" si="37"/>
        <v>5.8183477898133083E-3</v>
      </c>
      <c r="O104" s="56">
        <f t="shared" si="43"/>
        <v>1.2768853983762516E-8</v>
      </c>
      <c r="P104" s="56">
        <f t="shared" si="38"/>
        <v>1.6615673501039677E-4</v>
      </c>
      <c r="Q104" s="56">
        <f t="shared" si="39"/>
        <v>4.4274322142180808E-4</v>
      </c>
      <c r="R104" s="9">
        <f t="shared" si="44"/>
        <v>1.4999999999999999E-4</v>
      </c>
      <c r="S104" s="9">
        <f t="shared" si="45"/>
        <v>9.6333657291877225E-6</v>
      </c>
      <c r="T104" s="9">
        <f t="shared" si="40"/>
        <v>1.913596033810099E-6</v>
      </c>
      <c r="U104" s="9">
        <f t="shared" si="41"/>
        <v>1.4036663427081225E-4</v>
      </c>
      <c r="V104" s="100">
        <f t="shared" si="46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307</v>
      </c>
      <c r="C105" s="46" t="s">
        <v>219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3.8599571997359581</v>
      </c>
      <c r="K105" s="55">
        <f t="shared" si="35"/>
        <v>2.9079042399132258E-2</v>
      </c>
      <c r="L105" s="55">
        <f t="shared" si="36"/>
        <v>8.1489013023209031E-2</v>
      </c>
      <c r="M105" s="55">
        <f t="shared" si="42"/>
        <v>0.91851098697679101</v>
      </c>
      <c r="N105" s="55">
        <f t="shared" si="37"/>
        <v>2.9690723124200704E-2</v>
      </c>
      <c r="O105" s="56">
        <f t="shared" si="43"/>
        <v>2.9105362873495058E-8</v>
      </c>
      <c r="P105" s="56">
        <f t="shared" si="38"/>
        <v>2.1082893648683972E-4</v>
      </c>
      <c r="Q105" s="56">
        <f t="shared" si="39"/>
        <v>2.2592954008982297E-3</v>
      </c>
      <c r="R105" s="9">
        <f t="shared" si="44"/>
        <v>1.4999999999999999E-4</v>
      </c>
      <c r="S105" s="9">
        <f t="shared" si="45"/>
        <v>1.2223351953481353E-5</v>
      </c>
      <c r="T105" s="9">
        <f t="shared" si="40"/>
        <v>4.3618563598698379E-6</v>
      </c>
      <c r="U105" s="9">
        <f t="shared" si="41"/>
        <v>1.3777664804651865E-4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308</v>
      </c>
      <c r="C106" s="46" t="s">
        <v>220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2.8509111830841749</v>
      </c>
      <c r="K106" s="55">
        <f t="shared" si="35"/>
        <v>0.18542762663124551</v>
      </c>
      <c r="L106" s="55">
        <f t="shared" si="36"/>
        <v>5.0891749408526178E-2</v>
      </c>
      <c r="M106" s="55">
        <f t="shared" si="42"/>
        <v>0.94910825059147386</v>
      </c>
      <c r="N106" s="55">
        <f t="shared" si="37"/>
        <v>1.9825087554985296E-3</v>
      </c>
      <c r="O106" s="56">
        <f t="shared" si="43"/>
        <v>1.8559546376377255E-7</v>
      </c>
      <c r="P106" s="56">
        <f t="shared" si="38"/>
        <v>1.3166748504732107E-4</v>
      </c>
      <c r="Q106" s="56">
        <f t="shared" si="39"/>
        <v>1.5085765660882269E-4</v>
      </c>
      <c r="R106" s="9">
        <f t="shared" si="44"/>
        <v>1.4999999999999999E-4</v>
      </c>
      <c r="S106" s="9">
        <f t="shared" si="45"/>
        <v>7.6337624112789269E-6</v>
      </c>
      <c r="T106" s="9">
        <f t="shared" si="40"/>
        <v>2.7814143994686825E-5</v>
      </c>
      <c r="U106" s="9">
        <f t="shared" si="41"/>
        <v>1.4236623758872108E-4</v>
      </c>
      <c r="V106" s="100">
        <f t="shared" si="46"/>
        <v>0.19537036635777746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309</v>
      </c>
      <c r="C107" s="46" t="s">
        <v>221</v>
      </c>
      <c r="D107" s="47" t="s">
        <v>299</v>
      </c>
      <c r="E107" s="47" t="s">
        <v>310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311</v>
      </c>
      <c r="C108" s="46" t="s">
        <v>222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3.5703766155723007</v>
      </c>
      <c r="K108" s="55">
        <f t="shared" si="35"/>
        <v>4.4413150592789039E-2</v>
      </c>
      <c r="L108" s="55">
        <f t="shared" si="36"/>
        <v>6.389251083432862E-2</v>
      </c>
      <c r="M108" s="55">
        <f t="shared" si="42"/>
        <v>0.93610748916567132</v>
      </c>
      <c r="N108" s="55">
        <f t="shared" si="37"/>
        <v>7.880472480150745E-3</v>
      </c>
      <c r="O108" s="56">
        <f t="shared" si="43"/>
        <v>4.4453350513250774E-8</v>
      </c>
      <c r="P108" s="56">
        <f t="shared" si="38"/>
        <v>1.6530314466858083E-4</v>
      </c>
      <c r="Q108" s="56">
        <f t="shared" si="39"/>
        <v>5.9965919849211988E-4</v>
      </c>
      <c r="R108" s="9">
        <f t="shared" si="44"/>
        <v>1.4999999999999999E-4</v>
      </c>
      <c r="S108" s="9">
        <f t="shared" si="45"/>
        <v>9.5838766251492913E-6</v>
      </c>
      <c r="T108" s="9">
        <f t="shared" si="40"/>
        <v>6.6619725889183548E-6</v>
      </c>
      <c r="U108" s="9">
        <f t="shared" si="41"/>
        <v>1.4041612337485068E-4</v>
      </c>
      <c r="V108" s="100">
        <f t="shared" si="46"/>
        <v>4.7444498742738768E-2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312</v>
      </c>
      <c r="C109" s="46" t="s">
        <v>223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3.8699633913590414</v>
      </c>
      <c r="K109" s="55">
        <f t="shared" si="35"/>
        <v>2.6747233203715328E-2</v>
      </c>
      <c r="L109" s="55">
        <f t="shared" si="36"/>
        <v>7.6701527498391583E-2</v>
      </c>
      <c r="M109" s="55">
        <f t="shared" si="42"/>
        <v>0.92329847250160846</v>
      </c>
      <c r="N109" s="55">
        <f t="shared" si="37"/>
        <v>2.3244464133495284E-2</v>
      </c>
      <c r="O109" s="56">
        <f t="shared" si="43"/>
        <v>2.6771443074733476E-8</v>
      </c>
      <c r="P109" s="56">
        <f t="shared" si="38"/>
        <v>1.984427209198905E-4</v>
      </c>
      <c r="Q109" s="56">
        <f t="shared" si="39"/>
        <v>1.7687717033184763E-3</v>
      </c>
      <c r="R109" s="9">
        <f t="shared" si="44"/>
        <v>1.4999999999999999E-4</v>
      </c>
      <c r="S109" s="9">
        <f t="shared" si="45"/>
        <v>1.1505229124758736E-5</v>
      </c>
      <c r="T109" s="9">
        <f t="shared" si="40"/>
        <v>4.0120849805572988E-6</v>
      </c>
      <c r="U109" s="9">
        <f t="shared" si="41"/>
        <v>1.3849477087524126E-4</v>
      </c>
      <c r="V109" s="100">
        <f t="shared" si="46"/>
        <v>2.8969216348041487E-2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202</v>
      </c>
      <c r="C110" s="46" t="s">
        <v>203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2.0991464926918666</v>
      </c>
      <c r="K110" s="55">
        <f t="shared" si="35"/>
        <v>0.55760620140365957</v>
      </c>
      <c r="L110" s="55">
        <f t="shared" si="36"/>
        <v>2.7104153308065926E-2</v>
      </c>
      <c r="M110" s="55">
        <f t="shared" si="42"/>
        <v>0.97289584669193407</v>
      </c>
      <c r="N110" s="55">
        <f t="shared" si="37"/>
        <v>1.8423335862795726E-4</v>
      </c>
      <c r="O110" s="56">
        <f t="shared" si="43"/>
        <v>5.5811091058655282E-7</v>
      </c>
      <c r="P110" s="56">
        <f t="shared" si="38"/>
        <v>7.0124052363823396E-5</v>
      </c>
      <c r="Q110" s="56">
        <f t="shared" si="39"/>
        <v>1.4019112235798179E-5</v>
      </c>
      <c r="R110" s="9">
        <f t="shared" si="44"/>
        <v>1.4999999999999999E-4</v>
      </c>
      <c r="S110" s="9">
        <f t="shared" si="45"/>
        <v>4.0656229962098885E-6</v>
      </c>
      <c r="T110" s="9">
        <f t="shared" si="40"/>
        <v>8.3640930210548934E-5</v>
      </c>
      <c r="U110" s="9">
        <f t="shared" si="41"/>
        <v>1.459343770037901E-4</v>
      </c>
      <c r="V110" s="100">
        <f t="shared" si="46"/>
        <v>0.57314069465878259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204</v>
      </c>
      <c r="C111" s="46" t="s">
        <v>205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2.2537100365210812</v>
      </c>
      <c r="K111" s="55">
        <f t="shared" si="35"/>
        <v>0.65015627891731265</v>
      </c>
      <c r="L111" s="55">
        <f t="shared" si="36"/>
        <v>4.5111737552265913E-2</v>
      </c>
      <c r="M111" s="55">
        <f t="shared" si="42"/>
        <v>0.95488826244773406</v>
      </c>
      <c r="N111" s="55">
        <f t="shared" si="37"/>
        <v>3.1030862575342353E-2</v>
      </c>
      <c r="O111" s="56">
        <f t="shared" si="43"/>
        <v>6.5074475846337797E-7</v>
      </c>
      <c r="P111" s="56">
        <f t="shared" si="38"/>
        <v>1.1671339851065376E-4</v>
      </c>
      <c r="Q111" s="56">
        <f t="shared" si="39"/>
        <v>2.3612724017904275E-3</v>
      </c>
      <c r="R111" s="9">
        <f t="shared" si="44"/>
        <v>1.4999999999999999E-4</v>
      </c>
      <c r="S111" s="9">
        <f t="shared" si="45"/>
        <v>6.7667606328398862E-6</v>
      </c>
      <c r="T111" s="9">
        <f t="shared" si="40"/>
        <v>9.7523441837596886E-5</v>
      </c>
      <c r="U111" s="9">
        <f t="shared" si="41"/>
        <v>1.4323323936716009E-4</v>
      </c>
      <c r="V111" s="100">
        <f t="shared" si="46"/>
        <v>0.68087157889104233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206</v>
      </c>
      <c r="C112" s="46" t="s">
        <v>207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2.5219720041185627</v>
      </c>
      <c r="J112" s="54">
        <f t="shared" si="34"/>
        <v>5.3117367618268752</v>
      </c>
      <c r="K112" s="55">
        <f t="shared" si="35"/>
        <v>2.426506391584371E-3</v>
      </c>
      <c r="L112" s="55">
        <f t="shared" si="36"/>
        <v>0.1924331809076931</v>
      </c>
      <c r="M112" s="55">
        <f t="shared" si="42"/>
        <v>0.80756681909230688</v>
      </c>
      <c r="N112" s="55">
        <f t="shared" si="37"/>
        <v>0.17271860194822605</v>
      </c>
      <c r="O112" s="56">
        <f t="shared" si="43"/>
        <v>2.4287027087255698E-9</v>
      </c>
      <c r="P112" s="56">
        <f t="shared" si="38"/>
        <v>4.9786445276976904E-4</v>
      </c>
      <c r="Q112" s="56">
        <f t="shared" si="39"/>
        <v>1.3142904650683015E-2</v>
      </c>
      <c r="R112" s="9">
        <f t="shared" si="44"/>
        <v>1.4999999999999999E-4</v>
      </c>
      <c r="S112" s="9">
        <f t="shared" si="45"/>
        <v>2.8864977136153962E-5</v>
      </c>
      <c r="T112" s="9">
        <f t="shared" si="40"/>
        <v>3.6397595873765559E-7</v>
      </c>
      <c r="U112" s="9">
        <f t="shared" si="41"/>
        <v>1.2113502286384601E-4</v>
      </c>
      <c r="V112" s="100">
        <f t="shared" si="46"/>
        <v>3.0047128413618184E-3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208</v>
      </c>
      <c r="C113" s="46" t="s">
        <v>209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5.6876254788112171</v>
      </c>
      <c r="K113" s="55">
        <f t="shared" si="35"/>
        <v>1.0806850245643099E-3</v>
      </c>
      <c r="L113" s="55">
        <f t="shared" si="36"/>
        <v>0.20365091677206523</v>
      </c>
      <c r="M113" s="55">
        <f t="shared" si="42"/>
        <v>0.79634908322793474</v>
      </c>
      <c r="N113" s="55">
        <f t="shared" si="37"/>
        <v>0.18728664406069545</v>
      </c>
      <c r="O113" s="56">
        <f t="shared" si="43"/>
        <v>1.081663190973399E-9</v>
      </c>
      <c r="P113" s="56">
        <f t="shared" si="38"/>
        <v>5.2688705636176896E-4</v>
      </c>
      <c r="Q113" s="56">
        <f t="shared" si="39"/>
        <v>1.4251449916054685E-2</v>
      </c>
      <c r="R113" s="9">
        <f t="shared" si="44"/>
        <v>1.4999999999999999E-4</v>
      </c>
      <c r="S113" s="9">
        <f t="shared" si="45"/>
        <v>3.054763751580978E-5</v>
      </c>
      <c r="T113" s="9">
        <f t="shared" si="40"/>
        <v>1.6210275368464647E-7</v>
      </c>
      <c r="U113" s="9">
        <f t="shared" si="41"/>
        <v>1.194523624841902E-4</v>
      </c>
      <c r="V113" s="100">
        <f t="shared" si="46"/>
        <v>1.3570493736036501E-3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6.1146638337723394</v>
      </c>
      <c r="K114" s="55">
        <f t="shared" si="35"/>
        <v>4.2416277586300005E-4</v>
      </c>
      <c r="L114" s="55">
        <f t="shared" si="36"/>
        <v>0.21367718010564868</v>
      </c>
      <c r="M114" s="55">
        <f t="shared" si="42"/>
        <v>0.78632281989435127</v>
      </c>
      <c r="N114" s="55">
        <f t="shared" si="37"/>
        <v>0.20035040604529411</v>
      </c>
      <c r="O114" s="56">
        <f t="shared" si="43"/>
        <v>4.2454670066060927E-10</v>
      </c>
      <c r="P114" s="56">
        <f t="shared" si="38"/>
        <v>5.5282707400505988E-4</v>
      </c>
      <c r="Q114" s="56">
        <f t="shared" si="39"/>
        <v>1.524552800727421E-2</v>
      </c>
      <c r="R114" s="9">
        <f t="shared" si="44"/>
        <v>1.4999999999999999E-4</v>
      </c>
      <c r="S114" s="9">
        <f t="shared" si="45"/>
        <v>3.2051577015847302E-5</v>
      </c>
      <c r="T114" s="9">
        <f t="shared" si="40"/>
        <v>6.3624416379449996E-8</v>
      </c>
      <c r="U114" s="9">
        <f t="shared" si="41"/>
        <v>1.1794842298415268E-4</v>
      </c>
      <c r="V114" s="100">
        <f t="shared" si="46"/>
        <v>5.3942574872746247E-4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</v>
      </c>
      <c r="J115" s="54">
        <f t="shared" si="34"/>
        <v>4.7023315490272344</v>
      </c>
      <c r="K115" s="55">
        <f t="shared" si="35"/>
        <v>1.060033160311683E-2</v>
      </c>
      <c r="L115" s="55">
        <f t="shared" si="36"/>
        <v>0.20663922178202465</v>
      </c>
      <c r="M115" s="55">
        <f t="shared" si="42"/>
        <v>0.79336077821797535</v>
      </c>
      <c r="N115" s="55">
        <f t="shared" si="37"/>
        <v>0.19194559852712759</v>
      </c>
      <c r="O115" s="56">
        <f t="shared" si="43"/>
        <v>1.0609926339847409E-8</v>
      </c>
      <c r="P115" s="56">
        <f t="shared" si="38"/>
        <v>5.3461841969253544E-4</v>
      </c>
      <c r="Q115" s="56">
        <f t="shared" si="39"/>
        <v>1.4605969890356851E-2</v>
      </c>
      <c r="R115" s="9">
        <f t="shared" si="44"/>
        <v>1.4999999999999999E-4</v>
      </c>
      <c r="S115" s="9">
        <f t="shared" si="45"/>
        <v>3.0995883267303696E-5</v>
      </c>
      <c r="T115" s="9">
        <f t="shared" si="40"/>
        <v>1.5900497404675243E-6</v>
      </c>
      <c r="U115" s="9">
        <f t="shared" si="41"/>
        <v>1.1900411673269629E-4</v>
      </c>
      <c r="V115" s="100">
        <f t="shared" si="46"/>
        <v>1.3361300298871589E-2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224</v>
      </c>
      <c r="C116" s="46" t="s">
        <v>225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-2.0478153790305868E-2</v>
      </c>
      <c r="K116" s="55">
        <f t="shared" si="35"/>
        <v>0.99926068790366707</v>
      </c>
      <c r="L116" s="55">
        <f t="shared" si="36"/>
        <v>3.6877579305246555E-4</v>
      </c>
      <c r="M116" s="55">
        <f t="shared" si="42"/>
        <v>0.9996312242069475</v>
      </c>
      <c r="N116" s="55">
        <f t="shared" si="37"/>
        <v>2.9321657867312468E-6</v>
      </c>
      <c r="O116" s="56">
        <f t="shared" si="43"/>
        <v>1.0001651542528927E-6</v>
      </c>
      <c r="P116" s="56">
        <f t="shared" si="38"/>
        <v>9.540992750666703E-7</v>
      </c>
      <c r="Q116" s="56">
        <f t="shared" si="39"/>
        <v>2.2312116309600275E-7</v>
      </c>
      <c r="R116" s="9">
        <f t="shared" si="44"/>
        <v>1.4999999999999999E-4</v>
      </c>
      <c r="S116" s="9">
        <f t="shared" si="45"/>
        <v>5.5316368957869831E-8</v>
      </c>
      <c r="T116" s="9">
        <f t="shared" si="40"/>
        <v>1.4988910318555006E-4</v>
      </c>
      <c r="U116" s="9">
        <f t="shared" si="41"/>
        <v>1.499446836310421E-4</v>
      </c>
      <c r="V116" s="100">
        <f t="shared" si="46"/>
        <v>0.99962932700149054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226</v>
      </c>
      <c r="C117" s="46" t="s">
        <v>227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1.0136234276499627</v>
      </c>
      <c r="K117" s="55">
        <f t="shared" si="35"/>
        <v>0.96091087887689697</v>
      </c>
      <c r="L117" s="55">
        <f t="shared" si="36"/>
        <v>3.8359089952022564E-3</v>
      </c>
      <c r="M117" s="55">
        <f t="shared" si="42"/>
        <v>0.99616409100479775</v>
      </c>
      <c r="N117" s="55">
        <f t="shared" si="37"/>
        <v>1.5173046354527023E-3</v>
      </c>
      <c r="O117" s="56">
        <f t="shared" si="43"/>
        <v>9.6178063345152382E-7</v>
      </c>
      <c r="P117" s="56">
        <f t="shared" si="38"/>
        <v>9.9242902069320736E-6</v>
      </c>
      <c r="Q117" s="56">
        <f t="shared" si="39"/>
        <v>1.1545826520626857E-4</v>
      </c>
      <c r="R117" s="9">
        <f t="shared" si="44"/>
        <v>1.4999999999999999E-4</v>
      </c>
      <c r="S117" s="9">
        <f t="shared" si="45"/>
        <v>5.7538634928033843E-7</v>
      </c>
      <c r="T117" s="9">
        <f t="shared" si="40"/>
        <v>1.4413663183153452E-4</v>
      </c>
      <c r="U117" s="9">
        <f t="shared" si="41"/>
        <v>1.4942461365071965E-4</v>
      </c>
      <c r="V117" s="100">
        <f t="shared" si="46"/>
        <v>0.96461103903841583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228</v>
      </c>
      <c r="C118" s="46" t="s">
        <v>229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2.2667887997146607</v>
      </c>
      <c r="K118" s="55">
        <f t="shared" si="35"/>
        <v>0.64403093822941215</v>
      </c>
      <c r="L118" s="55">
        <f t="shared" si="36"/>
        <v>4.605293227383471E-2</v>
      </c>
      <c r="M118" s="55">
        <f t="shared" si="42"/>
        <v>0.95394706772616533</v>
      </c>
      <c r="N118" s="55">
        <f t="shared" si="37"/>
        <v>3.1779523972586987E-2</v>
      </c>
      <c r="O118" s="56">
        <f t="shared" si="43"/>
        <v>6.4461387351200671E-7</v>
      </c>
      <c r="P118" s="56">
        <f t="shared" si="38"/>
        <v>1.1914846398529466E-4</v>
      </c>
      <c r="Q118" s="56">
        <f t="shared" si="39"/>
        <v>2.4182412820884678E-3</v>
      </c>
      <c r="R118" s="9">
        <f t="shared" si="44"/>
        <v>1.4999999999999999E-4</v>
      </c>
      <c r="S118" s="9">
        <f t="shared" si="45"/>
        <v>6.9079398410752059E-6</v>
      </c>
      <c r="T118" s="9">
        <f t="shared" si="40"/>
        <v>9.6604640734411815E-5</v>
      </c>
      <c r="U118" s="9">
        <f t="shared" si="41"/>
        <v>1.4309206015892479E-4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230</v>
      </c>
      <c r="C119" s="46" t="s">
        <v>231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-4.8356858500751228E-2</v>
      </c>
      <c r="K119" s="55">
        <f t="shared" si="35"/>
        <v>0.99960441176496762</v>
      </c>
      <c r="L119" s="55">
        <f t="shared" si="36"/>
        <v>3.459657153665325E-4</v>
      </c>
      <c r="M119" s="55">
        <f t="shared" si="42"/>
        <v>0.99965403428463351</v>
      </c>
      <c r="N119" s="55">
        <f t="shared" si="37"/>
        <v>1.7105844266085435E-7</v>
      </c>
      <c r="O119" s="56">
        <f t="shared" si="43"/>
        <v>1.0005091892308715E-6</v>
      </c>
      <c r="P119" s="56">
        <f t="shared" si="38"/>
        <v>8.9508488476674346E-7</v>
      </c>
      <c r="Q119" s="56">
        <f t="shared" si="39"/>
        <v>1.301657595781059E-8</v>
      </c>
      <c r="R119" s="9">
        <f t="shared" si="44"/>
        <v>1.4999999999999999E-4</v>
      </c>
      <c r="S119" s="9">
        <f t="shared" si="45"/>
        <v>5.189485730497987E-8</v>
      </c>
      <c r="T119" s="9">
        <f t="shared" si="40"/>
        <v>1.4994066176474513E-4</v>
      </c>
      <c r="U119" s="9">
        <f t="shared" si="41"/>
        <v>1.4994810514269501E-4</v>
      </c>
      <c r="V119" s="100">
        <f t="shared" si="46"/>
        <v>0.99995036030670215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232</v>
      </c>
      <c r="C120" s="46" t="s">
        <v>233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-5.256627584232975E-2</v>
      </c>
      <c r="K120" s="55">
        <f t="shared" si="35"/>
        <v>0.99965735319894389</v>
      </c>
      <c r="L120" s="55">
        <f t="shared" si="36"/>
        <v>3.4264677326032795E-4</v>
      </c>
      <c r="M120" s="55">
        <f t="shared" si="42"/>
        <v>0.99965735322673965</v>
      </c>
      <c r="N120" s="55">
        <f t="shared" si="37"/>
        <v>2.2184101275807485E-16</v>
      </c>
      <c r="O120" s="56">
        <f t="shared" si="43"/>
        <v>1.0005621785840206E-6</v>
      </c>
      <c r="P120" s="56">
        <f t="shared" si="38"/>
        <v>8.8649809486031524E-7</v>
      </c>
      <c r="Q120" s="56">
        <f t="shared" si="39"/>
        <v>1.6880841121932653E-17</v>
      </c>
      <c r="R120" s="9">
        <f t="shared" si="44"/>
        <v>1.4999999999999999E-4</v>
      </c>
      <c r="S120" s="9">
        <f t="shared" si="45"/>
        <v>5.1397015989049186E-8</v>
      </c>
      <c r="T120" s="9">
        <f t="shared" si="40"/>
        <v>1.4994860297984158E-4</v>
      </c>
      <c r="U120" s="9">
        <f t="shared" si="41"/>
        <v>1.4994860298401093E-4</v>
      </c>
      <c r="V120" s="100">
        <f t="shared" si="46"/>
        <v>0.99999999997219469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234</v>
      </c>
      <c r="C121" s="46" t="s">
        <v>235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0.23901285890737395</v>
      </c>
      <c r="K121" s="55">
        <f t="shared" si="35"/>
        <v>0.99531069049097542</v>
      </c>
      <c r="L121" s="55">
        <f t="shared" si="36"/>
        <v>6.6762606694603232E-4</v>
      </c>
      <c r="M121" s="55">
        <f t="shared" si="42"/>
        <v>0.99933237393305396</v>
      </c>
      <c r="N121" s="55">
        <f t="shared" si="37"/>
        <v>8.2698676123688992E-5</v>
      </c>
      <c r="O121" s="56">
        <f t="shared" si="43"/>
        <v>9.9621158155721159E-7</v>
      </c>
      <c r="P121" s="56">
        <f t="shared" si="38"/>
        <v>1.7272867647204773E-6</v>
      </c>
      <c r="Q121" s="56">
        <f t="shared" si="39"/>
        <v>6.2928995647913397E-6</v>
      </c>
      <c r="R121" s="9">
        <f t="shared" si="44"/>
        <v>1.4999999999999999E-4</v>
      </c>
      <c r="S121" s="9">
        <f t="shared" si="45"/>
        <v>1.0014391004190484E-7</v>
      </c>
      <c r="T121" s="9">
        <f t="shared" si="40"/>
        <v>1.4929660357364629E-4</v>
      </c>
      <c r="U121" s="9">
        <f t="shared" si="41"/>
        <v>1.4989985608995809E-4</v>
      </c>
      <c r="V121" s="100">
        <f t="shared" si="46"/>
        <v>0.99597562978346188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236</v>
      </c>
      <c r="C122" s="46" t="s">
        <v>237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5.358242977665614</v>
      </c>
      <c r="K122" s="55">
        <f t="shared" si="35"/>
        <v>2.5256107960517958E-3</v>
      </c>
      <c r="L122" s="55">
        <f t="shared" si="36"/>
        <v>0.22293135736974629</v>
      </c>
      <c r="M122" s="55">
        <f t="shared" si="42"/>
        <v>0.77706864263025377</v>
      </c>
      <c r="N122" s="55">
        <f t="shared" si="37"/>
        <v>0.2126214532792553</v>
      </c>
      <c r="O122" s="56">
        <f t="shared" si="43"/>
        <v>2.5278968161103472E-9</v>
      </c>
      <c r="P122" s="56">
        <f t="shared" si="38"/>
        <v>5.7676954524464477E-4</v>
      </c>
      <c r="Q122" s="56">
        <f t="shared" si="39"/>
        <v>1.6179285008204106E-2</v>
      </c>
      <c r="R122" s="9">
        <f t="shared" si="44"/>
        <v>1.4999999999999999E-4</v>
      </c>
      <c r="S122" s="9">
        <f t="shared" si="45"/>
        <v>3.3439703605461942E-5</v>
      </c>
      <c r="T122" s="9">
        <f t="shared" si="40"/>
        <v>3.7884161940776936E-7</v>
      </c>
      <c r="U122" s="9">
        <f t="shared" si="41"/>
        <v>1.1656029639453806E-4</v>
      </c>
      <c r="V122" s="100">
        <f t="shared" si="46"/>
        <v>3.2501772140785465E-3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238</v>
      </c>
      <c r="C123" s="46" t="s">
        <v>239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0.87939054598043731</v>
      </c>
      <c r="K123" s="55">
        <f t="shared" ref="K123:K127" si="49">IF(D123=0,"",1/(1+10^D123*$J$15/$J$14+10^E123*$J$16/$J$14+10^J123*$J$19/$J$14))</f>
        <v>0.97315201743016333</v>
      </c>
      <c r="L123" s="55">
        <f t="shared" ref="L123:L127" si="50">IF(D123=0,"",1/(1+10^I123/10^J123*$J$13/$J$19))</f>
        <v>2.8518914463839997E-3</v>
      </c>
      <c r="M123" s="55">
        <f t="shared" si="42"/>
        <v>0.99714810855361602</v>
      </c>
      <c r="N123" s="55">
        <f t="shared" ref="N123:N127" si="51">IF(D123=0,"",1/(1/10^E123*$J$20/$J$22+10^D123/10^E123*$J$21/$J$22+10^I123/10^E123*$J$13/$J$22+1))</f>
        <v>1.194401559294231E-3</v>
      </c>
      <c r="O123" s="56">
        <f t="shared" si="43"/>
        <v>9.7403285189418406E-7</v>
      </c>
      <c r="P123" s="56">
        <f t="shared" ref="P123:P127" si="52">IF(D123=0,"",O123*10^J123)</f>
        <v>7.3784332183015568E-6</v>
      </c>
      <c r="Q123" s="56">
        <f t="shared" ref="Q123:Q127" si="53">IF(D123=0,"",F123*N123*$J$7/$J$22)</f>
        <v>9.0887175042887288E-5</v>
      </c>
      <c r="R123" s="9">
        <f t="shared" si="44"/>
        <v>1.4999999999999999E-4</v>
      </c>
      <c r="S123" s="9">
        <f t="shared" si="45"/>
        <v>4.2778371695759993E-7</v>
      </c>
      <c r="T123" s="9">
        <f t="shared" si="40"/>
        <v>1.4597280261452447E-4</v>
      </c>
      <c r="U123" s="9">
        <f t="shared" si="41"/>
        <v>1.4957221628304239E-4</v>
      </c>
      <c r="V123" s="100">
        <f t="shared" si="46"/>
        <v>0.97593527890429488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240</v>
      </c>
      <c r="C124" s="46" t="s">
        <v>241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1.0210151944953776</v>
      </c>
      <c r="K124" s="55">
        <f t="shared" si="49"/>
        <v>0.94976571224581574</v>
      </c>
      <c r="L124" s="55">
        <f t="shared" si="50"/>
        <v>3.8565009153037977E-3</v>
      </c>
      <c r="M124" s="55">
        <f t="shared" si="42"/>
        <v>0.99614349908469624</v>
      </c>
      <c r="N124" s="55">
        <f t="shared" si="51"/>
        <v>6.662744528653481E-4</v>
      </c>
      <c r="O124" s="56">
        <f t="shared" si="43"/>
        <v>9.5062537893417188E-7</v>
      </c>
      <c r="P124" s="56">
        <f t="shared" si="52"/>
        <v>9.977565764632022E-6</v>
      </c>
      <c r="Q124" s="56">
        <f t="shared" si="53"/>
        <v>5.0699701748513388E-5</v>
      </c>
      <c r="R124" s="9">
        <f t="shared" si="44"/>
        <v>1.4999999999999999E-4</v>
      </c>
      <c r="S124" s="9">
        <f t="shared" si="45"/>
        <v>5.7847513729556957E-7</v>
      </c>
      <c r="T124" s="9">
        <f t="shared" si="40"/>
        <v>1.4246485683687234E-4</v>
      </c>
      <c r="U124" s="9">
        <f t="shared" si="41"/>
        <v>1.4942152486270441E-4</v>
      </c>
      <c r="V124" s="100">
        <f t="shared" si="46"/>
        <v>0.95344266475513362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242</v>
      </c>
      <c r="C125" s="46" t="s">
        <v>243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9.1475309817773021E-2</v>
      </c>
      <c r="K125" s="55">
        <f t="shared" si="49"/>
        <v>0.9976630075007803</v>
      </c>
      <c r="L125" s="55">
        <f t="shared" si="50"/>
        <v>4.764539550667845E-4</v>
      </c>
      <c r="M125" s="55">
        <f t="shared" si="42"/>
        <v>0.99952354604493321</v>
      </c>
      <c r="N125" s="55">
        <f t="shared" si="51"/>
        <v>1.79291435170584E-5</v>
      </c>
      <c r="O125" s="56">
        <f t="shared" si="43"/>
        <v>9.9856602773271268E-7</v>
      </c>
      <c r="P125" s="56">
        <f t="shared" si="52"/>
        <v>1.2326849584381303E-6</v>
      </c>
      <c r="Q125" s="56">
        <f t="shared" si="53"/>
        <v>1.3643059928411509E-6</v>
      </c>
      <c r="R125" s="9">
        <f t="shared" si="44"/>
        <v>1.4999999999999999E-4</v>
      </c>
      <c r="S125" s="9">
        <f t="shared" si="45"/>
        <v>7.1468093260017669E-8</v>
      </c>
      <c r="T125" s="9">
        <f t="shared" si="40"/>
        <v>1.4964945112511704E-4</v>
      </c>
      <c r="U125" s="9">
        <f t="shared" si="41"/>
        <v>1.4992853190673997E-4</v>
      </c>
      <c r="V125" s="100">
        <f t="shared" si="46"/>
        <v>0.99813857457234001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244</v>
      </c>
      <c r="C126" s="46" t="s">
        <v>245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4.2597180047959515</v>
      </c>
      <c r="K126" s="55">
        <f t="shared" si="49"/>
        <v>2.7199869778988667E-2</v>
      </c>
      <c r="L126" s="55">
        <f t="shared" si="50"/>
        <v>0.19135798400793516</v>
      </c>
      <c r="M126" s="55">
        <f t="shared" si="42"/>
        <v>0.80864201599206487</v>
      </c>
      <c r="N126" s="55">
        <f t="shared" si="51"/>
        <v>0.17326365904265403</v>
      </c>
      <c r="O126" s="56">
        <f t="shared" si="43"/>
        <v>2.7224489347451853E-8</v>
      </c>
      <c r="P126" s="56">
        <f t="shared" si="52"/>
        <v>4.9508269593556437E-4</v>
      </c>
      <c r="Q126" s="56">
        <f t="shared" si="53"/>
        <v>1.3184380399910031E-2</v>
      </c>
      <c r="R126" s="9">
        <f t="shared" si="44"/>
        <v>1.4999999999999999E-4</v>
      </c>
      <c r="S126" s="9">
        <f t="shared" si="45"/>
        <v>2.870369760119027E-5</v>
      </c>
      <c r="T126" s="9">
        <f t="shared" si="40"/>
        <v>4.0799804668482992E-6</v>
      </c>
      <c r="U126" s="9">
        <f t="shared" si="41"/>
        <v>1.2129630239880971E-4</v>
      </c>
      <c r="V126" s="100">
        <f t="shared" si="46"/>
        <v>3.3636478492425473E-2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246</v>
      </c>
      <c r="C127" s="46" t="s">
        <v>247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0.12683662687631939</v>
      </c>
      <c r="J127" s="54">
        <f t="shared" si="48"/>
        <v>2.0941959203200446</v>
      </c>
      <c r="K127" s="55">
        <f t="shared" si="49"/>
        <v>0.72050055340051933</v>
      </c>
      <c r="L127" s="55">
        <f t="shared" si="50"/>
        <v>3.4625176540322697E-2</v>
      </c>
      <c r="M127" s="55">
        <f t="shared" si="42"/>
        <v>0.96537482345967729</v>
      </c>
      <c r="N127" s="55">
        <f t="shared" si="51"/>
        <v>2.2854671093075839E-2</v>
      </c>
      <c r="O127" s="56">
        <f t="shared" si="43"/>
        <v>7.2115270404853132E-7</v>
      </c>
      <c r="P127" s="56">
        <f t="shared" si="52"/>
        <v>8.958249553944384E-5</v>
      </c>
      <c r="Q127" s="56">
        <f t="shared" si="53"/>
        <v>1.7391106667772689E-3</v>
      </c>
      <c r="R127" s="9">
        <f t="shared" si="44"/>
        <v>1.4999999999999999E-4</v>
      </c>
      <c r="S127" s="9">
        <f t="shared" si="45"/>
        <v>5.1937764810484044E-6</v>
      </c>
      <c r="T127" s="9">
        <f t="shared" si="40"/>
        <v>1.0807508301007789E-4</v>
      </c>
      <c r="U127" s="9">
        <f t="shared" si="41"/>
        <v>1.4480622351895159E-4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248</v>
      </c>
      <c r="C128" s="46" t="s">
        <v>249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3.0076215018515007</v>
      </c>
      <c r="K128" s="55">
        <f t="shared" ref="K128:K134" si="56">IF(D128=0,"",1/(1+10^D128*$J$15/$J$14+10^E128*$J$16/$J$14+10^J128*$J$19/$J$14))</f>
        <v>0.24498522588931376</v>
      </c>
      <c r="L128" s="55">
        <f t="shared" ref="L128:L134" si="57">IF(D128=0,"",1/(1+10^I128/10^J128*$J$13/$J$19))</f>
        <v>9.6454646502912536E-2</v>
      </c>
      <c r="M128" s="55">
        <f t="shared" ref="M128:M134" si="58">IF(D128=0,"",1-L128)</f>
        <v>0.90354535349708742</v>
      </c>
      <c r="N128" s="55">
        <f t="shared" ref="N128:N134" si="59">IF(D128=0,"",1/(1/10^E128*$J$20/$J$22+10^D128/10^E128*$J$21/$J$22+10^I128/10^E128*$J$13/$J$22+1))</f>
        <v>6.627558485782227E-2</v>
      </c>
      <c r="O128" s="56">
        <f t="shared" ref="O128:O134" si="60">IF(D128=0,"",F128*K128*$J$7/$J$14)</f>
        <v>2.4520697072082433E-7</v>
      </c>
      <c r="P128" s="56">
        <f t="shared" ref="P128:P134" si="61">IF(D128=0,"",O128*10^J128)</f>
        <v>2.4954812663679398E-4</v>
      </c>
      <c r="Q128" s="56">
        <f t="shared" ref="Q128:Q134" si="62">IF(D128=0,"",F128*N128*$J$7/$J$22)</f>
        <v>5.0431955946222589E-3</v>
      </c>
      <c r="R128" s="9">
        <f t="shared" si="44"/>
        <v>1.4999999999999999E-4</v>
      </c>
      <c r="S128" s="9">
        <f t="shared" si="45"/>
        <v>1.446819697543688E-5</v>
      </c>
      <c r="T128" s="9">
        <f t="shared" si="40"/>
        <v>3.6747783883397062E-5</v>
      </c>
      <c r="U128" s="9">
        <f t="shared" si="41"/>
        <v>1.3553180302456309E-4</v>
      </c>
      <c r="V128" s="100">
        <f t="shared" si="46"/>
        <v>0.27113771870014214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250</v>
      </c>
      <c r="C129" s="46" t="s">
        <v>251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-5.0341696429437088E-2</v>
      </c>
      <c r="K129" s="55">
        <f t="shared" si="56"/>
        <v>0.99962918333403417</v>
      </c>
      <c r="L129" s="55">
        <f t="shared" si="57"/>
        <v>3.4439670476114421E-4</v>
      </c>
      <c r="M129" s="55">
        <f t="shared" si="58"/>
        <v>0.99965560329523884</v>
      </c>
      <c r="N129" s="55">
        <f t="shared" si="59"/>
        <v>7.00103322589929E-8</v>
      </c>
      <c r="O129" s="56">
        <f t="shared" si="60"/>
        <v>1.0005339832215653E-6</v>
      </c>
      <c r="P129" s="56">
        <f t="shared" si="61"/>
        <v>8.9102552970772015E-7</v>
      </c>
      <c r="Q129" s="56">
        <f t="shared" si="62"/>
        <v>5.327388660304237E-9</v>
      </c>
      <c r="R129" s="9">
        <f t="shared" si="44"/>
        <v>1.4999999999999999E-4</v>
      </c>
      <c r="S129" s="9">
        <f t="shared" si="45"/>
        <v>5.1659505714171626E-8</v>
      </c>
      <c r="T129" s="9">
        <f t="shared" si="40"/>
        <v>1.4994437750010512E-4</v>
      </c>
      <c r="U129" s="9">
        <f t="shared" si="41"/>
        <v>1.4994834049428582E-4</v>
      </c>
      <c r="V129" s="100">
        <f t="shared" si="46"/>
        <v>0.99997357093671302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252</v>
      </c>
      <c r="C130" s="46" t="s">
        <v>253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1.4101942356343717</v>
      </c>
      <c r="K130" s="55">
        <f t="shared" si="56"/>
        <v>0.91409690399106747</v>
      </c>
      <c r="L130" s="55">
        <f t="shared" si="57"/>
        <v>9.0938593094301873E-3</v>
      </c>
      <c r="M130" s="55">
        <f t="shared" si="58"/>
        <v>0.99090614069056981</v>
      </c>
      <c r="N130" s="55">
        <f t="shared" si="59"/>
        <v>4.7074978691487128E-3</v>
      </c>
      <c r="O130" s="56">
        <f t="shared" si="60"/>
        <v>9.149242855738712E-7</v>
      </c>
      <c r="P130" s="56">
        <f t="shared" si="61"/>
        <v>2.3527695521628884E-5</v>
      </c>
      <c r="Q130" s="56">
        <f t="shared" si="62"/>
        <v>3.5821385154600284E-4</v>
      </c>
      <c r="R130" s="9">
        <f t="shared" si="44"/>
        <v>1.4999999999999999E-4</v>
      </c>
      <c r="S130" s="9">
        <f t="shared" si="45"/>
        <v>1.3640788964145281E-6</v>
      </c>
      <c r="T130" s="9">
        <f t="shared" si="40"/>
        <v>1.371145355986601E-4</v>
      </c>
      <c r="U130" s="9">
        <f t="shared" si="41"/>
        <v>1.4863592110358546E-4</v>
      </c>
      <c r="V130" s="100">
        <f t="shared" si="46"/>
        <v>0.92248586062250715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254</v>
      </c>
      <c r="C131" s="46" t="s">
        <v>255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8.1668514409574067E-2</v>
      </c>
      <c r="K131" s="55">
        <f t="shared" si="56"/>
        <v>0.9979073625866689</v>
      </c>
      <c r="L131" s="55">
        <f t="shared" si="57"/>
        <v>4.659298113909333E-4</v>
      </c>
      <c r="M131" s="55">
        <f t="shared" si="58"/>
        <v>0.99953407018860907</v>
      </c>
      <c r="N131" s="55">
        <f t="shared" si="59"/>
        <v>2.3411588595491543E-5</v>
      </c>
      <c r="O131" s="56">
        <f t="shared" si="60"/>
        <v>9.9881060399307064E-7</v>
      </c>
      <c r="P131" s="56">
        <f t="shared" si="61"/>
        <v>1.2054568213396667E-6</v>
      </c>
      <c r="Q131" s="56">
        <f t="shared" si="62"/>
        <v>1.7814889256908064E-6</v>
      </c>
      <c r="R131" s="9">
        <f t="shared" si="44"/>
        <v>1.4999999999999999E-4</v>
      </c>
      <c r="S131" s="9">
        <f t="shared" si="45"/>
        <v>6.9889471708639992E-8</v>
      </c>
      <c r="T131" s="9">
        <f t="shared" si="40"/>
        <v>1.4968610438800031E-4</v>
      </c>
      <c r="U131" s="9">
        <f t="shared" si="41"/>
        <v>1.4993011052829135E-4</v>
      </c>
      <c r="V131" s="100">
        <f t="shared" si="46"/>
        <v>0.99837253411318616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256</v>
      </c>
      <c r="C132" s="46" t="s">
        <v>257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0.25241061974320167</v>
      </c>
      <c r="K132" s="55">
        <f t="shared" si="56"/>
        <v>0.99505314752886775</v>
      </c>
      <c r="L132" s="55">
        <f t="shared" si="57"/>
        <v>6.8836480093527168E-4</v>
      </c>
      <c r="M132" s="55">
        <f t="shared" si="58"/>
        <v>0.99931163519906474</v>
      </c>
      <c r="N132" s="55">
        <f t="shared" si="59"/>
        <v>8.9539181484837288E-5</v>
      </c>
      <c r="O132" s="56">
        <f t="shared" si="60"/>
        <v>9.959538054838194E-7</v>
      </c>
      <c r="P132" s="56">
        <f t="shared" si="61"/>
        <v>1.7809421603231897E-6</v>
      </c>
      <c r="Q132" s="56">
        <f t="shared" si="62"/>
        <v>6.8134231720343375E-6</v>
      </c>
      <c r="R132" s="9">
        <f t="shared" si="44"/>
        <v>1.4999999999999999E-4</v>
      </c>
      <c r="S132" s="9">
        <f t="shared" si="45"/>
        <v>1.0325472014029074E-7</v>
      </c>
      <c r="T132" s="9">
        <f t="shared" si="40"/>
        <v>1.4925797212933016E-4</v>
      </c>
      <c r="U132" s="9">
        <f t="shared" si="41"/>
        <v>1.4989674527985969E-4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258</v>
      </c>
      <c r="C133" s="46" t="s">
        <v>259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2.3273007533067842</v>
      </c>
      <c r="K133" s="55">
        <f t="shared" si="56"/>
        <v>0.61509766719178527</v>
      </c>
      <c r="L133" s="55">
        <f t="shared" si="57"/>
        <v>5.0559944735700642E-2</v>
      </c>
      <c r="M133" s="55">
        <f t="shared" si="58"/>
        <v>0.94944005526429931</v>
      </c>
      <c r="N133" s="55">
        <f t="shared" si="59"/>
        <v>3.5395968490531657E-2</v>
      </c>
      <c r="O133" s="56">
        <f t="shared" si="60"/>
        <v>6.1565441394285514E-7</v>
      </c>
      <c r="P133" s="56">
        <f t="shared" si="61"/>
        <v>1.3080903770947876E-4</v>
      </c>
      <c r="Q133" s="56">
        <f t="shared" si="62"/>
        <v>2.6934321702597359E-3</v>
      </c>
      <c r="R133" s="9">
        <f t="shared" si="44"/>
        <v>1.4999999999999999E-4</v>
      </c>
      <c r="S133" s="9">
        <f t="shared" si="45"/>
        <v>7.5839917103550952E-6</v>
      </c>
      <c r="T133" s="9">
        <f t="shared" si="40"/>
        <v>9.2264650078767777E-5</v>
      </c>
      <c r="U133" s="9">
        <f t="shared" si="41"/>
        <v>1.4241600828964488E-4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260</v>
      </c>
      <c r="C134" s="46" t="s">
        <v>261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-5.1870629923213188E-2</v>
      </c>
      <c r="K134" s="55">
        <f t="shared" si="56"/>
        <v>0.99964845611474207</v>
      </c>
      <c r="L134" s="55">
        <f t="shared" si="57"/>
        <v>3.4319300466349463E-4</v>
      </c>
      <c r="M134" s="55">
        <f t="shared" si="58"/>
        <v>0.99965680699533654</v>
      </c>
      <c r="N134" s="55">
        <f t="shared" si="59"/>
        <v>1.3659319186170557E-8</v>
      </c>
      <c r="O134" s="56">
        <f t="shared" si="60"/>
        <v>1.0005532734467517E-6</v>
      </c>
      <c r="P134" s="56">
        <f t="shared" si="61"/>
        <v>8.879113085137015E-7</v>
      </c>
      <c r="Q134" s="56">
        <f t="shared" si="62"/>
        <v>1.0393966117841692E-9</v>
      </c>
      <c r="R134" s="9">
        <f t="shared" si="44"/>
        <v>1.4999999999999999E-4</v>
      </c>
      <c r="S134" s="9">
        <f t="shared" si="45"/>
        <v>5.1478950699524189E-8</v>
      </c>
      <c r="T134" s="9">
        <f t="shared" si="40"/>
        <v>1.499472684172113E-4</v>
      </c>
      <c r="U134" s="9">
        <f t="shared" si="41"/>
        <v>1.4994852104930048E-4</v>
      </c>
      <c r="V134" s="100">
        <f t="shared" si="46"/>
        <v>0.99999164625245784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262</v>
      </c>
      <c r="C135" s="46" t="s">
        <v>263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0.38919526721212155</v>
      </c>
      <c r="K135" s="55">
        <f t="shared" ref="K135:K143" si="65">IF(D135=0,"",1/(1+10^D135*$J$15/$J$14+10^E135*$J$16/$J$14+10^J135*$J$19/$J$14))</f>
        <v>0.99201555295550881</v>
      </c>
      <c r="L135" s="55">
        <f t="shared" ref="L135:L143" si="66">IF(D135=0,"",1/(1+10^I135/10^J135*$J$13/$J$19))</f>
        <v>9.403196369285776E-4</v>
      </c>
      <c r="M135" s="55">
        <f t="shared" ref="M135:M143" si="67">IF(D135=0,"",1-L135)</f>
        <v>0.99905968036307147</v>
      </c>
      <c r="N135" s="55">
        <f t="shared" ref="N135:N143" si="68">IF(D135=0,"",1/(1/10^E135*$J$20/$J$22+10^D135/10^E135*$J$21/$J$22+10^I135/10^E135*$J$13/$J$22+1))</f>
        <v>1.7983622921386542E-4</v>
      </c>
      <c r="O135" s="56">
        <f t="shared" ref="O135:O143" si="69">IF(D135=0,"",F135*K135*$J$7/$J$14)</f>
        <v>9.929134614756959E-7</v>
      </c>
      <c r="P135" s="56">
        <f t="shared" ref="P135:P143" si="70">IF(D135=0,"",O135*10^J135)</f>
        <v>2.4328014496246295E-6</v>
      </c>
      <c r="Q135" s="56">
        <f t="shared" ref="Q135:Q143" si="71">IF(D135=0,"",F135*N135*$J$7/$J$22)</f>
        <v>1.3684515660940273E-5</v>
      </c>
      <c r="R135" s="9">
        <f t="shared" si="44"/>
        <v>1.4999999999999999E-4</v>
      </c>
      <c r="S135" s="9">
        <f t="shared" si="45"/>
        <v>1.4104794553928663E-7</v>
      </c>
      <c r="T135" s="9">
        <f t="shared" si="40"/>
        <v>1.488023329433263E-4</v>
      </c>
      <c r="U135" s="9">
        <f t="shared" si="41"/>
        <v>1.4985895205446071E-4</v>
      </c>
      <c r="V135" s="100">
        <f t="shared" si="46"/>
        <v>0.99294924262682416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264</v>
      </c>
      <c r="C136" s="46" t="s">
        <v>265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-2.3506255526432474E-2</v>
      </c>
      <c r="K136" s="55">
        <f t="shared" si="65"/>
        <v>0.99929816156411744</v>
      </c>
      <c r="L136" s="55">
        <f t="shared" si="66"/>
        <v>3.6622719465301815E-4</v>
      </c>
      <c r="M136" s="55">
        <f t="shared" si="67"/>
        <v>0.99963377280534693</v>
      </c>
      <c r="N136" s="55">
        <f t="shared" si="68"/>
        <v>2.55032103433278E-6</v>
      </c>
      <c r="O136" s="56">
        <f t="shared" si="69"/>
        <v>1.0002026618320845E-6</v>
      </c>
      <c r="P136" s="56">
        <f t="shared" si="70"/>
        <v>9.4750552371107924E-7</v>
      </c>
      <c r="Q136" s="56">
        <f t="shared" si="71"/>
        <v>1.9406494613078514E-7</v>
      </c>
      <c r="R136" s="9">
        <f t="shared" si="44"/>
        <v>1.4999999999999999E-4</v>
      </c>
      <c r="S136" s="9">
        <f t="shared" si="45"/>
        <v>5.4934079197952721E-8</v>
      </c>
      <c r="T136" s="9">
        <f t="shared" si="40"/>
        <v>1.4989472423461762E-4</v>
      </c>
      <c r="U136" s="9">
        <f t="shared" si="41"/>
        <v>1.4994506592080204E-4</v>
      </c>
      <c r="V136" s="100">
        <f t="shared" si="46"/>
        <v>0.99966426580377765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266</v>
      </c>
      <c r="C137" s="46" t="s">
        <v>267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-5.2491799925329305E-2</v>
      </c>
      <c r="K137" s="55">
        <f t="shared" si="65"/>
        <v>0.99965639023549779</v>
      </c>
      <c r="L137" s="55">
        <f t="shared" si="66"/>
        <v>3.4270520768674341E-4</v>
      </c>
      <c r="M137" s="55">
        <f t="shared" si="67"/>
        <v>0.99965729479231324</v>
      </c>
      <c r="N137" s="55">
        <f t="shared" si="68"/>
        <v>5.8081731711598839E-10</v>
      </c>
      <c r="O137" s="56">
        <f t="shared" si="69"/>
        <v>1.0005612147489619E-6</v>
      </c>
      <c r="P137" s="56">
        <f t="shared" si="70"/>
        <v>8.866492768113333E-7</v>
      </c>
      <c r="Q137" s="56">
        <f t="shared" si="71"/>
        <v>4.419689907291632E-11</v>
      </c>
      <c r="R137" s="9">
        <f t="shared" si="44"/>
        <v>1.4999999999999999E-4</v>
      </c>
      <c r="S137" s="9">
        <f t="shared" si="45"/>
        <v>5.1405781153011509E-8</v>
      </c>
      <c r="T137" s="9">
        <f t="shared" si="40"/>
        <v>1.4994845853532465E-4</v>
      </c>
      <c r="U137" s="9">
        <f t="shared" si="41"/>
        <v>1.4994859421884696E-4</v>
      </c>
      <c r="V137" s="100">
        <f t="shared" si="46"/>
        <v>0.99999909513308194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268</v>
      </c>
      <c r="C138" s="46" t="s">
        <v>269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-2.6731736037650052E-2</v>
      </c>
      <c r="K138" s="55">
        <f t="shared" si="65"/>
        <v>0.99933798717171107</v>
      </c>
      <c r="L138" s="55">
        <f t="shared" si="66"/>
        <v>3.6353180898713683E-4</v>
      </c>
      <c r="M138" s="55">
        <f t="shared" si="67"/>
        <v>0.99963646819101282</v>
      </c>
      <c r="N138" s="55">
        <f t="shared" si="68"/>
        <v>2.1617379817826064E-6</v>
      </c>
      <c r="O138" s="56">
        <f t="shared" si="69"/>
        <v>1.0002425234872504E-6</v>
      </c>
      <c r="P138" s="56">
        <f t="shared" si="70"/>
        <v>9.4053200332744439E-7</v>
      </c>
      <c r="Q138" s="56">
        <f t="shared" si="71"/>
        <v>1.6449598279428723E-7</v>
      </c>
      <c r="R138" s="9">
        <f t="shared" si="44"/>
        <v>1.4999999999999999E-4</v>
      </c>
      <c r="S138" s="9">
        <f t="shared" si="45"/>
        <v>5.4529771348070517E-8</v>
      </c>
      <c r="T138" s="9">
        <f t="shared" si="40"/>
        <v>1.4990069807575664E-4</v>
      </c>
      <c r="U138" s="9">
        <f t="shared" si="41"/>
        <v>1.499454702286519E-4</v>
      </c>
      <c r="V138" s="100">
        <f t="shared" si="46"/>
        <v>0.99970141043389316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270</v>
      </c>
      <c r="C139" s="46" t="s">
        <v>271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0.29014500901604634</v>
      </c>
      <c r="K139" s="55">
        <f t="shared" si="65"/>
        <v>0.99389536081112051</v>
      </c>
      <c r="L139" s="55">
        <f t="shared" si="66"/>
        <v>7.4997611062790968E-4</v>
      </c>
      <c r="M139" s="55">
        <f t="shared" si="67"/>
        <v>0.99925002388937212</v>
      </c>
      <c r="N139" s="55">
        <f t="shared" si="68"/>
        <v>7.8928407043573761E-5</v>
      </c>
      <c r="O139" s="56">
        <f t="shared" si="69"/>
        <v>9.9479497081218152E-7</v>
      </c>
      <c r="P139" s="56">
        <f t="shared" si="70"/>
        <v>1.9403433656655675E-6</v>
      </c>
      <c r="Q139" s="56">
        <f t="shared" si="71"/>
        <v>6.006003501087521E-6</v>
      </c>
      <c r="R139" s="9">
        <f t="shared" si="44"/>
        <v>1.4999999999999999E-4</v>
      </c>
      <c r="S139" s="9">
        <f t="shared" si="45"/>
        <v>1.1249641659418644E-7</v>
      </c>
      <c r="T139" s="9">
        <f t="shared" si="40"/>
        <v>1.4908430412166807E-4</v>
      </c>
      <c r="U139" s="9">
        <f t="shared" si="41"/>
        <v>1.4988750358340579E-4</v>
      </c>
      <c r="V139" s="100">
        <f t="shared" si="46"/>
        <v>0.9946413180382927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272</v>
      </c>
      <c r="C140" s="46" t="s">
        <v>273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-5.1999443055039035E-2</v>
      </c>
      <c r="K140" s="55">
        <f t="shared" si="65"/>
        <v>0.99965009338041799</v>
      </c>
      <c r="L140" s="55">
        <f t="shared" si="66"/>
        <v>3.4309178954455925E-4</v>
      </c>
      <c r="M140" s="55">
        <f t="shared" si="67"/>
        <v>0.99965690821045539</v>
      </c>
      <c r="N140" s="55">
        <f t="shared" si="68"/>
        <v>1.0235080568120915E-8</v>
      </c>
      <c r="O140" s="56">
        <f t="shared" si="69"/>
        <v>1.0005549121943751E-6</v>
      </c>
      <c r="P140" s="56">
        <f t="shared" si="70"/>
        <v>8.8764944405995668E-7</v>
      </c>
      <c r="Q140" s="56">
        <f t="shared" si="71"/>
        <v>7.7883150095896966E-10</v>
      </c>
      <c r="R140" s="9">
        <f t="shared" si="44"/>
        <v>1.4999999999999999E-4</v>
      </c>
      <c r="S140" s="9">
        <f t="shared" si="45"/>
        <v>5.1463768431683885E-8</v>
      </c>
      <c r="T140" s="9">
        <f t="shared" si="40"/>
        <v>1.4994751400706268E-4</v>
      </c>
      <c r="U140" s="9">
        <f t="shared" si="41"/>
        <v>1.499485362315683E-4</v>
      </c>
      <c r="V140" s="100">
        <f t="shared" si="46"/>
        <v>0.99999318283104788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274</v>
      </c>
      <c r="C141" s="46" t="s">
        <v>275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-5.1143990989195108E-2</v>
      </c>
      <c r="K141" s="55">
        <f t="shared" si="65"/>
        <v>0.99963926639609313</v>
      </c>
      <c r="L141" s="55">
        <f t="shared" si="66"/>
        <v>3.4376453774515394E-4</v>
      </c>
      <c r="M141" s="55">
        <f t="shared" si="67"/>
        <v>0.99965623546225479</v>
      </c>
      <c r="N141" s="55">
        <f t="shared" si="68"/>
        <v>3.7363636703998179E-8</v>
      </c>
      <c r="O141" s="56">
        <f t="shared" si="69"/>
        <v>1.0005440754101618E-6</v>
      </c>
      <c r="P141" s="56">
        <f t="shared" si="70"/>
        <v>8.893899828441778E-7</v>
      </c>
      <c r="Q141" s="56">
        <f t="shared" si="71"/>
        <v>2.8431605459069773E-9</v>
      </c>
      <c r="R141" s="9">
        <f t="shared" si="44"/>
        <v>1.4999999999999999E-4</v>
      </c>
      <c r="S141" s="9">
        <f t="shared" si="45"/>
        <v>5.1564680661773087E-8</v>
      </c>
      <c r="T141" s="9">
        <f t="shared" si="40"/>
        <v>1.4994588995941396E-4</v>
      </c>
      <c r="U141" s="9">
        <f t="shared" si="41"/>
        <v>1.499484353193382E-4</v>
      </c>
      <c r="V141" s="100">
        <f t="shared" si="46"/>
        <v>0.99998302509846915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276</v>
      </c>
      <c r="C142" s="46" t="s">
        <v>277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1.601845478242661</v>
      </c>
      <c r="K142" s="55">
        <f t="shared" si="65"/>
        <v>0.87684935576029976</v>
      </c>
      <c r="L142" s="55">
        <f t="shared" si="66"/>
        <v>1.3562264899513404E-2</v>
      </c>
      <c r="M142" s="55">
        <f t="shared" si="67"/>
        <v>0.9864377351004866</v>
      </c>
      <c r="N142" s="55">
        <f t="shared" si="68"/>
        <v>7.6184784252940774E-3</v>
      </c>
      <c r="O142" s="56">
        <f t="shared" si="69"/>
        <v>8.7764302326391098E-7</v>
      </c>
      <c r="P142" s="56">
        <f t="shared" si="70"/>
        <v>3.5088385280882448E-5</v>
      </c>
      <c r="Q142" s="56">
        <f t="shared" si="71"/>
        <v>5.7972293891621644E-4</v>
      </c>
      <c r="R142" s="9">
        <f t="shared" si="44"/>
        <v>1.4999999999999999E-4</v>
      </c>
      <c r="S142" s="9">
        <f t="shared" si="45"/>
        <v>2.0343397349270103E-6</v>
      </c>
      <c r="T142" s="9">
        <f t="shared" si="40"/>
        <v>1.3152740336404495E-4</v>
      </c>
      <c r="U142" s="9">
        <f t="shared" si="41"/>
        <v>1.4796566026507299E-4</v>
      </c>
      <c r="V142" s="100">
        <f t="shared" si="46"/>
        <v>0.88890491975246333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278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2.3908284615882098</v>
      </c>
      <c r="K143" s="55">
        <f t="shared" si="65"/>
        <v>0.40060509006586986</v>
      </c>
      <c r="L143" s="55">
        <f t="shared" si="66"/>
        <v>3.8115944160323711E-2</v>
      </c>
      <c r="M143" s="55">
        <f t="shared" si="67"/>
        <v>0.96188405583967629</v>
      </c>
      <c r="N143" s="55">
        <f t="shared" si="68"/>
        <v>2.2210437841962932E-3</v>
      </c>
      <c r="O143" s="56">
        <f t="shared" si="69"/>
        <v>4.0096769196513323E-7</v>
      </c>
      <c r="P143" s="56">
        <f t="shared" si="70"/>
        <v>9.8613833600169902E-5</v>
      </c>
      <c r="Q143" s="56">
        <f t="shared" si="71"/>
        <v>1.6900881752988201E-4</v>
      </c>
      <c r="R143" s="9">
        <f t="shared" si="44"/>
        <v>1.4999999999999999E-4</v>
      </c>
      <c r="S143" s="9">
        <f t="shared" si="45"/>
        <v>5.7173916240485559E-6</v>
      </c>
      <c r="T143" s="9">
        <f t="shared" si="40"/>
        <v>6.0090763509880471E-5</v>
      </c>
      <c r="U143" s="9">
        <f t="shared" si="41"/>
        <v>1.4428260837595142E-4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2025-02-02T14:52:46Z</dcterms:modified>
</cp:coreProperties>
</file>