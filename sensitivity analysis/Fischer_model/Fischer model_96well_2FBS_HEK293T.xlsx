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F9DC1A89-1D7C-4764-907B-E71DCD3CA6C2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J135" i="4"/>
  <c r="K135" i="4"/>
  <c r="O135" i="4" s="1"/>
  <c r="P135" i="4" s="1"/>
  <c r="I136" i="4"/>
  <c r="N136" i="4" s="1"/>
  <c r="Q136" i="4" s="1"/>
  <c r="J136" i="4"/>
  <c r="K136" i="4"/>
  <c r="O136" i="4" s="1"/>
  <c r="P136" i="4" s="1"/>
  <c r="L136" i="4"/>
  <c r="M136" i="4"/>
  <c r="U136" i="4" s="1"/>
  <c r="I137" i="4"/>
  <c r="L137" i="4" s="1"/>
  <c r="M137" i="4" s="1"/>
  <c r="J137" i="4"/>
  <c r="K137" i="4"/>
  <c r="N137" i="4"/>
  <c r="Q137" i="4"/>
  <c r="I138" i="4"/>
  <c r="J138" i="4"/>
  <c r="K138" i="4" s="1"/>
  <c r="N138" i="4"/>
  <c r="Q138" i="4" s="1"/>
  <c r="I139" i="4"/>
  <c r="J139" i="4"/>
  <c r="K139" i="4" s="1"/>
  <c r="I140" i="4"/>
  <c r="J140" i="4"/>
  <c r="K140" i="4" s="1"/>
  <c r="O140" i="4" s="1"/>
  <c r="P140" i="4" s="1"/>
  <c r="N140" i="4"/>
  <c r="Q140" i="4" s="1"/>
  <c r="I141" i="4"/>
  <c r="J141" i="4"/>
  <c r="K141" i="4"/>
  <c r="L141" i="4"/>
  <c r="M141" i="4"/>
  <c r="N141" i="4"/>
  <c r="Q141" i="4" s="1"/>
  <c r="O141" i="4"/>
  <c r="P141" i="4" s="1"/>
  <c r="I142" i="4"/>
  <c r="J142" i="4"/>
  <c r="K142" i="4"/>
  <c r="N142" i="4"/>
  <c r="O142" i="4"/>
  <c r="P142" i="4"/>
  <c r="Q142" i="4"/>
  <c r="I143" i="4"/>
  <c r="J143" i="4"/>
  <c r="K143" i="4" s="1"/>
  <c r="R143" i="4"/>
  <c r="R142" i="4"/>
  <c r="R141" i="4"/>
  <c r="R140" i="4"/>
  <c r="R139" i="4"/>
  <c r="R138" i="4"/>
  <c r="R137" i="4"/>
  <c r="U137" i="4" s="1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L139" i="4" l="1"/>
  <c r="M139" i="4" s="1"/>
  <c r="U139" i="4" s="1"/>
  <c r="O138" i="4"/>
  <c r="P138" i="4" s="1"/>
  <c r="L143" i="4"/>
  <c r="M143" i="4" s="1"/>
  <c r="U143" i="4" s="1"/>
  <c r="V141" i="4"/>
  <c r="T137" i="4"/>
  <c r="U141" i="4"/>
  <c r="T141" i="4"/>
  <c r="V137" i="4"/>
  <c r="O137" i="4"/>
  <c r="P137" i="4" s="1"/>
  <c r="S141" i="4"/>
  <c r="L142" i="4"/>
  <c r="M142" i="4" s="1"/>
  <c r="V142" i="4" s="1"/>
  <c r="L140" i="4"/>
  <c r="M140" i="4" s="1"/>
  <c r="U140" i="4" s="1"/>
  <c r="L138" i="4"/>
  <c r="M138" i="4" s="1"/>
  <c r="V138" i="4" s="1"/>
  <c r="L135" i="4"/>
  <c r="M135" i="4" s="1"/>
  <c r="V135" i="4" s="1"/>
  <c r="U138" i="4"/>
  <c r="T139" i="4"/>
  <c r="T143" i="4"/>
  <c r="S136" i="4"/>
  <c r="O143" i="4"/>
  <c r="P143" i="4" s="1"/>
  <c r="O139" i="4"/>
  <c r="P139" i="4" s="1"/>
  <c r="T136" i="4"/>
  <c r="N143" i="4"/>
  <c r="Q143" i="4" s="1"/>
  <c r="N139" i="4"/>
  <c r="Q139" i="4" s="1"/>
  <c r="N135" i="4"/>
  <c r="Q135" i="4" s="1"/>
  <c r="T140" i="4"/>
  <c r="V136" i="4"/>
  <c r="S137" i="4"/>
  <c r="T135" i="4"/>
  <c r="S135" i="4"/>
  <c r="U142" i="4"/>
  <c r="T142" i="4"/>
  <c r="S142" i="4"/>
  <c r="T138" i="4"/>
  <c r="S143" i="4"/>
  <c r="U135" i="4" l="1"/>
  <c r="S140" i="4"/>
  <c r="V140" i="4"/>
  <c r="S139" i="4"/>
  <c r="S138" i="4"/>
  <c r="V143" i="4"/>
  <c r="V139" i="4"/>
  <c r="I128" i="4"/>
  <c r="N128" i="4" s="1"/>
  <c r="Q128" i="4" s="1"/>
  <c r="J128" i="4"/>
  <c r="K128" i="4"/>
  <c r="L128" i="4"/>
  <c r="S128" i="4" s="1"/>
  <c r="M128" i="4"/>
  <c r="U128" i="4" s="1"/>
  <c r="I129" i="4"/>
  <c r="L129" i="4" s="1"/>
  <c r="J129" i="4"/>
  <c r="K129" i="4"/>
  <c r="I130" i="4"/>
  <c r="L130" i="4" s="1"/>
  <c r="J130" i="4"/>
  <c r="K130" i="4" s="1"/>
  <c r="I131" i="4"/>
  <c r="N131" i="4" s="1"/>
  <c r="Q131" i="4" s="1"/>
  <c r="J131" i="4"/>
  <c r="K131" i="4" s="1"/>
  <c r="L131" i="4"/>
  <c r="I132" i="4"/>
  <c r="L132" i="4" s="1"/>
  <c r="J132" i="4"/>
  <c r="K132" i="4"/>
  <c r="N132" i="4"/>
  <c r="Q132" i="4" s="1"/>
  <c r="O132" i="4"/>
  <c r="P132" i="4" s="1"/>
  <c r="I133" i="4"/>
  <c r="J133" i="4"/>
  <c r="L133" i="4" s="1"/>
  <c r="K133" i="4"/>
  <c r="N133" i="4"/>
  <c r="Q133" i="4" s="1"/>
  <c r="O133" i="4"/>
  <c r="P133" i="4"/>
  <c r="I134" i="4"/>
  <c r="J134" i="4"/>
  <c r="K134" i="4"/>
  <c r="T130" i="4" l="1"/>
  <c r="O130" i="4"/>
  <c r="P130" i="4" s="1"/>
  <c r="S132" i="4"/>
  <c r="M132" i="4"/>
  <c r="U132" i="4" s="1"/>
  <c r="M130" i="4"/>
  <c r="U130" i="4" s="1"/>
  <c r="S130" i="4"/>
  <c r="S129" i="4"/>
  <c r="M129" i="4"/>
  <c r="U129" i="4" s="1"/>
  <c r="O134" i="4"/>
  <c r="P134" i="4" s="1"/>
  <c r="T134" i="4"/>
  <c r="T129" i="4"/>
  <c r="V132" i="4"/>
  <c r="T132" i="4"/>
  <c r="O128" i="4"/>
  <c r="P128" i="4" s="1"/>
  <c r="V128" i="4"/>
  <c r="T128" i="4"/>
  <c r="T133" i="4"/>
  <c r="M131" i="4"/>
  <c r="U131" i="4" s="1"/>
  <c r="S131" i="4"/>
  <c r="M133" i="4"/>
  <c r="U133" i="4" s="1"/>
  <c r="S133" i="4"/>
  <c r="O131" i="4"/>
  <c r="P131" i="4" s="1"/>
  <c r="T131" i="4"/>
  <c r="O129" i="4"/>
  <c r="P129" i="4" s="1"/>
  <c r="N129" i="4"/>
  <c r="Q129" i="4" s="1"/>
  <c r="N130" i="4"/>
  <c r="Q130" i="4" s="1"/>
  <c r="L134" i="4"/>
  <c r="N134" i="4"/>
  <c r="Q134" i="4" s="1"/>
  <c r="M134" i="4" l="1"/>
  <c r="S134" i="4"/>
  <c r="V133" i="4"/>
  <c r="V131" i="4"/>
  <c r="V129" i="4"/>
  <c r="V130" i="4"/>
  <c r="O15" i="1"/>
  <c r="L15" i="1"/>
  <c r="N15" i="1"/>
  <c r="M106" i="4"/>
  <c r="U106" i="4" s="1"/>
  <c r="M122" i="4"/>
  <c r="U122" i="4" s="1"/>
  <c r="J16" i="4"/>
  <c r="J15" i="4"/>
  <c r="J87" i="4"/>
  <c r="K87" i="4" s="1"/>
  <c r="J122" i="4"/>
  <c r="K122" i="4" s="1"/>
  <c r="J117" i="4"/>
  <c r="K117" i="4"/>
  <c r="J120" i="4"/>
  <c r="K120" i="4" s="1"/>
  <c r="J101" i="4"/>
  <c r="L101" i="4" s="1"/>
  <c r="K101" i="4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 s="1"/>
  <c r="J118" i="4"/>
  <c r="K118" i="4"/>
  <c r="J104" i="4"/>
  <c r="K104" i="4"/>
  <c r="J90" i="4"/>
  <c r="K90" i="4" s="1"/>
  <c r="J71" i="4"/>
  <c r="K71" i="4" s="1"/>
  <c r="J110" i="4"/>
  <c r="K110" i="4" s="1"/>
  <c r="J82" i="4"/>
  <c r="K82" i="4" s="1"/>
  <c r="J113" i="4"/>
  <c r="K113" i="4"/>
  <c r="J97" i="4"/>
  <c r="K97" i="4" s="1"/>
  <c r="J81" i="4"/>
  <c r="K81" i="4" s="1"/>
  <c r="J116" i="4"/>
  <c r="K116" i="4" s="1"/>
  <c r="J100" i="4"/>
  <c r="K100" i="4"/>
  <c r="O100" i="4"/>
  <c r="P100" i="4" s="1"/>
  <c r="J84" i="4"/>
  <c r="K84" i="4" s="1"/>
  <c r="J114" i="4"/>
  <c r="K114" i="4" s="1"/>
  <c r="J78" i="4"/>
  <c r="K78" i="4" s="1"/>
  <c r="J115" i="4"/>
  <c r="K115" i="4"/>
  <c r="J99" i="4"/>
  <c r="K99" i="4" s="1"/>
  <c r="J83" i="4"/>
  <c r="K83" i="4"/>
  <c r="J102" i="4"/>
  <c r="K102" i="4"/>
  <c r="J74" i="4"/>
  <c r="K74" i="4" s="1"/>
  <c r="J125" i="4"/>
  <c r="K125" i="4" s="1"/>
  <c r="J109" i="4"/>
  <c r="K109" i="4" s="1"/>
  <c r="J93" i="4"/>
  <c r="K93" i="4" s="1"/>
  <c r="J77" i="4"/>
  <c r="K77" i="4"/>
  <c r="J112" i="4"/>
  <c r="K112" i="4" s="1"/>
  <c r="J96" i="4"/>
  <c r="K96" i="4"/>
  <c r="J80" i="4"/>
  <c r="K80" i="4" s="1"/>
  <c r="J106" i="4"/>
  <c r="K106" i="4" s="1"/>
  <c r="J127" i="4"/>
  <c r="K127" i="4" s="1"/>
  <c r="J111" i="4"/>
  <c r="K111" i="4"/>
  <c r="J95" i="4"/>
  <c r="K95" i="4"/>
  <c r="J79" i="4"/>
  <c r="K79" i="4"/>
  <c r="J126" i="4"/>
  <c r="K126" i="4" s="1"/>
  <c r="J94" i="4"/>
  <c r="K94" i="4" s="1"/>
  <c r="J121" i="4"/>
  <c r="K121" i="4" s="1"/>
  <c r="J105" i="4"/>
  <c r="K105" i="4"/>
  <c r="J89" i="4"/>
  <c r="K89" i="4"/>
  <c r="J73" i="4"/>
  <c r="K73" i="4"/>
  <c r="J124" i="4"/>
  <c r="K124" i="4" s="1"/>
  <c r="J108" i="4"/>
  <c r="K108" i="4" s="1"/>
  <c r="J92" i="4"/>
  <c r="K92" i="4" s="1"/>
  <c r="J76" i="4"/>
  <c r="K76" i="4" s="1"/>
  <c r="J98" i="4"/>
  <c r="K98" i="4" s="1"/>
  <c r="J123" i="4"/>
  <c r="L123" i="4" s="1"/>
  <c r="K123" i="4"/>
  <c r="J107" i="4"/>
  <c r="K107" i="4" s="1"/>
  <c r="J91" i="4"/>
  <c r="K91" i="4" s="1"/>
  <c r="J75" i="4"/>
  <c r="K75" i="4" s="1"/>
  <c r="O118" i="4"/>
  <c r="P118" i="4" s="1"/>
  <c r="O123" i="4"/>
  <c r="P123" i="4"/>
  <c r="O101" i="4"/>
  <c r="P101" i="4"/>
  <c r="I76" i="4"/>
  <c r="L76" i="4" s="1"/>
  <c r="S76" i="4" s="1"/>
  <c r="I77" i="4"/>
  <c r="N77" i="4" s="1"/>
  <c r="Q77" i="4" s="1"/>
  <c r="I81" i="4"/>
  <c r="I89" i="4"/>
  <c r="I90" i="4"/>
  <c r="N90" i="4" s="1"/>
  <c r="Q90" i="4" s="1"/>
  <c r="I96" i="4"/>
  <c r="I99" i="4"/>
  <c r="I102" i="4"/>
  <c r="N102" i="4" s="1"/>
  <c r="Q102" i="4" s="1"/>
  <c r="I104" i="4"/>
  <c r="L104" i="4" s="1"/>
  <c r="I108" i="4"/>
  <c r="I111" i="4"/>
  <c r="N111" i="4" s="1"/>
  <c r="Q111" i="4" s="1"/>
  <c r="I113" i="4"/>
  <c r="L113" i="4" s="1"/>
  <c r="I115" i="4"/>
  <c r="N115" i="4" s="1"/>
  <c r="Q115" i="4" s="1"/>
  <c r="I119" i="4"/>
  <c r="I120" i="4"/>
  <c r="I123" i="4"/>
  <c r="I125" i="4"/>
  <c r="N125" i="4" s="1"/>
  <c r="Q125" i="4" s="1"/>
  <c r="I79" i="4"/>
  <c r="N79" i="4" s="1"/>
  <c r="Q79" i="4" s="1"/>
  <c r="I92" i="4"/>
  <c r="N92" i="4" s="1"/>
  <c r="Q92" i="4" s="1"/>
  <c r="I100" i="4"/>
  <c r="L100" i="4" s="1"/>
  <c r="M100" i="4" s="1"/>
  <c r="I103" i="4"/>
  <c r="L103" i="4" s="1"/>
  <c r="I107" i="4"/>
  <c r="N107" i="4" s="1"/>
  <c r="Q107" i="4" s="1"/>
  <c r="I109" i="4"/>
  <c r="N109" i="4" s="1"/>
  <c r="Q109" i="4" s="1"/>
  <c r="I110" i="4"/>
  <c r="N110" i="4" s="1"/>
  <c r="Q110" i="4" s="1"/>
  <c r="I117" i="4"/>
  <c r="N117" i="4" s="1"/>
  <c r="Q117" i="4" s="1"/>
  <c r="I124" i="4"/>
  <c r="I72" i="4"/>
  <c r="I106" i="4"/>
  <c r="I71" i="4"/>
  <c r="N71" i="4" s="1"/>
  <c r="Q71" i="4" s="1"/>
  <c r="I75" i="4"/>
  <c r="N75" i="4" s="1"/>
  <c r="Q75" i="4" s="1"/>
  <c r="I80" i="4"/>
  <c r="N80" i="4" s="1"/>
  <c r="Q80" i="4" s="1"/>
  <c r="I83" i="4"/>
  <c r="I86" i="4"/>
  <c r="N86" i="4" s="1"/>
  <c r="Q86" i="4" s="1"/>
  <c r="I88" i="4"/>
  <c r="N88" i="4" s="1"/>
  <c r="Q88" i="4" s="1"/>
  <c r="I94" i="4"/>
  <c r="N94" i="4" s="1"/>
  <c r="Q94" i="4" s="1"/>
  <c r="I95" i="4"/>
  <c r="N95" i="4" s="1"/>
  <c r="Q95" i="4" s="1"/>
  <c r="I98" i="4"/>
  <c r="N98" i="4" s="1"/>
  <c r="Q98" i="4" s="1"/>
  <c r="I101" i="4"/>
  <c r="N101" i="4" s="1"/>
  <c r="Q101" i="4" s="1"/>
  <c r="I118" i="4"/>
  <c r="I127" i="4"/>
  <c r="I73" i="4"/>
  <c r="I74" i="4"/>
  <c r="N74" i="4" s="1"/>
  <c r="Q74" i="4" s="1"/>
  <c r="I78" i="4"/>
  <c r="L78" i="4" s="1"/>
  <c r="S78" i="4" s="1"/>
  <c r="I82" i="4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N121" i="4" s="1"/>
  <c r="Q121" i="4" s="1"/>
  <c r="I122" i="4"/>
  <c r="I84" i="4"/>
  <c r="I87" i="4"/>
  <c r="I91" i="4"/>
  <c r="N91" i="4" s="1"/>
  <c r="Q91" i="4" s="1"/>
  <c r="I97" i="4"/>
  <c r="L97" i="4" s="1"/>
  <c r="I105" i="4"/>
  <c r="I116" i="4"/>
  <c r="L116" i="4" s="1"/>
  <c r="S116" i="4" s="1"/>
  <c r="I126" i="4"/>
  <c r="N126" i="4" s="1"/>
  <c r="Q126" i="4" s="1"/>
  <c r="L105" i="4"/>
  <c r="S105" i="4" s="1"/>
  <c r="N105" i="4"/>
  <c r="Q105" i="4"/>
  <c r="L84" i="4"/>
  <c r="S84" i="4" s="1"/>
  <c r="N84" i="4"/>
  <c r="Q84" i="4" s="1"/>
  <c r="L106" i="4"/>
  <c r="S106" i="4" s="1"/>
  <c r="N106" i="4"/>
  <c r="Q106" i="4"/>
  <c r="N124" i="4"/>
  <c r="Q124" i="4" s="1"/>
  <c r="N119" i="4"/>
  <c r="Q119" i="4" s="1"/>
  <c r="L119" i="4"/>
  <c r="S119" i="4" s="1"/>
  <c r="N96" i="4"/>
  <c r="Q96" i="4" s="1"/>
  <c r="N72" i="4"/>
  <c r="Q72" i="4" s="1"/>
  <c r="L125" i="4"/>
  <c r="L126" i="4"/>
  <c r="S126" i="4" s="1"/>
  <c r="L127" i="4"/>
  <c r="S127" i="4" s="1"/>
  <c r="N127" i="4"/>
  <c r="Q127" i="4" s="1"/>
  <c r="N123" i="4"/>
  <c r="Q123" i="4"/>
  <c r="N89" i="4"/>
  <c r="Q89" i="4" s="1"/>
  <c r="N87" i="4"/>
  <c r="Q87" i="4" s="1"/>
  <c r="N122" i="4"/>
  <c r="Q122" i="4" s="1"/>
  <c r="L122" i="4"/>
  <c r="S122" i="4" s="1"/>
  <c r="N118" i="4"/>
  <c r="Q118" i="4"/>
  <c r="L118" i="4"/>
  <c r="N120" i="4"/>
  <c r="Q120" i="4" s="1"/>
  <c r="L120" i="4"/>
  <c r="S120" i="4" s="1"/>
  <c r="L111" i="4"/>
  <c r="N99" i="4"/>
  <c r="Q99" i="4" s="1"/>
  <c r="N81" i="4"/>
  <c r="Q81" i="4" s="1"/>
  <c r="T126" i="4" l="1"/>
  <c r="T99" i="4"/>
  <c r="O99" i="4"/>
  <c r="P99" i="4" s="1"/>
  <c r="T110" i="4"/>
  <c r="O110" i="4"/>
  <c r="P110" i="4" s="1"/>
  <c r="M103" i="4"/>
  <c r="U103" i="4" s="1"/>
  <c r="S103" i="4"/>
  <c r="O112" i="4"/>
  <c r="P112" i="4" s="1"/>
  <c r="T112" i="4"/>
  <c r="T103" i="4"/>
  <c r="O103" i="4"/>
  <c r="P103" i="4" s="1"/>
  <c r="S123" i="4"/>
  <c r="M123" i="4"/>
  <c r="U123" i="4" s="1"/>
  <c r="T108" i="4"/>
  <c r="V113" i="4"/>
  <c r="T113" i="4"/>
  <c r="M111" i="4"/>
  <c r="U111" i="4" s="1"/>
  <c r="S111" i="4"/>
  <c r="T72" i="4"/>
  <c r="L94" i="4"/>
  <c r="S94" i="4" s="1"/>
  <c r="T89" i="4"/>
  <c r="T85" i="4"/>
  <c r="O125" i="4"/>
  <c r="P125" i="4" s="1"/>
  <c r="V125" i="4"/>
  <c r="T125" i="4"/>
  <c r="T86" i="4"/>
  <c r="L99" i="4"/>
  <c r="T74" i="4"/>
  <c r="T101" i="4"/>
  <c r="N103" i="4"/>
  <c r="Q103" i="4" s="1"/>
  <c r="O102" i="4"/>
  <c r="P102" i="4" s="1"/>
  <c r="T102" i="4"/>
  <c r="O104" i="4"/>
  <c r="P104" i="4" s="1"/>
  <c r="V104" i="4"/>
  <c r="T104" i="4"/>
  <c r="N97" i="4"/>
  <c r="Q97" i="4" s="1"/>
  <c r="O113" i="4"/>
  <c r="P113" i="4" s="1"/>
  <c r="T76" i="4"/>
  <c r="L96" i="4"/>
  <c r="S96" i="4" s="1"/>
  <c r="T81" i="4"/>
  <c r="T79" i="4"/>
  <c r="L87" i="4"/>
  <c r="S87" i="4" s="1"/>
  <c r="T124" i="4"/>
  <c r="T77" i="4"/>
  <c r="L112" i="4"/>
  <c r="T95" i="4"/>
  <c r="M125" i="4"/>
  <c r="U125" i="4" s="1"/>
  <c r="S125" i="4"/>
  <c r="L124" i="4"/>
  <c r="S124" i="4" s="1"/>
  <c r="M104" i="4"/>
  <c r="U104" i="4" s="1"/>
  <c r="S104" i="4"/>
  <c r="T75" i="4"/>
  <c r="O111" i="4"/>
  <c r="P111" i="4" s="1"/>
  <c r="T111" i="4"/>
  <c r="O109" i="4"/>
  <c r="P109" i="4" s="1"/>
  <c r="T109" i="4"/>
  <c r="T114" i="4"/>
  <c r="M118" i="4"/>
  <c r="U118" i="4" s="1"/>
  <c r="S118" i="4"/>
  <c r="L82" i="4"/>
  <c r="S82" i="4" s="1"/>
  <c r="T91" i="4"/>
  <c r="T84" i="4"/>
  <c r="T71" i="4"/>
  <c r="O105" i="4"/>
  <c r="P105" i="4" s="1"/>
  <c r="V105" i="4"/>
  <c r="T105" i="4"/>
  <c r="V127" i="4"/>
  <c r="T127" i="4"/>
  <c r="V90" i="4"/>
  <c r="T90" i="4"/>
  <c r="M105" i="4"/>
  <c r="U105" i="4" s="1"/>
  <c r="T123" i="4"/>
  <c r="O106" i="4"/>
  <c r="P106" i="4" s="1"/>
  <c r="V106" i="4"/>
  <c r="T106" i="4"/>
  <c r="M101" i="4"/>
  <c r="U101" i="4" s="1"/>
  <c r="S101" i="4"/>
  <c r="T121" i="4"/>
  <c r="T80" i="4"/>
  <c r="L102" i="4"/>
  <c r="T120" i="4"/>
  <c r="O98" i="4"/>
  <c r="P98" i="4" s="1"/>
  <c r="T98" i="4"/>
  <c r="T94" i="4"/>
  <c r="T96" i="4"/>
  <c r="T83" i="4"/>
  <c r="T116" i="4"/>
  <c r="T118" i="4"/>
  <c r="O117" i="4"/>
  <c r="P117" i="4" s="1"/>
  <c r="T117" i="4"/>
  <c r="N100" i="4"/>
  <c r="Q100" i="4" s="1"/>
  <c r="T92" i="4"/>
  <c r="O122" i="4"/>
  <c r="P122" i="4" s="1"/>
  <c r="V122" i="4"/>
  <c r="T122" i="4"/>
  <c r="T87" i="4"/>
  <c r="M113" i="4"/>
  <c r="U113" i="4" s="1"/>
  <c r="S113" i="4"/>
  <c r="T115" i="4"/>
  <c r="T73" i="4"/>
  <c r="T82" i="4"/>
  <c r="V119" i="4"/>
  <c r="T119" i="4"/>
  <c r="N116" i="4"/>
  <c r="Q116" i="4" s="1"/>
  <c r="L108" i="4"/>
  <c r="S108" i="4" s="1"/>
  <c r="O83" i="4"/>
  <c r="P83" i="4" s="1"/>
  <c r="T93" i="4"/>
  <c r="T78" i="4"/>
  <c r="T88" i="4"/>
  <c r="U134" i="4"/>
  <c r="V134" i="4"/>
  <c r="O71" i="4"/>
  <c r="P71" i="4" s="1"/>
  <c r="M116" i="4"/>
  <c r="U116" i="4" s="1"/>
  <c r="O119" i="4"/>
  <c r="P119" i="4" s="1"/>
  <c r="M126" i="4"/>
  <c r="U126" i="4" s="1"/>
  <c r="O126" i="4"/>
  <c r="P126" i="4" s="1"/>
  <c r="L110" i="4"/>
  <c r="O116" i="4"/>
  <c r="P116" i="4" s="1"/>
  <c r="L117" i="4"/>
  <c r="M120" i="4"/>
  <c r="U120" i="4" s="1"/>
  <c r="N108" i="4"/>
  <c r="Q108" i="4" s="1"/>
  <c r="L83" i="4"/>
  <c r="S83" i="4" s="1"/>
  <c r="N104" i="4"/>
  <c r="Q104" i="4" s="1"/>
  <c r="M119" i="4"/>
  <c r="U119" i="4" s="1"/>
  <c r="N113" i="4"/>
  <c r="Q113" i="4" s="1"/>
  <c r="L115" i="4"/>
  <c r="S115" i="4" s="1"/>
  <c r="O107" i="4"/>
  <c r="P107" i="4" s="1"/>
  <c r="O108" i="4"/>
  <c r="P108" i="4" s="1"/>
  <c r="M127" i="4"/>
  <c r="U127" i="4" s="1"/>
  <c r="N78" i="4"/>
  <c r="Q78" i="4" s="1"/>
  <c r="L109" i="4"/>
  <c r="L73" i="4"/>
  <c r="S73" i="4" s="1"/>
  <c r="L98" i="4"/>
  <c r="L107" i="4"/>
  <c r="O127" i="4"/>
  <c r="P127" i="4" s="1"/>
  <c r="L90" i="4"/>
  <c r="S90" i="4" s="1"/>
  <c r="O124" i="4"/>
  <c r="P124" i="4" s="1"/>
  <c r="O115" i="4"/>
  <c r="P115" i="4" s="1"/>
  <c r="L121" i="4"/>
  <c r="S121" i="4" s="1"/>
  <c r="O114" i="4"/>
  <c r="P114" i="4" s="1"/>
  <c r="N76" i="4"/>
  <c r="Q76" i="4" s="1"/>
  <c r="O120" i="4"/>
  <c r="P120" i="4" s="1"/>
  <c r="O91" i="4"/>
  <c r="P91" i="4" s="1"/>
  <c r="L81" i="4"/>
  <c r="S81" i="4" s="1"/>
  <c r="N112" i="4"/>
  <c r="Q112" i="4" s="1"/>
  <c r="O121" i="4"/>
  <c r="P121" i="4" s="1"/>
  <c r="O92" i="4"/>
  <c r="P92" i="4" s="1"/>
  <c r="O86" i="4"/>
  <c r="P86" i="4" s="1"/>
  <c r="O74" i="4"/>
  <c r="P74" i="4" s="1"/>
  <c r="O76" i="4"/>
  <c r="P76" i="4" s="1"/>
  <c r="O75" i="4"/>
  <c r="P75" i="4" s="1"/>
  <c r="O85" i="4"/>
  <c r="P85" i="4" s="1"/>
  <c r="O93" i="4"/>
  <c r="P93" i="4" s="1"/>
  <c r="O82" i="4"/>
  <c r="P82" i="4" s="1"/>
  <c r="M78" i="4"/>
  <c r="U78" i="4" s="1"/>
  <c r="O97" i="4"/>
  <c r="P97" i="4" s="1"/>
  <c r="O94" i="4"/>
  <c r="P94" i="4" s="1"/>
  <c r="L114" i="4"/>
  <c r="S114" i="4" s="1"/>
  <c r="O80" i="4"/>
  <c r="P80" i="4" s="1"/>
  <c r="O78" i="4"/>
  <c r="P78" i="4" s="1"/>
  <c r="O96" i="4"/>
  <c r="P96" i="4" s="1"/>
  <c r="L91" i="4"/>
  <c r="S91" i="4" s="1"/>
  <c r="M84" i="4"/>
  <c r="U84" i="4" s="1"/>
  <c r="M76" i="4"/>
  <c r="U76" i="4" s="1"/>
  <c r="O79" i="4"/>
  <c r="P79" i="4" s="1"/>
  <c r="M96" i="4"/>
  <c r="U96" i="4" s="1"/>
  <c r="L74" i="4"/>
  <c r="S74" i="4" s="1"/>
  <c r="O72" i="4"/>
  <c r="P72" i="4" s="1"/>
  <c r="O73" i="4"/>
  <c r="P73" i="4" s="1"/>
  <c r="L79" i="4"/>
  <c r="S79" i="4" s="1"/>
  <c r="O84" i="4"/>
  <c r="P84" i="4" s="1"/>
  <c r="L72" i="4"/>
  <c r="S72" i="4" s="1"/>
  <c r="L71" i="4"/>
  <c r="S71" i="4" s="1"/>
  <c r="O95" i="4"/>
  <c r="P95" i="4" s="1"/>
  <c r="M97" i="4"/>
  <c r="O89" i="4"/>
  <c r="P89" i="4" s="1"/>
  <c r="O77" i="4"/>
  <c r="P77" i="4" s="1"/>
  <c r="M81" i="4"/>
  <c r="U81" i="4" s="1"/>
  <c r="L92" i="4"/>
  <c r="S92" i="4" s="1"/>
  <c r="N73" i="4"/>
  <c r="Q73" i="4" s="1"/>
  <c r="L89" i="4"/>
  <c r="S89" i="4" s="1"/>
  <c r="O88" i="4"/>
  <c r="P88" i="4" s="1"/>
  <c r="L86" i="4"/>
  <c r="S86" i="4" s="1"/>
  <c r="O90" i="4"/>
  <c r="P90" i="4" s="1"/>
  <c r="O87" i="4"/>
  <c r="P87" i="4" s="1"/>
  <c r="L85" i="4"/>
  <c r="S85" i="4" s="1"/>
  <c r="M90" i="4"/>
  <c r="U90" i="4" s="1"/>
  <c r="L75" i="4"/>
  <c r="S75" i="4" s="1"/>
  <c r="O81" i="4"/>
  <c r="P81" i="4" s="1"/>
  <c r="N83" i="4"/>
  <c r="Q83" i="4" s="1"/>
  <c r="L95" i="4"/>
  <c r="S95" i="4" s="1"/>
  <c r="L77" i="4"/>
  <c r="S77" i="4" s="1"/>
  <c r="L93" i="4"/>
  <c r="S93" i="4" s="1"/>
  <c r="L88" i="4"/>
  <c r="S88" i="4" s="1"/>
  <c r="N82" i="4"/>
  <c r="Q82" i="4" s="1"/>
  <c r="L80" i="4"/>
  <c r="S80" i="4" s="1"/>
  <c r="J14" i="4"/>
  <c r="J13" i="4" s="1"/>
  <c r="K16" i="4" s="1"/>
  <c r="M98" i="4" l="1"/>
  <c r="S98" i="4"/>
  <c r="M109" i="4"/>
  <c r="S109" i="4"/>
  <c r="M82" i="4"/>
  <c r="V123" i="4"/>
  <c r="V111" i="4"/>
  <c r="V103" i="4"/>
  <c r="M73" i="4"/>
  <c r="M117" i="4"/>
  <c r="S117" i="4"/>
  <c r="V96" i="4"/>
  <c r="M87" i="4"/>
  <c r="M110" i="4"/>
  <c r="S110" i="4"/>
  <c r="V78" i="4"/>
  <c r="M124" i="4"/>
  <c r="V81" i="4"/>
  <c r="V101" i="4"/>
  <c r="V118" i="4"/>
  <c r="M112" i="4"/>
  <c r="S112" i="4"/>
  <c r="V76" i="4"/>
  <c r="V120" i="4"/>
  <c r="V84" i="4"/>
  <c r="M94" i="4"/>
  <c r="M108" i="4"/>
  <c r="V116" i="4"/>
  <c r="M102" i="4"/>
  <c r="S102" i="4"/>
  <c r="M99" i="4"/>
  <c r="S99" i="4"/>
  <c r="V126" i="4"/>
  <c r="M91" i="4"/>
  <c r="M83" i="4"/>
  <c r="M114" i="4"/>
  <c r="M115" i="4"/>
  <c r="M107" i="4"/>
  <c r="M71" i="4"/>
  <c r="M121" i="4"/>
  <c r="M75" i="4"/>
  <c r="M74" i="4"/>
  <c r="M80" i="4"/>
  <c r="M85" i="4"/>
  <c r="M86" i="4"/>
  <c r="M93" i="4"/>
  <c r="M77" i="4"/>
  <c r="M79" i="4"/>
  <c r="M95" i="4"/>
  <c r="M89" i="4"/>
  <c r="M72" i="4"/>
  <c r="M88" i="4"/>
  <c r="M92" i="4"/>
  <c r="K14" i="4"/>
  <c r="K13" i="4"/>
  <c r="K15" i="4"/>
  <c r="U95" i="4" l="1"/>
  <c r="V95" i="4"/>
  <c r="U115" i="4"/>
  <c r="V115" i="4"/>
  <c r="U87" i="4"/>
  <c r="V87" i="4"/>
  <c r="U79" i="4"/>
  <c r="V79" i="4"/>
  <c r="U114" i="4"/>
  <c r="V114" i="4"/>
  <c r="U77" i="4"/>
  <c r="V77" i="4"/>
  <c r="U83" i="4"/>
  <c r="V83" i="4"/>
  <c r="U93" i="4"/>
  <c r="V93" i="4"/>
  <c r="U91" i="4"/>
  <c r="V91" i="4"/>
  <c r="U117" i="4"/>
  <c r="V117" i="4"/>
  <c r="U86" i="4"/>
  <c r="V86" i="4"/>
  <c r="U112" i="4"/>
  <c r="V112" i="4"/>
  <c r="U73" i="4"/>
  <c r="V73" i="4"/>
  <c r="U85" i="4"/>
  <c r="V85" i="4"/>
  <c r="U80" i="4"/>
  <c r="V80" i="4"/>
  <c r="U99" i="4"/>
  <c r="V99" i="4"/>
  <c r="U74" i="4"/>
  <c r="V74" i="4"/>
  <c r="U92" i="4"/>
  <c r="V92" i="4"/>
  <c r="U75" i="4"/>
  <c r="V75" i="4"/>
  <c r="U102" i="4"/>
  <c r="V102" i="4"/>
  <c r="U124" i="4"/>
  <c r="V124" i="4"/>
  <c r="U82" i="4"/>
  <c r="V82" i="4"/>
  <c r="U88" i="4"/>
  <c r="V88" i="4"/>
  <c r="U121" i="4"/>
  <c r="V121" i="4"/>
  <c r="U72" i="4"/>
  <c r="V72" i="4"/>
  <c r="U71" i="4"/>
  <c r="V71" i="4"/>
  <c r="U108" i="4"/>
  <c r="V108" i="4"/>
  <c r="U109" i="4"/>
  <c r="V109" i="4"/>
  <c r="U89" i="4"/>
  <c r="V89" i="4"/>
  <c r="U94" i="4"/>
  <c r="V94" i="4"/>
  <c r="U110" i="4"/>
  <c r="V110" i="4"/>
  <c r="U98" i="4"/>
  <c r="V98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9" i="4" l="1"/>
  <c r="P59" i="4" s="1"/>
  <c r="T59" i="4"/>
  <c r="T57" i="4"/>
  <c r="T61" i="4"/>
  <c r="T60" i="4"/>
  <c r="T58" i="4"/>
  <c r="O56" i="4"/>
  <c r="P56" i="4" s="1"/>
  <c r="T56" i="4"/>
  <c r="T62" i="4"/>
  <c r="O55" i="4"/>
  <c r="P55" i="4" s="1"/>
  <c r="T55" i="4"/>
  <c r="T63" i="4"/>
  <c r="O61" i="4"/>
  <c r="P61" i="4" s="1"/>
  <c r="O62" i="4"/>
  <c r="P62" i="4" s="1"/>
  <c r="O60" i="4"/>
  <c r="P60" i="4" s="1"/>
  <c r="O58" i="4"/>
  <c r="P58" i="4" s="1"/>
  <c r="O57" i="4"/>
  <c r="P57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T69" i="4" l="1"/>
  <c r="T65" i="4"/>
  <c r="M56" i="4"/>
  <c r="S56" i="4"/>
  <c r="T68" i="4"/>
  <c r="M55" i="4"/>
  <c r="S55" i="4"/>
  <c r="T64" i="4"/>
  <c r="T70" i="4"/>
  <c r="V66" i="4"/>
  <c r="T66" i="4"/>
  <c r="M59" i="4"/>
  <c r="S59" i="4"/>
  <c r="T67" i="4"/>
  <c r="M61" i="4"/>
  <c r="M62" i="4"/>
  <c r="M70" i="4"/>
  <c r="U70" i="4" s="1"/>
  <c r="M60" i="4"/>
  <c r="M63" i="4"/>
  <c r="O64" i="4"/>
  <c r="P64" i="4" s="1"/>
  <c r="M65" i="4"/>
  <c r="U65" i="4" s="1"/>
  <c r="M58" i="4"/>
  <c r="O67" i="4"/>
  <c r="P67" i="4" s="1"/>
  <c r="M69" i="4"/>
  <c r="U69" i="4" s="1"/>
  <c r="O65" i="4"/>
  <c r="P65" i="4" s="1"/>
  <c r="O66" i="4"/>
  <c r="P66" i="4" s="1"/>
  <c r="M68" i="4"/>
  <c r="U68" i="4" s="1"/>
  <c r="M67" i="4"/>
  <c r="U67" i="4" s="1"/>
  <c r="O68" i="4"/>
  <c r="P68" i="4" s="1"/>
  <c r="M64" i="4"/>
  <c r="U64" i="4" s="1"/>
  <c r="M66" i="4"/>
  <c r="U66" i="4" s="1"/>
  <c r="O69" i="4"/>
  <c r="P69" i="4" s="1"/>
  <c r="M57" i="4"/>
  <c r="O70" i="4"/>
  <c r="P70" i="4" s="1"/>
  <c r="U58" i="4" l="1"/>
  <c r="V58" i="4"/>
  <c r="U60" i="4"/>
  <c r="V60" i="4"/>
  <c r="V64" i="4"/>
  <c r="U62" i="4"/>
  <c r="V62" i="4"/>
  <c r="U61" i="4"/>
  <c r="V61" i="4"/>
  <c r="U55" i="4"/>
  <c r="V55" i="4"/>
  <c r="V67" i="4"/>
  <c r="V68" i="4"/>
  <c r="U59" i="4"/>
  <c r="V59" i="4"/>
  <c r="U56" i="4"/>
  <c r="V56" i="4"/>
  <c r="U57" i="4"/>
  <c r="V57" i="4"/>
  <c r="V65" i="4"/>
  <c r="U63" i="4"/>
  <c r="V63" i="4"/>
  <c r="V70" i="4"/>
  <c r="V69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0" i="4" l="1"/>
  <c r="J43" i="4"/>
  <c r="L43" i="4" s="1"/>
  <c r="S43" i="4" s="1"/>
  <c r="J31" i="4"/>
  <c r="K31" i="4" s="1"/>
  <c r="J44" i="4"/>
  <c r="L44" i="4" s="1"/>
  <c r="S44" i="4" s="1"/>
  <c r="J36" i="4"/>
  <c r="L36" i="4" s="1"/>
  <c r="S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31" i="4"/>
  <c r="S31" i="4" s="1"/>
  <c r="L45" i="4"/>
  <c r="S45" i="4" s="1"/>
  <c r="K45" i="4"/>
  <c r="L47" i="4"/>
  <c r="S47" i="4" s="1"/>
  <c r="K47" i="4"/>
  <c r="K52" i="4"/>
  <c r="L52" i="4"/>
  <c r="K43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K30" i="4"/>
  <c r="L30" i="4"/>
  <c r="S30" i="4" s="1"/>
  <c r="T31" i="4" l="1"/>
  <c r="T47" i="4"/>
  <c r="T48" i="4"/>
  <c r="T45" i="4"/>
  <c r="O53" i="4"/>
  <c r="P53" i="4" s="1"/>
  <c r="T53" i="4"/>
  <c r="M53" i="4"/>
  <c r="U53" i="4" s="1"/>
  <c r="S53" i="4"/>
  <c r="O51" i="4"/>
  <c r="P51" i="4" s="1"/>
  <c r="T51" i="4"/>
  <c r="T33" i="4"/>
  <c r="T35" i="4"/>
  <c r="V30" i="4"/>
  <c r="T30" i="4"/>
  <c r="M51" i="4"/>
  <c r="U51" i="4" s="1"/>
  <c r="S51" i="4"/>
  <c r="T28" i="4"/>
  <c r="T46" i="4"/>
  <c r="T49" i="4"/>
  <c r="O54" i="4"/>
  <c r="P54" i="4" s="1"/>
  <c r="T54" i="4"/>
  <c r="M54" i="4"/>
  <c r="U54" i="4" s="1"/>
  <c r="S54" i="4"/>
  <c r="O50" i="4"/>
  <c r="P50" i="4" s="1"/>
  <c r="T50" i="4"/>
  <c r="T43" i="4"/>
  <c r="M50" i="4"/>
  <c r="U50" i="4" s="1"/>
  <c r="S50" i="4"/>
  <c r="M52" i="4"/>
  <c r="U52" i="4" s="1"/>
  <c r="S52" i="4"/>
  <c r="T39" i="4"/>
  <c r="O52" i="4"/>
  <c r="P52" i="4" s="1"/>
  <c r="V52" i="4"/>
  <c r="T52" i="4"/>
  <c r="T41" i="4"/>
  <c r="O49" i="4"/>
  <c r="P49" i="4" s="1"/>
  <c r="M48" i="4"/>
  <c r="U48" i="4" s="1"/>
  <c r="O48" i="4"/>
  <c r="P48" i="4" s="1"/>
  <c r="M49" i="4"/>
  <c r="U49" i="4" s="1"/>
  <c r="O35" i="4"/>
  <c r="P35" i="4" s="1"/>
  <c r="O47" i="4"/>
  <c r="P47" i="4" s="1"/>
  <c r="M47" i="4"/>
  <c r="U47" i="4" s="1"/>
  <c r="O30" i="4"/>
  <c r="P30" i="4" s="1"/>
  <c r="O33" i="4"/>
  <c r="P33" i="4" s="1"/>
  <c r="O28" i="4"/>
  <c r="P28" i="4" s="1"/>
  <c r="L35" i="4"/>
  <c r="S35" i="4" s="1"/>
  <c r="O43" i="4"/>
  <c r="P43" i="4" s="1"/>
  <c r="M44" i="4"/>
  <c r="U44" i="4" s="1"/>
  <c r="M43" i="4"/>
  <c r="U43" i="4" s="1"/>
  <c r="O45" i="4"/>
  <c r="P45" i="4" s="1"/>
  <c r="M45" i="4"/>
  <c r="U45" i="4" s="1"/>
  <c r="M31" i="4"/>
  <c r="U31" i="4" s="1"/>
  <c r="O31" i="4"/>
  <c r="P31" i="4" s="1"/>
  <c r="O46" i="4"/>
  <c r="P46" i="4" s="1"/>
  <c r="O39" i="4"/>
  <c r="P39" i="4" s="1"/>
  <c r="M39" i="4"/>
  <c r="U39" i="4" s="1"/>
  <c r="O41" i="4"/>
  <c r="P41" i="4" s="1"/>
  <c r="K36" i="4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29" i="4" l="1"/>
  <c r="T29" i="4"/>
  <c r="V32" i="4"/>
  <c r="T32" i="4"/>
  <c r="V34" i="4"/>
  <c r="T34" i="4"/>
  <c r="V45" i="4"/>
  <c r="V38" i="4"/>
  <c r="T38" i="4"/>
  <c r="V40" i="4"/>
  <c r="T40" i="4"/>
  <c r="V54" i="4"/>
  <c r="V37" i="4"/>
  <c r="T37" i="4"/>
  <c r="V49" i="4"/>
  <c r="V48" i="4"/>
  <c r="V44" i="4"/>
  <c r="T44" i="4"/>
  <c r="V43" i="4"/>
  <c r="V51" i="4"/>
  <c r="V47" i="4"/>
  <c r="V36" i="4"/>
  <c r="T36" i="4"/>
  <c r="V53" i="4"/>
  <c r="V39" i="4"/>
  <c r="V42" i="4"/>
  <c r="T42" i="4"/>
  <c r="V50" i="4"/>
  <c r="V31" i="4"/>
  <c r="O44" i="4"/>
  <c r="P44" i="4" s="1"/>
  <c r="O36" i="4"/>
  <c r="P36" i="4" s="1"/>
  <c r="O29" i="4"/>
  <c r="P29" i="4" s="1"/>
  <c r="O32" i="4"/>
  <c r="P32" i="4" s="1"/>
  <c r="O40" i="4"/>
  <c r="P40" i="4" s="1"/>
  <c r="O42" i="4"/>
  <c r="P42" i="4" s="1"/>
  <c r="M41" i="4"/>
  <c r="O38" i="4"/>
  <c r="P38" i="4" s="1"/>
  <c r="M33" i="4"/>
  <c r="M35" i="4"/>
  <c r="O34" i="4"/>
  <c r="P34" i="4" s="1"/>
  <c r="O37" i="4"/>
  <c r="P37" i="4" s="1"/>
  <c r="M46" i="4"/>
  <c r="M28" i="4"/>
  <c r="U41" i="4" l="1"/>
  <c r="V41" i="4"/>
  <c r="U28" i="4"/>
  <c r="V28" i="4"/>
  <c r="U46" i="4"/>
  <c r="V46" i="4"/>
  <c r="U35" i="4"/>
  <c r="V35" i="4"/>
  <c r="U33" i="4"/>
  <c r="V3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<sst xmlns="http://schemas.openxmlformats.org/spreadsheetml/2006/main" count="340" uniqueCount="314">
  <si>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</si>
  <si>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</si>
  <si>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</si>
  <si>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</si>
  <si>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</si>
  <si>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</si>
  <si>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</si>
  <si>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</si>
  <si>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</si>
  <si>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</si>
  <si>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</si>
  <si>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</si>
  <si>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</si>
  <si>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</si>
  <si>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</si>
  <si>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</si>
  <si>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</si>
  <si>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</si>
  <si>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</si>
  <si>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</si>
  <si>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</si>
  <si>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</si>
  <si>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</si>
  <si>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</si>
  <si>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</si>
  <si>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</si>
  <si>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</si>
  <si>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</si>
  <si>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</si>
  <si>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</si>
  <si>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</si>
  <si>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</si>
  <si>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</si>
  <si>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</si>
  <si>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</si>
  <si>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</si>
  <si>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</si>
  <si>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</si>
  <si>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</si>
  <si>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</si>
  <si>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</si>
  <si>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</si>
  <si>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</si>
  <si>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</si>
  <si>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</si>
  <si>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</si>
  <si>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</si>
  <si>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</si>
  <si>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</si>
  <si>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</si>
  <si>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</si>
  <si>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</si>
  <si>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</si>
  <si>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</si>
  <si>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</si>
  <si>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</si>
  <si>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</si>
  <si>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</si>
  <si>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</si>
  <si>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</si>
  <si>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</si>
  <si>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</si>
  <si>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</si>
  <si>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</si>
  <si>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</si>
  <si>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</si>
  <si>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</si>
  <si>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</si>
  <si>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</si>
  <si>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</si>
  <si>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</si>
  <si>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</si>
  <si>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</si>
  <si>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</si>
  <si>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</si>
  <si>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</si>
  <si>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</si>
  <si>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</si>
  <si>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</si>
  <si>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</si>
  <si>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</si>
  <si>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</si>
  <si>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</si>
  <si>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</si>
  <si>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</si>
  <si>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</si>
  <si>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</si>
  <si>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</si>
  <si>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</si>
  <si>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</si>
  <si>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</si>
  <si>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</si>
  <si>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</si>
  <si>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</si>
  <si>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</si>
  <si>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</si>
  <si>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</si>
  <si>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</si>
  <si>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</si>
  <si>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</si>
  <si>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</si>
  <si>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</si>
  <si>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</si>
  <si>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</si>
  <si>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</si>
  <si>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</si>
  <si>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</si>
  <si>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</si>
  <si>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</si>
  <si>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</si>
  <si>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</si>
  <si>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HEK293T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</si>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</sst>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X9" sqref="X9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6.6116099999999995E-3</v>
      </c>
      <c r="M17" s="80">
        <v>6.1539000000000006E-4</v>
      </c>
      <c r="N17" s="80">
        <v>7.2999999999999999E-5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7" zoomScale="61" zoomScaleNormal="70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150.14599999999999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150.05453220000001</v>
      </c>
      <c r="K8" s="39">
        <f>J8/J7</f>
        <v>0.99939080761392263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8.4307799999999988E-2</v>
      </c>
      <c r="K9" s="39">
        <f>J9/J7</f>
        <v>5.6150546801113583E-4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7.1599999999999997E-3</v>
      </c>
      <c r="K10" s="39">
        <f>J10/J7</f>
        <v>4.768691806641536E-5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0.14599999999999999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0.13223219999999999</v>
      </c>
      <c r="K20" s="39">
        <f>J20/J19</f>
        <v>0.90570000000000006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1.2307800000000001E-2</v>
      </c>
      <c r="K21" s="39">
        <f>J21/J19</f>
        <v>8.4300000000000014E-2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1.4599999999999999E-3</v>
      </c>
      <c r="K22" s="39">
        <f>J22/J19</f>
        <v>0.01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6.7869130147026708E-3</v>
      </c>
      <c r="K28" s="93">
        <f t="shared" ref="K28:K47" si="3">IF(D28=0,"",1/(1+10^D28*$J$15/$J$14+10^E28*$J$16/$J$14+10^J28*$J$19/$J$14))</f>
        <v>0.99840931197355232</v>
      </c>
      <c r="L28" s="93">
        <f t="shared" ref="L28:L47" si="4">IF(D28=0,"",1/(1+10^I28/10^J28*$J$13/$J$19))</f>
        <v>9.8760244288372814E-4</v>
      </c>
      <c r="M28" s="93">
        <f t="shared" ref="M28:M47" si="5">IF(D28=0,"",1-L28)</f>
        <v>0.99901239755711624</v>
      </c>
      <c r="N28" s="93">
        <f t="shared" ref="N28:N47" si="6">IF(D28=0,"",1/(1/10^E28*$J$20/$J$22+10^D28/10^E28*$J$21/$J$22+10^I28/10^E28*$J$13/$J$22+1))</f>
        <v>1.1749279696742343E-5</v>
      </c>
      <c r="O28" s="40">
        <f t="shared" ref="O28:O47" si="7">IF(D28=0,"",F28*K28*$J$7/$J$14)</f>
        <v>9.9989904474238295E-7</v>
      </c>
      <c r="P28" s="40">
        <f t="shared" ref="P28:P47" si="8">IF(D28=0,"",O28*10^J28)</f>
        <v>1.0156476465015086E-6</v>
      </c>
      <c r="Q28" s="40">
        <f t="shared" ref="Q28:Q47" si="9">IF(D28=0,"",F28*N28*$J$7/$J$22)</f>
        <v>1.2082927050322436E-6</v>
      </c>
      <c r="R28" s="9">
        <f>F28*$C$14</f>
        <v>1.4999999999999999E-4</v>
      </c>
      <c r="S28" s="9">
        <f>$R28*L28</f>
        <v>1.4814036643255922E-7</v>
      </c>
      <c r="T28" s="9">
        <f t="shared" ref="T28:T91" si="10">R28*K28</f>
        <v>1.4976139679603284E-4</v>
      </c>
      <c r="U28" s="9">
        <f t="shared" ref="U28:U91" si="11">$R28*M28</f>
        <v>1.4985185963356743E-4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1.3408295503880296</v>
      </c>
      <c r="K29" s="93">
        <f t="shared" si="3"/>
        <v>0.88194707830789021</v>
      </c>
      <c r="L29" s="93">
        <f t="shared" si="4"/>
        <v>1.8826027805472097E-2</v>
      </c>
      <c r="M29" s="93">
        <f t="shared" si="5"/>
        <v>0.98117397219452795</v>
      </c>
      <c r="N29" s="93">
        <f t="shared" si="6"/>
        <v>3.2653455412656909E-3</v>
      </c>
      <c r="O29" s="40">
        <f t="shared" si="7"/>
        <v>8.8326303705063525E-7</v>
      </c>
      <c r="P29" s="40">
        <f t="shared" si="8"/>
        <v>1.9360635416989134E-5</v>
      </c>
      <c r="Q29" s="40">
        <f t="shared" si="9"/>
        <v>3.3580724084854687E-4</v>
      </c>
      <c r="R29" s="9">
        <f t="shared" ref="R29:R92" si="12">F29*$C$14</f>
        <v>1.4999999999999999E-4</v>
      </c>
      <c r="S29" s="9">
        <f t="shared" ref="S29:S92" si="13">$R29*L29</f>
        <v>2.8239041708208142E-6</v>
      </c>
      <c r="T29" s="9">
        <f t="shared" si="10"/>
        <v>1.3229206174618352E-4</v>
      </c>
      <c r="U29" s="9">
        <f t="shared" si="11"/>
        <v>1.4717609582917917E-4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3.3269072622500944</v>
      </c>
      <c r="K30" s="93">
        <f t="shared" si="3"/>
        <v>6.6019002403510163E-2</v>
      </c>
      <c r="L30" s="93">
        <f t="shared" si="4"/>
        <v>0.13647805963902582</v>
      </c>
      <c r="M30" s="93">
        <f t="shared" si="5"/>
        <v>0.86352194036097418</v>
      </c>
      <c r="N30" s="93">
        <f t="shared" si="6"/>
        <v>2.8064388070111844E-4</v>
      </c>
      <c r="O30" s="40">
        <f t="shared" si="7"/>
        <v>6.6117509769243363E-8</v>
      </c>
      <c r="P30" s="40">
        <f t="shared" si="8"/>
        <v>1.4035366262028198E-4</v>
      </c>
      <c r="Q30" s="40">
        <f t="shared" si="9"/>
        <v>2.8861339802568577E-5</v>
      </c>
      <c r="R30" s="9">
        <f t="shared" si="12"/>
        <v>1.4999999999999999E-4</v>
      </c>
      <c r="S30" s="9">
        <f t="shared" si="13"/>
        <v>2.047170894585387E-5</v>
      </c>
      <c r="T30" s="9">
        <f t="shared" si="10"/>
        <v>9.9028503605265242E-6</v>
      </c>
      <c r="U30" s="9">
        <f t="shared" si="11"/>
        <v>1.2952829105414613E-4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-3.812667212265184E-2</v>
      </c>
      <c r="K31" s="93">
        <f t="shared" si="3"/>
        <v>0.99905080800369395</v>
      </c>
      <c r="L31" s="93">
        <f t="shared" si="4"/>
        <v>8.9114325196445229E-4</v>
      </c>
      <c r="M31" s="93">
        <f t="shared" si="5"/>
        <v>0.99910885674803551</v>
      </c>
      <c r="N31" s="93">
        <f t="shared" si="6"/>
        <v>1.5818505252952925E-7</v>
      </c>
      <c r="O31" s="40">
        <f t="shared" si="7"/>
        <v>1.0005414979527569E-6</v>
      </c>
      <c r="P31" s="40">
        <f t="shared" si="8"/>
        <v>9.1644927883188117E-7</v>
      </c>
      <c r="Q31" s="40">
        <f t="shared" si="9"/>
        <v>1.6267707463766232E-8</v>
      </c>
      <c r="R31" s="9">
        <f t="shared" si="12"/>
        <v>1.4999999999999999E-4</v>
      </c>
      <c r="S31" s="9">
        <f t="shared" si="13"/>
        <v>1.3367148779466783E-7</v>
      </c>
      <c r="T31" s="9">
        <f t="shared" si="10"/>
        <v>1.4985762120055409E-4</v>
      </c>
      <c r="U31" s="9">
        <f t="shared" si="11"/>
        <v>1.498663285122053E-4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8.7462142087006658E-2</v>
      </c>
      <c r="K32" s="93">
        <f t="shared" si="3"/>
        <v>0.99704737069163041</v>
      </c>
      <c r="L32" s="93">
        <f t="shared" si="4"/>
        <v>1.1875845916623029E-3</v>
      </c>
      <c r="M32" s="93">
        <f t="shared" si="5"/>
        <v>0.99881241540833765</v>
      </c>
      <c r="N32" s="93">
        <f t="shared" si="6"/>
        <v>1.9434080344378419E-5</v>
      </c>
      <c r="O32" s="40">
        <f t="shared" si="7"/>
        <v>9.9853507129936972E-7</v>
      </c>
      <c r="P32" s="40">
        <f t="shared" si="8"/>
        <v>1.2213087404090966E-6</v>
      </c>
      <c r="Q32" s="40">
        <f t="shared" si="9"/>
        <v>1.9985954982103028E-6</v>
      </c>
      <c r="R32" s="9">
        <f t="shared" si="12"/>
        <v>1.4999999999999999E-4</v>
      </c>
      <c r="S32" s="9">
        <f t="shared" si="13"/>
        <v>1.7813768874934541E-7</v>
      </c>
      <c r="T32" s="9">
        <f t="shared" si="10"/>
        <v>1.4955710560374456E-4</v>
      </c>
      <c r="U32" s="9">
        <f t="shared" si="11"/>
        <v>1.4982186231125063E-4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0.72912228662279288</v>
      </c>
      <c r="K33" s="93">
        <f t="shared" si="3"/>
        <v>0.9716190921319825</v>
      </c>
      <c r="L33" s="93">
        <f t="shared" si="4"/>
        <v>5.0711323614467448E-3</v>
      </c>
      <c r="M33" s="93">
        <f t="shared" si="5"/>
        <v>0.99492886763855326</v>
      </c>
      <c r="N33" s="93">
        <f t="shared" si="6"/>
        <v>6.901096051025198E-4</v>
      </c>
      <c r="O33" s="40">
        <f t="shared" si="7"/>
        <v>9.730688510464996E-7</v>
      </c>
      <c r="P33" s="40">
        <f t="shared" si="8"/>
        <v>5.2151386269985133E-6</v>
      </c>
      <c r="Q33" s="40">
        <f t="shared" si="9"/>
        <v>7.0970682717618434E-5</v>
      </c>
      <c r="R33" s="9">
        <f t="shared" si="12"/>
        <v>1.4999999999999999E-4</v>
      </c>
      <c r="S33" s="9">
        <f t="shared" si="13"/>
        <v>7.6066985421701164E-7</v>
      </c>
      <c r="T33" s="9">
        <f t="shared" si="10"/>
        <v>1.4574286381979735E-4</v>
      </c>
      <c r="U33" s="9">
        <f t="shared" si="11"/>
        <v>1.4923933014578298E-4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5.2712683038239401E-2</v>
      </c>
      <c r="K34" s="93">
        <f t="shared" si="3"/>
        <v>0.99765688448568668</v>
      </c>
      <c r="L34" s="93">
        <f t="shared" si="4"/>
        <v>1.0969340216004215E-3</v>
      </c>
      <c r="M34" s="93">
        <f t="shared" si="5"/>
        <v>0.99890306597839962</v>
      </c>
      <c r="N34" s="93">
        <f t="shared" si="6"/>
        <v>1.1939695015223095E-5</v>
      </c>
      <c r="O34" s="40">
        <f t="shared" si="7"/>
        <v>9.9914549455276434E-7</v>
      </c>
      <c r="P34" s="40">
        <f t="shared" si="8"/>
        <v>1.1280839425151841E-6</v>
      </c>
      <c r="Q34" s="40">
        <f t="shared" si="9"/>
        <v>1.2278749642162237E-6</v>
      </c>
      <c r="R34" s="9">
        <f t="shared" si="12"/>
        <v>1.4999999999999999E-4</v>
      </c>
      <c r="S34" s="9">
        <f t="shared" si="13"/>
        <v>1.6454010324006321E-7</v>
      </c>
      <c r="T34" s="9">
        <f t="shared" si="10"/>
        <v>1.4964853267285298E-4</v>
      </c>
      <c r="U34" s="9">
        <f t="shared" si="11"/>
        <v>1.4983545989675993E-4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3.0890416860471809E-2</v>
      </c>
      <c r="K35" s="93">
        <f t="shared" si="3"/>
        <v>0.99801679780616737</v>
      </c>
      <c r="L35" s="93">
        <f t="shared" si="4"/>
        <v>1.0435539047636193E-3</v>
      </c>
      <c r="M35" s="93">
        <f t="shared" si="5"/>
        <v>0.99895644609523637</v>
      </c>
      <c r="N35" s="93">
        <f t="shared" si="6"/>
        <v>8.0366046829472794E-6</v>
      </c>
      <c r="O35" s="40">
        <f t="shared" si="7"/>
        <v>9.9950594490215773E-7</v>
      </c>
      <c r="P35" s="40">
        <f t="shared" si="8"/>
        <v>1.0731879766071121E-6</v>
      </c>
      <c r="Q35" s="40">
        <f t="shared" si="9"/>
        <v>8.2648222378479597E-7</v>
      </c>
      <c r="R35" s="9">
        <f t="shared" si="12"/>
        <v>1.4999999999999999E-4</v>
      </c>
      <c r="S35" s="9">
        <f t="shared" si="13"/>
        <v>1.5653308571454289E-7</v>
      </c>
      <c r="T35" s="9">
        <f t="shared" si="10"/>
        <v>1.4970251967092509E-4</v>
      </c>
      <c r="U35" s="9">
        <f t="shared" si="11"/>
        <v>1.4984346691428546E-4</v>
      </c>
      <c r="V35" s="100">
        <f t="shared" si="14"/>
        <v>0.99905937011293944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2.5613647148029952</v>
      </c>
      <c r="K36" s="93">
        <f t="shared" si="3"/>
        <v>0.31477088050418051</v>
      </c>
      <c r="L36" s="93">
        <f t="shared" si="4"/>
        <v>0.11164669803001451</v>
      </c>
      <c r="M36" s="93">
        <f t="shared" si="5"/>
        <v>0.88835330196998552</v>
      </c>
      <c r="N36" s="93">
        <f t="shared" si="6"/>
        <v>4.0044895848851729E-2</v>
      </c>
      <c r="O36" s="40">
        <f t="shared" si="7"/>
        <v>3.1524055210052592E-7</v>
      </c>
      <c r="P36" s="40">
        <f t="shared" si="8"/>
        <v>1.1481715837270247E-4</v>
      </c>
      <c r="Q36" s="40">
        <f t="shared" si="9"/>
        <v>4.1182061178915699E-3</v>
      </c>
      <c r="R36" s="9">
        <f t="shared" si="12"/>
        <v>1.4999999999999999E-4</v>
      </c>
      <c r="S36" s="9">
        <f t="shared" si="13"/>
        <v>1.6747004704502176E-5</v>
      </c>
      <c r="T36" s="9">
        <f t="shared" si="10"/>
        <v>4.7215632075627069E-5</v>
      </c>
      <c r="U36" s="9">
        <f t="shared" si="11"/>
        <v>1.3325299529549781E-4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4.5810354638391573</v>
      </c>
      <c r="K37" s="93">
        <f t="shared" si="3"/>
        <v>5.1081871365402324E-3</v>
      </c>
      <c r="L37" s="93">
        <f t="shared" si="4"/>
        <v>0.18957841261478087</v>
      </c>
      <c r="M37" s="93">
        <f t="shared" si="5"/>
        <v>0.81042158738521919</v>
      </c>
      <c r="N37" s="93">
        <f t="shared" si="6"/>
        <v>0.1560685226344864</v>
      </c>
      <c r="O37" s="40">
        <f t="shared" si="7"/>
        <v>5.1158090944640628E-9</v>
      </c>
      <c r="P37" s="40">
        <f t="shared" si="8"/>
        <v>1.9496192014012932E-4</v>
      </c>
      <c r="Q37" s="40">
        <f t="shared" si="9"/>
        <v>1.6050044109231228E-2</v>
      </c>
      <c r="R37" s="9">
        <f t="shared" si="12"/>
        <v>1.4999999999999999E-4</v>
      </c>
      <c r="S37" s="9">
        <f t="shared" si="13"/>
        <v>2.8436761892217129E-5</v>
      </c>
      <c r="T37" s="9">
        <f t="shared" si="10"/>
        <v>7.6622807048103481E-7</v>
      </c>
      <c r="U37" s="9">
        <f t="shared" si="11"/>
        <v>1.2156323810778287E-4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-3.0439469299610111E-2</v>
      </c>
      <c r="K38" s="93">
        <f t="shared" si="3"/>
        <v>0.99894278622528421</v>
      </c>
      <c r="L38" s="93">
        <f t="shared" si="4"/>
        <v>9.0695923074034181E-4</v>
      </c>
      <c r="M38" s="93">
        <f t="shared" si="5"/>
        <v>0.99909304076925964</v>
      </c>
      <c r="N38" s="93">
        <f t="shared" si="6"/>
        <v>6.0746410773443456E-7</v>
      </c>
      <c r="O38" s="40">
        <f t="shared" si="7"/>
        <v>1.0004333149943772E-6</v>
      </c>
      <c r="P38" s="40">
        <f t="shared" si="8"/>
        <v>9.3271438807355716E-7</v>
      </c>
      <c r="Q38" s="40">
        <f t="shared" si="9"/>
        <v>6.2471442410886583E-8</v>
      </c>
      <c r="R38" s="9">
        <f t="shared" si="12"/>
        <v>1.4999999999999999E-4</v>
      </c>
      <c r="S38" s="9">
        <f t="shared" si="13"/>
        <v>1.3604388461105126E-7</v>
      </c>
      <c r="T38" s="9">
        <f t="shared" si="10"/>
        <v>1.4984141793379261E-4</v>
      </c>
      <c r="U38" s="9">
        <f t="shared" si="11"/>
        <v>1.4986395611538893E-4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1.3503657480277556</v>
      </c>
      <c r="K39" s="93">
        <f t="shared" si="3"/>
        <v>0.87825175441518788</v>
      </c>
      <c r="L39" s="93">
        <f t="shared" si="4"/>
        <v>1.9163348321744555E-2</v>
      </c>
      <c r="M39" s="93">
        <f t="shared" si="5"/>
        <v>0.9808366516782554</v>
      </c>
      <c r="N39" s="93">
        <f t="shared" si="6"/>
        <v>2.5635255221280405E-3</v>
      </c>
      <c r="O39" s="40">
        <f t="shared" si="7"/>
        <v>8.7956219934207776E-7</v>
      </c>
      <c r="P39" s="40">
        <f t="shared" si="8"/>
        <v>1.970753491175793E-5</v>
      </c>
      <c r="Q39" s="40">
        <f t="shared" si="9"/>
        <v>2.6363226235988818E-4</v>
      </c>
      <c r="R39" s="9">
        <f t="shared" si="12"/>
        <v>1.4999999999999999E-4</v>
      </c>
      <c r="S39" s="9">
        <f t="shared" si="13"/>
        <v>2.8745022482616831E-6</v>
      </c>
      <c r="T39" s="9">
        <f t="shared" si="10"/>
        <v>1.3173776316227818E-4</v>
      </c>
      <c r="U39" s="9">
        <f t="shared" si="11"/>
        <v>1.471254977517383E-4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1.4331774457412796</v>
      </c>
      <c r="K40" s="93">
        <f t="shared" si="3"/>
        <v>0.86073122861534135</v>
      </c>
      <c r="L40" s="93">
        <f t="shared" si="4"/>
        <v>2.2726451236703644E-2</v>
      </c>
      <c r="M40" s="93">
        <f t="shared" si="5"/>
        <v>0.97727354876329631</v>
      </c>
      <c r="N40" s="93">
        <f t="shared" si="6"/>
        <v>6.1490977848106202E-3</v>
      </c>
      <c r="O40" s="40">
        <f t="shared" si="7"/>
        <v>8.6201553105628065E-7</v>
      </c>
      <c r="P40" s="40">
        <f t="shared" si="8"/>
        <v>2.3371820187576066E-5</v>
      </c>
      <c r="Q40" s="40">
        <f t="shared" si="9"/>
        <v>6.3237153150559947E-4</v>
      </c>
      <c r="R40" s="9">
        <f t="shared" si="12"/>
        <v>1.4999999999999999E-4</v>
      </c>
      <c r="S40" s="9">
        <f t="shared" si="13"/>
        <v>3.4089676855055464E-6</v>
      </c>
      <c r="T40" s="9">
        <f t="shared" si="10"/>
        <v>1.2910968429230118E-4</v>
      </c>
      <c r="U40" s="9">
        <f t="shared" si="11"/>
        <v>1.4659103231449443E-4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0.58023834032426458</v>
      </c>
      <c r="K41" s="93">
        <f t="shared" si="3"/>
        <v>0.98076859147564266</v>
      </c>
      <c r="L41" s="93">
        <f t="shared" si="4"/>
        <v>3.633218436003326E-3</v>
      </c>
      <c r="M41" s="93">
        <f t="shared" si="5"/>
        <v>0.99636678156399672</v>
      </c>
      <c r="N41" s="93">
        <f t="shared" si="6"/>
        <v>3.0603575476579231E-4</v>
      </c>
      <c r="O41" s="40">
        <f t="shared" si="7"/>
        <v>9.8223200241526313E-7</v>
      </c>
      <c r="P41" s="40">
        <f t="shared" si="8"/>
        <v>3.7363918855627073E-6</v>
      </c>
      <c r="Q41" s="40">
        <f t="shared" si="9"/>
        <v>3.1472633174701817E-5</v>
      </c>
      <c r="R41" s="9">
        <f t="shared" si="12"/>
        <v>1.4999999999999999E-4</v>
      </c>
      <c r="S41" s="9">
        <f t="shared" si="13"/>
        <v>5.4498276540049891E-7</v>
      </c>
      <c r="T41" s="9">
        <f t="shared" si="10"/>
        <v>1.4711528872134638E-4</v>
      </c>
      <c r="U41" s="9">
        <f t="shared" si="11"/>
        <v>1.4945501723459949E-4</v>
      </c>
      <c r="V41" s="100">
        <f t="shared" si="14"/>
        <v>0.98434493162862213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1.1444407422837011</v>
      </c>
      <c r="K42" s="93">
        <f t="shared" si="3"/>
        <v>0.92406059607249913</v>
      </c>
      <c r="L42" s="93">
        <f t="shared" si="4"/>
        <v>1.2549540175350173E-2</v>
      </c>
      <c r="M42" s="93">
        <f t="shared" si="5"/>
        <v>0.98745045982464985</v>
      </c>
      <c r="N42" s="93">
        <f t="shared" si="6"/>
        <v>2.7013762104292796E-3</v>
      </c>
      <c r="O42" s="40">
        <f t="shared" si="7"/>
        <v>9.2543939265807305E-7</v>
      </c>
      <c r="P42" s="40">
        <f t="shared" si="8"/>
        <v>1.2905912734028267E-5</v>
      </c>
      <c r="Q42" s="40">
        <f t="shared" si="9"/>
        <v>2.7780878937747576E-4</v>
      </c>
      <c r="R42" s="9">
        <f t="shared" si="12"/>
        <v>1.4999999999999999E-4</v>
      </c>
      <c r="S42" s="9">
        <f t="shared" si="13"/>
        <v>1.8824310263025257E-6</v>
      </c>
      <c r="T42" s="9">
        <f t="shared" si="10"/>
        <v>1.3860908941087485E-4</v>
      </c>
      <c r="U42" s="9">
        <f t="shared" si="11"/>
        <v>1.4811756897369747E-4</v>
      </c>
      <c r="V42" s="100">
        <f t="shared" si="14"/>
        <v>0.9358045123971005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1.3276849779101709</v>
      </c>
      <c r="K43" s="93">
        <f t="shared" si="3"/>
        <v>0.88451024127278566</v>
      </c>
      <c r="L43" s="93">
        <f t="shared" si="4"/>
        <v>1.8317848516621181E-2</v>
      </c>
      <c r="M43" s="93">
        <f t="shared" si="5"/>
        <v>0.98168215148337878</v>
      </c>
      <c r="N43" s="93">
        <f t="shared" si="6"/>
        <v>2.7868557207934848E-3</v>
      </c>
      <c r="O43" s="40">
        <f t="shared" si="7"/>
        <v>8.8583002452699597E-7</v>
      </c>
      <c r="P43" s="40">
        <f t="shared" si="8"/>
        <v>1.8838025228606874E-5</v>
      </c>
      <c r="Q43" s="40">
        <f t="shared" si="9"/>
        <v>2.8659947880428665E-4</v>
      </c>
      <c r="R43" s="9">
        <f t="shared" si="12"/>
        <v>1.4999999999999999E-4</v>
      </c>
      <c r="S43" s="9">
        <f t="shared" si="13"/>
        <v>2.7476772774931769E-6</v>
      </c>
      <c r="T43" s="9">
        <f t="shared" si="10"/>
        <v>1.3267653619091784E-4</v>
      </c>
      <c r="U43" s="9">
        <f t="shared" si="11"/>
        <v>1.4725232272250679E-4</v>
      </c>
      <c r="V43" s="100">
        <f t="shared" si="14"/>
        <v>0.90101489564238213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5.1978454460498824</v>
      </c>
      <c r="K44" s="93">
        <f t="shared" si="3"/>
        <v>1.2048860209398842E-3</v>
      </c>
      <c r="L44" s="93">
        <f t="shared" si="4"/>
        <v>0.18504528828076225</v>
      </c>
      <c r="M44" s="93">
        <f t="shared" si="5"/>
        <v>0.81495471171923772</v>
      </c>
      <c r="N44" s="93">
        <f t="shared" si="6"/>
        <v>0.13811491653013769</v>
      </c>
      <c r="O44" s="40">
        <f t="shared" si="7"/>
        <v>1.20668383889548E-9</v>
      </c>
      <c r="P44" s="40">
        <f t="shared" si="8"/>
        <v>1.9030006749454345E-4</v>
      </c>
      <c r="Q44" s="40">
        <f t="shared" si="9"/>
        <v>1.4203700176256199E-2</v>
      </c>
      <c r="R44" s="9">
        <f t="shared" si="12"/>
        <v>1.4999999999999999E-4</v>
      </c>
      <c r="S44" s="9">
        <f t="shared" si="13"/>
        <v>2.7756793242114335E-5</v>
      </c>
      <c r="T44" s="9">
        <f t="shared" si="10"/>
        <v>1.8073290314098263E-7</v>
      </c>
      <c r="U44" s="9">
        <f t="shared" si="11"/>
        <v>1.2224320675788565E-4</v>
      </c>
      <c r="V44" s="100">
        <f t="shared" si="14"/>
        <v>1.4784699120249799E-3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0.42916913204398671</v>
      </c>
      <c r="K45" s="93">
        <f t="shared" si="3"/>
        <v>0.98785667566715984</v>
      </c>
      <c r="L45" s="93">
        <f t="shared" si="4"/>
        <v>2.5843402443614829E-3</v>
      </c>
      <c r="M45" s="93">
        <f t="shared" si="5"/>
        <v>0.99741565975563851</v>
      </c>
      <c r="N45" s="93">
        <f t="shared" si="6"/>
        <v>2.3755630338315845E-4</v>
      </c>
      <c r="O45" s="40">
        <f t="shared" si="7"/>
        <v>9.8933066278146312E-7</v>
      </c>
      <c r="P45" s="40">
        <f t="shared" si="8"/>
        <v>2.6577284269171181E-6</v>
      </c>
      <c r="Q45" s="40">
        <f t="shared" si="9"/>
        <v>2.4430225156005278E-5</v>
      </c>
      <c r="R45" s="9">
        <f t="shared" si="12"/>
        <v>1.4999999999999999E-4</v>
      </c>
      <c r="S45" s="9">
        <f t="shared" si="13"/>
        <v>3.8765103665422242E-7</v>
      </c>
      <c r="T45" s="9">
        <f t="shared" si="10"/>
        <v>1.4817850135007395E-4</v>
      </c>
      <c r="U45" s="9">
        <f t="shared" si="11"/>
        <v>1.4961234896334577E-4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0.44418370932270096</v>
      </c>
      <c r="K46" s="93">
        <f t="shared" si="3"/>
        <v>0.98722076150788796</v>
      </c>
      <c r="L46" s="93">
        <f t="shared" si="4"/>
        <v>2.6735272128922366E-3</v>
      </c>
      <c r="M46" s="93">
        <f t="shared" si="5"/>
        <v>0.99732647278710773</v>
      </c>
      <c r="N46" s="93">
        <f t="shared" si="6"/>
        <v>2.2640077004766986E-4</v>
      </c>
      <c r="O46" s="40">
        <f t="shared" si="7"/>
        <v>9.8869379977070322E-7</v>
      </c>
      <c r="P46" s="40">
        <f t="shared" si="8"/>
        <v>2.7494480610062855E-6</v>
      </c>
      <c r="Q46" s="40">
        <f t="shared" si="9"/>
        <v>2.3282993164094132E-5</v>
      </c>
      <c r="R46" s="9">
        <f t="shared" si="12"/>
        <v>1.4999999999999999E-4</v>
      </c>
      <c r="S46" s="9">
        <f t="shared" si="13"/>
        <v>4.0102908193383544E-7</v>
      </c>
      <c r="T46" s="9">
        <f t="shared" si="10"/>
        <v>1.4808311422618317E-4</v>
      </c>
      <c r="U46" s="9">
        <f t="shared" si="11"/>
        <v>1.4959897091806616E-4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1.6468679908029498</v>
      </c>
      <c r="K47" s="93">
        <f t="shared" si="3"/>
        <v>0.79091680719324919</v>
      </c>
      <c r="L47" s="93">
        <f t="shared" si="4"/>
        <v>3.4157447922756094E-2</v>
      </c>
      <c r="M47" s="93">
        <f t="shared" si="5"/>
        <v>0.9658425520772439</v>
      </c>
      <c r="N47" s="93">
        <f t="shared" si="6"/>
        <v>1.0696000201200597E-2</v>
      </c>
      <c r="O47" s="40">
        <f t="shared" si="7"/>
        <v>7.9209693910003768E-7</v>
      </c>
      <c r="P47" s="40">
        <f t="shared" si="8"/>
        <v>3.5127425861713268E-5</v>
      </c>
      <c r="Q47" s="40">
        <f t="shared" si="9"/>
        <v>1.0999737302804552E-3</v>
      </c>
      <c r="R47" s="9">
        <f t="shared" si="12"/>
        <v>1.4999999999999999E-4</v>
      </c>
      <c r="S47" s="9">
        <f t="shared" si="13"/>
        <v>5.1236171884134135E-6</v>
      </c>
      <c r="T47" s="9">
        <f t="shared" si="10"/>
        <v>1.1863752107898737E-4</v>
      </c>
      <c r="U47" s="9">
        <f t="shared" si="11"/>
        <v>1.4487638281158658E-4</v>
      </c>
      <c r="V47" s="100">
        <f t="shared" si="14"/>
        <v>0.81888792898202634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3.6103930695935905E-2</v>
      </c>
      <c r="K48" s="93">
        <f t="shared" ref="K48:K50" si="17">IF(D48=0,"",1/(1+10^D48*$J$15/$J$14+10^E48*$J$16/$J$14+10^J48*$J$19/$J$14))</f>
        <v>0.99794369776950154</v>
      </c>
      <c r="L48" s="93">
        <f t="shared" ref="L48:L50" si="18">IF(D48=0,"",1/(1+10^I48/10^J48*$J$13/$J$19))</f>
        <v>1.0560794456915623E-3</v>
      </c>
      <c r="M48" s="93">
        <f t="shared" ref="M48:M92" si="19">IF(D48=0,"",1-L48)</f>
        <v>0.99894392055430847</v>
      </c>
      <c r="N48" s="93">
        <f t="shared" ref="N48:N50" si="20">IF(D48=0,"",1/(1/10^E48*$J$20/$J$22+10^D48/10^E48*$J$21/$J$22+10^I48/10^E48*$J$13/$J$22+1))</f>
        <v>1.4756815905796573E-5</v>
      </c>
      <c r="O48" s="40">
        <f t="shared" ref="O48:O92" si="21">IF(D48=0,"",F48*K48*$J$7/$J$14)</f>
        <v>9.9943273579247086E-7</v>
      </c>
      <c r="P48" s="40">
        <f t="shared" ref="P48:P50" si="22">IF(D48=0,"",O48*10^J48)</f>
        <v>1.0860692085808583E-6</v>
      </c>
      <c r="Q48" s="40">
        <f t="shared" ref="Q48:Q50" si="23">IF(D48=0,"",F48*N48*$J$7/$J$22)</f>
        <v>1.5175869047888575E-6</v>
      </c>
      <c r="R48" s="9">
        <f t="shared" si="12"/>
        <v>1.4999999999999999E-4</v>
      </c>
      <c r="S48" s="9">
        <f t="shared" si="13"/>
        <v>1.5841191685373434E-7</v>
      </c>
      <c r="T48" s="9">
        <f t="shared" si="10"/>
        <v>1.4969155466542522E-4</v>
      </c>
      <c r="U48" s="9">
        <f t="shared" si="11"/>
        <v>1.4984158808314626E-4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0.71549530837913433</v>
      </c>
      <c r="K49" s="93">
        <f t="shared" si="17"/>
        <v>0.97277897534871394</v>
      </c>
      <c r="L49" s="93">
        <f t="shared" si="18"/>
        <v>4.9203512118853824E-3</v>
      </c>
      <c r="M49" s="93">
        <f t="shared" si="19"/>
        <v>0.99507964878811461</v>
      </c>
      <c r="N49" s="93">
        <f t="shared" si="20"/>
        <v>7.5232205750927451E-4</v>
      </c>
      <c r="O49" s="40">
        <f t="shared" si="21"/>
        <v>9.7423046493222127E-7</v>
      </c>
      <c r="P49" s="40">
        <f t="shared" si="22"/>
        <v>5.060075705888648E-6</v>
      </c>
      <c r="Q49" s="40">
        <f t="shared" si="23"/>
        <v>7.7368594278621588E-5</v>
      </c>
      <c r="R49" s="9">
        <f t="shared" si="12"/>
        <v>1.4999999999999999E-4</v>
      </c>
      <c r="S49" s="9">
        <f t="shared" si="13"/>
        <v>7.3805268178280726E-7</v>
      </c>
      <c r="T49" s="9">
        <f t="shared" si="10"/>
        <v>1.4591684630230707E-4</v>
      </c>
      <c r="U49" s="9">
        <f t="shared" si="11"/>
        <v>1.4926194731821718E-4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1.6323878148666415</v>
      </c>
      <c r="K50" s="93">
        <f t="shared" si="17"/>
        <v>0.79143342346305101</v>
      </c>
      <c r="L50" s="93">
        <f t="shared" si="18"/>
        <v>3.3058932190458225E-2</v>
      </c>
      <c r="M50" s="93">
        <f t="shared" si="19"/>
        <v>0.96694106780954181</v>
      </c>
      <c r="N50" s="93">
        <f t="shared" si="20"/>
        <v>7.0930170991497796E-3</v>
      </c>
      <c r="O50" s="40">
        <f t="shared" si="21"/>
        <v>7.9261432621620158E-7</v>
      </c>
      <c r="P50" s="40">
        <f t="shared" si="22"/>
        <v>3.3997715292250283E-5</v>
      </c>
      <c r="Q50" s="40">
        <f t="shared" si="23"/>
        <v>7.2944393518420728E-4</v>
      </c>
      <c r="R50" s="9">
        <f t="shared" si="12"/>
        <v>1.4999999999999999E-4</v>
      </c>
      <c r="S50" s="9">
        <f t="shared" si="13"/>
        <v>4.9588398285687334E-6</v>
      </c>
      <c r="T50" s="9">
        <f t="shared" si="10"/>
        <v>1.1871501351945764E-4</v>
      </c>
      <c r="U50" s="9">
        <f t="shared" si="11"/>
        <v>1.4504116017143126E-4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4.3070548137368689</v>
      </c>
      <c r="K51" s="93">
        <f t="shared" ref="K51:K70" si="26">IF(D51=0,"",1/(1+10^D51*$J$15/$J$14+10^E51*$J$16/$J$14+10^J51*$J$19/$J$14))</f>
        <v>8.6415743251120336E-3</v>
      </c>
      <c r="L51" s="93">
        <f t="shared" ref="L51:L70" si="27">IF(D51=0,"",1/(1+10^I51/10^J51*$J$13/$J$19))</f>
        <v>0.17066100661031772</v>
      </c>
      <c r="M51" s="93">
        <f t="shared" ref="M51:M70" si="28">IF(D51=0,"",1-L51)</f>
        <v>0.82933899338968231</v>
      </c>
      <c r="N51" s="93">
        <f t="shared" ref="N51:N70" si="29">IF(D51=0,"",1/(1/10^E51*$J$20/$J$22+10^D51/10^E51*$J$21/$J$22+10^I51/10^E51*$J$13/$J$22+1))</f>
        <v>9.1279970103495547E-2</v>
      </c>
      <c r="O51" s="40">
        <f t="shared" ref="O51:O70" si="30">IF(D51=0,"",F51*K51*$J$7/$J$14)</f>
        <v>8.6544684721237004E-9</v>
      </c>
      <c r="P51" s="40">
        <f t="shared" ref="P51:P70" si="31">IF(D51=0,"",O51*10^J51)</f>
        <v>1.755073116336491E-4</v>
      </c>
      <c r="Q51" s="40">
        <f t="shared" ref="Q51:Q70" si="32">IF(D51=0,"",F51*N51*$J$7/$J$22)</f>
        <v>9.3872071172324944E-3</v>
      </c>
      <c r="R51" s="9">
        <f t="shared" si="12"/>
        <v>1.4999999999999999E-4</v>
      </c>
      <c r="S51" s="9">
        <f t="shared" si="13"/>
        <v>2.5599150991547654E-5</v>
      </c>
      <c r="T51" s="9">
        <f t="shared" si="10"/>
        <v>1.296236148766805E-6</v>
      </c>
      <c r="U51" s="9">
        <f t="shared" si="11"/>
        <v>1.2440084900845234E-4</v>
      </c>
      <c r="V51" s="100">
        <f t="shared" si="14"/>
        <v>1.0419833619292525E-2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1.8320197616226608</v>
      </c>
      <c r="K52" s="93">
        <f t="shared" si="26"/>
        <v>0.71056507379190703</v>
      </c>
      <c r="L52" s="93">
        <f t="shared" si="27"/>
        <v>4.7001339819105842E-2</v>
      </c>
      <c r="M52" s="93">
        <f t="shared" si="28"/>
        <v>0.95299866018089419</v>
      </c>
      <c r="N52" s="93">
        <f t="shared" si="29"/>
        <v>1.4829362327544999E-2</v>
      </c>
      <c r="O52" s="40">
        <f t="shared" si="30"/>
        <v>7.116253123755416E-7</v>
      </c>
      <c r="P52" s="40">
        <f t="shared" si="31"/>
        <v>4.8336049099174419E-5</v>
      </c>
      <c r="Q52" s="40">
        <f t="shared" si="32"/>
        <v>1.5250475589257337E-3</v>
      </c>
      <c r="R52" s="9">
        <f t="shared" si="12"/>
        <v>1.4999999999999999E-4</v>
      </c>
      <c r="S52" s="9">
        <f t="shared" si="13"/>
        <v>7.0502009728658756E-6</v>
      </c>
      <c r="T52" s="9">
        <f t="shared" si="10"/>
        <v>1.0658476106878604E-4</v>
      </c>
      <c r="U52" s="9">
        <f t="shared" si="11"/>
        <v>1.4294979902713411E-4</v>
      </c>
      <c r="V52" s="100">
        <f t="shared" si="14"/>
        <v>0.74560973008821496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2.6025949535148953</v>
      </c>
      <c r="K53" s="93">
        <f t="shared" si="26"/>
        <v>0.29851857810052074</v>
      </c>
      <c r="L53" s="93">
        <f t="shared" si="27"/>
        <v>0.11642679367173599</v>
      </c>
      <c r="M53" s="93">
        <f t="shared" si="28"/>
        <v>0.88357320632826397</v>
      </c>
      <c r="N53" s="93">
        <f t="shared" si="29"/>
        <v>4.8563053255837055E-2</v>
      </c>
      <c r="O53" s="40">
        <f t="shared" si="30"/>
        <v>2.9896399953496428E-7</v>
      </c>
      <c r="P53" s="40">
        <f t="shared" si="31"/>
        <v>1.1973299563449641E-4</v>
      </c>
      <c r="Q53" s="40">
        <f t="shared" si="32"/>
        <v>4.9942110918841853E-3</v>
      </c>
      <c r="R53" s="9">
        <f t="shared" si="12"/>
        <v>1.4999999999999999E-4</v>
      </c>
      <c r="S53" s="9">
        <f t="shared" si="13"/>
        <v>1.7464019050760397E-5</v>
      </c>
      <c r="T53" s="9">
        <f t="shared" si="10"/>
        <v>4.4777786715078108E-5</v>
      </c>
      <c r="U53" s="9">
        <f t="shared" si="11"/>
        <v>1.3253598094923959E-4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0.17835694544431213</v>
      </c>
      <c r="J54" s="92">
        <f t="shared" si="25"/>
        <v>2.0064300527387009</v>
      </c>
      <c r="K54" s="93">
        <f t="shared" si="26"/>
        <v>0.62209804312666761</v>
      </c>
      <c r="L54" s="93">
        <f t="shared" si="27"/>
        <v>6.1485896193963226E-2</v>
      </c>
      <c r="M54" s="93">
        <f t="shared" si="28"/>
        <v>0.93851410380603673</v>
      </c>
      <c r="N54" s="93">
        <f t="shared" si="29"/>
        <v>2.0589293986834581E-2</v>
      </c>
      <c r="O54" s="40">
        <f t="shared" si="30"/>
        <v>6.2302627950142587E-7</v>
      </c>
      <c r="P54" s="40">
        <f t="shared" si="31"/>
        <v>6.3231927191361657E-5</v>
      </c>
      <c r="Q54" s="40">
        <f t="shared" si="32"/>
        <v>2.1173973527036064E-3</v>
      </c>
      <c r="R54" s="9">
        <f t="shared" si="12"/>
        <v>1.4999999999999999E-4</v>
      </c>
      <c r="S54" s="9">
        <f t="shared" si="13"/>
        <v>9.2228844290944827E-6</v>
      </c>
      <c r="T54" s="9">
        <f t="shared" si="10"/>
        <v>9.331470646900013E-5</v>
      </c>
      <c r="U54" s="9">
        <f t="shared" si="11"/>
        <v>1.4077711557090549E-4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0.55351864127074724</v>
      </c>
      <c r="K55" s="55">
        <f t="shared" si="26"/>
        <v>0.98243740368538246</v>
      </c>
      <c r="L55" s="55">
        <f t="shared" si="27"/>
        <v>3.4222375289372263E-3</v>
      </c>
      <c r="M55" s="55">
        <f t="shared" si="28"/>
        <v>0.99657776247106278</v>
      </c>
      <c r="N55" s="55">
        <f t="shared" si="29"/>
        <v>4.165244583251989E-4</v>
      </c>
      <c r="O55" s="56">
        <f t="shared" si="30"/>
        <v>9.8390330467012179E-7</v>
      </c>
      <c r="P55" s="56">
        <f t="shared" si="31"/>
        <v>3.5194196987658133E-6</v>
      </c>
      <c r="Q55" s="56">
        <f t="shared" si="32"/>
        <v>4.2835261177873497E-5</v>
      </c>
      <c r="R55" s="9">
        <f t="shared" si="12"/>
        <v>1.4999999999999999E-4</v>
      </c>
      <c r="S55" s="9">
        <f t="shared" si="13"/>
        <v>5.1333562934058389E-7</v>
      </c>
      <c r="T55" s="9">
        <f t="shared" si="10"/>
        <v>1.4736561055280736E-4</v>
      </c>
      <c r="U55" s="9">
        <f t="shared" si="11"/>
        <v>1.494866643706594E-4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1.8023749945199008</v>
      </c>
      <c r="K56" s="55">
        <f t="shared" si="26"/>
        <v>0.72569092923611334</v>
      </c>
      <c r="L56" s="55">
        <f t="shared" si="27"/>
        <v>4.4834600955787764E-2</v>
      </c>
      <c r="M56" s="55">
        <f t="shared" si="28"/>
        <v>0.95516539904421227</v>
      </c>
      <c r="N56" s="55">
        <f t="shared" si="29"/>
        <v>1.4935106168966702E-2</v>
      </c>
      <c r="O56" s="56">
        <f t="shared" si="30"/>
        <v>7.2677373720310759E-7</v>
      </c>
      <c r="P56" s="56">
        <f t="shared" si="31"/>
        <v>4.6107780788408968E-5</v>
      </c>
      <c r="Q56" s="56">
        <f t="shared" si="32"/>
        <v>1.5359222266066262E-3</v>
      </c>
      <c r="R56" s="9">
        <f t="shared" si="12"/>
        <v>1.4999999999999999E-4</v>
      </c>
      <c r="S56" s="9">
        <f t="shared" si="13"/>
        <v>6.7251901433681636E-6</v>
      </c>
      <c r="T56" s="9">
        <f t="shared" si="10"/>
        <v>1.0885363938541699E-4</v>
      </c>
      <c r="U56" s="9">
        <f t="shared" si="11"/>
        <v>1.4327480985663183E-4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1.2272811321709634</v>
      </c>
      <c r="K57" s="55">
        <f t="shared" si="26"/>
        <v>0.90935198036010334</v>
      </c>
      <c r="L57" s="55">
        <f t="shared" si="27"/>
        <v>1.494513246257877E-2</v>
      </c>
      <c r="M57" s="55">
        <f t="shared" si="28"/>
        <v>0.98505486753742122</v>
      </c>
      <c r="N57" s="55">
        <f t="shared" si="29"/>
        <v>3.6145866186652392E-3</v>
      </c>
      <c r="O57" s="56">
        <f t="shared" si="30"/>
        <v>9.1070883012832673E-7</v>
      </c>
      <c r="P57" s="56">
        <f t="shared" si="31"/>
        <v>1.5369533278947614E-5</v>
      </c>
      <c r="Q57" s="56">
        <f t="shared" si="32"/>
        <v>3.7172309756582946E-4</v>
      </c>
      <c r="R57" s="9">
        <f t="shared" si="12"/>
        <v>1.4999999999999999E-4</v>
      </c>
      <c r="S57" s="9">
        <f t="shared" si="13"/>
        <v>2.2417698693868155E-6</v>
      </c>
      <c r="T57" s="9">
        <f t="shared" si="10"/>
        <v>1.3640279705401549E-4</v>
      </c>
      <c r="U57" s="9">
        <f t="shared" si="11"/>
        <v>1.4775823013061316E-4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1.0772847763604276</v>
      </c>
      <c r="K58" s="55">
        <f t="shared" si="26"/>
        <v>0.93432985867922713</v>
      </c>
      <c r="L58" s="55">
        <f t="shared" si="27"/>
        <v>1.0871053270247597E-2</v>
      </c>
      <c r="M58" s="55">
        <f t="shared" si="28"/>
        <v>0.98912894672975238</v>
      </c>
      <c r="N58" s="55">
        <f t="shared" si="29"/>
        <v>2.0429081805901595E-3</v>
      </c>
      <c r="O58" s="56">
        <f t="shared" si="30"/>
        <v>9.3572397809566173E-7</v>
      </c>
      <c r="P58" s="56">
        <f t="shared" si="31"/>
        <v>1.117976139941504E-5</v>
      </c>
      <c r="Q58" s="56">
        <f t="shared" si="32"/>
        <v>2.100921175910206E-4</v>
      </c>
      <c r="R58" s="9">
        <f t="shared" si="12"/>
        <v>1.4999999999999999E-4</v>
      </c>
      <c r="S58" s="9">
        <f t="shared" si="13"/>
        <v>1.6306579905371394E-6</v>
      </c>
      <c r="T58" s="9">
        <f t="shared" si="10"/>
        <v>1.4014947880188405E-4</v>
      </c>
      <c r="U58" s="9">
        <f t="shared" si="11"/>
        <v>1.4836934200946285E-4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0.61123091181973244</v>
      </c>
      <c r="K59" s="55">
        <f t="shared" si="26"/>
        <v>0.97967721920787465</v>
      </c>
      <c r="L59" s="55">
        <f t="shared" si="27"/>
        <v>3.8976293838597778E-3</v>
      </c>
      <c r="M59" s="55">
        <f t="shared" si="28"/>
        <v>0.99610237061614026</v>
      </c>
      <c r="N59" s="55">
        <f t="shared" si="29"/>
        <v>6.7886220264650235E-4</v>
      </c>
      <c r="O59" s="56">
        <f t="shared" si="30"/>
        <v>9.8113900170411936E-7</v>
      </c>
      <c r="P59" s="56">
        <f t="shared" si="31"/>
        <v>4.0083113799247263E-6</v>
      </c>
      <c r="Q59" s="56">
        <f t="shared" si="32"/>
        <v>6.981400293052173E-5</v>
      </c>
      <c r="R59" s="9">
        <f t="shared" si="12"/>
        <v>1.4999999999999999E-4</v>
      </c>
      <c r="S59" s="9">
        <f t="shared" si="13"/>
        <v>5.8464440757896663E-7</v>
      </c>
      <c r="T59" s="9">
        <f t="shared" si="10"/>
        <v>1.4695158288118118E-4</v>
      </c>
      <c r="U59" s="9">
        <f t="shared" si="11"/>
        <v>1.4941535559242103E-4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1.8442960268411308</v>
      </c>
      <c r="K60" s="55">
        <f t="shared" si="26"/>
        <v>0.7071347146649799</v>
      </c>
      <c r="L60" s="55">
        <f t="shared" si="27"/>
        <v>4.8115477992585795E-2</v>
      </c>
      <c r="M60" s="55">
        <f t="shared" si="28"/>
        <v>0.95188452200741425</v>
      </c>
      <c r="N60" s="55">
        <f t="shared" si="29"/>
        <v>1.6997645219133023E-2</v>
      </c>
      <c r="O60" s="56">
        <f t="shared" si="30"/>
        <v>7.0818983478834068E-7</v>
      </c>
      <c r="P60" s="56">
        <f t="shared" si="31"/>
        <v>4.9481825744347841E-5</v>
      </c>
      <c r="Q60" s="56">
        <f t="shared" si="32"/>
        <v>1.7480331774465388E-3</v>
      </c>
      <c r="R60" s="9">
        <f t="shared" si="12"/>
        <v>1.4999999999999999E-4</v>
      </c>
      <c r="S60" s="9">
        <f t="shared" si="13"/>
        <v>7.2173216988878685E-6</v>
      </c>
      <c r="T60" s="9">
        <f t="shared" si="10"/>
        <v>1.0607020719974698E-4</v>
      </c>
      <c r="U60" s="9">
        <f t="shared" si="11"/>
        <v>1.4278267830111213E-4</v>
      </c>
      <c r="V60" s="100">
        <f t="shared" si="14"/>
        <v>0.74287867731446522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2.7251612045897451</v>
      </c>
      <c r="K61" s="55">
        <f t="shared" si="26"/>
        <v>0.25000598969675175</v>
      </c>
      <c r="L61" s="55">
        <f t="shared" si="27"/>
        <v>0.12929991454782672</v>
      </c>
      <c r="M61" s="55">
        <f t="shared" si="28"/>
        <v>0.87070008545217326</v>
      </c>
      <c r="N61" s="55">
        <f t="shared" si="29"/>
        <v>6.9077564304131603E-2</v>
      </c>
      <c r="O61" s="56">
        <f t="shared" si="30"/>
        <v>2.5037902519510759E-7</v>
      </c>
      <c r="P61" s="56">
        <f t="shared" si="31"/>
        <v>1.3297167787464377E-4</v>
      </c>
      <c r="Q61" s="56">
        <f t="shared" si="32"/>
        <v>7.1039177876768096E-3</v>
      </c>
      <c r="R61" s="9">
        <f t="shared" si="12"/>
        <v>1.4999999999999999E-4</v>
      </c>
      <c r="S61" s="9">
        <f t="shared" si="13"/>
        <v>1.9394987182174006E-5</v>
      </c>
      <c r="T61" s="9">
        <f t="shared" si="10"/>
        <v>3.7500898454512757E-5</v>
      </c>
      <c r="U61" s="9">
        <f t="shared" si="11"/>
        <v>1.3060501281782598E-4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3.6107629570381072</v>
      </c>
      <c r="K62" s="55">
        <f t="shared" si="26"/>
        <v>4.377764047947847E-2</v>
      </c>
      <c r="L62" s="55">
        <f t="shared" si="27"/>
        <v>0.17398104173814935</v>
      </c>
      <c r="M62" s="55">
        <f t="shared" si="28"/>
        <v>0.82601895826185068</v>
      </c>
      <c r="N62" s="55">
        <f t="shared" si="29"/>
        <v>0.12093136429440818</v>
      </c>
      <c r="O62" s="56">
        <f t="shared" si="30"/>
        <v>4.3842961370201588E-8</v>
      </c>
      <c r="P62" s="56">
        <f t="shared" si="31"/>
        <v>1.7892162666312449E-4</v>
      </c>
      <c r="Q62" s="56">
        <f t="shared" si="32"/>
        <v>1.2436548372156308E-2</v>
      </c>
      <c r="R62" s="9">
        <f t="shared" si="12"/>
        <v>1.4999999999999999E-4</v>
      </c>
      <c r="S62" s="9">
        <f t="shared" si="13"/>
        <v>2.60971562607224E-5</v>
      </c>
      <c r="T62" s="9">
        <f t="shared" si="10"/>
        <v>6.5666460719217699E-6</v>
      </c>
      <c r="U62" s="9">
        <f t="shared" si="11"/>
        <v>1.2390284373927759E-4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4.7120050175112098</v>
      </c>
      <c r="K63" s="55">
        <f t="shared" si="26"/>
        <v>3.8020130556382231E-3</v>
      </c>
      <c r="L63" s="55">
        <f t="shared" si="27"/>
        <v>0.19076787450451005</v>
      </c>
      <c r="M63" s="55">
        <f t="shared" si="28"/>
        <v>0.80923212549548995</v>
      </c>
      <c r="N63" s="55">
        <f t="shared" si="29"/>
        <v>0.15958799039897095</v>
      </c>
      <c r="O63" s="56">
        <f t="shared" si="30"/>
        <v>3.8076860630597079E-9</v>
      </c>
      <c r="P63" s="56">
        <f t="shared" si="31"/>
        <v>1.9618515948872719E-4</v>
      </c>
      <c r="Q63" s="56">
        <f t="shared" si="32"/>
        <v>1.6411985209893076E-2</v>
      </c>
      <c r="R63" s="9">
        <f t="shared" si="12"/>
        <v>1.4999999999999999E-4</v>
      </c>
      <c r="S63" s="9">
        <f t="shared" si="13"/>
        <v>2.8615181175676505E-5</v>
      </c>
      <c r="T63" s="9">
        <f t="shared" si="10"/>
        <v>5.7030195834573341E-7</v>
      </c>
      <c r="U63" s="9">
        <f t="shared" si="11"/>
        <v>1.2138481882432348E-4</v>
      </c>
      <c r="V63" s="100">
        <f t="shared" si="14"/>
        <v>4.6982972324662274E-3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1.6404345211947191</v>
      </c>
      <c r="J64" s="54">
        <f t="shared" si="25"/>
        <v>4.0002259467739458</v>
      </c>
      <c r="K64" s="55">
        <f t="shared" si="26"/>
        <v>1.8705094572499081E-2</v>
      </c>
      <c r="L64" s="55">
        <f t="shared" si="27"/>
        <v>0.1822520720826607</v>
      </c>
      <c r="M64" s="55">
        <f t="shared" si="28"/>
        <v>0.8177479279173393</v>
      </c>
      <c r="N64" s="55">
        <f t="shared" si="29"/>
        <v>0.13722919331972039</v>
      </c>
      <c r="O64" s="56">
        <f t="shared" si="30"/>
        <v>1.8733004560912197E-8</v>
      </c>
      <c r="P64" s="56">
        <f t="shared" si="31"/>
        <v>1.8742753160906283E-4</v>
      </c>
      <c r="Q64" s="56">
        <f t="shared" si="32"/>
        <v>1.4112612643960777E-2</v>
      </c>
      <c r="R64" s="9">
        <f t="shared" si="12"/>
        <v>1.4999999999999999E-4</v>
      </c>
      <c r="S64" s="9">
        <f t="shared" si="13"/>
        <v>2.7337810812399103E-5</v>
      </c>
      <c r="T64" s="9">
        <f t="shared" si="10"/>
        <v>2.8057641858748621E-6</v>
      </c>
      <c r="U64" s="9">
        <f t="shared" si="11"/>
        <v>1.2266218918760089E-4</v>
      </c>
      <c r="V64" s="100">
        <f t="shared" si="14"/>
        <v>2.2873912527223005E-2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3.7212825462629815</v>
      </c>
      <c r="K65" s="55">
        <f t="shared" si="26"/>
        <v>3.448105497493751E-2</v>
      </c>
      <c r="L65" s="55">
        <f t="shared" si="27"/>
        <v>0.17674604755256632</v>
      </c>
      <c r="M65" s="55">
        <f t="shared" si="28"/>
        <v>0.82325395244743371</v>
      </c>
      <c r="N65" s="55">
        <f t="shared" si="29"/>
        <v>0.12591200715044662</v>
      </c>
      <c r="O65" s="56">
        <f t="shared" si="30"/>
        <v>3.4532504372378001E-8</v>
      </c>
      <c r="P65" s="56">
        <f t="shared" si="31"/>
        <v>1.8176515106731257E-4</v>
      </c>
      <c r="Q65" s="56">
        <f t="shared" si="32"/>
        <v>1.2948756318911616E-2</v>
      </c>
      <c r="R65" s="9">
        <f t="shared" si="12"/>
        <v>1.4999999999999999E-4</v>
      </c>
      <c r="S65" s="9">
        <f t="shared" si="13"/>
        <v>2.6511907132884946E-5</v>
      </c>
      <c r="T65" s="9">
        <f t="shared" si="10"/>
        <v>5.1721582462406257E-6</v>
      </c>
      <c r="U65" s="9">
        <f t="shared" si="11"/>
        <v>1.2348809286711503E-4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1.6404345211947191</v>
      </c>
      <c r="J66" s="54">
        <f t="shared" si="25"/>
        <v>4.0002259467739458</v>
      </c>
      <c r="K66" s="55">
        <f t="shared" si="26"/>
        <v>1.8705094572499081E-2</v>
      </c>
      <c r="L66" s="55">
        <f t="shared" si="27"/>
        <v>0.1822520720826607</v>
      </c>
      <c r="M66" s="55">
        <f t="shared" si="28"/>
        <v>0.8177479279173393</v>
      </c>
      <c r="N66" s="55">
        <f t="shared" si="29"/>
        <v>0.13722919331972039</v>
      </c>
      <c r="O66" s="56">
        <f t="shared" si="30"/>
        <v>1.8733004560912197E-8</v>
      </c>
      <c r="P66" s="56">
        <f t="shared" si="31"/>
        <v>1.8742753160906283E-4</v>
      </c>
      <c r="Q66" s="56">
        <f t="shared" si="32"/>
        <v>1.4112612643960777E-2</v>
      </c>
      <c r="R66" s="9">
        <f t="shared" si="12"/>
        <v>1.4999999999999999E-4</v>
      </c>
      <c r="S66" s="9">
        <f t="shared" si="13"/>
        <v>2.7337810812399103E-5</v>
      </c>
      <c r="T66" s="9">
        <f t="shared" si="10"/>
        <v>2.8057641858748621E-6</v>
      </c>
      <c r="U66" s="9">
        <f t="shared" si="11"/>
        <v>1.2266218918760089E-4</v>
      </c>
      <c r="V66" s="100">
        <f t="shared" si="14"/>
        <v>2.2873912527223005E-2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-3.553871287659581E-2</v>
      </c>
      <c r="K67" s="55">
        <f t="shared" si="26"/>
        <v>0.99901461508623268</v>
      </c>
      <c r="L67" s="55">
        <f t="shared" si="27"/>
        <v>8.9643694826945983E-4</v>
      </c>
      <c r="M67" s="55">
        <f t="shared" si="28"/>
        <v>0.99910356305173054</v>
      </c>
      <c r="N67" s="55">
        <f t="shared" si="29"/>
        <v>2.8942675601779505E-7</v>
      </c>
      <c r="O67" s="56">
        <f t="shared" si="30"/>
        <v>1.0005052510316175E-6</v>
      </c>
      <c r="P67" s="56">
        <f t="shared" si="31"/>
        <v>9.218933016086736E-7</v>
      </c>
      <c r="Q67" s="56">
        <f t="shared" si="32"/>
        <v>2.9764568293868393E-8</v>
      </c>
      <c r="R67" s="9">
        <f t="shared" si="12"/>
        <v>1.4999999999999999E-4</v>
      </c>
      <c r="S67" s="9">
        <f t="shared" si="13"/>
        <v>1.3446554224041896E-7</v>
      </c>
      <c r="T67" s="9">
        <f t="shared" si="10"/>
        <v>1.4985219226293489E-4</v>
      </c>
      <c r="U67" s="9">
        <f t="shared" si="11"/>
        <v>1.4986553445775957E-4</v>
      </c>
      <c r="V67" s="100">
        <f t="shared" si="14"/>
        <v>0.99991097222671677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4.0594690780898786</v>
      </c>
      <c r="K68" s="55">
        <f t="shared" si="26"/>
        <v>1.5500377120803705E-2</v>
      </c>
      <c r="L68" s="55">
        <f t="shared" si="27"/>
        <v>0.17310035647208996</v>
      </c>
      <c r="M68" s="55">
        <f t="shared" si="28"/>
        <v>0.82689964352791001</v>
      </c>
      <c r="N68" s="55">
        <f t="shared" si="29"/>
        <v>0.1033738959251676</v>
      </c>
      <c r="O68" s="56">
        <f t="shared" si="30"/>
        <v>1.5523505330295708E-8</v>
      </c>
      <c r="P68" s="56">
        <f t="shared" si="31"/>
        <v>1.7801593234834535E-4</v>
      </c>
      <c r="Q68" s="56">
        <f t="shared" si="32"/>
        <v>1.0630943135328913E-2</v>
      </c>
      <c r="R68" s="9">
        <f t="shared" si="12"/>
        <v>1.4999999999999999E-4</v>
      </c>
      <c r="S68" s="9">
        <f t="shared" si="13"/>
        <v>2.596505347081349E-5</v>
      </c>
      <c r="T68" s="9">
        <f t="shared" si="10"/>
        <v>2.3250565681205556E-6</v>
      </c>
      <c r="U68" s="9">
        <f t="shared" si="11"/>
        <v>1.2403494652918649E-4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1.4575688941116358</v>
      </c>
      <c r="K69" s="55">
        <f t="shared" si="26"/>
        <v>0.85383460436897962</v>
      </c>
      <c r="L69" s="55">
        <f t="shared" si="27"/>
        <v>2.3846753673809094E-2</v>
      </c>
      <c r="M69" s="55">
        <f t="shared" si="28"/>
        <v>0.97615324632619094</v>
      </c>
      <c r="N69" s="55">
        <f t="shared" si="29"/>
        <v>6.5668992611242942E-3</v>
      </c>
      <c r="O69" s="56">
        <f t="shared" si="30"/>
        <v>8.5510861631381575E-7</v>
      </c>
      <c r="P69" s="56">
        <f t="shared" si="31"/>
        <v>2.4523936144573555E-5</v>
      </c>
      <c r="Q69" s="56">
        <f t="shared" si="32"/>
        <v>6.7533812086353992E-4</v>
      </c>
      <c r="R69" s="9">
        <f t="shared" si="12"/>
        <v>1.4999999999999999E-4</v>
      </c>
      <c r="S69" s="9">
        <f t="shared" si="13"/>
        <v>3.5770130510713636E-6</v>
      </c>
      <c r="T69" s="9">
        <f t="shared" si="10"/>
        <v>1.2807519065534693E-4</v>
      </c>
      <c r="U69" s="9">
        <f t="shared" si="11"/>
        <v>1.4642298694892862E-4</v>
      </c>
      <c r="V69" s="100">
        <f t="shared" si="14"/>
        <v>0.87469319759211517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2.588750951841865</v>
      </c>
      <c r="K70" s="55">
        <f t="shared" si="26"/>
        <v>0.31174066985733412</v>
      </c>
      <c r="L70" s="55">
        <f t="shared" si="27"/>
        <v>0.11776901309129172</v>
      </c>
      <c r="M70" s="55">
        <f t="shared" si="28"/>
        <v>0.88223098690870827</v>
      </c>
      <c r="N70" s="55">
        <f t="shared" si="29"/>
        <v>6.0048074214761951E-2</v>
      </c>
      <c r="O70" s="56">
        <f t="shared" si="30"/>
        <v>3.1220582005745159E-7</v>
      </c>
      <c r="P70" s="56">
        <f t="shared" si="31"/>
        <v>1.2111333040825401E-4</v>
      </c>
      <c r="Q70" s="56">
        <f t="shared" si="32"/>
        <v>6.1753275007189364E-3</v>
      </c>
      <c r="R70" s="9">
        <f t="shared" si="12"/>
        <v>1.4999999999999999E-4</v>
      </c>
      <c r="S70" s="9">
        <f t="shared" si="13"/>
        <v>1.7665351963693756E-5</v>
      </c>
      <c r="T70" s="9">
        <f t="shared" si="10"/>
        <v>4.6761100478600112E-5</v>
      </c>
      <c r="U70" s="9">
        <f t="shared" si="11"/>
        <v>1.3233464803630624E-4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5.2541395657856595</v>
      </c>
      <c r="K71" s="55">
        <f t="shared" ref="K71:K122" si="35">IF(D71=0,"",1/(1+10^D71*$J$15/$J$14+10^E71*$J$16/$J$14+10^J71*$J$19/$J$14))</f>
        <v>1.0093287509087001E-3</v>
      </c>
      <c r="L71" s="55">
        <f t="shared" ref="L71:L122" si="36">IF(D71=0,"",1/(1+10^I71/10^J71*$J$13/$J$19))</f>
        <v>0.17646510128150816</v>
      </c>
      <c r="M71" s="55">
        <f t="shared" si="19"/>
        <v>0.82353489871849184</v>
      </c>
      <c r="N71" s="55">
        <f t="shared" ref="N71:N122" si="37">IF(D71=0,"",1/(1/10^E71*$J$20/$J$22+10^D71/10^E71*$J$21/$J$22+10^I71/10^E71*$J$13/$J$22+1))</f>
        <v>0.10781005409219704</v>
      </c>
      <c r="O71" s="56">
        <f t="shared" si="21"/>
        <v>1.0108347766405508E-9</v>
      </c>
      <c r="P71" s="56">
        <f t="shared" ref="P71:P122" si="38">IF(D71=0,"",O71*10^J71)</f>
        <v>1.8147622669187211E-4</v>
      </c>
      <c r="Q71" s="56">
        <f t="shared" ref="Q71:Q122" si="39">IF(D71=0,"",F71*N71*$J$7/$J$22)</f>
        <v>1.1087156425840423E-2</v>
      </c>
      <c r="R71" s="9">
        <f t="shared" si="12"/>
        <v>1.4999999999999999E-4</v>
      </c>
      <c r="S71" s="9">
        <f t="shared" si="13"/>
        <v>2.6469765192226222E-5</v>
      </c>
      <c r="T71" s="9">
        <f t="shared" si="10"/>
        <v>1.5139931263630501E-7</v>
      </c>
      <c r="U71" s="9">
        <f t="shared" si="11"/>
        <v>1.2353023480777376E-4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4.7956325345638788</v>
      </c>
      <c r="K72" s="55">
        <f t="shared" si="35"/>
        <v>2.8297943772835009E-3</v>
      </c>
      <c r="L72" s="55">
        <f t="shared" si="36"/>
        <v>0.17213692216306023</v>
      </c>
      <c r="M72" s="55">
        <f t="shared" si="19"/>
        <v>0.8278630778369398</v>
      </c>
      <c r="N72" s="55">
        <f t="shared" si="37"/>
        <v>9.3504281820513221E-2</v>
      </c>
      <c r="O72" s="56">
        <f t="shared" si="21"/>
        <v>2.8340167311441221E-9</v>
      </c>
      <c r="P72" s="56">
        <f t="shared" si="38"/>
        <v>1.7702513914448533E-4</v>
      </c>
      <c r="Q72" s="56">
        <f t="shared" si="39"/>
        <v>9.6159547248101211E-3</v>
      </c>
      <c r="R72" s="9">
        <f t="shared" si="12"/>
        <v>1.4999999999999999E-4</v>
      </c>
      <c r="S72" s="9">
        <f t="shared" si="13"/>
        <v>2.5820538324459032E-5</v>
      </c>
      <c r="T72" s="9">
        <f t="shared" si="10"/>
        <v>4.2446915659252511E-7</v>
      </c>
      <c r="U72" s="9">
        <f t="shared" si="11"/>
        <v>1.2417946167554096E-4</v>
      </c>
      <c r="V72" s="100">
        <f t="shared" si="14"/>
        <v>3.4181913084918034E-3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4.7972521440478495</v>
      </c>
      <c r="K73" s="55">
        <f t="shared" si="35"/>
        <v>2.8639057717728587E-3</v>
      </c>
      <c r="L73" s="55">
        <f t="shared" si="36"/>
        <v>0.17486282417682283</v>
      </c>
      <c r="M73" s="55">
        <f t="shared" si="19"/>
        <v>0.82513717582317714</v>
      </c>
      <c r="N73" s="55">
        <f t="shared" si="37"/>
        <v>0.10311773005613871</v>
      </c>
      <c r="O73" s="56">
        <f t="shared" si="21"/>
        <v>2.8681790234582015E-9</v>
      </c>
      <c r="P73" s="56">
        <f t="shared" si="38"/>
        <v>1.7982844930721395E-4</v>
      </c>
      <c r="Q73" s="56">
        <f t="shared" si="39"/>
        <v>1.0604599107540412E-2</v>
      </c>
      <c r="R73" s="9">
        <f t="shared" si="12"/>
        <v>1.4999999999999999E-4</v>
      </c>
      <c r="S73" s="9">
        <f t="shared" si="13"/>
        <v>2.6229423626523423E-5</v>
      </c>
      <c r="T73" s="9">
        <f t="shared" si="10"/>
        <v>4.2958586576592875E-7</v>
      </c>
      <c r="U73" s="9">
        <f t="shared" si="11"/>
        <v>1.2377057637347655E-4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1.798585736505889</v>
      </c>
      <c r="K74" s="55">
        <f t="shared" si="35"/>
        <v>0.72428925785109732</v>
      </c>
      <c r="L74" s="55">
        <f t="shared" si="36"/>
        <v>4.4359270981366668E-2</v>
      </c>
      <c r="M74" s="55">
        <f t="shared" si="19"/>
        <v>0.95564072901863328</v>
      </c>
      <c r="N74" s="55">
        <f t="shared" si="37"/>
        <v>1.2545173259115675E-2</v>
      </c>
      <c r="O74" s="56">
        <f t="shared" si="21"/>
        <v>7.2536997437546546E-7</v>
      </c>
      <c r="P74" s="56">
        <f t="shared" si="38"/>
        <v>4.5618952744988212E-5</v>
      </c>
      <c r="Q74" s="56">
        <f t="shared" si="39"/>
        <v>1.2901421809336864E-3</v>
      </c>
      <c r="R74" s="9">
        <f t="shared" si="12"/>
        <v>1.4999999999999999E-4</v>
      </c>
      <c r="S74" s="9">
        <f t="shared" si="13"/>
        <v>6.6538906472049993E-6</v>
      </c>
      <c r="T74" s="9">
        <f t="shared" si="10"/>
        <v>1.0864338867766459E-4</v>
      </c>
      <c r="U74" s="9">
        <f t="shared" si="11"/>
        <v>1.4334610935279497E-4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1.0613094291357714</v>
      </c>
      <c r="J75" s="54">
        <f t="shared" si="34"/>
        <v>3.3735221225182275</v>
      </c>
      <c r="K75" s="55">
        <f t="shared" si="35"/>
        <v>7.2339727791870145E-2</v>
      </c>
      <c r="L75" s="55">
        <f t="shared" si="36"/>
        <v>0.16648902588572345</v>
      </c>
      <c r="M75" s="55">
        <f t="shared" si="19"/>
        <v>0.83351097411427655</v>
      </c>
      <c r="N75" s="55">
        <f t="shared" si="37"/>
        <v>0.10915998625420083</v>
      </c>
      <c r="O75" s="56">
        <f t="shared" si="21"/>
        <v>7.2447666351424249E-8</v>
      </c>
      <c r="P75" s="56">
        <f t="shared" si="38"/>
        <v>1.7121685808656052E-4</v>
      </c>
      <c r="Q75" s="56">
        <f t="shared" si="39"/>
        <v>1.1225983079536461E-2</v>
      </c>
      <c r="R75" s="9">
        <f t="shared" si="12"/>
        <v>1.4999999999999999E-4</v>
      </c>
      <c r="S75" s="9">
        <f t="shared" si="13"/>
        <v>2.4973353882858516E-5</v>
      </c>
      <c r="T75" s="9">
        <f t="shared" si="10"/>
        <v>1.0850959168780521E-5</v>
      </c>
      <c r="U75" s="9">
        <f t="shared" si="11"/>
        <v>1.2502664611714148E-4</v>
      </c>
      <c r="V75" s="100">
        <f t="shared" si="14"/>
        <v>8.6789172594567643E-2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3.3743997874095357</v>
      </c>
      <c r="K76" s="55">
        <f t="shared" si="35"/>
        <v>6.9706284368948976E-2</v>
      </c>
      <c r="L76" s="55">
        <f t="shared" si="36"/>
        <v>0.16075272390396639</v>
      </c>
      <c r="M76" s="55">
        <f t="shared" si="19"/>
        <v>0.83924727609603367</v>
      </c>
      <c r="N76" s="55">
        <f t="shared" si="37"/>
        <v>8.7620061411323474E-2</v>
      </c>
      <c r="O76" s="56">
        <f t="shared" si="21"/>
        <v>6.9810293551127564E-8</v>
      </c>
      <c r="P76" s="56">
        <f t="shared" si="38"/>
        <v>1.6531766084441741E-4</v>
      </c>
      <c r="Q76" s="56">
        <f t="shared" si="39"/>
        <v>9.0108231100442283E-3</v>
      </c>
      <c r="R76" s="9">
        <f t="shared" si="12"/>
        <v>1.4999999999999999E-4</v>
      </c>
      <c r="S76" s="9">
        <f t="shared" si="13"/>
        <v>2.4112908585594957E-5</v>
      </c>
      <c r="T76" s="9">
        <f t="shared" si="10"/>
        <v>1.0455942655342345E-5</v>
      </c>
      <c r="U76" s="9">
        <f t="shared" si="11"/>
        <v>1.2588709141440503E-4</v>
      </c>
      <c r="V76" s="100">
        <f t="shared" si="14"/>
        <v>8.305810022190957E-2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1.9813184321206099</v>
      </c>
      <c r="K77" s="55">
        <f t="shared" si="35"/>
        <v>0.64023876484419984</v>
      </c>
      <c r="L77" s="55">
        <f t="shared" si="36"/>
        <v>5.9723742966288983E-2</v>
      </c>
      <c r="M77" s="55">
        <f t="shared" si="19"/>
        <v>0.94027625703371098</v>
      </c>
      <c r="N77" s="55">
        <f t="shared" si="37"/>
        <v>2.3660699811836709E-2</v>
      </c>
      <c r="O77" s="56">
        <f t="shared" si="21"/>
        <v>6.4119406910311004E-7</v>
      </c>
      <c r="P77" s="56">
        <f t="shared" si="38"/>
        <v>6.1419733639838512E-5</v>
      </c>
      <c r="Q77" s="56">
        <f t="shared" si="39"/>
        <v>2.433259886265777E-3</v>
      </c>
      <c r="R77" s="9">
        <f t="shared" si="12"/>
        <v>1.4999999999999999E-4</v>
      </c>
      <c r="S77" s="9">
        <f t="shared" si="13"/>
        <v>8.9585614449433469E-6</v>
      </c>
      <c r="T77" s="9">
        <f t="shared" si="10"/>
        <v>9.6035814726629963E-5</v>
      </c>
      <c r="U77" s="9">
        <f t="shared" si="11"/>
        <v>1.4104143855505664E-4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2.2611102115309216</v>
      </c>
      <c r="K78" s="55">
        <f t="shared" si="35"/>
        <v>0.49043588864083987</v>
      </c>
      <c r="L78" s="55">
        <f t="shared" si="36"/>
        <v>8.7132279142415892E-2</v>
      </c>
      <c r="M78" s="55">
        <f t="shared" si="19"/>
        <v>0.91286772085758416</v>
      </c>
      <c r="N78" s="55">
        <f t="shared" si="37"/>
        <v>4.3558093480183253E-2</v>
      </c>
      <c r="O78" s="56">
        <f t="shared" si="21"/>
        <v>4.9116767109274301E-7</v>
      </c>
      <c r="P78" s="56">
        <f t="shared" si="38"/>
        <v>8.9606597151487542E-5</v>
      </c>
      <c r="Q78" s="56">
        <f t="shared" si="39"/>
        <v>4.4795023997778053E-3</v>
      </c>
      <c r="R78" s="9">
        <f t="shared" si="12"/>
        <v>1.4999999999999999E-4</v>
      </c>
      <c r="S78" s="9">
        <f t="shared" si="13"/>
        <v>1.3069841871362383E-5</v>
      </c>
      <c r="T78" s="9">
        <f t="shared" si="10"/>
        <v>7.3565383296125977E-5</v>
      </c>
      <c r="U78" s="9">
        <f t="shared" si="11"/>
        <v>1.369301581286376E-4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2.306689397381505</v>
      </c>
      <c r="K79" s="55">
        <f t="shared" si="35"/>
        <v>0.44666356843355615</v>
      </c>
      <c r="L79" s="55">
        <f t="shared" si="36"/>
        <v>8.8136651793566737E-2</v>
      </c>
      <c r="M79" s="55">
        <f t="shared" si="19"/>
        <v>0.91186334820643322</v>
      </c>
      <c r="N79" s="55">
        <f t="shared" si="37"/>
        <v>2.4714518330871245E-2</v>
      </c>
      <c r="O79" s="56">
        <f t="shared" si="21"/>
        <v>4.4733003793314745E-7</v>
      </c>
      <c r="P79" s="56">
        <f t="shared" si="38"/>
        <v>9.0639491234225143E-5</v>
      </c>
      <c r="Q79" s="56">
        <f t="shared" si="39"/>
        <v>2.5416342940458858E-3</v>
      </c>
      <c r="R79" s="9">
        <f t="shared" si="12"/>
        <v>1.4999999999999999E-4</v>
      </c>
      <c r="S79" s="9">
        <f t="shared" si="13"/>
        <v>1.3220497769035009E-5</v>
      </c>
      <c r="T79" s="9">
        <f t="shared" si="10"/>
        <v>6.6999535265033414E-5</v>
      </c>
      <c r="U79" s="9">
        <f t="shared" si="11"/>
        <v>1.3677950223096497E-4</v>
      </c>
      <c r="V79" s="100">
        <f t="shared" si="14"/>
        <v>0.48983608049617289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2.3937036559113518</v>
      </c>
      <c r="K80" s="55">
        <f t="shared" si="35"/>
        <v>0.39671512464199199</v>
      </c>
      <c r="L80" s="55">
        <f t="shared" si="36"/>
        <v>9.5646489234820317E-2</v>
      </c>
      <c r="M80" s="55">
        <f t="shared" si="19"/>
        <v>0.90435351076517967</v>
      </c>
      <c r="N80" s="55">
        <f t="shared" si="37"/>
        <v>2.5614529189405381E-2</v>
      </c>
      <c r="O80" s="56">
        <f t="shared" si="21"/>
        <v>3.973070657567054E-7</v>
      </c>
      <c r="P80" s="56">
        <f t="shared" si="38"/>
        <v>9.8362587483913193E-5</v>
      </c>
      <c r="Q80" s="56">
        <f t="shared" si="39"/>
        <v>2.6341911641592189E-3</v>
      </c>
      <c r="R80" s="9">
        <f t="shared" si="12"/>
        <v>1.4999999999999999E-4</v>
      </c>
      <c r="S80" s="9">
        <f t="shared" si="13"/>
        <v>1.4346973385223047E-5</v>
      </c>
      <c r="T80" s="9">
        <f t="shared" si="10"/>
        <v>5.950726869629879E-5</v>
      </c>
      <c r="U80" s="9">
        <f t="shared" si="11"/>
        <v>1.3565302661477693E-4</v>
      </c>
      <c r="V80" s="100">
        <f t="shared" si="14"/>
        <v>0.43867262073912738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3.8177678868718958</v>
      </c>
      <c r="K81" s="55">
        <f t="shared" si="35"/>
        <v>2.7328032713722073E-2</v>
      </c>
      <c r="L81" s="55">
        <f t="shared" si="36"/>
        <v>0.17492942770716119</v>
      </c>
      <c r="M81" s="55">
        <f t="shared" si="19"/>
        <v>0.82507057229283887</v>
      </c>
      <c r="N81" s="55">
        <f t="shared" si="37"/>
        <v>0.11585985708360289</v>
      </c>
      <c r="O81" s="56">
        <f t="shared" si="21"/>
        <v>2.7368809041980505E-8</v>
      </c>
      <c r="P81" s="56">
        <f t="shared" si="38"/>
        <v>1.7989694419533859E-4</v>
      </c>
      <c r="Q81" s="56">
        <f t="shared" si="39"/>
        <v>1.1914995960051121E-2</v>
      </c>
      <c r="R81" s="9">
        <f t="shared" si="12"/>
        <v>1.4999999999999999E-4</v>
      </c>
      <c r="S81" s="9">
        <f t="shared" si="13"/>
        <v>2.6239414156074175E-5</v>
      </c>
      <c r="T81" s="9">
        <f t="shared" si="10"/>
        <v>4.0992049070583104E-6</v>
      </c>
      <c r="U81" s="9">
        <f t="shared" si="11"/>
        <v>1.2376058584392583E-4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3.5592350116770111</v>
      </c>
      <c r="K82" s="55">
        <f t="shared" si="35"/>
        <v>4.6911055277502792E-2</v>
      </c>
      <c r="L82" s="55">
        <f t="shared" si="36"/>
        <v>0.16557578924731167</v>
      </c>
      <c r="M82" s="55">
        <f t="shared" si="19"/>
        <v>0.83442421075268836</v>
      </c>
      <c r="N82" s="55">
        <f t="shared" si="37"/>
        <v>9.2944313111900989E-2</v>
      </c>
      <c r="O82" s="56">
        <f t="shared" si="21"/>
        <v>4.6981051556012228E-8</v>
      </c>
      <c r="P82" s="56">
        <f t="shared" si="38"/>
        <v>1.7027768802963604E-4</v>
      </c>
      <c r="Q82" s="56">
        <f t="shared" si="39"/>
        <v>9.5583676962325229E-3</v>
      </c>
      <c r="R82" s="9">
        <f t="shared" si="12"/>
        <v>1.4999999999999999E-4</v>
      </c>
      <c r="S82" s="9">
        <f t="shared" si="13"/>
        <v>2.4836368387096748E-5</v>
      </c>
      <c r="T82" s="9">
        <f t="shared" si="10"/>
        <v>7.0366582916254181E-6</v>
      </c>
      <c r="U82" s="9">
        <f t="shared" si="11"/>
        <v>1.2516363161290325E-4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1.9227193878324027</v>
      </c>
      <c r="K83" s="55">
        <f t="shared" si="35"/>
        <v>0.67131472116413637</v>
      </c>
      <c r="L83" s="55">
        <f t="shared" si="36"/>
        <v>5.4718247346419467E-2</v>
      </c>
      <c r="M83" s="55">
        <f t="shared" si="19"/>
        <v>0.9452817526535805</v>
      </c>
      <c r="N83" s="55">
        <f t="shared" si="37"/>
        <v>2.1927887298912884E-2</v>
      </c>
      <c r="O83" s="56">
        <f t="shared" si="21"/>
        <v>6.7231639405152138E-7</v>
      </c>
      <c r="P83" s="56">
        <f t="shared" si="38"/>
        <v>5.6272095658051351E-5</v>
      </c>
      <c r="Q83" s="56">
        <f t="shared" si="39"/>
        <v>2.2550579221798451E-3</v>
      </c>
      <c r="R83" s="9">
        <f t="shared" si="12"/>
        <v>1.4999999999999999E-4</v>
      </c>
      <c r="S83" s="9">
        <f t="shared" si="13"/>
        <v>8.2077371019629198E-6</v>
      </c>
      <c r="T83" s="9">
        <f t="shared" si="10"/>
        <v>1.0069720817462045E-4</v>
      </c>
      <c r="U83" s="9">
        <f t="shared" si="11"/>
        <v>1.4179226289803707E-4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3.6364038333307582</v>
      </c>
      <c r="K84" s="55">
        <f t="shared" si="35"/>
        <v>3.7918370791793859E-2</v>
      </c>
      <c r="L84" s="55">
        <f t="shared" si="36"/>
        <v>0.15986011533689368</v>
      </c>
      <c r="M84" s="55">
        <f t="shared" si="19"/>
        <v>0.8401398846631063</v>
      </c>
      <c r="N84" s="55">
        <f t="shared" si="37"/>
        <v>6.8225745304324487E-2</v>
      </c>
      <c r="O84" s="56">
        <f t="shared" si="21"/>
        <v>3.7974949029628552E-8</v>
      </c>
      <c r="P84" s="56">
        <f t="shared" si="38"/>
        <v>1.6439970463954278E-4</v>
      </c>
      <c r="Q84" s="56">
        <f t="shared" si="39"/>
        <v>7.0163169551117144E-3</v>
      </c>
      <c r="R84" s="9">
        <f t="shared" si="12"/>
        <v>1.4999999999999999E-4</v>
      </c>
      <c r="S84" s="9">
        <f t="shared" si="13"/>
        <v>2.3979017300534051E-5</v>
      </c>
      <c r="T84" s="9">
        <f t="shared" si="10"/>
        <v>5.6877556187690785E-6</v>
      </c>
      <c r="U84" s="9">
        <f t="shared" si="11"/>
        <v>1.2602098269946593E-4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1.8444393952218296</v>
      </c>
      <c r="K85" s="55">
        <f t="shared" si="35"/>
        <v>0.70926351499910567</v>
      </c>
      <c r="L85" s="55">
        <f t="shared" si="36"/>
        <v>4.8276261912381095E-2</v>
      </c>
      <c r="M85" s="55">
        <f t="shared" si="19"/>
        <v>0.9517237380876189</v>
      </c>
      <c r="N85" s="55">
        <f t="shared" si="37"/>
        <v>1.8652035766609031E-2</v>
      </c>
      <c r="O85" s="56">
        <f t="shared" si="21"/>
        <v>7.1032181151873804E-7</v>
      </c>
      <c r="P85" s="56">
        <f t="shared" si="38"/>
        <v>4.9647175486961443E-5</v>
      </c>
      <c r="Q85" s="56">
        <f t="shared" si="39"/>
        <v>1.9181702480912872E-3</v>
      </c>
      <c r="R85" s="9">
        <f t="shared" si="12"/>
        <v>1.4999999999999999E-4</v>
      </c>
      <c r="S85" s="9">
        <f t="shared" si="13"/>
        <v>7.2414392868571637E-6</v>
      </c>
      <c r="T85" s="9">
        <f t="shared" si="10"/>
        <v>1.0638952724986584E-4</v>
      </c>
      <c r="U85" s="9">
        <f t="shared" si="11"/>
        <v>1.4275856071314282E-4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2.8994221028694125</v>
      </c>
      <c r="K86" s="55">
        <f t="shared" si="35"/>
        <v>0.16833315693196874</v>
      </c>
      <c r="L86" s="55">
        <f t="shared" si="36"/>
        <v>0.13004042815024586</v>
      </c>
      <c r="M86" s="55">
        <f t="shared" si="19"/>
        <v>0.86995957184975414</v>
      </c>
      <c r="N86" s="55">
        <f t="shared" si="37"/>
        <v>2.9927903017540697E-2</v>
      </c>
      <c r="O86" s="56">
        <f t="shared" si="21"/>
        <v>1.6858432788656105E-7</v>
      </c>
      <c r="P86" s="56">
        <f t="shared" si="38"/>
        <v>1.3373322003456723E-4</v>
      </c>
      <c r="Q86" s="56">
        <f t="shared" si="39"/>
        <v>3.0777773468984009E-3</v>
      </c>
      <c r="R86" s="9">
        <f t="shared" si="12"/>
        <v>1.4999999999999999E-4</v>
      </c>
      <c r="S86" s="9">
        <f t="shared" si="13"/>
        <v>1.9506064222536878E-5</v>
      </c>
      <c r="T86" s="9">
        <f t="shared" si="10"/>
        <v>2.5249973539795307E-5</v>
      </c>
      <c r="U86" s="9">
        <f t="shared" si="11"/>
        <v>1.3049393577746311E-4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1.6088897864595915</v>
      </c>
      <c r="K87" s="55">
        <f t="shared" si="35"/>
        <v>0.80490931330872939</v>
      </c>
      <c r="L87" s="55">
        <f t="shared" si="36"/>
        <v>3.1851021006018505E-2</v>
      </c>
      <c r="M87" s="55">
        <f t="shared" si="19"/>
        <v>0.96814897899398145</v>
      </c>
      <c r="N87" s="55">
        <f t="shared" si="37"/>
        <v>9.7305570734664958E-3</v>
      </c>
      <c r="O87" s="56">
        <f t="shared" si="21"/>
        <v>8.06110323521267E-7</v>
      </c>
      <c r="P87" s="56">
        <f t="shared" si="38"/>
        <v>3.2755502739518175E-5</v>
      </c>
      <c r="Q87" s="56">
        <f t="shared" si="39"/>
        <v>1.0006878235292469E-3</v>
      </c>
      <c r="R87" s="9">
        <f t="shared" si="12"/>
        <v>1.4999999999999999E-4</v>
      </c>
      <c r="S87" s="9">
        <f t="shared" si="13"/>
        <v>4.777653150902775E-6</v>
      </c>
      <c r="T87" s="9">
        <f t="shared" si="10"/>
        <v>1.2073639699630939E-4</v>
      </c>
      <c r="U87" s="9">
        <f t="shared" si="11"/>
        <v>1.4522234684909721E-4</v>
      </c>
      <c r="V87" s="100">
        <f t="shared" si="14"/>
        <v>0.83138993148050733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0.91690756788413585</v>
      </c>
      <c r="K88" s="55">
        <f t="shared" si="35"/>
        <v>0.95274893702170749</v>
      </c>
      <c r="L88" s="55">
        <f t="shared" si="36"/>
        <v>7.6625383363333414E-3</v>
      </c>
      <c r="M88" s="55">
        <f t="shared" si="19"/>
        <v>0.99233746166366665</v>
      </c>
      <c r="N88" s="55">
        <f t="shared" si="37"/>
        <v>1.6499283787385681E-4</v>
      </c>
      <c r="O88" s="56">
        <f t="shared" si="21"/>
        <v>9.5417053965995224E-7</v>
      </c>
      <c r="P88" s="56">
        <f t="shared" si="38"/>
        <v>7.8801334318294917E-6</v>
      </c>
      <c r="Q88" s="56">
        <f t="shared" si="39"/>
        <v>1.6967818243430208E-5</v>
      </c>
      <c r="R88" s="9">
        <f t="shared" si="12"/>
        <v>1.4999999999999999E-4</v>
      </c>
      <c r="S88" s="9">
        <f t="shared" si="13"/>
        <v>1.1493807504500011E-6</v>
      </c>
      <c r="T88" s="9">
        <f t="shared" si="10"/>
        <v>1.4291234055325612E-4</v>
      </c>
      <c r="U88" s="9">
        <f t="shared" si="11"/>
        <v>1.4885061924954998E-4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0.42189369931502119</v>
      </c>
      <c r="K89" s="55">
        <f t="shared" si="35"/>
        <v>0.98807115088170527</v>
      </c>
      <c r="L89" s="55">
        <f t="shared" si="36"/>
        <v>2.5419589804818337E-3</v>
      </c>
      <c r="M89" s="55">
        <f t="shared" si="19"/>
        <v>0.99745804101951818</v>
      </c>
      <c r="N89" s="55">
        <f t="shared" si="37"/>
        <v>1.9801506230044357E-4</v>
      </c>
      <c r="O89" s="56">
        <f t="shared" si="21"/>
        <v>9.8954545801581554E-7</v>
      </c>
      <c r="P89" s="56">
        <f t="shared" si="38"/>
        <v>2.6141436512563382E-6</v>
      </c>
      <c r="Q89" s="56">
        <f t="shared" si="39"/>
        <v>2.0363814756275615E-5</v>
      </c>
      <c r="R89" s="9">
        <f t="shared" si="12"/>
        <v>1.4999999999999999E-4</v>
      </c>
      <c r="S89" s="9">
        <f t="shared" si="13"/>
        <v>3.8129384707227502E-7</v>
      </c>
      <c r="T89" s="9">
        <f t="shared" si="10"/>
        <v>1.4821067263225577E-4</v>
      </c>
      <c r="U89" s="9">
        <f t="shared" si="11"/>
        <v>1.4961870615292771E-4</v>
      </c>
      <c r="V89" s="100">
        <f t="shared" si="14"/>
        <v>0.99058918796401862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2.1672092685066032E-2</v>
      </c>
      <c r="K90" s="55">
        <f t="shared" si="35"/>
        <v>0.99816381099487561</v>
      </c>
      <c r="L90" s="55">
        <f t="shared" si="36"/>
        <v>1.0217873753199105E-3</v>
      </c>
      <c r="M90" s="55">
        <f t="shared" si="19"/>
        <v>0.99897821262468012</v>
      </c>
      <c r="N90" s="55">
        <f t="shared" si="37"/>
        <v>6.5745284282512906E-6</v>
      </c>
      <c r="O90" s="56">
        <f t="shared" si="21"/>
        <v>9.9965317745016288E-7</v>
      </c>
      <c r="P90" s="56">
        <f t="shared" si="38"/>
        <v>1.050803337361529E-6</v>
      </c>
      <c r="Q90" s="56">
        <f t="shared" si="39"/>
        <v>6.7612270232069742E-7</v>
      </c>
      <c r="R90" s="9">
        <f t="shared" si="12"/>
        <v>1.4999999999999999E-4</v>
      </c>
      <c r="S90" s="9">
        <f t="shared" si="13"/>
        <v>1.5326810629798657E-7</v>
      </c>
      <c r="T90" s="9">
        <f t="shared" si="10"/>
        <v>1.4972457164923132E-4</v>
      </c>
      <c r="U90" s="9">
        <f t="shared" si="11"/>
        <v>1.49846731893702E-4</v>
      </c>
      <c r="V90" s="100">
        <f t="shared" si="14"/>
        <v>0.99918476537374645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-5.0618200796578115E-3</v>
      </c>
      <c r="K91" s="55">
        <f t="shared" si="35"/>
        <v>0.99857409951530007</v>
      </c>
      <c r="L91" s="55">
        <f t="shared" si="36"/>
        <v>9.6118082178412649E-4</v>
      </c>
      <c r="M91" s="55">
        <f t="shared" si="19"/>
        <v>0.99903881917821591</v>
      </c>
      <c r="N91" s="55">
        <f t="shared" si="37"/>
        <v>2.9872701367497549E-6</v>
      </c>
      <c r="O91" s="56">
        <f t="shared" si="21"/>
        <v>1.0000640781646506E-6</v>
      </c>
      <c r="P91" s="56">
        <f t="shared" si="38"/>
        <v>9.8847572375068111E-7</v>
      </c>
      <c r="Q91" s="56">
        <f t="shared" si="39"/>
        <v>3.0721004243317032E-7</v>
      </c>
      <c r="R91" s="9">
        <f t="shared" si="12"/>
        <v>1.4999999999999999E-4</v>
      </c>
      <c r="S91" s="9">
        <f t="shared" si="13"/>
        <v>1.4417712326761895E-7</v>
      </c>
      <c r="T91" s="9">
        <f t="shared" si="10"/>
        <v>1.4978611492729501E-4</v>
      </c>
      <c r="U91" s="9">
        <f t="shared" si="11"/>
        <v>1.4985582287673236E-4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0.49337026250812915</v>
      </c>
      <c r="K92" s="55">
        <f t="shared" si="35"/>
        <v>0.98514840439073992</v>
      </c>
      <c r="L92" s="55">
        <f t="shared" si="36"/>
        <v>2.9878482777686488E-3</v>
      </c>
      <c r="M92" s="55">
        <f t="shared" si="19"/>
        <v>0.99701215172223134</v>
      </c>
      <c r="N92" s="55">
        <f t="shared" si="37"/>
        <v>2.7338244950172368E-4</v>
      </c>
      <c r="O92" s="56">
        <f t="shared" si="21"/>
        <v>9.8661835047656009E-7</v>
      </c>
      <c r="P92" s="56">
        <f t="shared" si="38"/>
        <v>3.0726949829715849E-6</v>
      </c>
      <c r="Q92" s="56">
        <f t="shared" si="39"/>
        <v>2.8114576207456029E-5</v>
      </c>
      <c r="R92" s="9">
        <f t="shared" si="12"/>
        <v>1.4999999999999999E-4</v>
      </c>
      <c r="S92" s="9">
        <f t="shared" si="13"/>
        <v>4.4817724166529729E-7</v>
      </c>
      <c r="T92" s="9">
        <f t="shared" ref="T92:T143" si="40">R92*K92</f>
        <v>1.4777226065861097E-4</v>
      </c>
      <c r="U92" s="9">
        <f t="shared" ref="U92:U143" si="41">$R92*M92</f>
        <v>1.4955182275833468E-4</v>
      </c>
      <c r="V92" s="100">
        <f t="shared" si="14"/>
        <v>0.98810069936359546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-3.9760371235624641E-3</v>
      </c>
      <c r="K93" s="55">
        <f t="shared" si="35"/>
        <v>0.99855788648561838</v>
      </c>
      <c r="L93" s="55">
        <f t="shared" si="36"/>
        <v>9.6357123879146976E-4</v>
      </c>
      <c r="M93" s="55">
        <f t="shared" ref="M93:M127" si="42">IF(D93=0,"",1-L93)</f>
        <v>0.99903642876120857</v>
      </c>
      <c r="N93" s="55">
        <f t="shared" si="37"/>
        <v>3.1131071316628241E-6</v>
      </c>
      <c r="O93" s="56">
        <f t="shared" ref="O93:O127" si="43">IF(D93=0,"",F93*K93*$J$7/$J$14)</f>
        <v>1.0000478409434061E-6</v>
      </c>
      <c r="P93" s="56">
        <f t="shared" si="38"/>
        <v>9.9093402205194522E-7</v>
      </c>
      <c r="Q93" s="56">
        <f t="shared" si="39"/>
        <v>3.2015108451414136E-7</v>
      </c>
      <c r="R93" s="9">
        <f t="shared" ref="R93:R143" si="44">F93*$C$14</f>
        <v>1.4999999999999999E-4</v>
      </c>
      <c r="S93" s="9">
        <f t="shared" ref="S93:S143" si="45">$R93*L93</f>
        <v>1.4453568581872046E-7</v>
      </c>
      <c r="T93" s="9">
        <f t="shared" si="40"/>
        <v>1.4978368297284274E-4</v>
      </c>
      <c r="U93" s="9">
        <f t="shared" si="41"/>
        <v>1.4985546431418127E-4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-3.1727881413346266E-2</v>
      </c>
      <c r="K94" s="55">
        <f t="shared" si="35"/>
        <v>0.9989610017356495</v>
      </c>
      <c r="L94" s="55">
        <f t="shared" si="36"/>
        <v>9.0428905069723034E-4</v>
      </c>
      <c r="M94" s="55">
        <f t="shared" si="42"/>
        <v>0.99909571094930272</v>
      </c>
      <c r="N94" s="55">
        <f t="shared" si="37"/>
        <v>5.2057485400888896E-7</v>
      </c>
      <c r="O94" s="56">
        <f t="shared" si="43"/>
        <v>1.0004515576842192E-6</v>
      </c>
      <c r="P94" s="56">
        <f t="shared" si="38"/>
        <v>9.2996838223278315E-7</v>
      </c>
      <c r="Q94" s="56">
        <f t="shared" si="39"/>
        <v>5.3535775363026471E-8</v>
      </c>
      <c r="R94" s="9">
        <f t="shared" si="44"/>
        <v>1.4999999999999999E-4</v>
      </c>
      <c r="S94" s="9">
        <f t="shared" si="45"/>
        <v>1.3564335760458453E-7</v>
      </c>
      <c r="T94" s="9">
        <f t="shared" si="40"/>
        <v>1.498441502603474E-4</v>
      </c>
      <c r="U94" s="9">
        <f t="shared" si="41"/>
        <v>1.498643566423954E-4</v>
      </c>
      <c r="V94" s="100">
        <f t="shared" si="46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3.2443942098381373</v>
      </c>
      <c r="K95" s="55">
        <f t="shared" si="35"/>
        <v>9.4343150246879032E-2</v>
      </c>
      <c r="L95" s="55">
        <f t="shared" si="36"/>
        <v>0.16128396932813741</v>
      </c>
      <c r="M95" s="55">
        <f t="shared" si="42"/>
        <v>0.83871603067186262</v>
      </c>
      <c r="N95" s="55">
        <f t="shared" si="37"/>
        <v>0.10208618536805675</v>
      </c>
      <c r="O95" s="56">
        <f t="shared" si="43"/>
        <v>9.4483920250475731E-8</v>
      </c>
      <c r="P95" s="56">
        <f t="shared" si="38"/>
        <v>1.6586399218316802E-4</v>
      </c>
      <c r="Q95" s="56">
        <f t="shared" si="39"/>
        <v>1.0498515334433045E-2</v>
      </c>
      <c r="R95" s="9">
        <f t="shared" si="44"/>
        <v>1.4999999999999999E-4</v>
      </c>
      <c r="S95" s="9">
        <f t="shared" si="45"/>
        <v>2.419259539922061E-5</v>
      </c>
      <c r="T95" s="9">
        <f t="shared" si="40"/>
        <v>1.4151472537031853E-5</v>
      </c>
      <c r="U95" s="9">
        <f t="shared" si="41"/>
        <v>1.2580740460077939E-4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-4.3015572183228164E-2</v>
      </c>
      <c r="K96" s="55">
        <f t="shared" si="35"/>
        <v>0.99911877153432782</v>
      </c>
      <c r="L96" s="55">
        <f t="shared" si="36"/>
        <v>8.8122775261753931E-4</v>
      </c>
      <c r="M96" s="55">
        <f t="shared" si="42"/>
        <v>0.99911877224738244</v>
      </c>
      <c r="N96" s="55">
        <f t="shared" si="37"/>
        <v>1.6599833735236449E-14</v>
      </c>
      <c r="O96" s="56">
        <f t="shared" si="43"/>
        <v>1.0006095628921992E-6</v>
      </c>
      <c r="P96" s="56">
        <f t="shared" si="38"/>
        <v>9.0625220646926744E-7</v>
      </c>
      <c r="Q96" s="56">
        <f t="shared" si="39"/>
        <v>1.707122353432063E-15</v>
      </c>
      <c r="R96" s="9">
        <f t="shared" si="44"/>
        <v>1.4999999999999999E-4</v>
      </c>
      <c r="S96" s="9">
        <f t="shared" si="45"/>
        <v>1.3218416289263089E-7</v>
      </c>
      <c r="T96" s="9">
        <f t="shared" si="40"/>
        <v>1.4986781573014915E-4</v>
      </c>
      <c r="U96" s="9">
        <f t="shared" si="41"/>
        <v>1.4986781583710735E-4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3.4916033311365919</v>
      </c>
      <c r="K98" s="55">
        <f t="shared" si="35"/>
        <v>4.6841329376002126E-2</v>
      </c>
      <c r="L98" s="55">
        <f t="shared" si="36"/>
        <v>0.1414878550410687</v>
      </c>
      <c r="M98" s="55">
        <f t="shared" si="42"/>
        <v>0.85851214495893124</v>
      </c>
      <c r="N98" s="55">
        <f t="shared" si="37"/>
        <v>8.1117737981318359E-3</v>
      </c>
      <c r="O98" s="56">
        <f t="shared" si="43"/>
        <v>4.691122161605854E-8</v>
      </c>
      <c r="P98" s="56">
        <f t="shared" si="38"/>
        <v>1.4550572248627606E-4</v>
      </c>
      <c r="Q98" s="56">
        <f t="shared" si="39"/>
        <v>8.342125949960975E-4</v>
      </c>
      <c r="R98" s="9">
        <f t="shared" si="44"/>
        <v>1.4999999999999999E-4</v>
      </c>
      <c r="S98" s="9">
        <f t="shared" si="45"/>
        <v>2.1223178256160304E-5</v>
      </c>
      <c r="T98" s="9">
        <f t="shared" si="40"/>
        <v>7.0261994064003183E-6</v>
      </c>
      <c r="U98" s="9">
        <f t="shared" si="41"/>
        <v>1.2877682174383968E-4</v>
      </c>
      <c r="V98" s="100">
        <f t="shared" si="46"/>
        <v>5.456105618429298E-2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1.7780701090410389</v>
      </c>
      <c r="K99" s="55">
        <f t="shared" si="35"/>
        <v>0.7188810031147842</v>
      </c>
      <c r="L99" s="55">
        <f t="shared" si="36"/>
        <v>4.1996561711521739E-2</v>
      </c>
      <c r="M99" s="55">
        <f t="shared" si="42"/>
        <v>0.95800343828847823</v>
      </c>
      <c r="N99" s="55">
        <f t="shared" si="37"/>
        <v>1.4626608153651566E-3</v>
      </c>
      <c r="O99" s="56">
        <f t="shared" si="43"/>
        <v>7.1995364994848916E-7</v>
      </c>
      <c r="P99" s="56">
        <f t="shared" si="38"/>
        <v>4.3189149005055781E-5</v>
      </c>
      <c r="Q99" s="56">
        <f t="shared" si="39"/>
        <v>1.5041963752316219E-4</v>
      </c>
      <c r="R99" s="9">
        <f t="shared" si="44"/>
        <v>1.4999999999999999E-4</v>
      </c>
      <c r="S99" s="9">
        <f t="shared" si="45"/>
        <v>6.2994842567282604E-6</v>
      </c>
      <c r="T99" s="9">
        <f t="shared" si="40"/>
        <v>1.0783215046721762E-4</v>
      </c>
      <c r="U99" s="9">
        <f t="shared" si="41"/>
        <v>1.4370051574327171E-4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3.1367471227841328</v>
      </c>
      <c r="K101" s="55">
        <f t="shared" si="35"/>
        <v>9.9289440811556759E-2</v>
      </c>
      <c r="L101" s="55">
        <f t="shared" si="36"/>
        <v>0.13247587818407125</v>
      </c>
      <c r="M101" s="55">
        <f t="shared" si="42"/>
        <v>0.86752412181592875</v>
      </c>
      <c r="N101" s="55">
        <f t="shared" si="37"/>
        <v>3.2017667068523371E-3</v>
      </c>
      <c r="O101" s="56">
        <f t="shared" si="43"/>
        <v>9.9437591206191462E-8</v>
      </c>
      <c r="P101" s="56">
        <f t="shared" si="38"/>
        <v>1.362378301768874E-4</v>
      </c>
      <c r="Q101" s="56">
        <f t="shared" si="39"/>
        <v>3.2926881093633622E-4</v>
      </c>
      <c r="R101" s="9">
        <f t="shared" si="44"/>
        <v>1.4999999999999999E-4</v>
      </c>
      <c r="S101" s="9">
        <f t="shared" si="45"/>
        <v>1.9871381727610686E-5</v>
      </c>
      <c r="T101" s="9">
        <f t="shared" si="40"/>
        <v>1.4893416121733513E-5</v>
      </c>
      <c r="U101" s="9">
        <f t="shared" si="41"/>
        <v>1.3012861827238931E-4</v>
      </c>
      <c r="V101" s="100">
        <f t="shared" si="46"/>
        <v>0.11445150436130927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2.3675184084017351</v>
      </c>
      <c r="K102" s="55">
        <f t="shared" si="35"/>
        <v>0.39220237349938797</v>
      </c>
      <c r="L102" s="55">
        <f t="shared" si="36"/>
        <v>8.902566891419178E-2</v>
      </c>
      <c r="M102" s="55">
        <f t="shared" si="42"/>
        <v>0.91097433108580828</v>
      </c>
      <c r="N102" s="55">
        <f t="shared" si="37"/>
        <v>4.3822424198786294E-9</v>
      </c>
      <c r="O102" s="56">
        <f t="shared" si="43"/>
        <v>3.9278758110994225E-7</v>
      </c>
      <c r="P102" s="56">
        <f t="shared" si="38"/>
        <v>9.1553754005412613E-5</v>
      </c>
      <c r="Q102" s="56">
        <f t="shared" si="39"/>
        <v>4.506686098459566E-10</v>
      </c>
      <c r="R102" s="9">
        <f t="shared" si="44"/>
        <v>1.4999999999999999E-4</v>
      </c>
      <c r="S102" s="9">
        <f t="shared" si="45"/>
        <v>1.3353850337128765E-5</v>
      </c>
      <c r="T102" s="9">
        <f t="shared" si="40"/>
        <v>5.8830356024908188E-5</v>
      </c>
      <c r="U102" s="9">
        <f t="shared" si="41"/>
        <v>1.3664614966287124E-4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3.415978567809216</v>
      </c>
      <c r="K103" s="55">
        <f t="shared" si="35"/>
        <v>5.4410066344905431E-2</v>
      </c>
      <c r="L103" s="55">
        <f t="shared" si="36"/>
        <v>0.1380843445589543</v>
      </c>
      <c r="M103" s="55">
        <f t="shared" si="42"/>
        <v>0.86191565544104565</v>
      </c>
      <c r="N103" s="55">
        <f t="shared" si="37"/>
        <v>1.0138306961296348E-8</v>
      </c>
      <c r="O103" s="56">
        <f t="shared" si="43"/>
        <v>5.4491251944655121E-8</v>
      </c>
      <c r="P103" s="56">
        <f t="shared" si="38"/>
        <v>1.4200556163115584E-4</v>
      </c>
      <c r="Q103" s="56">
        <f t="shared" si="39"/>
        <v>1.0426207102813708E-9</v>
      </c>
      <c r="R103" s="9">
        <f t="shared" si="44"/>
        <v>1.4999999999999999E-4</v>
      </c>
      <c r="S103" s="9">
        <f t="shared" si="45"/>
        <v>2.0712651683843144E-5</v>
      </c>
      <c r="T103" s="9">
        <f t="shared" si="40"/>
        <v>8.161509951735814E-6</v>
      </c>
      <c r="U103" s="9">
        <f t="shared" si="41"/>
        <v>1.2928734831615683E-4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4.1077703317847014</v>
      </c>
      <c r="K104" s="55">
        <f t="shared" si="35"/>
        <v>1.1650462998536266E-2</v>
      </c>
      <c r="L104" s="55">
        <f t="shared" si="36"/>
        <v>0.14541196265697426</v>
      </c>
      <c r="M104" s="55">
        <f t="shared" si="42"/>
        <v>0.85458803734302569</v>
      </c>
      <c r="N104" s="55">
        <f t="shared" si="37"/>
        <v>3.9339587745000505E-3</v>
      </c>
      <c r="O104" s="56">
        <f t="shared" si="43"/>
        <v>1.1667846727126159E-8</v>
      </c>
      <c r="P104" s="56">
        <f t="shared" si="38"/>
        <v>1.495412640074936E-4</v>
      </c>
      <c r="Q104" s="56">
        <f t="shared" si="39"/>
        <v>4.0456724257266057E-4</v>
      </c>
      <c r="R104" s="9">
        <f t="shared" si="44"/>
        <v>1.4999999999999999E-4</v>
      </c>
      <c r="S104" s="9">
        <f t="shared" si="45"/>
        <v>2.1811794398546136E-5</v>
      </c>
      <c r="T104" s="9">
        <f t="shared" si="40"/>
        <v>1.7475694497804397E-6</v>
      </c>
      <c r="U104" s="9">
        <f t="shared" si="41"/>
        <v>1.2818820560145383E-4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3.7503626918737711</v>
      </c>
      <c r="K105" s="55">
        <f t="shared" si="35"/>
        <v>2.697776158717869E-2</v>
      </c>
      <c r="L105" s="55">
        <f t="shared" si="36"/>
        <v>0.14786153953255726</v>
      </c>
      <c r="M105" s="55">
        <f t="shared" si="42"/>
        <v>0.85213846046744268</v>
      </c>
      <c r="N105" s="55">
        <f t="shared" si="37"/>
        <v>2.0393535906205965E-2</v>
      </c>
      <c r="O105" s="56">
        <f t="shared" si="43"/>
        <v>2.701801527370198E-8</v>
      </c>
      <c r="P105" s="56">
        <f t="shared" si="38"/>
        <v>1.5206040215517356E-4</v>
      </c>
      <c r="Q105" s="56">
        <f t="shared" si="39"/>
        <v>2.0972656453241102E-3</v>
      </c>
      <c r="R105" s="9">
        <f t="shared" si="44"/>
        <v>1.4999999999999999E-4</v>
      </c>
      <c r="S105" s="9">
        <f t="shared" si="45"/>
        <v>2.2179230929883586E-5</v>
      </c>
      <c r="T105" s="9">
        <f t="shared" si="40"/>
        <v>4.0466642380768028E-6</v>
      </c>
      <c r="U105" s="9">
        <f t="shared" si="41"/>
        <v>1.2782076907011638E-4</v>
      </c>
      <c r="V105" s="100">
        <f t="shared" si="46"/>
        <v>3.165889446226846E-2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2.8612615448319914</v>
      </c>
      <c r="K106" s="55">
        <f t="shared" si="35"/>
        <v>0.17164379600888205</v>
      </c>
      <c r="L106" s="55">
        <f t="shared" si="36"/>
        <v>0.12144405925638431</v>
      </c>
      <c r="M106" s="55">
        <f t="shared" si="42"/>
        <v>0.87855594074361565</v>
      </c>
      <c r="N106" s="55">
        <f t="shared" si="37"/>
        <v>1.3586723279135052E-3</v>
      </c>
      <c r="O106" s="56">
        <f t="shared" si="43"/>
        <v>1.7189990678871388E-7</v>
      </c>
      <c r="P106" s="56">
        <f t="shared" si="38"/>
        <v>1.2489273781581561E-4</v>
      </c>
      <c r="Q106" s="56">
        <f t="shared" si="39"/>
        <v>1.3972548996363091E-4</v>
      </c>
      <c r="R106" s="9">
        <f t="shared" si="44"/>
        <v>1.4999999999999999E-4</v>
      </c>
      <c r="S106" s="9">
        <f t="shared" si="45"/>
        <v>1.8216608888457645E-5</v>
      </c>
      <c r="T106" s="9">
        <f t="shared" si="40"/>
        <v>2.5746569401332305E-5</v>
      </c>
      <c r="U106" s="9">
        <f t="shared" si="41"/>
        <v>1.3178339111154233E-4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3.5526703729990983</v>
      </c>
      <c r="K108" s="55">
        <f t="shared" si="35"/>
        <v>4.072676522243901E-2</v>
      </c>
      <c r="L108" s="55">
        <f t="shared" si="36"/>
        <v>0.14159141098161312</v>
      </c>
      <c r="M108" s="55">
        <f t="shared" si="42"/>
        <v>0.8584085890183869</v>
      </c>
      <c r="N108" s="55">
        <f t="shared" si="37"/>
        <v>5.3501571237313311E-3</v>
      </c>
      <c r="O108" s="56">
        <f t="shared" si="43"/>
        <v>4.0787533883140315E-8</v>
      </c>
      <c r="P108" s="56">
        <f t="shared" si="38"/>
        <v>1.4561221913181704E-4</v>
      </c>
      <c r="Q108" s="56">
        <f t="shared" si="39"/>
        <v>5.5020869280805783E-4</v>
      </c>
      <c r="R108" s="9">
        <f t="shared" si="44"/>
        <v>1.4999999999999999E-4</v>
      </c>
      <c r="S108" s="9">
        <f t="shared" si="45"/>
        <v>2.1238711647241969E-5</v>
      </c>
      <c r="T108" s="9">
        <f t="shared" si="40"/>
        <v>6.1090147833658507E-6</v>
      </c>
      <c r="U108" s="9">
        <f t="shared" si="41"/>
        <v>1.2876128835275804E-4</v>
      </c>
      <c r="V108" s="100">
        <f t="shared" si="46"/>
        <v>4.7444498742738761E-2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3.7856475581586708</v>
      </c>
      <c r="K109" s="55">
        <f t="shared" si="35"/>
        <v>2.4713228246425138E-2</v>
      </c>
      <c r="L109" s="55">
        <f t="shared" si="36"/>
        <v>0.14691416055181214</v>
      </c>
      <c r="M109" s="55">
        <f t="shared" si="42"/>
        <v>0.85308583944818783</v>
      </c>
      <c r="N109" s="55">
        <f t="shared" si="37"/>
        <v>1.5900694728557974E-2</v>
      </c>
      <c r="O109" s="56">
        <f t="shared" si="43"/>
        <v>2.4750103008610113E-8</v>
      </c>
      <c r="P109" s="56">
        <f t="shared" si="38"/>
        <v>1.5108612020693415E-4</v>
      </c>
      <c r="Q109" s="56">
        <f t="shared" si="39"/>
        <v>1.6352230895301815E-3</v>
      </c>
      <c r="R109" s="9">
        <f t="shared" si="44"/>
        <v>1.4999999999999999E-4</v>
      </c>
      <c r="S109" s="9">
        <f t="shared" si="45"/>
        <v>2.2037124082771817E-5</v>
      </c>
      <c r="T109" s="9">
        <f t="shared" si="40"/>
        <v>3.7069842369637704E-6</v>
      </c>
      <c r="U109" s="9">
        <f t="shared" si="41"/>
        <v>1.2796287591722817E-4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2.1196587435524776</v>
      </c>
      <c r="K110" s="55">
        <f t="shared" si="35"/>
        <v>0.53388906987817797</v>
      </c>
      <c r="L110" s="55">
        <f t="shared" si="36"/>
        <v>6.8485147096338947E-2</v>
      </c>
      <c r="M110" s="55">
        <f t="shared" si="42"/>
        <v>0.93151485290366109</v>
      </c>
      <c r="N110" s="55">
        <f t="shared" si="37"/>
        <v>1.3059833776663424E-4</v>
      </c>
      <c r="O110" s="56">
        <f t="shared" si="43"/>
        <v>5.3468568909314282E-7</v>
      </c>
      <c r="P110" s="56">
        <f t="shared" si="38"/>
        <v>7.0429937643334963E-5</v>
      </c>
      <c r="Q110" s="56">
        <f t="shared" si="39"/>
        <v>1.3430697275554153E-5</v>
      </c>
      <c r="R110" s="9">
        <f t="shared" si="44"/>
        <v>1.4999999999999999E-4</v>
      </c>
      <c r="S110" s="9">
        <f t="shared" si="45"/>
        <v>1.0272772064450841E-5</v>
      </c>
      <c r="T110" s="9">
        <f t="shared" si="40"/>
        <v>8.0083360481726689E-5</v>
      </c>
      <c r="U110" s="9">
        <f t="shared" si="41"/>
        <v>1.3972722793554915E-4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1.9788605845819818</v>
      </c>
      <c r="K111" s="55">
        <f t="shared" si="35"/>
        <v>0.64042509690080707</v>
      </c>
      <c r="L111" s="55">
        <f t="shared" si="36"/>
        <v>5.9403980492344431E-2</v>
      </c>
      <c r="M111" s="55">
        <f t="shared" si="42"/>
        <v>0.94059601950765559</v>
      </c>
      <c r="N111" s="55">
        <f t="shared" si="37"/>
        <v>2.2630303306308903E-2</v>
      </c>
      <c r="O111" s="56">
        <f t="shared" si="43"/>
        <v>6.4138067918694262E-7</v>
      </c>
      <c r="P111" s="56">
        <f t="shared" si="38"/>
        <v>6.1090890787695546E-5</v>
      </c>
      <c r="Q111" s="56">
        <f t="shared" si="39"/>
        <v>2.3272941919377098E-3</v>
      </c>
      <c r="R111" s="9">
        <f t="shared" si="44"/>
        <v>1.4999999999999999E-4</v>
      </c>
      <c r="S111" s="9">
        <f t="shared" si="45"/>
        <v>8.9105970738516634E-6</v>
      </c>
      <c r="T111" s="9">
        <f t="shared" si="40"/>
        <v>9.6063764535121048E-5</v>
      </c>
      <c r="U111" s="9">
        <f t="shared" si="41"/>
        <v>1.4108940292614831E-4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4.8822108795245622</v>
      </c>
      <c r="K112" s="55">
        <f t="shared" si="35"/>
        <v>2.4566361730302549E-3</v>
      </c>
      <c r="L112" s="55">
        <f t="shared" si="36"/>
        <v>0.18240567311023309</v>
      </c>
      <c r="M112" s="55">
        <f t="shared" si="42"/>
        <v>0.81759432688976696</v>
      </c>
      <c r="N112" s="55">
        <f t="shared" si="37"/>
        <v>0.1294626409055448</v>
      </c>
      <c r="O112" s="56">
        <f t="shared" si="43"/>
        <v>2.4603017352041732E-9</v>
      </c>
      <c r="P112" s="56">
        <f t="shared" si="38"/>
        <v>1.8758549448499347E-4</v>
      </c>
      <c r="Q112" s="56">
        <f t="shared" si="39"/>
        <v>1.3313902521509539E-2</v>
      </c>
      <c r="R112" s="9">
        <f t="shared" si="44"/>
        <v>1.4999999999999999E-4</v>
      </c>
      <c r="S112" s="9">
        <f t="shared" si="45"/>
        <v>2.7360850966534962E-5</v>
      </c>
      <c r="T112" s="9">
        <f t="shared" si="40"/>
        <v>3.6849542595453823E-7</v>
      </c>
      <c r="U112" s="9">
        <f t="shared" si="41"/>
        <v>1.2263914903346503E-4</v>
      </c>
      <c r="V112" s="100">
        <f t="shared" si="46"/>
        <v>3.0047128413618184E-3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5.2380464528641673</v>
      </c>
      <c r="K113" s="55">
        <f t="shared" si="35"/>
        <v>1.1045245413916385E-3</v>
      </c>
      <c r="L113" s="55">
        <f t="shared" si="36"/>
        <v>0.18608374693208904</v>
      </c>
      <c r="M113" s="55">
        <f t="shared" si="42"/>
        <v>0.81391625306791093</v>
      </c>
      <c r="N113" s="55">
        <f t="shared" si="37"/>
        <v>0.14171929703274769</v>
      </c>
      <c r="O113" s="56">
        <f t="shared" si="43"/>
        <v>1.1061726093569063E-9</v>
      </c>
      <c r="P113" s="56">
        <f t="shared" si="38"/>
        <v>1.9136801552647578E-4</v>
      </c>
      <c r="Q113" s="56">
        <f t="shared" si="39"/>
        <v>1.4574373679643104E-2</v>
      </c>
      <c r="R113" s="9">
        <f t="shared" si="44"/>
        <v>1.4999999999999999E-4</v>
      </c>
      <c r="S113" s="9">
        <f t="shared" si="45"/>
        <v>2.7912562039813354E-5</v>
      </c>
      <c r="T113" s="9">
        <f t="shared" si="40"/>
        <v>1.6567868120874576E-7</v>
      </c>
      <c r="U113" s="9">
        <f t="shared" si="41"/>
        <v>1.2208743796018664E-4</v>
      </c>
      <c r="V113" s="100">
        <f t="shared" si="46"/>
        <v>1.3570493736036501E-3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5.6480480937018527</v>
      </c>
      <c r="K114" s="55">
        <f t="shared" si="35"/>
        <v>4.372789123642887E-4</v>
      </c>
      <c r="L114" s="55">
        <f t="shared" si="36"/>
        <v>0.18936218117904871</v>
      </c>
      <c r="M114" s="55">
        <f t="shared" si="42"/>
        <v>0.81063781882095132</v>
      </c>
      <c r="N114" s="55">
        <f t="shared" si="37"/>
        <v>0.15291924801415302</v>
      </c>
      <c r="O114" s="56">
        <f t="shared" si="43"/>
        <v>4.379313789599578E-10</v>
      </c>
      <c r="P114" s="56">
        <f t="shared" si="38"/>
        <v>1.9473954832403752E-4</v>
      </c>
      <c r="Q114" s="56">
        <f t="shared" si="39"/>
        <v>1.5726173570091109E-2</v>
      </c>
      <c r="R114" s="9">
        <f t="shared" si="44"/>
        <v>1.4999999999999999E-4</v>
      </c>
      <c r="S114" s="9">
        <f t="shared" si="45"/>
        <v>2.8404327176857304E-5</v>
      </c>
      <c r="T114" s="9">
        <f t="shared" si="40"/>
        <v>6.5591836854643297E-8</v>
      </c>
      <c r="U114" s="9">
        <f t="shared" si="41"/>
        <v>1.2159567282314269E-4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4.2440764192613614</v>
      </c>
      <c r="K115" s="55">
        <f t="shared" si="35"/>
        <v>1.0878318509790682E-2</v>
      </c>
      <c r="L115" s="55">
        <f t="shared" si="36"/>
        <v>0.18583384352873222</v>
      </c>
      <c r="M115" s="55">
        <f t="shared" si="42"/>
        <v>0.81416615647126778</v>
      </c>
      <c r="N115" s="55">
        <f t="shared" si="37"/>
        <v>0.14583656359124531</v>
      </c>
      <c r="O115" s="56">
        <f t="shared" si="43"/>
        <v>1.0894550116767361E-8</v>
      </c>
      <c r="P115" s="56">
        <f t="shared" si="38"/>
        <v>1.9111101555113023E-4</v>
      </c>
      <c r="Q115" s="56">
        <f t="shared" si="39"/>
        <v>1.4997792244500764E-2</v>
      </c>
      <c r="R115" s="9">
        <f t="shared" si="44"/>
        <v>1.4999999999999999E-4</v>
      </c>
      <c r="S115" s="9">
        <f t="shared" si="45"/>
        <v>2.7875076529309829E-5</v>
      </c>
      <c r="T115" s="9">
        <f t="shared" si="40"/>
        <v>1.631747776468602E-6</v>
      </c>
      <c r="U115" s="9">
        <f t="shared" si="41"/>
        <v>1.2212492347069015E-4</v>
      </c>
      <c r="V115" s="100">
        <f t="shared" si="46"/>
        <v>1.3361300298871587E-2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-1.2542941534441151E-2</v>
      </c>
      <c r="K116" s="55">
        <f t="shared" si="35"/>
        <v>0.99868480710687291</v>
      </c>
      <c r="L116" s="55">
        <f t="shared" si="36"/>
        <v>9.4487013246286424E-4</v>
      </c>
      <c r="M116" s="55">
        <f t="shared" si="42"/>
        <v>0.99905512986753708</v>
      </c>
      <c r="N116" s="55">
        <f t="shared" si="37"/>
        <v>2.1696221606489749E-6</v>
      </c>
      <c r="O116" s="56">
        <f t="shared" si="43"/>
        <v>1.0001749509437122E-6</v>
      </c>
      <c r="P116" s="56">
        <f t="shared" si="38"/>
        <v>9.717018555395151E-7</v>
      </c>
      <c r="Q116" s="56">
        <f t="shared" si="39"/>
        <v>2.2312334858411024E-7</v>
      </c>
      <c r="R116" s="9">
        <f t="shared" si="44"/>
        <v>1.4999999999999999E-4</v>
      </c>
      <c r="S116" s="9">
        <f t="shared" si="45"/>
        <v>1.4173051986942963E-7</v>
      </c>
      <c r="T116" s="9">
        <f t="shared" si="40"/>
        <v>1.4980272106603093E-4</v>
      </c>
      <c r="U116" s="9">
        <f t="shared" si="41"/>
        <v>1.4985826948013054E-4</v>
      </c>
      <c r="V116" s="100">
        <f t="shared" si="46"/>
        <v>0.99962932700149065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0.88901420040828383</v>
      </c>
      <c r="K117" s="55">
        <f t="shared" si="35"/>
        <v>0.95764385832387278</v>
      </c>
      <c r="L117" s="55">
        <f t="shared" si="36"/>
        <v>7.2227876652628106E-3</v>
      </c>
      <c r="M117" s="55">
        <f t="shared" si="42"/>
        <v>0.99277721233473715</v>
      </c>
      <c r="N117" s="55">
        <f t="shared" si="37"/>
        <v>1.1195400830439374E-3</v>
      </c>
      <c r="O117" s="56">
        <f t="shared" si="43"/>
        <v>9.5907276470475846E-7</v>
      </c>
      <c r="P117" s="56">
        <f t="shared" si="38"/>
        <v>7.4278950464969183E-6</v>
      </c>
      <c r="Q117" s="56">
        <f t="shared" si="39"/>
        <v>1.1513319541692811E-4</v>
      </c>
      <c r="R117" s="9">
        <f t="shared" si="44"/>
        <v>1.4999999999999999E-4</v>
      </c>
      <c r="S117" s="9">
        <f t="shared" si="45"/>
        <v>1.0834181497894215E-6</v>
      </c>
      <c r="T117" s="9">
        <f t="shared" si="40"/>
        <v>1.4364657874858089E-4</v>
      </c>
      <c r="U117" s="9">
        <f t="shared" si="41"/>
        <v>1.4891658185021056E-4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1.990575292064233</v>
      </c>
      <c r="K118" s="55">
        <f t="shared" si="35"/>
        <v>0.63431398579485465</v>
      </c>
      <c r="L118" s="55">
        <f t="shared" si="36"/>
        <v>6.0445809590667698E-2</v>
      </c>
      <c r="M118" s="55">
        <f t="shared" si="42"/>
        <v>0.9395541904093323</v>
      </c>
      <c r="N118" s="55">
        <f t="shared" si="37"/>
        <v>2.3173460353868365E-2</v>
      </c>
      <c r="O118" s="56">
        <f t="shared" si="43"/>
        <v>6.352604496539489E-7</v>
      </c>
      <c r="P118" s="56">
        <f t="shared" si="38"/>
        <v>6.2162304978084879E-5</v>
      </c>
      <c r="Q118" s="56">
        <f t="shared" si="39"/>
        <v>2.383152313898575E-3</v>
      </c>
      <c r="R118" s="9">
        <f t="shared" si="44"/>
        <v>1.4999999999999999E-4</v>
      </c>
      <c r="S118" s="9">
        <f t="shared" si="45"/>
        <v>9.0668714386001537E-6</v>
      </c>
      <c r="T118" s="9">
        <f t="shared" si="40"/>
        <v>9.5147097869228186E-5</v>
      </c>
      <c r="U118" s="9">
        <f t="shared" si="41"/>
        <v>1.4093312856139982E-4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-3.8836634294089491E-2</v>
      </c>
      <c r="K119" s="55">
        <f t="shared" si="35"/>
        <v>0.99906070800754732</v>
      </c>
      <c r="L119" s="55">
        <f t="shared" si="36"/>
        <v>8.896964634144799E-4</v>
      </c>
      <c r="M119" s="55">
        <f t="shared" si="42"/>
        <v>0.99911030353658548</v>
      </c>
      <c r="N119" s="55">
        <f t="shared" si="37"/>
        <v>1.2657681798953539E-7</v>
      </c>
      <c r="O119" s="56">
        <f t="shared" si="43"/>
        <v>1.000551412728468E-6</v>
      </c>
      <c r="P119" s="56">
        <f t="shared" si="38"/>
        <v>9.1496140545089385E-7</v>
      </c>
      <c r="Q119" s="56">
        <f t="shared" si="39"/>
        <v>1.3017125283463548E-8</v>
      </c>
      <c r="R119" s="9">
        <f t="shared" si="44"/>
        <v>1.4999999999999999E-4</v>
      </c>
      <c r="S119" s="9">
        <f t="shared" si="45"/>
        <v>1.3345446951217198E-7</v>
      </c>
      <c r="T119" s="9">
        <f t="shared" si="40"/>
        <v>1.4985910620113208E-4</v>
      </c>
      <c r="U119" s="9">
        <f t="shared" si="41"/>
        <v>1.498665455304878E-4</v>
      </c>
      <c r="V119" s="100">
        <f t="shared" si="46"/>
        <v>0.99995036030670226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-4.3015629916826628E-2</v>
      </c>
      <c r="K120" s="55">
        <f t="shared" si="35"/>
        <v>0.99911877233604185</v>
      </c>
      <c r="L120" s="55">
        <f t="shared" si="36"/>
        <v>8.8122763617730902E-4</v>
      </c>
      <c r="M120" s="55">
        <f t="shared" si="42"/>
        <v>0.99911877236382274</v>
      </c>
      <c r="N120" s="55">
        <f t="shared" si="37"/>
        <v>1.6415485751617828E-16</v>
      </c>
      <c r="O120" s="56">
        <f t="shared" si="43"/>
        <v>1.0006095636951096E-6</v>
      </c>
      <c r="P120" s="56">
        <f t="shared" si="38"/>
        <v>9.0625208672245362E-7</v>
      </c>
      <c r="Q120" s="56">
        <f t="shared" si="39"/>
        <v>1.6881640573030207E-17</v>
      </c>
      <c r="R120" s="9">
        <f t="shared" si="44"/>
        <v>1.4999999999999999E-4</v>
      </c>
      <c r="S120" s="9">
        <f t="shared" si="45"/>
        <v>1.3218414542659635E-7</v>
      </c>
      <c r="T120" s="9">
        <f t="shared" si="40"/>
        <v>1.4986781585040626E-4</v>
      </c>
      <c r="U120" s="9">
        <f t="shared" si="41"/>
        <v>1.4986781585457339E-4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0.21377788981387841</v>
      </c>
      <c r="K121" s="55">
        <f t="shared" si="35"/>
        <v>0.99439775202246916</v>
      </c>
      <c r="L121" s="55">
        <f t="shared" si="36"/>
        <v>1.5842533831232435E-3</v>
      </c>
      <c r="M121" s="55">
        <f t="shared" si="42"/>
        <v>0.99841574661687671</v>
      </c>
      <c r="N121" s="55">
        <f t="shared" si="37"/>
        <v>6.1171054543060553E-5</v>
      </c>
      <c r="O121" s="56">
        <f t="shared" si="43"/>
        <v>9.9588149911764714E-7</v>
      </c>
      <c r="P121" s="56">
        <f t="shared" si="38"/>
        <v>1.6292418387837159E-6</v>
      </c>
      <c r="Q121" s="56">
        <f t="shared" si="39"/>
        <v>6.2908144900153201E-6</v>
      </c>
      <c r="R121" s="9">
        <f t="shared" si="44"/>
        <v>1.4999999999999999E-4</v>
      </c>
      <c r="S121" s="9">
        <f t="shared" si="45"/>
        <v>2.3763800746848651E-7</v>
      </c>
      <c r="T121" s="9">
        <f t="shared" si="40"/>
        <v>1.4915966280337037E-4</v>
      </c>
      <c r="U121" s="9">
        <f t="shared" si="41"/>
        <v>1.497623619925315E-4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4.8757664317973175</v>
      </c>
      <c r="K122" s="55">
        <f t="shared" si="35"/>
        <v>2.6258293957211738E-3</v>
      </c>
      <c r="L122" s="55">
        <f t="shared" si="36"/>
        <v>0.19209654650612062</v>
      </c>
      <c r="M122" s="55">
        <f t="shared" si="42"/>
        <v>0.80790345349387938</v>
      </c>
      <c r="N122" s="55">
        <f t="shared" si="37"/>
        <v>0.1636639799145308</v>
      </c>
      <c r="O122" s="56">
        <f t="shared" si="43"/>
        <v>2.629747412159174E-9</v>
      </c>
      <c r="P122" s="56">
        <f t="shared" si="38"/>
        <v>1.9755156213498634E-4</v>
      </c>
      <c r="Q122" s="56">
        <f t="shared" si="39"/>
        <v>1.6831158854963793E-2</v>
      </c>
      <c r="R122" s="9">
        <f t="shared" si="44"/>
        <v>1.4999999999999999E-4</v>
      </c>
      <c r="S122" s="9">
        <f t="shared" si="45"/>
        <v>2.8814481975918092E-5</v>
      </c>
      <c r="T122" s="9">
        <f t="shared" si="40"/>
        <v>3.9387440935817606E-7</v>
      </c>
      <c r="U122" s="9">
        <f t="shared" si="41"/>
        <v>1.211855180240819E-4</v>
      </c>
      <c r="V122" s="100">
        <f t="shared" si="46"/>
        <v>3.2501772140785469E-3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0.74385538428887032</v>
      </c>
      <c r="K123" s="55">
        <f t="shared" ref="K123:K127" si="49">IF(D123=0,"",1/(1+10^D123*$J$15/$J$14+10^E123*$J$16/$J$14+10^J123*$J$19/$J$14))</f>
        <v>0.97081962015616485</v>
      </c>
      <c r="L123" s="55">
        <f t="shared" ref="L123:L127" si="50">IF(D123=0,"",1/(1+10^I123/10^J123*$J$13/$J$19))</f>
        <v>5.2418012328372945E-3</v>
      </c>
      <c r="M123" s="55">
        <f t="shared" si="42"/>
        <v>0.99475819876716276</v>
      </c>
      <c r="N123" s="55">
        <f t="shared" ref="N123:N127" si="51">IF(D123=0,"",1/(1/10^E123*$J$20/$J$22+10^D123/10^E123*$J$21/$J$22+10^I123/10^E123*$J$13/$J$22+1))</f>
        <v>8.821738182480277E-4</v>
      </c>
      <c r="O123" s="56">
        <f t="shared" si="43"/>
        <v>9.7226818617355472E-7</v>
      </c>
      <c r="P123" s="56">
        <f t="shared" ref="P123:P127" si="52">IF(D123=0,"",O123*10^J123)</f>
        <v>5.3906540267506065E-6</v>
      </c>
      <c r="Q123" s="56">
        <f t="shared" ref="Q123:Q127" si="53">IF(D123=0,"",F123*N123*$J$7/$J$22)</f>
        <v>9.0722513777170103E-5</v>
      </c>
      <c r="R123" s="9">
        <f t="shared" si="44"/>
        <v>1.4999999999999999E-4</v>
      </c>
      <c r="S123" s="9">
        <f t="shared" si="45"/>
        <v>7.8627018492559413E-7</v>
      </c>
      <c r="T123" s="9">
        <f t="shared" si="40"/>
        <v>1.4562294302342471E-4</v>
      </c>
      <c r="U123" s="9">
        <f t="shared" si="41"/>
        <v>1.492137298150744E-4</v>
      </c>
      <c r="V123" s="100">
        <f t="shared" si="46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0.98473247557463439</v>
      </c>
      <c r="K124" s="55">
        <f t="shared" si="49"/>
        <v>0.94497170764222083</v>
      </c>
      <c r="L124" s="55">
        <f t="shared" si="50"/>
        <v>8.8846004338271108E-3</v>
      </c>
      <c r="M124" s="55">
        <f t="shared" si="42"/>
        <v>0.99111539956617289</v>
      </c>
      <c r="N124" s="55">
        <f t="shared" si="51"/>
        <v>4.9079646443606203E-4</v>
      </c>
      <c r="O124" s="56">
        <f t="shared" si="43"/>
        <v>9.4638170582794471E-7</v>
      </c>
      <c r="P124" s="56">
        <f t="shared" si="52"/>
        <v>9.1368987447767498E-6</v>
      </c>
      <c r="Q124" s="56">
        <f t="shared" si="53"/>
        <v>5.0473373937819839E-5</v>
      </c>
      <c r="R124" s="9">
        <f t="shared" si="44"/>
        <v>1.4999999999999999E-4</v>
      </c>
      <c r="S124" s="9">
        <f t="shared" si="45"/>
        <v>1.3326900650740665E-6</v>
      </c>
      <c r="T124" s="9">
        <f t="shared" si="40"/>
        <v>1.4174575614633311E-4</v>
      </c>
      <c r="U124" s="9">
        <f t="shared" si="41"/>
        <v>1.4866730993492593E-4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9.2579382109452407E-2</v>
      </c>
      <c r="K125" s="55">
        <f t="shared" si="49"/>
        <v>0.99693928087944828</v>
      </c>
      <c r="L125" s="55">
        <f t="shared" si="50"/>
        <v>1.2015302518547106E-3</v>
      </c>
      <c r="M125" s="55">
        <f t="shared" si="42"/>
        <v>0.99879846974814523</v>
      </c>
      <c r="N125" s="55">
        <f t="shared" si="51"/>
        <v>1.3264483008063472E-5</v>
      </c>
      <c r="O125" s="56">
        <f t="shared" si="43"/>
        <v>9.9842682020570378E-7</v>
      </c>
      <c r="P125" s="56">
        <f t="shared" si="52"/>
        <v>1.2356504191436804E-6</v>
      </c>
      <c r="Q125" s="56">
        <f t="shared" si="53"/>
        <v>1.3641157984443138E-6</v>
      </c>
      <c r="R125" s="9">
        <f t="shared" si="44"/>
        <v>1.4999999999999999E-4</v>
      </c>
      <c r="S125" s="9">
        <f t="shared" si="45"/>
        <v>1.8022953777820658E-7</v>
      </c>
      <c r="T125" s="9">
        <f t="shared" si="40"/>
        <v>1.4954089213191723E-4</v>
      </c>
      <c r="U125" s="9">
        <f t="shared" si="41"/>
        <v>1.4981977046222178E-4</v>
      </c>
      <c r="V125" s="100">
        <f t="shared" si="46"/>
        <v>0.99813857457234012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3.8231338433655377</v>
      </c>
      <c r="K126" s="55">
        <f t="shared" si="49"/>
        <v>2.7616446713248182E-2</v>
      </c>
      <c r="L126" s="55">
        <f t="shared" si="50"/>
        <v>0.17897330662997127</v>
      </c>
      <c r="M126" s="55">
        <f t="shared" si="42"/>
        <v>0.82102669337002876</v>
      </c>
      <c r="N126" s="55">
        <f t="shared" si="51"/>
        <v>0.13024300300735397</v>
      </c>
      <c r="O126" s="56">
        <f t="shared" si="43"/>
        <v>2.765765338583627E-8</v>
      </c>
      <c r="P126" s="56">
        <f t="shared" si="52"/>
        <v>1.840556582004361E-4</v>
      </c>
      <c r="Q126" s="56">
        <f t="shared" si="53"/>
        <v>1.3394154746261759E-2</v>
      </c>
      <c r="R126" s="9">
        <f t="shared" si="44"/>
        <v>1.4999999999999999E-4</v>
      </c>
      <c r="S126" s="9">
        <f t="shared" si="45"/>
        <v>2.6845995994495688E-5</v>
      </c>
      <c r="T126" s="9">
        <f t="shared" si="40"/>
        <v>4.1424670069872267E-6</v>
      </c>
      <c r="U126" s="9">
        <f t="shared" si="41"/>
        <v>1.2315400400550431E-4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1.8362315957154518</v>
      </c>
      <c r="K127" s="55">
        <f t="shared" si="49"/>
        <v>0.71090489716986993</v>
      </c>
      <c r="L127" s="55">
        <f t="shared" si="50"/>
        <v>4.7482078448201556E-2</v>
      </c>
      <c r="M127" s="55">
        <f t="shared" si="42"/>
        <v>0.95251792155179849</v>
      </c>
      <c r="N127" s="55">
        <f t="shared" si="51"/>
        <v>1.6695449183038259E-2</v>
      </c>
      <c r="O127" s="56">
        <f t="shared" si="43"/>
        <v>7.1196564280608865E-7</v>
      </c>
      <c r="P127" s="56">
        <f t="shared" si="52"/>
        <v>4.8830439388244307E-5</v>
      </c>
      <c r="Q127" s="56">
        <f t="shared" si="53"/>
        <v>1.7169554198879877E-3</v>
      </c>
      <c r="R127" s="9">
        <f t="shared" si="44"/>
        <v>1.4999999999999999E-4</v>
      </c>
      <c r="S127" s="9">
        <f t="shared" si="45"/>
        <v>7.1223117672302324E-6</v>
      </c>
      <c r="T127" s="9">
        <f t="shared" si="40"/>
        <v>1.0663573457548048E-4</v>
      </c>
      <c r="U127" s="9">
        <f t="shared" si="41"/>
        <v>1.4287768823276976E-4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2.733342553277482</v>
      </c>
      <c r="K128" s="55">
        <f t="shared" ref="K128:K134" si="56">IF(D128=0,"",1/(1+10^D128*$J$15/$J$14+10^E128*$J$16/$J$14+10^J128*$J$19/$J$14))</f>
        <v>0.2372375034607255</v>
      </c>
      <c r="L128" s="55">
        <f t="shared" ref="L128:L134" si="57">IF(D128=0,"",1/(1+10^I128/10^J128*$J$13/$J$19))</f>
        <v>0.12502950678325828</v>
      </c>
      <c r="M128" s="55">
        <f t="shared" ref="M128:M134" si="58">IF(D128=0,"",1-L128)</f>
        <v>0.8749704932167417</v>
      </c>
      <c r="N128" s="55">
        <f t="shared" ref="N128:N134" si="59">IF(D128=0,"",1/(1/10^E128*$J$20/$J$22+10^D128/10^E128*$J$21/$J$22+10^I128/10^E128*$J$13/$J$22+1))</f>
        <v>4.7516338190534434E-2</v>
      </c>
      <c r="O128" s="56">
        <f t="shared" ref="O128:O134" si="60">IF(D128=0,"",F128*K128*$J$7/$J$14)</f>
        <v>2.3759148702103746E-7</v>
      </c>
      <c r="P128" s="56">
        <f t="shared" ref="P128:P134" si="61">IF(D128=0,"",O128*10^J128)</f>
        <v>1.2858000222930885E-4</v>
      </c>
      <c r="Q128" s="56">
        <f t="shared" ref="Q128:Q134" si="62">IF(D128=0,"",F128*N128*$J$7/$J$22)</f>
        <v>4.8865672013397136E-3</v>
      </c>
      <c r="R128" s="9">
        <f t="shared" si="44"/>
        <v>1.4999999999999999E-4</v>
      </c>
      <c r="S128" s="9">
        <f t="shared" si="45"/>
        <v>1.8754426017488739E-5</v>
      </c>
      <c r="T128" s="9">
        <f t="shared" si="40"/>
        <v>3.5585625519108819E-5</v>
      </c>
      <c r="U128" s="9">
        <f t="shared" si="41"/>
        <v>1.3124557398251125E-4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-4.0788248152069252E-2</v>
      </c>
      <c r="K129" s="55">
        <f t="shared" si="56"/>
        <v>0.99908786291836504</v>
      </c>
      <c r="L129" s="55">
        <f t="shared" si="57"/>
        <v>8.8573142739977644E-4</v>
      </c>
      <c r="M129" s="55">
        <f t="shared" si="58"/>
        <v>0.99911426857260022</v>
      </c>
      <c r="N129" s="55">
        <f t="shared" si="59"/>
        <v>5.1805138671636383E-8</v>
      </c>
      <c r="O129" s="56">
        <f t="shared" si="60"/>
        <v>1.0005786081572975E-6</v>
      </c>
      <c r="P129" s="56">
        <f t="shared" si="61"/>
        <v>9.1088377327648504E-7</v>
      </c>
      <c r="Q129" s="56">
        <f t="shared" si="62"/>
        <v>5.327626267802408E-9</v>
      </c>
      <c r="R129" s="9">
        <f t="shared" si="44"/>
        <v>1.4999999999999999E-4</v>
      </c>
      <c r="S129" s="9">
        <f t="shared" si="45"/>
        <v>1.3285971410996646E-7</v>
      </c>
      <c r="T129" s="9">
        <f t="shared" si="40"/>
        <v>1.4986317943775475E-4</v>
      </c>
      <c r="U129" s="9">
        <f t="shared" si="41"/>
        <v>1.4986714028589001E-4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1.22936645448138</v>
      </c>
      <c r="K130" s="55">
        <f t="shared" si="56"/>
        <v>0.9086436206455667</v>
      </c>
      <c r="L130" s="55">
        <f t="shared" si="57"/>
        <v>1.5005368177241877E-2</v>
      </c>
      <c r="M130" s="55">
        <f t="shared" si="58"/>
        <v>0.98499463182275815</v>
      </c>
      <c r="N130" s="55">
        <f t="shared" si="59"/>
        <v>3.4644749152215808E-3</v>
      </c>
      <c r="O130" s="56">
        <f t="shared" si="60"/>
        <v>9.0999941346583684E-7</v>
      </c>
      <c r="P130" s="56">
        <f t="shared" si="61"/>
        <v>1.5431479522877801E-5</v>
      </c>
      <c r="Q130" s="56">
        <f t="shared" si="62"/>
        <v>3.5628565111017768E-4</v>
      </c>
      <c r="R130" s="9">
        <f t="shared" si="44"/>
        <v>1.4999999999999999E-4</v>
      </c>
      <c r="S130" s="9">
        <f t="shared" si="45"/>
        <v>2.2508052265862813E-6</v>
      </c>
      <c r="T130" s="9">
        <f t="shared" si="40"/>
        <v>1.36296543096835E-4</v>
      </c>
      <c r="U130" s="9">
        <f t="shared" si="41"/>
        <v>1.477491947734137E-4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7.8374902987815104E-2</v>
      </c>
      <c r="K131" s="55">
        <f t="shared" si="56"/>
        <v>0.99721124243643189</v>
      </c>
      <c r="L131" s="55">
        <f t="shared" si="57"/>
        <v>1.1631847202065954E-3</v>
      </c>
      <c r="M131" s="55">
        <f t="shared" si="58"/>
        <v>0.9988368152797934</v>
      </c>
      <c r="N131" s="55">
        <f t="shared" si="59"/>
        <v>1.7321032163295494E-5</v>
      </c>
      <c r="O131" s="56">
        <f t="shared" si="60"/>
        <v>9.9869918755822497E-7</v>
      </c>
      <c r="P131" s="56">
        <f t="shared" si="61"/>
        <v>1.1962159794530101E-6</v>
      </c>
      <c r="Q131" s="56">
        <f t="shared" si="62"/>
        <v>1.7812902021850448E-6</v>
      </c>
      <c r="R131" s="9">
        <f t="shared" si="44"/>
        <v>1.4999999999999999E-4</v>
      </c>
      <c r="S131" s="9">
        <f t="shared" si="45"/>
        <v>1.7447770803098929E-7</v>
      </c>
      <c r="T131" s="9">
        <f t="shared" si="40"/>
        <v>1.4958168636546477E-4</v>
      </c>
      <c r="U131" s="9">
        <f t="shared" si="41"/>
        <v>1.49825522291969E-4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0.22522678638036808</v>
      </c>
      <c r="K132" s="55">
        <f t="shared" si="56"/>
        <v>0.99411939088697543</v>
      </c>
      <c r="L132" s="55">
        <f t="shared" si="57"/>
        <v>1.6261176023858312E-3</v>
      </c>
      <c r="M132" s="55">
        <f t="shared" si="58"/>
        <v>0.99837388239761415</v>
      </c>
      <c r="N132" s="55">
        <f t="shared" si="59"/>
        <v>6.6229478053014294E-5</v>
      </c>
      <c r="O132" s="56">
        <f t="shared" si="60"/>
        <v>9.9560272263776496E-7</v>
      </c>
      <c r="P132" s="56">
        <f t="shared" si="61"/>
        <v>1.6722948871768698E-6</v>
      </c>
      <c r="Q132" s="56">
        <f t="shared" si="62"/>
        <v>6.8110213779095089E-6</v>
      </c>
      <c r="R132" s="9">
        <f t="shared" si="44"/>
        <v>1.4999999999999999E-4</v>
      </c>
      <c r="S132" s="9">
        <f t="shared" si="45"/>
        <v>2.4391764035787464E-7</v>
      </c>
      <c r="T132" s="9">
        <f t="shared" si="40"/>
        <v>1.4911790863304629E-4</v>
      </c>
      <c r="U132" s="9">
        <f t="shared" si="41"/>
        <v>1.497560823596421E-4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2.0448179199352046</v>
      </c>
      <c r="K133" s="55">
        <f t="shared" si="56"/>
        <v>0.60549907168638784</v>
      </c>
      <c r="L133" s="55">
        <f t="shared" si="57"/>
        <v>6.5375951254975403E-2</v>
      </c>
      <c r="M133" s="55">
        <f t="shared" si="58"/>
        <v>0.93462404874502458</v>
      </c>
      <c r="N133" s="55">
        <f t="shared" si="59"/>
        <v>2.5796996617129156E-2</v>
      </c>
      <c r="O133" s="56">
        <f t="shared" si="60"/>
        <v>6.0640254063220997E-7</v>
      </c>
      <c r="P133" s="56">
        <f t="shared" si="61"/>
        <v>6.7232449158421498E-5</v>
      </c>
      <c r="Q133" s="56">
        <f t="shared" si="62"/>
        <v>2.6529560644352563E-3</v>
      </c>
      <c r="R133" s="9">
        <f t="shared" si="44"/>
        <v>1.4999999999999999E-4</v>
      </c>
      <c r="S133" s="9">
        <f t="shared" si="45"/>
        <v>9.8063926882463091E-6</v>
      </c>
      <c r="T133" s="9">
        <f t="shared" si="40"/>
        <v>9.0824860752958164E-5</v>
      </c>
      <c r="U133" s="9">
        <f t="shared" si="41"/>
        <v>1.4019360731175367E-4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-4.2311399475221889E-2</v>
      </c>
      <c r="K134" s="55">
        <f t="shared" si="56"/>
        <v>0.99910900450464801</v>
      </c>
      <c r="L134" s="55">
        <f t="shared" si="57"/>
        <v>8.8264912123774901E-4</v>
      </c>
      <c r="M134" s="55">
        <f t="shared" si="58"/>
        <v>0.9991173508787623</v>
      </c>
      <c r="N134" s="55">
        <f t="shared" si="59"/>
        <v>1.0107426043419085E-8</v>
      </c>
      <c r="O134" s="56">
        <f t="shared" si="60"/>
        <v>1.0005997812890734E-6</v>
      </c>
      <c r="P134" s="56">
        <f t="shared" si="61"/>
        <v>9.0771393806413062E-7</v>
      </c>
      <c r="Q134" s="56">
        <f t="shared" si="62"/>
        <v>1.0394449251473984E-9</v>
      </c>
      <c r="R134" s="9">
        <f t="shared" si="44"/>
        <v>1.4999999999999999E-4</v>
      </c>
      <c r="S134" s="9">
        <f t="shared" si="45"/>
        <v>1.3239736818566235E-7</v>
      </c>
      <c r="T134" s="9">
        <f t="shared" si="40"/>
        <v>1.4986635067569718E-4</v>
      </c>
      <c r="U134" s="9">
        <f t="shared" si="41"/>
        <v>1.4986760263181433E-4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0.34202356582905674</v>
      </c>
      <c r="K135" s="55">
        <f t="shared" ref="K135:K143" si="65">IF(D135=0,"",1/(1+10^D135*$J$15/$J$14+10^E135*$J$16/$J$14+10^J135*$J$19/$J$14))</f>
        <v>0.99084332092293192</v>
      </c>
      <c r="L135" s="55">
        <f t="shared" ref="L135:L143" si="66">IF(D135=0,"",1/(1+10^I135/10^J135*$J$13/$J$19))</f>
        <v>2.1208754823368839E-3</v>
      </c>
      <c r="M135" s="55">
        <f t="shared" ref="M135:M143" si="67">IF(D135=0,"",1-L135)</f>
        <v>0.99787912451766314</v>
      </c>
      <c r="N135" s="55">
        <f t="shared" ref="N135:N143" si="68">IF(D135=0,"",1/(1/10^E135*$J$20/$J$22+10^D135/10^E135*$J$21/$J$22+10^I135/10^E135*$J$13/$J$22+1))</f>
        <v>1.3298713747979016E-4</v>
      </c>
      <c r="O135" s="56">
        <f t="shared" ref="O135:O143" si="69">IF(D135=0,"",F135*K135*$J$7/$J$14)</f>
        <v>9.9232176442927098E-7</v>
      </c>
      <c r="P135" s="56">
        <f t="shared" ref="P135:P143" si="70">IF(D135=0,"",O135*10^J135)</f>
        <v>2.1811025354174913E-6</v>
      </c>
      <c r="Q135" s="56">
        <f t="shared" ref="Q135:Q143" si="71">IF(D135=0,"",F135*N135*$J$7/$J$22)</f>
        <v>1.3676360783589433E-5</v>
      </c>
      <c r="R135" s="9">
        <f t="shared" si="44"/>
        <v>1.4999999999999999E-4</v>
      </c>
      <c r="S135" s="9">
        <f t="shared" si="45"/>
        <v>3.1813132235053255E-7</v>
      </c>
      <c r="T135" s="9">
        <f t="shared" si="40"/>
        <v>1.4862649813843977E-4</v>
      </c>
      <c r="U135" s="9">
        <f t="shared" si="41"/>
        <v>1.4968186867764946E-4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-1.533861821554937E-2</v>
      </c>
      <c r="K136" s="55">
        <f t="shared" si="65"/>
        <v>0.99872573526143693</v>
      </c>
      <c r="L136" s="55">
        <f t="shared" si="66"/>
        <v>9.3884574496237E-4</v>
      </c>
      <c r="M136" s="55">
        <f t="shared" si="67"/>
        <v>0.99906115425503761</v>
      </c>
      <c r="N136" s="55">
        <f t="shared" si="68"/>
        <v>1.8870871205587683E-6</v>
      </c>
      <c r="O136" s="56">
        <f t="shared" si="69"/>
        <v>1.0002159401674313E-6</v>
      </c>
      <c r="P136" s="56">
        <f t="shared" si="70"/>
        <v>9.6550639193917796E-7</v>
      </c>
      <c r="Q136" s="56">
        <f t="shared" si="71"/>
        <v>1.9406752246809367E-7</v>
      </c>
      <c r="R136" s="9">
        <f t="shared" si="44"/>
        <v>1.4999999999999999E-4</v>
      </c>
      <c r="S136" s="9">
        <f t="shared" si="45"/>
        <v>1.408268617443555E-7</v>
      </c>
      <c r="T136" s="9">
        <f t="shared" si="40"/>
        <v>1.4980886028921552E-4</v>
      </c>
      <c r="U136" s="9">
        <f t="shared" si="41"/>
        <v>1.4985917313825562E-4</v>
      </c>
      <c r="V136" s="100">
        <f t="shared" si="46"/>
        <v>0.99966426580377776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-4.2939405086996389E-2</v>
      </c>
      <c r="K137" s="55">
        <f t="shared" si="65"/>
        <v>0.99911771454607767</v>
      </c>
      <c r="L137" s="55">
        <f t="shared" si="66"/>
        <v>8.8138138453721542E-4</v>
      </c>
      <c r="M137" s="55">
        <f t="shared" si="67"/>
        <v>0.99911861861546281</v>
      </c>
      <c r="N137" s="55">
        <f t="shared" si="68"/>
        <v>4.2978515852454013E-10</v>
      </c>
      <c r="O137" s="56">
        <f t="shared" si="69"/>
        <v>1.0006085043268104E-6</v>
      </c>
      <c r="P137" s="56">
        <f t="shared" si="70"/>
        <v>9.0641020111455312E-7</v>
      </c>
      <c r="Q137" s="56">
        <f t="shared" si="71"/>
        <v>4.4198987953305199E-11</v>
      </c>
      <c r="R137" s="9">
        <f t="shared" si="44"/>
        <v>1.4999999999999999E-4</v>
      </c>
      <c r="S137" s="9">
        <f t="shared" si="45"/>
        <v>1.3220720768058231E-7</v>
      </c>
      <c r="T137" s="9">
        <f t="shared" si="40"/>
        <v>1.4986765718191163E-4</v>
      </c>
      <c r="U137" s="9">
        <f t="shared" si="41"/>
        <v>1.498677927923194E-4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-1.8328459527113827E-2</v>
      </c>
      <c r="K138" s="55">
        <f t="shared" si="65"/>
        <v>0.99876924364696218</v>
      </c>
      <c r="L138" s="55">
        <f t="shared" si="66"/>
        <v>9.3244520534024248E-4</v>
      </c>
      <c r="M138" s="55">
        <f t="shared" si="67"/>
        <v>0.99906755479465981</v>
      </c>
      <c r="N138" s="55">
        <f t="shared" si="68"/>
        <v>1.5995645190369421E-6</v>
      </c>
      <c r="O138" s="56">
        <f t="shared" si="69"/>
        <v>1.0002595134720902E-6</v>
      </c>
      <c r="P138" s="56">
        <f t="shared" si="70"/>
        <v>9.5892409452750712E-7</v>
      </c>
      <c r="Q138" s="56">
        <f t="shared" si="71"/>
        <v>1.6449877690090459E-7</v>
      </c>
      <c r="R138" s="9">
        <f t="shared" si="44"/>
        <v>1.4999999999999999E-4</v>
      </c>
      <c r="S138" s="9">
        <f t="shared" si="45"/>
        <v>1.3986678080103637E-7</v>
      </c>
      <c r="T138" s="9">
        <f t="shared" si="40"/>
        <v>1.4981538654704432E-4</v>
      </c>
      <c r="U138" s="9">
        <f t="shared" si="41"/>
        <v>1.4986013321919897E-4</v>
      </c>
      <c r="V138" s="100">
        <f t="shared" si="46"/>
        <v>0.99970141043389305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0.27218535628460888</v>
      </c>
      <c r="K139" s="55">
        <f t="shared" si="65"/>
        <v>0.99284154221944543</v>
      </c>
      <c r="L139" s="55">
        <f t="shared" si="66"/>
        <v>1.8094722049117806E-3</v>
      </c>
      <c r="M139" s="55">
        <f t="shared" si="67"/>
        <v>0.99819052779508821</v>
      </c>
      <c r="N139" s="55">
        <f t="shared" si="68"/>
        <v>5.8373879875371752E-5</v>
      </c>
      <c r="O139" s="56">
        <f t="shared" si="69"/>
        <v>9.943229672842589E-7</v>
      </c>
      <c r="P139" s="56">
        <f t="shared" si="70"/>
        <v>1.8608562580731798E-6</v>
      </c>
      <c r="Q139" s="56">
        <f t="shared" si="71"/>
        <v>6.0031538135394292E-6</v>
      </c>
      <c r="R139" s="9">
        <f t="shared" si="44"/>
        <v>1.4999999999999999E-4</v>
      </c>
      <c r="S139" s="9">
        <f t="shared" si="45"/>
        <v>2.7142083073676707E-7</v>
      </c>
      <c r="T139" s="9">
        <f t="shared" si="40"/>
        <v>1.4892623133291679E-4</v>
      </c>
      <c r="U139" s="9">
        <f t="shared" si="41"/>
        <v>1.4972857916926321E-4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-4.2440960889578133E-2</v>
      </c>
      <c r="K140" s="55">
        <f t="shared" si="65"/>
        <v>0.99911080141627928</v>
      </c>
      <c r="L140" s="55">
        <f t="shared" si="66"/>
        <v>8.8238743015266413E-4</v>
      </c>
      <c r="M140" s="55">
        <f t="shared" si="67"/>
        <v>0.99911761256984732</v>
      </c>
      <c r="N140" s="55">
        <f t="shared" si="68"/>
        <v>7.5736085453707373E-9</v>
      </c>
      <c r="O140" s="56">
        <f t="shared" si="69"/>
        <v>1.0006015808818877E-6</v>
      </c>
      <c r="P140" s="56">
        <f t="shared" si="70"/>
        <v>9.074448156691911E-7</v>
      </c>
      <c r="Q140" s="56">
        <f t="shared" si="71"/>
        <v>7.7886782784468131E-10</v>
      </c>
      <c r="R140" s="9">
        <f t="shared" si="44"/>
        <v>1.4999999999999999E-4</v>
      </c>
      <c r="S140" s="9">
        <f t="shared" si="45"/>
        <v>1.3235811452289961E-7</v>
      </c>
      <c r="T140" s="9">
        <f t="shared" si="40"/>
        <v>1.4986662021244189E-4</v>
      </c>
      <c r="U140" s="9">
        <f t="shared" si="41"/>
        <v>1.498676418854771E-4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-4.1584645415536546E-2</v>
      </c>
      <c r="K141" s="55">
        <f t="shared" si="65"/>
        <v>0.9990989216344407</v>
      </c>
      <c r="L141" s="55">
        <f t="shared" si="66"/>
        <v>8.8411847185238023E-4</v>
      </c>
      <c r="M141" s="55">
        <f t="shared" si="67"/>
        <v>0.99911588152814756</v>
      </c>
      <c r="N141" s="55">
        <f t="shared" si="68"/>
        <v>2.7647780249832553E-8</v>
      </c>
      <c r="O141" s="56">
        <f t="shared" si="69"/>
        <v>1.0005896833741526E-6</v>
      </c>
      <c r="P141" s="56">
        <f t="shared" si="70"/>
        <v>9.0922501421059919E-7</v>
      </c>
      <c r="Q141" s="56">
        <f t="shared" si="71"/>
        <v>2.8432901461584645E-9</v>
      </c>
      <c r="R141" s="9">
        <f t="shared" si="44"/>
        <v>1.4999999999999999E-4</v>
      </c>
      <c r="S141" s="9">
        <f t="shared" si="45"/>
        <v>1.3261777077785703E-7</v>
      </c>
      <c r="T141" s="9">
        <f t="shared" si="40"/>
        <v>1.4986483824516608E-4</v>
      </c>
      <c r="U141" s="9">
        <f t="shared" si="41"/>
        <v>1.4986738222922213E-4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1.3986521988501153</v>
      </c>
      <c r="K142" s="55">
        <f t="shared" si="65"/>
        <v>0.87004516987978142</v>
      </c>
      <c r="L142" s="55">
        <f t="shared" si="66"/>
        <v>2.1216835967038987E-2</v>
      </c>
      <c r="M142" s="55">
        <f t="shared" si="67"/>
        <v>0.97878316403296106</v>
      </c>
      <c r="N142" s="55">
        <f t="shared" si="68"/>
        <v>5.5966867557499184E-3</v>
      </c>
      <c r="O142" s="56">
        <f t="shared" si="69"/>
        <v>8.7134336971064107E-7</v>
      </c>
      <c r="P142" s="56">
        <f t="shared" si="70"/>
        <v>2.181933598018518E-5</v>
      </c>
      <c r="Q142" s="56">
        <f t="shared" si="71"/>
        <v>5.7556173262248442E-4</v>
      </c>
      <c r="R142" s="9">
        <f t="shared" si="44"/>
        <v>1.4999999999999999E-4</v>
      </c>
      <c r="S142" s="9">
        <f t="shared" si="45"/>
        <v>3.1825253950558478E-6</v>
      </c>
      <c r="T142" s="9">
        <f t="shared" si="40"/>
        <v>1.305067754819672E-4</v>
      </c>
      <c r="U142" s="9">
        <f t="shared" si="41"/>
        <v>1.4681747460494415E-4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2.394879773509194</v>
      </c>
      <c r="K143" s="55">
        <f t="shared" si="65"/>
        <v>0.37838256246613255</v>
      </c>
      <c r="L143" s="55">
        <f t="shared" si="66"/>
        <v>9.1473965585188249E-2</v>
      </c>
      <c r="M143" s="55">
        <f t="shared" si="67"/>
        <v>0.90852603441481172</v>
      </c>
      <c r="N143" s="55">
        <f t="shared" si="68"/>
        <v>1.5531654318917786E-3</v>
      </c>
      <c r="O143" s="56">
        <f t="shared" si="69"/>
        <v>3.7894714945034812E-7</v>
      </c>
      <c r="P143" s="56">
        <f t="shared" si="70"/>
        <v>9.4071575594203242E-5</v>
      </c>
      <c r="Q143" s="56">
        <f t="shared" si="71"/>
        <v>1.5972710749097464E-4</v>
      </c>
      <c r="R143" s="9">
        <f t="shared" si="44"/>
        <v>1.4999999999999999E-4</v>
      </c>
      <c r="S143" s="9">
        <f t="shared" si="45"/>
        <v>1.3721094837778237E-5</v>
      </c>
      <c r="T143" s="9">
        <f t="shared" si="40"/>
        <v>5.6757384369919877E-5</v>
      </c>
      <c r="U143" s="9">
        <f t="shared" si="41"/>
        <v>1.3627890516222175E-4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2025-02-02T14:52:39Z</dcterms:modified>
</cp:coreProperties>
</file>