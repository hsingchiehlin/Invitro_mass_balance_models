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D90F7BEE-E5E8-4134-8FBF-119C9B4B7877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S131" i="4"/>
  <c r="R131" i="4"/>
  <c r="V130" i="4"/>
  <c r="R130" i="4"/>
  <c r="U130" i="4" s="1"/>
  <c r="V127" i="4"/>
  <c r="U127" i="4"/>
  <c r="T127" i="4"/>
  <c r="R127" i="4"/>
  <c r="S127" i="4" s="1"/>
  <c r="V126" i="4"/>
  <c r="R126" i="4"/>
  <c r="U126" i="4" s="1"/>
  <c r="V124" i="4"/>
  <c r="U124" i="4"/>
  <c r="T124" i="4"/>
  <c r="S124" i="4"/>
  <c r="R124" i="4"/>
  <c r="V121" i="4"/>
  <c r="U121" i="4"/>
  <c r="T121" i="4"/>
  <c r="R121" i="4"/>
  <c r="S121" i="4" s="1"/>
  <c r="V120" i="4"/>
  <c r="R120" i="4"/>
  <c r="U120" i="4" s="1"/>
  <c r="V119" i="4"/>
  <c r="U119" i="4"/>
  <c r="T119" i="4"/>
  <c r="R119" i="4"/>
  <c r="S119" i="4" s="1"/>
  <c r="V116" i="4"/>
  <c r="R116" i="4"/>
  <c r="S116" i="4" s="1"/>
  <c r="V115" i="4"/>
  <c r="U115" i="4"/>
  <c r="T115" i="4"/>
  <c r="S115" i="4"/>
  <c r="R115" i="4"/>
  <c r="V114" i="4"/>
  <c r="U114" i="4"/>
  <c r="S114" i="4"/>
  <c r="R114" i="4"/>
  <c r="T114" i="4" s="1"/>
  <c r="V108" i="4"/>
  <c r="R108" i="4"/>
  <c r="U108" i="4" s="1"/>
  <c r="V107" i="4"/>
  <c r="U107" i="4"/>
  <c r="T107" i="4"/>
  <c r="S107" i="4"/>
  <c r="R107" i="4"/>
  <c r="V93" i="4"/>
  <c r="R93" i="4"/>
  <c r="T93" i="4" s="1"/>
  <c r="V92" i="4"/>
  <c r="U92" i="4"/>
  <c r="T92" i="4"/>
  <c r="R92" i="4"/>
  <c r="S92" i="4" s="1"/>
  <c r="V91" i="4"/>
  <c r="R91" i="4"/>
  <c r="U91" i="4" s="1"/>
  <c r="V90" i="4"/>
  <c r="U90" i="4"/>
  <c r="T90" i="4"/>
  <c r="S90" i="4"/>
  <c r="R90" i="4"/>
  <c r="V89" i="4"/>
  <c r="U89" i="4"/>
  <c r="T89" i="4"/>
  <c r="R89" i="4"/>
  <c r="S89" i="4" s="1"/>
  <c r="V88" i="4"/>
  <c r="R88" i="4"/>
  <c r="U88" i="4" s="1"/>
  <c r="V86" i="4"/>
  <c r="U86" i="4"/>
  <c r="R86" i="4"/>
  <c r="T86" i="4" s="1"/>
  <c r="V85" i="4"/>
  <c r="R85" i="4"/>
  <c r="U85" i="4" s="1"/>
  <c r="V84" i="4"/>
  <c r="U84" i="4"/>
  <c r="T84" i="4"/>
  <c r="S84" i="4"/>
  <c r="R84" i="4"/>
  <c r="V83" i="4"/>
  <c r="U83" i="4"/>
  <c r="S83" i="4"/>
  <c r="R83" i="4"/>
  <c r="T83" i="4" s="1"/>
  <c r="V82" i="4"/>
  <c r="R82" i="4"/>
  <c r="T82" i="4" s="1"/>
  <c r="V81" i="4"/>
  <c r="U81" i="4"/>
  <c r="T81" i="4"/>
  <c r="S81" i="4"/>
  <c r="R81" i="4"/>
  <c r="V80" i="4"/>
  <c r="R80" i="4"/>
  <c r="S80" i="4" s="1"/>
  <c r="V79" i="4"/>
  <c r="U79" i="4"/>
  <c r="T79" i="4"/>
  <c r="R79" i="4"/>
  <c r="S79" i="4" s="1"/>
  <c r="V78" i="4"/>
  <c r="R78" i="4"/>
  <c r="U78" i="4" s="1"/>
  <c r="V77" i="4"/>
  <c r="U77" i="4"/>
  <c r="T77" i="4"/>
  <c r="S77" i="4"/>
  <c r="R77" i="4"/>
  <c r="V76" i="4"/>
  <c r="U76" i="4"/>
  <c r="T76" i="4"/>
  <c r="R76" i="4"/>
  <c r="S76" i="4" s="1"/>
  <c r="V75" i="4"/>
  <c r="R75" i="4"/>
  <c r="U75" i="4" s="1"/>
  <c r="V74" i="4"/>
  <c r="U74" i="4"/>
  <c r="T74" i="4"/>
  <c r="R74" i="4"/>
  <c r="S74" i="4" s="1"/>
  <c r="V73" i="4"/>
  <c r="R73" i="4"/>
  <c r="U73" i="4" s="1"/>
  <c r="V72" i="4"/>
  <c r="U72" i="4"/>
  <c r="T72" i="4"/>
  <c r="S72" i="4"/>
  <c r="R72" i="4"/>
  <c r="V71" i="4"/>
  <c r="U71" i="4"/>
  <c r="S71" i="4"/>
  <c r="R71" i="4"/>
  <c r="T71" i="4" s="1"/>
  <c r="V70" i="4"/>
  <c r="R70" i="4"/>
  <c r="S70" i="4" s="1"/>
  <c r="V69" i="4"/>
  <c r="U69" i="4"/>
  <c r="T69" i="4"/>
  <c r="S69" i="4"/>
  <c r="R69" i="4"/>
  <c r="V68" i="4"/>
  <c r="R68" i="4"/>
  <c r="S68" i="4" s="1"/>
  <c r="V65" i="4"/>
  <c r="U65" i="4"/>
  <c r="T65" i="4"/>
  <c r="R65" i="4"/>
  <c r="S65" i="4" s="1"/>
  <c r="V64" i="4"/>
  <c r="R64" i="4"/>
  <c r="U64" i="4" s="1"/>
  <c r="V63" i="4"/>
  <c r="U63" i="4"/>
  <c r="T63" i="4"/>
  <c r="S63" i="4"/>
  <c r="R63" i="4"/>
  <c r="V62" i="4"/>
  <c r="U62" i="4"/>
  <c r="T62" i="4"/>
  <c r="R62" i="4"/>
  <c r="S62" i="4" s="1"/>
  <c r="V61" i="4"/>
  <c r="R61" i="4"/>
  <c r="U61" i="4" s="1"/>
  <c r="V60" i="4"/>
  <c r="U60" i="4"/>
  <c r="R60" i="4"/>
  <c r="T60" i="4" s="1"/>
  <c r="V58" i="4"/>
  <c r="R58" i="4"/>
  <c r="U58" i="4" s="1"/>
  <c r="V57" i="4"/>
  <c r="U57" i="4"/>
  <c r="T57" i="4"/>
  <c r="S57" i="4"/>
  <c r="R57" i="4"/>
  <c r="V49" i="4"/>
  <c r="U49" i="4"/>
  <c r="S49" i="4"/>
  <c r="R49" i="4"/>
  <c r="T49" i="4" s="1"/>
  <c r="V48" i="4"/>
  <c r="R48" i="4"/>
  <c r="T48" i="4" s="1"/>
  <c r="V47" i="4"/>
  <c r="U47" i="4"/>
  <c r="T47" i="4"/>
  <c r="S47" i="4"/>
  <c r="R47" i="4"/>
  <c r="V46" i="4"/>
  <c r="R46" i="4"/>
  <c r="S46" i="4" s="1"/>
  <c r="V45" i="4"/>
  <c r="U45" i="4"/>
  <c r="T45" i="4"/>
  <c r="R45" i="4"/>
  <c r="S45" i="4" s="1"/>
  <c r="V44" i="4"/>
  <c r="R44" i="4"/>
  <c r="U44" i="4" s="1"/>
  <c r="V43" i="4"/>
  <c r="U43" i="4"/>
  <c r="T43" i="4"/>
  <c r="S43" i="4"/>
  <c r="R43" i="4"/>
  <c r="V42" i="4"/>
  <c r="U42" i="4"/>
  <c r="T42" i="4"/>
  <c r="R42" i="4"/>
  <c r="S42" i="4" s="1"/>
  <c r="V41" i="4"/>
  <c r="R41" i="4"/>
  <c r="T41" i="4" s="1"/>
  <c r="V40" i="4"/>
  <c r="U40" i="4"/>
  <c r="T40" i="4"/>
  <c r="R40" i="4"/>
  <c r="S40" i="4" s="1"/>
  <c r="V39" i="4"/>
  <c r="R39" i="4"/>
  <c r="S39" i="4" s="1"/>
  <c r="V38" i="4"/>
  <c r="U38" i="4"/>
  <c r="T38" i="4"/>
  <c r="S38" i="4"/>
  <c r="R38" i="4"/>
  <c r="V37" i="4"/>
  <c r="U37" i="4"/>
  <c r="S37" i="4"/>
  <c r="R37" i="4"/>
  <c r="T37" i="4" s="1"/>
  <c r="V36" i="4"/>
  <c r="R36" i="4"/>
  <c r="U36" i="4" s="1"/>
  <c r="V35" i="4"/>
  <c r="U35" i="4"/>
  <c r="T35" i="4"/>
  <c r="S35" i="4"/>
  <c r="R35" i="4"/>
  <c r="V34" i="4"/>
  <c r="R34" i="4"/>
  <c r="T34" i="4" s="1"/>
  <c r="V33" i="4"/>
  <c r="U33" i="4"/>
  <c r="T33" i="4"/>
  <c r="R33" i="4"/>
  <c r="S33" i="4" s="1"/>
  <c r="V32" i="4"/>
  <c r="R32" i="4"/>
  <c r="U32" i="4" s="1"/>
  <c r="V31" i="4"/>
  <c r="U31" i="4"/>
  <c r="T31" i="4"/>
  <c r="S31" i="4"/>
  <c r="R31" i="4"/>
  <c r="V30" i="4"/>
  <c r="U30" i="4"/>
  <c r="T30" i="4"/>
  <c r="R30" i="4"/>
  <c r="S30" i="4" s="1"/>
  <c r="V29" i="4"/>
  <c r="R29" i="4"/>
  <c r="U29" i="4" s="1"/>
  <c r="V28" i="4"/>
  <c r="U28" i="4"/>
  <c r="R28" i="4"/>
  <c r="T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O130" i="4"/>
  <c r="P130" i="4"/>
  <c r="Q130" i="4"/>
  <c r="I131" i="4"/>
  <c r="J131" i="4"/>
  <c r="K131" i="4" s="1"/>
  <c r="O131" i="4" s="1"/>
  <c r="P131" i="4" s="1"/>
  <c r="L131" i="4"/>
  <c r="M131" i="4"/>
  <c r="N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36" i="4" l="1"/>
  <c r="S82" i="4"/>
  <c r="T70" i="4"/>
  <c r="S75" i="4"/>
  <c r="T29" i="4"/>
  <c r="S34" i="4"/>
  <c r="U48" i="4"/>
  <c r="U70" i="4"/>
  <c r="U82" i="4"/>
  <c r="S130" i="4"/>
  <c r="U41" i="4"/>
  <c r="T46" i="4"/>
  <c r="S58" i="4"/>
  <c r="S73" i="4"/>
  <c r="T80" i="4"/>
  <c r="S85" i="4"/>
  <c r="T130" i="4"/>
  <c r="S32" i="4"/>
  <c r="U34" i="4"/>
  <c r="T39" i="4"/>
  <c r="S44" i="4"/>
  <c r="U46" i="4"/>
  <c r="T58" i="4"/>
  <c r="S64" i="4"/>
  <c r="U68" i="4"/>
  <c r="T73" i="4"/>
  <c r="S78" i="4"/>
  <c r="U80" i="4"/>
  <c r="T85" i="4"/>
  <c r="S91" i="4"/>
  <c r="U93" i="4"/>
  <c r="T116" i="4"/>
  <c r="S126" i="4"/>
  <c r="S29" i="4"/>
  <c r="S120" i="4"/>
  <c r="T120" i="4"/>
  <c r="T68" i="4"/>
  <c r="T32" i="4"/>
  <c r="U39" i="4"/>
  <c r="T44" i="4"/>
  <c r="T64" i="4"/>
  <c r="T78" i="4"/>
  <c r="T91" i="4"/>
  <c r="U116" i="4"/>
  <c r="T126" i="4"/>
  <c r="S48" i="4"/>
  <c r="S108" i="4"/>
  <c r="T36" i="4"/>
  <c r="S41" i="4"/>
  <c r="S61" i="4"/>
  <c r="S88" i="4"/>
  <c r="T108" i="4"/>
  <c r="T61" i="4"/>
  <c r="T75" i="4"/>
  <c r="T88" i="4"/>
  <c r="S93" i="4"/>
  <c r="S28" i="4"/>
  <c r="S60" i="4"/>
  <c r="S86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J72" i="4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 s="1"/>
  <c r="J113" i="4"/>
  <c r="K113" i="4"/>
  <c r="J97" i="4"/>
  <c r="K97" i="4" s="1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J115" i="4"/>
  <c r="K115" i="4"/>
  <c r="O115" i="4" s="1"/>
  <c r="P115" i="4" s="1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 s="1"/>
  <c r="J77" i="4"/>
  <c r="K77" i="4"/>
  <c r="J112" i="4"/>
  <c r="K112" i="4"/>
  <c r="J96" i="4"/>
  <c r="L96" i="4" s="1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/>
  <c r="J79" i="4"/>
  <c r="K79" i="4"/>
  <c r="J126" i="4"/>
  <c r="K126" i="4"/>
  <c r="O126" i="4" s="1"/>
  <c r="P126" i="4" s="1"/>
  <c r="J94" i="4"/>
  <c r="K94" i="4" s="1"/>
  <c r="J121" i="4"/>
  <c r="K121" i="4" s="1"/>
  <c r="O121" i="4" s="1"/>
  <c r="P121" i="4" s="1"/>
  <c r="J105" i="4"/>
  <c r="K105" i="4"/>
  <c r="J89" i="4"/>
  <c r="K89" i="4"/>
  <c r="J73" i="4"/>
  <c r="K73" i="4"/>
  <c r="J124" i="4"/>
  <c r="K124" i="4" s="1"/>
  <c r="O124" i="4" s="1"/>
  <c r="P124" i="4" s="1"/>
  <c r="J108" i="4"/>
  <c r="K108" i="4" s="1"/>
  <c r="O108" i="4" s="1"/>
  <c r="P108" i="4" s="1"/>
  <c r="J92" i="4"/>
  <c r="K92" i="4" s="1"/>
  <c r="J76" i="4"/>
  <c r="K76" i="4" s="1"/>
  <c r="J98" i="4"/>
  <c r="K98" i="4"/>
  <c r="J123" i="4"/>
  <c r="K123" i="4"/>
  <c r="J107" i="4"/>
  <c r="K107" i="4" s="1"/>
  <c r="O107" i="4" s="1"/>
  <c r="P107" i="4" s="1"/>
  <c r="J91" i="4"/>
  <c r="K91" i="4" s="1"/>
  <c r="O91" i="4" s="1"/>
  <c r="P91" i="4" s="1"/>
  <c r="J75" i="4"/>
  <c r="K75" i="4" s="1"/>
  <c r="P100" i="4"/>
  <c r="O112" i="4"/>
  <c r="P112" i="4"/>
  <c r="O83" i="4"/>
  <c r="P83" i="4" s="1"/>
  <c r="O98" i="4"/>
  <c r="P98" i="4"/>
  <c r="O105" i="4"/>
  <c r="P105" i="4"/>
  <c r="O111" i="4"/>
  <c r="P111" i="4"/>
  <c r="O104" i="4"/>
  <c r="P10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/>
  <c r="O103" i="4"/>
  <c r="P103" i="4"/>
  <c r="O119" i="4"/>
  <c r="P119" i="4" s="1"/>
  <c r="O122" i="4"/>
  <c r="P122" i="4"/>
  <c r="O123" i="4"/>
  <c r="P123" i="4"/>
  <c r="O125" i="4"/>
  <c r="P125" i="4"/>
  <c r="O99" i="4"/>
  <c r="P99" i="4"/>
  <c r="O101" i="4"/>
  <c r="P101" i="4"/>
  <c r="I76" i="4"/>
  <c r="L76" i="4" s="1"/>
  <c r="I77" i="4"/>
  <c r="N77" i="4" s="1"/>
  <c r="Q77" i="4" s="1"/>
  <c r="I81" i="4"/>
  <c r="I89" i="4"/>
  <c r="I90" i="4"/>
  <c r="N90" i="4" s="1"/>
  <c r="Q90" i="4" s="1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N71" i="4" s="1"/>
  <c r="Q71" i="4" s="1"/>
  <c r="I75" i="4"/>
  <c r="I80" i="4"/>
  <c r="N80" i="4" s="1"/>
  <c r="Q80" i="4" s="1"/>
  <c r="I83" i="4"/>
  <c r="L83" i="4" s="1"/>
  <c r="I86" i="4"/>
  <c r="I88" i="4"/>
  <c r="N88" i="4" s="1"/>
  <c r="Q88" i="4" s="1"/>
  <c r="I94" i="4"/>
  <c r="I95" i="4"/>
  <c r="N95" i="4" s="1"/>
  <c r="Q95" i="4" s="1"/>
  <c r="I98" i="4"/>
  <c r="I101" i="4"/>
  <c r="I118" i="4"/>
  <c r="I127" i="4"/>
  <c r="I73" i="4"/>
  <c r="L73" i="4" s="1"/>
  <c r="I74" i="4"/>
  <c r="I78" i="4"/>
  <c r="I82" i="4"/>
  <c r="L82" i="4" s="1"/>
  <c r="I85" i="4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I84" i="4"/>
  <c r="I87" i="4"/>
  <c r="I91" i="4"/>
  <c r="N91" i="4" s="1"/>
  <c r="Q91" i="4" s="1"/>
  <c r="I97" i="4"/>
  <c r="I105" i="4"/>
  <c r="I116" i="4"/>
  <c r="I126" i="4"/>
  <c r="L105" i="4"/>
  <c r="N105" i="4"/>
  <c r="Q105" i="4"/>
  <c r="L84" i="4"/>
  <c r="N84" i="4"/>
  <c r="Q84" i="4" s="1"/>
  <c r="L121" i="4"/>
  <c r="M121" i="4" s="1"/>
  <c r="N85" i="4"/>
  <c r="Q85" i="4"/>
  <c r="N101" i="4"/>
  <c r="Q101" i="4"/>
  <c r="L101" i="4"/>
  <c r="N75" i="4"/>
  <c r="Q75" i="4" s="1"/>
  <c r="L106" i="4"/>
  <c r="N106" i="4"/>
  <c r="Q106" i="4"/>
  <c r="L124" i="4"/>
  <c r="M124" i="4" s="1"/>
  <c r="N124" i="4"/>
  <c r="Q124" i="4" s="1"/>
  <c r="N107" i="4"/>
  <c r="Q107" i="4" s="1"/>
  <c r="L107" i="4"/>
  <c r="M107" i="4" s="1"/>
  <c r="N79" i="4"/>
  <c r="Q79" i="4" s="1"/>
  <c r="N119" i="4"/>
  <c r="Q119" i="4" s="1"/>
  <c r="L119" i="4"/>
  <c r="M119" i="4" s="1"/>
  <c r="N108" i="4"/>
  <c r="Q108" i="4" s="1"/>
  <c r="L108" i="4"/>
  <c r="M108" i="4" s="1"/>
  <c r="N96" i="4"/>
  <c r="Q96" i="4" s="1"/>
  <c r="L97" i="4"/>
  <c r="N97" i="4"/>
  <c r="Q97" i="4"/>
  <c r="N98" i="4"/>
  <c r="Q98" i="4"/>
  <c r="L98" i="4"/>
  <c r="N86" i="4"/>
  <c r="Q86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 s="1"/>
  <c r="L115" i="4"/>
  <c r="M115" i="4" s="1"/>
  <c r="L104" i="4"/>
  <c r="N104" i="4"/>
  <c r="Q104" i="4"/>
  <c r="L90" i="4"/>
  <c r="N76" i="4"/>
  <c r="Q76" i="4"/>
  <c r="N126" i="4"/>
  <c r="Q126" i="4" s="1"/>
  <c r="L126" i="4"/>
  <c r="M126" i="4" s="1"/>
  <c r="L112" i="4"/>
  <c r="N112" i="4"/>
  <c r="Q112" i="4"/>
  <c r="L78" i="4"/>
  <c r="N78" i="4"/>
  <c r="Q78" i="4" s="1"/>
  <c r="L127" i="4"/>
  <c r="M127" i="4" s="1"/>
  <c r="N127" i="4"/>
  <c r="Q127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116" i="4"/>
  <c r="Q116" i="4" s="1"/>
  <c r="L116" i="4"/>
  <c r="M116" i="4" s="1"/>
  <c r="N87" i="4"/>
  <c r="Q87" i="4" s="1"/>
  <c r="L87" i="4"/>
  <c r="N122" i="4"/>
  <c r="Q122" i="4"/>
  <c r="L122" i="4"/>
  <c r="N74" i="4"/>
  <c r="Q74" i="4"/>
  <c r="N118" i="4"/>
  <c r="Q118" i="4"/>
  <c r="L118" i="4"/>
  <c r="L94" i="4"/>
  <c r="N94" i="4"/>
  <c r="Q94" i="4" s="1"/>
  <c r="N109" i="4"/>
  <c r="Q109" i="4"/>
  <c r="L109" i="4"/>
  <c r="N92" i="4"/>
  <c r="Q92" i="4" s="1"/>
  <c r="N120" i="4"/>
  <c r="Q120" i="4" s="1"/>
  <c r="L120" i="4"/>
  <c r="M120" i="4" s="1"/>
  <c r="N111" i="4"/>
  <c r="Q111" i="4"/>
  <c r="L111" i="4"/>
  <c r="N99" i="4"/>
  <c r="Q99" i="4"/>
  <c r="L99" i="4"/>
  <c r="L81" i="4"/>
  <c r="N81" i="4"/>
  <c r="Q81" i="4" s="1"/>
  <c r="O92" i="4" l="1"/>
  <c r="P92" i="4" s="1"/>
  <c r="O86" i="4"/>
  <c r="P86" i="4" s="1"/>
  <c r="O74" i="4"/>
  <c r="P74" i="4" s="1"/>
  <c r="O76" i="4"/>
  <c r="P76" i="4" s="1"/>
  <c r="O75" i="4"/>
  <c r="P75" i="4" s="1"/>
  <c r="O85" i="4"/>
  <c r="P85" i="4" s="1"/>
  <c r="O93" i="4"/>
  <c r="P93" i="4" s="1"/>
  <c r="O82" i="4"/>
  <c r="P82" i="4" s="1"/>
  <c r="M73" i="4"/>
  <c r="M78" i="4"/>
  <c r="O97" i="4"/>
  <c r="P97" i="4" s="1"/>
  <c r="M94" i="4"/>
  <c r="O94" i="4"/>
  <c r="P94" i="4" s="1"/>
  <c r="L114" i="4"/>
  <c r="M114" i="4" s="1"/>
  <c r="O80" i="4"/>
  <c r="P80" i="4" s="1"/>
  <c r="O78" i="4"/>
  <c r="P78" i="4" s="1"/>
  <c r="O96" i="4"/>
  <c r="P96" i="4" s="1"/>
  <c r="L91" i="4"/>
  <c r="M91" i="4" s="1"/>
  <c r="M84" i="4"/>
  <c r="M76" i="4"/>
  <c r="O79" i="4"/>
  <c r="P79" i="4" s="1"/>
  <c r="M96" i="4"/>
  <c r="L74" i="4"/>
  <c r="O72" i="4"/>
  <c r="P72" i="4" s="1"/>
  <c r="O73" i="4"/>
  <c r="P73" i="4" s="1"/>
  <c r="L79" i="4"/>
  <c r="O84" i="4"/>
  <c r="P84" i="4" s="1"/>
  <c r="L72" i="4"/>
  <c r="L71" i="4"/>
  <c r="M71" i="4" s="1"/>
  <c r="O95" i="4"/>
  <c r="P95" i="4" s="1"/>
  <c r="M97" i="4"/>
  <c r="O89" i="4"/>
  <c r="P89" i="4" s="1"/>
  <c r="O77" i="4"/>
  <c r="P77" i="4" s="1"/>
  <c r="M81" i="4"/>
  <c r="L92" i="4"/>
  <c r="N73" i="4"/>
  <c r="Q73" i="4" s="1"/>
  <c r="L89" i="4"/>
  <c r="O88" i="4"/>
  <c r="P88" i="4" s="1"/>
  <c r="L86" i="4"/>
  <c r="M82" i="4"/>
  <c r="M83" i="4"/>
  <c r="O90" i="4"/>
  <c r="P90" i="4" s="1"/>
  <c r="O87" i="4"/>
  <c r="P87" i="4" s="1"/>
  <c r="M87" i="4"/>
  <c r="L85" i="4"/>
  <c r="M90" i="4"/>
  <c r="L75" i="4"/>
  <c r="O81" i="4"/>
  <c r="P81" i="4" s="1"/>
  <c r="N83" i="4"/>
  <c r="Q83" i="4" s="1"/>
  <c r="L95" i="4"/>
  <c r="L77" i="4"/>
  <c r="L93" i="4"/>
  <c r="L88" i="4"/>
  <c r="N82" i="4"/>
  <c r="Q82" i="4" s="1"/>
  <c r="L80" i="4"/>
  <c r="J14" i="4"/>
  <c r="J13" i="4" s="1"/>
  <c r="K16" i="4" s="1"/>
  <c r="M75" i="4" l="1"/>
  <c r="M74" i="4"/>
  <c r="M80" i="4"/>
  <c r="M85" i="4"/>
  <c r="M86" i="4"/>
  <c r="M93" i="4"/>
  <c r="M77" i="4"/>
  <c r="M79" i="4"/>
  <c r="M95" i="4"/>
  <c r="M89" i="4"/>
  <c r="M72" i="4"/>
  <c r="M88" i="4"/>
  <c r="M92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5" i="4"/>
  <c r="M58" i="4"/>
  <c r="O67" i="4"/>
  <c r="P67" i="4" s="1"/>
  <c r="M69" i="4"/>
  <c r="O65" i="4"/>
  <c r="P65" i="4" s="1"/>
  <c r="O66" i="4"/>
  <c r="P66" i="4" s="1"/>
  <c r="M68" i="4"/>
  <c r="M67" i="4"/>
  <c r="O68" i="4"/>
  <c r="P68" i="4" s="1"/>
  <c r="M64" i="4"/>
  <c r="M66" i="4"/>
  <c r="O69" i="4"/>
  <c r="P69" i="4" s="1"/>
  <c r="M57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0" i="4" l="1"/>
  <c r="J43" i="4"/>
  <c r="L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47" i="4"/>
  <c r="K52" i="4"/>
  <c r="O52" i="4" s="1"/>
  <c r="P52" i="4" s="1"/>
  <c r="L52" i="4"/>
  <c r="M52" i="4" s="1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O49" i="4" l="1"/>
  <c r="P49" i="4" s="1"/>
  <c r="M48" i="4"/>
  <c r="O48" i="4"/>
  <c r="P48" i="4" s="1"/>
  <c r="M49" i="4"/>
  <c r="O35" i="4"/>
  <c r="P35" i="4" s="1"/>
  <c r="O47" i="4"/>
  <c r="P47" i="4" s="1"/>
  <c r="M47" i="4"/>
  <c r="O30" i="4"/>
  <c r="P30" i="4" s="1"/>
  <c r="O33" i="4"/>
  <c r="P33" i="4" s="1"/>
  <c r="O28" i="4"/>
  <c r="P28" i="4" s="1"/>
  <c r="L35" i="4"/>
  <c r="O43" i="4"/>
  <c r="P43" i="4" s="1"/>
  <c r="M44" i="4"/>
  <c r="M43" i="4"/>
  <c r="O45" i="4"/>
  <c r="P45" i="4" s="1"/>
  <c r="M45" i="4"/>
  <c r="M31" i="4"/>
  <c r="O31" i="4"/>
  <c r="P31" i="4" s="1"/>
  <c r="O46" i="4"/>
  <c r="P46" i="4" s="1"/>
  <c r="O39" i="4"/>
  <c r="P39" i="4" s="1"/>
  <c r="M39" i="4"/>
  <c r="O41" i="4"/>
  <c r="P41" i="4" s="1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4" i="4" l="1"/>
  <c r="P44" i="4" s="1"/>
  <c r="O36" i="4"/>
  <c r="P36" i="4" s="1"/>
  <c r="O29" i="4"/>
  <c r="P29" i="4" s="1"/>
  <c r="O32" i="4"/>
  <c r="P32" i="4" s="1"/>
  <c r="O40" i="4"/>
  <c r="P40" i="4" s="1"/>
  <c r="O42" i="4"/>
  <c r="P42" i="4" s="1"/>
  <c r="M41" i="4"/>
  <c r="O38" i="4"/>
  <c r="P38" i="4" s="1"/>
  <c r="M33" i="4"/>
  <c r="M35" i="4"/>
  <c r="O34" i="4"/>
  <c r="P34" i="4" s="1"/>
  <c r="O37" i="4"/>
  <c r="P37" i="4" s="1"/>
  <c r="M46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<sst xmlns="http://schemas.openxmlformats.org/spreadsheetml/2006/main" count="318" uniqueCount="294">
  <si>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</si>
  <si>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</si>
  <si>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</si>
  <si>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</si>
  <si>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</si>
  <si>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</si>
  <si>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</si>
  <si>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</si>
  <si>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</si>
  <si>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</si>
  <si>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</si>
  <si>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</si>
  <si>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</si>
  <si>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</si>
  <si>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</si>
  <si>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</si>
  <si>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</si>
  <si>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</si>
  <si>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</si>
  <si>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</si>
  <si>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</si>
  <si>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</si>
  <si>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</si>
  <si>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</si>
  <si>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</si>
  <si>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</si>
  <si>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</si>
  <si>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</si>
  <si>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</si>
  <si>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</si>
  <si>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</si>
  <si>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</si>
  <si>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</si>
  <si>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</si>
  <si>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</si>
  <si>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</si>
  <si>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</si>
  <si>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</si>
  <si>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</si>
  <si>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</si>
  <si>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</si>
  <si>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</si>
  <si>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</si>
  <si>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</si>
  <si>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</si>
  <si>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</si>
  <si>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</si>
  <si>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</si>
  <si>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</si>
  <si>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</si>
  <si>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</si>
  <si>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</si>
  <si>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</si>
  <si>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</si>
  <si>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</si>
  <si>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</si>
  <si>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</si>
  <si>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</si>
  <si>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</si>
  <si>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</si>
  <si>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</si>
  <si>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</si>
  <si>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</si>
  <si>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</si>
  <si>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</si>
  <si>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</si>
  <si>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</si>
  <si>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</si>
  <si>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</si>
  <si>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</si>
  <si>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</si>
  <si>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</si>
  <si>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</si>
  <si>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</si>
  <si>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</si>
  <si>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</si>
  <si>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</si>
  <si>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</si>
  <si>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</si>
  <si>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</si>
  <si>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</si>
  <si>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</si>
  <si>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</si>
  <si>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</si>
  <si>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</si>
  <si>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</si>
  <si>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</si>
  <si>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</si>
  <si>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</si>
  <si>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</si>
  <si>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</si>
  <si>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</si>
  <si>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</si>
  <si>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</si>
  <si>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</si>
  <si>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</si>
  <si>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</si>
  <si>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</si>
  <si>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</si>
  <si>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</si>
  <si>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</si>
  <si>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</si>
  <si>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</si>
  <si>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</si>
  <si>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</si>
  <si>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</si>
  <si>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</si>
  <si>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</si>
  <si>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</si>
  <si>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</si>
  <si>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</si>
  <si>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HEK293T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</si>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</sst>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X9" sqref="X9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6.6116099999999995E-3</v>
      </c>
      <c r="M17" s="81">
        <v>6.1539000000000006E-4</v>
      </c>
      <c r="N17" s="81">
        <v>7.2999999999999999E-5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4" zoomScale="61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150.14599999999999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150.05453220000001</v>
      </c>
      <c r="K8" s="39">
        <f>J8/J7</f>
        <v>0.99939080761392263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8.4307799999999988E-2</v>
      </c>
      <c r="K9" s="39">
        <f>J9/J7</f>
        <v>5.6150546801113583E-4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7.1599999999999997E-3</v>
      </c>
      <c r="K10" s="39">
        <f>J10/J7</f>
        <v>4.768691806641536E-5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0.14599999999999999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0.13223219999999999</v>
      </c>
      <c r="K20" s="39">
        <f>J20/J19</f>
        <v>0.90570000000000006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1.2307800000000001E-2</v>
      </c>
      <c r="K21" s="39">
        <f>J21/J19</f>
        <v>8.4300000000000014E-2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1.4599999999999999E-3</v>
      </c>
      <c r="K22" s="39">
        <f>J22/J19</f>
        <v>0.01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0.73367838445348477</v>
      </c>
      <c r="K28" s="95">
        <f t="shared" ref="K28:K47" si="3">IF(D28=0,"",1/(1+10^D28*$J$15/$J$14+10^E28*$J$16/$J$14+10^J28*$J$19/$J$14))</f>
        <v>0.97138747068793907</v>
      </c>
      <c r="L28" s="95">
        <f t="shared" ref="L28:L47" si="4">IF(D28=0,"",1/(1+10^I28/10^J28*$J$13/$J$19))</f>
        <v>5.1233910053731348E-3</v>
      </c>
      <c r="M28" s="95">
        <f t="shared" ref="M28:M47" si="5">IF(D28=0,"",1-L28)</f>
        <v>0.99487660899462682</v>
      </c>
      <c r="N28" s="95">
        <f t="shared" ref="N28:N47" si="6">IF(D28=0,"",1/(1/10^E28*$J$20/$J$22+10^D28/10^E28*$J$21/$J$22+10^I28/10^E28*$J$13/$J$22+1))</f>
        <v>7.556559686649893E-4</v>
      </c>
      <c r="O28" s="40">
        <f t="shared" ref="O28:O47" si="7">IF(D28=0,"",F28*K28*$J$7/$J$14)</f>
        <v>9.72836883998653E-7</v>
      </c>
      <c r="P28" s="40">
        <f t="shared" ref="P28:P47" si="8">IF(D28=0,"",O28*10^J28)</f>
        <v>5.2688812732380474E-6</v>
      </c>
      <c r="Q28" s="40">
        <f t="shared" ref="Q28:Q47" si="9">IF(D28=0,"",F28*N28*$J$7/$J$22)</f>
        <v>7.7711452788474983E-5</v>
      </c>
      <c r="R28" s="9">
        <f>F28*$C$14</f>
        <v>1.4999999999999999E-4</v>
      </c>
      <c r="S28" s="9">
        <f>$R28*L28</f>
        <v>7.6850865080597013E-7</v>
      </c>
      <c r="T28" s="9">
        <f t="shared" ref="T28:T49" si="10">R28*K28</f>
        <v>1.4570812060319085E-4</v>
      </c>
      <c r="U28" s="9">
        <f t="shared" ref="U28:U49" si="11">$R28*M28</f>
        <v>1.4923149134919402E-4</v>
      </c>
      <c r="V28" s="102">
        <f>K28/M28</f>
        <v>0.9763898979086213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4.0594690780898786</v>
      </c>
      <c r="K29" s="95">
        <f t="shared" si="3"/>
        <v>1.5500377120803705E-2</v>
      </c>
      <c r="L29" s="95">
        <f t="shared" si="4"/>
        <v>0.17310035647208996</v>
      </c>
      <c r="M29" s="95">
        <f t="shared" si="5"/>
        <v>0.82689964352791001</v>
      </c>
      <c r="N29" s="95">
        <f t="shared" si="6"/>
        <v>0.1033738959251676</v>
      </c>
      <c r="O29" s="40">
        <f t="shared" si="7"/>
        <v>1.5523505330295708E-8</v>
      </c>
      <c r="P29" s="40">
        <f t="shared" si="8"/>
        <v>1.7801593234834535E-4</v>
      </c>
      <c r="Q29" s="40">
        <f t="shared" si="9"/>
        <v>1.0630943135328913E-2</v>
      </c>
      <c r="R29" s="9">
        <f>F29*$C$14</f>
        <v>1.4999999999999999E-4</v>
      </c>
      <c r="S29" s="9">
        <f t="shared" ref="S29:S49" si="12">$R29*L29</f>
        <v>2.596505347081349E-5</v>
      </c>
      <c r="T29" s="9">
        <f t="shared" si="10"/>
        <v>2.3250565681205556E-6</v>
      </c>
      <c r="U29" s="9">
        <f t="shared" si="11"/>
        <v>1.2403494652918649E-4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7.3247125997419902</v>
      </c>
      <c r="K30" s="95">
        <f t="shared" si="3"/>
        <v>9.7001929303449401E-6</v>
      </c>
      <c r="L30" s="95">
        <f t="shared" si="4"/>
        <v>0.19951685550853832</v>
      </c>
      <c r="M30" s="95">
        <f t="shared" si="5"/>
        <v>0.80048314449146174</v>
      </c>
      <c r="N30" s="95">
        <f t="shared" si="6"/>
        <v>0.18844819920968794</v>
      </c>
      <c r="O30" s="40">
        <f t="shared" si="7"/>
        <v>9.7146666487878786E-12</v>
      </c>
      <c r="P30" s="40">
        <f t="shared" si="8"/>
        <v>2.0518258758345912E-4</v>
      </c>
      <c r="Q30" s="40">
        <f t="shared" si="9"/>
        <v>1.9379961177080688E-2</v>
      </c>
      <c r="R30" s="9">
        <f t="shared" ref="R30:R49" si="14">F30*$C$14</f>
        <v>1.4999999999999999E-4</v>
      </c>
      <c r="S30" s="9">
        <f t="shared" si="12"/>
        <v>2.9927528326280745E-5</v>
      </c>
      <c r="T30" s="9">
        <f t="shared" si="10"/>
        <v>1.4550289395517408E-9</v>
      </c>
      <c r="U30" s="9">
        <f t="shared" si="11"/>
        <v>1.2007247167371925E-4</v>
      </c>
      <c r="V30" s="102">
        <f t="shared" si="13"/>
        <v>1.2117922778383256E-5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2.588750951841865</v>
      </c>
      <c r="K31" s="95">
        <f t="shared" si="3"/>
        <v>0.31174066985733412</v>
      </c>
      <c r="L31" s="95">
        <f t="shared" si="4"/>
        <v>0.11776901309129172</v>
      </c>
      <c r="M31" s="95">
        <f t="shared" si="5"/>
        <v>0.88223098690870827</v>
      </c>
      <c r="N31" s="95">
        <f t="shared" si="6"/>
        <v>6.0048074214761951E-2</v>
      </c>
      <c r="O31" s="40">
        <f t="shared" si="7"/>
        <v>3.1220582005745159E-7</v>
      </c>
      <c r="P31" s="40">
        <f t="shared" si="8"/>
        <v>1.2111333040825401E-4</v>
      </c>
      <c r="Q31" s="40">
        <f t="shared" si="9"/>
        <v>6.1753275007189364E-3</v>
      </c>
      <c r="R31" s="9">
        <f t="shared" si="14"/>
        <v>1.4999999999999999E-4</v>
      </c>
      <c r="S31" s="9">
        <f t="shared" si="12"/>
        <v>1.7665351963693756E-5</v>
      </c>
      <c r="T31" s="9">
        <f t="shared" si="10"/>
        <v>4.6761100478600112E-5</v>
      </c>
      <c r="U31" s="9">
        <f t="shared" si="11"/>
        <v>1.3233464803630624E-4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5.2541395657856595</v>
      </c>
      <c r="K32" s="95">
        <f t="shared" si="3"/>
        <v>1.0093287509087001E-3</v>
      </c>
      <c r="L32" s="95">
        <f t="shared" si="4"/>
        <v>0.17646510128150816</v>
      </c>
      <c r="M32" s="95">
        <f t="shared" si="5"/>
        <v>0.82353489871849184</v>
      </c>
      <c r="N32" s="95">
        <f t="shared" si="6"/>
        <v>0.10781005409219704</v>
      </c>
      <c r="O32" s="40">
        <f t="shared" si="7"/>
        <v>1.0108347766405508E-9</v>
      </c>
      <c r="P32" s="40">
        <f t="shared" si="8"/>
        <v>1.8147622669187211E-4</v>
      </c>
      <c r="Q32" s="40">
        <f t="shared" si="9"/>
        <v>1.1087156425840423E-2</v>
      </c>
      <c r="R32" s="9">
        <f t="shared" si="14"/>
        <v>1.4999999999999999E-4</v>
      </c>
      <c r="S32" s="9">
        <f t="shared" si="12"/>
        <v>2.6469765192226222E-5</v>
      </c>
      <c r="T32" s="9">
        <f t="shared" si="10"/>
        <v>1.5139931263630501E-7</v>
      </c>
      <c r="U32" s="9">
        <f t="shared" si="11"/>
        <v>1.2353023480777376E-4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4.7956325345638788</v>
      </c>
      <c r="K33" s="95">
        <f t="shared" si="3"/>
        <v>2.8297943772835009E-3</v>
      </c>
      <c r="L33" s="95">
        <f t="shared" si="4"/>
        <v>0.17213692216306023</v>
      </c>
      <c r="M33" s="95">
        <f t="shared" si="5"/>
        <v>0.8278630778369398</v>
      </c>
      <c r="N33" s="95">
        <f t="shared" si="6"/>
        <v>9.3504281820513221E-2</v>
      </c>
      <c r="O33" s="40">
        <f t="shared" si="7"/>
        <v>2.8340167311441221E-9</v>
      </c>
      <c r="P33" s="40">
        <f t="shared" si="8"/>
        <v>1.7702513914448533E-4</v>
      </c>
      <c r="Q33" s="40">
        <f t="shared" si="9"/>
        <v>9.6159547248101211E-3</v>
      </c>
      <c r="R33" s="9">
        <f t="shared" si="14"/>
        <v>1.4999999999999999E-4</v>
      </c>
      <c r="S33" s="9">
        <f t="shared" si="12"/>
        <v>2.5820538324459032E-5</v>
      </c>
      <c r="T33" s="9">
        <f t="shared" si="10"/>
        <v>4.2446915659252511E-7</v>
      </c>
      <c r="U33" s="9">
        <f t="shared" si="11"/>
        <v>1.2417946167554096E-4</v>
      </c>
      <c r="V33" s="102">
        <f t="shared" si="13"/>
        <v>3.4181913084918034E-3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4.7972521440478495</v>
      </c>
      <c r="K34" s="95">
        <f t="shared" si="3"/>
        <v>2.8639057717728587E-3</v>
      </c>
      <c r="L34" s="95">
        <f t="shared" si="4"/>
        <v>0.17486282417682283</v>
      </c>
      <c r="M34" s="95">
        <f t="shared" si="5"/>
        <v>0.82513717582317714</v>
      </c>
      <c r="N34" s="95">
        <f t="shared" si="6"/>
        <v>0.10311773005613871</v>
      </c>
      <c r="O34" s="40">
        <f t="shared" si="7"/>
        <v>2.8681790234582015E-9</v>
      </c>
      <c r="P34" s="40">
        <f t="shared" si="8"/>
        <v>1.7982844930721395E-4</v>
      </c>
      <c r="Q34" s="40">
        <f t="shared" si="9"/>
        <v>1.0604599107540412E-2</v>
      </c>
      <c r="R34" s="9">
        <f t="shared" si="14"/>
        <v>1.4999999999999999E-4</v>
      </c>
      <c r="S34" s="9">
        <f t="shared" si="12"/>
        <v>2.6229423626523423E-5</v>
      </c>
      <c r="T34" s="9">
        <f t="shared" si="10"/>
        <v>4.2958586576592875E-7</v>
      </c>
      <c r="U34" s="9">
        <f t="shared" si="11"/>
        <v>1.2377057637347655E-4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1.798585736505889</v>
      </c>
      <c r="K35" s="95">
        <f t="shared" si="3"/>
        <v>0.72428925785109732</v>
      </c>
      <c r="L35" s="95">
        <f t="shared" si="4"/>
        <v>4.4359270981366668E-2</v>
      </c>
      <c r="M35" s="95">
        <f t="shared" si="5"/>
        <v>0.95564072901863328</v>
      </c>
      <c r="N35" s="95">
        <f t="shared" si="6"/>
        <v>1.2545173259115675E-2</v>
      </c>
      <c r="O35" s="40">
        <f t="shared" si="7"/>
        <v>7.2536997437546546E-7</v>
      </c>
      <c r="P35" s="40">
        <f t="shared" si="8"/>
        <v>4.5618952744988212E-5</v>
      </c>
      <c r="Q35" s="40">
        <f t="shared" si="9"/>
        <v>1.2901421809336864E-3</v>
      </c>
      <c r="R35" s="9">
        <f t="shared" si="14"/>
        <v>1.4999999999999999E-4</v>
      </c>
      <c r="S35" s="9">
        <f t="shared" si="12"/>
        <v>6.6538906472049993E-6</v>
      </c>
      <c r="T35" s="9">
        <f t="shared" si="10"/>
        <v>1.0864338867766459E-4</v>
      </c>
      <c r="U35" s="9">
        <f t="shared" si="11"/>
        <v>1.4334610935279497E-4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7.7689430999035345</v>
      </c>
      <c r="K36" s="95">
        <f t="shared" si="3"/>
        <v>3.4932331121090954E-6</v>
      </c>
      <c r="L36" s="95">
        <f t="shared" si="4"/>
        <v>0.19982843522757612</v>
      </c>
      <c r="M36" s="95">
        <f t="shared" si="5"/>
        <v>0.8001715647724239</v>
      </c>
      <c r="N36" s="95">
        <f t="shared" si="6"/>
        <v>0.18954188165094263</v>
      </c>
      <c r="O36" s="40">
        <f t="shared" si="7"/>
        <v>3.4984453870487056E-12</v>
      </c>
      <c r="P36" s="40">
        <f t="shared" si="8"/>
        <v>2.0550301531287464E-4</v>
      </c>
      <c r="Q36" s="40">
        <f t="shared" si="9"/>
        <v>1.9492435179700295E-2</v>
      </c>
      <c r="R36" s="9">
        <f t="shared" si="14"/>
        <v>1.4999999999999999E-4</v>
      </c>
      <c r="S36" s="9">
        <f t="shared" si="12"/>
        <v>2.9974265284136416E-5</v>
      </c>
      <c r="T36" s="9">
        <f t="shared" si="10"/>
        <v>5.2398496681636432E-10</v>
      </c>
      <c r="U36" s="9">
        <f t="shared" si="11"/>
        <v>1.2002573471586358E-4</v>
      </c>
      <c r="V36" s="102">
        <f t="shared" si="13"/>
        <v>4.3656051600666448E-6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3.3743997874095357</v>
      </c>
      <c r="K37" s="95">
        <f t="shared" si="3"/>
        <v>6.9706284368948976E-2</v>
      </c>
      <c r="L37" s="95">
        <f t="shared" si="4"/>
        <v>0.16075272390396639</v>
      </c>
      <c r="M37" s="95">
        <f t="shared" si="5"/>
        <v>0.83924727609603367</v>
      </c>
      <c r="N37" s="95">
        <f t="shared" si="6"/>
        <v>8.7620061411323474E-2</v>
      </c>
      <c r="O37" s="40">
        <f t="shared" si="7"/>
        <v>6.9810293551127564E-8</v>
      </c>
      <c r="P37" s="40">
        <f t="shared" si="8"/>
        <v>1.6531766084441741E-4</v>
      </c>
      <c r="Q37" s="40">
        <f t="shared" si="9"/>
        <v>9.0108231100442283E-3</v>
      </c>
      <c r="R37" s="9">
        <f t="shared" si="14"/>
        <v>1.4999999999999999E-4</v>
      </c>
      <c r="S37" s="9">
        <f t="shared" si="12"/>
        <v>2.4112908585594957E-5</v>
      </c>
      <c r="T37" s="9">
        <f t="shared" si="10"/>
        <v>1.0455942655342345E-5</v>
      </c>
      <c r="U37" s="9">
        <f t="shared" si="11"/>
        <v>1.2588709141440503E-4</v>
      </c>
      <c r="V37" s="102">
        <f t="shared" si="13"/>
        <v>8.305810022190957E-2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1.9813184321206099</v>
      </c>
      <c r="K38" s="95">
        <f t="shared" si="3"/>
        <v>0.64023876484419984</v>
      </c>
      <c r="L38" s="95">
        <f t="shared" si="4"/>
        <v>5.9723742966288983E-2</v>
      </c>
      <c r="M38" s="95">
        <f t="shared" si="5"/>
        <v>0.94027625703371098</v>
      </c>
      <c r="N38" s="95">
        <f t="shared" si="6"/>
        <v>2.3660699811836709E-2</v>
      </c>
      <c r="O38" s="40">
        <f t="shared" si="7"/>
        <v>6.4119406910311004E-7</v>
      </c>
      <c r="P38" s="40">
        <f t="shared" si="8"/>
        <v>6.1419733639838512E-5</v>
      </c>
      <c r="Q38" s="40">
        <f t="shared" si="9"/>
        <v>2.433259886265777E-3</v>
      </c>
      <c r="R38" s="9">
        <f t="shared" si="14"/>
        <v>1.4999999999999999E-4</v>
      </c>
      <c r="S38" s="9">
        <f t="shared" si="12"/>
        <v>8.9585614449433469E-6</v>
      </c>
      <c r="T38" s="9">
        <f t="shared" si="10"/>
        <v>9.6035814726629963E-5</v>
      </c>
      <c r="U38" s="9">
        <f t="shared" si="11"/>
        <v>1.4104143855505664E-4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-4.3479864956087882E-3</v>
      </c>
      <c r="K39" s="95">
        <f t="shared" si="3"/>
        <v>0.99855839516213996</v>
      </c>
      <c r="L39" s="95">
        <f t="shared" si="4"/>
        <v>9.6274683666706538E-4</v>
      </c>
      <c r="M39" s="95">
        <f t="shared" si="5"/>
        <v>0.99903725316333292</v>
      </c>
      <c r="N39" s="95">
        <f t="shared" si="6"/>
        <v>4.710283931858439E-7</v>
      </c>
      <c r="O39" s="40">
        <f t="shared" si="7"/>
        <v>1.0000483503789272E-6</v>
      </c>
      <c r="P39" s="40">
        <f t="shared" si="8"/>
        <v>9.9008620916584345E-7</v>
      </c>
      <c r="Q39" s="40">
        <f t="shared" si="9"/>
        <v>4.8440430906357335E-8</v>
      </c>
      <c r="R39" s="9">
        <f t="shared" si="14"/>
        <v>1.4999999999999999E-4</v>
      </c>
      <c r="S39" s="9">
        <f t="shared" si="12"/>
        <v>1.4441202550005979E-7</v>
      </c>
      <c r="T39" s="9">
        <f t="shared" si="10"/>
        <v>1.4978375927432097E-4</v>
      </c>
      <c r="U39" s="9">
        <f t="shared" si="11"/>
        <v>1.4985558797449993E-4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2.306689397381505</v>
      </c>
      <c r="K40" s="95">
        <f t="shared" si="3"/>
        <v>0.44666356843355615</v>
      </c>
      <c r="L40" s="95">
        <f t="shared" si="4"/>
        <v>8.8136651793566737E-2</v>
      </c>
      <c r="M40" s="95">
        <f t="shared" si="5"/>
        <v>0.91186334820643322</v>
      </c>
      <c r="N40" s="95">
        <f t="shared" si="6"/>
        <v>2.4714518330871245E-2</v>
      </c>
      <c r="O40" s="40">
        <f t="shared" si="7"/>
        <v>4.4733003793314745E-7</v>
      </c>
      <c r="P40" s="40">
        <f t="shared" si="8"/>
        <v>9.0639491234225143E-5</v>
      </c>
      <c r="Q40" s="40">
        <f t="shared" si="9"/>
        <v>2.5416342940458858E-3</v>
      </c>
      <c r="R40" s="9">
        <f t="shared" si="14"/>
        <v>1.4999999999999999E-4</v>
      </c>
      <c r="S40" s="9">
        <f t="shared" si="12"/>
        <v>1.3220497769035009E-5</v>
      </c>
      <c r="T40" s="9">
        <f t="shared" si="10"/>
        <v>6.6999535265033414E-5</v>
      </c>
      <c r="U40" s="9">
        <f t="shared" si="11"/>
        <v>1.3677950223096497E-4</v>
      </c>
      <c r="V40" s="102">
        <f t="shared" si="13"/>
        <v>0.48983608049617289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2.3937036559113518</v>
      </c>
      <c r="K41" s="95">
        <f t="shared" si="3"/>
        <v>0.39671512464199199</v>
      </c>
      <c r="L41" s="95">
        <f t="shared" si="4"/>
        <v>9.5646489234820317E-2</v>
      </c>
      <c r="M41" s="95">
        <f t="shared" si="5"/>
        <v>0.90435351076517967</v>
      </c>
      <c r="N41" s="95">
        <f t="shared" si="6"/>
        <v>2.5614529189405381E-2</v>
      </c>
      <c r="O41" s="40">
        <f t="shared" si="7"/>
        <v>3.973070657567054E-7</v>
      </c>
      <c r="P41" s="40">
        <f t="shared" si="8"/>
        <v>9.8362587483913193E-5</v>
      </c>
      <c r="Q41" s="40">
        <f t="shared" si="9"/>
        <v>2.6341911641592189E-3</v>
      </c>
      <c r="R41" s="9">
        <f t="shared" si="14"/>
        <v>1.4999999999999999E-4</v>
      </c>
      <c r="S41" s="9">
        <f t="shared" si="12"/>
        <v>1.4346973385223047E-5</v>
      </c>
      <c r="T41" s="9">
        <f t="shared" si="10"/>
        <v>5.950726869629879E-5</v>
      </c>
      <c r="U41" s="9">
        <f t="shared" si="11"/>
        <v>1.3565302661477693E-4</v>
      </c>
      <c r="V41" s="102">
        <f t="shared" si="13"/>
        <v>0.43867262073912738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3.8177678868718958</v>
      </c>
      <c r="K42" s="95">
        <f t="shared" si="3"/>
        <v>2.7328032713722073E-2</v>
      </c>
      <c r="L42" s="95">
        <f t="shared" si="4"/>
        <v>0.17492942770716119</v>
      </c>
      <c r="M42" s="95">
        <f t="shared" si="5"/>
        <v>0.82507057229283887</v>
      </c>
      <c r="N42" s="95">
        <f t="shared" si="6"/>
        <v>0.11585985708360289</v>
      </c>
      <c r="O42" s="40">
        <f t="shared" si="7"/>
        <v>2.7368809041980505E-8</v>
      </c>
      <c r="P42" s="40">
        <f t="shared" si="8"/>
        <v>1.7989694419533859E-4</v>
      </c>
      <c r="Q42" s="40">
        <f t="shared" si="9"/>
        <v>1.1914995960051121E-2</v>
      </c>
      <c r="R42" s="9">
        <f t="shared" si="14"/>
        <v>1.4999999999999999E-4</v>
      </c>
      <c r="S42" s="9">
        <f t="shared" si="12"/>
        <v>2.6239414156074175E-5</v>
      </c>
      <c r="T42" s="9">
        <f t="shared" si="10"/>
        <v>4.0992049070583104E-6</v>
      </c>
      <c r="U42" s="9">
        <f t="shared" si="11"/>
        <v>1.2376058584392583E-4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3.5592350116770111</v>
      </c>
      <c r="K43" s="95">
        <f t="shared" si="3"/>
        <v>4.6911055277502792E-2</v>
      </c>
      <c r="L43" s="95">
        <f t="shared" si="4"/>
        <v>0.16557578924731167</v>
      </c>
      <c r="M43" s="95">
        <f t="shared" si="5"/>
        <v>0.83442421075268836</v>
      </c>
      <c r="N43" s="95">
        <f t="shared" si="6"/>
        <v>9.2944313111900989E-2</v>
      </c>
      <c r="O43" s="40">
        <f t="shared" si="7"/>
        <v>4.6981051556012228E-8</v>
      </c>
      <c r="P43" s="40">
        <f t="shared" si="8"/>
        <v>1.7027768802963604E-4</v>
      </c>
      <c r="Q43" s="40">
        <f t="shared" si="9"/>
        <v>9.5583676962325229E-3</v>
      </c>
      <c r="R43" s="9">
        <f t="shared" si="14"/>
        <v>1.4999999999999999E-4</v>
      </c>
      <c r="S43" s="9">
        <f t="shared" si="12"/>
        <v>2.4836368387096748E-5</v>
      </c>
      <c r="T43" s="9">
        <f t="shared" si="10"/>
        <v>7.0366582916254181E-6</v>
      </c>
      <c r="U43" s="9">
        <f t="shared" si="11"/>
        <v>1.2516363161290325E-4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1.9227193878324027</v>
      </c>
      <c r="K44" s="95">
        <f t="shared" si="3"/>
        <v>0.67131472116413637</v>
      </c>
      <c r="L44" s="95">
        <f t="shared" si="4"/>
        <v>5.4718247346419467E-2</v>
      </c>
      <c r="M44" s="95">
        <f t="shared" si="5"/>
        <v>0.9452817526535805</v>
      </c>
      <c r="N44" s="95">
        <f t="shared" si="6"/>
        <v>2.1927887298912884E-2</v>
      </c>
      <c r="O44" s="40">
        <f t="shared" si="7"/>
        <v>6.7231639405152138E-7</v>
      </c>
      <c r="P44" s="40">
        <f t="shared" si="8"/>
        <v>5.6272095658051351E-5</v>
      </c>
      <c r="Q44" s="40">
        <f t="shared" si="9"/>
        <v>2.2550579221798451E-3</v>
      </c>
      <c r="R44" s="9">
        <f t="shared" si="14"/>
        <v>1.4999999999999999E-4</v>
      </c>
      <c r="S44" s="9">
        <f t="shared" si="12"/>
        <v>8.2077371019629198E-6</v>
      </c>
      <c r="T44" s="9">
        <f t="shared" si="10"/>
        <v>1.0069720817462045E-4</v>
      </c>
      <c r="U44" s="9">
        <f t="shared" si="11"/>
        <v>1.4179226289803707E-4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3.6364038333307582</v>
      </c>
      <c r="K45" s="95">
        <f t="shared" si="3"/>
        <v>3.7918370791793859E-2</v>
      </c>
      <c r="L45" s="95">
        <f t="shared" si="4"/>
        <v>0.15986011533689368</v>
      </c>
      <c r="M45" s="95">
        <f t="shared" si="5"/>
        <v>0.8401398846631063</v>
      </c>
      <c r="N45" s="95">
        <f t="shared" si="6"/>
        <v>6.8225745304324487E-2</v>
      </c>
      <c r="O45" s="40">
        <f t="shared" si="7"/>
        <v>3.7974949029628552E-8</v>
      </c>
      <c r="P45" s="40">
        <f t="shared" si="8"/>
        <v>1.6439970463954278E-4</v>
      </c>
      <c r="Q45" s="40">
        <f t="shared" si="9"/>
        <v>7.0163169551117144E-3</v>
      </c>
      <c r="R45" s="9">
        <f t="shared" si="14"/>
        <v>1.4999999999999999E-4</v>
      </c>
      <c r="S45" s="9">
        <f t="shared" si="12"/>
        <v>2.3979017300534051E-5</v>
      </c>
      <c r="T45" s="9">
        <f t="shared" si="10"/>
        <v>5.6877556187690785E-6</v>
      </c>
      <c r="U45" s="9">
        <f t="shared" si="11"/>
        <v>1.2602098269946593E-4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1.8444393952218296</v>
      </c>
      <c r="K46" s="95">
        <f t="shared" si="3"/>
        <v>0.70926351499910567</v>
      </c>
      <c r="L46" s="95">
        <f t="shared" si="4"/>
        <v>4.8276261912381095E-2</v>
      </c>
      <c r="M46" s="95">
        <f t="shared" si="5"/>
        <v>0.9517237380876189</v>
      </c>
      <c r="N46" s="95">
        <f t="shared" si="6"/>
        <v>1.8652035766609031E-2</v>
      </c>
      <c r="O46" s="40">
        <f t="shared" si="7"/>
        <v>7.1032181151873804E-7</v>
      </c>
      <c r="P46" s="40">
        <f t="shared" si="8"/>
        <v>4.9647175486961443E-5</v>
      </c>
      <c r="Q46" s="40">
        <f t="shared" si="9"/>
        <v>1.9181702480912872E-3</v>
      </c>
      <c r="R46" s="9">
        <f t="shared" si="14"/>
        <v>1.4999999999999999E-4</v>
      </c>
      <c r="S46" s="9">
        <f t="shared" si="12"/>
        <v>7.2414392868571637E-6</v>
      </c>
      <c r="T46" s="9">
        <f t="shared" si="10"/>
        <v>1.0638952724986584E-4</v>
      </c>
      <c r="U46" s="9">
        <f t="shared" si="11"/>
        <v>1.4275856071314282E-4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2.8994221028694125</v>
      </c>
      <c r="K47" s="95">
        <f t="shared" si="3"/>
        <v>0.16833315693196874</v>
      </c>
      <c r="L47" s="95">
        <f t="shared" si="4"/>
        <v>0.13004042815024586</v>
      </c>
      <c r="M47" s="95">
        <f t="shared" si="5"/>
        <v>0.86995957184975414</v>
      </c>
      <c r="N47" s="95">
        <f t="shared" si="6"/>
        <v>2.9927903017540697E-2</v>
      </c>
      <c r="O47" s="40">
        <f t="shared" si="7"/>
        <v>1.6858432788656105E-7</v>
      </c>
      <c r="P47" s="40">
        <f t="shared" si="8"/>
        <v>1.3373322003456723E-4</v>
      </c>
      <c r="Q47" s="40">
        <f t="shared" si="9"/>
        <v>3.0777773468984009E-3</v>
      </c>
      <c r="R47" s="9">
        <f t="shared" si="14"/>
        <v>1.4999999999999999E-4</v>
      </c>
      <c r="S47" s="9">
        <f t="shared" si="12"/>
        <v>1.9506064222536878E-5</v>
      </c>
      <c r="T47" s="9">
        <f t="shared" si="10"/>
        <v>2.5249973539795307E-5</v>
      </c>
      <c r="U47" s="9">
        <f t="shared" si="11"/>
        <v>1.3049393577746311E-4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1.0772847763604276</v>
      </c>
      <c r="K48" s="95">
        <f t="shared" ref="K48:K50" si="17">IF(D48=0,"",1/(1+10^D48*$J$15/$J$14+10^E48*$J$16/$J$14+10^J48*$J$19/$J$14))</f>
        <v>0.93432985867922713</v>
      </c>
      <c r="L48" s="95">
        <f t="shared" ref="L48:L50" si="18">IF(D48=0,"",1/(1+10^I48/10^J48*$J$13/$J$19))</f>
        <v>1.0871053270247597E-2</v>
      </c>
      <c r="M48" s="95">
        <f t="shared" ref="M48:M92" si="19">IF(D48=0,"",1-L48)</f>
        <v>0.98912894672975238</v>
      </c>
      <c r="N48" s="95">
        <f t="shared" ref="N48:N50" si="20">IF(D48=0,"",1/(1/10^E48*$J$20/$J$22+10^D48/10^E48*$J$21/$J$22+10^I48/10^E48*$J$13/$J$22+1))</f>
        <v>2.0429081805901595E-3</v>
      </c>
      <c r="O48" s="40">
        <f t="shared" ref="O48:O92" si="21">IF(D48=0,"",F48*K48*$J$7/$J$14)</f>
        <v>9.3572397809566173E-7</v>
      </c>
      <c r="P48" s="40">
        <f t="shared" ref="P48:P50" si="22">IF(D48=0,"",O48*10^J48)</f>
        <v>1.117976139941504E-5</v>
      </c>
      <c r="Q48" s="40">
        <f t="shared" ref="Q48:Q50" si="23">IF(D48=0,"",F48*N48*$J$7/$J$22)</f>
        <v>2.100921175910206E-4</v>
      </c>
      <c r="R48" s="9">
        <f t="shared" si="14"/>
        <v>1.4999999999999999E-4</v>
      </c>
      <c r="S48" s="9">
        <f t="shared" si="12"/>
        <v>1.6306579905371394E-6</v>
      </c>
      <c r="T48" s="9">
        <f t="shared" si="10"/>
        <v>1.4014947880188405E-4</v>
      </c>
      <c r="U48" s="9">
        <f t="shared" si="11"/>
        <v>1.4836934200946285E-4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0.61123091181973244</v>
      </c>
      <c r="K49" s="95">
        <f t="shared" si="17"/>
        <v>0.97967721920787465</v>
      </c>
      <c r="L49" s="95">
        <f t="shared" si="18"/>
        <v>3.8976293838597778E-3</v>
      </c>
      <c r="M49" s="95">
        <f t="shared" si="19"/>
        <v>0.99610237061614026</v>
      </c>
      <c r="N49" s="95">
        <f t="shared" si="20"/>
        <v>6.7886220264650235E-4</v>
      </c>
      <c r="O49" s="40">
        <f t="shared" si="21"/>
        <v>9.8113900170411936E-7</v>
      </c>
      <c r="P49" s="40">
        <f t="shared" si="22"/>
        <v>4.0083113799247263E-6</v>
      </c>
      <c r="Q49" s="40">
        <f t="shared" si="23"/>
        <v>6.981400293052173E-5</v>
      </c>
      <c r="R49" s="9">
        <f t="shared" si="14"/>
        <v>1.4999999999999999E-4</v>
      </c>
      <c r="S49" s="9">
        <f t="shared" si="12"/>
        <v>5.8464440757896663E-7</v>
      </c>
      <c r="T49" s="9">
        <f t="shared" si="10"/>
        <v>1.4695158288118118E-4</v>
      </c>
      <c r="U49" s="9">
        <f t="shared" si="11"/>
        <v>1.4941535559242103E-4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6.7869130147026708E-3</v>
      </c>
      <c r="K57" s="55">
        <f t="shared" si="26"/>
        <v>0.99840931197355232</v>
      </c>
      <c r="L57" s="55">
        <f t="shared" si="27"/>
        <v>9.8760244288372814E-4</v>
      </c>
      <c r="M57" s="55">
        <f t="shared" si="28"/>
        <v>0.99901239755711624</v>
      </c>
      <c r="N57" s="55">
        <f t="shared" si="29"/>
        <v>1.1749279696742343E-5</v>
      </c>
      <c r="O57" s="56">
        <f t="shared" si="30"/>
        <v>9.9989904474238295E-7</v>
      </c>
      <c r="P57" s="56">
        <f t="shared" si="31"/>
        <v>1.0156476465015086E-6</v>
      </c>
      <c r="Q57" s="56">
        <f t="shared" si="32"/>
        <v>1.2082927050322436E-6</v>
      </c>
      <c r="R57" s="9">
        <f t="shared" ref="R57:R58" si="33">F57*$C$14</f>
        <v>1.4999999999999999E-4</v>
      </c>
      <c r="S57" s="9">
        <f t="shared" ref="S57:S58" si="34">$R57*L57</f>
        <v>1.4814036643255922E-7</v>
      </c>
      <c r="T57" s="9">
        <f t="shared" ref="T57:T58" si="35">R57*K57</f>
        <v>1.4976139679603284E-4</v>
      </c>
      <c r="U57" s="9">
        <f t="shared" ref="U57:U58" si="36">$R57*M57</f>
        <v>1.4985185963356743E-4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1.2457417230734267</v>
      </c>
      <c r="K58" s="55">
        <f t="shared" si="26"/>
        <v>0.90500649514214782</v>
      </c>
      <c r="L58" s="55">
        <f t="shared" si="27"/>
        <v>1.5519582672494854E-2</v>
      </c>
      <c r="M58" s="55">
        <f t="shared" si="28"/>
        <v>0.98448041732750513</v>
      </c>
      <c r="N58" s="55">
        <f t="shared" si="29"/>
        <v>3.4151305938484463E-3</v>
      </c>
      <c r="O58" s="56">
        <f t="shared" si="30"/>
        <v>9.0635686098474284E-7</v>
      </c>
      <c r="P58" s="56">
        <f t="shared" si="31"/>
        <v>1.5960296300989125E-5</v>
      </c>
      <c r="Q58" s="56">
        <f t="shared" si="32"/>
        <v>3.5121109461915668E-4</v>
      </c>
      <c r="R58" s="9">
        <f t="shared" si="33"/>
        <v>1.4999999999999999E-4</v>
      </c>
      <c r="S58" s="9">
        <f t="shared" si="34"/>
        <v>2.3279374008742277E-6</v>
      </c>
      <c r="T58" s="9">
        <f t="shared" si="35"/>
        <v>1.3575097427132217E-4</v>
      </c>
      <c r="U58" s="9">
        <f t="shared" si="36"/>
        <v>1.4767206259912576E-4</v>
      </c>
      <c r="V58" s="102">
        <f t="shared" si="37"/>
        <v>0.91927323206580458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1.3808784807262005</v>
      </c>
      <c r="K60" s="55">
        <f t="shared" si="26"/>
        <v>0.87093914592539468</v>
      </c>
      <c r="L60" s="55">
        <f t="shared" si="27"/>
        <v>2.0386980683041234E-2</v>
      </c>
      <c r="M60" s="55">
        <f t="shared" si="28"/>
        <v>0.97961301931695877</v>
      </c>
      <c r="N60" s="55">
        <f t="shared" si="29"/>
        <v>3.1324015535769498E-3</v>
      </c>
      <c r="O60" s="56">
        <f t="shared" si="30"/>
        <v>8.7223867966349425E-7</v>
      </c>
      <c r="P60" s="56">
        <f t="shared" si="31"/>
        <v>2.0965915079698007E-5</v>
      </c>
      <c r="Q60" s="56">
        <f t="shared" si="32"/>
        <v>3.2213531757764705E-4</v>
      </c>
      <c r="R60" s="9">
        <f>F60*$C$14</f>
        <v>1.4999999999999999E-4</v>
      </c>
      <c r="S60" s="9">
        <f t="shared" ref="S60:S93" si="38">$R60*L60</f>
        <v>3.0580471024561846E-6</v>
      </c>
      <c r="T60" s="9">
        <f t="shared" ref="T60:T93" si="39">R60*K60</f>
        <v>1.3064087188880918E-4</v>
      </c>
      <c r="U60" s="9">
        <f t="shared" ref="U60:U93" si="40">$R60*M60</f>
        <v>1.4694195289754379E-4</v>
      </c>
      <c r="V60" s="102">
        <f t="shared" ref="V60:V93" si="41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2.2990371955470583</v>
      </c>
      <c r="K61" s="55">
        <f t="shared" si="26"/>
        <v>0.44585039033095575</v>
      </c>
      <c r="L61" s="55">
        <f t="shared" si="27"/>
        <v>8.6439643345973358E-2</v>
      </c>
      <c r="M61" s="55">
        <f t="shared" si="28"/>
        <v>0.91356035665402668</v>
      </c>
      <c r="N61" s="55">
        <f t="shared" si="29"/>
        <v>1.8324780057818617E-2</v>
      </c>
      <c r="O61" s="56">
        <f t="shared" si="30"/>
        <v>4.4651564648242236E-7</v>
      </c>
      <c r="P61" s="56">
        <f t="shared" si="31"/>
        <v>8.889429239605834E-5</v>
      </c>
      <c r="Q61" s="56">
        <f t="shared" si="32"/>
        <v>1.8845153606583793E-3</v>
      </c>
      <c r="R61" s="9">
        <f>F61*$C$14</f>
        <v>1.4999999999999999E-4</v>
      </c>
      <c r="S61" s="9">
        <f t="shared" si="38"/>
        <v>1.2965946501896003E-5</v>
      </c>
      <c r="T61" s="9">
        <f t="shared" si="39"/>
        <v>6.6877558549643362E-5</v>
      </c>
      <c r="U61" s="9">
        <f t="shared" si="40"/>
        <v>1.3703405349810399E-4</v>
      </c>
      <c r="V61" s="102">
        <f t="shared" si="41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1.9778014578217622</v>
      </c>
      <c r="K62" s="55">
        <f t="shared" si="26"/>
        <v>0.63293557900848807</v>
      </c>
      <c r="L62" s="55">
        <f t="shared" si="27"/>
        <v>5.8566272868191792E-2</v>
      </c>
      <c r="M62" s="55">
        <f t="shared" si="28"/>
        <v>0.94143372713180817</v>
      </c>
      <c r="N62" s="55">
        <f t="shared" si="29"/>
        <v>1.5852184880668412E-2</v>
      </c>
      <c r="O62" s="56">
        <f t="shared" si="30"/>
        <v>6.3387998613820911E-7</v>
      </c>
      <c r="P62" s="56">
        <f t="shared" si="31"/>
        <v>6.022939456210631E-5</v>
      </c>
      <c r="Q62" s="56">
        <f t="shared" si="32"/>
        <v>1.6302343500635885E-3</v>
      </c>
      <c r="R62" s="9">
        <f>F62*$C$14</f>
        <v>1.4999999999999999E-4</v>
      </c>
      <c r="S62" s="9">
        <f t="shared" si="38"/>
        <v>8.7849409302287679E-6</v>
      </c>
      <c r="T62" s="9">
        <f t="shared" si="39"/>
        <v>9.4940336851273202E-5</v>
      </c>
      <c r="U62" s="9">
        <f t="shared" si="40"/>
        <v>1.4121505906977122E-4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1.9187713764182222</v>
      </c>
      <c r="K63" s="55">
        <f t="shared" si="26"/>
        <v>0.66325852672420049</v>
      </c>
      <c r="L63" s="55">
        <f t="shared" si="27"/>
        <v>5.3572367313715938E-2</v>
      </c>
      <c r="M63" s="55">
        <f t="shared" si="28"/>
        <v>0.94642763268628405</v>
      </c>
      <c r="N63" s="55">
        <f t="shared" si="29"/>
        <v>1.3775185676819257E-2</v>
      </c>
      <c r="O63" s="56">
        <f t="shared" si="30"/>
        <v>6.6424817891355573E-7</v>
      </c>
      <c r="P63" s="56">
        <f t="shared" si="31"/>
        <v>5.509367577181639E-5</v>
      </c>
      <c r="Q63" s="56">
        <f t="shared" si="32"/>
        <v>1.416636320980619E-3</v>
      </c>
      <c r="R63" s="9">
        <f>F63*$C$14</f>
        <v>1.4999999999999999E-4</v>
      </c>
      <c r="S63" s="9">
        <f t="shared" si="38"/>
        <v>8.0358550970573895E-6</v>
      </c>
      <c r="T63" s="9">
        <f t="shared" si="39"/>
        <v>9.9488779008630071E-5</v>
      </c>
      <c r="U63" s="9">
        <f t="shared" si="40"/>
        <v>1.419641449029426E-4</v>
      </c>
      <c r="V63" s="102">
        <f t="shared" si="41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1.1696356252833553</v>
      </c>
      <c r="K64" s="55">
        <f t="shared" si="26"/>
        <v>0.92058148409372975</v>
      </c>
      <c r="L64" s="55">
        <f t="shared" si="27"/>
        <v>1.3249042109064402E-2</v>
      </c>
      <c r="M64" s="55">
        <f t="shared" si="28"/>
        <v>0.98675095789093559</v>
      </c>
      <c r="N64" s="55">
        <f t="shared" si="29"/>
        <v>3.3850871571930279E-3</v>
      </c>
      <c r="O64" s="56">
        <f t="shared" si="30"/>
        <v>9.2195508947459526E-7</v>
      </c>
      <c r="P64" s="56">
        <f t="shared" si="31"/>
        <v>1.3625278606216325E-5</v>
      </c>
      <c r="Q64" s="56">
        <f t="shared" si="32"/>
        <v>3.4812143582459197E-4</v>
      </c>
      <c r="R64" s="9">
        <f>F64*$C$14</f>
        <v>1.4999999999999999E-4</v>
      </c>
      <c r="S64" s="9">
        <f t="shared" si="38"/>
        <v>1.9873563163596601E-6</v>
      </c>
      <c r="T64" s="9">
        <f t="shared" si="39"/>
        <v>1.3808722261405944E-4</v>
      </c>
      <c r="U64" s="9">
        <f t="shared" si="40"/>
        <v>1.4801264368364032E-4</v>
      </c>
      <c r="V64" s="102">
        <f t="shared" si="41"/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2.5613647148029952</v>
      </c>
      <c r="K65" s="55">
        <f t="shared" si="26"/>
        <v>0.31477088050418051</v>
      </c>
      <c r="L65" s="55">
        <f t="shared" si="27"/>
        <v>0.11164669803001451</v>
      </c>
      <c r="M65" s="55">
        <f t="shared" si="28"/>
        <v>0.88835330196998552</v>
      </c>
      <c r="N65" s="55">
        <f t="shared" si="29"/>
        <v>4.0044895848851729E-2</v>
      </c>
      <c r="O65" s="56">
        <f t="shared" si="30"/>
        <v>3.1524055210052592E-7</v>
      </c>
      <c r="P65" s="56">
        <f t="shared" si="31"/>
        <v>1.1481715837270247E-4</v>
      </c>
      <c r="Q65" s="56">
        <f t="shared" si="32"/>
        <v>4.1182061178915699E-3</v>
      </c>
      <c r="R65" s="9">
        <f>F65*$C$14</f>
        <v>1.4999999999999999E-4</v>
      </c>
      <c r="S65" s="9">
        <f t="shared" si="38"/>
        <v>1.6747004704502176E-5</v>
      </c>
      <c r="T65" s="9">
        <f t="shared" si="39"/>
        <v>4.7215632075627069E-5</v>
      </c>
      <c r="U65" s="9">
        <f t="shared" si="40"/>
        <v>1.3325299529549781E-4</v>
      </c>
      <c r="V65" s="102">
        <f t="shared" si="41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1.3503657480277556</v>
      </c>
      <c r="K68" s="55">
        <f t="shared" si="26"/>
        <v>0.87825175441518788</v>
      </c>
      <c r="L68" s="55">
        <f t="shared" si="27"/>
        <v>1.9163348321744555E-2</v>
      </c>
      <c r="M68" s="55">
        <f t="shared" si="28"/>
        <v>0.9808366516782554</v>
      </c>
      <c r="N68" s="55">
        <f t="shared" si="29"/>
        <v>2.5635255221280405E-3</v>
      </c>
      <c r="O68" s="56">
        <f t="shared" si="30"/>
        <v>8.7956219934207776E-7</v>
      </c>
      <c r="P68" s="56">
        <f t="shared" si="31"/>
        <v>1.970753491175793E-5</v>
      </c>
      <c r="Q68" s="56">
        <f t="shared" si="32"/>
        <v>2.6363226235988818E-4</v>
      </c>
      <c r="R68" s="9">
        <f>F68*$C$14</f>
        <v>1.4999999999999999E-4</v>
      </c>
      <c r="S68" s="9">
        <f t="shared" si="38"/>
        <v>2.8745022482616831E-6</v>
      </c>
      <c r="T68" s="9">
        <f t="shared" si="39"/>
        <v>1.3173776316227818E-4</v>
      </c>
      <c r="U68" s="9">
        <f t="shared" si="40"/>
        <v>1.471254977517383E-4</v>
      </c>
      <c r="V68" s="102">
        <f t="shared" si="41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3.475694792810029</v>
      </c>
      <c r="K69" s="55">
        <f t="shared" si="26"/>
        <v>5.3492205783887074E-2</v>
      </c>
      <c r="L69" s="55">
        <f t="shared" si="27"/>
        <v>0.15576573152859285</v>
      </c>
      <c r="M69" s="55">
        <f t="shared" si="28"/>
        <v>0.84423426847140715</v>
      </c>
      <c r="N69" s="55">
        <f t="shared" si="29"/>
        <v>6.1774626209352146E-2</v>
      </c>
      <c r="O69" s="56">
        <f t="shared" si="30"/>
        <v>5.3572021838162224E-8</v>
      </c>
      <c r="P69" s="56">
        <f t="shared" si="31"/>
        <v>1.6018905154857615E-4</v>
      </c>
      <c r="Q69" s="56">
        <f t="shared" si="32"/>
        <v>6.3528856348146487E-3</v>
      </c>
      <c r="R69" s="9">
        <f>F69*$C$14</f>
        <v>1.4999999999999999E-4</v>
      </c>
      <c r="S69" s="9">
        <f t="shared" si="38"/>
        <v>2.3364859729288925E-5</v>
      </c>
      <c r="T69" s="9">
        <f t="shared" si="39"/>
        <v>8.0238308675830606E-6</v>
      </c>
      <c r="U69" s="9">
        <f t="shared" si="40"/>
        <v>1.2663514027071106E-4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0.58023834032426458</v>
      </c>
      <c r="K70" s="55">
        <f t="shared" si="26"/>
        <v>0.98076859147564266</v>
      </c>
      <c r="L70" s="55">
        <f t="shared" si="27"/>
        <v>3.633218436003326E-3</v>
      </c>
      <c r="M70" s="55">
        <f t="shared" si="28"/>
        <v>0.99636678156399672</v>
      </c>
      <c r="N70" s="55">
        <f t="shared" si="29"/>
        <v>3.0603575476579231E-4</v>
      </c>
      <c r="O70" s="56">
        <f t="shared" si="30"/>
        <v>9.8223200241526313E-7</v>
      </c>
      <c r="P70" s="56">
        <f t="shared" si="31"/>
        <v>3.7363918855627073E-6</v>
      </c>
      <c r="Q70" s="56">
        <f t="shared" si="32"/>
        <v>3.1472633174701817E-5</v>
      </c>
      <c r="R70" s="9">
        <f t="shared" ref="R70:R86" si="42">F70*$C$14</f>
        <v>1.4999999999999999E-4</v>
      </c>
      <c r="S70" s="9">
        <f t="shared" si="38"/>
        <v>5.4498276540049891E-7</v>
      </c>
      <c r="T70" s="9">
        <f t="shared" si="39"/>
        <v>1.4711528872134638E-4</v>
      </c>
      <c r="U70" s="9">
        <f t="shared" si="40"/>
        <v>1.4945501723459949E-4</v>
      </c>
      <c r="V70" s="102">
        <f t="shared" si="41"/>
        <v>0.98434493162862213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1.1444407422837011</v>
      </c>
      <c r="K71" s="55">
        <f t="shared" ref="K71:K122" si="45">IF(D71=0,"",1/(1+10^D71*$J$15/$J$14+10^E71*$J$16/$J$14+10^J71*$J$19/$J$14))</f>
        <v>0.92406059607249913</v>
      </c>
      <c r="L71" s="55">
        <f t="shared" ref="L71:L122" si="46">IF(D71=0,"",1/(1+10^I71/10^J71*$J$13/$J$19))</f>
        <v>1.2549540175350173E-2</v>
      </c>
      <c r="M71" s="55">
        <f t="shared" si="19"/>
        <v>0.98745045982464985</v>
      </c>
      <c r="N71" s="55">
        <f t="shared" ref="N71:N122" si="47">IF(D71=0,"",1/(1/10^E71*$J$20/$J$22+10^D71/10^E71*$J$21/$J$22+10^I71/10^E71*$J$13/$J$22+1))</f>
        <v>2.7013762104292796E-3</v>
      </c>
      <c r="O71" s="56">
        <f t="shared" si="21"/>
        <v>9.2543939265807305E-7</v>
      </c>
      <c r="P71" s="56">
        <f t="shared" ref="P71:P122" si="48">IF(D71=0,"",O71*10^J71)</f>
        <v>1.2905912734028267E-5</v>
      </c>
      <c r="Q71" s="56">
        <f t="shared" ref="Q71:Q122" si="49">IF(D71=0,"",F71*N71*$J$7/$J$22)</f>
        <v>2.7780878937747576E-4</v>
      </c>
      <c r="R71" s="9">
        <f t="shared" si="42"/>
        <v>1.4999999999999999E-4</v>
      </c>
      <c r="S71" s="9">
        <f t="shared" si="38"/>
        <v>1.8824310263025257E-6</v>
      </c>
      <c r="T71" s="9">
        <f t="shared" si="39"/>
        <v>1.3860908941087485E-4</v>
      </c>
      <c r="U71" s="9">
        <f t="shared" si="40"/>
        <v>1.4811756897369747E-4</v>
      </c>
      <c r="V71" s="102">
        <f t="shared" si="41"/>
        <v>0.9358045123971005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3"/>
        <v>4.5043006346732313E-2</v>
      </c>
      <c r="J72" s="54">
        <f t="shared" si="44"/>
        <v>1.3276849779101709</v>
      </c>
      <c r="K72" s="55">
        <f t="shared" si="45"/>
        <v>0.88451024127278566</v>
      </c>
      <c r="L72" s="55">
        <f t="shared" si="46"/>
        <v>1.8317848516621181E-2</v>
      </c>
      <c r="M72" s="55">
        <f t="shared" si="19"/>
        <v>0.98168215148337878</v>
      </c>
      <c r="N72" s="55">
        <f t="shared" si="47"/>
        <v>2.7868557207934848E-3</v>
      </c>
      <c r="O72" s="56">
        <f t="shared" si="21"/>
        <v>8.8583002452699597E-7</v>
      </c>
      <c r="P72" s="56">
        <f t="shared" si="48"/>
        <v>1.8838025228606874E-5</v>
      </c>
      <c r="Q72" s="56">
        <f t="shared" si="49"/>
        <v>2.8659947880428665E-4</v>
      </c>
      <c r="R72" s="9">
        <f t="shared" si="42"/>
        <v>1.4999999999999999E-4</v>
      </c>
      <c r="S72" s="9">
        <f t="shared" si="38"/>
        <v>2.7476772774931769E-6</v>
      </c>
      <c r="T72" s="9">
        <f t="shared" si="39"/>
        <v>1.3267653619091784E-4</v>
      </c>
      <c r="U72" s="9">
        <f t="shared" si="40"/>
        <v>1.4725232272250679E-4</v>
      </c>
      <c r="V72" s="102">
        <f t="shared" si="41"/>
        <v>0.90101489564238213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3"/>
        <v>2.829962486439805</v>
      </c>
      <c r="J73" s="54">
        <f t="shared" si="44"/>
        <v>5.1978454460498824</v>
      </c>
      <c r="K73" s="55">
        <f t="shared" si="45"/>
        <v>1.2048860209398842E-3</v>
      </c>
      <c r="L73" s="55">
        <f t="shared" si="46"/>
        <v>0.18504528828076225</v>
      </c>
      <c r="M73" s="55">
        <f t="shared" si="19"/>
        <v>0.81495471171923772</v>
      </c>
      <c r="N73" s="55">
        <f t="shared" si="47"/>
        <v>0.13811491653013769</v>
      </c>
      <c r="O73" s="56">
        <f t="shared" si="21"/>
        <v>1.20668383889548E-9</v>
      </c>
      <c r="P73" s="56">
        <f t="shared" si="48"/>
        <v>1.9030006749454345E-4</v>
      </c>
      <c r="Q73" s="56">
        <f t="shared" si="49"/>
        <v>1.4203700176256199E-2</v>
      </c>
      <c r="R73" s="9">
        <f t="shared" si="42"/>
        <v>1.4999999999999999E-4</v>
      </c>
      <c r="S73" s="9">
        <f t="shared" si="38"/>
        <v>2.7756793242114335E-5</v>
      </c>
      <c r="T73" s="9">
        <f t="shared" si="39"/>
        <v>1.8073290314098263E-7</v>
      </c>
      <c r="U73" s="9">
        <f t="shared" si="40"/>
        <v>1.2224320675788565E-4</v>
      </c>
      <c r="V73" s="102">
        <f t="shared" si="41"/>
        <v>1.4784699120249799E-3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3"/>
        <v>3.957220636313619E-3</v>
      </c>
      <c r="J74" s="54">
        <f t="shared" si="44"/>
        <v>0.42916913204398671</v>
      </c>
      <c r="K74" s="55">
        <f t="shared" si="45"/>
        <v>0.98785667566715984</v>
      </c>
      <c r="L74" s="55">
        <f t="shared" si="46"/>
        <v>2.5843402443614829E-3</v>
      </c>
      <c r="M74" s="55">
        <f t="shared" si="19"/>
        <v>0.99741565975563851</v>
      </c>
      <c r="N74" s="55">
        <f t="shared" si="47"/>
        <v>2.3755630338315845E-4</v>
      </c>
      <c r="O74" s="56">
        <f t="shared" si="21"/>
        <v>9.8933066278146312E-7</v>
      </c>
      <c r="P74" s="56">
        <f t="shared" si="48"/>
        <v>2.6577284269171181E-6</v>
      </c>
      <c r="Q74" s="56">
        <f t="shared" si="49"/>
        <v>2.4430225156005278E-5</v>
      </c>
      <c r="R74" s="9">
        <f t="shared" si="42"/>
        <v>1.4999999999999999E-4</v>
      </c>
      <c r="S74" s="9">
        <f t="shared" si="38"/>
        <v>3.8765103665422242E-7</v>
      </c>
      <c r="T74" s="9">
        <f t="shared" si="39"/>
        <v>1.4817850135007395E-4</v>
      </c>
      <c r="U74" s="9">
        <f t="shared" si="40"/>
        <v>1.4961234896334577E-4</v>
      </c>
      <c r="V74" s="102">
        <f t="shared" si="41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3"/>
        <v>4.1980440605165602E-3</v>
      </c>
      <c r="J75" s="54">
        <f t="shared" si="44"/>
        <v>0.44418370932270096</v>
      </c>
      <c r="K75" s="55">
        <f t="shared" si="45"/>
        <v>0.98722076150788796</v>
      </c>
      <c r="L75" s="55">
        <f t="shared" si="46"/>
        <v>2.6735272128922366E-3</v>
      </c>
      <c r="M75" s="55">
        <f t="shared" si="19"/>
        <v>0.99732647278710773</v>
      </c>
      <c r="N75" s="55">
        <f t="shared" si="47"/>
        <v>2.2640077004766986E-4</v>
      </c>
      <c r="O75" s="56">
        <f t="shared" si="21"/>
        <v>9.8869379977070322E-7</v>
      </c>
      <c r="P75" s="56">
        <f t="shared" si="48"/>
        <v>2.7494480610062855E-6</v>
      </c>
      <c r="Q75" s="56">
        <f t="shared" si="49"/>
        <v>2.3282993164094132E-5</v>
      </c>
      <c r="R75" s="9">
        <f t="shared" si="42"/>
        <v>1.4999999999999999E-4</v>
      </c>
      <c r="S75" s="9">
        <f t="shared" si="38"/>
        <v>4.0102908193383544E-7</v>
      </c>
      <c r="T75" s="9">
        <f t="shared" si="39"/>
        <v>1.4808311422618317E-4</v>
      </c>
      <c r="U75" s="9">
        <f t="shared" si="40"/>
        <v>1.4959897091806616E-4</v>
      </c>
      <c r="V75" s="102">
        <f t="shared" si="41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3"/>
        <v>0.35626551305621779</v>
      </c>
      <c r="J76" s="54">
        <f t="shared" si="44"/>
        <v>2.3960547686651839</v>
      </c>
      <c r="K76" s="55">
        <f t="shared" si="45"/>
        <v>0.39764040017866586</v>
      </c>
      <c r="L76" s="55">
        <f t="shared" si="46"/>
        <v>9.6389980056519248E-2</v>
      </c>
      <c r="M76" s="55">
        <f t="shared" si="19"/>
        <v>0.90361001994348078</v>
      </c>
      <c r="N76" s="55">
        <f t="shared" si="47"/>
        <v>2.8704905519323639E-2</v>
      </c>
      <c r="O76" s="56">
        <f t="shared" si="21"/>
        <v>3.9823372190278533E-7</v>
      </c>
      <c r="P76" s="56">
        <f t="shared" si="48"/>
        <v>9.9127191407987253E-5</v>
      </c>
      <c r="Q76" s="56">
        <f t="shared" si="49"/>
        <v>2.9520046192495659E-3</v>
      </c>
      <c r="R76" s="9">
        <f t="shared" si="42"/>
        <v>1.4999999999999999E-4</v>
      </c>
      <c r="S76" s="9">
        <f t="shared" si="38"/>
        <v>1.4458497008477886E-5</v>
      </c>
      <c r="T76" s="9">
        <f t="shared" si="39"/>
        <v>5.9646060026799874E-5</v>
      </c>
      <c r="U76" s="9">
        <f t="shared" si="40"/>
        <v>1.3554150299152211E-4</v>
      </c>
      <c r="V76" s="102">
        <f t="shared" si="41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3"/>
        <v>2.1004549420906745E-4</v>
      </c>
      <c r="J77" s="54">
        <f t="shared" si="44"/>
        <v>3.6103930695935905E-2</v>
      </c>
      <c r="K77" s="55">
        <f t="shared" si="45"/>
        <v>0.99794369776950154</v>
      </c>
      <c r="L77" s="55">
        <f t="shared" si="46"/>
        <v>1.0560794456915623E-3</v>
      </c>
      <c r="M77" s="55">
        <f t="shared" si="19"/>
        <v>0.99894392055430847</v>
      </c>
      <c r="N77" s="55">
        <f t="shared" si="47"/>
        <v>1.4756815905796573E-5</v>
      </c>
      <c r="O77" s="56">
        <f t="shared" si="21"/>
        <v>9.9943273579247086E-7</v>
      </c>
      <c r="P77" s="56">
        <f t="shared" si="48"/>
        <v>1.0860692085808583E-6</v>
      </c>
      <c r="Q77" s="56">
        <f t="shared" si="49"/>
        <v>1.5175869047888575E-6</v>
      </c>
      <c r="R77" s="9">
        <f t="shared" si="42"/>
        <v>1.4999999999999999E-4</v>
      </c>
      <c r="S77" s="9">
        <f t="shared" si="38"/>
        <v>1.5841191685373434E-7</v>
      </c>
      <c r="T77" s="9">
        <f t="shared" si="39"/>
        <v>1.4969155466542522E-4</v>
      </c>
      <c r="U77" s="9">
        <f t="shared" si="40"/>
        <v>1.4984158808314626E-4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0.71549530837913433</v>
      </c>
      <c r="K78" s="55">
        <f t="shared" si="45"/>
        <v>0.97277897534871394</v>
      </c>
      <c r="L78" s="55">
        <f t="shared" si="46"/>
        <v>4.9203512118853824E-3</v>
      </c>
      <c r="M78" s="55">
        <f t="shared" si="19"/>
        <v>0.99507964878811461</v>
      </c>
      <c r="N78" s="55">
        <f t="shared" si="47"/>
        <v>7.5232205750927451E-4</v>
      </c>
      <c r="O78" s="56">
        <f t="shared" si="21"/>
        <v>9.7423046493222127E-7</v>
      </c>
      <c r="P78" s="56">
        <f t="shared" si="48"/>
        <v>5.060075705888648E-6</v>
      </c>
      <c r="Q78" s="56">
        <f t="shared" si="49"/>
        <v>7.7368594278621588E-5</v>
      </c>
      <c r="R78" s="9">
        <f t="shared" si="42"/>
        <v>1.4999999999999999E-4</v>
      </c>
      <c r="S78" s="9">
        <f t="shared" si="38"/>
        <v>7.3805268178280726E-7</v>
      </c>
      <c r="T78" s="9">
        <f t="shared" si="39"/>
        <v>1.4591684630230707E-4</v>
      </c>
      <c r="U78" s="9">
        <f t="shared" si="40"/>
        <v>1.4926194731821718E-4</v>
      </c>
      <c r="V78" s="102">
        <f t="shared" si="41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1.6323878148666415</v>
      </c>
      <c r="K79" s="55">
        <f t="shared" si="45"/>
        <v>0.79143342346305101</v>
      </c>
      <c r="L79" s="55">
        <f t="shared" si="46"/>
        <v>3.3058932190458225E-2</v>
      </c>
      <c r="M79" s="55">
        <f t="shared" si="19"/>
        <v>0.96694106780954181</v>
      </c>
      <c r="N79" s="55">
        <f t="shared" si="47"/>
        <v>7.0930170991497796E-3</v>
      </c>
      <c r="O79" s="56">
        <f t="shared" si="21"/>
        <v>7.9261432621620158E-7</v>
      </c>
      <c r="P79" s="56">
        <f t="shared" si="48"/>
        <v>3.3997715292250283E-5</v>
      </c>
      <c r="Q79" s="56">
        <f t="shared" si="49"/>
        <v>7.2944393518420728E-4</v>
      </c>
      <c r="R79" s="9">
        <f t="shared" si="42"/>
        <v>1.4999999999999999E-4</v>
      </c>
      <c r="S79" s="9">
        <f t="shared" si="38"/>
        <v>4.9588398285687334E-6</v>
      </c>
      <c r="T79" s="9">
        <f t="shared" si="39"/>
        <v>1.1871501351945764E-4</v>
      </c>
      <c r="U79" s="9">
        <f t="shared" si="40"/>
        <v>1.4504116017143126E-4</v>
      </c>
      <c r="V79" s="102">
        <f t="shared" si="41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4.3070548137368689</v>
      </c>
      <c r="K80" s="55">
        <f t="shared" si="45"/>
        <v>8.6415743251120336E-3</v>
      </c>
      <c r="L80" s="55">
        <f t="shared" si="46"/>
        <v>0.17066100661031772</v>
      </c>
      <c r="M80" s="55">
        <f t="shared" si="19"/>
        <v>0.82933899338968231</v>
      </c>
      <c r="N80" s="55">
        <f t="shared" si="47"/>
        <v>9.1279970103495547E-2</v>
      </c>
      <c r="O80" s="56">
        <f t="shared" si="21"/>
        <v>8.6544684721237004E-9</v>
      </c>
      <c r="P80" s="56">
        <f t="shared" si="48"/>
        <v>1.755073116336491E-4</v>
      </c>
      <c r="Q80" s="56">
        <f t="shared" si="49"/>
        <v>9.3872071172324944E-3</v>
      </c>
      <c r="R80" s="9">
        <f t="shared" si="42"/>
        <v>1.4999999999999999E-4</v>
      </c>
      <c r="S80" s="9">
        <f t="shared" si="38"/>
        <v>2.5599150991547654E-5</v>
      </c>
      <c r="T80" s="9">
        <f t="shared" si="39"/>
        <v>1.296236148766805E-6</v>
      </c>
      <c r="U80" s="9">
        <f t="shared" si="40"/>
        <v>1.2440084900845234E-4</v>
      </c>
      <c r="V80" s="102">
        <f t="shared" si="41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1.8320197616226608</v>
      </c>
      <c r="K81" s="55">
        <f t="shared" si="45"/>
        <v>0.71056507379190703</v>
      </c>
      <c r="L81" s="55">
        <f t="shared" si="46"/>
        <v>4.7001339819105842E-2</v>
      </c>
      <c r="M81" s="55">
        <f t="shared" si="19"/>
        <v>0.95299866018089419</v>
      </c>
      <c r="N81" s="55">
        <f t="shared" si="47"/>
        <v>1.4829362327544999E-2</v>
      </c>
      <c r="O81" s="56">
        <f t="shared" si="21"/>
        <v>7.116253123755416E-7</v>
      </c>
      <c r="P81" s="56">
        <f t="shared" si="48"/>
        <v>4.8336049099174419E-5</v>
      </c>
      <c r="Q81" s="56">
        <f t="shared" si="49"/>
        <v>1.5250475589257337E-3</v>
      </c>
      <c r="R81" s="9">
        <f t="shared" si="42"/>
        <v>1.4999999999999999E-4</v>
      </c>
      <c r="S81" s="9">
        <f t="shared" si="38"/>
        <v>7.0502009728658756E-6</v>
      </c>
      <c r="T81" s="9">
        <f t="shared" si="39"/>
        <v>1.0658476106878604E-4</v>
      </c>
      <c r="U81" s="9">
        <f t="shared" si="40"/>
        <v>1.4294979902713411E-4</v>
      </c>
      <c r="V81" s="102">
        <f t="shared" si="41"/>
        <v>0.74560973008821496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2.6025949535148953</v>
      </c>
      <c r="K82" s="55">
        <f t="shared" si="45"/>
        <v>0.29851857810052074</v>
      </c>
      <c r="L82" s="55">
        <f t="shared" si="46"/>
        <v>0.11642679367173599</v>
      </c>
      <c r="M82" s="55">
        <f t="shared" si="19"/>
        <v>0.88357320632826397</v>
      </c>
      <c r="N82" s="55">
        <f t="shared" si="47"/>
        <v>4.8563053255837055E-2</v>
      </c>
      <c r="O82" s="56">
        <f t="shared" si="21"/>
        <v>2.9896399953496428E-7</v>
      </c>
      <c r="P82" s="56">
        <f t="shared" si="48"/>
        <v>1.1973299563449641E-4</v>
      </c>
      <c r="Q82" s="56">
        <f t="shared" si="49"/>
        <v>4.9942110918841853E-3</v>
      </c>
      <c r="R82" s="9">
        <f t="shared" si="42"/>
        <v>1.4999999999999999E-4</v>
      </c>
      <c r="S82" s="9">
        <f t="shared" si="38"/>
        <v>1.7464019050760397E-5</v>
      </c>
      <c r="T82" s="9">
        <f t="shared" si="39"/>
        <v>4.4777786715078108E-5</v>
      </c>
      <c r="U82" s="9">
        <f t="shared" si="40"/>
        <v>1.3253598094923959E-4</v>
      </c>
      <c r="V82" s="102">
        <f t="shared" si="41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2.0064300527387009</v>
      </c>
      <c r="K83" s="55">
        <f t="shared" si="45"/>
        <v>0.62209804312666761</v>
      </c>
      <c r="L83" s="55">
        <f t="shared" si="46"/>
        <v>6.1485896193963226E-2</v>
      </c>
      <c r="M83" s="55">
        <f t="shared" si="19"/>
        <v>0.93851410380603673</v>
      </c>
      <c r="N83" s="55">
        <f t="shared" si="47"/>
        <v>2.0589293986834581E-2</v>
      </c>
      <c r="O83" s="56">
        <f t="shared" si="21"/>
        <v>6.2302627950142587E-7</v>
      </c>
      <c r="P83" s="56">
        <f t="shared" si="48"/>
        <v>6.3231927191361657E-5</v>
      </c>
      <c r="Q83" s="56">
        <f t="shared" si="49"/>
        <v>2.1173973527036064E-3</v>
      </c>
      <c r="R83" s="9">
        <f t="shared" si="42"/>
        <v>1.4999999999999999E-4</v>
      </c>
      <c r="S83" s="9">
        <f t="shared" si="38"/>
        <v>9.2228844290944827E-6</v>
      </c>
      <c r="T83" s="9">
        <f t="shared" si="39"/>
        <v>9.331470646900013E-5</v>
      </c>
      <c r="U83" s="9">
        <f t="shared" si="40"/>
        <v>1.4077711557090549E-4</v>
      </c>
      <c r="V83" s="102">
        <f t="shared" si="41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0.55351864127074724</v>
      </c>
      <c r="K84" s="55">
        <f t="shared" si="45"/>
        <v>0.98243740368538246</v>
      </c>
      <c r="L84" s="55">
        <f t="shared" si="46"/>
        <v>3.4222375289372263E-3</v>
      </c>
      <c r="M84" s="55">
        <f t="shared" si="19"/>
        <v>0.99657776247106278</v>
      </c>
      <c r="N84" s="55">
        <f t="shared" si="47"/>
        <v>4.165244583251989E-4</v>
      </c>
      <c r="O84" s="56">
        <f t="shared" si="21"/>
        <v>9.8390330467012179E-7</v>
      </c>
      <c r="P84" s="56">
        <f t="shared" si="48"/>
        <v>3.5194196987658133E-6</v>
      </c>
      <c r="Q84" s="56">
        <f t="shared" si="49"/>
        <v>4.2835261177873497E-5</v>
      </c>
      <c r="R84" s="9">
        <f t="shared" si="42"/>
        <v>1.4999999999999999E-4</v>
      </c>
      <c r="S84" s="9">
        <f t="shared" si="38"/>
        <v>5.1333562934058389E-7</v>
      </c>
      <c r="T84" s="9">
        <f t="shared" si="39"/>
        <v>1.4736561055280736E-4</v>
      </c>
      <c r="U84" s="9">
        <f t="shared" si="40"/>
        <v>1.494866643706594E-4</v>
      </c>
      <c r="V84" s="102">
        <f t="shared" si="41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1.8023749945199008</v>
      </c>
      <c r="K85" s="55">
        <f t="shared" si="45"/>
        <v>0.72569092923611334</v>
      </c>
      <c r="L85" s="55">
        <f t="shared" si="46"/>
        <v>4.4834600955787764E-2</v>
      </c>
      <c r="M85" s="55">
        <f t="shared" si="19"/>
        <v>0.95516539904421227</v>
      </c>
      <c r="N85" s="55">
        <f t="shared" si="47"/>
        <v>1.4935106168966702E-2</v>
      </c>
      <c r="O85" s="56">
        <f t="shared" si="21"/>
        <v>7.2677373720310759E-7</v>
      </c>
      <c r="P85" s="56">
        <f t="shared" si="48"/>
        <v>4.6107780788408968E-5</v>
      </c>
      <c r="Q85" s="56">
        <f t="shared" si="49"/>
        <v>1.5359222266066262E-3</v>
      </c>
      <c r="R85" s="9">
        <f t="shared" si="42"/>
        <v>1.4999999999999999E-4</v>
      </c>
      <c r="S85" s="9">
        <f t="shared" si="38"/>
        <v>6.7251901433681636E-6</v>
      </c>
      <c r="T85" s="9">
        <f t="shared" si="39"/>
        <v>1.0885363938541699E-4</v>
      </c>
      <c r="U85" s="9">
        <f t="shared" si="40"/>
        <v>1.4327480985663183E-4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1.2272811321709634</v>
      </c>
      <c r="K86" s="55">
        <f t="shared" si="45"/>
        <v>0.90935198036010334</v>
      </c>
      <c r="L86" s="55">
        <f t="shared" si="46"/>
        <v>1.494513246257877E-2</v>
      </c>
      <c r="M86" s="55">
        <f t="shared" si="19"/>
        <v>0.98505486753742122</v>
      </c>
      <c r="N86" s="55">
        <f t="shared" si="47"/>
        <v>3.6145866186652392E-3</v>
      </c>
      <c r="O86" s="56">
        <f t="shared" si="21"/>
        <v>9.1070883012832673E-7</v>
      </c>
      <c r="P86" s="56">
        <f t="shared" si="48"/>
        <v>1.5369533278947614E-5</v>
      </c>
      <c r="Q86" s="56">
        <f t="shared" si="49"/>
        <v>3.7172309756582946E-4</v>
      </c>
      <c r="R86" s="9">
        <f t="shared" si="42"/>
        <v>1.4999999999999999E-4</v>
      </c>
      <c r="S86" s="9">
        <f t="shared" si="38"/>
        <v>2.2417698693868155E-6</v>
      </c>
      <c r="T86" s="9">
        <f t="shared" si="39"/>
        <v>1.3640279705401549E-4</v>
      </c>
      <c r="U86" s="9">
        <f t="shared" si="40"/>
        <v>1.4775823013061316E-4</v>
      </c>
      <c r="V86" s="102">
        <f t="shared" si="41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3.4732152339918136</v>
      </c>
      <c r="K88" s="55">
        <f t="shared" si="45"/>
        <v>5.7170793090070733E-2</v>
      </c>
      <c r="L88" s="55">
        <f t="shared" si="46"/>
        <v>0.16552975431758657</v>
      </c>
      <c r="M88" s="55">
        <f t="shared" si="19"/>
        <v>0.83447024568241346</v>
      </c>
      <c r="N88" s="55">
        <f t="shared" si="47"/>
        <v>9.8027705295600523E-2</v>
      </c>
      <c r="O88" s="56">
        <f t="shared" si="21"/>
        <v>5.7256097987435879E-8</v>
      </c>
      <c r="P88" s="56">
        <f t="shared" si="48"/>
        <v>1.7023034583402987E-4</v>
      </c>
      <c r="Q88" s="56">
        <f t="shared" si="49"/>
        <v>1.0081142355693996E-2</v>
      </c>
      <c r="R88" s="9">
        <f>F88*$C$14</f>
        <v>1.4999999999999999E-4</v>
      </c>
      <c r="S88" s="9">
        <f t="shared" si="38"/>
        <v>2.4829463147637984E-5</v>
      </c>
      <c r="T88" s="9">
        <f t="shared" si="39"/>
        <v>8.5756189635106101E-6</v>
      </c>
      <c r="U88" s="9">
        <f t="shared" si="40"/>
        <v>1.2517053685236201E-4</v>
      </c>
      <c r="V88" s="102">
        <f t="shared" si="41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4.8822108795245622</v>
      </c>
      <c r="K89" s="55">
        <f t="shared" si="45"/>
        <v>2.4566361730302549E-3</v>
      </c>
      <c r="L89" s="55">
        <f t="shared" si="46"/>
        <v>0.18240567311023309</v>
      </c>
      <c r="M89" s="55">
        <f t="shared" si="19"/>
        <v>0.81759432688976696</v>
      </c>
      <c r="N89" s="55">
        <f t="shared" si="47"/>
        <v>0.1294626409055448</v>
      </c>
      <c r="O89" s="56">
        <f t="shared" si="21"/>
        <v>2.4603017352041732E-9</v>
      </c>
      <c r="P89" s="56">
        <f t="shared" si="48"/>
        <v>1.8758549448499347E-4</v>
      </c>
      <c r="Q89" s="56">
        <f t="shared" si="49"/>
        <v>1.3313902521509539E-2</v>
      </c>
      <c r="R89" s="9">
        <f>F89*$C$14</f>
        <v>1.4999999999999999E-4</v>
      </c>
      <c r="S89" s="9">
        <f t="shared" si="38"/>
        <v>2.7360850966534962E-5</v>
      </c>
      <c r="T89" s="9">
        <f t="shared" si="39"/>
        <v>3.6849542595453823E-7</v>
      </c>
      <c r="U89" s="9">
        <f t="shared" si="40"/>
        <v>1.2263914903346503E-4</v>
      </c>
      <c r="V89" s="102">
        <f t="shared" si="41"/>
        <v>3.0047128413618184E-3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5.2380464528641673</v>
      </c>
      <c r="K90" s="55">
        <f t="shared" si="45"/>
        <v>1.1045245413916385E-3</v>
      </c>
      <c r="L90" s="55">
        <f t="shared" si="46"/>
        <v>0.18608374693208904</v>
      </c>
      <c r="M90" s="55">
        <f t="shared" si="19"/>
        <v>0.81391625306791093</v>
      </c>
      <c r="N90" s="55">
        <f t="shared" si="47"/>
        <v>0.14171929703274769</v>
      </c>
      <c r="O90" s="56">
        <f t="shared" si="21"/>
        <v>1.1061726093569063E-9</v>
      </c>
      <c r="P90" s="56">
        <f t="shared" si="48"/>
        <v>1.9136801552647578E-4</v>
      </c>
      <c r="Q90" s="56">
        <f t="shared" si="49"/>
        <v>1.4574373679643104E-2</v>
      </c>
      <c r="R90" s="9">
        <f>F90*$C$14</f>
        <v>1.4999999999999999E-4</v>
      </c>
      <c r="S90" s="9">
        <f t="shared" si="38"/>
        <v>2.7912562039813354E-5</v>
      </c>
      <c r="T90" s="9">
        <f t="shared" si="39"/>
        <v>1.6567868120874576E-7</v>
      </c>
      <c r="U90" s="9">
        <f t="shared" si="40"/>
        <v>1.2208743796018664E-4</v>
      </c>
      <c r="V90" s="102">
        <f t="shared" si="41"/>
        <v>1.3570493736036501E-3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5.6480480937018527</v>
      </c>
      <c r="K91" s="55">
        <f t="shared" si="45"/>
        <v>4.372789123642887E-4</v>
      </c>
      <c r="L91" s="55">
        <f t="shared" si="46"/>
        <v>0.18936218117904871</v>
      </c>
      <c r="M91" s="55">
        <f t="shared" si="19"/>
        <v>0.81063781882095132</v>
      </c>
      <c r="N91" s="55">
        <f t="shared" si="47"/>
        <v>0.15291924801415302</v>
      </c>
      <c r="O91" s="56">
        <f t="shared" si="21"/>
        <v>4.379313789599578E-10</v>
      </c>
      <c r="P91" s="56">
        <f t="shared" si="48"/>
        <v>1.9473954832403752E-4</v>
      </c>
      <c r="Q91" s="56">
        <f t="shared" si="49"/>
        <v>1.5726173570091109E-2</v>
      </c>
      <c r="R91" s="9">
        <f t="shared" ref="R91:R92" si="50">F91*$C$14</f>
        <v>1.4999999999999999E-4</v>
      </c>
      <c r="S91" s="9">
        <f t="shared" si="38"/>
        <v>2.8404327176857304E-5</v>
      </c>
      <c r="T91" s="9">
        <f t="shared" si="39"/>
        <v>6.5591836854643297E-8</v>
      </c>
      <c r="U91" s="9">
        <f t="shared" si="40"/>
        <v>1.2159567282314269E-4</v>
      </c>
      <c r="V91" s="102">
        <f t="shared" si="41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6.8825918577396408</v>
      </c>
      <c r="K92" s="55">
        <f t="shared" si="45"/>
        <v>2.6171826991080817E-5</v>
      </c>
      <c r="L92" s="55">
        <f t="shared" si="46"/>
        <v>0.19449682580891381</v>
      </c>
      <c r="M92" s="55">
        <f t="shared" si="19"/>
        <v>0.80550317419108619</v>
      </c>
      <c r="N92" s="55">
        <f t="shared" si="47"/>
        <v>0.17078458167439514</v>
      </c>
      <c r="O92" s="56">
        <f t="shared" si="21"/>
        <v>2.6210878137560723E-11</v>
      </c>
      <c r="P92" s="56">
        <f t="shared" si="48"/>
        <v>2.0002000279387131E-4</v>
      </c>
      <c r="Q92" s="56">
        <f t="shared" si="49"/>
        <v>1.7563439589098444E-2</v>
      </c>
      <c r="R92" s="9">
        <f t="shared" si="50"/>
        <v>1.4999999999999999E-4</v>
      </c>
      <c r="S92" s="9">
        <f t="shared" si="38"/>
        <v>2.917452387133707E-5</v>
      </c>
      <c r="T92" s="9">
        <f t="shared" si="39"/>
        <v>3.925774048662122E-9</v>
      </c>
      <c r="U92" s="9">
        <f t="shared" si="40"/>
        <v>1.2082547612866291E-4</v>
      </c>
      <c r="V92" s="102">
        <f t="shared" si="41"/>
        <v>3.2491277290574878E-5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1.1804947002134922</v>
      </c>
      <c r="K93" s="55">
        <f t="shared" si="45"/>
        <v>0.91528875127035214</v>
      </c>
      <c r="L93" s="55">
        <f t="shared" si="46"/>
        <v>1.3506394940213348E-2</v>
      </c>
      <c r="M93" s="55">
        <f t="shared" ref="M93:M127" si="51">IF(D93=0,"",1-L93)</f>
        <v>0.98649360505978667</v>
      </c>
      <c r="N93" s="55">
        <f t="shared" si="47"/>
        <v>1.5850564894692022E-3</v>
      </c>
      <c r="O93" s="56">
        <f t="shared" ref="O93:O127" si="52">IF(D93=0,"",F93*K93*$J$7/$J$14)</f>
        <v>9.1665445933152205E-7</v>
      </c>
      <c r="P93" s="56">
        <f t="shared" si="48"/>
        <v>1.3889939552693647E-5</v>
      </c>
      <c r="Q93" s="56">
        <f t="shared" si="49"/>
        <v>1.6300677511496081E-4</v>
      </c>
      <c r="R93" s="9">
        <f>F93*$C$14</f>
        <v>1.4999999999999999E-4</v>
      </c>
      <c r="S93" s="9">
        <f t="shared" si="38"/>
        <v>2.0259592410320022E-6</v>
      </c>
      <c r="T93" s="9">
        <f t="shared" si="39"/>
        <v>1.3729331269055281E-4</v>
      </c>
      <c r="U93" s="9">
        <f t="shared" si="40"/>
        <v>1.4797404075896799E-4</v>
      </c>
      <c r="V93" s="102">
        <f t="shared" si="41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0.26095660478938415</v>
      </c>
      <c r="K107" s="55">
        <f t="shared" si="45"/>
        <v>0.99326129935581509</v>
      </c>
      <c r="L107" s="55">
        <f t="shared" si="46"/>
        <v>1.764033135525103E-3</v>
      </c>
      <c r="M107" s="55">
        <f t="shared" si="51"/>
        <v>0.99823596686447491</v>
      </c>
      <c r="N107" s="55">
        <f t="shared" si="47"/>
        <v>1.1302177767244454E-4</v>
      </c>
      <c r="O107" s="56">
        <f t="shared" si="52"/>
        <v>9.9474335074287257E-7</v>
      </c>
      <c r="P107" s="56">
        <f t="shared" si="48"/>
        <v>1.8141268436065213E-6</v>
      </c>
      <c r="Q107" s="56">
        <f t="shared" si="49"/>
        <v>1.1623128650963601E-5</v>
      </c>
      <c r="R107" s="9">
        <f>F107*$C$14</f>
        <v>1.4999999999999999E-4</v>
      </c>
      <c r="S107" s="9">
        <f t="shared" ref="S107:S108" si="53">$R107*L107</f>
        <v>2.6460497032876541E-7</v>
      </c>
      <c r="T107" s="9">
        <f t="shared" ref="T107:T108" si="54">R107*K107</f>
        <v>1.4898919490337226E-4</v>
      </c>
      <c r="U107" s="9">
        <f t="shared" ref="U107:U108" si="55">$R107*M107</f>
        <v>1.4973539502967123E-4</v>
      </c>
      <c r="V107" s="102">
        <f t="shared" ref="V107:V108" si="56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0.88901420040828383</v>
      </c>
      <c r="K108" s="55">
        <f t="shared" si="45"/>
        <v>0.95764385832387278</v>
      </c>
      <c r="L108" s="55">
        <f t="shared" si="46"/>
        <v>7.2227876652628106E-3</v>
      </c>
      <c r="M108" s="55">
        <f t="shared" si="51"/>
        <v>0.99277721233473715</v>
      </c>
      <c r="N108" s="55">
        <f t="shared" si="47"/>
        <v>1.1195400830439374E-3</v>
      </c>
      <c r="O108" s="56">
        <f t="shared" si="52"/>
        <v>9.5907276470475846E-7</v>
      </c>
      <c r="P108" s="56">
        <f t="shared" si="48"/>
        <v>7.4278950464969183E-6</v>
      </c>
      <c r="Q108" s="56">
        <f t="shared" si="49"/>
        <v>1.1513319541692811E-4</v>
      </c>
      <c r="R108" s="9">
        <f>F108*$C$14</f>
        <v>1.4999999999999999E-4</v>
      </c>
      <c r="S108" s="9">
        <f t="shared" si="53"/>
        <v>1.0834181497894215E-6</v>
      </c>
      <c r="T108" s="9">
        <f t="shared" si="54"/>
        <v>1.4364657874858089E-4</v>
      </c>
      <c r="U108" s="9">
        <f t="shared" si="55"/>
        <v>1.4891658185021056E-4</v>
      </c>
      <c r="V108" s="102">
        <f t="shared" si="56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0.74385538428887032</v>
      </c>
      <c r="K114" s="55">
        <f t="shared" si="45"/>
        <v>0.97081962015616485</v>
      </c>
      <c r="L114" s="55">
        <f t="shared" si="46"/>
        <v>5.2418012328372945E-3</v>
      </c>
      <c r="M114" s="55">
        <f t="shared" si="51"/>
        <v>0.99475819876716276</v>
      </c>
      <c r="N114" s="55">
        <f t="shared" si="47"/>
        <v>8.821738182480277E-4</v>
      </c>
      <c r="O114" s="56">
        <f t="shared" si="52"/>
        <v>9.7226818617355472E-7</v>
      </c>
      <c r="P114" s="56">
        <f t="shared" si="48"/>
        <v>5.3906540267506065E-6</v>
      </c>
      <c r="Q114" s="56">
        <f t="shared" si="49"/>
        <v>9.0722513777170103E-5</v>
      </c>
      <c r="R114" s="9">
        <f>F114*$C$14</f>
        <v>1.4999999999999999E-4</v>
      </c>
      <c r="S114" s="9">
        <f t="shared" ref="S114:S116" si="57">$R114*L114</f>
        <v>7.8627018492559413E-7</v>
      </c>
      <c r="T114" s="9">
        <f t="shared" ref="T114:T116" si="58">R114*K114</f>
        <v>1.4562294302342471E-4</v>
      </c>
      <c r="U114" s="9">
        <f t="shared" ref="U114:U116" si="59">$R114*M114</f>
        <v>1.492137298150744E-4</v>
      </c>
      <c r="V114" s="102">
        <f t="shared" ref="V114:V116" si="60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0.98473247557463439</v>
      </c>
      <c r="K115" s="55">
        <f t="shared" si="45"/>
        <v>0.94497170764222083</v>
      </c>
      <c r="L115" s="55">
        <f t="shared" si="46"/>
        <v>8.8846004338271108E-3</v>
      </c>
      <c r="M115" s="55">
        <f t="shared" si="51"/>
        <v>0.99111539956617289</v>
      </c>
      <c r="N115" s="55">
        <f t="shared" si="47"/>
        <v>4.9079646443606203E-4</v>
      </c>
      <c r="O115" s="56">
        <f t="shared" si="52"/>
        <v>9.4638170582794471E-7</v>
      </c>
      <c r="P115" s="56">
        <f t="shared" si="48"/>
        <v>9.1368987447767498E-6</v>
      </c>
      <c r="Q115" s="56">
        <f t="shared" si="49"/>
        <v>5.0473373937819839E-5</v>
      </c>
      <c r="R115" s="9">
        <f>F115*$C$14</f>
        <v>1.4999999999999999E-4</v>
      </c>
      <c r="S115" s="9">
        <f t="shared" si="57"/>
        <v>1.3326900650740665E-6</v>
      </c>
      <c r="T115" s="9">
        <f t="shared" si="58"/>
        <v>1.4174575614633311E-4</v>
      </c>
      <c r="U115" s="9">
        <f t="shared" si="59"/>
        <v>1.4866730993492593E-4</v>
      </c>
      <c r="V115" s="102">
        <f t="shared" si="60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9.2579382109452407E-2</v>
      </c>
      <c r="K116" s="55">
        <f t="shared" si="45"/>
        <v>0.99693928087944828</v>
      </c>
      <c r="L116" s="55">
        <f t="shared" si="46"/>
        <v>1.2015302518547106E-3</v>
      </c>
      <c r="M116" s="55">
        <f t="shared" si="51"/>
        <v>0.99879846974814523</v>
      </c>
      <c r="N116" s="55">
        <f t="shared" si="47"/>
        <v>1.3264483008063472E-5</v>
      </c>
      <c r="O116" s="56">
        <f t="shared" si="52"/>
        <v>9.9842682020570378E-7</v>
      </c>
      <c r="P116" s="56">
        <f t="shared" si="48"/>
        <v>1.2356504191436804E-6</v>
      </c>
      <c r="Q116" s="56">
        <f t="shared" si="49"/>
        <v>1.3641157984443138E-6</v>
      </c>
      <c r="R116" s="9">
        <f>F116*$C$14</f>
        <v>1.4999999999999999E-4</v>
      </c>
      <c r="S116" s="9">
        <f t="shared" si="57"/>
        <v>1.8022953777820658E-7</v>
      </c>
      <c r="T116" s="9">
        <f t="shared" si="58"/>
        <v>1.4954089213191723E-4</v>
      </c>
      <c r="U116" s="9">
        <f t="shared" si="59"/>
        <v>1.4981977046222178E-4</v>
      </c>
      <c r="V116" s="102">
        <f t="shared" si="60"/>
        <v>0.99813857457234012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2.733342553277482</v>
      </c>
      <c r="K119" s="55">
        <f t="shared" si="45"/>
        <v>0.2372375034607255</v>
      </c>
      <c r="L119" s="55">
        <f t="shared" si="46"/>
        <v>0.12502950678325828</v>
      </c>
      <c r="M119" s="55">
        <f t="shared" si="51"/>
        <v>0.8749704932167417</v>
      </c>
      <c r="N119" s="55">
        <f t="shared" si="47"/>
        <v>4.7516338190534434E-2</v>
      </c>
      <c r="O119" s="56">
        <f t="shared" si="52"/>
        <v>2.3759148702103746E-7</v>
      </c>
      <c r="P119" s="56">
        <f t="shared" si="48"/>
        <v>1.2858000222930885E-4</v>
      </c>
      <c r="Q119" s="56">
        <f t="shared" si="49"/>
        <v>4.8865672013397136E-3</v>
      </c>
      <c r="R119" s="9">
        <f>F119*$C$14</f>
        <v>1.4999999999999999E-4</v>
      </c>
      <c r="S119" s="9">
        <f t="shared" ref="S119:S121" si="61">$R119*L119</f>
        <v>1.8754426017488739E-5</v>
      </c>
      <c r="T119" s="9">
        <f t="shared" ref="T119:T121" si="62">R119*K119</f>
        <v>3.5585625519108819E-5</v>
      </c>
      <c r="U119" s="9">
        <f t="shared" ref="U119:U121" si="63">$R119*M119</f>
        <v>1.3124557398251125E-4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1.0536489251052004</v>
      </c>
      <c r="K120" s="55">
        <f t="shared" si="45"/>
        <v>0.93702990317056878</v>
      </c>
      <c r="L120" s="55">
        <f t="shared" si="46"/>
        <v>1.032497467954571E-2</v>
      </c>
      <c r="M120" s="55">
        <f t="shared" si="51"/>
        <v>0.98967502532045426</v>
      </c>
      <c r="N120" s="55">
        <f t="shared" si="47"/>
        <v>1.500984025409496E-3</v>
      </c>
      <c r="O120" s="56">
        <f t="shared" si="52"/>
        <v>9.3842805134024889E-7</v>
      </c>
      <c r="P120" s="56">
        <f t="shared" si="48"/>
        <v>1.0618175672842949E-5</v>
      </c>
      <c r="Q120" s="56">
        <f t="shared" si="49"/>
        <v>1.5436078594461246E-4</v>
      </c>
      <c r="R120" s="9">
        <f>F120*$C$14</f>
        <v>1.4999999999999999E-4</v>
      </c>
      <c r="S120" s="9">
        <f t="shared" si="61"/>
        <v>1.5487462019318564E-6</v>
      </c>
      <c r="T120" s="9">
        <f t="shared" si="62"/>
        <v>1.4055448547558531E-4</v>
      </c>
      <c r="U120" s="9">
        <f t="shared" si="63"/>
        <v>1.4845125379806814E-4</v>
      </c>
      <c r="V120" s="102">
        <f t="shared" si="64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3.2754781567040245</v>
      </c>
      <c r="K121" s="55">
        <f t="shared" si="45"/>
        <v>7.9284990349671972E-2</v>
      </c>
      <c r="L121" s="55">
        <f t="shared" si="46"/>
        <v>0.14559811551934315</v>
      </c>
      <c r="M121" s="55">
        <f t="shared" si="51"/>
        <v>0.8544018844806569</v>
      </c>
      <c r="N121" s="55">
        <f t="shared" si="47"/>
        <v>3.9168469077248774E-2</v>
      </c>
      <c r="O121" s="56">
        <f t="shared" si="52"/>
        <v>7.9403291978857356E-8</v>
      </c>
      <c r="P121" s="56">
        <f t="shared" si="48"/>
        <v>1.497327031011459E-4</v>
      </c>
      <c r="Q121" s="56">
        <f t="shared" si="49"/>
        <v>4.0280746288168454E-3</v>
      </c>
      <c r="R121" s="9">
        <f>F121*$C$14</f>
        <v>1.4999999999999999E-4</v>
      </c>
      <c r="S121" s="9">
        <f t="shared" si="61"/>
        <v>2.183971732790147E-5</v>
      </c>
      <c r="T121" s="9">
        <f t="shared" si="62"/>
        <v>1.1892748552450794E-5</v>
      </c>
      <c r="U121" s="9">
        <f t="shared" si="63"/>
        <v>1.2816028267209853E-4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1.8871961709462508</v>
      </c>
      <c r="K124" s="55">
        <f t="shared" si="67"/>
        <v>0.68699745738245621</v>
      </c>
      <c r="L124" s="55">
        <f t="shared" si="68"/>
        <v>5.1598600229568123E-2</v>
      </c>
      <c r="M124" s="55">
        <f t="shared" si="51"/>
        <v>0.94840139977043192</v>
      </c>
      <c r="N124" s="55">
        <f t="shared" si="69"/>
        <v>1.8963816717273804E-2</v>
      </c>
      <c r="O124" s="56">
        <f t="shared" si="52"/>
        <v>6.8802253057848127E-7</v>
      </c>
      <c r="P124" s="56">
        <f t="shared" si="70"/>
        <v>5.3063859110059829E-5</v>
      </c>
      <c r="Q124" s="56">
        <f t="shared" si="71"/>
        <v>1.9502337156382138E-3</v>
      </c>
      <c r="R124" s="9">
        <f>F124*$C$14</f>
        <v>1.4999999999999999E-4</v>
      </c>
      <c r="S124" s="9">
        <f t="shared" ref="S124:S127" si="72">$R124*L124</f>
        <v>7.7397900344352174E-6</v>
      </c>
      <c r="T124" s="9">
        <f t="shared" ref="T124:T127" si="73">R124*K124</f>
        <v>1.0304961860736842E-4</v>
      </c>
      <c r="U124" s="9">
        <f t="shared" ref="U124:U127" si="74">$R124*M124</f>
        <v>1.4226020996556477E-4</v>
      </c>
      <c r="V124" s="102">
        <f t="shared" ref="V124:V127" si="75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1.3721776759184094</v>
      </c>
      <c r="K126" s="55">
        <f t="shared" si="67"/>
        <v>0.87430234322743183</v>
      </c>
      <c r="L126" s="55">
        <f t="shared" si="68"/>
        <v>2.0059769474111568E-2</v>
      </c>
      <c r="M126" s="55">
        <f t="shared" si="51"/>
        <v>0.97994023052588841</v>
      </c>
      <c r="N126" s="55">
        <f t="shared" si="69"/>
        <v>3.7000045821379531E-3</v>
      </c>
      <c r="O126" s="56">
        <f t="shared" si="52"/>
        <v>8.7560689521322684E-7</v>
      </c>
      <c r="P126" s="56">
        <f t="shared" si="70"/>
        <v>2.06294119689038E-5</v>
      </c>
      <c r="Q126" s="56">
        <f t="shared" si="71"/>
        <v>3.8050745752718154E-4</v>
      </c>
      <c r="R126" s="9">
        <f>F126*$C$14</f>
        <v>1.4999999999999999E-4</v>
      </c>
      <c r="S126" s="9">
        <f t="shared" si="72"/>
        <v>3.0089654211167348E-6</v>
      </c>
      <c r="T126" s="9">
        <f t="shared" si="73"/>
        <v>1.3114535148411475E-4</v>
      </c>
      <c r="U126" s="9">
        <f t="shared" si="74"/>
        <v>1.4699103457888326E-4</v>
      </c>
      <c r="V126" s="102">
        <f t="shared" si="75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5"/>
        <v>5.4598878066109929E-5</v>
      </c>
      <c r="J127" s="54">
        <f t="shared" si="66"/>
        <v>9.7513741218238463E-3</v>
      </c>
      <c r="K127" s="55">
        <f t="shared" si="67"/>
        <v>0.99836267409425539</v>
      </c>
      <c r="L127" s="55">
        <f t="shared" si="68"/>
        <v>9.9432035324784475E-4</v>
      </c>
      <c r="M127" s="55">
        <f t="shared" si="51"/>
        <v>0.99900567964675213</v>
      </c>
      <c r="N127" s="55">
        <f t="shared" si="69"/>
        <v>1.1554042353025519E-5</v>
      </c>
      <c r="O127" s="56">
        <f t="shared" si="52"/>
        <v>9.9985233727441512E-7</v>
      </c>
      <c r="P127" s="56">
        <f t="shared" si="70"/>
        <v>1.0225563271147321E-6</v>
      </c>
      <c r="Q127" s="56">
        <f t="shared" si="71"/>
        <v>1.1882145500940888E-6</v>
      </c>
      <c r="R127" s="9">
        <f>F127*$C$14</f>
        <v>1.4999999999999999E-4</v>
      </c>
      <c r="S127" s="9">
        <f t="shared" si="72"/>
        <v>1.491480529871767E-7</v>
      </c>
      <c r="T127" s="9">
        <f t="shared" si="73"/>
        <v>1.4975440111413829E-4</v>
      </c>
      <c r="U127" s="9">
        <f t="shared" si="74"/>
        <v>1.4985085194701281E-4</v>
      </c>
      <c r="V127" s="102">
        <f t="shared" si="75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0.27218535628460888</v>
      </c>
      <c r="K130" s="55">
        <f t="shared" si="78"/>
        <v>0.99284154221944543</v>
      </c>
      <c r="L130" s="55">
        <f t="shared" si="79"/>
        <v>1.8094722049117806E-3</v>
      </c>
      <c r="M130" s="55">
        <f t="shared" si="80"/>
        <v>0.99819052779508821</v>
      </c>
      <c r="N130" s="55">
        <f t="shared" si="81"/>
        <v>5.8373879875371752E-5</v>
      </c>
      <c r="O130" s="56">
        <f t="shared" si="82"/>
        <v>9.943229672842589E-7</v>
      </c>
      <c r="P130" s="56">
        <f t="shared" si="83"/>
        <v>1.8608562580731798E-6</v>
      </c>
      <c r="Q130" s="56">
        <f t="shared" si="84"/>
        <v>6.0031538135394292E-6</v>
      </c>
      <c r="R130" s="9">
        <f>F130*$C$14</f>
        <v>1.4999999999999999E-4</v>
      </c>
      <c r="S130" s="9">
        <f t="shared" ref="S130:S131" si="85">$R130*L130</f>
        <v>2.7142083073676707E-7</v>
      </c>
      <c r="T130" s="9">
        <f t="shared" ref="T130:T131" si="86">R130*K130</f>
        <v>1.4892623133291679E-4</v>
      </c>
      <c r="U130" s="9">
        <f t="shared" ref="U130:U131" si="87">$R130*M130</f>
        <v>1.4972857916926321E-4</v>
      </c>
      <c r="V130" s="102">
        <f t="shared" ref="V130:V131" si="88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-1.0997170132127058E-2</v>
      </c>
      <c r="K131" s="55">
        <f t="shared" si="78"/>
        <v>0.99866832818094242</v>
      </c>
      <c r="L131" s="55">
        <f t="shared" si="79"/>
        <v>9.4822352612117385E-4</v>
      </c>
      <c r="M131" s="55">
        <f t="shared" si="80"/>
        <v>0.99905177647387877</v>
      </c>
      <c r="N131" s="55">
        <f t="shared" si="81"/>
        <v>5.5494877416629374E-6</v>
      </c>
      <c r="O131" s="56">
        <f t="shared" si="82"/>
        <v>1.0001584474294733E-6</v>
      </c>
      <c r="P131" s="56">
        <f t="shared" si="83"/>
        <v>9.7515047639034044E-7</v>
      </c>
      <c r="Q131" s="56">
        <f t="shared" si="84"/>
        <v>5.7070779894501604E-7</v>
      </c>
      <c r="R131" s="9">
        <f>F131*$C$14</f>
        <v>1.4999999999999999E-4</v>
      </c>
      <c r="S131" s="9">
        <f t="shared" si="85"/>
        <v>1.4223352891817608E-7</v>
      </c>
      <c r="T131" s="9">
        <f t="shared" si="86"/>
        <v>1.4980024922714135E-4</v>
      </c>
      <c r="U131" s="9">
        <f t="shared" si="87"/>
        <v>1.4985776647108179E-4</v>
      </c>
      <c r="V131" s="102">
        <f t="shared" si="88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2024-10-28T20:58:11Z</dcterms:modified>
</cp:coreProperties>
</file>