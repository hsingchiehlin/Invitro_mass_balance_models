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Sensitivity analysis\Fischer model\96well_1um\"/>
    </mc:Choice>
  </mc:AlternateContent>
  <xr:revisionPtr revIDLastSave="0" documentId="13_ncr:1_{795CD0CB-1FE8-4DCC-9547-F313DFAAFD93}" xr6:coauthVersionLast="47" xr6:coauthVersionMax="47" xr10:uidLastSave="{00000000-0000-0000-0000-000000000000}"/>
  <bookViews>
    <workbookView xWindow="-98" yWindow="-98" windowWidth="21795" windowHeight="13875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31" i="4" l="1"/>
  <c r="R131" i="4"/>
  <c r="U131" i="4" s="1"/>
  <c r="V130" i="4"/>
  <c r="R130" i="4"/>
  <c r="T130" i="4" s="1"/>
  <c r="V127" i="4"/>
  <c r="U127" i="4"/>
  <c r="S127" i="4"/>
  <c r="R127" i="4"/>
  <c r="T127" i="4" s="1"/>
  <c r="V126" i="4"/>
  <c r="R126" i="4"/>
  <c r="S126" i="4" s="1"/>
  <c r="V124" i="4"/>
  <c r="U124" i="4"/>
  <c r="T124" i="4"/>
  <c r="S124" i="4"/>
  <c r="R124" i="4"/>
  <c r="V121" i="4"/>
  <c r="R121" i="4"/>
  <c r="U121" i="4" s="1"/>
  <c r="V120" i="4"/>
  <c r="R120" i="4"/>
  <c r="U120" i="4" s="1"/>
  <c r="V119" i="4"/>
  <c r="T119" i="4"/>
  <c r="R119" i="4"/>
  <c r="U119" i="4" s="1"/>
  <c r="V116" i="4"/>
  <c r="R116" i="4"/>
  <c r="U116" i="4" s="1"/>
  <c r="V115" i="4"/>
  <c r="U115" i="4"/>
  <c r="T115" i="4"/>
  <c r="R115" i="4"/>
  <c r="S115" i="4" s="1"/>
  <c r="V114" i="4"/>
  <c r="R114" i="4"/>
  <c r="S114" i="4" s="1"/>
  <c r="V108" i="4"/>
  <c r="R108" i="4"/>
  <c r="U108" i="4" s="1"/>
  <c r="V107" i="4"/>
  <c r="R107" i="4"/>
  <c r="U107" i="4" s="1"/>
  <c r="V93" i="4"/>
  <c r="R93" i="4"/>
  <c r="T93" i="4" s="1"/>
  <c r="V92" i="4"/>
  <c r="U92" i="4"/>
  <c r="S92" i="4"/>
  <c r="R92" i="4"/>
  <c r="T92" i="4" s="1"/>
  <c r="V91" i="4"/>
  <c r="R91" i="4"/>
  <c r="T91" i="4" s="1"/>
  <c r="V90" i="4"/>
  <c r="U90" i="4"/>
  <c r="T90" i="4"/>
  <c r="S90" i="4"/>
  <c r="R90" i="4"/>
  <c r="V89" i="4"/>
  <c r="R89" i="4"/>
  <c r="U89" i="4" s="1"/>
  <c r="V88" i="4"/>
  <c r="R88" i="4"/>
  <c r="U88" i="4" s="1"/>
  <c r="V86" i="4"/>
  <c r="T86" i="4"/>
  <c r="R86" i="4"/>
  <c r="U86" i="4" s="1"/>
  <c r="V85" i="4"/>
  <c r="R85" i="4"/>
  <c r="S85" i="4" s="1"/>
  <c r="V84" i="4"/>
  <c r="U84" i="4"/>
  <c r="T84" i="4"/>
  <c r="R84" i="4"/>
  <c r="S84" i="4" s="1"/>
  <c r="V83" i="4"/>
  <c r="R83" i="4"/>
  <c r="S83" i="4" s="1"/>
  <c r="V82" i="4"/>
  <c r="R82" i="4"/>
  <c r="U82" i="4" s="1"/>
  <c r="V81" i="4"/>
  <c r="R81" i="4"/>
  <c r="U81" i="4" s="1"/>
  <c r="V80" i="4"/>
  <c r="R80" i="4"/>
  <c r="U80" i="4" s="1"/>
  <c r="V79" i="4"/>
  <c r="U79" i="4"/>
  <c r="S79" i="4"/>
  <c r="R79" i="4"/>
  <c r="T79" i="4" s="1"/>
  <c r="V78" i="4"/>
  <c r="R78" i="4"/>
  <c r="T78" i="4" s="1"/>
  <c r="V77" i="4"/>
  <c r="U77" i="4"/>
  <c r="T77" i="4"/>
  <c r="S77" i="4"/>
  <c r="R77" i="4"/>
  <c r="V76" i="4"/>
  <c r="R76" i="4"/>
  <c r="U76" i="4" s="1"/>
  <c r="V75" i="4"/>
  <c r="R75" i="4"/>
  <c r="T75" i="4" s="1"/>
  <c r="V74" i="4"/>
  <c r="T74" i="4"/>
  <c r="R74" i="4"/>
  <c r="U74" i="4" s="1"/>
  <c r="V73" i="4"/>
  <c r="R73" i="4"/>
  <c r="S73" i="4" s="1"/>
  <c r="V72" i="4"/>
  <c r="U72" i="4"/>
  <c r="T72" i="4"/>
  <c r="R72" i="4"/>
  <c r="S72" i="4" s="1"/>
  <c r="V71" i="4"/>
  <c r="R71" i="4"/>
  <c r="S71" i="4" s="1"/>
  <c r="V70" i="4"/>
  <c r="R70" i="4"/>
  <c r="U70" i="4" s="1"/>
  <c r="V69" i="4"/>
  <c r="R69" i="4"/>
  <c r="U69" i="4" s="1"/>
  <c r="V68" i="4"/>
  <c r="R68" i="4"/>
  <c r="T68" i="4" s="1"/>
  <c r="V65" i="4"/>
  <c r="U65" i="4"/>
  <c r="S65" i="4"/>
  <c r="R65" i="4"/>
  <c r="T65" i="4" s="1"/>
  <c r="V64" i="4"/>
  <c r="R64" i="4"/>
  <c r="T64" i="4" s="1"/>
  <c r="V63" i="4"/>
  <c r="U63" i="4"/>
  <c r="T63" i="4"/>
  <c r="S63" i="4"/>
  <c r="R63" i="4"/>
  <c r="V62" i="4"/>
  <c r="R62" i="4"/>
  <c r="U62" i="4" s="1"/>
  <c r="V61" i="4"/>
  <c r="R61" i="4"/>
  <c r="U61" i="4" s="1"/>
  <c r="V60" i="4"/>
  <c r="T60" i="4"/>
  <c r="R60" i="4"/>
  <c r="U60" i="4" s="1"/>
  <c r="V58" i="4"/>
  <c r="R58" i="4"/>
  <c r="S58" i="4" s="1"/>
  <c r="V57" i="4"/>
  <c r="U57" i="4"/>
  <c r="T57" i="4"/>
  <c r="R57" i="4"/>
  <c r="S57" i="4" s="1"/>
  <c r="V49" i="4"/>
  <c r="R49" i="4"/>
  <c r="S49" i="4" s="1"/>
  <c r="V48" i="4"/>
  <c r="R48" i="4"/>
  <c r="U48" i="4" s="1"/>
  <c r="V47" i="4"/>
  <c r="R47" i="4"/>
  <c r="U47" i="4" s="1"/>
  <c r="V46" i="4"/>
  <c r="R46" i="4"/>
  <c r="T46" i="4" s="1"/>
  <c r="V45" i="4"/>
  <c r="U45" i="4"/>
  <c r="S45" i="4"/>
  <c r="R45" i="4"/>
  <c r="T45" i="4" s="1"/>
  <c r="V44" i="4"/>
  <c r="R44" i="4"/>
  <c r="T44" i="4" s="1"/>
  <c r="V43" i="4"/>
  <c r="U43" i="4"/>
  <c r="T43" i="4"/>
  <c r="S43" i="4"/>
  <c r="R43" i="4"/>
  <c r="V42" i="4"/>
  <c r="R42" i="4"/>
  <c r="U42" i="4" s="1"/>
  <c r="V41" i="4"/>
  <c r="R41" i="4"/>
  <c r="U41" i="4" s="1"/>
  <c r="V40" i="4"/>
  <c r="U40" i="4"/>
  <c r="T40" i="4"/>
  <c r="R40" i="4"/>
  <c r="S40" i="4" s="1"/>
  <c r="V39" i="4"/>
  <c r="R39" i="4"/>
  <c r="U39" i="4" s="1"/>
  <c r="V38" i="4"/>
  <c r="U38" i="4"/>
  <c r="T38" i="4"/>
  <c r="R38" i="4"/>
  <c r="S38" i="4" s="1"/>
  <c r="V37" i="4"/>
  <c r="R37" i="4"/>
  <c r="U37" i="4" s="1"/>
  <c r="V36" i="4"/>
  <c r="R36" i="4"/>
  <c r="U36" i="4" s="1"/>
  <c r="V35" i="4"/>
  <c r="R35" i="4"/>
  <c r="U35" i="4" s="1"/>
  <c r="V34" i="4"/>
  <c r="R34" i="4"/>
  <c r="T34" i="4" s="1"/>
  <c r="V33" i="4"/>
  <c r="U33" i="4"/>
  <c r="T33" i="4"/>
  <c r="S33" i="4"/>
  <c r="R33" i="4"/>
  <c r="V32" i="4"/>
  <c r="R32" i="4"/>
  <c r="S32" i="4" s="1"/>
  <c r="V31" i="4"/>
  <c r="U31" i="4"/>
  <c r="T31" i="4"/>
  <c r="S31" i="4"/>
  <c r="R31" i="4"/>
  <c r="V30" i="4"/>
  <c r="R30" i="4"/>
  <c r="U30" i="4" s="1"/>
  <c r="V29" i="4"/>
  <c r="R29" i="4"/>
  <c r="U29" i="4" s="1"/>
  <c r="V28" i="4"/>
  <c r="U28" i="4"/>
  <c r="T28" i="4"/>
  <c r="R28" i="4"/>
  <c r="S28" i="4" s="1"/>
  <c r="I128" i="4"/>
  <c r="J128" i="4"/>
  <c r="K128" i="4"/>
  <c r="L128" i="4"/>
  <c r="M128" i="4"/>
  <c r="N128" i="4"/>
  <c r="O128" i="4"/>
  <c r="P128" i="4"/>
  <c r="Q128" i="4"/>
  <c r="I129" i="4"/>
  <c r="J129" i="4"/>
  <c r="K129" i="4"/>
  <c r="L129" i="4"/>
  <c r="M129" i="4"/>
  <c r="N129" i="4"/>
  <c r="O129" i="4"/>
  <c r="P129" i="4"/>
  <c r="Q129" i="4"/>
  <c r="I130" i="4"/>
  <c r="L130" i="4" s="1"/>
  <c r="M130" i="4" s="1"/>
  <c r="J130" i="4"/>
  <c r="K130" i="4"/>
  <c r="O130" i="4" s="1"/>
  <c r="P130" i="4" s="1"/>
  <c r="N130" i="4"/>
  <c r="Q130" i="4" s="1"/>
  <c r="I131" i="4"/>
  <c r="J131" i="4"/>
  <c r="K131" i="4"/>
  <c r="L131" i="4"/>
  <c r="M131" i="4"/>
  <c r="N131" i="4"/>
  <c r="O131" i="4"/>
  <c r="P131" i="4"/>
  <c r="Q131" i="4"/>
  <c r="I132" i="4"/>
  <c r="J132" i="4"/>
  <c r="K132" i="4"/>
  <c r="L132" i="4"/>
  <c r="M132" i="4"/>
  <c r="N132" i="4"/>
  <c r="O132" i="4"/>
  <c r="P132" i="4"/>
  <c r="Q132" i="4"/>
  <c r="I133" i="4"/>
  <c r="J133" i="4"/>
  <c r="K133" i="4"/>
  <c r="L133" i="4"/>
  <c r="M133" i="4"/>
  <c r="N133" i="4"/>
  <c r="O133" i="4"/>
  <c r="P133" i="4"/>
  <c r="Q133" i="4"/>
  <c r="I134" i="4"/>
  <c r="J134" i="4"/>
  <c r="K134" i="4"/>
  <c r="L134" i="4"/>
  <c r="M134" i="4"/>
  <c r="N134" i="4"/>
  <c r="O134" i="4"/>
  <c r="P134" i="4"/>
  <c r="Q134" i="4"/>
  <c r="S36" i="4" l="1"/>
  <c r="S70" i="4"/>
  <c r="T70" i="4"/>
  <c r="S75" i="4"/>
  <c r="S120" i="4"/>
  <c r="T120" i="4"/>
  <c r="S88" i="4"/>
  <c r="T116" i="4"/>
  <c r="S30" i="4"/>
  <c r="U32" i="4"/>
  <c r="T37" i="4"/>
  <c r="S42" i="4"/>
  <c r="U44" i="4"/>
  <c r="T49" i="4"/>
  <c r="S62" i="4"/>
  <c r="U64" i="4"/>
  <c r="T71" i="4"/>
  <c r="S76" i="4"/>
  <c r="U78" i="4"/>
  <c r="T83" i="4"/>
  <c r="S89" i="4"/>
  <c r="U91" i="4"/>
  <c r="T114" i="4"/>
  <c r="S121" i="4"/>
  <c r="U126" i="4"/>
  <c r="T36" i="4"/>
  <c r="S61" i="4"/>
  <c r="T82" i="4"/>
  <c r="T108" i="4"/>
  <c r="U34" i="4"/>
  <c r="U46" i="4"/>
  <c r="T58" i="4"/>
  <c r="S64" i="4"/>
  <c r="U68" i="4"/>
  <c r="T73" i="4"/>
  <c r="S78" i="4"/>
  <c r="T85" i="4"/>
  <c r="S91" i="4"/>
  <c r="U93" i="4"/>
  <c r="U130" i="4"/>
  <c r="T32" i="4"/>
  <c r="S37" i="4"/>
  <c r="U58" i="4"/>
  <c r="U73" i="4"/>
  <c r="U85" i="4"/>
  <c r="T126" i="4"/>
  <c r="T30" i="4"/>
  <c r="S35" i="4"/>
  <c r="T42" i="4"/>
  <c r="S47" i="4"/>
  <c r="U49" i="4"/>
  <c r="T62" i="4"/>
  <c r="S69" i="4"/>
  <c r="U71" i="4"/>
  <c r="T76" i="4"/>
  <c r="S81" i="4"/>
  <c r="U83" i="4"/>
  <c r="T89" i="4"/>
  <c r="S107" i="4"/>
  <c r="U114" i="4"/>
  <c r="T121" i="4"/>
  <c r="S131" i="4"/>
  <c r="S48" i="4"/>
  <c r="S82" i="4"/>
  <c r="S108" i="4"/>
  <c r="S29" i="4"/>
  <c r="S41" i="4"/>
  <c r="T48" i="4"/>
  <c r="T29" i="4"/>
  <c r="S34" i="4"/>
  <c r="T41" i="4"/>
  <c r="S46" i="4"/>
  <c r="T61" i="4"/>
  <c r="S68" i="4"/>
  <c r="S80" i="4"/>
  <c r="T88" i="4"/>
  <c r="S93" i="4"/>
  <c r="S130" i="4"/>
  <c r="S39" i="4"/>
  <c r="U75" i="4"/>
  <c r="T80" i="4"/>
  <c r="S116" i="4"/>
  <c r="T39" i="4"/>
  <c r="S44" i="4"/>
  <c r="T35" i="4"/>
  <c r="T47" i="4"/>
  <c r="S60" i="4"/>
  <c r="T69" i="4"/>
  <c r="S74" i="4"/>
  <c r="T81" i="4"/>
  <c r="S86" i="4"/>
  <c r="T107" i="4"/>
  <c r="S119" i="4"/>
  <c r="T131" i="4"/>
  <c r="O15" i="1" l="1"/>
  <c r="L15" i="1"/>
  <c r="N15" i="1"/>
  <c r="M98" i="4"/>
  <c r="M99" i="4"/>
  <c r="M100" i="4"/>
  <c r="M101" i="4"/>
  <c r="M102" i="4"/>
  <c r="M103" i="4"/>
  <c r="M104" i="4"/>
  <c r="M105" i="4"/>
  <c r="M106" i="4"/>
  <c r="M109" i="4"/>
  <c r="M110" i="4"/>
  <c r="M111" i="4"/>
  <c r="M112" i="4"/>
  <c r="M113" i="4"/>
  <c r="M117" i="4"/>
  <c r="M118" i="4"/>
  <c r="M122" i="4"/>
  <c r="M123" i="4"/>
  <c r="M125" i="4"/>
  <c r="J16" i="4"/>
  <c r="J15" i="4"/>
  <c r="J87" i="4"/>
  <c r="K87" i="4" s="1"/>
  <c r="J122" i="4"/>
  <c r="K122" i="4"/>
  <c r="J117" i="4"/>
  <c r="K117" i="4"/>
  <c r="J120" i="4"/>
  <c r="K120" i="4" s="1"/>
  <c r="O120" i="4" s="1"/>
  <c r="P120" i="4" s="1"/>
  <c r="J101" i="4"/>
  <c r="K101" i="4"/>
  <c r="J86" i="4"/>
  <c r="K86" i="4" s="1"/>
  <c r="J85" i="4"/>
  <c r="K85" i="4" s="1"/>
  <c r="J88" i="4"/>
  <c r="K88" i="4" s="1"/>
  <c r="J119" i="4"/>
  <c r="K119" i="4" s="1"/>
  <c r="O119" i="4" s="1"/>
  <c r="P119" i="4" s="1"/>
  <c r="J72" i="4"/>
  <c r="K72" i="4"/>
  <c r="J103" i="4"/>
  <c r="K103" i="4"/>
  <c r="J118" i="4"/>
  <c r="K118" i="4"/>
  <c r="J104" i="4"/>
  <c r="K104" i="4"/>
  <c r="J90" i="4"/>
  <c r="K90" i="4" s="1"/>
  <c r="J71" i="4"/>
  <c r="K71" i="4"/>
  <c r="J110" i="4"/>
  <c r="K110" i="4"/>
  <c r="J82" i="4"/>
  <c r="K82" i="4"/>
  <c r="J113" i="4"/>
  <c r="K113" i="4"/>
  <c r="J97" i="4"/>
  <c r="K97" i="4" s="1"/>
  <c r="J81" i="4"/>
  <c r="K81" i="4" s="1"/>
  <c r="J116" i="4"/>
  <c r="K116" i="4"/>
  <c r="J100" i="4"/>
  <c r="K100" i="4"/>
  <c r="O100" i="4"/>
  <c r="J84" i="4"/>
  <c r="K84" i="4" s="1"/>
  <c r="J114" i="4"/>
  <c r="K114" i="4"/>
  <c r="J78" i="4"/>
  <c r="K78" i="4"/>
  <c r="J115" i="4"/>
  <c r="K115" i="4" s="1"/>
  <c r="O115" i="4" s="1"/>
  <c r="P115" i="4" s="1"/>
  <c r="J99" i="4"/>
  <c r="K99" i="4"/>
  <c r="J83" i="4"/>
  <c r="K83" i="4" s="1"/>
  <c r="J102" i="4"/>
  <c r="K102" i="4"/>
  <c r="J74" i="4"/>
  <c r="K74" i="4"/>
  <c r="J125" i="4"/>
  <c r="K125" i="4"/>
  <c r="J109" i="4"/>
  <c r="K109" i="4"/>
  <c r="J93" i="4"/>
  <c r="K93" i="4" s="1"/>
  <c r="J77" i="4"/>
  <c r="K77" i="4" s="1"/>
  <c r="J112" i="4"/>
  <c r="K112" i="4"/>
  <c r="J96" i="4"/>
  <c r="K96" i="4"/>
  <c r="J80" i="4"/>
  <c r="K80" i="4" s="1"/>
  <c r="J106" i="4"/>
  <c r="K106" i="4"/>
  <c r="J127" i="4"/>
  <c r="K127" i="4"/>
  <c r="J111" i="4"/>
  <c r="K111" i="4"/>
  <c r="J95" i="4"/>
  <c r="K95" i="4" s="1"/>
  <c r="J79" i="4"/>
  <c r="K79" i="4"/>
  <c r="J126" i="4"/>
  <c r="K126" i="4" s="1"/>
  <c r="O126" i="4" s="1"/>
  <c r="P126" i="4" s="1"/>
  <c r="J94" i="4"/>
  <c r="K94" i="4" s="1"/>
  <c r="J121" i="4"/>
  <c r="K121" i="4" s="1"/>
  <c r="O121" i="4" s="1"/>
  <c r="P121" i="4" s="1"/>
  <c r="J105" i="4"/>
  <c r="K105" i="4"/>
  <c r="J89" i="4"/>
  <c r="K89" i="4" s="1"/>
  <c r="J73" i="4"/>
  <c r="K73" i="4" s="1"/>
  <c r="J124" i="4"/>
  <c r="K124" i="4"/>
  <c r="J108" i="4"/>
  <c r="K108" i="4"/>
  <c r="J92" i="4"/>
  <c r="K92" i="4"/>
  <c r="J76" i="4"/>
  <c r="K76" i="4"/>
  <c r="J98" i="4"/>
  <c r="K98" i="4"/>
  <c r="J123" i="4"/>
  <c r="K123" i="4"/>
  <c r="J107" i="4"/>
  <c r="K107" i="4"/>
  <c r="J91" i="4"/>
  <c r="K91" i="4"/>
  <c r="J75" i="4"/>
  <c r="K75" i="4"/>
  <c r="P100" i="4"/>
  <c r="O107" i="4"/>
  <c r="P107" i="4" s="1"/>
  <c r="O112" i="4"/>
  <c r="P112" i="4"/>
  <c r="O98" i="4"/>
  <c r="P98" i="4"/>
  <c r="O108" i="4"/>
  <c r="P108" i="4"/>
  <c r="O105" i="4"/>
  <c r="P105" i="4"/>
  <c r="O111" i="4"/>
  <c r="P111" i="4"/>
  <c r="O74" i="4"/>
  <c r="P74" i="4" s="1"/>
  <c r="O104" i="4"/>
  <c r="P104" i="4"/>
  <c r="O91" i="4"/>
  <c r="P91" i="4"/>
  <c r="O124" i="4"/>
  <c r="P124" i="4"/>
  <c r="O127" i="4"/>
  <c r="P127" i="4" s="1"/>
  <c r="O96" i="4"/>
  <c r="P96" i="4" s="1"/>
  <c r="O102" i="4"/>
  <c r="P102" i="4"/>
  <c r="O78" i="4"/>
  <c r="P78" i="4" s="1"/>
  <c r="O110" i="4"/>
  <c r="P110" i="4"/>
  <c r="O118" i="4"/>
  <c r="P118" i="4"/>
  <c r="O117" i="4"/>
  <c r="P117" i="4"/>
  <c r="O106" i="4"/>
  <c r="P106" i="4"/>
  <c r="O109" i="4"/>
  <c r="P109" i="4"/>
  <c r="O114" i="4"/>
  <c r="P114" i="4"/>
  <c r="O116" i="4"/>
  <c r="P116" i="4"/>
  <c r="O113" i="4"/>
  <c r="P113" i="4"/>
  <c r="O71" i="4"/>
  <c r="P71" i="4" s="1"/>
  <c r="O103" i="4"/>
  <c r="P103" i="4"/>
  <c r="O122" i="4"/>
  <c r="P122" i="4"/>
  <c r="O123" i="4"/>
  <c r="P123" i="4"/>
  <c r="O125" i="4"/>
  <c r="P125" i="4"/>
  <c r="O99" i="4"/>
  <c r="P99" i="4"/>
  <c r="O101" i="4"/>
  <c r="P101" i="4"/>
  <c r="I76" i="4"/>
  <c r="I77" i="4"/>
  <c r="I81" i="4"/>
  <c r="I89" i="4"/>
  <c r="I90" i="4"/>
  <c r="L90" i="4" s="1"/>
  <c r="I96" i="4"/>
  <c r="I99" i="4"/>
  <c r="I102" i="4"/>
  <c r="I104" i="4"/>
  <c r="I108" i="4"/>
  <c r="I111" i="4"/>
  <c r="I113" i="4"/>
  <c r="I115" i="4"/>
  <c r="I119" i="4"/>
  <c r="I120" i="4"/>
  <c r="I123" i="4"/>
  <c r="I125" i="4"/>
  <c r="I79" i="4"/>
  <c r="N79" i="4" s="1"/>
  <c r="Q79" i="4" s="1"/>
  <c r="I92" i="4"/>
  <c r="I100" i="4"/>
  <c r="I103" i="4"/>
  <c r="I107" i="4"/>
  <c r="I109" i="4"/>
  <c r="I110" i="4"/>
  <c r="I117" i="4"/>
  <c r="I124" i="4"/>
  <c r="I72" i="4"/>
  <c r="I106" i="4"/>
  <c r="I71" i="4"/>
  <c r="I75" i="4"/>
  <c r="N75" i="4" s="1"/>
  <c r="Q75" i="4" s="1"/>
  <c r="I80" i="4"/>
  <c r="I83" i="4"/>
  <c r="L83" i="4" s="1"/>
  <c r="I86" i="4"/>
  <c r="L86" i="4" s="1"/>
  <c r="I88" i="4"/>
  <c r="N88" i="4" s="1"/>
  <c r="Q88" i="4" s="1"/>
  <c r="I94" i="4"/>
  <c r="I95" i="4"/>
  <c r="I98" i="4"/>
  <c r="I101" i="4"/>
  <c r="I118" i="4"/>
  <c r="I127" i="4"/>
  <c r="I73" i="4"/>
  <c r="N73" i="4" s="1"/>
  <c r="Q73" i="4" s="1"/>
  <c r="I74" i="4"/>
  <c r="L74" i="4" s="1"/>
  <c r="I78" i="4"/>
  <c r="L78" i="4" s="1"/>
  <c r="I82" i="4"/>
  <c r="L82" i="4" s="1"/>
  <c r="I85" i="4"/>
  <c r="I93" i="4"/>
  <c r="N93" i="4" s="1"/>
  <c r="Q93" i="4" s="1"/>
  <c r="I112" i="4"/>
  <c r="I114" i="4"/>
  <c r="I121" i="4"/>
  <c r="I122" i="4"/>
  <c r="I84" i="4"/>
  <c r="L84" i="4" s="1"/>
  <c r="I87" i="4"/>
  <c r="L87" i="4" s="1"/>
  <c r="I91" i="4"/>
  <c r="N91" i="4" s="1"/>
  <c r="Q91" i="4" s="1"/>
  <c r="I97" i="4"/>
  <c r="I105" i="4"/>
  <c r="I116" i="4"/>
  <c r="I126" i="4"/>
  <c r="L105" i="4"/>
  <c r="N105" i="4"/>
  <c r="Q105" i="4"/>
  <c r="N121" i="4"/>
  <c r="Q121" i="4"/>
  <c r="N85" i="4"/>
  <c r="Q85" i="4"/>
  <c r="L85" i="4"/>
  <c r="N101" i="4"/>
  <c r="Q101" i="4"/>
  <c r="L101" i="4"/>
  <c r="L106" i="4"/>
  <c r="N106" i="4"/>
  <c r="Q106" i="4"/>
  <c r="L124" i="4"/>
  <c r="M124" i="4" s="1"/>
  <c r="N124" i="4"/>
  <c r="Q124" i="4" s="1"/>
  <c r="N107" i="4"/>
  <c r="Q107" i="4" s="1"/>
  <c r="L107" i="4"/>
  <c r="M107" i="4" s="1"/>
  <c r="N119" i="4"/>
  <c r="Q119" i="4"/>
  <c r="L119" i="4"/>
  <c r="M119" i="4" s="1"/>
  <c r="N108" i="4"/>
  <c r="Q108" i="4"/>
  <c r="L108" i="4"/>
  <c r="M108" i="4" s="1"/>
  <c r="L96" i="4"/>
  <c r="N96" i="4"/>
  <c r="Q96" i="4" s="1"/>
  <c r="N77" i="4"/>
  <c r="Q77" i="4" s="1"/>
  <c r="L77" i="4"/>
  <c r="L97" i="4"/>
  <c r="N97" i="4"/>
  <c r="Q97" i="4" s="1"/>
  <c r="N114" i="4"/>
  <c r="Q114" i="4" s="1"/>
  <c r="L114" i="4"/>
  <c r="M114" i="4" s="1"/>
  <c r="N98" i="4"/>
  <c r="Q98" i="4"/>
  <c r="L98" i="4"/>
  <c r="N86" i="4"/>
  <c r="Q86" i="4" s="1"/>
  <c r="N71" i="4"/>
  <c r="Q71" i="4" s="1"/>
  <c r="L71" i="4"/>
  <c r="M71" i="4" s="1"/>
  <c r="L72" i="4"/>
  <c r="N72" i="4"/>
  <c r="Q72" i="4" s="1"/>
  <c r="N117" i="4"/>
  <c r="Q117" i="4"/>
  <c r="L117" i="4"/>
  <c r="N103" i="4"/>
  <c r="Q103" i="4"/>
  <c r="L103" i="4"/>
  <c r="L125" i="4"/>
  <c r="N125" i="4"/>
  <c r="Q125" i="4"/>
  <c r="N115" i="4"/>
  <c r="Q115" i="4" s="1"/>
  <c r="L104" i="4"/>
  <c r="N104" i="4"/>
  <c r="Q104" i="4"/>
  <c r="N90" i="4"/>
  <c r="Q90" i="4" s="1"/>
  <c r="N76" i="4"/>
  <c r="Q76" i="4"/>
  <c r="L76" i="4"/>
  <c r="N126" i="4"/>
  <c r="Q126" i="4" s="1"/>
  <c r="L126" i="4"/>
  <c r="M126" i="4" s="1"/>
  <c r="L91" i="4"/>
  <c r="M91" i="4" s="1"/>
  <c r="L112" i="4"/>
  <c r="N112" i="4"/>
  <c r="Q112" i="4"/>
  <c r="N78" i="4"/>
  <c r="Q78" i="4"/>
  <c r="L127" i="4"/>
  <c r="M127" i="4" s="1"/>
  <c r="N127" i="4"/>
  <c r="Q127" i="4" s="1"/>
  <c r="N95" i="4"/>
  <c r="Q95" i="4"/>
  <c r="L95" i="4"/>
  <c r="N83" i="4"/>
  <c r="Q83" i="4" s="1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89" i="4"/>
  <c r="Q89" i="4" s="1"/>
  <c r="L89" i="4"/>
  <c r="N116" i="4"/>
  <c r="Q116" i="4" s="1"/>
  <c r="L116" i="4"/>
  <c r="M116" i="4" s="1"/>
  <c r="N87" i="4"/>
  <c r="Q87" i="4" s="1"/>
  <c r="N122" i="4"/>
  <c r="Q122" i="4"/>
  <c r="L122" i="4"/>
  <c r="N118" i="4"/>
  <c r="Q118" i="4"/>
  <c r="L118" i="4"/>
  <c r="L94" i="4"/>
  <c r="N94" i="4"/>
  <c r="Q94" i="4"/>
  <c r="L80" i="4"/>
  <c r="N80" i="4"/>
  <c r="Q80" i="4" s="1"/>
  <c r="N109" i="4"/>
  <c r="Q109" i="4"/>
  <c r="L109" i="4"/>
  <c r="L92" i="4"/>
  <c r="N92" i="4"/>
  <c r="Q92" i="4" s="1"/>
  <c r="N120" i="4"/>
  <c r="Q120" i="4"/>
  <c r="L120" i="4"/>
  <c r="M120" i="4" s="1"/>
  <c r="N111" i="4"/>
  <c r="Q111" i="4"/>
  <c r="L111" i="4"/>
  <c r="N99" i="4"/>
  <c r="Q99" i="4"/>
  <c r="L99" i="4"/>
  <c r="L81" i="4"/>
  <c r="N81" i="4"/>
  <c r="Q81" i="4" s="1"/>
  <c r="O83" i="4" l="1"/>
  <c r="P83" i="4" s="1"/>
  <c r="O77" i="4"/>
  <c r="P77" i="4" s="1"/>
  <c r="O73" i="4"/>
  <c r="P73" i="4" s="1"/>
  <c r="M74" i="4"/>
  <c r="O93" i="4"/>
  <c r="P93" i="4" s="1"/>
  <c r="O97" i="4"/>
  <c r="P97" i="4" s="1"/>
  <c r="N74" i="4"/>
  <c r="Q74" i="4" s="1"/>
  <c r="M90" i="4"/>
  <c r="O94" i="4"/>
  <c r="P94" i="4" s="1"/>
  <c r="O80" i="4"/>
  <c r="P80" i="4" s="1"/>
  <c r="M87" i="4"/>
  <c r="L121" i="4"/>
  <c r="M121" i="4" s="1"/>
  <c r="M84" i="4"/>
  <c r="O82" i="4"/>
  <c r="P82" i="4" s="1"/>
  <c r="M81" i="4"/>
  <c r="M85" i="4"/>
  <c r="M80" i="4"/>
  <c r="L115" i="4"/>
  <c r="M115" i="4" s="1"/>
  <c r="O79" i="4"/>
  <c r="P79" i="4" s="1"/>
  <c r="O72" i="4"/>
  <c r="P72" i="4" s="1"/>
  <c r="M95" i="4"/>
  <c r="M72" i="4"/>
  <c r="M97" i="4"/>
  <c r="L79" i="4"/>
  <c r="L75" i="4"/>
  <c r="O84" i="4"/>
  <c r="P84" i="4" s="1"/>
  <c r="M89" i="4"/>
  <c r="O95" i="4"/>
  <c r="P95" i="4" s="1"/>
  <c r="O75" i="4"/>
  <c r="P75" i="4" s="1"/>
  <c r="M94" i="4"/>
  <c r="O87" i="4"/>
  <c r="P87" i="4" s="1"/>
  <c r="M77" i="4"/>
  <c r="O92" i="4"/>
  <c r="P92" i="4" s="1"/>
  <c r="O89" i="4"/>
  <c r="P89" i="4" s="1"/>
  <c r="O88" i="4"/>
  <c r="P88" i="4" s="1"/>
  <c r="M76" i="4"/>
  <c r="M86" i="4"/>
  <c r="O90" i="4"/>
  <c r="P90" i="4" s="1"/>
  <c r="O85" i="4"/>
  <c r="P85" i="4" s="1"/>
  <c r="M96" i="4"/>
  <c r="M82" i="4"/>
  <c r="M83" i="4"/>
  <c r="O76" i="4"/>
  <c r="P76" i="4" s="1"/>
  <c r="O86" i="4"/>
  <c r="P86" i="4" s="1"/>
  <c r="M92" i="4"/>
  <c r="L73" i="4"/>
  <c r="M78" i="4"/>
  <c r="O81" i="4"/>
  <c r="P81" i="4" s="1"/>
  <c r="L93" i="4"/>
  <c r="L88" i="4"/>
  <c r="N82" i="4"/>
  <c r="Q82" i="4" s="1"/>
  <c r="N84" i="4"/>
  <c r="Q84" i="4" s="1"/>
  <c r="J14" i="4"/>
  <c r="J13" i="4" s="1"/>
  <c r="K16" i="4" s="1"/>
  <c r="M93" i="4" l="1"/>
  <c r="M79" i="4"/>
  <c r="M73" i="4"/>
  <c r="M88" i="4"/>
  <c r="M75" i="4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O62" i="4" s="1"/>
  <c r="P62" i="4" s="1"/>
  <c r="J60" i="4"/>
  <c r="K60" i="4" s="1"/>
  <c r="O60" i="4" s="1"/>
  <c r="P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O61" i="4" s="1"/>
  <c r="P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57" i="4" l="1"/>
  <c r="P57" i="4" s="1"/>
  <c r="O58" i="4"/>
  <c r="P58" i="4" s="1"/>
  <c r="L66" i="4"/>
  <c r="K66" i="4"/>
  <c r="K70" i="4"/>
  <c r="L70" i="4"/>
  <c r="M70" i="4" s="1"/>
  <c r="K64" i="4"/>
  <c r="L64" i="4"/>
  <c r="O63" i="4"/>
  <c r="P63" i="4" s="1"/>
  <c r="L63" i="4"/>
  <c r="M63" i="4" s="1"/>
  <c r="K68" i="4"/>
  <c r="L68" i="4"/>
  <c r="L67" i="4"/>
  <c r="K67" i="4"/>
  <c r="L65" i="4"/>
  <c r="K65" i="4"/>
  <c r="K69" i="4"/>
  <c r="L69" i="4"/>
  <c r="N62" i="4"/>
  <c r="Q62" i="4" s="1"/>
  <c r="L62" i="4"/>
  <c r="M62" i="4" s="1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M61" i="4" s="1"/>
  <c r="L60" i="4"/>
  <c r="M60" i="4" s="1"/>
  <c r="N60" i="4"/>
  <c r="Q60" i="4" s="1"/>
  <c r="M64" i="4" l="1"/>
  <c r="O65" i="4"/>
  <c r="P65" i="4" s="1"/>
  <c r="M69" i="4"/>
  <c r="M65" i="4"/>
  <c r="M68" i="4"/>
  <c r="M66" i="4"/>
  <c r="M67" i="4"/>
  <c r="O68" i="4"/>
  <c r="P68" i="4" s="1"/>
  <c r="O64" i="4"/>
  <c r="P64" i="4" s="1"/>
  <c r="M58" i="4"/>
  <c r="M57" i="4"/>
  <c r="O69" i="4"/>
  <c r="P69" i="4" s="1"/>
  <c r="O66" i="4"/>
  <c r="P66" i="4" s="1"/>
  <c r="O67" i="4"/>
  <c r="P67" i="4" s="1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J39" i="4" s="1"/>
  <c r="K22" i="4"/>
  <c r="K20" i="4"/>
  <c r="Q50" i="4"/>
  <c r="Q52" i="4"/>
  <c r="J52" i="4"/>
  <c r="J49" i="4"/>
  <c r="J53" i="4"/>
  <c r="J54" i="4"/>
  <c r="J50" i="4"/>
  <c r="J48" i="4"/>
  <c r="J51" i="4"/>
  <c r="Q54" i="4"/>
  <c r="Q51" i="4"/>
  <c r="Q49" i="4"/>
  <c r="J45" i="4" l="1"/>
  <c r="J30" i="4"/>
  <c r="K30" i="4" s="1"/>
  <c r="J43" i="4"/>
  <c r="K43" i="4" s="1"/>
  <c r="J31" i="4"/>
  <c r="K31" i="4" s="1"/>
  <c r="J44" i="4"/>
  <c r="L44" i="4" s="1"/>
  <c r="J36" i="4"/>
  <c r="L36" i="4" s="1"/>
  <c r="J46" i="4"/>
  <c r="K46" i="4" s="1"/>
  <c r="J35" i="4"/>
  <c r="L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L45" i="4"/>
  <c r="K45" i="4"/>
  <c r="L47" i="4"/>
  <c r="K52" i="4"/>
  <c r="O52" i="4" s="1"/>
  <c r="P52" i="4" s="1"/>
  <c r="L52" i="4"/>
  <c r="M52" i="4" s="1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39" i="4"/>
  <c r="K39" i="4"/>
  <c r="L50" i="4"/>
  <c r="M50" i="4" s="1"/>
  <c r="K50" i="4"/>
  <c r="O50" i="4" s="1"/>
  <c r="P50" i="4" s="1"/>
  <c r="L49" i="4"/>
  <c r="K49" i="4"/>
  <c r="L30" i="4"/>
  <c r="O48" i="4" l="1"/>
  <c r="P48" i="4" s="1"/>
  <c r="M48" i="4"/>
  <c r="O49" i="4"/>
  <c r="P49" i="4" s="1"/>
  <c r="M49" i="4"/>
  <c r="O46" i="4"/>
  <c r="P46" i="4" s="1"/>
  <c r="K44" i="4"/>
  <c r="M45" i="4"/>
  <c r="O33" i="4"/>
  <c r="P33" i="4" s="1"/>
  <c r="M35" i="4"/>
  <c r="M44" i="4"/>
  <c r="O39" i="4"/>
  <c r="P39" i="4" s="1"/>
  <c r="M39" i="4"/>
  <c r="M47" i="4"/>
  <c r="O45" i="4"/>
  <c r="P45" i="4" s="1"/>
  <c r="O47" i="4"/>
  <c r="P47" i="4" s="1"/>
  <c r="O31" i="4"/>
  <c r="P31" i="4" s="1"/>
  <c r="L43" i="4"/>
  <c r="O41" i="4"/>
  <c r="P41" i="4" s="1"/>
  <c r="O30" i="4"/>
  <c r="P30" i="4" s="1"/>
  <c r="O28" i="4"/>
  <c r="P28" i="4" s="1"/>
  <c r="O43" i="4"/>
  <c r="P43" i="4" s="1"/>
  <c r="L31" i="4"/>
  <c r="K35" i="4"/>
  <c r="K36" i="4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0" i="4"/>
  <c r="M36" i="4"/>
  <c r="K40" i="4"/>
  <c r="K32" i="4"/>
  <c r="L28" i="4"/>
  <c r="M31" i="4" l="1"/>
  <c r="M41" i="4"/>
  <c r="O37" i="4"/>
  <c r="P37" i="4" s="1"/>
  <c r="M46" i="4"/>
  <c r="O36" i="4"/>
  <c r="P36" i="4" s="1"/>
  <c r="O35" i="4"/>
  <c r="P35" i="4" s="1"/>
  <c r="O29" i="4"/>
  <c r="P29" i="4" s="1"/>
  <c r="O38" i="4"/>
  <c r="P38" i="4" s="1"/>
  <c r="O40" i="4"/>
  <c r="P40" i="4" s="1"/>
  <c r="O34" i="4"/>
  <c r="P34" i="4" s="1"/>
  <c r="M43" i="4"/>
  <c r="O32" i="4"/>
  <c r="P32" i="4" s="1"/>
  <c r="O44" i="4"/>
  <c r="P44" i="4" s="1"/>
  <c r="M33" i="4"/>
  <c r="O42" i="4"/>
  <c r="P42" i="4" s="1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<sst xmlns="http://schemas.openxmlformats.org/spreadsheetml/2006/main" count="318" uniqueCount="293">
  <si>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</si>
  <si>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</si>
  <si>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</si>
  <si>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</si>
  <si>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</si>
  <si>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</si>
  <si>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</si>
  <si>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</si>
  <si>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</si>
  <si>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</si>
  <si>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</si>
  <si>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</si>
  <si>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</si>
  <si>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</si>
  <si>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</si>
  <si>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</si>
  <si>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</si>
  <si>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</si>
  <si>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</si>
  <si>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</si>
  <si>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</si>
  <si>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</si>
  <si>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</si>
  <si>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</si>
  <si>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</si>
  <si>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</si>
  <si>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</si>
  <si>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</si>
  <si>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</si>
  <si>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</si>
  <si>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</si>
  <si>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</si>
  <si>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</si>
  <si>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</si>
  <si>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</si>
  <si>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</si>
  <si>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</si>
  <si>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</si>
  <si>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</si>
  <si>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</si>
  <si>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</si>
  <si>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</si>
  <si>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</si>
  <si>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</si>
  <si>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</si>
  <si>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</si>
  <si>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</si>
  <si>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</si>
  <si>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</si>
  <si>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</si>
  <si>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</si>
  <si>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</si>
  <si>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</si>
  <si>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</si>
  <si>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</si>
  <si>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</si>
  <si>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</si>
  <si>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</si>
  <si>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</si>
  <si>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</si>
  <si>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</si>
  <si>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</si>
  <si>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</si>
  <si>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</si>
  <si>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</si>
  <si>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</si>
  <si>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</si>
  <si>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</si>
  <si>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</si>
  <si>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</si>
  <si>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</si>
  <si>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</si>
  <si>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</si>
  <si>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</si>
  <si>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</si>
  <si>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</si>
  <si>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</si>
  <si>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</si>
  <si>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</si>
  <si>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</si>
  <si>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</si>
  <si>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</si>
  <si>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</si>
  <si>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</si>
  <si>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</si>
  <si>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</si>
  <si>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</si>
  <si>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</si>
  <si>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</si>
  <si>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</si>
  <si>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</si>
  <si>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</si>
  <si>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</si>
  <si>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</si>
  <si>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</si>
  <si>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</si>
  <si>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</si>
  <si>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</si>
  <si>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</si>
  <si>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</si>
  <si>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</si>
  <si>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</si>
  <si>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</si>
  <si>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</si>
  <si>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</si>
  <si>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</si>
  <si>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</si>
  <si>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</si>
  <si>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</si>
  <si>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</si>
  <si>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</si>
  <si>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</si>
  <si>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</si>
  <si>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</si>
  <si>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</si>
  <si>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</si>
  <si>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</si>
  <si>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</si>
  <si>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</si>
  <si>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</si>
  <si>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</si>
  <si>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</si>
  <si>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</si>
  <si>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</si>
  <si>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</si>
  <si>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</si>
  <si>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</si>
  <si>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</si>
  <si>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</si>
  <si>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</si>
  <si>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</si>
  <si>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</si>
  <si>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</si>
  <si>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</si>
  <si>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</si>
  <si>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</si>
  <si>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</si>
  <si>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</si>
  <si>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</si>
  <si>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</si>
  <si>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</si>
  <si>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</si>
  <si>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</si>
  <si>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</si>
  <si>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</si>
  <si>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</si>
  <si>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</si>
  <si>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</si>
  <si>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</si>
  <si>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</si>
  <si>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</si>
  <si>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</si>
  <si>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</si>
  <si>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</si>
  <si>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</si>
  <si>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</si>
  <si>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</si>
  <si>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</si>
  <si>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</si>
  <si>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</si>
  <si>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</si>
  <si>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</si>
  <si>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</si>
  <si>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</si>
  <si>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</si>
  <si>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</si>
  <si>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</si>
  <si>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</si>
  <si>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</si>
  <si>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</si>
  <si>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</si>
  <si>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</si>
  <si>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</si>
  <si>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</si>
  <si>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</si>
  <si>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</si>
  <si>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</si>
  <si>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</si>
  <si>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</si>
  <si>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</si>
  <si>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</si>
  <si>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</si>
  <si>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</si>
  <si>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</si>
  <si>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</si>
  <si>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</si>
  <si>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</si>
  <si>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</si>
  <si>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</si>
  <si>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</si>
  <si>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</si>
  <si>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</si>
  <si>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</si>
  <si>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</si>
  <si>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</si>
  <si>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</si>
  <si>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</si>
  <si>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</si>
  <si>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</si>
  <si>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</si>
  <si>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</si>
  <si>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</si>
  <si>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</si>
  <si>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</si>
  <si>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</si>
  <si>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</si>
  <si>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</si>
  <si>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</si>
  <si>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</si>
  <si>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</si>
  <si>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PFBS</t>
  </si>
  <si>
    <t>375-73-5</t>
  </si>
  <si>
    <t>4:2 FTS</t>
  </si>
  <si>
    <t>757124-72-4</t>
  </si>
  <si>
    <t>PFNA</t>
  </si>
  <si>
    <t>375-95-1</t>
  </si>
  <si>
    <t>PFHxA</t>
  </si>
  <si>
    <t>307-24-4</t>
  </si>
  <si>
    <t>PFBA</t>
  </si>
  <si>
    <t>375-22-4</t>
  </si>
  <si>
    <t>PFOA</t>
  </si>
  <si>
    <t>335-67-1</t>
  </si>
  <si>
    <t>6:2 FTS</t>
  </si>
  <si>
    <t>27619-97-2</t>
  </si>
  <si>
    <t>8:2 FTS</t>
  </si>
  <si>
    <t>39108-34-4</t>
  </si>
  <si>
    <t>PFUnDA</t>
  </si>
  <si>
    <t>2058-94-8</t>
  </si>
  <si>
    <t>PFOS</t>
  </si>
  <si>
    <t>1763-23-1</t>
  </si>
  <si>
    <t>PFHpA</t>
  </si>
  <si>
    <t>375-85-9</t>
  </si>
  <si>
    <t>PFPeA</t>
  </si>
  <si>
    <t>2706-90-3</t>
  </si>
  <si>
    <t>PFHxS</t>
  </si>
  <si>
    <t>355-46-4</t>
  </si>
  <si>
    <t>PFDA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</si>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</sst>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7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11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X9" sqref="X9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2" t="s">
        <v>57</v>
      </c>
      <c r="C2" s="113"/>
      <c r="D2" s="113"/>
      <c r="E2" s="113"/>
      <c r="F2" s="113"/>
      <c r="G2" s="113"/>
      <c r="H2" s="114"/>
      <c r="I2" s="7"/>
      <c r="J2" s="103" t="s">
        <v>56</v>
      </c>
      <c r="K2" s="104"/>
      <c r="L2" s="104"/>
      <c r="M2" s="104"/>
      <c r="N2" s="104"/>
      <c r="O2" s="105"/>
      <c r="P2" s="7"/>
      <c r="Q2" s="103" t="s">
        <v>58</v>
      </c>
      <c r="R2" s="104"/>
      <c r="S2" s="104"/>
      <c r="T2" s="104"/>
      <c r="U2" s="104"/>
      <c r="V2" s="105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6"/>
      <c r="K3" s="107"/>
      <c r="L3" s="107"/>
      <c r="M3" s="107"/>
      <c r="N3" s="107"/>
      <c r="O3" s="108"/>
      <c r="P3" s="7"/>
      <c r="Q3" s="106"/>
      <c r="R3" s="107"/>
      <c r="S3" s="107"/>
      <c r="T3" s="107"/>
      <c r="U3" s="107"/>
      <c r="V3" s="108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9"/>
      <c r="K4" s="110"/>
      <c r="L4" s="110"/>
      <c r="M4" s="110"/>
      <c r="N4" s="110"/>
      <c r="O4" s="111"/>
      <c r="P4" s="7"/>
      <c r="Q4" s="109"/>
      <c r="R4" s="110"/>
      <c r="S4" s="110"/>
      <c r="T4" s="110"/>
      <c r="U4" s="110"/>
      <c r="V4" s="111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9"/>
      <c r="R5" s="60"/>
      <c r="S5" s="60"/>
      <c r="T5" s="60"/>
      <c r="U5" s="60"/>
      <c r="V5" s="61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9"/>
      <c r="S6" s="80"/>
      <c r="T6" s="80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2" t="s">
        <v>74</v>
      </c>
      <c r="L7" s="83">
        <v>0</v>
      </c>
      <c r="M7" s="84">
        <v>0</v>
      </c>
      <c r="N7" s="13"/>
      <c r="O7" s="14"/>
      <c r="P7" s="7"/>
      <c r="Q7" s="11"/>
      <c r="R7" s="13"/>
      <c r="S7" s="62"/>
      <c r="T7" s="63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8"/>
      <c r="T8" s="79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5"/>
      <c r="R9" s="1"/>
      <c r="S9" s="76"/>
      <c r="T9" s="77"/>
      <c r="U9" s="1"/>
      <c r="V9" s="6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2" t="s">
        <v>16</v>
      </c>
      <c r="L10" s="83">
        <v>24</v>
      </c>
      <c r="M10" s="83">
        <v>1.9</v>
      </c>
      <c r="N10" s="13"/>
      <c r="O10" s="14"/>
      <c r="P10" s="7"/>
      <c r="Q10" s="12"/>
      <c r="R10" s="3"/>
      <c r="S10" s="78"/>
      <c r="T10" s="69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5"/>
      <c r="R11" s="1"/>
      <c r="S11" s="76"/>
      <c r="T11" s="76"/>
      <c r="U11" s="1"/>
      <c r="V11" s="6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2"/>
      <c r="T12" s="62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2"/>
      <c r="R14" s="73"/>
      <c r="S14" s="74"/>
      <c r="T14" s="74"/>
      <c r="U14" s="74"/>
      <c r="V14" s="75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8">
        <f>M15/0.029*(0.018)</f>
        <v>4.619905956112852E-5</v>
      </c>
      <c r="M15" s="58">
        <v>7.4431818181818174E-5</v>
      </c>
      <c r="N15" s="58">
        <f>M15/0.029*(0.953)</f>
        <v>2.4459835423197487E-3</v>
      </c>
      <c r="O15" s="100">
        <f>SUM(L15:N15)</f>
        <v>2.5666144200626952E-3</v>
      </c>
      <c r="P15" s="9"/>
      <c r="Q15" s="65"/>
      <c r="R15" s="1"/>
      <c r="S15" s="70"/>
      <c r="T15" s="70"/>
      <c r="U15" s="70"/>
      <c r="V15" s="6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8">
        <v>2.5484800000000001E-3</v>
      </c>
      <c r="M16" s="58">
        <v>2.2915000000000001E-4</v>
      </c>
      <c r="N16" s="58">
        <v>9.6669999999999994E-5</v>
      </c>
      <c r="O16" s="100"/>
      <c r="P16" s="9"/>
      <c r="Q16" s="12"/>
      <c r="R16" s="3"/>
      <c r="S16" s="71"/>
      <c r="T16" s="71"/>
      <c r="U16" s="71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101" t="s">
        <v>79</v>
      </c>
      <c r="K17" s="31" t="s">
        <v>79</v>
      </c>
      <c r="L17" s="81">
        <v>2.6205E-3</v>
      </c>
      <c r="M17" s="81">
        <v>2.8380000000000001E-4</v>
      </c>
      <c r="N17" s="81">
        <v>9.5699999999999995E-5</v>
      </c>
      <c r="O17" s="100"/>
      <c r="P17" s="9"/>
      <c r="Q17" s="65"/>
      <c r="R17" s="1"/>
      <c r="S17" s="70"/>
      <c r="T17" s="70"/>
      <c r="U17" s="70"/>
      <c r="V17" s="6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8">
        <v>2.2457100000000002E-3</v>
      </c>
      <c r="M18" s="58">
        <v>3.0027E-4</v>
      </c>
      <c r="N18" s="58">
        <v>6.6229999999999994E-5</v>
      </c>
      <c r="O18" s="100"/>
      <c r="P18" s="9"/>
      <c r="Q18" s="11"/>
      <c r="R18" s="13"/>
      <c r="S18" s="64"/>
      <c r="T18" s="64"/>
      <c r="U18" s="64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8">
        <v>3.2730300000000001E-3</v>
      </c>
      <c r="M19" s="58">
        <v>3.9889999999999999E-4</v>
      </c>
      <c r="N19" s="58">
        <v>1.0728E-4</v>
      </c>
      <c r="O19" s="100"/>
      <c r="P19" s="9"/>
      <c r="Q19" s="12"/>
      <c r="R19" s="3"/>
      <c r="S19" s="71"/>
      <c r="T19" s="71"/>
      <c r="U19" s="71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5"/>
      <c r="R20" s="1"/>
      <c r="S20" s="1"/>
      <c r="T20" s="1"/>
      <c r="U20" s="1"/>
      <c r="V20" s="6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5"/>
      <c r="P23" s="7"/>
      <c r="Q23" s="65"/>
      <c r="R23" s="66"/>
      <c r="S23" s="66"/>
      <c r="T23" s="66"/>
      <c r="U23" s="66"/>
      <c r="V23" s="6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6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9"/>
      <c r="M25" s="7"/>
      <c r="N25" s="7"/>
      <c r="O25" s="87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5"/>
      <c r="R26" s="66"/>
      <c r="S26" s="66"/>
      <c r="T26" s="66"/>
      <c r="U26" s="66"/>
      <c r="V26" s="6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5"/>
      <c r="R28" s="68"/>
      <c r="S28" s="66"/>
      <c r="T28" s="66"/>
      <c r="U28" s="66"/>
      <c r="V28" s="6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5"/>
      <c r="R32" s="66"/>
      <c r="S32" s="68"/>
      <c r="T32" s="66"/>
      <c r="U32" s="66"/>
      <c r="V32" s="6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9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5"/>
      <c r="R36" s="66"/>
      <c r="S36" s="66"/>
      <c r="T36" s="66"/>
      <c r="U36" s="66"/>
      <c r="V36" s="6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5"/>
      <c r="R40" s="66"/>
      <c r="S40" s="66"/>
      <c r="T40" s="66"/>
      <c r="U40" s="66"/>
      <c r="V40" s="6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5"/>
      <c r="R43" s="66"/>
      <c r="S43" s="66"/>
      <c r="T43" s="66"/>
      <c r="U43" s="66"/>
      <c r="V43" s="6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30" zoomScale="55" zoomScaleNormal="55" workbookViewId="0">
      <selection activeCell="R27" sqref="R27:V134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70"/>
      <c r="H1" s="170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70"/>
      <c r="H2" s="170"/>
      <c r="I2" s="115" t="s">
        <v>19</v>
      </c>
      <c r="J2" s="116"/>
      <c r="K2" s="116"/>
      <c r="L2" s="116"/>
      <c r="M2" s="116"/>
      <c r="N2" s="116"/>
      <c r="O2" s="116"/>
      <c r="P2" s="116"/>
      <c r="Q2" s="11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70"/>
      <c r="H3" s="170"/>
      <c r="I3" s="118"/>
      <c r="J3" s="119"/>
      <c r="K3" s="119"/>
      <c r="L3" s="119"/>
      <c r="M3" s="119"/>
      <c r="N3" s="119"/>
      <c r="O3" s="119"/>
      <c r="P3" s="119"/>
      <c r="Q3" s="120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70"/>
      <c r="H4" s="170"/>
      <c r="I4" s="121"/>
      <c r="J4" s="122"/>
      <c r="K4" s="122"/>
      <c r="L4" s="122"/>
      <c r="M4" s="122"/>
      <c r="N4" s="122"/>
      <c r="O4" s="122"/>
      <c r="P4" s="122"/>
      <c r="Q4" s="123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70"/>
      <c r="H5" s="170"/>
      <c r="I5" s="124" t="s">
        <v>38</v>
      </c>
      <c r="J5" s="125"/>
      <c r="K5" s="125"/>
      <c r="L5" s="125"/>
      <c r="M5" s="125"/>
      <c r="N5" s="125"/>
      <c r="O5" s="125"/>
      <c r="P5" s="125"/>
      <c r="Q5" s="126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70"/>
      <c r="H6" s="170"/>
      <c r="I6" s="49" t="s">
        <v>49</v>
      </c>
      <c r="J6" s="49" t="s">
        <v>50</v>
      </c>
      <c r="K6" s="49" t="s">
        <v>46</v>
      </c>
      <c r="L6" s="167" t="s">
        <v>39</v>
      </c>
      <c r="M6" s="168"/>
      <c r="N6" s="168"/>
      <c r="O6" s="168"/>
      <c r="P6" s="168"/>
      <c r="Q6" s="169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70"/>
      <c r="H7" s="170"/>
      <c r="I7" s="50" t="s">
        <v>20</v>
      </c>
      <c r="J7" s="37">
        <f>SUM(J13,J19)</f>
        <v>150.06</v>
      </c>
      <c r="K7" s="38">
        <f>J7/J7</f>
        <v>1</v>
      </c>
      <c r="L7" s="161" t="s">
        <v>68</v>
      </c>
      <c r="M7" s="162"/>
      <c r="N7" s="162"/>
      <c r="O7" s="162"/>
      <c r="P7" s="162"/>
      <c r="Q7" s="163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42" t="s">
        <v>3</v>
      </c>
      <c r="C8" s="143"/>
      <c r="D8" s="143"/>
      <c r="E8" s="143"/>
      <c r="F8" s="144"/>
      <c r="G8" s="170"/>
      <c r="H8" s="170"/>
      <c r="I8" s="51" t="s">
        <v>6</v>
      </c>
      <c r="J8" s="37">
        <f>SUM(J14,J20)</f>
        <v>149.97471000000002</v>
      </c>
      <c r="K8" s="39">
        <f>J8/J7</f>
        <v>0.99943162734906044</v>
      </c>
      <c r="L8" s="161" t="s">
        <v>69</v>
      </c>
      <c r="M8" s="162"/>
      <c r="N8" s="162"/>
      <c r="O8" s="162"/>
      <c r="P8" s="162"/>
      <c r="Q8" s="163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45"/>
      <c r="C9" s="146"/>
      <c r="D9" s="146"/>
      <c r="E9" s="146"/>
      <c r="F9" s="147"/>
      <c r="G9" s="170"/>
      <c r="H9" s="170"/>
      <c r="I9" s="50" t="s">
        <v>8</v>
      </c>
      <c r="J9" s="40">
        <f t="shared" ref="J9:J10" si="0">SUM(J15,J21)</f>
        <v>7.7675999999999995E-2</v>
      </c>
      <c r="K9" s="39">
        <f>J9/J7</f>
        <v>5.1763294682127142E-4</v>
      </c>
      <c r="L9" s="161" t="s">
        <v>69</v>
      </c>
      <c r="M9" s="162"/>
      <c r="N9" s="162"/>
      <c r="O9" s="162"/>
      <c r="P9" s="162"/>
      <c r="Q9" s="163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48"/>
      <c r="C10" s="149"/>
      <c r="D10" s="149"/>
      <c r="E10" s="149"/>
      <c r="F10" s="150"/>
      <c r="G10" s="170"/>
      <c r="H10" s="170"/>
      <c r="I10" s="51" t="s">
        <v>9</v>
      </c>
      <c r="J10" s="40">
        <f t="shared" si="0"/>
        <v>7.6139999999999992E-3</v>
      </c>
      <c r="K10" s="39">
        <f>J10/J7</f>
        <v>5.073970411835265E-5</v>
      </c>
      <c r="L10" s="161" t="s">
        <v>69</v>
      </c>
      <c r="M10" s="162"/>
      <c r="N10" s="162"/>
      <c r="O10" s="162"/>
      <c r="P10" s="162"/>
      <c r="Q10" s="163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51" t="s">
        <v>36</v>
      </c>
      <c r="C11" s="152"/>
      <c r="D11" s="152"/>
      <c r="E11" s="152"/>
      <c r="F11" s="153"/>
      <c r="G11" s="170"/>
      <c r="H11" s="170"/>
      <c r="I11" s="186"/>
      <c r="J11" s="186"/>
      <c r="K11" s="186"/>
      <c r="L11" s="186"/>
      <c r="M11" s="186"/>
      <c r="N11" s="186"/>
      <c r="O11" s="186"/>
      <c r="P11" s="186"/>
      <c r="Q11" s="186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54"/>
      <c r="C12" s="155"/>
      <c r="D12" s="155"/>
      <c r="E12" s="155"/>
      <c r="F12" s="156"/>
      <c r="G12" s="170"/>
      <c r="H12" s="170"/>
      <c r="I12" s="49" t="s">
        <v>51</v>
      </c>
      <c r="J12" s="49" t="s">
        <v>50</v>
      </c>
      <c r="K12" s="49" t="s">
        <v>46</v>
      </c>
      <c r="L12" s="167" t="s">
        <v>39</v>
      </c>
      <c r="M12" s="168"/>
      <c r="N12" s="168"/>
      <c r="O12" s="168"/>
      <c r="P12" s="168"/>
      <c r="Q12" s="169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40" t="s">
        <v>4</v>
      </c>
      <c r="C13" s="141"/>
      <c r="D13" s="130" t="s">
        <v>39</v>
      </c>
      <c r="E13" s="130"/>
      <c r="F13" s="130"/>
      <c r="G13" s="170"/>
      <c r="H13" s="170"/>
      <c r="I13" s="50" t="s">
        <v>5</v>
      </c>
      <c r="J13" s="41">
        <f>SUM(J14:J16)</f>
        <v>150</v>
      </c>
      <c r="K13" s="38">
        <f>J13/J13</f>
        <v>1</v>
      </c>
      <c r="L13" s="161" t="s">
        <v>71</v>
      </c>
      <c r="M13" s="162"/>
      <c r="N13" s="162"/>
      <c r="O13" s="162"/>
      <c r="P13" s="162"/>
      <c r="Q13" s="163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150</v>
      </c>
      <c r="D14" s="131" t="s">
        <v>17</v>
      </c>
      <c r="E14" s="131"/>
      <c r="F14" s="131"/>
      <c r="G14" s="170"/>
      <c r="H14" s="170"/>
      <c r="I14" s="51" t="s">
        <v>43</v>
      </c>
      <c r="J14" s="41">
        <f>C14-SUM(J15:J16)</f>
        <v>149.92230000000001</v>
      </c>
      <c r="K14" s="39">
        <f>J14/J13</f>
        <v>0.99948200000000009</v>
      </c>
      <c r="L14" s="164" t="s">
        <v>70</v>
      </c>
      <c r="M14" s="165"/>
      <c r="N14" s="165"/>
      <c r="O14" s="165"/>
      <c r="P14" s="165"/>
      <c r="Q14" s="166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32" t="s">
        <v>60</v>
      </c>
      <c r="E15" s="132"/>
      <c r="F15" s="132"/>
      <c r="G15" s="170"/>
      <c r="H15" s="170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7.1999999999999995E-2</v>
      </c>
      <c r="K15" s="39">
        <f>J15/J13</f>
        <v>4.7999999999999996E-4</v>
      </c>
      <c r="L15" s="161" t="s">
        <v>69</v>
      </c>
      <c r="M15" s="162"/>
      <c r="N15" s="162"/>
      <c r="O15" s="162"/>
      <c r="P15" s="162"/>
      <c r="Q15" s="163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0.98</v>
      </c>
      <c r="D16" s="133" t="s">
        <v>40</v>
      </c>
      <c r="E16" s="134"/>
      <c r="F16" s="135"/>
      <c r="G16" s="170"/>
      <c r="H16" s="170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5.6999999999999993E-3</v>
      </c>
      <c r="K16" s="39">
        <f>J16/J13</f>
        <v>3.7999999999999995E-5</v>
      </c>
      <c r="L16" s="161" t="s">
        <v>69</v>
      </c>
      <c r="M16" s="162"/>
      <c r="N16" s="162"/>
      <c r="O16" s="162"/>
      <c r="P16" s="162"/>
      <c r="Q16" s="163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16</v>
      </c>
      <c r="D17" s="136" t="s">
        <v>61</v>
      </c>
      <c r="E17" s="137"/>
      <c r="F17" s="138"/>
      <c r="G17" s="170"/>
      <c r="H17" s="170"/>
      <c r="I17" s="164"/>
      <c r="J17" s="165"/>
      <c r="K17" s="165"/>
      <c r="L17" s="165"/>
      <c r="M17" s="165"/>
      <c r="N17" s="165"/>
      <c r="O17" s="165"/>
      <c r="P17" s="165"/>
      <c r="Q17" s="166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0.02</v>
      </c>
      <c r="D18" s="133" t="s">
        <v>41</v>
      </c>
      <c r="E18" s="134"/>
      <c r="F18" s="135"/>
      <c r="G18" s="170"/>
      <c r="H18" s="170"/>
      <c r="I18" s="49" t="s">
        <v>29</v>
      </c>
      <c r="J18" s="49" t="s">
        <v>50</v>
      </c>
      <c r="K18" s="49" t="s">
        <v>46</v>
      </c>
      <c r="L18" s="167" t="s">
        <v>39</v>
      </c>
      <c r="M18" s="168"/>
      <c r="N18" s="168"/>
      <c r="O18" s="168"/>
      <c r="P18" s="168"/>
      <c r="Q18" s="169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32"/>
      <c r="C19" s="132"/>
      <c r="D19" s="132"/>
      <c r="E19" s="132"/>
      <c r="F19" s="132"/>
      <c r="G19" s="170"/>
      <c r="H19" s="170"/>
      <c r="I19" s="50" t="s">
        <v>5</v>
      </c>
      <c r="J19" s="41">
        <f>SUM(J20:J22)</f>
        <v>0.06</v>
      </c>
      <c r="K19" s="38">
        <f>J19/J19</f>
        <v>1</v>
      </c>
      <c r="L19" s="161" t="s">
        <v>55</v>
      </c>
      <c r="M19" s="162"/>
      <c r="N19" s="162"/>
      <c r="O19" s="162"/>
      <c r="P19" s="162"/>
      <c r="Q19" s="163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40" t="s">
        <v>7</v>
      </c>
      <c r="C20" s="141"/>
      <c r="D20" s="130" t="s">
        <v>39</v>
      </c>
      <c r="E20" s="130"/>
      <c r="F20" s="130"/>
      <c r="G20" s="170"/>
      <c r="H20" s="170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5.2409999999999998E-2</v>
      </c>
      <c r="K20" s="39">
        <f>J20/J19</f>
        <v>0.87350000000000005</v>
      </c>
      <c r="L20" s="161" t="s">
        <v>69</v>
      </c>
      <c r="M20" s="162"/>
      <c r="N20" s="162"/>
      <c r="O20" s="162"/>
      <c r="P20" s="162"/>
      <c r="Q20" s="163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79</v>
      </c>
      <c r="D21" s="136" t="s">
        <v>61</v>
      </c>
      <c r="E21" s="137"/>
      <c r="F21" s="138"/>
      <c r="G21" s="170"/>
      <c r="H21" s="170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5.6760000000000005E-3</v>
      </c>
      <c r="K21" s="39">
        <f>J21/J19</f>
        <v>9.4600000000000017E-2</v>
      </c>
      <c r="L21" s="161" t="s">
        <v>69</v>
      </c>
      <c r="M21" s="162"/>
      <c r="N21" s="162"/>
      <c r="O21" s="162"/>
      <c r="P21" s="162"/>
      <c r="Q21" s="163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20000</v>
      </c>
      <c r="D22" s="139" t="s">
        <v>67</v>
      </c>
      <c r="E22" s="139"/>
      <c r="F22" s="139"/>
      <c r="G22" s="170"/>
      <c r="H22" s="170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1.9139999999999999E-3</v>
      </c>
      <c r="K22" s="39">
        <f>J22/J19</f>
        <v>3.1899999999999998E-2</v>
      </c>
      <c r="L22" s="161" t="s">
        <v>69</v>
      </c>
      <c r="M22" s="162"/>
      <c r="N22" s="162"/>
      <c r="O22" s="162"/>
      <c r="P22" s="162"/>
      <c r="Q22" s="163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27"/>
      <c r="C23" s="128"/>
      <c r="D23" s="128"/>
      <c r="E23" s="128"/>
      <c r="F23" s="129"/>
      <c r="G23" s="170"/>
      <c r="H23" s="170"/>
      <c r="I23" s="181"/>
      <c r="J23" s="182"/>
      <c r="K23" s="182"/>
      <c r="L23" s="182"/>
      <c r="M23" s="182"/>
      <c r="N23" s="182"/>
      <c r="O23" s="182"/>
      <c r="P23" s="182"/>
      <c r="Q23" s="183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51" t="s">
        <v>37</v>
      </c>
      <c r="C24" s="152"/>
      <c r="D24" s="152"/>
      <c r="E24" s="152"/>
      <c r="F24" s="153"/>
      <c r="G24" s="170"/>
      <c r="H24" s="170"/>
      <c r="I24" s="175" t="s">
        <v>42</v>
      </c>
      <c r="J24" s="176"/>
      <c r="K24" s="176"/>
      <c r="L24" s="176"/>
      <c r="M24" s="176"/>
      <c r="N24" s="176"/>
      <c r="O24" s="176"/>
      <c r="P24" s="176"/>
      <c r="Q24" s="17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54"/>
      <c r="C25" s="155"/>
      <c r="D25" s="155"/>
      <c r="E25" s="155"/>
      <c r="F25" s="156"/>
      <c r="G25" s="170"/>
      <c r="H25" s="170"/>
      <c r="I25" s="178"/>
      <c r="J25" s="179"/>
      <c r="K25" s="179"/>
      <c r="L25" s="179"/>
      <c r="M25" s="179"/>
      <c r="N25" s="179"/>
      <c r="O25" s="179"/>
      <c r="P25" s="179"/>
      <c r="Q25" s="180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73" t="s">
        <v>11</v>
      </c>
      <c r="C26" s="173" t="s">
        <v>12</v>
      </c>
      <c r="D26" s="157" t="s">
        <v>47</v>
      </c>
      <c r="E26" s="157" t="s">
        <v>48</v>
      </c>
      <c r="F26" s="159" t="s">
        <v>66</v>
      </c>
      <c r="G26" s="170"/>
      <c r="H26" s="170"/>
      <c r="I26" s="184" t="s">
        <v>53</v>
      </c>
      <c r="J26" s="184" t="s">
        <v>54</v>
      </c>
      <c r="K26" s="171" t="s">
        <v>73</v>
      </c>
      <c r="L26" s="171" t="s">
        <v>52</v>
      </c>
      <c r="M26" s="171" t="s">
        <v>59</v>
      </c>
      <c r="N26" s="171" t="s">
        <v>62</v>
      </c>
      <c r="O26" s="171" t="s">
        <v>72</v>
      </c>
      <c r="P26" s="171" t="s">
        <v>64</v>
      </c>
      <c r="Q26" s="171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74"/>
      <c r="C27" s="174"/>
      <c r="D27" s="158"/>
      <c r="E27" s="158"/>
      <c r="F27" s="160"/>
      <c r="G27" s="170"/>
      <c r="H27" s="170"/>
      <c r="I27" s="185"/>
      <c r="J27" s="185"/>
      <c r="K27" s="172"/>
      <c r="L27" s="172"/>
      <c r="M27" s="172"/>
      <c r="N27" s="172"/>
      <c r="O27" s="172"/>
      <c r="P27" s="172"/>
      <c r="Q27" s="172"/>
      <c r="R27" s="7" t="s">
        <v>78</v>
      </c>
      <c r="S27" s="7" t="s">
        <v>77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9"/>
      <c r="B28" s="46" t="s">
        <v>113</v>
      </c>
      <c r="C28" s="46" t="s">
        <v>114</v>
      </c>
      <c r="D28" s="47">
        <v>1.6437199999999998</v>
      </c>
      <c r="E28" s="47">
        <v>1.9024449999999995</v>
      </c>
      <c r="F28" s="98">
        <v>9.9999999999999995E-7</v>
      </c>
      <c r="G28" s="170"/>
      <c r="H28" s="170"/>
      <c r="I28" s="94">
        <f t="shared" ref="I28:I47" si="1">IF(D28=0,"",LOG($K$15*10^D28+$K$16*10^E28+$K$14))</f>
        <v>1.0151699775534529E-2</v>
      </c>
      <c r="J28" s="94">
        <f t="shared" ref="J28:J47" si="2">IF(D28=0,"",LOG($K$21*10^D28+$K$22*10^E28+$K$20))</f>
        <v>0.88005151635701673</v>
      </c>
      <c r="K28" s="95">
        <f t="shared" ref="K28:K47" si="3">IF(D28=0,"",1/(1+10^D28*$J$15/$J$14+10^E28*$J$16/$J$14+10^J28*$J$19/$J$14))</f>
        <v>0.97350389011737248</v>
      </c>
      <c r="L28" s="95">
        <f t="shared" ref="L28:L47" si="4">IF(D28=0,"",1/(1+10^I28/10^J28*$J$13/$J$19))</f>
        <v>2.9557943987647377E-3</v>
      </c>
      <c r="M28" s="95">
        <f t="shared" ref="M28:M47" si="5">IF(D28=0,"",1-L28)</f>
        <v>0.9970442056012353</v>
      </c>
      <c r="N28" s="95">
        <f t="shared" ref="N28:N47" si="6">IF(D28=0,"",1/(1/10^E28*$J$20/$J$22+10^D28/10^E28*$J$21/$J$22+10^I28/10^E28*$J$13/$J$22+1))</f>
        <v>9.9279227337490512E-4</v>
      </c>
      <c r="O28" s="40">
        <f t="shared" ref="O28:O47" si="7">IF(D28=0,"",F28*K28*$J$7/$J$14)</f>
        <v>9.7439802985288329E-7</v>
      </c>
      <c r="P28" s="40">
        <f t="shared" ref="P28:P47" si="8">IF(D28=0,"",O28*10^J28)</f>
        <v>7.3924417913106131E-6</v>
      </c>
      <c r="Q28" s="40">
        <f t="shared" ref="Q28:Q47" si="9">IF(D28=0,"",F28*N28*$J$7/$J$22)</f>
        <v>7.7836159113186119E-5</v>
      </c>
      <c r="R28" s="9">
        <f>F28*$C$14</f>
        <v>1.4999999999999999E-4</v>
      </c>
      <c r="S28" s="9">
        <f>$R28*L28</f>
        <v>4.4336915981471059E-7</v>
      </c>
      <c r="T28" s="9">
        <f t="shared" ref="T28:T49" si="10">R28*K28</f>
        <v>1.4602558351760586E-4</v>
      </c>
      <c r="U28" s="9">
        <f t="shared" ref="U28:U49" si="11">$R28*M28</f>
        <v>1.4955663084018528E-4</v>
      </c>
      <c r="V28" s="102">
        <f>K28/M28</f>
        <v>0.97638989790862118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9"/>
      <c r="B29" s="46" t="s">
        <v>115</v>
      </c>
      <c r="C29" s="46" t="s">
        <v>116</v>
      </c>
      <c r="D29" s="47">
        <v>4.7386560000000006</v>
      </c>
      <c r="E29" s="47">
        <v>5.8355820000000005</v>
      </c>
      <c r="F29" s="98">
        <v>9.9999999999999995E-7</v>
      </c>
      <c r="G29" s="170"/>
      <c r="H29" s="170"/>
      <c r="I29" s="94">
        <f t="shared" si="1"/>
        <v>1.7268855172909561</v>
      </c>
      <c r="J29" s="94">
        <f t="shared" si="2"/>
        <v>4.4318380891863303</v>
      </c>
      <c r="K29" s="95">
        <f t="shared" si="3"/>
        <v>1.5584948756319139E-2</v>
      </c>
      <c r="L29" s="95">
        <f t="shared" si="4"/>
        <v>0.16858870783830121</v>
      </c>
      <c r="M29" s="95">
        <f t="shared" si="5"/>
        <v>0.83141129216169873</v>
      </c>
      <c r="N29" s="95">
        <f t="shared" si="6"/>
        <v>0.1362583343898213</v>
      </c>
      <c r="O29" s="40">
        <f t="shared" si="7"/>
        <v>1.5599263154135506E-8</v>
      </c>
      <c r="P29" s="40">
        <f t="shared" si="8"/>
        <v>4.2164035830359148E-4</v>
      </c>
      <c r="Q29" s="40">
        <f t="shared" si="9"/>
        <v>1.068282427300762E-2</v>
      </c>
      <c r="R29" s="9">
        <f>F29*$C$14</f>
        <v>1.4999999999999999E-4</v>
      </c>
      <c r="S29" s="9">
        <f t="shared" ref="S29:S49" si="12">$R29*L29</f>
        <v>2.528830617574518E-5</v>
      </c>
      <c r="T29" s="9">
        <f t="shared" si="10"/>
        <v>2.3377423134478705E-6</v>
      </c>
      <c r="U29" s="9">
        <f t="shared" si="11"/>
        <v>1.2471169382425481E-4</v>
      </c>
      <c r="V29" s="102">
        <f t="shared" ref="V29:V49" si="13">K29/M29</f>
        <v>1.8745173301408645E-2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90"/>
      <c r="B30" s="46" t="s">
        <v>117</v>
      </c>
      <c r="C30" s="46" t="s">
        <v>118</v>
      </c>
      <c r="D30" s="91">
        <v>7.1429999999999998</v>
      </c>
      <c r="E30" s="91">
        <v>9.299925</v>
      </c>
      <c r="F30" s="98">
        <v>9.9999999999999995E-7</v>
      </c>
      <c r="G30" s="170"/>
      <c r="H30" s="170"/>
      <c r="I30" s="94">
        <f t="shared" si="1"/>
        <v>4.916346796550199</v>
      </c>
      <c r="J30" s="94">
        <f t="shared" si="2"/>
        <v>7.8125976975428566</v>
      </c>
      <c r="K30" s="95">
        <f t="shared" si="3"/>
        <v>9.2151486811269626E-6</v>
      </c>
      <c r="L30" s="95">
        <f t="shared" si="4"/>
        <v>0.23954386823082022</v>
      </c>
      <c r="M30" s="95">
        <f t="shared" si="5"/>
        <v>0.76045613176917981</v>
      </c>
      <c r="N30" s="95">
        <f t="shared" si="6"/>
        <v>0.23469457120802484</v>
      </c>
      <c r="O30" s="40">
        <f t="shared" si="7"/>
        <v>9.2236125719116634E-12</v>
      </c>
      <c r="P30" s="40">
        <f t="shared" si="8"/>
        <v>5.9909921444528235E-4</v>
      </c>
      <c r="Q30" s="40">
        <f t="shared" si="9"/>
        <v>1.840034867057273E-2</v>
      </c>
      <c r="R30" s="9">
        <f t="shared" ref="R30:R49" si="14">F30*$C$14</f>
        <v>1.4999999999999999E-4</v>
      </c>
      <c r="S30" s="9">
        <f t="shared" si="12"/>
        <v>3.5931580234623029E-5</v>
      </c>
      <c r="T30" s="9">
        <f t="shared" si="10"/>
        <v>1.3822723021690443E-9</v>
      </c>
      <c r="U30" s="9">
        <f t="shared" si="11"/>
        <v>1.1406841976537696E-4</v>
      </c>
      <c r="V30" s="102">
        <f t="shared" si="13"/>
        <v>1.2117922778383256E-5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90"/>
      <c r="B31" s="46" t="s">
        <v>111</v>
      </c>
      <c r="C31" s="46" t="s">
        <v>112</v>
      </c>
      <c r="D31" s="47">
        <v>3.3511520000000004</v>
      </c>
      <c r="E31" s="47">
        <v>4.2962190000000007</v>
      </c>
      <c r="F31" s="98">
        <v>9.9999999999999995E-7</v>
      </c>
      <c r="G31" s="170"/>
      <c r="H31" s="170"/>
      <c r="I31" s="94">
        <f t="shared" si="1"/>
        <v>0.45156382049297444</v>
      </c>
      <c r="J31" s="94">
        <f t="shared" si="2"/>
        <v>2.9264404342876054</v>
      </c>
      <c r="K31" s="95">
        <f t="shared" si="3"/>
        <v>0.31566983051647746</v>
      </c>
      <c r="L31" s="95">
        <f t="shared" si="4"/>
        <v>0.10664942677736848</v>
      </c>
      <c r="M31" s="95">
        <f t="shared" si="5"/>
        <v>0.89335057322263156</v>
      </c>
      <c r="N31" s="95">
        <f t="shared" si="6"/>
        <v>7.9712746740886423E-2</v>
      </c>
      <c r="O31" s="40">
        <f t="shared" si="7"/>
        <v>3.1595976560726854E-7</v>
      </c>
      <c r="P31" s="40">
        <f t="shared" si="8"/>
        <v>2.6673021637019858E-4</v>
      </c>
      <c r="Q31" s="40">
        <f t="shared" si="9"/>
        <v>6.2495792977729451E-3</v>
      </c>
      <c r="R31" s="9">
        <f t="shared" si="14"/>
        <v>1.4999999999999999E-4</v>
      </c>
      <c r="S31" s="9">
        <f t="shared" si="12"/>
        <v>1.599741401660527E-5</v>
      </c>
      <c r="T31" s="9">
        <f t="shared" si="10"/>
        <v>4.7350474577471612E-5</v>
      </c>
      <c r="U31" s="9">
        <f t="shared" si="11"/>
        <v>1.3400258598339471E-4</v>
      </c>
      <c r="V31" s="102">
        <f t="shared" si="13"/>
        <v>0.35335493139915353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90"/>
      <c r="B32" s="46" t="s">
        <v>119</v>
      </c>
      <c r="C32" s="46" t="s">
        <v>120</v>
      </c>
      <c r="D32" s="47">
        <v>5.9183200000000005</v>
      </c>
      <c r="E32" s="47">
        <v>7.0401399999999992</v>
      </c>
      <c r="F32" s="98">
        <v>9.9999999999999995E-7</v>
      </c>
      <c r="G32" s="170"/>
      <c r="H32" s="170"/>
      <c r="I32" s="94">
        <f t="shared" si="1"/>
        <v>2.9114243406645759</v>
      </c>
      <c r="J32" s="94">
        <f t="shared" si="2"/>
        <v>5.6317189226525786</v>
      </c>
      <c r="K32" s="95">
        <f t="shared" si="3"/>
        <v>1.0128421933964674E-3</v>
      </c>
      <c r="L32" s="95">
        <f t="shared" si="4"/>
        <v>0.1735984015063243</v>
      </c>
      <c r="M32" s="95">
        <f t="shared" si="5"/>
        <v>0.82640159849367567</v>
      </c>
      <c r="N32" s="95">
        <f t="shared" si="6"/>
        <v>0.14182653160846811</v>
      </c>
      <c r="O32" s="40">
        <f t="shared" si="7"/>
        <v>1.0137724644103904E-9</v>
      </c>
      <c r="P32" s="40">
        <f t="shared" si="8"/>
        <v>4.3416960216731719E-4</v>
      </c>
      <c r="Q32" s="40">
        <f t="shared" si="9"/>
        <v>1.1119377917015009E-2</v>
      </c>
      <c r="R32" s="9">
        <f t="shared" si="14"/>
        <v>1.4999999999999999E-4</v>
      </c>
      <c r="S32" s="9">
        <f t="shared" si="12"/>
        <v>2.6039760225948642E-5</v>
      </c>
      <c r="T32" s="9">
        <f t="shared" si="10"/>
        <v>1.519263290094701E-7</v>
      </c>
      <c r="U32" s="9">
        <f t="shared" si="11"/>
        <v>1.2396023977405133E-4</v>
      </c>
      <c r="V32" s="102">
        <f t="shared" si="13"/>
        <v>1.2256053173694563E-3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90"/>
      <c r="B33" s="96" t="s">
        <v>121</v>
      </c>
      <c r="C33" s="96" t="s">
        <v>122</v>
      </c>
      <c r="D33" s="97">
        <v>5.5295200000000007</v>
      </c>
      <c r="E33" s="97">
        <v>6.5305900000000001</v>
      </c>
      <c r="F33" s="98">
        <v>9.9999999999999995E-7</v>
      </c>
      <c r="G33" s="170"/>
      <c r="H33" s="170"/>
      <c r="I33" s="94">
        <f t="shared" si="1"/>
        <v>2.4659786116205753</v>
      </c>
      <c r="J33" s="94">
        <f t="shared" si="2"/>
        <v>5.1469287331716504</v>
      </c>
      <c r="K33" s="95">
        <f t="shared" si="3"/>
        <v>2.8679197060676085E-3</v>
      </c>
      <c r="L33" s="95">
        <f t="shared" si="4"/>
        <v>0.16098326651792641</v>
      </c>
      <c r="M33" s="95">
        <f t="shared" si="5"/>
        <v>0.83901673348207362</v>
      </c>
      <c r="N33" s="95">
        <f t="shared" si="6"/>
        <v>0.12423177355081298</v>
      </c>
      <c r="O33" s="40">
        <f t="shared" si="7"/>
        <v>2.8705538208292248E-9</v>
      </c>
      <c r="P33" s="40">
        <f t="shared" si="8"/>
        <v>4.0261914956133429E-4</v>
      </c>
      <c r="Q33" s="40">
        <f t="shared" si="9"/>
        <v>9.7399268229022961E-3</v>
      </c>
      <c r="R33" s="9">
        <f t="shared" si="14"/>
        <v>1.4999999999999999E-4</v>
      </c>
      <c r="S33" s="9">
        <f t="shared" si="12"/>
        <v>2.4147489977688961E-5</v>
      </c>
      <c r="T33" s="9">
        <f t="shared" si="10"/>
        <v>4.3018795591014125E-7</v>
      </c>
      <c r="U33" s="9">
        <f t="shared" si="11"/>
        <v>1.2585251002231103E-4</v>
      </c>
      <c r="V33" s="102">
        <f t="shared" si="13"/>
        <v>3.4181913084918043E-3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9"/>
      <c r="B34" s="46" t="s">
        <v>123</v>
      </c>
      <c r="C34" s="46" t="s">
        <v>124</v>
      </c>
      <c r="D34" s="91">
        <v>5.4845040000000003</v>
      </c>
      <c r="E34" s="91">
        <v>6.5678879999999999</v>
      </c>
      <c r="F34" s="98">
        <v>9.9999999999999995E-7</v>
      </c>
      <c r="G34" s="170"/>
      <c r="H34" s="170"/>
      <c r="I34" s="94">
        <f t="shared" si="1"/>
        <v>2.4593424067669152</v>
      </c>
      <c r="J34" s="94">
        <f t="shared" si="2"/>
        <v>5.1667621736278413</v>
      </c>
      <c r="K34" s="95">
        <f t="shared" si="3"/>
        <v>2.8829131852741957E-3</v>
      </c>
      <c r="L34" s="95">
        <f t="shared" si="4"/>
        <v>0.16938648356157696</v>
      </c>
      <c r="M34" s="95">
        <f t="shared" si="5"/>
        <v>0.83061351643842307</v>
      </c>
      <c r="N34" s="95">
        <f t="shared" si="6"/>
        <v>0.1360803011311901</v>
      </c>
      <c r="O34" s="40">
        <f t="shared" si="7"/>
        <v>2.8855610711831778E-9</v>
      </c>
      <c r="P34" s="40">
        <f t="shared" si="8"/>
        <v>4.2363559538750384E-4</v>
      </c>
      <c r="Q34" s="40">
        <f t="shared" si="9"/>
        <v>1.0668866242291738E-2</v>
      </c>
      <c r="R34" s="9">
        <f t="shared" si="14"/>
        <v>1.4999999999999999E-4</v>
      </c>
      <c r="S34" s="9">
        <f t="shared" si="12"/>
        <v>2.5407972534236543E-5</v>
      </c>
      <c r="T34" s="9">
        <f t="shared" si="10"/>
        <v>4.3243697779112932E-7</v>
      </c>
      <c r="U34" s="9">
        <f t="shared" si="11"/>
        <v>1.2459202746576344E-4</v>
      </c>
      <c r="V34" s="102">
        <f t="shared" si="13"/>
        <v>3.4708238286752205E-3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9"/>
      <c r="B35" s="46" t="s">
        <v>125</v>
      </c>
      <c r="C35" s="46" t="s">
        <v>126</v>
      </c>
      <c r="D35" s="91">
        <v>2.7195840000000011</v>
      </c>
      <c r="E35" s="91">
        <v>3.2500779999999994</v>
      </c>
      <c r="F35" s="98">
        <v>9.9999999999999995E-7</v>
      </c>
      <c r="G35" s="170"/>
      <c r="H35" s="170"/>
      <c r="I35" s="94">
        <f t="shared" si="1"/>
        <v>0.12015758400049081</v>
      </c>
      <c r="J35" s="94">
        <f t="shared" si="2"/>
        <v>2.03023552063889</v>
      </c>
      <c r="K35" s="95">
        <f t="shared" si="3"/>
        <v>0.73403930874434964</v>
      </c>
      <c r="L35" s="95">
        <f t="shared" si="4"/>
        <v>3.1494872341462983E-2</v>
      </c>
      <c r="M35" s="95">
        <f t="shared" si="5"/>
        <v>0.96850512765853702</v>
      </c>
      <c r="N35" s="95">
        <f t="shared" si="6"/>
        <v>1.6667597902627413E-2</v>
      </c>
      <c r="O35" s="40">
        <f t="shared" si="7"/>
        <v>7.3471350606398858E-7</v>
      </c>
      <c r="P35" s="40">
        <f t="shared" si="8"/>
        <v>7.8768675725998934E-5</v>
      </c>
      <c r="Q35" s="40">
        <f t="shared" si="9"/>
        <v>1.3067605753752716E-3</v>
      </c>
      <c r="R35" s="9">
        <f t="shared" si="14"/>
        <v>1.4999999999999999E-4</v>
      </c>
      <c r="S35" s="9">
        <f t="shared" si="12"/>
        <v>4.7242308512194474E-6</v>
      </c>
      <c r="T35" s="9">
        <f t="shared" si="10"/>
        <v>1.1010589631165244E-4</v>
      </c>
      <c r="U35" s="9">
        <f t="shared" si="11"/>
        <v>1.4527576914878055E-4</v>
      </c>
      <c r="V35" s="102">
        <f t="shared" si="13"/>
        <v>0.75790957402462789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9"/>
      <c r="B36" s="46" t="s">
        <v>80</v>
      </c>
      <c r="C36" s="46" t="s">
        <v>81</v>
      </c>
      <c r="D36" s="47">
        <v>7.5547280000000008</v>
      </c>
      <c r="E36" s="47">
        <v>9.7459910000000001</v>
      </c>
      <c r="F36" s="98">
        <v>9.9999999999999995E-7</v>
      </c>
      <c r="G36" s="170"/>
      <c r="H36" s="170"/>
      <c r="I36" s="94">
        <f t="shared" si="1"/>
        <v>5.3597305230687828</v>
      </c>
      <c r="J36" s="94">
        <f t="shared" si="2"/>
        <v>8.2579948157300773</v>
      </c>
      <c r="K36" s="95">
        <f t="shared" si="3"/>
        <v>3.3161599788961431E-6</v>
      </c>
      <c r="L36" s="95">
        <f t="shared" si="4"/>
        <v>0.2403893945265726</v>
      </c>
      <c r="M36" s="95">
        <f t="shared" si="5"/>
        <v>0.7596106054734274</v>
      </c>
      <c r="N36" s="95">
        <f t="shared" si="6"/>
        <v>0.23588600269169038</v>
      </c>
      <c r="O36" s="40">
        <f t="shared" si="7"/>
        <v>3.3192057914876919E-12</v>
      </c>
      <c r="P36" s="40">
        <f t="shared" si="8"/>
        <v>6.0121387571095922E-4</v>
      </c>
      <c r="Q36" s="40">
        <f t="shared" si="9"/>
        <v>1.8493758392850081E-2</v>
      </c>
      <c r="R36" s="9">
        <f t="shared" si="14"/>
        <v>1.4999999999999999E-4</v>
      </c>
      <c r="S36" s="9">
        <f t="shared" si="12"/>
        <v>3.6058409178985886E-5</v>
      </c>
      <c r="T36" s="9">
        <f t="shared" si="10"/>
        <v>4.9742399683442142E-10</v>
      </c>
      <c r="U36" s="9">
        <f t="shared" si="11"/>
        <v>1.139415908210141E-4</v>
      </c>
      <c r="V36" s="102">
        <f t="shared" si="13"/>
        <v>4.3656051600666448E-6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9"/>
      <c r="B37" s="96" t="s">
        <v>127</v>
      </c>
      <c r="C37" s="96" t="s">
        <v>128</v>
      </c>
      <c r="D37" s="97">
        <v>4.10616</v>
      </c>
      <c r="E37" s="97">
        <v>5.1108449999999994</v>
      </c>
      <c r="F37" s="98">
        <v>9.9999999999999995E-7</v>
      </c>
      <c r="G37" s="170"/>
      <c r="H37" s="170"/>
      <c r="I37" s="94">
        <f t="shared" si="1"/>
        <v>1.080392983851221</v>
      </c>
      <c r="J37" s="94">
        <f t="shared" si="2"/>
        <v>3.7264296384905324</v>
      </c>
      <c r="K37" s="95">
        <f t="shared" si="3"/>
        <v>7.0564614635696479E-2</v>
      </c>
      <c r="L37" s="95">
        <f t="shared" si="4"/>
        <v>0.15041862928280042</v>
      </c>
      <c r="M37" s="95">
        <f t="shared" si="5"/>
        <v>0.84958137071719952</v>
      </c>
      <c r="N37" s="95">
        <f t="shared" si="6"/>
        <v>0.11628070905422956</v>
      </c>
      <c r="O37" s="40">
        <f t="shared" si="7"/>
        <v>7.0629426524490438E-8</v>
      </c>
      <c r="P37" s="40">
        <f t="shared" si="8"/>
        <v>3.7619699183628398E-4</v>
      </c>
      <c r="Q37" s="40">
        <f t="shared" si="9"/>
        <v>9.1165533963833284E-3</v>
      </c>
      <c r="R37" s="9">
        <f t="shared" si="14"/>
        <v>1.4999999999999999E-4</v>
      </c>
      <c r="S37" s="9">
        <f t="shared" si="12"/>
        <v>2.2562794392420062E-5</v>
      </c>
      <c r="T37" s="9">
        <f t="shared" si="10"/>
        <v>1.0584692195354472E-5</v>
      </c>
      <c r="U37" s="9">
        <f t="shared" si="11"/>
        <v>1.2743720560757992E-4</v>
      </c>
      <c r="V37" s="102">
        <f t="shared" si="13"/>
        <v>8.3058100221909584E-2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9"/>
      <c r="B38" s="46" t="s">
        <v>129</v>
      </c>
      <c r="C38" s="46" t="s">
        <v>130</v>
      </c>
      <c r="D38" s="91">
        <v>2.8295519999999996</v>
      </c>
      <c r="E38" s="91">
        <v>3.5791989999999991</v>
      </c>
      <c r="F38" s="98">
        <v>9.9999999999999995E-7</v>
      </c>
      <c r="G38" s="170"/>
      <c r="H38" s="170"/>
      <c r="I38" s="94">
        <f t="shared" si="1"/>
        <v>0.16668848098518507</v>
      </c>
      <c r="J38" s="94">
        <f t="shared" si="2"/>
        <v>2.2690970019934102</v>
      </c>
      <c r="K38" s="95">
        <f t="shared" si="3"/>
        <v>0.64808769953000556</v>
      </c>
      <c r="L38" s="95">
        <f t="shared" si="4"/>
        <v>4.8196532598345422E-2</v>
      </c>
      <c r="M38" s="95">
        <f t="shared" si="5"/>
        <v>0.95180346740165456</v>
      </c>
      <c r="N38" s="95">
        <f t="shared" si="6"/>
        <v>3.1398469271027726E-2</v>
      </c>
      <c r="O38" s="40">
        <f t="shared" si="7"/>
        <v>6.4868295237914986E-7</v>
      </c>
      <c r="P38" s="40">
        <f t="shared" si="8"/>
        <v>1.205395280284619E-4</v>
      </c>
      <c r="Q38" s="40">
        <f t="shared" si="9"/>
        <v>2.4616793619699172E-3</v>
      </c>
      <c r="R38" s="9">
        <f t="shared" si="14"/>
        <v>1.4999999999999999E-4</v>
      </c>
      <c r="S38" s="9">
        <f t="shared" si="12"/>
        <v>7.2294798897518131E-6</v>
      </c>
      <c r="T38" s="9">
        <f t="shared" si="10"/>
        <v>9.7213154929500821E-5</v>
      </c>
      <c r="U38" s="9">
        <f t="shared" si="11"/>
        <v>1.4277052011024818E-4</v>
      </c>
      <c r="V38" s="102">
        <f t="shared" si="13"/>
        <v>0.6809049575110625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9"/>
      <c r="B39" s="46" t="s">
        <v>82</v>
      </c>
      <c r="C39" s="46" t="s">
        <v>83</v>
      </c>
      <c r="D39" s="91">
        <v>-2.3039999999996397E-3</v>
      </c>
      <c r="E39" s="91">
        <v>-1.314813</v>
      </c>
      <c r="F39" s="98">
        <v>9.9999999999999995E-7</v>
      </c>
      <c r="G39" s="170"/>
      <c r="H39" s="170"/>
      <c r="I39" s="94">
        <f t="shared" si="1"/>
        <v>-1.6807124166640264E-5</v>
      </c>
      <c r="J39" s="94">
        <f t="shared" si="2"/>
        <v>-1.3611403546582255E-2</v>
      </c>
      <c r="K39" s="95">
        <f t="shared" si="3"/>
        <v>0.99913334365759809</v>
      </c>
      <c r="L39" s="95">
        <f t="shared" si="4"/>
        <v>3.8752262504781934E-4</v>
      </c>
      <c r="M39" s="95">
        <f t="shared" si="5"/>
        <v>0.99961247737495218</v>
      </c>
      <c r="N39" s="95">
        <f t="shared" si="6"/>
        <v>6.1785440873137266E-7</v>
      </c>
      <c r="O39" s="40">
        <f t="shared" si="7"/>
        <v>1.0000510234251954E-6</v>
      </c>
      <c r="P39" s="40">
        <f t="shared" si="8"/>
        <v>9.6919408524459602E-7</v>
      </c>
      <c r="Q39" s="40">
        <f t="shared" si="9"/>
        <v>4.8440560383610126E-8</v>
      </c>
      <c r="R39" s="9">
        <f t="shared" si="14"/>
        <v>1.4999999999999999E-4</v>
      </c>
      <c r="S39" s="9">
        <f t="shared" si="12"/>
        <v>5.8128393757172895E-8</v>
      </c>
      <c r="T39" s="9">
        <f t="shared" si="10"/>
        <v>1.4987000154863969E-4</v>
      </c>
      <c r="U39" s="9">
        <f t="shared" si="11"/>
        <v>1.4994187160624281E-4</v>
      </c>
      <c r="V39" s="102">
        <f t="shared" si="13"/>
        <v>0.9995206805355088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9"/>
      <c r="B40" s="46" t="s">
        <v>131</v>
      </c>
      <c r="C40" s="46" t="s">
        <v>132</v>
      </c>
      <c r="D40" s="47">
        <v>3.2352399999999997</v>
      </c>
      <c r="E40" s="47">
        <v>3.7544849999999994</v>
      </c>
      <c r="F40" s="98">
        <v>9.9999999999999995E-7</v>
      </c>
      <c r="G40" s="170"/>
      <c r="H40" s="170"/>
      <c r="I40" s="94">
        <f t="shared" si="1"/>
        <v>0.30972420580945559</v>
      </c>
      <c r="J40" s="94">
        <f t="shared" si="2"/>
        <v>2.5374746618878143</v>
      </c>
      <c r="K40" s="95">
        <f t="shared" si="3"/>
        <v>0.45882897123624461</v>
      </c>
      <c r="L40" s="95">
        <f t="shared" si="4"/>
        <v>6.3300990871313342E-2</v>
      </c>
      <c r="M40" s="95">
        <f t="shared" si="5"/>
        <v>0.93669900912868664</v>
      </c>
      <c r="N40" s="95">
        <f t="shared" si="6"/>
        <v>3.3282161939527544E-2</v>
      </c>
      <c r="O40" s="40">
        <f t="shared" si="7"/>
        <v>4.5925039452910515E-7</v>
      </c>
      <c r="P40" s="40">
        <f t="shared" si="8"/>
        <v>1.5831577816915467E-4</v>
      </c>
      <c r="Q40" s="40">
        <f t="shared" si="9"/>
        <v>2.6093632291773793E-3</v>
      </c>
      <c r="R40" s="9">
        <f t="shared" si="14"/>
        <v>1.4999999999999999E-4</v>
      </c>
      <c r="S40" s="9">
        <f t="shared" si="12"/>
        <v>9.4951486306970001E-6</v>
      </c>
      <c r="T40" s="9">
        <f t="shared" si="10"/>
        <v>6.8824345685436687E-5</v>
      </c>
      <c r="U40" s="9">
        <f t="shared" si="11"/>
        <v>1.4050485136930297E-4</v>
      </c>
      <c r="V40" s="102">
        <f t="shared" si="13"/>
        <v>0.48983608049617278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9"/>
      <c r="B41" s="96" t="s">
        <v>133</v>
      </c>
      <c r="C41" s="96" t="s">
        <v>134</v>
      </c>
      <c r="D41" s="97">
        <v>3.3303280000000011</v>
      </c>
      <c r="E41" s="97">
        <v>3.8215209999999997</v>
      </c>
      <c r="F41" s="98">
        <v>9.9999999999999995E-7</v>
      </c>
      <c r="G41" s="170"/>
      <c r="H41" s="170"/>
      <c r="I41" s="94">
        <f t="shared" si="1"/>
        <v>0.35763444792585858</v>
      </c>
      <c r="J41" s="94">
        <f t="shared" si="2"/>
        <v>2.6178158804762943</v>
      </c>
      <c r="K41" s="95">
        <f t="shared" si="3"/>
        <v>0.40889734995254429</v>
      </c>
      <c r="L41" s="95">
        <f t="shared" si="4"/>
        <v>6.7875835825847178E-2</v>
      </c>
      <c r="M41" s="95">
        <f t="shared" si="5"/>
        <v>0.93212416417415278</v>
      </c>
      <c r="N41" s="95">
        <f t="shared" si="6"/>
        <v>3.4610748626153334E-2</v>
      </c>
      <c r="O41" s="40">
        <f t="shared" si="7"/>
        <v>4.0927291226107651E-7</v>
      </c>
      <c r="P41" s="40">
        <f t="shared" si="8"/>
        <v>1.6975746540044378E-4</v>
      </c>
      <c r="Q41" s="40">
        <f t="shared" si="9"/>
        <v>2.7135260913482601E-3</v>
      </c>
      <c r="R41" s="9">
        <f t="shared" si="14"/>
        <v>1.4999999999999999E-4</v>
      </c>
      <c r="S41" s="9">
        <f t="shared" si="12"/>
        <v>1.0181375373877075E-5</v>
      </c>
      <c r="T41" s="9">
        <f t="shared" si="10"/>
        <v>6.1334602492881641E-5</v>
      </c>
      <c r="U41" s="9">
        <f t="shared" si="11"/>
        <v>1.398186246261229E-4</v>
      </c>
      <c r="V41" s="102">
        <f t="shared" si="13"/>
        <v>0.43867262073912744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90"/>
      <c r="B42" s="46" t="s">
        <v>135</v>
      </c>
      <c r="C42" s="46" t="s">
        <v>136</v>
      </c>
      <c r="D42" s="91">
        <v>4.4202640000000004</v>
      </c>
      <c r="E42" s="91">
        <v>5.6388380000000007</v>
      </c>
      <c r="F42" s="98">
        <v>9.9999999999999995E-7</v>
      </c>
      <c r="G42" s="170"/>
      <c r="H42" s="170"/>
      <c r="I42" s="94">
        <f t="shared" si="1"/>
        <v>1.4796577057346771</v>
      </c>
      <c r="J42" s="94">
        <f t="shared" si="2"/>
        <v>4.2142679595923802</v>
      </c>
      <c r="K42" s="95">
        <f t="shared" si="3"/>
        <v>2.7213797573745233E-2</v>
      </c>
      <c r="L42" s="95">
        <f t="shared" si="4"/>
        <v>0.17837834235476835</v>
      </c>
      <c r="M42" s="95">
        <f t="shared" si="5"/>
        <v>0.82162165764523165</v>
      </c>
      <c r="N42" s="95">
        <f t="shared" si="6"/>
        <v>0.15125259944808819</v>
      </c>
      <c r="O42" s="40">
        <f t="shared" si="7"/>
        <v>2.7238792787438624E-8</v>
      </c>
      <c r="P42" s="40">
        <f t="shared" si="8"/>
        <v>4.4612423422927579E-4</v>
      </c>
      <c r="Q42" s="40">
        <f t="shared" si="9"/>
        <v>1.1858393455162026E-2</v>
      </c>
      <c r="R42" s="9">
        <f t="shared" si="14"/>
        <v>1.4999999999999999E-4</v>
      </c>
      <c r="S42" s="9">
        <f t="shared" si="12"/>
        <v>2.675675135321525E-5</v>
      </c>
      <c r="T42" s="9">
        <f t="shared" si="10"/>
        <v>4.0820696360617849E-6</v>
      </c>
      <c r="U42" s="9">
        <f t="shared" si="11"/>
        <v>1.2324324864678473E-4</v>
      </c>
      <c r="V42" s="102">
        <f t="shared" si="13"/>
        <v>3.3122054805298097E-2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90"/>
      <c r="B43" s="46" t="s">
        <v>137</v>
      </c>
      <c r="C43" s="46" t="s">
        <v>138</v>
      </c>
      <c r="D43" s="91">
        <v>4.2752879999999998</v>
      </c>
      <c r="E43" s="91">
        <v>5.3084609999999994</v>
      </c>
      <c r="F43" s="98">
        <v>9.9999999999999995E-7</v>
      </c>
      <c r="G43" s="170"/>
      <c r="H43" s="170"/>
      <c r="I43" s="94">
        <f t="shared" si="1"/>
        <v>1.2498866711591912</v>
      </c>
      <c r="J43" s="94">
        <f t="shared" si="2"/>
        <v>3.9177203460984957</v>
      </c>
      <c r="K43" s="95">
        <f t="shared" si="3"/>
        <v>4.7396239612879087E-2</v>
      </c>
      <c r="L43" s="95">
        <f t="shared" si="4"/>
        <v>0.15694563685101515</v>
      </c>
      <c r="M43" s="95">
        <f t="shared" si="5"/>
        <v>0.84305436314898485</v>
      </c>
      <c r="N43" s="95">
        <f t="shared" si="6"/>
        <v>0.12310638644630227</v>
      </c>
      <c r="O43" s="40">
        <f t="shared" si="7"/>
        <v>4.7439771910573908E-8</v>
      </c>
      <c r="P43" s="40">
        <f t="shared" si="8"/>
        <v>3.9252103776438895E-4</v>
      </c>
      <c r="Q43" s="40">
        <f t="shared" si="9"/>
        <v>9.6516950627649513E-3</v>
      </c>
      <c r="R43" s="9">
        <f t="shared" si="14"/>
        <v>1.4999999999999999E-4</v>
      </c>
      <c r="S43" s="9">
        <f t="shared" si="12"/>
        <v>2.3541845527652271E-5</v>
      </c>
      <c r="T43" s="9">
        <f t="shared" si="10"/>
        <v>7.1094359419318623E-6</v>
      </c>
      <c r="U43" s="9">
        <f t="shared" si="11"/>
        <v>1.2645815447234773E-4</v>
      </c>
      <c r="V43" s="102">
        <f t="shared" si="13"/>
        <v>5.6219671808404134E-2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90"/>
      <c r="B44" s="46" t="s">
        <v>84</v>
      </c>
      <c r="C44" s="46" t="s">
        <v>85</v>
      </c>
      <c r="D44" s="91">
        <v>2.7665919999999997</v>
      </c>
      <c r="E44" s="91">
        <v>3.5255839999999989</v>
      </c>
      <c r="F44" s="98">
        <v>9.9999999999999995E-7</v>
      </c>
      <c r="G44" s="170"/>
      <c r="H44" s="170"/>
      <c r="I44" s="94">
        <f t="shared" si="1"/>
        <v>0.14841008082679891</v>
      </c>
      <c r="J44" s="94">
        <f t="shared" si="2"/>
        <v>2.2125616665002776</v>
      </c>
      <c r="K44" s="95">
        <f t="shared" si="3"/>
        <v>0.6787045293700702</v>
      </c>
      <c r="L44" s="95">
        <f t="shared" si="4"/>
        <v>4.4312619952214014E-2</v>
      </c>
      <c r="M44" s="95">
        <f t="shared" si="5"/>
        <v>0.95568738004778597</v>
      </c>
      <c r="N44" s="95">
        <f t="shared" si="6"/>
        <v>2.9063000187238591E-2</v>
      </c>
      <c r="O44" s="40">
        <f t="shared" si="7"/>
        <v>6.7932790303559063E-7</v>
      </c>
      <c r="P44" s="40">
        <f t="shared" si="8"/>
        <v>1.1082586250048723E-4</v>
      </c>
      <c r="Q44" s="40">
        <f t="shared" si="9"/>
        <v>2.2785756573129694E-3</v>
      </c>
      <c r="R44" s="9">
        <f t="shared" si="14"/>
        <v>1.4999999999999999E-4</v>
      </c>
      <c r="S44" s="9">
        <f t="shared" si="12"/>
        <v>6.6468929928321013E-6</v>
      </c>
      <c r="T44" s="9">
        <f t="shared" si="10"/>
        <v>1.0180567940551052E-4</v>
      </c>
      <c r="U44" s="9">
        <f t="shared" si="11"/>
        <v>1.4335310700716789E-4</v>
      </c>
      <c r="V44" s="102">
        <f t="shared" si="13"/>
        <v>0.71017420920231655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90"/>
      <c r="B45" s="46" t="s">
        <v>139</v>
      </c>
      <c r="C45" s="46" t="s">
        <v>140</v>
      </c>
      <c r="D45" s="91">
        <v>4.4687359999999998</v>
      </c>
      <c r="E45" s="91">
        <v>5.2666120000000003</v>
      </c>
      <c r="F45" s="98">
        <v>9.9999999999999995E-7</v>
      </c>
      <c r="G45" s="170"/>
      <c r="H45" s="170"/>
      <c r="I45" s="94">
        <f t="shared" si="1"/>
        <v>1.3452769109111</v>
      </c>
      <c r="J45" s="94">
        <f t="shared" si="2"/>
        <v>3.9384447971611571</v>
      </c>
      <c r="K45" s="95">
        <f t="shared" si="3"/>
        <v>3.9017173370577599E-2</v>
      </c>
      <c r="L45" s="95">
        <f t="shared" si="4"/>
        <v>0.13551445246873375</v>
      </c>
      <c r="M45" s="95">
        <f t="shared" si="5"/>
        <v>0.86448554753126627</v>
      </c>
      <c r="N45" s="95">
        <f t="shared" si="6"/>
        <v>9.2032983397384832E-2</v>
      </c>
      <c r="O45" s="40">
        <f t="shared" si="7"/>
        <v>3.9053009698949888E-8</v>
      </c>
      <c r="P45" s="40">
        <f t="shared" si="8"/>
        <v>3.3892164562430332E-4</v>
      </c>
      <c r="Q45" s="40">
        <f t="shared" si="9"/>
        <v>7.21550130021503E-3</v>
      </c>
      <c r="R45" s="9">
        <f t="shared" si="14"/>
        <v>1.4999999999999999E-4</v>
      </c>
      <c r="S45" s="9">
        <f t="shared" si="12"/>
        <v>2.032716787031006E-5</v>
      </c>
      <c r="T45" s="9">
        <f t="shared" si="10"/>
        <v>5.8525760055866395E-6</v>
      </c>
      <c r="U45" s="9">
        <f t="shared" si="11"/>
        <v>1.2967283212968992E-4</v>
      </c>
      <c r="V45" s="102">
        <f t="shared" si="13"/>
        <v>4.5133401572761918E-2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9"/>
      <c r="B46" s="46" t="s">
        <v>86</v>
      </c>
      <c r="C46" s="46" t="s">
        <v>87</v>
      </c>
      <c r="D46" s="93">
        <v>2.6972559999999999</v>
      </c>
      <c r="E46" s="93">
        <v>3.431432</v>
      </c>
      <c r="F46" s="98">
        <v>9.9999999999999995E-7</v>
      </c>
      <c r="G46" s="170"/>
      <c r="H46" s="170"/>
      <c r="I46" s="94">
        <f t="shared" si="1"/>
        <v>0.12747825886296762</v>
      </c>
      <c r="J46" s="94">
        <f t="shared" si="2"/>
        <v>2.1275282735995251</v>
      </c>
      <c r="K46" s="95">
        <f t="shared" si="3"/>
        <v>0.71657467480913384</v>
      </c>
      <c r="L46" s="95">
        <f t="shared" si="4"/>
        <v>3.8465797681516527E-2</v>
      </c>
      <c r="M46" s="95">
        <f t="shared" si="5"/>
        <v>0.96153420231848352</v>
      </c>
      <c r="N46" s="95">
        <f t="shared" si="6"/>
        <v>2.4704106588708936E-2</v>
      </c>
      <c r="O46" s="40">
        <f t="shared" si="7"/>
        <v>7.1723283128566342E-7</v>
      </c>
      <c r="P46" s="40">
        <f t="shared" si="8"/>
        <v>9.6202960001472818E-5</v>
      </c>
      <c r="Q46" s="40">
        <f t="shared" si="9"/>
        <v>1.9368329334909418E-3</v>
      </c>
      <c r="R46" s="9">
        <f t="shared" si="14"/>
        <v>1.4999999999999999E-4</v>
      </c>
      <c r="S46" s="9">
        <f t="shared" si="12"/>
        <v>5.7698696522274784E-6</v>
      </c>
      <c r="T46" s="9">
        <f t="shared" si="10"/>
        <v>1.0748620122137007E-4</v>
      </c>
      <c r="U46" s="9">
        <f t="shared" si="11"/>
        <v>1.4423013034777253E-4</v>
      </c>
      <c r="V46" s="102">
        <f t="shared" si="13"/>
        <v>0.74524096291250475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9"/>
      <c r="B47" s="46" t="s">
        <v>141</v>
      </c>
      <c r="C47" s="46" t="s">
        <v>142</v>
      </c>
      <c r="D47" s="91">
        <v>3.859360000000001</v>
      </c>
      <c r="E47" s="91">
        <v>4.2614199999999993</v>
      </c>
      <c r="F47" s="98">
        <v>9.9999999999999995E-7</v>
      </c>
      <c r="G47" s="170"/>
      <c r="H47" s="170"/>
      <c r="I47" s="94">
        <f t="shared" si="1"/>
        <v>0.71310437974280194</v>
      </c>
      <c r="J47" s="94">
        <f t="shared" si="2"/>
        <v>3.1029707241226632</v>
      </c>
      <c r="K47" s="95">
        <f t="shared" si="3"/>
        <v>0.17619992165226542</v>
      </c>
      <c r="L47" s="95">
        <f t="shared" si="4"/>
        <v>8.9384342369843425E-2</v>
      </c>
      <c r="M47" s="95">
        <f t="shared" si="5"/>
        <v>0.91061565763015662</v>
      </c>
      <c r="N47" s="95">
        <f t="shared" si="6"/>
        <v>4.1067797147594252E-2</v>
      </c>
      <c r="O47" s="40">
        <f t="shared" si="7"/>
        <v>1.7636175701105803E-7</v>
      </c>
      <c r="P47" s="40">
        <f t="shared" si="8"/>
        <v>2.2355024026697842E-4</v>
      </c>
      <c r="Q47" s="40">
        <f t="shared" si="9"/>
        <v>3.2197667920417939E-3</v>
      </c>
      <c r="R47" s="9">
        <f t="shared" si="14"/>
        <v>1.4999999999999999E-4</v>
      </c>
      <c r="S47" s="9">
        <f t="shared" si="12"/>
        <v>1.3407651355476512E-5</v>
      </c>
      <c r="T47" s="9">
        <f t="shared" si="10"/>
        <v>2.6429988247839811E-5</v>
      </c>
      <c r="U47" s="9">
        <f t="shared" si="11"/>
        <v>1.3659234864452348E-4</v>
      </c>
      <c r="V47" s="102">
        <f t="shared" si="13"/>
        <v>0.19349537884162804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9"/>
      <c r="B48" s="46" t="s">
        <v>143</v>
      </c>
      <c r="C48" s="46" t="s">
        <v>144</v>
      </c>
      <c r="D48" s="91">
        <v>2.0184960000000003</v>
      </c>
      <c r="E48" s="91">
        <v>2.3512620000000002</v>
      </c>
      <c r="F48" s="98">
        <v>9.9999999999999995E-7</v>
      </c>
      <c r="G48" s="170"/>
      <c r="H48" s="170"/>
      <c r="I48" s="94">
        <f t="shared" ref="I48:I50" si="15">IF(D48=0,"",LOG($K$15*10^D48+$K$16*10^E48+$K$14))</f>
        <v>2.4527660835054643E-2</v>
      </c>
      <c r="J48" s="94">
        <f t="shared" ref="J48:J50" si="16">IF(D48=0,"",LOG($K$21*10^D48+$K$22*10^E48+$K$20))</f>
        <v>1.2530323770467107</v>
      </c>
      <c r="K48" s="95">
        <f t="shared" ref="K48:K50" si="17">IF(D48=0,"",1/(1+10^D48*$J$15/$J$14+10^E48*$J$16/$J$14+10^J48*$J$19/$J$14))</f>
        <v>0.93824705867818103</v>
      </c>
      <c r="L48" s="95">
        <f t="shared" ref="L48:L50" si="18">IF(D48=0,"",1/(1+10^I48/10^J48*$J$13/$J$19))</f>
        <v>6.7241068004299321E-3</v>
      </c>
      <c r="M48" s="95">
        <f t="shared" ref="M48:M92" si="19">IF(D48=0,"",1-L48)</f>
        <v>0.9932758931995701</v>
      </c>
      <c r="N48" s="95">
        <f t="shared" ref="N48:N50" si="20">IF(D48=0,"",1/(1/10^E48*$J$20/$J$22+10^D48/10^E48*$J$21/$J$22+10^I48/10^E48*$J$13/$J$22+1))</f>
        <v>2.6893969550217632E-3</v>
      </c>
      <c r="O48" s="40">
        <f t="shared" ref="O48:O92" si="21">IF(D48=0,"",F48*K48*$J$7/$J$14)</f>
        <v>9.3910881586827191E-7</v>
      </c>
      <c r="P48" s="40">
        <f t="shared" ref="P48:P50" si="22">IF(D48=0,"",O48*10^J48)</f>
        <v>1.681699110787526E-5</v>
      </c>
      <c r="Q48" s="40">
        <f t="shared" ref="Q48:Q50" si="23">IF(D48=0,"",F48*N48*$J$7/$J$22)</f>
        <v>2.1085209355828935E-4</v>
      </c>
      <c r="R48" s="9">
        <f t="shared" si="14"/>
        <v>1.4999999999999999E-4</v>
      </c>
      <c r="S48" s="9">
        <f t="shared" si="12"/>
        <v>1.0086160200644898E-6</v>
      </c>
      <c r="T48" s="9">
        <f t="shared" si="10"/>
        <v>1.4073705880172715E-4</v>
      </c>
      <c r="U48" s="9">
        <f t="shared" si="11"/>
        <v>1.489913839799355E-4</v>
      </c>
      <c r="V48" s="102">
        <f t="shared" si="13"/>
        <v>0.94459864082261324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9"/>
      <c r="B49" s="46" t="s">
        <v>145</v>
      </c>
      <c r="C49" s="46" t="s">
        <v>146</v>
      </c>
      <c r="D49" s="91">
        <v>1.4665360000000003</v>
      </c>
      <c r="E49" s="91">
        <v>1.8522119999999997</v>
      </c>
      <c r="F49" s="98">
        <v>9.9999999999999995E-7</v>
      </c>
      <c r="G49" s="170"/>
      <c r="H49" s="170"/>
      <c r="I49" s="94">
        <f t="shared" si="15"/>
        <v>6.9959414880738915E-3</v>
      </c>
      <c r="J49" s="94">
        <f t="shared" si="16"/>
        <v>0.77181105160959218</v>
      </c>
      <c r="K49" s="95">
        <f t="shared" si="17"/>
        <v>0.98122685015900646</v>
      </c>
      <c r="L49" s="95">
        <f t="shared" si="18"/>
        <v>2.3220175050303322E-3</v>
      </c>
      <c r="M49" s="95">
        <f t="shared" si="19"/>
        <v>0.99767798249496964</v>
      </c>
      <c r="N49" s="95">
        <f t="shared" si="20"/>
        <v>8.9136816824539095E-4</v>
      </c>
      <c r="O49" s="40">
        <f t="shared" si="21"/>
        <v>9.821280832461914E-7</v>
      </c>
      <c r="P49" s="40">
        <f t="shared" si="22"/>
        <v>5.8073657800808616E-6</v>
      </c>
      <c r="Q49" s="40">
        <f t="shared" si="23"/>
        <v>6.9884382093470928E-5</v>
      </c>
      <c r="R49" s="9">
        <f t="shared" si="14"/>
        <v>1.4999999999999999E-4</v>
      </c>
      <c r="S49" s="9">
        <f t="shared" si="12"/>
        <v>3.4830262575454982E-7</v>
      </c>
      <c r="T49" s="9">
        <f t="shared" si="10"/>
        <v>1.4718402752385095E-4</v>
      </c>
      <c r="U49" s="9">
        <f t="shared" si="11"/>
        <v>1.4965169737424542E-4</v>
      </c>
      <c r="V49" s="102">
        <f t="shared" si="13"/>
        <v>0.98351057893968696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9"/>
      <c r="B50" s="46" t="s">
        <v>147</v>
      </c>
      <c r="C50" s="46" t="s">
        <v>148</v>
      </c>
      <c r="D50" s="91"/>
      <c r="E50" s="91"/>
      <c r="F50" s="92"/>
      <c r="G50" s="170"/>
      <c r="H50" s="170"/>
      <c r="I50" s="94" t="str">
        <f t="shared" si="15"/>
        <v/>
      </c>
      <c r="J50" s="94" t="str">
        <f t="shared" si="16"/>
        <v/>
      </c>
      <c r="K50" s="95" t="str">
        <f t="shared" si="17"/>
        <v/>
      </c>
      <c r="L50" s="95" t="str">
        <f t="shared" si="18"/>
        <v/>
      </c>
      <c r="M50" s="95" t="str">
        <f t="shared" si="19"/>
        <v/>
      </c>
      <c r="N50" s="95" t="str">
        <f t="shared" si="20"/>
        <v/>
      </c>
      <c r="O50" s="40" t="str">
        <f t="shared" si="21"/>
        <v/>
      </c>
      <c r="P50" s="40" t="str">
        <f t="shared" si="22"/>
        <v/>
      </c>
      <c r="Q50" s="40" t="str">
        <f t="shared" si="23"/>
        <v/>
      </c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9"/>
      <c r="B51" s="46" t="s">
        <v>149</v>
      </c>
      <c r="C51" s="46" t="s">
        <v>150</v>
      </c>
      <c r="D51" s="91"/>
      <c r="E51" s="91"/>
      <c r="F51" s="92"/>
      <c r="G51" s="170"/>
      <c r="H51" s="170"/>
      <c r="I51" s="94" t="str">
        <f t="shared" ref="I51:I70" si="24">IF(D51=0,"",LOG($K$15*10^D51+$K$16*10^E51+$K$14))</f>
        <v/>
      </c>
      <c r="J51" s="94" t="str">
        <f t="shared" ref="J51:J70" si="25">IF(D51=0,"",LOG($K$21*10^D51+$K$22*10^E51+$K$20))</f>
        <v/>
      </c>
      <c r="K51" s="95" t="str">
        <f t="shared" ref="K51:K70" si="26">IF(D51=0,"",1/(1+10^D51*$J$15/$J$14+10^E51*$J$16/$J$14+10^J51*$J$19/$J$14))</f>
        <v/>
      </c>
      <c r="L51" s="95" t="str">
        <f t="shared" ref="L51:L70" si="27">IF(D51=0,"",1/(1+10^I51/10^J51*$J$13/$J$19))</f>
        <v/>
      </c>
      <c r="M51" s="95" t="str">
        <f t="shared" ref="M51:M70" si="28">IF(D51=0,"",1-L51)</f>
        <v/>
      </c>
      <c r="N51" s="95" t="str">
        <f t="shared" ref="N51:N70" si="29">IF(D51=0,"",1/(1/10^E51*$J$20/$J$22+10^D51/10^E51*$J$21/$J$22+10^I51/10^E51*$J$13/$J$22+1))</f>
        <v/>
      </c>
      <c r="O51" s="40" t="str">
        <f t="shared" ref="O51:O70" si="30">IF(D51=0,"",F51*K51*$J$7/$J$14)</f>
        <v/>
      </c>
      <c r="P51" s="40" t="str">
        <f t="shared" ref="P51:P70" si="31">IF(D51=0,"",O51*10^J51)</f>
        <v/>
      </c>
      <c r="Q51" s="40" t="str">
        <f t="shared" ref="Q51:Q70" si="32">IF(D51=0,"",F51*N51*$J$7/$J$22)</f>
        <v/>
      </c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151</v>
      </c>
      <c r="C52" s="46" t="s">
        <v>152</v>
      </c>
      <c r="D52" s="47"/>
      <c r="E52" s="47"/>
      <c r="F52" s="92"/>
      <c r="G52" s="170"/>
      <c r="H52" s="170"/>
      <c r="I52" s="94" t="str">
        <f t="shared" si="24"/>
        <v/>
      </c>
      <c r="J52" s="94" t="str">
        <f t="shared" si="25"/>
        <v/>
      </c>
      <c r="K52" s="95" t="str">
        <f t="shared" si="26"/>
        <v/>
      </c>
      <c r="L52" s="95" t="str">
        <f t="shared" si="27"/>
        <v/>
      </c>
      <c r="M52" s="95" t="str">
        <f t="shared" si="28"/>
        <v/>
      </c>
      <c r="N52" s="95" t="str">
        <f t="shared" si="29"/>
        <v/>
      </c>
      <c r="O52" s="40" t="str">
        <f t="shared" si="30"/>
        <v/>
      </c>
      <c r="P52" s="40" t="str">
        <f t="shared" si="31"/>
        <v/>
      </c>
      <c r="Q52" s="40" t="str">
        <f t="shared" si="32"/>
        <v/>
      </c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153</v>
      </c>
      <c r="C53" s="46" t="s">
        <v>154</v>
      </c>
      <c r="D53" s="47"/>
      <c r="E53" s="47"/>
      <c r="F53" s="92"/>
      <c r="G53" s="170"/>
      <c r="H53" s="170"/>
      <c r="I53" s="94" t="str">
        <f t="shared" si="24"/>
        <v/>
      </c>
      <c r="J53" s="94" t="str">
        <f t="shared" si="25"/>
        <v/>
      </c>
      <c r="K53" s="95" t="str">
        <f t="shared" si="26"/>
        <v/>
      </c>
      <c r="L53" s="95" t="str">
        <f t="shared" si="27"/>
        <v/>
      </c>
      <c r="M53" s="95" t="str">
        <f t="shared" si="28"/>
        <v/>
      </c>
      <c r="N53" s="95" t="str">
        <f t="shared" si="29"/>
        <v/>
      </c>
      <c r="O53" s="40" t="str">
        <f t="shared" si="30"/>
        <v/>
      </c>
      <c r="P53" s="40" t="str">
        <f t="shared" si="31"/>
        <v/>
      </c>
      <c r="Q53" s="40" t="str">
        <f t="shared" si="32"/>
        <v/>
      </c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155</v>
      </c>
      <c r="C54" s="46" t="s">
        <v>156</v>
      </c>
      <c r="D54" s="47"/>
      <c r="E54" s="47"/>
      <c r="F54" s="92"/>
      <c r="G54" s="170"/>
      <c r="H54" s="170"/>
      <c r="I54" s="94" t="str">
        <f t="shared" si="24"/>
        <v/>
      </c>
      <c r="J54" s="94" t="str">
        <f t="shared" si="25"/>
        <v/>
      </c>
      <c r="K54" s="95" t="str">
        <f t="shared" si="26"/>
        <v/>
      </c>
      <c r="L54" s="95" t="str">
        <f t="shared" si="27"/>
        <v/>
      </c>
      <c r="M54" s="95" t="str">
        <f t="shared" si="28"/>
        <v/>
      </c>
      <c r="N54" s="95" t="str">
        <f t="shared" si="29"/>
        <v/>
      </c>
      <c r="O54" s="40" t="str">
        <f t="shared" si="30"/>
        <v/>
      </c>
      <c r="P54" s="40" t="str">
        <f t="shared" si="31"/>
        <v/>
      </c>
      <c r="Q54" s="40" t="str">
        <f t="shared" si="32"/>
        <v/>
      </c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157</v>
      </c>
      <c r="C55" s="46" t="s">
        <v>158</v>
      </c>
      <c r="D55" s="47"/>
      <c r="E55" s="47"/>
      <c r="F55" s="57"/>
      <c r="G55" s="170"/>
      <c r="H55" s="170"/>
      <c r="I55" s="54" t="str">
        <f t="shared" si="24"/>
        <v/>
      </c>
      <c r="J55" s="54" t="str">
        <f t="shared" si="25"/>
        <v/>
      </c>
      <c r="K55" s="55" t="str">
        <f t="shared" si="26"/>
        <v/>
      </c>
      <c r="L55" s="55" t="str">
        <f t="shared" si="27"/>
        <v/>
      </c>
      <c r="M55" s="55" t="str">
        <f t="shared" si="28"/>
        <v/>
      </c>
      <c r="N55" s="55" t="str">
        <f t="shared" si="29"/>
        <v/>
      </c>
      <c r="O55" s="56" t="str">
        <f t="shared" si="30"/>
        <v/>
      </c>
      <c r="P55" s="56" t="str">
        <f t="shared" si="31"/>
        <v/>
      </c>
      <c r="Q55" s="56" t="str">
        <f t="shared" si="32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159</v>
      </c>
      <c r="C56" s="46" t="s">
        <v>160</v>
      </c>
      <c r="D56" s="47"/>
      <c r="E56" s="47"/>
      <c r="F56" s="57"/>
      <c r="G56" s="170"/>
      <c r="H56" s="170"/>
      <c r="I56" s="54" t="str">
        <f t="shared" si="24"/>
        <v/>
      </c>
      <c r="J56" s="54" t="str">
        <f t="shared" si="25"/>
        <v/>
      </c>
      <c r="K56" s="55" t="str">
        <f t="shared" si="26"/>
        <v/>
      </c>
      <c r="L56" s="55" t="str">
        <f t="shared" si="27"/>
        <v/>
      </c>
      <c r="M56" s="55" t="str">
        <f t="shared" si="28"/>
        <v/>
      </c>
      <c r="N56" s="55" t="str">
        <f t="shared" si="29"/>
        <v/>
      </c>
      <c r="O56" s="56" t="str">
        <f t="shared" si="30"/>
        <v/>
      </c>
      <c r="P56" s="56" t="str">
        <f t="shared" si="31"/>
        <v/>
      </c>
      <c r="Q56" s="56" t="str">
        <f t="shared" si="32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8" t="s">
        <v>88</v>
      </c>
      <c r="C57" s="88" t="s">
        <v>89</v>
      </c>
      <c r="D57" s="91">
        <v>6.5247999999999973E-2</v>
      </c>
      <c r="E57" s="91">
        <v>8.2216000000000289E-2</v>
      </c>
      <c r="F57" s="98">
        <v>9.9999999999999995E-7</v>
      </c>
      <c r="G57" s="170"/>
      <c r="H57" s="170"/>
      <c r="I57" s="54">
        <f t="shared" si="24"/>
        <v>3.7232006014196545E-5</v>
      </c>
      <c r="J57" s="54">
        <f t="shared" si="25"/>
        <v>9.4441934040065591E-3</v>
      </c>
      <c r="K57" s="55">
        <f t="shared" si="26"/>
        <v>0.99898797324673894</v>
      </c>
      <c r="L57" s="55">
        <f t="shared" si="27"/>
        <v>4.0859163141921567E-4</v>
      </c>
      <c r="M57" s="55">
        <f t="shared" si="28"/>
        <v>0.99959140836858074</v>
      </c>
      <c r="N57" s="55">
        <f t="shared" si="29"/>
        <v>1.541175005280891E-5</v>
      </c>
      <c r="O57" s="56">
        <f t="shared" si="30"/>
        <v>9.9990551949513603E-7</v>
      </c>
      <c r="P57" s="56">
        <f t="shared" si="31"/>
        <v>1.0218876701794586E-6</v>
      </c>
      <c r="Q57" s="56">
        <f t="shared" si="32"/>
        <v>1.2083005292186548E-6</v>
      </c>
      <c r="R57" s="9">
        <f t="shared" ref="R57:R58" si="33">F57*$C$14</f>
        <v>1.4999999999999999E-4</v>
      </c>
      <c r="S57" s="9">
        <f t="shared" ref="S57:S58" si="34">$R57*L57</f>
        <v>6.1288744712882342E-8</v>
      </c>
      <c r="T57" s="9">
        <f t="shared" ref="T57:T58" si="35">R57*K57</f>
        <v>1.4984819598701083E-4</v>
      </c>
      <c r="U57" s="9">
        <f t="shared" ref="U57:U58" si="36">$R57*M57</f>
        <v>1.499387112552871E-4</v>
      </c>
      <c r="V57" s="102">
        <f t="shared" ref="V57:V58" si="37">K57/M57</f>
        <v>0.99939631821883435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161</v>
      </c>
      <c r="C58" s="46" t="s">
        <v>162</v>
      </c>
      <c r="D58" s="47">
        <v>2.1823520000000003</v>
      </c>
      <c r="E58" s="47">
        <v>2.5882690000000008</v>
      </c>
      <c r="F58" s="98">
        <v>9.9999999999999995E-7</v>
      </c>
      <c r="G58" s="170"/>
      <c r="H58" s="170"/>
      <c r="I58" s="54">
        <f t="shared" si="24"/>
        <v>3.6330362911661196E-2</v>
      </c>
      <c r="J58" s="54">
        <f t="shared" si="25"/>
        <v>1.4413921389547875</v>
      </c>
      <c r="K58" s="55">
        <f t="shared" si="26"/>
        <v>0.91002254649108172</v>
      </c>
      <c r="L58" s="55">
        <f t="shared" si="27"/>
        <v>1.0063042468815042E-2</v>
      </c>
      <c r="M58" s="55">
        <f t="shared" si="28"/>
        <v>0.98993695753118494</v>
      </c>
      <c r="N58" s="55">
        <f t="shared" si="29"/>
        <v>4.5019104259593238E-3</v>
      </c>
      <c r="O58" s="56">
        <f t="shared" si="30"/>
        <v>9.1085838015059604E-7</v>
      </c>
      <c r="P58" s="56">
        <f t="shared" si="31"/>
        <v>2.5167669214506427E-5</v>
      </c>
      <c r="Q58" s="56">
        <f t="shared" si="32"/>
        <v>3.5295542242395835E-4</v>
      </c>
      <c r="R58" s="9">
        <f t="shared" si="33"/>
        <v>1.4999999999999999E-4</v>
      </c>
      <c r="S58" s="9">
        <f t="shared" si="34"/>
        <v>1.509456370322256E-6</v>
      </c>
      <c r="T58" s="9">
        <f t="shared" si="35"/>
        <v>1.3650338197366226E-4</v>
      </c>
      <c r="U58" s="9">
        <f t="shared" si="36"/>
        <v>1.4849054362967771E-4</v>
      </c>
      <c r="V58" s="102">
        <f t="shared" si="37"/>
        <v>0.9192732320658048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163</v>
      </c>
      <c r="C59" s="46" t="s">
        <v>164</v>
      </c>
      <c r="D59" s="47"/>
      <c r="E59" s="47"/>
      <c r="F59" s="57"/>
      <c r="G59" s="170"/>
      <c r="H59" s="170"/>
      <c r="I59" s="54" t="str">
        <f t="shared" si="24"/>
        <v/>
      </c>
      <c r="J59" s="54" t="str">
        <f t="shared" si="25"/>
        <v/>
      </c>
      <c r="K59" s="55" t="str">
        <f t="shared" si="26"/>
        <v/>
      </c>
      <c r="L59" s="55" t="str">
        <f t="shared" si="27"/>
        <v/>
      </c>
      <c r="M59" s="55" t="str">
        <f t="shared" si="28"/>
        <v/>
      </c>
      <c r="N59" s="55" t="str">
        <f t="shared" si="29"/>
        <v/>
      </c>
      <c r="O59" s="56" t="str">
        <f t="shared" si="30"/>
        <v/>
      </c>
      <c r="P59" s="56" t="str">
        <f t="shared" si="31"/>
        <v/>
      </c>
      <c r="Q59" s="56" t="str">
        <f t="shared" si="32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90</v>
      </c>
      <c r="C60" s="46" t="s">
        <v>91</v>
      </c>
      <c r="D60" s="47">
        <v>2.3628240000000003</v>
      </c>
      <c r="E60" s="47">
        <v>2.5674030000000005</v>
      </c>
      <c r="F60" s="98">
        <v>9.9999999999999995E-7</v>
      </c>
      <c r="G60" s="170"/>
      <c r="H60" s="170"/>
      <c r="I60" s="54">
        <f t="shared" si="24"/>
        <v>5.084171441621077E-2</v>
      </c>
      <c r="J60" s="54">
        <f t="shared" si="25"/>
        <v>1.5374135578346046</v>
      </c>
      <c r="K60" s="55">
        <f t="shared" si="26"/>
        <v>0.87829310738409316</v>
      </c>
      <c r="L60" s="55">
        <f t="shared" si="27"/>
        <v>1.2115408068353348E-2</v>
      </c>
      <c r="M60" s="55">
        <f t="shared" si="28"/>
        <v>0.98788459193164668</v>
      </c>
      <c r="N60" s="55">
        <f t="shared" si="29"/>
        <v>4.1411233966791184E-3</v>
      </c>
      <c r="O60" s="56">
        <f t="shared" si="30"/>
        <v>8.7909979832257777E-7</v>
      </c>
      <c r="P60" s="56">
        <f t="shared" si="31"/>
        <v>3.0300635578951724E-5</v>
      </c>
      <c r="Q60" s="56">
        <f t="shared" si="32"/>
        <v>3.2466926693086129E-4</v>
      </c>
      <c r="R60" s="9">
        <f>F60*$C$14</f>
        <v>1.4999999999999999E-4</v>
      </c>
      <c r="S60" s="9">
        <f t="shared" ref="S60:S93" si="38">$R60*L60</f>
        <v>1.8173112102530021E-6</v>
      </c>
      <c r="T60" s="9">
        <f t="shared" ref="T60:T93" si="39">R60*K60</f>
        <v>1.3174396610761397E-4</v>
      </c>
      <c r="U60" s="9">
        <f t="shared" ref="U60:U93" si="40">$R60*M60</f>
        <v>1.4818268878974698E-4</v>
      </c>
      <c r="V60" s="102">
        <f t="shared" ref="V60:V93" si="41">K60/M60</f>
        <v>0.8890644864363505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92</v>
      </c>
      <c r="C61" s="46" t="s">
        <v>93</v>
      </c>
      <c r="D61" s="47">
        <v>3.2672240000000001</v>
      </c>
      <c r="E61" s="47">
        <v>3.6253630000000006</v>
      </c>
      <c r="F61" s="98">
        <v>9.9999999999999995E-7</v>
      </c>
      <c r="G61" s="170"/>
      <c r="H61" s="170"/>
      <c r="I61" s="54">
        <f t="shared" si="24"/>
        <v>0.31132307136990117</v>
      </c>
      <c r="J61" s="54">
        <f t="shared" si="25"/>
        <v>2.4921150802892003</v>
      </c>
      <c r="K61" s="55">
        <f t="shared" si="26"/>
        <v>0.46012793163187171</v>
      </c>
      <c r="L61" s="55">
        <f t="shared" si="27"/>
        <v>5.7184547901680323E-2</v>
      </c>
      <c r="M61" s="55">
        <f t="shared" si="28"/>
        <v>0.94281545209831963</v>
      </c>
      <c r="N61" s="55">
        <f t="shared" si="29"/>
        <v>2.479232718782922E-2</v>
      </c>
      <c r="O61" s="56">
        <f t="shared" si="30"/>
        <v>4.6055054798838242E-7</v>
      </c>
      <c r="P61" s="56">
        <f t="shared" si="31"/>
        <v>1.4301855430210253E-4</v>
      </c>
      <c r="Q61" s="56">
        <f t="shared" si="32"/>
        <v>1.9437495390834129E-3</v>
      </c>
      <c r="R61" s="9">
        <f>F61*$C$14</f>
        <v>1.4999999999999999E-4</v>
      </c>
      <c r="S61" s="9">
        <f t="shared" si="38"/>
        <v>8.5776821852520483E-6</v>
      </c>
      <c r="T61" s="9">
        <f t="shared" si="39"/>
        <v>6.9019189744780744E-5</v>
      </c>
      <c r="U61" s="9">
        <f t="shared" si="40"/>
        <v>1.4142231781474792E-4</v>
      </c>
      <c r="V61" s="102">
        <f t="shared" si="41"/>
        <v>0.48803605266313366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165</v>
      </c>
      <c r="C62" s="46" t="s">
        <v>110</v>
      </c>
      <c r="D62" s="47">
        <v>2.9091840000000002</v>
      </c>
      <c r="E62" s="47">
        <v>3.4102429999999995</v>
      </c>
      <c r="F62" s="98">
        <v>9.9999999999999995E-7</v>
      </c>
      <c r="G62" s="170"/>
      <c r="H62" s="170"/>
      <c r="I62" s="54">
        <f t="shared" si="24"/>
        <v>0.17220522092565899</v>
      </c>
      <c r="J62" s="54">
        <f t="shared" si="25"/>
        <v>2.20320821086194</v>
      </c>
      <c r="K62" s="55">
        <f t="shared" si="26"/>
        <v>0.6446175970889152</v>
      </c>
      <c r="L62" s="55">
        <f t="shared" si="27"/>
        <v>4.1190340487986435E-2</v>
      </c>
      <c r="M62" s="55">
        <f t="shared" si="28"/>
        <v>0.95880965951201358</v>
      </c>
      <c r="N62" s="55">
        <f t="shared" si="29"/>
        <v>2.1165125799249979E-2</v>
      </c>
      <c r="O62" s="56">
        <f t="shared" si="30"/>
        <v>6.4520966273304644E-7</v>
      </c>
      <c r="P62" s="56">
        <f t="shared" si="31"/>
        <v>1.0301704156045407E-4</v>
      </c>
      <c r="Q62" s="56">
        <f t="shared" si="32"/>
        <v>1.6593724020038934E-3</v>
      </c>
      <c r="R62" s="9">
        <f>F62*$C$14</f>
        <v>1.4999999999999999E-4</v>
      </c>
      <c r="S62" s="9">
        <f t="shared" si="38"/>
        <v>6.1785510731979646E-6</v>
      </c>
      <c r="T62" s="9">
        <f t="shared" si="39"/>
        <v>9.6692639563337269E-5</v>
      </c>
      <c r="U62" s="9">
        <f t="shared" si="40"/>
        <v>1.4382144892680201E-4</v>
      </c>
      <c r="V62" s="102">
        <f t="shared" si="41"/>
        <v>0.67231028671216508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94</v>
      </c>
      <c r="C63" s="46" t="s">
        <v>95</v>
      </c>
      <c r="D63" s="47">
        <v>2.857424</v>
      </c>
      <c r="E63" s="47">
        <v>3.3289280000000003</v>
      </c>
      <c r="F63" s="98">
        <v>9.9999999999999995E-7</v>
      </c>
      <c r="G63" s="170"/>
      <c r="H63" s="170"/>
      <c r="I63" s="54">
        <f t="shared" si="24"/>
        <v>0.15417954710270029</v>
      </c>
      <c r="J63" s="54">
        <f t="shared" si="25"/>
        <v>2.1368242314772878</v>
      </c>
      <c r="K63" s="55">
        <f t="shared" si="26"/>
        <v>0.67486504572810024</v>
      </c>
      <c r="L63" s="55">
        <f t="shared" si="27"/>
        <v>3.7010604649552047E-2</v>
      </c>
      <c r="M63" s="55">
        <f t="shared" si="28"/>
        <v>0.96298939535044792</v>
      </c>
      <c r="N63" s="55">
        <f t="shared" si="29"/>
        <v>1.8374715853788762E-2</v>
      </c>
      <c r="O63" s="56">
        <f t="shared" si="30"/>
        <v>6.7548489292092458E-7</v>
      </c>
      <c r="P63" s="56">
        <f t="shared" si="31"/>
        <v>9.2563522228529681E-5</v>
      </c>
      <c r="Q63" s="56">
        <f t="shared" si="32"/>
        <v>1.440600763333094E-3</v>
      </c>
      <c r="R63" s="9">
        <f>F63*$C$14</f>
        <v>1.4999999999999999E-4</v>
      </c>
      <c r="S63" s="9">
        <f t="shared" si="38"/>
        <v>5.5515906974328067E-6</v>
      </c>
      <c r="T63" s="9">
        <f t="shared" si="39"/>
        <v>1.0122975685921503E-4</v>
      </c>
      <c r="U63" s="9">
        <f t="shared" si="40"/>
        <v>1.4444840930256716E-4</v>
      </c>
      <c r="V63" s="102">
        <f t="shared" si="41"/>
        <v>0.70080215730984829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96</v>
      </c>
      <c r="C64" s="46" t="s">
        <v>97</v>
      </c>
      <c r="D64" s="47">
        <v>2.0783680000000002</v>
      </c>
      <c r="E64" s="47">
        <v>2.5770209999999998</v>
      </c>
      <c r="F64" s="98">
        <v>9.9999999999999995E-7</v>
      </c>
      <c r="G64" s="170"/>
      <c r="H64" s="170"/>
      <c r="I64" s="54">
        <f t="shared" si="24"/>
        <v>2.9920298270100572E-2</v>
      </c>
      <c r="J64" s="54">
        <f t="shared" si="25"/>
        <v>1.3847009580887457</v>
      </c>
      <c r="K64" s="55">
        <f t="shared" si="26"/>
        <v>0.92457100393030667</v>
      </c>
      <c r="L64" s="55">
        <f t="shared" si="27"/>
        <v>8.9727639215418323E-3</v>
      </c>
      <c r="M64" s="55">
        <f t="shared" si="28"/>
        <v>0.99102723607845822</v>
      </c>
      <c r="N64" s="55">
        <f t="shared" si="29"/>
        <v>4.4569418344237825E-3</v>
      </c>
      <c r="O64" s="56">
        <f t="shared" si="30"/>
        <v>9.2542019999547628E-7</v>
      </c>
      <c r="P64" s="56">
        <f t="shared" si="31"/>
        <v>2.2440882567776123E-5</v>
      </c>
      <c r="Q64" s="56">
        <f t="shared" si="32"/>
        <v>3.4942982846062324E-4</v>
      </c>
      <c r="R64" s="9">
        <f>F64*$C$14</f>
        <v>1.4999999999999999E-4</v>
      </c>
      <c r="S64" s="9">
        <f t="shared" si="38"/>
        <v>1.3459145882312748E-6</v>
      </c>
      <c r="T64" s="9">
        <f t="shared" si="39"/>
        <v>1.3868565058954599E-4</v>
      </c>
      <c r="U64" s="9">
        <f t="shared" si="40"/>
        <v>1.4865408541176871E-4</v>
      </c>
      <c r="V64" s="102">
        <f t="shared" si="41"/>
        <v>0.93294207290293851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166</v>
      </c>
      <c r="C65" s="46" t="s">
        <v>167</v>
      </c>
      <c r="D65" s="47">
        <v>3.4409280000000009</v>
      </c>
      <c r="E65" s="47">
        <v>4.1160660000000009</v>
      </c>
      <c r="F65" s="98">
        <v>9.9999999999999995E-7</v>
      </c>
      <c r="G65" s="170"/>
      <c r="H65" s="170"/>
      <c r="I65" s="54">
        <f t="shared" si="24"/>
        <v>0.45036614920415591</v>
      </c>
      <c r="J65" s="54">
        <f t="shared" si="25"/>
        <v>2.8316859841390225</v>
      </c>
      <c r="K65" s="55">
        <f t="shared" si="26"/>
        <v>0.32322210745805668</v>
      </c>
      <c r="L65" s="55">
        <f t="shared" si="27"/>
        <v>8.7795459446101287E-2</v>
      </c>
      <c r="M65" s="55">
        <f t="shared" si="28"/>
        <v>0.91220454055389877</v>
      </c>
      <c r="N65" s="55">
        <f t="shared" si="29"/>
        <v>5.3906701033906733E-2</v>
      </c>
      <c r="O65" s="56">
        <f t="shared" si="30"/>
        <v>3.2351897913223034E-7</v>
      </c>
      <c r="P65" s="56">
        <f t="shared" si="31"/>
        <v>2.1957644407469935E-4</v>
      </c>
      <c r="Q65" s="56">
        <f t="shared" si="32"/>
        <v>4.2263529556677351E-3</v>
      </c>
      <c r="R65" s="9">
        <f>F65*$C$14</f>
        <v>1.4999999999999999E-4</v>
      </c>
      <c r="S65" s="9">
        <f t="shared" si="38"/>
        <v>1.3169318916915192E-5</v>
      </c>
      <c r="T65" s="9">
        <f t="shared" si="39"/>
        <v>4.8483316118708497E-5</v>
      </c>
      <c r="U65" s="9">
        <f t="shared" si="40"/>
        <v>1.3683068108308479E-4</v>
      </c>
      <c r="V65" s="102">
        <f t="shared" si="41"/>
        <v>0.35433073733857245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168</v>
      </c>
      <c r="C66" s="46" t="s">
        <v>169</v>
      </c>
      <c r="D66" s="47"/>
      <c r="E66" s="47"/>
      <c r="F66" s="57"/>
      <c r="G66" s="170"/>
      <c r="H66" s="170"/>
      <c r="I66" s="54" t="str">
        <f t="shared" si="24"/>
        <v/>
      </c>
      <c r="J66" s="54" t="str">
        <f t="shared" si="25"/>
        <v/>
      </c>
      <c r="K66" s="55" t="str">
        <f t="shared" si="26"/>
        <v/>
      </c>
      <c r="L66" s="55" t="str">
        <f t="shared" si="27"/>
        <v/>
      </c>
      <c r="M66" s="55" t="str">
        <f t="shared" si="28"/>
        <v/>
      </c>
      <c r="N66" s="55" t="str">
        <f t="shared" si="29"/>
        <v/>
      </c>
      <c r="O66" s="56" t="str">
        <f t="shared" si="30"/>
        <v/>
      </c>
      <c r="P66" s="56" t="str">
        <f t="shared" si="31"/>
        <v/>
      </c>
      <c r="Q66" s="56" t="str">
        <f t="shared" si="32"/>
        <v/>
      </c>
      <c r="R66" s="9"/>
      <c r="S66" s="9"/>
      <c r="T66" s="9"/>
      <c r="U66" s="9"/>
      <c r="V66" s="102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170</v>
      </c>
      <c r="C67" s="46" t="s">
        <v>171</v>
      </c>
      <c r="D67" s="47"/>
      <c r="E67" s="47"/>
      <c r="F67" s="57"/>
      <c r="G67" s="170"/>
      <c r="H67" s="170"/>
      <c r="I67" s="54" t="str">
        <f t="shared" si="24"/>
        <v/>
      </c>
      <c r="J67" s="54" t="str">
        <f t="shared" si="25"/>
        <v/>
      </c>
      <c r="K67" s="55" t="str">
        <f t="shared" si="26"/>
        <v/>
      </c>
      <c r="L67" s="55" t="str">
        <f t="shared" si="27"/>
        <v/>
      </c>
      <c r="M67" s="55" t="str">
        <f t="shared" si="28"/>
        <v/>
      </c>
      <c r="N67" s="55" t="str">
        <f t="shared" si="29"/>
        <v/>
      </c>
      <c r="O67" s="56" t="str">
        <f t="shared" si="30"/>
        <v/>
      </c>
      <c r="P67" s="56" t="str">
        <f t="shared" si="31"/>
        <v/>
      </c>
      <c r="Q67" s="56" t="str">
        <f t="shared" si="32"/>
        <v/>
      </c>
      <c r="R67" s="9"/>
      <c r="S67" s="9"/>
      <c r="T67" s="9"/>
      <c r="U67" s="9"/>
      <c r="V67" s="102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98</v>
      </c>
      <c r="C68" s="46" t="s">
        <v>99</v>
      </c>
      <c r="D68" s="47">
        <v>2.3414159999999997</v>
      </c>
      <c r="E68" s="47">
        <v>2.4767320000000002</v>
      </c>
      <c r="F68" s="98">
        <v>9.9999999999999995E-7</v>
      </c>
      <c r="G68" s="170"/>
      <c r="H68" s="170"/>
      <c r="I68" s="54">
        <f t="shared" si="24"/>
        <v>4.7752637245013392E-2</v>
      </c>
      <c r="J68" s="54">
        <f t="shared" si="25"/>
        <v>1.4941370637576192</v>
      </c>
      <c r="K68" s="55">
        <f t="shared" si="26"/>
        <v>0.88551075409975599</v>
      </c>
      <c r="L68" s="55">
        <f t="shared" si="27"/>
        <v>1.1056455384324369E-2</v>
      </c>
      <c r="M68" s="55">
        <f t="shared" si="28"/>
        <v>0.98894354461567568</v>
      </c>
      <c r="N68" s="55">
        <f t="shared" si="29"/>
        <v>3.3884535538808457E-3</v>
      </c>
      <c r="O68" s="56">
        <f t="shared" si="30"/>
        <v>8.8632407427186874E-7</v>
      </c>
      <c r="P68" s="56">
        <f t="shared" si="31"/>
        <v>2.7652194916195247E-5</v>
      </c>
      <c r="Q68" s="56">
        <f t="shared" si="32"/>
        <v>2.6565900746884001E-4</v>
      </c>
      <c r="R68" s="9">
        <f>F68*$C$14</f>
        <v>1.4999999999999999E-4</v>
      </c>
      <c r="S68" s="9">
        <f t="shared" si="38"/>
        <v>1.6584683076486553E-6</v>
      </c>
      <c r="T68" s="9">
        <f t="shared" si="39"/>
        <v>1.328266131149634E-4</v>
      </c>
      <c r="U68" s="9">
        <f t="shared" si="40"/>
        <v>1.4834153169235133E-4</v>
      </c>
      <c r="V68" s="102">
        <f t="shared" si="41"/>
        <v>0.89541082392512517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172</v>
      </c>
      <c r="C69" s="46" t="s">
        <v>173</v>
      </c>
      <c r="D69" s="47">
        <v>4.3302640000000006</v>
      </c>
      <c r="E69" s="47">
        <v>5.074033</v>
      </c>
      <c r="F69" s="98">
        <v>9.9999999999999995E-7</v>
      </c>
      <c r="G69" s="170"/>
      <c r="H69" s="170"/>
      <c r="I69" s="54">
        <f t="shared" si="24"/>
        <v>1.1979474472139457</v>
      </c>
      <c r="J69" s="54">
        <f t="shared" si="25"/>
        <v>3.7639896073264434</v>
      </c>
      <c r="K69" s="55">
        <f t="shared" si="26"/>
        <v>5.522852573358681E-2</v>
      </c>
      <c r="L69" s="55">
        <f t="shared" si="27"/>
        <v>0.12836247191186917</v>
      </c>
      <c r="M69" s="55">
        <f t="shared" si="28"/>
        <v>0.87163752808813078</v>
      </c>
      <c r="N69" s="55">
        <f t="shared" si="29"/>
        <v>8.3612680704799602E-2</v>
      </c>
      <c r="O69" s="56">
        <f t="shared" si="30"/>
        <v>5.5279251796310734E-8</v>
      </c>
      <c r="P69" s="56">
        <f t="shared" si="31"/>
        <v>3.2103454225158493E-4</v>
      </c>
      <c r="Q69" s="56">
        <f t="shared" si="32"/>
        <v>6.5553390107430665E-3</v>
      </c>
      <c r="R69" s="9">
        <f>F69*$C$14</f>
        <v>1.4999999999999999E-4</v>
      </c>
      <c r="S69" s="9">
        <f t="shared" si="38"/>
        <v>1.9254370786780374E-5</v>
      </c>
      <c r="T69" s="9">
        <f t="shared" si="39"/>
        <v>8.2842788600380212E-6</v>
      </c>
      <c r="U69" s="9">
        <f t="shared" si="40"/>
        <v>1.307456292132196E-4</v>
      </c>
      <c r="V69" s="102">
        <f t="shared" si="41"/>
        <v>6.3361803449108356E-2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174</v>
      </c>
      <c r="C70" s="46" t="s">
        <v>175</v>
      </c>
      <c r="D70" s="47">
        <v>1.4854320000000003</v>
      </c>
      <c r="E70" s="47">
        <v>1.5057189999999996</v>
      </c>
      <c r="F70" s="98">
        <v>9.9999999999999995E-7</v>
      </c>
      <c r="G70" s="170"/>
      <c r="H70" s="170"/>
      <c r="I70" s="54">
        <f t="shared" si="24"/>
        <v>6.6276677113325539E-3</v>
      </c>
      <c r="J70" s="54">
        <f t="shared" si="25"/>
        <v>0.68019675641126665</v>
      </c>
      <c r="K70" s="55">
        <f t="shared" si="26"/>
        <v>0.98249157960317957</v>
      </c>
      <c r="L70" s="55">
        <f t="shared" si="27"/>
        <v>1.8828278237550526E-3</v>
      </c>
      <c r="M70" s="55">
        <f t="shared" si="28"/>
        <v>0.99811717217624496</v>
      </c>
      <c r="N70" s="55">
        <f t="shared" si="29"/>
        <v>4.0190511567853916E-4</v>
      </c>
      <c r="O70" s="56">
        <f t="shared" si="30"/>
        <v>9.8339397431371531E-7</v>
      </c>
      <c r="P70" s="56">
        <f t="shared" si="31"/>
        <v>4.7089523872113859E-6</v>
      </c>
      <c r="Q70" s="56">
        <f t="shared" si="32"/>
        <v>3.1509865025455372E-5</v>
      </c>
      <c r="R70" s="9">
        <f t="shared" ref="R70:R86" si="42">F70*$C$14</f>
        <v>1.4999999999999999E-4</v>
      </c>
      <c r="S70" s="9">
        <f t="shared" si="38"/>
        <v>2.8242417356325786E-7</v>
      </c>
      <c r="T70" s="9">
        <f t="shared" si="39"/>
        <v>1.4737373694047692E-4</v>
      </c>
      <c r="U70" s="9">
        <f t="shared" si="40"/>
        <v>1.4971757582643672E-4</v>
      </c>
      <c r="V70" s="102">
        <f t="shared" si="41"/>
        <v>0.98434493162862213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176</v>
      </c>
      <c r="C71" s="46" t="s">
        <v>177</v>
      </c>
      <c r="D71" s="47">
        <v>2.0758240000000003</v>
      </c>
      <c r="E71" s="47">
        <v>2.477398</v>
      </c>
      <c r="F71" s="98">
        <v>9.9999999999999995E-7</v>
      </c>
      <c r="G71" s="170"/>
      <c r="H71" s="170"/>
      <c r="I71" s="54">
        <f t="shared" ref="I71:I122" si="43">IF(D71=0,"",LOG($K$15*10^D71+$K$16*10^E71+$K$14))</f>
        <v>2.8589842167479149E-2</v>
      </c>
      <c r="J71" s="54">
        <f t="shared" ref="J71:J122" si="44">IF(D71=0,"",LOG($K$21*10^D71+$K$22*10^E71+$K$20))</f>
        <v>1.3367435070507094</v>
      </c>
      <c r="K71" s="55">
        <f t="shared" ref="K71:K122" si="45">IF(D71=0,"",1/(1+10^D71*$J$15/$J$14+10^E71*$J$16/$J$14+10^J71*$J$19/$J$14))</f>
        <v>0.92825565433566037</v>
      </c>
      <c r="L71" s="55">
        <f t="shared" ref="L71:L122" si="46">IF(D71=0,"",1/(1+10^I71/10^J71*$J$13/$J$19))</f>
        <v>8.0667040620519895E-3</v>
      </c>
      <c r="M71" s="55">
        <f t="shared" si="19"/>
        <v>0.99193329593794799</v>
      </c>
      <c r="N71" s="55">
        <f t="shared" ref="N71:N122" si="47">IF(D71=0,"",1/(1/10^E71*$J$20/$J$22+10^D71/10^E71*$J$21/$J$22+10^I71/10^E71*$J$13/$J$22+1))</f>
        <v>3.5574704437861785E-3</v>
      </c>
      <c r="O71" s="56">
        <f t="shared" si="21"/>
        <v>9.2910823466294996E-7</v>
      </c>
      <c r="P71" s="56">
        <f t="shared" ref="P71:P122" si="48">IF(D71=0,"",O71*10^J71)</f>
        <v>2.0174826859192027E-5</v>
      </c>
      <c r="Q71" s="56">
        <f t="shared" ref="Q71:Q122" si="49">IF(D71=0,"",F71*N71*$J$7/$J$22)</f>
        <v>2.7891014357082233E-4</v>
      </c>
      <c r="R71" s="9">
        <f t="shared" si="42"/>
        <v>1.4999999999999999E-4</v>
      </c>
      <c r="S71" s="9">
        <f t="shared" si="38"/>
        <v>1.2100056093077984E-6</v>
      </c>
      <c r="T71" s="9">
        <f t="shared" si="39"/>
        <v>1.3923834815034904E-4</v>
      </c>
      <c r="U71" s="9">
        <f t="shared" si="40"/>
        <v>1.4878999439069219E-4</v>
      </c>
      <c r="V71" s="102">
        <f t="shared" si="41"/>
        <v>0.93580451239710072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178</v>
      </c>
      <c r="C72" s="46" t="s">
        <v>179</v>
      </c>
      <c r="D72" s="47">
        <v>2.3078000000000003</v>
      </c>
      <c r="E72" s="47">
        <v>2.5099249999999995</v>
      </c>
      <c r="F72" s="98">
        <v>9.9999999999999995E-7</v>
      </c>
      <c r="G72" s="170"/>
      <c r="H72" s="170"/>
      <c r="I72" s="54">
        <f t="shared" si="43"/>
        <v>4.5043006346732313E-2</v>
      </c>
      <c r="J72" s="54">
        <f t="shared" si="44"/>
        <v>1.483039277776858</v>
      </c>
      <c r="K72" s="55">
        <f t="shared" si="45"/>
        <v>0.891241362352028</v>
      </c>
      <c r="L72" s="55">
        <f t="shared" si="46"/>
        <v>1.0847249404668288E-2</v>
      </c>
      <c r="M72" s="55">
        <f t="shared" si="19"/>
        <v>0.9891527505953317</v>
      </c>
      <c r="N72" s="55">
        <f t="shared" si="47"/>
        <v>3.6812560937510099E-3</v>
      </c>
      <c r="O72" s="56">
        <f t="shared" si="21"/>
        <v>8.9205994594897026E-7</v>
      </c>
      <c r="P72" s="56">
        <f t="shared" si="48"/>
        <v>2.7128970761075385E-5</v>
      </c>
      <c r="Q72" s="56">
        <f t="shared" si="49"/>
        <v>2.8861509374518104E-4</v>
      </c>
      <c r="R72" s="9">
        <f t="shared" si="42"/>
        <v>1.4999999999999999E-4</v>
      </c>
      <c r="S72" s="9">
        <f t="shared" si="38"/>
        <v>1.6270874107002431E-6</v>
      </c>
      <c r="T72" s="9">
        <f t="shared" si="39"/>
        <v>1.3368620435280418E-4</v>
      </c>
      <c r="U72" s="9">
        <f t="shared" si="40"/>
        <v>1.4837291258929975E-4</v>
      </c>
      <c r="V72" s="102">
        <f t="shared" si="41"/>
        <v>0.90101489564238213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180</v>
      </c>
      <c r="C73" s="46" t="s">
        <v>181</v>
      </c>
      <c r="D73" s="47">
        <v>5.676184000000001</v>
      </c>
      <c r="E73" s="47">
        <v>7.0708080000000004</v>
      </c>
      <c r="F73" s="98">
        <v>9.9999999999999995E-7</v>
      </c>
      <c r="G73" s="170"/>
      <c r="H73" s="170"/>
      <c r="I73" s="54">
        <f t="shared" si="43"/>
        <v>2.829962486439805</v>
      </c>
      <c r="J73" s="54">
        <f t="shared" si="44"/>
        <v>5.6236352715565152</v>
      </c>
      <c r="K73" s="55">
        <f t="shared" si="45"/>
        <v>1.18397635064091E-3</v>
      </c>
      <c r="L73" s="55">
        <f t="shared" si="46"/>
        <v>0.19918806530240299</v>
      </c>
      <c r="M73" s="55">
        <f t="shared" si="19"/>
        <v>0.80081193469759704</v>
      </c>
      <c r="N73" s="55">
        <f t="shared" si="47"/>
        <v>0.17792080090210324</v>
      </c>
      <c r="O73" s="56">
        <f t="shared" si="21"/>
        <v>1.1850638042317582E-9</v>
      </c>
      <c r="P73" s="56">
        <f t="shared" si="48"/>
        <v>4.9816935132131006E-4</v>
      </c>
      <c r="Q73" s="56">
        <f t="shared" si="49"/>
        <v>1.3949213888907843E-2</v>
      </c>
      <c r="R73" s="9">
        <f t="shared" si="42"/>
        <v>1.4999999999999999E-4</v>
      </c>
      <c r="S73" s="9">
        <f t="shared" si="38"/>
        <v>2.9878209795360447E-5</v>
      </c>
      <c r="T73" s="9">
        <f t="shared" si="39"/>
        <v>1.7759645259613649E-7</v>
      </c>
      <c r="U73" s="9">
        <f t="shared" si="40"/>
        <v>1.2012179020463954E-4</v>
      </c>
      <c r="V73" s="102">
        <f t="shared" si="41"/>
        <v>1.4784699120249795E-3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182</v>
      </c>
      <c r="C74" s="46" t="s">
        <v>183</v>
      </c>
      <c r="D74" s="47">
        <v>1.2599279999999999</v>
      </c>
      <c r="E74" s="47">
        <v>1.3925860000000003</v>
      </c>
      <c r="F74" s="98">
        <v>9.9999999999999995E-7</v>
      </c>
      <c r="G74" s="170"/>
      <c r="H74" s="170"/>
      <c r="I74" s="54">
        <f t="shared" si="43"/>
        <v>3.957220636313619E-3</v>
      </c>
      <c r="J74" s="54">
        <f t="shared" si="44"/>
        <v>0.52922244534276219</v>
      </c>
      <c r="K74" s="55">
        <f t="shared" si="45"/>
        <v>0.98909019453360969</v>
      </c>
      <c r="L74" s="55">
        <f t="shared" si="46"/>
        <v>1.3388852463777606E-3</v>
      </c>
      <c r="M74" s="55">
        <f t="shared" si="19"/>
        <v>0.99866111475362229</v>
      </c>
      <c r="N74" s="55">
        <f t="shared" si="47"/>
        <v>3.1181542388159861E-4</v>
      </c>
      <c r="O74" s="56">
        <f t="shared" si="21"/>
        <v>9.8999864991207737E-7</v>
      </c>
      <c r="P74" s="56">
        <f t="shared" si="48"/>
        <v>3.3485520011907784E-6</v>
      </c>
      <c r="Q74" s="56">
        <f t="shared" si="49"/>
        <v>2.4446720223444458E-5</v>
      </c>
      <c r="R74" s="9">
        <f t="shared" si="42"/>
        <v>1.4999999999999999E-4</v>
      </c>
      <c r="S74" s="9">
        <f t="shared" si="38"/>
        <v>2.0083278695666408E-7</v>
      </c>
      <c r="T74" s="9">
        <f t="shared" si="39"/>
        <v>1.4836352918004144E-4</v>
      </c>
      <c r="U74" s="9">
        <f t="shared" si="40"/>
        <v>1.4979916721304332E-4</v>
      </c>
      <c r="V74" s="102">
        <f t="shared" si="41"/>
        <v>0.99041624823614582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184</v>
      </c>
      <c r="C75" s="46" t="s">
        <v>185</v>
      </c>
      <c r="D75" s="47">
        <v>1.2889359999999999</v>
      </c>
      <c r="E75" s="47">
        <v>1.371977</v>
      </c>
      <c r="F75" s="98">
        <v>9.9999999999999995E-7</v>
      </c>
      <c r="G75" s="170"/>
      <c r="H75" s="170"/>
      <c r="I75" s="54">
        <f t="shared" si="43"/>
        <v>4.1980440605165602E-3</v>
      </c>
      <c r="J75" s="54">
        <f t="shared" si="44"/>
        <v>0.53967320644667971</v>
      </c>
      <c r="K75" s="55">
        <f t="shared" si="45"/>
        <v>0.98851039664992413</v>
      </c>
      <c r="L75" s="55">
        <f t="shared" si="46"/>
        <v>1.370690686820076E-3</v>
      </c>
      <c r="M75" s="55">
        <f t="shared" si="19"/>
        <v>0.99862930931317995</v>
      </c>
      <c r="N75" s="55">
        <f t="shared" si="47"/>
        <v>2.9718982659837748E-4</v>
      </c>
      <c r="O75" s="56">
        <f t="shared" si="21"/>
        <v>9.8941831949808403E-7</v>
      </c>
      <c r="P75" s="56">
        <f t="shared" si="48"/>
        <v>3.42809740773701E-6</v>
      </c>
      <c r="Q75" s="56">
        <f t="shared" si="49"/>
        <v>2.3300055057132983E-5</v>
      </c>
      <c r="R75" s="9">
        <f t="shared" si="42"/>
        <v>1.4999999999999999E-4</v>
      </c>
      <c r="S75" s="9">
        <f t="shared" si="38"/>
        <v>2.0560360302301138E-7</v>
      </c>
      <c r="T75" s="9">
        <f t="shared" si="39"/>
        <v>1.482765594974886E-4</v>
      </c>
      <c r="U75" s="9">
        <f t="shared" si="40"/>
        <v>1.4979439639697698E-4</v>
      </c>
      <c r="V75" s="102">
        <f t="shared" si="41"/>
        <v>0.98986719839995962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186</v>
      </c>
      <c r="C76" s="46" t="s">
        <v>187</v>
      </c>
      <c r="D76" s="47">
        <v>3.3144320000000005</v>
      </c>
      <c r="E76" s="47">
        <v>3.8699789999999998</v>
      </c>
      <c r="F76" s="98">
        <v>9.9999999999999995E-7</v>
      </c>
      <c r="G76" s="170"/>
      <c r="H76" s="170"/>
      <c r="I76" s="54">
        <f t="shared" si="43"/>
        <v>0.35626551305621779</v>
      </c>
      <c r="J76" s="54">
        <f t="shared" si="44"/>
        <v>2.6359556091931937</v>
      </c>
      <c r="K76" s="55">
        <f t="shared" si="45"/>
        <v>0.40891305863319072</v>
      </c>
      <c r="L76" s="55">
        <f t="shared" si="46"/>
        <v>7.077365151864308E-2</v>
      </c>
      <c r="M76" s="55">
        <f t="shared" si="19"/>
        <v>0.92922634848135688</v>
      </c>
      <c r="N76" s="55">
        <f t="shared" si="47"/>
        <v>3.8697746664931934E-2</v>
      </c>
      <c r="O76" s="56">
        <f t="shared" si="21"/>
        <v>4.0928863536976546E-7</v>
      </c>
      <c r="P76" s="56">
        <f t="shared" si="48"/>
        <v>1.7700490244812637E-4</v>
      </c>
      <c r="Q76" s="56">
        <f t="shared" si="49"/>
        <v>3.0339518623509333E-3</v>
      </c>
      <c r="R76" s="9">
        <f t="shared" si="42"/>
        <v>1.4999999999999999E-4</v>
      </c>
      <c r="S76" s="9">
        <f t="shared" si="38"/>
        <v>1.0616047727796461E-5</v>
      </c>
      <c r="T76" s="9">
        <f t="shared" si="39"/>
        <v>6.1336958794978603E-5</v>
      </c>
      <c r="U76" s="9">
        <f t="shared" si="40"/>
        <v>1.3938395227220353E-4</v>
      </c>
      <c r="V76" s="102">
        <f t="shared" si="41"/>
        <v>0.44005753743582615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100</v>
      </c>
      <c r="C77" s="46" t="s">
        <v>101</v>
      </c>
      <c r="D77" s="47">
        <v>0.29376000000000013</v>
      </c>
      <c r="E77" s="47">
        <v>0.18140000000000034</v>
      </c>
      <c r="F77" s="98">
        <v>9.9999999999999995E-7</v>
      </c>
      <c r="G77" s="170"/>
      <c r="H77" s="170"/>
      <c r="I77" s="54">
        <f t="shared" si="43"/>
        <v>2.1004549420906745E-4</v>
      </c>
      <c r="J77" s="54">
        <f t="shared" si="44"/>
        <v>4.4538856592537125E-2</v>
      </c>
      <c r="K77" s="55">
        <f t="shared" si="45"/>
        <v>0.99855637451053902</v>
      </c>
      <c r="L77" s="55">
        <f t="shared" si="46"/>
        <v>4.4278862869226031E-4</v>
      </c>
      <c r="M77" s="55">
        <f t="shared" si="19"/>
        <v>0.99955721137130771</v>
      </c>
      <c r="N77" s="55">
        <f t="shared" si="47"/>
        <v>1.9357456217153066E-5</v>
      </c>
      <c r="O77" s="56">
        <f t="shared" si="21"/>
        <v>9.9947352434595432E-7</v>
      </c>
      <c r="P77" s="56">
        <f t="shared" si="48"/>
        <v>1.1074143603593429E-6</v>
      </c>
      <c r="Q77" s="56">
        <f t="shared" si="49"/>
        <v>1.5176488400971731E-6</v>
      </c>
      <c r="R77" s="9">
        <f t="shared" si="42"/>
        <v>1.4999999999999999E-4</v>
      </c>
      <c r="S77" s="9">
        <f t="shared" si="38"/>
        <v>6.6418294303839044E-8</v>
      </c>
      <c r="T77" s="9">
        <f t="shared" si="39"/>
        <v>1.4978345617658084E-4</v>
      </c>
      <c r="U77" s="9">
        <f t="shared" si="40"/>
        <v>1.4993358170569613E-4</v>
      </c>
      <c r="V77" s="102">
        <f t="shared" si="41"/>
        <v>0.99899871978373744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188</v>
      </c>
      <c r="C78" s="46" t="s">
        <v>189</v>
      </c>
      <c r="D78" s="47">
        <v>1.6175039999999998</v>
      </c>
      <c r="E78" s="47">
        <v>1.8999029999999997</v>
      </c>
      <c r="F78" s="98">
        <v>9.9999999999999995E-7</v>
      </c>
      <c r="G78" s="7"/>
      <c r="H78" s="7"/>
      <c r="I78" s="54">
        <f t="shared" si="43"/>
        <v>9.6186457475178466E-3</v>
      </c>
      <c r="J78" s="54">
        <f t="shared" si="44"/>
        <v>0.8649751353960996</v>
      </c>
      <c r="K78" s="55">
        <f t="shared" si="45"/>
        <v>0.9747943934726222</v>
      </c>
      <c r="L78" s="55">
        <f t="shared" si="46"/>
        <v>2.858730217063914E-3</v>
      </c>
      <c r="M78" s="55">
        <f t="shared" si="19"/>
        <v>0.99714126978293605</v>
      </c>
      <c r="N78" s="55">
        <f t="shared" si="47"/>
        <v>9.8830665520062682E-4</v>
      </c>
      <c r="O78" s="56">
        <f t="shared" si="21"/>
        <v>9.7568971850419637E-7</v>
      </c>
      <c r="P78" s="56">
        <f t="shared" si="48"/>
        <v>7.1496842728768494E-6</v>
      </c>
      <c r="Q78" s="56">
        <f t="shared" si="49"/>
        <v>7.7484481023723138E-5</v>
      </c>
      <c r="R78" s="9">
        <f t="shared" si="42"/>
        <v>1.4999999999999999E-4</v>
      </c>
      <c r="S78" s="9">
        <f t="shared" si="38"/>
        <v>4.2880953255958706E-7</v>
      </c>
      <c r="T78" s="9">
        <f t="shared" si="39"/>
        <v>1.4621915902089333E-4</v>
      </c>
      <c r="U78" s="9">
        <f t="shared" si="40"/>
        <v>1.4957119046744038E-4</v>
      </c>
      <c r="V78" s="102">
        <f t="shared" si="41"/>
        <v>0.97758905684930841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190</v>
      </c>
      <c r="C79" s="46" t="s">
        <v>191</v>
      </c>
      <c r="D79" s="47">
        <v>2.5898400000000001</v>
      </c>
      <c r="E79" s="47">
        <v>2.96393</v>
      </c>
      <c r="F79" s="98">
        <v>9.9999999999999995E-7</v>
      </c>
      <c r="G79" s="7"/>
      <c r="H79" s="7"/>
      <c r="I79" s="54">
        <f t="shared" si="43"/>
        <v>8.6760595853303396E-2</v>
      </c>
      <c r="J79" s="54">
        <f t="shared" si="44"/>
        <v>1.8262123505679773</v>
      </c>
      <c r="K79" s="55">
        <f t="shared" si="45"/>
        <v>0.80090881672135972</v>
      </c>
      <c r="L79" s="55">
        <f t="shared" si="46"/>
        <v>2.1482283285470215E-2</v>
      </c>
      <c r="M79" s="55">
        <f t="shared" si="19"/>
        <v>0.97851771671452981</v>
      </c>
      <c r="N79" s="55">
        <f t="shared" si="47"/>
        <v>9.4099815472662388E-3</v>
      </c>
      <c r="O79" s="56">
        <f t="shared" si="21"/>
        <v>8.0164443206385719E-7</v>
      </c>
      <c r="P79" s="56">
        <f t="shared" si="48"/>
        <v>5.3727190496961015E-5</v>
      </c>
      <c r="Q79" s="56">
        <f t="shared" si="49"/>
        <v>7.3775435265557561E-4</v>
      </c>
      <c r="R79" s="9">
        <f t="shared" si="42"/>
        <v>1.4999999999999999E-4</v>
      </c>
      <c r="S79" s="9">
        <f t="shared" si="38"/>
        <v>3.2223424928205319E-6</v>
      </c>
      <c r="T79" s="9">
        <f t="shared" si="39"/>
        <v>1.2013632250820394E-4</v>
      </c>
      <c r="U79" s="9">
        <f t="shared" si="40"/>
        <v>1.4677765750717946E-4</v>
      </c>
      <c r="V79" s="102">
        <f t="shared" si="41"/>
        <v>0.81849189139925893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192</v>
      </c>
      <c r="C80" s="46" t="s">
        <v>193</v>
      </c>
      <c r="D80" s="47">
        <v>5.0487680000000008</v>
      </c>
      <c r="E80" s="47">
        <v>6.0352960000000007</v>
      </c>
      <c r="F80" s="98">
        <v>9.9999999999999995E-7</v>
      </c>
      <c r="G80" s="7"/>
      <c r="H80" s="7"/>
      <c r="I80" s="54">
        <f t="shared" si="43"/>
        <v>1.9819141928346475</v>
      </c>
      <c r="J80" s="54">
        <f t="shared" si="44"/>
        <v>4.65500335522374</v>
      </c>
      <c r="K80" s="55">
        <f t="shared" si="45"/>
        <v>8.7677330778508956E-3</v>
      </c>
      <c r="L80" s="55">
        <f t="shared" si="46"/>
        <v>0.1585534473777713</v>
      </c>
      <c r="M80" s="55">
        <f t="shared" si="19"/>
        <v>0.84144655262222867</v>
      </c>
      <c r="N80" s="55">
        <f t="shared" si="47"/>
        <v>0.12141127420346395</v>
      </c>
      <c r="O80" s="56">
        <f t="shared" si="21"/>
        <v>8.7757860282446643E-9</v>
      </c>
      <c r="P80" s="56">
        <f t="shared" si="48"/>
        <v>3.9654217189180607E-4</v>
      </c>
      <c r="Q80" s="56">
        <f t="shared" si="49"/>
        <v>9.5187961373938354E-3</v>
      </c>
      <c r="R80" s="9">
        <f t="shared" si="42"/>
        <v>1.4999999999999999E-4</v>
      </c>
      <c r="S80" s="9">
        <f t="shared" si="38"/>
        <v>2.3783017106665692E-5</v>
      </c>
      <c r="T80" s="9">
        <f t="shared" si="39"/>
        <v>1.3151599616776342E-6</v>
      </c>
      <c r="U80" s="9">
        <f t="shared" si="40"/>
        <v>1.2621698289333428E-4</v>
      </c>
      <c r="V80" s="102">
        <f t="shared" si="41"/>
        <v>1.0419833619292525E-2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194</v>
      </c>
      <c r="C81" s="46" t="s">
        <v>195</v>
      </c>
      <c r="D81" s="47">
        <v>2.7330160000000001</v>
      </c>
      <c r="E81" s="47">
        <v>3.3310319999999995</v>
      </c>
      <c r="F81" s="98">
        <v>9.9999999999999995E-7</v>
      </c>
      <c r="G81" s="7"/>
      <c r="H81" s="7"/>
      <c r="I81" s="54">
        <f t="shared" si="43"/>
        <v>0.12726341031571042</v>
      </c>
      <c r="J81" s="54">
        <f t="shared" si="44"/>
        <v>2.0806048106090933</v>
      </c>
      <c r="K81" s="55">
        <f t="shared" si="45"/>
        <v>0.71975235208056765</v>
      </c>
      <c r="L81" s="55">
        <f t="shared" si="46"/>
        <v>3.4679507206254144E-2</v>
      </c>
      <c r="M81" s="55">
        <f t="shared" si="19"/>
        <v>0.96532049279374588</v>
      </c>
      <c r="N81" s="55">
        <f t="shared" si="47"/>
        <v>1.9692043660188053E-2</v>
      </c>
      <c r="O81" s="56">
        <f t="shared" si="21"/>
        <v>7.2041342717667733E-7</v>
      </c>
      <c r="P81" s="56">
        <f t="shared" si="48"/>
        <v>8.6733447522841591E-5</v>
      </c>
      <c r="Q81" s="56">
        <f t="shared" si="49"/>
        <v>1.5438809151764993E-3</v>
      </c>
      <c r="R81" s="9">
        <f t="shared" si="42"/>
        <v>1.4999999999999999E-4</v>
      </c>
      <c r="S81" s="9">
        <f t="shared" si="38"/>
        <v>5.201926080938121E-6</v>
      </c>
      <c r="T81" s="9">
        <f t="shared" si="39"/>
        <v>1.0796285281208513E-4</v>
      </c>
      <c r="U81" s="9">
        <f t="shared" si="40"/>
        <v>1.4479807391906186E-4</v>
      </c>
      <c r="V81" s="102">
        <f t="shared" si="41"/>
        <v>0.74560973008821507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196</v>
      </c>
      <c r="C82" s="46" t="s">
        <v>197</v>
      </c>
      <c r="D82" s="47">
        <v>3.4406639999999999</v>
      </c>
      <c r="E82" s="47">
        <v>4.222847999999999</v>
      </c>
      <c r="F82" s="98">
        <v>9.9999999999999995E-7</v>
      </c>
      <c r="G82" s="7"/>
      <c r="H82" s="7"/>
      <c r="I82" s="54">
        <f t="shared" si="43"/>
        <v>0.47104615060046062</v>
      </c>
      <c r="J82" s="54">
        <f t="shared" si="44"/>
        <v>2.9002106257320843</v>
      </c>
      <c r="K82" s="55">
        <f t="shared" si="45"/>
        <v>0.30507242067778056</v>
      </c>
      <c r="L82" s="55">
        <f t="shared" si="46"/>
        <v>9.7028337010823446E-2</v>
      </c>
      <c r="M82" s="55">
        <f t="shared" si="19"/>
        <v>0.90297166298917653</v>
      </c>
      <c r="N82" s="55">
        <f t="shared" si="47"/>
        <v>6.5061885541739112E-2</v>
      </c>
      <c r="O82" s="56">
        <f t="shared" si="21"/>
        <v>3.0535262230440532E-7</v>
      </c>
      <c r="P82" s="56">
        <f t="shared" si="48"/>
        <v>2.4266787086406946E-4</v>
      </c>
      <c r="Q82" s="56">
        <f t="shared" si="49"/>
        <v>5.1009334087739663E-3</v>
      </c>
      <c r="R82" s="9">
        <f t="shared" si="42"/>
        <v>1.4999999999999999E-4</v>
      </c>
      <c r="S82" s="9">
        <f t="shared" si="38"/>
        <v>1.4554250551623516E-5</v>
      </c>
      <c r="T82" s="9">
        <f t="shared" si="39"/>
        <v>4.5760863101667077E-5</v>
      </c>
      <c r="U82" s="9">
        <f t="shared" si="40"/>
        <v>1.3544574944837647E-4</v>
      </c>
      <c r="V82" s="102">
        <f t="shared" si="41"/>
        <v>0.337853814446265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198</v>
      </c>
      <c r="C83" s="46" t="s">
        <v>199</v>
      </c>
      <c r="D83" s="47">
        <v>2.8976480000000002</v>
      </c>
      <c r="E83" s="47">
        <v>3.5312959999999993</v>
      </c>
      <c r="F83" s="98">
        <v>9.9999999999999995E-7</v>
      </c>
      <c r="G83" s="7"/>
      <c r="H83" s="7"/>
      <c r="I83" s="54">
        <f t="shared" si="43"/>
        <v>0.17835694544431213</v>
      </c>
      <c r="J83" s="54">
        <f t="shared" si="44"/>
        <v>2.2648778324590841</v>
      </c>
      <c r="K83" s="55">
        <f t="shared" si="45"/>
        <v>0.63200113448547102</v>
      </c>
      <c r="L83" s="55">
        <f t="shared" si="46"/>
        <v>4.6545822014009273E-2</v>
      </c>
      <c r="M83" s="55">
        <f t="shared" si="19"/>
        <v>0.95345417798599075</v>
      </c>
      <c r="N83" s="55">
        <f t="shared" si="47"/>
        <v>2.7421395653008312E-2</v>
      </c>
      <c r="O83" s="56">
        <f t="shared" si="21"/>
        <v>6.3258161221439229E-7</v>
      </c>
      <c r="P83" s="56">
        <f t="shared" si="48"/>
        <v>1.1641110085703726E-4</v>
      </c>
      <c r="Q83" s="56">
        <f t="shared" si="49"/>
        <v>2.149871803391028E-3</v>
      </c>
      <c r="R83" s="9">
        <f t="shared" si="42"/>
        <v>1.4999999999999999E-4</v>
      </c>
      <c r="S83" s="9">
        <f t="shared" si="38"/>
        <v>6.9818733021013906E-6</v>
      </c>
      <c r="T83" s="9">
        <f t="shared" si="39"/>
        <v>9.4800170172820646E-5</v>
      </c>
      <c r="U83" s="9">
        <f t="shared" si="40"/>
        <v>1.4301812669789861E-4</v>
      </c>
      <c r="V83" s="102">
        <f t="shared" si="41"/>
        <v>0.6628542294716937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102</v>
      </c>
      <c r="C84" s="46" t="s">
        <v>103</v>
      </c>
      <c r="D84" s="47">
        <v>1.423632</v>
      </c>
      <c r="E84" s="47">
        <v>1.638849</v>
      </c>
      <c r="F84" s="98">
        <v>9.9999999999999995E-7</v>
      </c>
      <c r="G84" s="7"/>
      <c r="H84" s="7"/>
      <c r="I84" s="54">
        <f t="shared" si="43"/>
        <v>5.9812805986470914E-3</v>
      </c>
      <c r="J84" s="54">
        <f t="shared" si="44"/>
        <v>0.678648535608118</v>
      </c>
      <c r="K84" s="55">
        <f t="shared" si="45"/>
        <v>0.98395881390936313</v>
      </c>
      <c r="L84" s="55">
        <f t="shared" si="46"/>
        <v>1.8789294350804377E-3</v>
      </c>
      <c r="M84" s="55">
        <f t="shared" si="19"/>
        <v>0.99812107056491961</v>
      </c>
      <c r="N84" s="55">
        <f t="shared" si="47"/>
        <v>5.4689205920715924E-4</v>
      </c>
      <c r="O84" s="56">
        <f t="shared" si="21"/>
        <v>9.8486255623905874E-7</v>
      </c>
      <c r="P84" s="56">
        <f t="shared" si="48"/>
        <v>4.6992025171361753E-6</v>
      </c>
      <c r="Q84" s="56">
        <f t="shared" si="49"/>
        <v>4.2877023199909255E-5</v>
      </c>
      <c r="R84" s="9">
        <f t="shared" si="42"/>
        <v>1.4999999999999999E-4</v>
      </c>
      <c r="S84" s="9">
        <f t="shared" si="38"/>
        <v>2.8183941526206562E-7</v>
      </c>
      <c r="T84" s="9">
        <f t="shared" si="39"/>
        <v>1.4759382208640447E-4</v>
      </c>
      <c r="U84" s="9">
        <f t="shared" si="40"/>
        <v>1.4971816058473794E-4</v>
      </c>
      <c r="V84" s="102">
        <f t="shared" si="41"/>
        <v>0.98581108337133805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200</v>
      </c>
      <c r="C85" s="46" t="s">
        <v>201</v>
      </c>
      <c r="D85" s="47">
        <v>2.6912000000000003</v>
      </c>
      <c r="E85" s="47">
        <v>3.3249699999999995</v>
      </c>
      <c r="F85" s="98">
        <v>9.9999999999999995E-7</v>
      </c>
      <c r="G85" s="7"/>
      <c r="H85" s="7"/>
      <c r="I85" s="54">
        <f t="shared" si="43"/>
        <v>0.11910186422699467</v>
      </c>
      <c r="J85" s="54">
        <f t="shared" si="44"/>
        <v>2.0597542825278099</v>
      </c>
      <c r="K85" s="55">
        <f t="shared" si="45"/>
        <v>0.7341394072272539</v>
      </c>
      <c r="L85" s="55">
        <f t="shared" si="46"/>
        <v>3.371458618556266E-2</v>
      </c>
      <c r="M85" s="55">
        <f t="shared" si="19"/>
        <v>0.96628541381443733</v>
      </c>
      <c r="N85" s="55">
        <f t="shared" si="47"/>
        <v>1.9807252321415104E-2</v>
      </c>
      <c r="O85" s="56">
        <f t="shared" si="21"/>
        <v>7.3481369648492389E-7</v>
      </c>
      <c r="P85" s="56">
        <f t="shared" si="48"/>
        <v>8.4320180050092205E-5</v>
      </c>
      <c r="Q85" s="56">
        <f t="shared" si="49"/>
        <v>1.552913418678971E-3</v>
      </c>
      <c r="R85" s="9">
        <f t="shared" si="42"/>
        <v>1.4999999999999999E-4</v>
      </c>
      <c r="S85" s="9">
        <f t="shared" si="38"/>
        <v>5.057187927834399E-6</v>
      </c>
      <c r="T85" s="9">
        <f t="shared" si="39"/>
        <v>1.1012091108408808E-4</v>
      </c>
      <c r="U85" s="9">
        <f t="shared" si="40"/>
        <v>1.449428120721656E-4</v>
      </c>
      <c r="V85" s="102">
        <f t="shared" si="41"/>
        <v>0.75975420588128206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104</v>
      </c>
      <c r="C86" s="46" t="s">
        <v>105</v>
      </c>
      <c r="D86" s="47">
        <v>2.1493200000000003</v>
      </c>
      <c r="E86" s="47">
        <v>2.6108399999999996</v>
      </c>
      <c r="F86" s="98">
        <v>9.9999999999999995E-7</v>
      </c>
      <c r="G86" s="7"/>
      <c r="H86" s="7"/>
      <c r="I86" s="54">
        <f t="shared" si="43"/>
        <v>3.4503381608646556E-2</v>
      </c>
      <c r="J86" s="54">
        <f t="shared" si="44"/>
        <v>1.435139969210834</v>
      </c>
      <c r="K86" s="55">
        <f t="shared" si="45"/>
        <v>0.91395211195420201</v>
      </c>
      <c r="L86" s="55">
        <f t="shared" si="46"/>
        <v>9.9620432782508185E-3</v>
      </c>
      <c r="M86" s="55">
        <f t="shared" si="19"/>
        <v>0.99003795672174921</v>
      </c>
      <c r="N86" s="55">
        <f t="shared" si="47"/>
        <v>4.7625455014224946E-3</v>
      </c>
      <c r="O86" s="56">
        <f t="shared" si="21"/>
        <v>9.1479155482438273E-7</v>
      </c>
      <c r="P86" s="56">
        <f t="shared" si="48"/>
        <v>2.4915070238905307E-5</v>
      </c>
      <c r="Q86" s="56">
        <f t="shared" si="49"/>
        <v>3.7338953915541249E-4</v>
      </c>
      <c r="R86" s="9">
        <f t="shared" si="42"/>
        <v>1.4999999999999999E-4</v>
      </c>
      <c r="S86" s="9">
        <f t="shared" si="38"/>
        <v>1.4943064917376227E-6</v>
      </c>
      <c r="T86" s="9">
        <f t="shared" si="39"/>
        <v>1.3709281679313029E-4</v>
      </c>
      <c r="U86" s="9">
        <f t="shared" si="40"/>
        <v>1.4850569350826238E-4</v>
      </c>
      <c r="V86" s="102">
        <f t="shared" si="41"/>
        <v>0.92314855783965544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202</v>
      </c>
      <c r="C87" s="46" t="s">
        <v>203</v>
      </c>
      <c r="D87" s="47"/>
      <c r="E87" s="47"/>
      <c r="F87" s="57"/>
      <c r="G87" s="7"/>
      <c r="H87" s="7"/>
      <c r="I87" s="54" t="str">
        <f t="shared" si="43"/>
        <v/>
      </c>
      <c r="J87" s="54" t="str">
        <f t="shared" si="44"/>
        <v/>
      </c>
      <c r="K87" s="55" t="str">
        <f t="shared" si="45"/>
        <v/>
      </c>
      <c r="L87" s="55" t="str">
        <f t="shared" si="46"/>
        <v/>
      </c>
      <c r="M87" s="55" t="str">
        <f t="shared" si="19"/>
        <v/>
      </c>
      <c r="N87" s="55" t="str">
        <f t="shared" si="47"/>
        <v/>
      </c>
      <c r="O87" s="56" t="str">
        <f t="shared" si="21"/>
        <v/>
      </c>
      <c r="P87" s="56" t="str">
        <f t="shared" si="48"/>
        <v/>
      </c>
      <c r="Q87" s="56" t="str">
        <f t="shared" si="49"/>
        <v/>
      </c>
      <c r="R87" s="9"/>
      <c r="S87" s="9"/>
      <c r="T87" s="9"/>
      <c r="U87" s="9"/>
      <c r="V87" s="102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204</v>
      </c>
      <c r="C88" s="46" t="s">
        <v>205</v>
      </c>
      <c r="D88" s="47">
        <v>4.1575040000000012</v>
      </c>
      <c r="E88" s="47">
        <v>5.2456879999999995</v>
      </c>
      <c r="F88" s="98">
        <v>9.9999999999999995E-7</v>
      </c>
      <c r="G88" s="7"/>
      <c r="H88" s="7"/>
      <c r="I88" s="54">
        <f t="shared" si="43"/>
        <v>1.1640116161103842</v>
      </c>
      <c r="J88" s="54">
        <f t="shared" si="44"/>
        <v>3.8436743524136028</v>
      </c>
      <c r="K88" s="55">
        <f t="shared" si="45"/>
        <v>5.7509682976591363E-2</v>
      </c>
      <c r="L88" s="55">
        <f t="shared" si="46"/>
        <v>0.16058328582241227</v>
      </c>
      <c r="M88" s="55">
        <f t="shared" si="19"/>
        <v>0.83941671417758768</v>
      </c>
      <c r="N88" s="55">
        <f t="shared" si="47"/>
        <v>0.12927206037095587</v>
      </c>
      <c r="O88" s="56">
        <f t="shared" si="21"/>
        <v>5.7562504226971569E-8</v>
      </c>
      <c r="P88" s="56">
        <f t="shared" si="48"/>
        <v>4.016187978418532E-4</v>
      </c>
      <c r="Q88" s="56">
        <f t="shared" si="49"/>
        <v>1.0135091629710363E-2</v>
      </c>
      <c r="R88" s="9">
        <f>F88*$C$14</f>
        <v>1.4999999999999999E-4</v>
      </c>
      <c r="S88" s="9">
        <f t="shared" si="38"/>
        <v>2.4087492873361839E-5</v>
      </c>
      <c r="T88" s="9">
        <f t="shared" si="39"/>
        <v>8.6264524464887033E-6</v>
      </c>
      <c r="U88" s="9">
        <f t="shared" si="40"/>
        <v>1.2591250712663815E-4</v>
      </c>
      <c r="V88" s="102">
        <f t="shared" si="41"/>
        <v>6.8511481848364253E-2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206</v>
      </c>
      <c r="C89" s="46" t="s">
        <v>207</v>
      </c>
      <c r="D89" s="47">
        <v>5.4191360000000008</v>
      </c>
      <c r="E89" s="47">
        <v>6.7333169999999996</v>
      </c>
      <c r="F89" s="98">
        <v>9.9999999999999995E-7</v>
      </c>
      <c r="G89" s="7"/>
      <c r="H89" s="7"/>
      <c r="I89" s="54">
        <f t="shared" si="43"/>
        <v>2.5219720041185627</v>
      </c>
      <c r="J89" s="54">
        <f t="shared" si="44"/>
        <v>5.2954798864379393</v>
      </c>
      <c r="K89" s="55">
        <f t="shared" si="45"/>
        <v>2.4281535014184833E-3</v>
      </c>
      <c r="L89" s="55">
        <f t="shared" si="46"/>
        <v>0.1918850054509775</v>
      </c>
      <c r="M89" s="55">
        <f t="shared" si="19"/>
        <v>0.80811499454902247</v>
      </c>
      <c r="N89" s="55">
        <f t="shared" si="47"/>
        <v>0.16775243599146616</v>
      </c>
      <c r="O89" s="56">
        <f t="shared" si="21"/>
        <v>2.4303837015764673E-9</v>
      </c>
      <c r="P89" s="56">
        <f t="shared" si="48"/>
        <v>4.7990439863289456E-4</v>
      </c>
      <c r="Q89" s="56">
        <f t="shared" si="49"/>
        <v>1.3152001329613069E-2</v>
      </c>
      <c r="R89" s="9">
        <f>F89*$C$14</f>
        <v>1.4999999999999999E-4</v>
      </c>
      <c r="S89" s="9">
        <f t="shared" si="38"/>
        <v>2.8782750817646621E-5</v>
      </c>
      <c r="T89" s="9">
        <f t="shared" si="39"/>
        <v>3.6422302521277248E-7</v>
      </c>
      <c r="U89" s="9">
        <f t="shared" si="40"/>
        <v>1.2121724918235336E-4</v>
      </c>
      <c r="V89" s="102">
        <f t="shared" si="41"/>
        <v>3.004712841361818E-3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208</v>
      </c>
      <c r="C90" s="46" t="s">
        <v>209</v>
      </c>
      <c r="D90" s="47">
        <v>5.6895360000000004</v>
      </c>
      <c r="E90" s="47">
        <v>7.1197670000000004</v>
      </c>
      <c r="F90" s="98">
        <v>9.9999999999999995E-7</v>
      </c>
      <c r="G90" s="7"/>
      <c r="H90" s="7"/>
      <c r="I90" s="54">
        <f t="shared" si="43"/>
        <v>2.8671793282646911</v>
      </c>
      <c r="J90" s="54">
        <f t="shared" si="44"/>
        <v>5.6689287455654798</v>
      </c>
      <c r="K90" s="55">
        <f t="shared" si="45"/>
        <v>1.0826931593916887E-3</v>
      </c>
      <c r="L90" s="55">
        <f t="shared" si="46"/>
        <v>0.20217113654708618</v>
      </c>
      <c r="M90" s="55">
        <f t="shared" si="19"/>
        <v>0.79782886345291382</v>
      </c>
      <c r="N90" s="55">
        <f t="shared" si="47"/>
        <v>0.18211599462397701</v>
      </c>
      <c r="O90" s="56">
        <f t="shared" si="21"/>
        <v>1.0836875868254208E-9</v>
      </c>
      <c r="P90" s="56">
        <f t="shared" si="48"/>
        <v>5.0563001250426311E-4</v>
      </c>
      <c r="Q90" s="56">
        <f t="shared" si="49"/>
        <v>1.4278122337133745E-2</v>
      </c>
      <c r="R90" s="9">
        <f>F90*$C$14</f>
        <v>1.4999999999999999E-4</v>
      </c>
      <c r="S90" s="9">
        <f t="shared" si="38"/>
        <v>3.0325670482062925E-5</v>
      </c>
      <c r="T90" s="9">
        <f t="shared" si="39"/>
        <v>1.6240397390875328E-7</v>
      </c>
      <c r="U90" s="9">
        <f t="shared" si="40"/>
        <v>1.1967432951793706E-4</v>
      </c>
      <c r="V90" s="102">
        <f t="shared" si="41"/>
        <v>1.3570493736036499E-3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106</v>
      </c>
      <c r="C91" s="46" t="s">
        <v>107</v>
      </c>
      <c r="D91" s="47">
        <v>6.0065360000000005</v>
      </c>
      <c r="E91" s="47">
        <v>7.5552170000000007</v>
      </c>
      <c r="F91" s="98">
        <v>9.9999999999999995E-7</v>
      </c>
      <c r="G91" s="7"/>
      <c r="H91" s="7"/>
      <c r="I91" s="54">
        <f t="shared" si="43"/>
        <v>3.2678433041260839</v>
      </c>
      <c r="J91" s="54">
        <f t="shared" si="44"/>
        <v>6.0939707025144498</v>
      </c>
      <c r="K91" s="55">
        <f t="shared" si="45"/>
        <v>4.2540373880820394E-4</v>
      </c>
      <c r="L91" s="55">
        <f t="shared" si="46"/>
        <v>0.21137665413310958</v>
      </c>
      <c r="M91" s="55">
        <f t="shared" si="19"/>
        <v>0.78862334586689042</v>
      </c>
      <c r="N91" s="55">
        <f t="shared" si="47"/>
        <v>0.19502666744957381</v>
      </c>
      <c r="O91" s="56">
        <f t="shared" si="21"/>
        <v>4.2579446183495766E-10</v>
      </c>
      <c r="P91" s="56">
        <f t="shared" si="48"/>
        <v>5.2865301198690769E-4</v>
      </c>
      <c r="Q91" s="56">
        <f t="shared" si="49"/>
        <v>1.5290335275591978E-2</v>
      </c>
      <c r="R91" s="9">
        <f t="shared" ref="R91:R92" si="50">F91*$C$14</f>
        <v>1.4999999999999999E-4</v>
      </c>
      <c r="S91" s="9">
        <f t="shared" si="38"/>
        <v>3.1706498119966435E-5</v>
      </c>
      <c r="T91" s="9">
        <f t="shared" si="39"/>
        <v>6.3810560821230583E-8</v>
      </c>
      <c r="U91" s="9">
        <f t="shared" si="40"/>
        <v>1.1829350188003356E-4</v>
      </c>
      <c r="V91" s="102">
        <f t="shared" si="41"/>
        <v>5.3942574872746247E-4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108</v>
      </c>
      <c r="C92" s="46" t="s">
        <v>109</v>
      </c>
      <c r="D92" s="47">
        <v>7.0428240000000013</v>
      </c>
      <c r="E92" s="47">
        <v>8.8261279999999989</v>
      </c>
      <c r="F92" s="98">
        <v>9.9999999999999995E-7</v>
      </c>
      <c r="G92" s="7"/>
      <c r="H92" s="7"/>
      <c r="I92" s="54">
        <f t="shared" si="43"/>
        <v>4.4880081925943038</v>
      </c>
      <c r="J92" s="54">
        <f t="shared" si="44"/>
        <v>7.3506289103249456</v>
      </c>
      <c r="K92" s="55">
        <f t="shared" si="45"/>
        <v>2.5157232309415269E-5</v>
      </c>
      <c r="L92" s="55">
        <f t="shared" si="46"/>
        <v>0.2257235046677305</v>
      </c>
      <c r="M92" s="55">
        <f t="shared" si="19"/>
        <v>0.7742764953322695</v>
      </c>
      <c r="N92" s="55">
        <f t="shared" si="47"/>
        <v>0.21521203662956262</v>
      </c>
      <c r="O92" s="56">
        <f t="shared" si="21"/>
        <v>2.5180338617743023E-11</v>
      </c>
      <c r="P92" s="56">
        <f t="shared" si="48"/>
        <v>5.6453448517399473E-4</v>
      </c>
      <c r="Q92" s="56">
        <f t="shared" si="49"/>
        <v>1.6872893530110851E-2</v>
      </c>
      <c r="R92" s="9">
        <f t="shared" si="50"/>
        <v>1.4999999999999999E-4</v>
      </c>
      <c r="S92" s="9">
        <f t="shared" si="38"/>
        <v>3.3858525700159572E-5</v>
      </c>
      <c r="T92" s="9">
        <f t="shared" si="39"/>
        <v>3.7735848464122898E-9</v>
      </c>
      <c r="U92" s="9">
        <f t="shared" si="40"/>
        <v>1.1614147429984041E-4</v>
      </c>
      <c r="V92" s="102">
        <f t="shared" si="41"/>
        <v>3.2491277290574872E-5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210</v>
      </c>
      <c r="C93" s="46" t="s">
        <v>211</v>
      </c>
      <c r="D93" s="47">
        <v>2.17</v>
      </c>
      <c r="E93" s="47">
        <v>2.25</v>
      </c>
      <c r="F93" s="98">
        <v>9.9999999999999995E-7</v>
      </c>
      <c r="G93" s="7"/>
      <c r="H93" s="7"/>
      <c r="I93" s="54">
        <f t="shared" si="43"/>
        <v>3.2311126461878961E-2</v>
      </c>
      <c r="J93" s="54">
        <f t="shared" si="44"/>
        <v>1.3125703435581537</v>
      </c>
      <c r="K93" s="55">
        <f t="shared" si="45"/>
        <v>0.92079789108182997</v>
      </c>
      <c r="L93" s="55">
        <f t="shared" si="46"/>
        <v>7.56867180545376E-3</v>
      </c>
      <c r="M93" s="55">
        <f t="shared" ref="M93:M127" si="51">IF(D93=0,"",1-L93)</f>
        <v>0.99243132819454627</v>
      </c>
      <c r="N93" s="55">
        <f t="shared" si="47"/>
        <v>2.0904511010113968E-3</v>
      </c>
      <c r="O93" s="56">
        <f t="shared" ref="O93:O127" si="52">IF(D93=0,"",F93*K93*$J$7/$J$14)</f>
        <v>9.2164362163426922E-7</v>
      </c>
      <c r="P93" s="56">
        <f t="shared" si="48"/>
        <v>1.8929248185439859E-5</v>
      </c>
      <c r="Q93" s="56">
        <f t="shared" si="49"/>
        <v>1.638939875745926E-4</v>
      </c>
      <c r="R93" s="9">
        <f>F93*$C$14</f>
        <v>1.4999999999999999E-4</v>
      </c>
      <c r="S93" s="9">
        <f t="shared" si="38"/>
        <v>1.135300770818064E-6</v>
      </c>
      <c r="T93" s="9">
        <f t="shared" si="39"/>
        <v>1.3811968366227449E-4</v>
      </c>
      <c r="U93" s="9">
        <f t="shared" si="40"/>
        <v>1.4886469922918192E-4</v>
      </c>
      <c r="V93" s="102">
        <f t="shared" si="41"/>
        <v>0.92782025810991531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212</v>
      </c>
      <c r="C94" s="46" t="s">
        <v>213</v>
      </c>
      <c r="D94" s="47"/>
      <c r="E94" s="47"/>
      <c r="F94" s="57"/>
      <c r="G94" s="7"/>
      <c r="H94" s="7"/>
      <c r="I94" s="54" t="str">
        <f t="shared" si="43"/>
        <v/>
      </c>
      <c r="J94" s="54" t="str">
        <f t="shared" si="44"/>
        <v/>
      </c>
      <c r="K94" s="55" t="str">
        <f t="shared" si="45"/>
        <v/>
      </c>
      <c r="L94" s="55" t="str">
        <f t="shared" si="46"/>
        <v/>
      </c>
      <c r="M94" s="55" t="str">
        <f t="shared" si="51"/>
        <v/>
      </c>
      <c r="N94" s="55" t="str">
        <f t="shared" si="47"/>
        <v/>
      </c>
      <c r="O94" s="56" t="str">
        <f t="shared" si="52"/>
        <v/>
      </c>
      <c r="P94" s="56" t="str">
        <f t="shared" si="48"/>
        <v/>
      </c>
      <c r="Q94" s="56" t="str">
        <f t="shared" si="49"/>
        <v/>
      </c>
      <c r="R94" s="9"/>
      <c r="S94" s="9"/>
      <c r="T94" s="9"/>
      <c r="U94" s="9"/>
      <c r="V94" s="102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214</v>
      </c>
      <c r="C95" s="46" t="s">
        <v>215</v>
      </c>
      <c r="D95" s="47"/>
      <c r="E95" s="47"/>
      <c r="F95" s="57"/>
      <c r="G95" s="7"/>
      <c r="H95" s="7"/>
      <c r="I95" s="54" t="str">
        <f t="shared" si="43"/>
        <v/>
      </c>
      <c r="J95" s="54" t="str">
        <f t="shared" si="44"/>
        <v/>
      </c>
      <c r="K95" s="55" t="str">
        <f t="shared" si="45"/>
        <v/>
      </c>
      <c r="L95" s="55" t="str">
        <f t="shared" si="46"/>
        <v/>
      </c>
      <c r="M95" s="55" t="str">
        <f t="shared" si="51"/>
        <v/>
      </c>
      <c r="N95" s="55" t="str">
        <f t="shared" si="47"/>
        <v/>
      </c>
      <c r="O95" s="56" t="str">
        <f t="shared" si="52"/>
        <v/>
      </c>
      <c r="P95" s="56" t="str">
        <f t="shared" si="48"/>
        <v/>
      </c>
      <c r="Q95" s="56" t="str">
        <f t="shared" si="49"/>
        <v/>
      </c>
      <c r="R95" s="9"/>
      <c r="S95" s="9"/>
      <c r="T95" s="9"/>
      <c r="U95" s="9"/>
      <c r="V95" s="102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216</v>
      </c>
      <c r="C96" s="46" t="s">
        <v>217</v>
      </c>
      <c r="D96" s="47"/>
      <c r="E96" s="47"/>
      <c r="F96" s="57"/>
      <c r="G96" s="7"/>
      <c r="H96" s="7"/>
      <c r="I96" s="54" t="str">
        <f t="shared" si="43"/>
        <v/>
      </c>
      <c r="J96" s="54" t="str">
        <f t="shared" si="44"/>
        <v/>
      </c>
      <c r="K96" s="55" t="str">
        <f t="shared" si="45"/>
        <v/>
      </c>
      <c r="L96" s="55" t="str">
        <f t="shared" si="46"/>
        <v/>
      </c>
      <c r="M96" s="55" t="str">
        <f t="shared" si="51"/>
        <v/>
      </c>
      <c r="N96" s="55" t="str">
        <f t="shared" si="47"/>
        <v/>
      </c>
      <c r="O96" s="56" t="str">
        <f t="shared" si="52"/>
        <v/>
      </c>
      <c r="P96" s="56" t="str">
        <f t="shared" si="48"/>
        <v/>
      </c>
      <c r="Q96" s="56" t="str">
        <f t="shared" si="49"/>
        <v/>
      </c>
      <c r="R96" s="9"/>
      <c r="S96" s="9"/>
      <c r="T96" s="9"/>
      <c r="U96" s="9"/>
      <c r="V96" s="102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218</v>
      </c>
      <c r="C97" s="46" t="s">
        <v>219</v>
      </c>
      <c r="D97" s="47"/>
      <c r="E97" s="47"/>
      <c r="F97" s="57"/>
      <c r="G97" s="7"/>
      <c r="H97" s="7"/>
      <c r="I97" s="54" t="str">
        <f t="shared" si="43"/>
        <v/>
      </c>
      <c r="J97" s="54" t="str">
        <f t="shared" si="44"/>
        <v/>
      </c>
      <c r="K97" s="55" t="str">
        <f t="shared" si="45"/>
        <v/>
      </c>
      <c r="L97" s="55" t="str">
        <f t="shared" si="46"/>
        <v/>
      </c>
      <c r="M97" s="55" t="str">
        <f t="shared" si="51"/>
        <v/>
      </c>
      <c r="N97" s="55" t="str">
        <f t="shared" si="47"/>
        <v/>
      </c>
      <c r="O97" s="56" t="str">
        <f t="shared" si="52"/>
        <v/>
      </c>
      <c r="P97" s="56" t="str">
        <f t="shared" si="48"/>
        <v/>
      </c>
      <c r="Q97" s="56" t="str">
        <f t="shared" si="49"/>
        <v/>
      </c>
      <c r="R97" s="9"/>
      <c r="S97" s="9"/>
      <c r="T97" s="9"/>
      <c r="U97" s="9"/>
      <c r="V97" s="102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220</v>
      </c>
      <c r="C98" s="46" t="s">
        <v>221</v>
      </c>
      <c r="D98" s="47"/>
      <c r="E98" s="47"/>
      <c r="F98" s="57"/>
      <c r="G98" s="7"/>
      <c r="H98" s="7"/>
      <c r="I98" s="54" t="str">
        <f t="shared" si="43"/>
        <v/>
      </c>
      <c r="J98" s="54" t="str">
        <f t="shared" si="44"/>
        <v/>
      </c>
      <c r="K98" s="55" t="str">
        <f t="shared" si="45"/>
        <v/>
      </c>
      <c r="L98" s="55" t="str">
        <f t="shared" si="46"/>
        <v/>
      </c>
      <c r="M98" s="55" t="str">
        <f t="shared" si="51"/>
        <v/>
      </c>
      <c r="N98" s="55" t="str">
        <f t="shared" si="47"/>
        <v/>
      </c>
      <c r="O98" s="56" t="str">
        <f t="shared" si="52"/>
        <v/>
      </c>
      <c r="P98" s="56" t="str">
        <f t="shared" si="48"/>
        <v/>
      </c>
      <c r="Q98" s="56" t="str">
        <f t="shared" si="49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222</v>
      </c>
      <c r="C99" s="46" t="s">
        <v>223</v>
      </c>
      <c r="D99" s="47"/>
      <c r="E99" s="47"/>
      <c r="F99" s="57"/>
      <c r="G99" s="7"/>
      <c r="H99" s="7"/>
      <c r="I99" s="54" t="str">
        <f t="shared" si="43"/>
        <v/>
      </c>
      <c r="J99" s="54" t="str">
        <f t="shared" si="44"/>
        <v/>
      </c>
      <c r="K99" s="55" t="str">
        <f t="shared" si="45"/>
        <v/>
      </c>
      <c r="L99" s="55" t="str">
        <f t="shared" si="46"/>
        <v/>
      </c>
      <c r="M99" s="55" t="str">
        <f t="shared" si="51"/>
        <v/>
      </c>
      <c r="N99" s="55" t="str">
        <f t="shared" si="47"/>
        <v/>
      </c>
      <c r="O99" s="56" t="str">
        <f t="shared" si="52"/>
        <v/>
      </c>
      <c r="P99" s="56" t="str">
        <f t="shared" si="48"/>
        <v/>
      </c>
      <c r="Q99" s="56" t="str">
        <f t="shared" si="49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224</v>
      </c>
      <c r="C100" s="46" t="s">
        <v>225</v>
      </c>
      <c r="D100" s="47"/>
      <c r="E100" s="47"/>
      <c r="F100" s="57"/>
      <c r="G100" s="7"/>
      <c r="H100" s="7"/>
      <c r="I100" s="54" t="str">
        <f t="shared" si="43"/>
        <v/>
      </c>
      <c r="J100" s="54" t="str">
        <f t="shared" si="44"/>
        <v/>
      </c>
      <c r="K100" s="55" t="str">
        <f t="shared" si="45"/>
        <v/>
      </c>
      <c r="L100" s="55" t="str">
        <f t="shared" si="46"/>
        <v/>
      </c>
      <c r="M100" s="55" t="str">
        <f t="shared" si="51"/>
        <v/>
      </c>
      <c r="N100" s="55" t="str">
        <f t="shared" si="47"/>
        <v/>
      </c>
      <c r="O100" s="56" t="str">
        <f t="shared" si="52"/>
        <v/>
      </c>
      <c r="P100" s="56" t="str">
        <f t="shared" si="48"/>
        <v/>
      </c>
      <c r="Q100" s="56" t="str">
        <f t="shared" si="49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226</v>
      </c>
      <c r="C101" s="46" t="s">
        <v>227</v>
      </c>
      <c r="D101" s="47"/>
      <c r="E101" s="47"/>
      <c r="F101" s="57"/>
      <c r="G101" s="7"/>
      <c r="H101" s="7"/>
      <c r="I101" s="54" t="str">
        <f t="shared" si="43"/>
        <v/>
      </c>
      <c r="J101" s="54" t="str">
        <f t="shared" si="44"/>
        <v/>
      </c>
      <c r="K101" s="55" t="str">
        <f t="shared" si="45"/>
        <v/>
      </c>
      <c r="L101" s="55" t="str">
        <f t="shared" si="46"/>
        <v/>
      </c>
      <c r="M101" s="55" t="str">
        <f t="shared" si="51"/>
        <v/>
      </c>
      <c r="N101" s="55" t="str">
        <f t="shared" si="47"/>
        <v/>
      </c>
      <c r="O101" s="56" t="str">
        <f t="shared" si="52"/>
        <v/>
      </c>
      <c r="P101" s="56" t="str">
        <f t="shared" si="48"/>
        <v/>
      </c>
      <c r="Q101" s="56" t="str">
        <f t="shared" si="49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228</v>
      </c>
      <c r="C102" s="46" t="s">
        <v>229</v>
      </c>
      <c r="D102" s="47"/>
      <c r="E102" s="47"/>
      <c r="F102" s="57"/>
      <c r="G102" s="7"/>
      <c r="H102" s="7"/>
      <c r="I102" s="54" t="str">
        <f t="shared" si="43"/>
        <v/>
      </c>
      <c r="J102" s="54" t="str">
        <f t="shared" si="44"/>
        <v/>
      </c>
      <c r="K102" s="55" t="str">
        <f t="shared" si="45"/>
        <v/>
      </c>
      <c r="L102" s="55" t="str">
        <f t="shared" si="46"/>
        <v/>
      </c>
      <c r="M102" s="55" t="str">
        <f t="shared" si="51"/>
        <v/>
      </c>
      <c r="N102" s="55" t="str">
        <f t="shared" si="47"/>
        <v/>
      </c>
      <c r="O102" s="56" t="str">
        <f t="shared" si="52"/>
        <v/>
      </c>
      <c r="P102" s="56" t="str">
        <f t="shared" si="48"/>
        <v/>
      </c>
      <c r="Q102" s="56" t="str">
        <f t="shared" si="49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230</v>
      </c>
      <c r="C103" s="46" t="s">
        <v>231</v>
      </c>
      <c r="D103" s="47"/>
      <c r="E103" s="47"/>
      <c r="F103" s="57"/>
      <c r="G103" s="7"/>
      <c r="H103" s="7"/>
      <c r="I103" s="54" t="str">
        <f t="shared" si="43"/>
        <v/>
      </c>
      <c r="J103" s="54" t="str">
        <f t="shared" si="44"/>
        <v/>
      </c>
      <c r="K103" s="55" t="str">
        <f t="shared" si="45"/>
        <v/>
      </c>
      <c r="L103" s="55" t="str">
        <f t="shared" si="46"/>
        <v/>
      </c>
      <c r="M103" s="55" t="str">
        <f t="shared" si="51"/>
        <v/>
      </c>
      <c r="N103" s="55" t="str">
        <f t="shared" si="47"/>
        <v/>
      </c>
      <c r="O103" s="56" t="str">
        <f t="shared" si="52"/>
        <v/>
      </c>
      <c r="P103" s="56" t="str">
        <f t="shared" si="48"/>
        <v/>
      </c>
      <c r="Q103" s="56" t="str">
        <f t="shared" si="49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232</v>
      </c>
      <c r="C104" s="46" t="s">
        <v>233</v>
      </c>
      <c r="D104" s="47"/>
      <c r="E104" s="47"/>
      <c r="F104" s="57"/>
      <c r="G104" s="7"/>
      <c r="H104" s="7"/>
      <c r="I104" s="54" t="str">
        <f t="shared" si="43"/>
        <v/>
      </c>
      <c r="J104" s="54" t="str">
        <f t="shared" si="44"/>
        <v/>
      </c>
      <c r="K104" s="55" t="str">
        <f t="shared" si="45"/>
        <v/>
      </c>
      <c r="L104" s="55" t="str">
        <f t="shared" si="46"/>
        <v/>
      </c>
      <c r="M104" s="55" t="str">
        <f t="shared" si="51"/>
        <v/>
      </c>
      <c r="N104" s="55" t="str">
        <f t="shared" si="47"/>
        <v/>
      </c>
      <c r="O104" s="56" t="str">
        <f t="shared" si="52"/>
        <v/>
      </c>
      <c r="P104" s="56" t="str">
        <f t="shared" si="48"/>
        <v/>
      </c>
      <c r="Q104" s="56" t="str">
        <f t="shared" si="49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234</v>
      </c>
      <c r="C105" s="46" t="s">
        <v>235</v>
      </c>
      <c r="D105" s="47"/>
      <c r="E105" s="47"/>
      <c r="F105" s="57"/>
      <c r="G105" s="7"/>
      <c r="H105" s="7"/>
      <c r="I105" s="54" t="str">
        <f t="shared" si="43"/>
        <v/>
      </c>
      <c r="J105" s="54" t="str">
        <f t="shared" si="44"/>
        <v/>
      </c>
      <c r="K105" s="55" t="str">
        <f t="shared" si="45"/>
        <v/>
      </c>
      <c r="L105" s="55" t="str">
        <f t="shared" si="46"/>
        <v/>
      </c>
      <c r="M105" s="55" t="str">
        <f t="shared" si="51"/>
        <v/>
      </c>
      <c r="N105" s="55" t="str">
        <f t="shared" si="47"/>
        <v/>
      </c>
      <c r="O105" s="56" t="str">
        <f t="shared" si="52"/>
        <v/>
      </c>
      <c r="P105" s="56" t="str">
        <f t="shared" si="48"/>
        <v/>
      </c>
      <c r="Q105" s="56" t="str">
        <f t="shared" si="49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236</v>
      </c>
      <c r="C106" s="46" t="s">
        <v>237</v>
      </c>
      <c r="D106" s="47"/>
      <c r="E106" s="47"/>
      <c r="F106" s="57"/>
      <c r="G106" s="7"/>
      <c r="H106" s="7"/>
      <c r="I106" s="54" t="str">
        <f t="shared" si="43"/>
        <v/>
      </c>
      <c r="J106" s="54" t="str">
        <f t="shared" si="44"/>
        <v/>
      </c>
      <c r="K106" s="55" t="str">
        <f t="shared" si="45"/>
        <v/>
      </c>
      <c r="L106" s="55" t="str">
        <f t="shared" si="46"/>
        <v/>
      </c>
      <c r="M106" s="55" t="str">
        <f t="shared" si="51"/>
        <v/>
      </c>
      <c r="N106" s="55" t="str">
        <f t="shared" si="47"/>
        <v/>
      </c>
      <c r="O106" s="56" t="str">
        <f t="shared" si="52"/>
        <v/>
      </c>
      <c r="P106" s="56" t="str">
        <f t="shared" si="48"/>
        <v/>
      </c>
      <c r="Q106" s="56" t="str">
        <f t="shared" si="49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238</v>
      </c>
      <c r="C107" s="46" t="s">
        <v>239</v>
      </c>
      <c r="D107" s="47">
        <v>0.97789599999999988</v>
      </c>
      <c r="E107" s="47">
        <v>1.067612</v>
      </c>
      <c r="F107" s="98">
        <v>9.9999999999999995E-7</v>
      </c>
      <c r="G107" s="7"/>
      <c r="H107" s="7"/>
      <c r="I107" s="54">
        <f t="shared" si="43"/>
        <v>1.9446765022663539E-3</v>
      </c>
      <c r="J107" s="54">
        <f t="shared" si="44"/>
        <v>0.3314868111062052</v>
      </c>
      <c r="K107" s="55">
        <f t="shared" si="45"/>
        <v>0.99416724062502237</v>
      </c>
      <c r="L107" s="55">
        <f t="shared" si="46"/>
        <v>8.5355453399674815E-4</v>
      </c>
      <c r="M107" s="55">
        <f t="shared" si="51"/>
        <v>0.99914644546600329</v>
      </c>
      <c r="N107" s="55">
        <f t="shared" si="47"/>
        <v>1.4830204698870763E-4</v>
      </c>
      <c r="O107" s="56">
        <f t="shared" si="52"/>
        <v>9.950803591473107E-7</v>
      </c>
      <c r="P107" s="56">
        <f t="shared" si="48"/>
        <v>2.1347398895258671E-6</v>
      </c>
      <c r="Q107" s="56">
        <f t="shared" si="49"/>
        <v>1.1627066442594289E-5</v>
      </c>
      <c r="R107" s="9">
        <f>F107*$C$14</f>
        <v>1.4999999999999999E-4</v>
      </c>
      <c r="S107" s="9">
        <f t="shared" ref="S107:S108" si="53">$R107*L107</f>
        <v>1.2803318009951222E-7</v>
      </c>
      <c r="T107" s="9">
        <f t="shared" ref="T107:T108" si="54">R107*K107</f>
        <v>1.4912508609375333E-4</v>
      </c>
      <c r="U107" s="9">
        <f t="shared" ref="U107:U108" si="55">$R107*M107</f>
        <v>1.4987196681990047E-4</v>
      </c>
      <c r="V107" s="102">
        <f t="shared" ref="V107:V108" si="56">K107/M107</f>
        <v>0.99501654150542607</v>
      </c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240</v>
      </c>
      <c r="C108" s="46" t="s">
        <v>241</v>
      </c>
      <c r="D108" s="47">
        <v>1.8253520000000001</v>
      </c>
      <c r="E108" s="47">
        <v>2.0793489999999997</v>
      </c>
      <c r="F108" s="98">
        <v>9.9999999999999995E-7</v>
      </c>
      <c r="G108" s="7"/>
      <c r="H108" s="7"/>
      <c r="I108" s="54">
        <f t="shared" si="43"/>
        <v>1.5422749478710035E-2</v>
      </c>
      <c r="J108" s="54">
        <f t="shared" si="44"/>
        <v>1.0426006689905334</v>
      </c>
      <c r="K108" s="55">
        <f t="shared" si="45"/>
        <v>0.96052083755648832</v>
      </c>
      <c r="L108" s="55">
        <f t="shared" si="46"/>
        <v>4.2402598730416161E-3</v>
      </c>
      <c r="M108" s="55">
        <f t="shared" si="51"/>
        <v>0.99575974012695834</v>
      </c>
      <c r="N108" s="55">
        <f t="shared" si="47"/>
        <v>1.4720802568763591E-3</v>
      </c>
      <c r="O108" s="56">
        <f t="shared" si="52"/>
        <v>9.6140305267279538E-7</v>
      </c>
      <c r="P108" s="56">
        <f t="shared" si="48"/>
        <v>1.0604889942477083E-5</v>
      </c>
      <c r="Q108" s="56">
        <f t="shared" si="49"/>
        <v>1.1541293800776722E-4</v>
      </c>
      <c r="R108" s="9">
        <f>F108*$C$14</f>
        <v>1.4999999999999999E-4</v>
      </c>
      <c r="S108" s="9">
        <f t="shared" si="53"/>
        <v>6.3603898095624236E-7</v>
      </c>
      <c r="T108" s="9">
        <f t="shared" si="54"/>
        <v>1.4407812563347323E-4</v>
      </c>
      <c r="U108" s="9">
        <f t="shared" si="55"/>
        <v>1.4936396101904374E-4</v>
      </c>
      <c r="V108" s="102">
        <f t="shared" si="56"/>
        <v>0.96461103903841594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242</v>
      </c>
      <c r="C109" s="46" t="s">
        <v>243</v>
      </c>
      <c r="D109" s="47"/>
      <c r="E109" s="47"/>
      <c r="F109" s="98"/>
      <c r="G109" s="7"/>
      <c r="H109" s="7"/>
      <c r="I109" s="54" t="str">
        <f t="shared" si="43"/>
        <v/>
      </c>
      <c r="J109" s="54" t="str">
        <f t="shared" si="44"/>
        <v/>
      </c>
      <c r="K109" s="55" t="str">
        <f t="shared" si="45"/>
        <v/>
      </c>
      <c r="L109" s="55" t="str">
        <f t="shared" si="46"/>
        <v/>
      </c>
      <c r="M109" s="55" t="str">
        <f t="shared" si="51"/>
        <v/>
      </c>
      <c r="N109" s="55" t="str">
        <f t="shared" si="47"/>
        <v/>
      </c>
      <c r="O109" s="56" t="str">
        <f t="shared" si="52"/>
        <v/>
      </c>
      <c r="P109" s="56" t="str">
        <f t="shared" si="48"/>
        <v/>
      </c>
      <c r="Q109" s="56" t="str">
        <f t="shared" si="49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244</v>
      </c>
      <c r="C110" s="46" t="s">
        <v>245</v>
      </c>
      <c r="D110" s="47"/>
      <c r="E110" s="47"/>
      <c r="F110" s="98"/>
      <c r="G110" s="7"/>
      <c r="H110" s="7"/>
      <c r="I110" s="54" t="str">
        <f t="shared" si="43"/>
        <v/>
      </c>
      <c r="J110" s="54" t="str">
        <f t="shared" si="44"/>
        <v/>
      </c>
      <c r="K110" s="55" t="str">
        <f t="shared" si="45"/>
        <v/>
      </c>
      <c r="L110" s="55" t="str">
        <f t="shared" si="46"/>
        <v/>
      </c>
      <c r="M110" s="55" t="str">
        <f t="shared" si="51"/>
        <v/>
      </c>
      <c r="N110" s="55" t="str">
        <f t="shared" si="47"/>
        <v/>
      </c>
      <c r="O110" s="56" t="str">
        <f t="shared" si="52"/>
        <v/>
      </c>
      <c r="P110" s="56" t="str">
        <f t="shared" si="48"/>
        <v/>
      </c>
      <c r="Q110" s="56" t="str">
        <f t="shared" si="49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246</v>
      </c>
      <c r="C111" s="46" t="s">
        <v>247</v>
      </c>
      <c r="D111" s="47"/>
      <c r="E111" s="47"/>
      <c r="F111" s="98"/>
      <c r="G111" s="7"/>
      <c r="H111" s="7"/>
      <c r="I111" s="54" t="str">
        <f t="shared" si="43"/>
        <v/>
      </c>
      <c r="J111" s="54" t="str">
        <f t="shared" si="44"/>
        <v/>
      </c>
      <c r="K111" s="55" t="str">
        <f t="shared" si="45"/>
        <v/>
      </c>
      <c r="L111" s="55" t="str">
        <f t="shared" si="46"/>
        <v/>
      </c>
      <c r="M111" s="55" t="str">
        <f t="shared" si="51"/>
        <v/>
      </c>
      <c r="N111" s="55" t="str">
        <f t="shared" si="47"/>
        <v/>
      </c>
      <c r="O111" s="56" t="str">
        <f t="shared" si="52"/>
        <v/>
      </c>
      <c r="P111" s="56" t="str">
        <f t="shared" si="48"/>
        <v/>
      </c>
      <c r="Q111" s="56" t="str">
        <f t="shared" si="49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248</v>
      </c>
      <c r="C112" s="46" t="s">
        <v>249</v>
      </c>
      <c r="D112" s="47"/>
      <c r="E112" s="47"/>
      <c r="F112" s="98"/>
      <c r="G112" s="7"/>
      <c r="H112" s="7"/>
      <c r="I112" s="54" t="str">
        <f t="shared" si="43"/>
        <v/>
      </c>
      <c r="J112" s="54" t="str">
        <f t="shared" si="44"/>
        <v/>
      </c>
      <c r="K112" s="55" t="str">
        <f t="shared" si="45"/>
        <v/>
      </c>
      <c r="L112" s="55" t="str">
        <f t="shared" si="46"/>
        <v/>
      </c>
      <c r="M112" s="55" t="str">
        <f t="shared" si="51"/>
        <v/>
      </c>
      <c r="N112" s="55" t="str">
        <f t="shared" si="47"/>
        <v/>
      </c>
      <c r="O112" s="56" t="str">
        <f t="shared" si="52"/>
        <v/>
      </c>
      <c r="P112" s="56" t="str">
        <f t="shared" si="48"/>
        <v/>
      </c>
      <c r="Q112" s="56" t="str">
        <f t="shared" si="49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250</v>
      </c>
      <c r="C113" s="46" t="s">
        <v>251</v>
      </c>
      <c r="D113" s="47"/>
      <c r="E113" s="47"/>
      <c r="F113" s="57"/>
      <c r="G113" s="7"/>
      <c r="H113" s="7"/>
      <c r="I113" s="54" t="str">
        <f t="shared" si="43"/>
        <v/>
      </c>
      <c r="J113" s="54" t="str">
        <f t="shared" si="44"/>
        <v/>
      </c>
      <c r="K113" s="55" t="str">
        <f t="shared" si="45"/>
        <v/>
      </c>
      <c r="L113" s="55" t="str">
        <f t="shared" si="46"/>
        <v/>
      </c>
      <c r="M113" s="55" t="str">
        <f t="shared" si="51"/>
        <v/>
      </c>
      <c r="N113" s="55" t="str">
        <f t="shared" si="47"/>
        <v/>
      </c>
      <c r="O113" s="56" t="str">
        <f t="shared" si="52"/>
        <v/>
      </c>
      <c r="P113" s="56" t="str">
        <f t="shared" si="48"/>
        <v/>
      </c>
      <c r="Q113" s="56" t="str">
        <f t="shared" si="49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252</v>
      </c>
      <c r="C114" s="46" t="s">
        <v>253</v>
      </c>
      <c r="D114" s="47">
        <v>1.6430320000000003</v>
      </c>
      <c r="E114" s="47">
        <v>1.9699289999999996</v>
      </c>
      <c r="F114" s="98">
        <v>9.9999999999999995E-7</v>
      </c>
      <c r="G114" s="7"/>
      <c r="H114" s="7"/>
      <c r="I114" s="54">
        <f t="shared" si="43"/>
        <v>1.0353959656071578E-2</v>
      </c>
      <c r="J114" s="54">
        <f t="shared" si="44"/>
        <v>0.90354926162364302</v>
      </c>
      <c r="K114" s="55">
        <f t="shared" si="45"/>
        <v>0.97289215249082361</v>
      </c>
      <c r="L114" s="55">
        <f t="shared" si="46"/>
        <v>3.1181641644186155E-3</v>
      </c>
      <c r="M114" s="55">
        <f t="shared" si="51"/>
        <v>0.99688183583558143</v>
      </c>
      <c r="N114" s="55">
        <f t="shared" si="47"/>
        <v>1.1589625362876173E-3</v>
      </c>
      <c r="O114" s="56">
        <f t="shared" si="52"/>
        <v>9.7378573036014635E-7</v>
      </c>
      <c r="P114" s="56">
        <f t="shared" si="48"/>
        <v>7.7985285752109586E-6</v>
      </c>
      <c r="Q114" s="56">
        <f t="shared" si="49"/>
        <v>9.0864116089508804E-5</v>
      </c>
      <c r="R114" s="9">
        <f>F114*$C$14</f>
        <v>1.4999999999999999E-4</v>
      </c>
      <c r="S114" s="9">
        <f t="shared" ref="S114:S116" si="57">$R114*L114</f>
        <v>4.6772462466279227E-7</v>
      </c>
      <c r="T114" s="9">
        <f t="shared" ref="T114:T116" si="58">R114*K114</f>
        <v>1.4593382287362352E-4</v>
      </c>
      <c r="U114" s="9">
        <f t="shared" ref="U114:U116" si="59">$R114*M114</f>
        <v>1.4953227537533719E-4</v>
      </c>
      <c r="V114" s="102">
        <f t="shared" ref="V114:V116" si="60">K114/M114</f>
        <v>0.97593527890429488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254</v>
      </c>
      <c r="C115" s="46" t="s">
        <v>255</v>
      </c>
      <c r="D115" s="47">
        <v>1.9888079999999992</v>
      </c>
      <c r="E115" s="47">
        <v>1.7269960000000002</v>
      </c>
      <c r="F115" s="98">
        <v>9.9999999999999995E-7</v>
      </c>
      <c r="G115" s="7"/>
      <c r="H115" s="7"/>
      <c r="I115" s="54">
        <f t="shared" si="43"/>
        <v>2.0480395290290027E-2</v>
      </c>
      <c r="J115" s="54">
        <f t="shared" si="44"/>
        <v>1.0716665691586713</v>
      </c>
      <c r="K115" s="55">
        <f t="shared" si="45"/>
        <v>0.94917106399388695</v>
      </c>
      <c r="L115" s="55">
        <f t="shared" si="46"/>
        <v>4.4801862966177483E-3</v>
      </c>
      <c r="M115" s="55">
        <f t="shared" si="51"/>
        <v>0.99551981370338227</v>
      </c>
      <c r="N115" s="55">
        <f t="shared" si="47"/>
        <v>6.4627326028247846E-4</v>
      </c>
      <c r="O115" s="56">
        <f t="shared" si="52"/>
        <v>9.5004285461817664E-7</v>
      </c>
      <c r="P115" s="56">
        <f t="shared" si="48"/>
        <v>1.120494592784099E-5</v>
      </c>
      <c r="Q115" s="56">
        <f t="shared" si="49"/>
        <v>5.0668633980140395E-5</v>
      </c>
      <c r="R115" s="9">
        <f>F115*$C$14</f>
        <v>1.4999999999999999E-4</v>
      </c>
      <c r="S115" s="9">
        <f t="shared" si="57"/>
        <v>6.7202794449266223E-7</v>
      </c>
      <c r="T115" s="9">
        <f t="shared" si="58"/>
        <v>1.4237565959908304E-4</v>
      </c>
      <c r="U115" s="9">
        <f t="shared" si="59"/>
        <v>1.4932797205550734E-4</v>
      </c>
      <c r="V115" s="102">
        <f t="shared" si="60"/>
        <v>0.95344266475513362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256</v>
      </c>
      <c r="C116" s="46" t="s">
        <v>257</v>
      </c>
      <c r="D116" s="47">
        <v>0.57692000000000121</v>
      </c>
      <c r="E116" s="47">
        <v>0.1355349999999973</v>
      </c>
      <c r="F116" s="98">
        <v>9.9999999999999995E-7</v>
      </c>
      <c r="G116" s="7"/>
      <c r="H116" s="7"/>
      <c r="I116" s="54">
        <f t="shared" si="43"/>
        <v>5.8413729360461944E-4</v>
      </c>
      <c r="J116" s="54">
        <f t="shared" si="44"/>
        <v>0.1052380650673532</v>
      </c>
      <c r="K116" s="55">
        <f t="shared" si="45"/>
        <v>0.99763078501979008</v>
      </c>
      <c r="L116" s="55">
        <f t="shared" si="46"/>
        <v>5.0873652765843027E-4</v>
      </c>
      <c r="M116" s="55">
        <f t="shared" si="51"/>
        <v>0.99949126347234152</v>
      </c>
      <c r="N116" s="55">
        <f t="shared" si="47"/>
        <v>1.7401253723388282E-5</v>
      </c>
      <c r="O116" s="56">
        <f t="shared" si="52"/>
        <v>9.9854708472368479E-7</v>
      </c>
      <c r="P116" s="56">
        <f t="shared" si="48"/>
        <v>1.2723500556737341E-6</v>
      </c>
      <c r="Q116" s="56">
        <f t="shared" si="49"/>
        <v>1.3642801116675265E-6</v>
      </c>
      <c r="R116" s="9">
        <f>F116*$C$14</f>
        <v>1.4999999999999999E-4</v>
      </c>
      <c r="S116" s="9">
        <f t="shared" si="57"/>
        <v>7.6310479148764532E-8</v>
      </c>
      <c r="T116" s="9">
        <f t="shared" si="58"/>
        <v>1.4964461775296851E-4</v>
      </c>
      <c r="U116" s="9">
        <f t="shared" si="59"/>
        <v>1.4992368952085122E-4</v>
      </c>
      <c r="V116" s="102">
        <f t="shared" si="60"/>
        <v>0.99813857457234001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258</v>
      </c>
      <c r="C117" s="46" t="s">
        <v>259</v>
      </c>
      <c r="D117" s="47"/>
      <c r="E117" s="47"/>
      <c r="F117" s="98"/>
      <c r="G117" s="7"/>
      <c r="H117" s="7"/>
      <c r="I117" s="54" t="str">
        <f t="shared" si="43"/>
        <v/>
      </c>
      <c r="J117" s="54" t="str">
        <f t="shared" si="44"/>
        <v/>
      </c>
      <c r="K117" s="55" t="str">
        <f t="shared" si="45"/>
        <v/>
      </c>
      <c r="L117" s="55" t="str">
        <f t="shared" si="46"/>
        <v/>
      </c>
      <c r="M117" s="55" t="str">
        <f t="shared" si="51"/>
        <v/>
      </c>
      <c r="N117" s="55" t="str">
        <f t="shared" si="47"/>
        <v/>
      </c>
      <c r="O117" s="56" t="str">
        <f t="shared" si="52"/>
        <v/>
      </c>
      <c r="P117" s="56" t="str">
        <f t="shared" si="48"/>
        <v/>
      </c>
      <c r="Q117" s="56" t="str">
        <f t="shared" si="49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260</v>
      </c>
      <c r="C118" s="46" t="s">
        <v>261</v>
      </c>
      <c r="D118" s="47"/>
      <c r="E118" s="47"/>
      <c r="F118" s="57"/>
      <c r="G118" s="7"/>
      <c r="H118" s="7"/>
      <c r="I118" s="54" t="str">
        <f t="shared" si="43"/>
        <v/>
      </c>
      <c r="J118" s="54" t="str">
        <f t="shared" si="44"/>
        <v/>
      </c>
      <c r="K118" s="55" t="str">
        <f t="shared" si="45"/>
        <v/>
      </c>
      <c r="L118" s="55" t="str">
        <f t="shared" si="46"/>
        <v/>
      </c>
      <c r="M118" s="55" t="str">
        <f t="shared" si="51"/>
        <v/>
      </c>
      <c r="N118" s="55" t="str">
        <f t="shared" si="47"/>
        <v/>
      </c>
      <c r="O118" s="56" t="str">
        <f t="shared" si="52"/>
        <v/>
      </c>
      <c r="P118" s="56" t="str">
        <f t="shared" si="48"/>
        <v/>
      </c>
      <c r="Q118" s="56" t="str">
        <f t="shared" si="49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262</v>
      </c>
      <c r="C119" s="46" t="s">
        <v>263</v>
      </c>
      <c r="D119" s="47">
        <v>3.598704000000001</v>
      </c>
      <c r="E119" s="47">
        <v>4.3131730000000008</v>
      </c>
      <c r="F119" s="98">
        <v>9.9999999999999995E-7</v>
      </c>
      <c r="G119" s="7"/>
      <c r="H119" s="7"/>
      <c r="I119" s="54">
        <f t="shared" si="43"/>
        <v>0.56658503951123784</v>
      </c>
      <c r="J119" s="54">
        <f t="shared" si="44"/>
        <v>3.013869491074634</v>
      </c>
      <c r="K119" s="55">
        <f t="shared" si="45"/>
        <v>0.24382173413381009</v>
      </c>
      <c r="L119" s="55">
        <f t="shared" si="46"/>
        <v>0.1007457933086079</v>
      </c>
      <c r="M119" s="55">
        <f t="shared" si="51"/>
        <v>0.89925420669139211</v>
      </c>
      <c r="N119" s="55">
        <f t="shared" si="47"/>
        <v>6.4020802392509929E-2</v>
      </c>
      <c r="O119" s="56">
        <f t="shared" si="52"/>
        <v>2.4404567848892087E-7</v>
      </c>
      <c r="P119" s="56">
        <f t="shared" si="48"/>
        <v>2.5196522906482835E-4</v>
      </c>
      <c r="Q119" s="56">
        <f t="shared" si="49"/>
        <v>5.0193111844409827E-3</v>
      </c>
      <c r="R119" s="9">
        <f>F119*$C$14</f>
        <v>1.4999999999999999E-4</v>
      </c>
      <c r="S119" s="9">
        <f t="shared" ref="S119:S121" si="61">$R119*L119</f>
        <v>1.5111868996291184E-5</v>
      </c>
      <c r="T119" s="9">
        <f t="shared" ref="T119:T121" si="62">R119*K119</f>
        <v>3.6573260120071509E-5</v>
      </c>
      <c r="U119" s="9">
        <f t="shared" ref="U119:U121" si="63">$R119*M119</f>
        <v>1.348881310037088E-4</v>
      </c>
      <c r="V119" s="102">
        <f t="shared" ref="V119:V121" si="64">K119/M119</f>
        <v>0.27113771870014208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264</v>
      </c>
      <c r="C120" s="46" t="s">
        <v>265</v>
      </c>
      <c r="D120" s="47">
        <v>2.0168880000000002</v>
      </c>
      <c r="E120" s="47">
        <v>2.2161360000000005</v>
      </c>
      <c r="F120" s="98">
        <v>9.9999999999999995E-7</v>
      </c>
      <c r="G120" s="7"/>
      <c r="H120" s="7"/>
      <c r="I120" s="54">
        <f t="shared" si="43"/>
        <v>2.3514137427377815E-2</v>
      </c>
      <c r="J120" s="54">
        <f t="shared" si="44"/>
        <v>1.2029184961851247</v>
      </c>
      <c r="K120" s="55">
        <f t="shared" si="45"/>
        <v>0.94111571160640706</v>
      </c>
      <c r="L120" s="55">
        <f t="shared" si="46"/>
        <v>6.0096133943715142E-3</v>
      </c>
      <c r="M120" s="55">
        <f t="shared" si="51"/>
        <v>0.99399038660562844</v>
      </c>
      <c r="N120" s="55">
        <f t="shared" si="47"/>
        <v>1.9763084206519499E-3</v>
      </c>
      <c r="O120" s="56">
        <f t="shared" si="52"/>
        <v>9.4198010358470639E-7</v>
      </c>
      <c r="P120" s="56">
        <f t="shared" si="48"/>
        <v>1.5030043099323157E-5</v>
      </c>
      <c r="Q120" s="56">
        <f t="shared" si="49"/>
        <v>1.5494505830879391E-4</v>
      </c>
      <c r="R120" s="9">
        <f>F120*$C$14</f>
        <v>1.4999999999999999E-4</v>
      </c>
      <c r="S120" s="9">
        <f t="shared" si="61"/>
        <v>9.014420091557271E-7</v>
      </c>
      <c r="T120" s="9">
        <f t="shared" si="62"/>
        <v>1.4116735674096106E-4</v>
      </c>
      <c r="U120" s="9">
        <f t="shared" si="63"/>
        <v>1.4909855799084425E-4</v>
      </c>
      <c r="V120" s="102">
        <f t="shared" si="64"/>
        <v>0.94680564750753493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266</v>
      </c>
      <c r="C121" s="46" t="s">
        <v>267</v>
      </c>
      <c r="D121" s="47">
        <v>4.2132720000000008</v>
      </c>
      <c r="E121" s="47">
        <v>4.705258999999999</v>
      </c>
      <c r="F121" s="98">
        <v>9.9999999999999995E-7</v>
      </c>
      <c r="G121" s="7"/>
      <c r="H121" s="7"/>
      <c r="I121" s="54">
        <f t="shared" si="43"/>
        <v>1.0322461970770105</v>
      </c>
      <c r="J121" s="54">
        <f t="shared" si="44"/>
        <v>3.500370099559007</v>
      </c>
      <c r="K121" s="55">
        <f t="shared" si="45"/>
        <v>8.3035898983357059E-2</v>
      </c>
      <c r="L121" s="55">
        <f t="shared" si="46"/>
        <v>0.10517705484945854</v>
      </c>
      <c r="M121" s="55">
        <f t="shared" si="51"/>
        <v>0.8948229451505415</v>
      </c>
      <c r="N121" s="55">
        <f t="shared" si="47"/>
        <v>5.3777497543360434E-2</v>
      </c>
      <c r="O121" s="56">
        <f t="shared" si="52"/>
        <v>8.3112165444650726E-8</v>
      </c>
      <c r="P121" s="56">
        <f t="shared" si="48"/>
        <v>2.6304781417849587E-4</v>
      </c>
      <c r="Q121" s="56">
        <f t="shared" si="49"/>
        <v>4.216223239998259E-3</v>
      </c>
      <c r="R121" s="9">
        <f>F121*$C$14</f>
        <v>1.4999999999999999E-4</v>
      </c>
      <c r="S121" s="9">
        <f t="shared" si="61"/>
        <v>1.5776558227418781E-5</v>
      </c>
      <c r="T121" s="9">
        <f t="shared" si="62"/>
        <v>1.2455384847503558E-5</v>
      </c>
      <c r="U121" s="9">
        <f t="shared" si="63"/>
        <v>1.3422344177258121E-4</v>
      </c>
      <c r="V121" s="102">
        <f t="shared" si="64"/>
        <v>9.2795898264977347E-2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268</v>
      </c>
      <c r="C122" s="46" t="s">
        <v>269</v>
      </c>
      <c r="D122" s="47"/>
      <c r="E122" s="47"/>
      <c r="F122" s="57"/>
      <c r="G122" s="7"/>
      <c r="H122" s="7"/>
      <c r="I122" s="54" t="str">
        <f t="shared" si="43"/>
        <v/>
      </c>
      <c r="J122" s="54" t="str">
        <f t="shared" si="44"/>
        <v/>
      </c>
      <c r="K122" s="55" t="str">
        <f t="shared" si="45"/>
        <v/>
      </c>
      <c r="L122" s="55" t="str">
        <f t="shared" si="46"/>
        <v/>
      </c>
      <c r="M122" s="55" t="str">
        <f t="shared" si="51"/>
        <v/>
      </c>
      <c r="N122" s="55" t="str">
        <f t="shared" si="47"/>
        <v/>
      </c>
      <c r="O122" s="56" t="str">
        <f t="shared" si="52"/>
        <v/>
      </c>
      <c r="P122" s="56" t="str">
        <f t="shared" si="48"/>
        <v/>
      </c>
      <c r="Q122" s="56" t="str">
        <f t="shared" si="49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270</v>
      </c>
      <c r="C123" s="46" t="s">
        <v>271</v>
      </c>
      <c r="D123" s="46"/>
      <c r="E123" s="46"/>
      <c r="F123" s="46"/>
      <c r="G123" s="7"/>
      <c r="H123" s="7"/>
      <c r="I123" s="54" t="str">
        <f t="shared" ref="I123:I127" si="65">IF(D123=0,"",LOG($K$15*10^D123+$K$16*10^E123+$K$14))</f>
        <v/>
      </c>
      <c r="J123" s="54" t="str">
        <f t="shared" ref="J123:J127" si="66">IF(D123=0,"",LOG($K$21*10^D123+$K$22*10^E123+$K$20))</f>
        <v/>
      </c>
      <c r="K123" s="55" t="str">
        <f t="shared" ref="K123:K127" si="67">IF(D123=0,"",1/(1+10^D123*$J$15/$J$14+10^E123*$J$16/$J$14+10^J123*$J$19/$J$14))</f>
        <v/>
      </c>
      <c r="L123" s="55" t="str">
        <f t="shared" ref="L123:L127" si="68">IF(D123=0,"",1/(1+10^I123/10^J123*$J$13/$J$19))</f>
        <v/>
      </c>
      <c r="M123" s="55" t="str">
        <f t="shared" si="51"/>
        <v/>
      </c>
      <c r="N123" s="55" t="str">
        <f t="shared" ref="N123:N127" si="69">IF(D123=0,"",1/(1/10^E123*$J$20/$J$22+10^D123/10^E123*$J$21/$J$22+10^I123/10^E123*$J$13/$J$22+1))</f>
        <v/>
      </c>
      <c r="O123" s="56" t="str">
        <f t="shared" si="52"/>
        <v/>
      </c>
      <c r="P123" s="56" t="str">
        <f t="shared" ref="P123:P127" si="70">IF(D123=0,"",O123*10^J123)</f>
        <v/>
      </c>
      <c r="Q123" s="56" t="str">
        <f t="shared" ref="Q123:Q127" si="71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272</v>
      </c>
      <c r="C124" s="46" t="s">
        <v>273</v>
      </c>
      <c r="D124" s="46">
        <v>2.7542720000000003</v>
      </c>
      <c r="E124" s="46">
        <v>3.4524839999999992</v>
      </c>
      <c r="F124" s="98">
        <v>9.9999999999999995E-7</v>
      </c>
      <c r="G124" s="7"/>
      <c r="H124" s="7"/>
      <c r="I124" s="54">
        <f t="shared" si="65"/>
        <v>0.13981203375224763</v>
      </c>
      <c r="J124" s="54">
        <f t="shared" si="66"/>
        <v>2.1614248336382942</v>
      </c>
      <c r="K124" s="55">
        <f t="shared" si="67"/>
        <v>0.69514939060036429</v>
      </c>
      <c r="L124" s="55">
        <f t="shared" si="68"/>
        <v>4.0344839692875049E-2</v>
      </c>
      <c r="M124" s="55">
        <f t="shared" si="51"/>
        <v>0.95965516030712494</v>
      </c>
      <c r="N124" s="55">
        <f t="shared" si="69"/>
        <v>2.5155783222884445E-2</v>
      </c>
      <c r="O124" s="56">
        <f t="shared" si="52"/>
        <v>6.9578786847247319E-7</v>
      </c>
      <c r="P124" s="56">
        <f t="shared" si="70"/>
        <v>1.0090244407188052E-4</v>
      </c>
      <c r="Q124" s="56">
        <f t="shared" si="71"/>
        <v>1.9722449479759874E-3</v>
      </c>
      <c r="R124" s="9">
        <f>F124*$C$14</f>
        <v>1.4999999999999999E-4</v>
      </c>
      <c r="S124" s="9">
        <f t="shared" ref="S124:S127" si="72">$R124*L124</f>
        <v>6.0517259539312573E-6</v>
      </c>
      <c r="T124" s="9">
        <f t="shared" ref="T124:T127" si="73">R124*K124</f>
        <v>1.0427240859005463E-4</v>
      </c>
      <c r="U124" s="9">
        <f t="shared" ref="U124:U127" si="74">$R124*M124</f>
        <v>1.4394827404606874E-4</v>
      </c>
      <c r="V124" s="102">
        <f t="shared" ref="V124:V127" si="75">K124/M124</f>
        <v>0.72437414954126955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274</v>
      </c>
      <c r="C125" s="46" t="s">
        <v>275</v>
      </c>
      <c r="D125" s="46"/>
      <c r="E125" s="46"/>
      <c r="F125" s="46"/>
      <c r="G125" s="7"/>
      <c r="H125" s="7"/>
      <c r="I125" s="54" t="str">
        <f t="shared" si="65"/>
        <v/>
      </c>
      <c r="J125" s="54" t="str">
        <f t="shared" si="66"/>
        <v/>
      </c>
      <c r="K125" s="55" t="str">
        <f t="shared" si="67"/>
        <v/>
      </c>
      <c r="L125" s="55" t="str">
        <f t="shared" si="68"/>
        <v/>
      </c>
      <c r="M125" s="55" t="str">
        <f t="shared" si="51"/>
        <v/>
      </c>
      <c r="N125" s="55" t="str">
        <f t="shared" si="69"/>
        <v/>
      </c>
      <c r="O125" s="56" t="str">
        <f t="shared" si="52"/>
        <v/>
      </c>
      <c r="P125" s="56" t="str">
        <f t="shared" si="70"/>
        <v/>
      </c>
      <c r="Q125" s="56" t="str">
        <f t="shared" si="71"/>
        <v/>
      </c>
      <c r="R125" s="9"/>
      <c r="S125" s="9"/>
      <c r="T125" s="9"/>
      <c r="U125" s="9"/>
      <c r="V125" s="102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276</v>
      </c>
      <c r="C126" s="46" t="s">
        <v>277</v>
      </c>
      <c r="D126" s="46">
        <v>2.3368320000000007</v>
      </c>
      <c r="E126" s="46">
        <v>2.6380540000000012</v>
      </c>
      <c r="F126" s="98">
        <v>9.9999999999999995E-7</v>
      </c>
      <c r="G126" s="7"/>
      <c r="H126" s="7"/>
      <c r="I126" s="54">
        <f t="shared" si="65"/>
        <v>4.9312922410980113E-2</v>
      </c>
      <c r="J126" s="54">
        <f t="shared" si="66"/>
        <v>1.5475520078740368</v>
      </c>
      <c r="K126" s="55">
        <f t="shared" si="67"/>
        <v>0.88109963418919124</v>
      </c>
      <c r="L126" s="55">
        <f t="shared" si="68"/>
        <v>1.2441193447619814E-2</v>
      </c>
      <c r="M126" s="55">
        <f t="shared" si="51"/>
        <v>0.98755880655238015</v>
      </c>
      <c r="N126" s="55">
        <f t="shared" si="69"/>
        <v>4.8882647358828302E-3</v>
      </c>
      <c r="O126" s="56">
        <f t="shared" si="52"/>
        <v>8.8190890285454547E-7</v>
      </c>
      <c r="P126" s="56">
        <f t="shared" si="70"/>
        <v>3.1115424812497147E-5</v>
      </c>
      <c r="Q126" s="56">
        <f t="shared" si="71"/>
        <v>3.8324608477877613E-4</v>
      </c>
      <c r="R126" s="9">
        <f>F126*$C$14</f>
        <v>1.4999999999999999E-4</v>
      </c>
      <c r="S126" s="9">
        <f t="shared" si="72"/>
        <v>1.866179017142972E-6</v>
      </c>
      <c r="T126" s="9">
        <f t="shared" si="73"/>
        <v>1.3216494512837868E-4</v>
      </c>
      <c r="U126" s="9">
        <f t="shared" si="74"/>
        <v>1.48133820982857E-4</v>
      </c>
      <c r="V126" s="102">
        <f t="shared" si="75"/>
        <v>0.89219966278783591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278</v>
      </c>
      <c r="C127" s="46" t="s">
        <v>279</v>
      </c>
      <c r="D127" s="46">
        <v>9.5872000000000845E-2</v>
      </c>
      <c r="E127" s="46">
        <v>7.4959000000001108E-2</v>
      </c>
      <c r="F127" s="98">
        <v>9.9999999999999995E-7</v>
      </c>
      <c r="G127" s="7"/>
      <c r="H127" s="7"/>
      <c r="I127" s="54">
        <f t="shared" si="65"/>
        <v>5.4598878066109929E-5</v>
      </c>
      <c r="J127" s="54">
        <f t="shared" si="66"/>
        <v>1.2574607383316736E-2</v>
      </c>
      <c r="K127" s="55">
        <f t="shared" si="67"/>
        <v>0.99894508958543937</v>
      </c>
      <c r="L127" s="55">
        <f t="shared" si="68"/>
        <v>4.1152975149099952E-4</v>
      </c>
      <c r="M127" s="55">
        <f t="shared" si="51"/>
        <v>0.99958847024850905</v>
      </c>
      <c r="N127" s="55">
        <f t="shared" si="69"/>
        <v>1.515571094343548E-5</v>
      </c>
      <c r="O127" s="56">
        <f t="shared" si="52"/>
        <v>9.9986259644623263E-7</v>
      </c>
      <c r="P127" s="56">
        <f t="shared" si="70"/>
        <v>1.0292359084789898E-6</v>
      </c>
      <c r="Q127" s="56">
        <f t="shared" si="71"/>
        <v>1.1882267419916029E-6</v>
      </c>
      <c r="R127" s="9">
        <f>F127*$C$14</f>
        <v>1.4999999999999999E-4</v>
      </c>
      <c r="S127" s="9">
        <f t="shared" si="72"/>
        <v>6.1729462723649924E-8</v>
      </c>
      <c r="T127" s="9">
        <f t="shared" si="73"/>
        <v>1.498417634378159E-4</v>
      </c>
      <c r="U127" s="9">
        <f t="shared" si="74"/>
        <v>1.4993827053727635E-4</v>
      </c>
      <c r="V127" s="102">
        <f t="shared" si="75"/>
        <v>0.99935635445764026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280</v>
      </c>
      <c r="C128" s="46" t="s">
        <v>281</v>
      </c>
      <c r="D128" s="46"/>
      <c r="E128" s="46"/>
      <c r="F128" s="46"/>
      <c r="G128" s="7"/>
      <c r="H128" s="7"/>
      <c r="I128" s="54" t="str">
        <f t="shared" ref="I128:I134" si="76">IF(D128=0,"",LOG($K$15*10^D128+$K$16*10^E128+$K$14))</f>
        <v/>
      </c>
      <c r="J128" s="54" t="str">
        <f t="shared" ref="J128:J134" si="77">IF(D128=0,"",LOG($K$21*10^D128+$K$22*10^E128+$K$20))</f>
        <v/>
      </c>
      <c r="K128" s="55" t="str">
        <f t="shared" ref="K128:K134" si="78">IF(D128=0,"",1/(1+10^D128*$J$15/$J$14+10^E128*$J$16/$J$14+10^J128*$J$19/$J$14))</f>
        <v/>
      </c>
      <c r="L128" s="55" t="str">
        <f t="shared" ref="L128:L134" si="79">IF(D128=0,"",1/(1+10^I128/10^J128*$J$13/$J$19))</f>
        <v/>
      </c>
      <c r="M128" s="55" t="str">
        <f t="shared" ref="M128:M134" si="80">IF(D128=0,"",1-L128)</f>
        <v/>
      </c>
      <c r="N128" s="55" t="str">
        <f t="shared" ref="N128:N134" si="81">IF(D128=0,"",1/(1/10^E128*$J$20/$J$22+10^D128/10^E128*$J$21/$J$22+10^I128/10^E128*$J$13/$J$22+1))</f>
        <v/>
      </c>
      <c r="O128" s="56" t="str">
        <f t="shared" ref="O128:O134" si="82">IF(D128=0,"",F128*K128*$J$7/$J$14)</f>
        <v/>
      </c>
      <c r="P128" s="56" t="str">
        <f t="shared" ref="P128:P134" si="83">IF(D128=0,"",O128*10^J128)</f>
        <v/>
      </c>
      <c r="Q128" s="56" t="str">
        <f t="shared" ref="Q128:Q134" si="84">IF(D128=0,"",F128*N128*$J$7/$J$22)</f>
        <v/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282</v>
      </c>
      <c r="C129" s="46" t="s">
        <v>283</v>
      </c>
      <c r="D129" s="46"/>
      <c r="E129" s="46"/>
      <c r="F129" s="46"/>
      <c r="G129" s="7"/>
      <c r="H129" s="7"/>
      <c r="I129" s="54" t="str">
        <f t="shared" si="76"/>
        <v/>
      </c>
      <c r="J129" s="54" t="str">
        <f t="shared" si="77"/>
        <v/>
      </c>
      <c r="K129" s="55" t="str">
        <f t="shared" si="78"/>
        <v/>
      </c>
      <c r="L129" s="55" t="str">
        <f t="shared" si="79"/>
        <v/>
      </c>
      <c r="M129" s="55" t="str">
        <f t="shared" si="80"/>
        <v/>
      </c>
      <c r="N129" s="55" t="str">
        <f t="shared" si="81"/>
        <v/>
      </c>
      <c r="O129" s="56" t="str">
        <f t="shared" si="82"/>
        <v/>
      </c>
      <c r="P129" s="56" t="str">
        <f t="shared" si="83"/>
        <v/>
      </c>
      <c r="Q129" s="56" t="str">
        <f t="shared" si="84"/>
        <v/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284</v>
      </c>
      <c r="C130" s="46" t="s">
        <v>285</v>
      </c>
      <c r="D130" s="46">
        <v>1.0310160000000004</v>
      </c>
      <c r="E130" s="46">
        <v>0.78085199999999966</v>
      </c>
      <c r="F130" s="98">
        <v>9.9999999999999995E-7</v>
      </c>
      <c r="G130" s="7"/>
      <c r="H130" s="7"/>
      <c r="I130" s="54">
        <f t="shared" si="76"/>
        <v>2.1084810301724875E-3</v>
      </c>
      <c r="J130" s="54">
        <f t="shared" si="77"/>
        <v>0.3185068789023815</v>
      </c>
      <c r="K130" s="55">
        <f t="shared" si="78"/>
        <v>0.99381762559065756</v>
      </c>
      <c r="L130" s="55">
        <f t="shared" si="79"/>
        <v>8.2813013364420069E-4</v>
      </c>
      <c r="M130" s="55">
        <f t="shared" si="80"/>
        <v>0.99917186986635576</v>
      </c>
      <c r="N130" s="55">
        <f t="shared" si="81"/>
        <v>7.6600991669476481E-5</v>
      </c>
      <c r="O130" s="56">
        <f t="shared" si="82"/>
        <v>9.9473042300000774E-7</v>
      </c>
      <c r="P130" s="56">
        <f t="shared" si="83"/>
        <v>2.0711534642441466E-6</v>
      </c>
      <c r="Q130" s="56">
        <f t="shared" si="84"/>
        <v>6.0056137982871687E-6</v>
      </c>
      <c r="R130" s="9">
        <f>F130*$C$14</f>
        <v>1.4999999999999999E-4</v>
      </c>
      <c r="S130" s="9">
        <f t="shared" ref="S130:S131" si="85">$R130*L130</f>
        <v>1.2421952004663008E-7</v>
      </c>
      <c r="T130" s="9">
        <f t="shared" ref="T130:T131" si="86">R130*K130</f>
        <v>1.4907264383859863E-4</v>
      </c>
      <c r="U130" s="9">
        <f t="shared" ref="U130:U131" si="87">$R130*M130</f>
        <v>1.4987578047995334E-4</v>
      </c>
      <c r="V130" s="102">
        <f t="shared" ref="V130:V131" si="88">K130/M130</f>
        <v>0.9946413180382927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286</v>
      </c>
      <c r="C131" s="46" t="s">
        <v>287</v>
      </c>
      <c r="D131" s="46">
        <v>-0.1224400000000001</v>
      </c>
      <c r="E131" s="46">
        <v>-0.24365499999999995</v>
      </c>
      <c r="F131" s="98">
        <v>9.9999999999999995E-7</v>
      </c>
      <c r="G131" s="7"/>
      <c r="H131" s="7"/>
      <c r="I131" s="54">
        <f t="shared" si="76"/>
        <v>-5.830329626681688E-5</v>
      </c>
      <c r="J131" s="54">
        <f t="shared" si="77"/>
        <v>-1.6345714255076655E-2</v>
      </c>
      <c r="K131" s="55">
        <f t="shared" si="78"/>
        <v>0.99923120741144433</v>
      </c>
      <c r="L131" s="55">
        <f t="shared" si="79"/>
        <v>3.8512817273455061E-4</v>
      </c>
      <c r="M131" s="55">
        <f t="shared" si="80"/>
        <v>0.99961487182726549</v>
      </c>
      <c r="N131" s="55">
        <f t="shared" si="81"/>
        <v>7.2792508597301099E-6</v>
      </c>
      <c r="O131" s="56">
        <f t="shared" si="82"/>
        <v>1.0001489770645283E-6</v>
      </c>
      <c r="P131" s="56">
        <f t="shared" si="83"/>
        <v>9.632055600091111E-7</v>
      </c>
      <c r="Q131" s="56">
        <f t="shared" si="84"/>
        <v>5.707023949901255E-7</v>
      </c>
      <c r="R131" s="9">
        <f>F131*$C$14</f>
        <v>1.4999999999999999E-4</v>
      </c>
      <c r="S131" s="9">
        <f t="shared" si="85"/>
        <v>5.7769225910182584E-8</v>
      </c>
      <c r="T131" s="9">
        <f t="shared" si="86"/>
        <v>1.4988468111171665E-4</v>
      </c>
      <c r="U131" s="9">
        <f t="shared" si="87"/>
        <v>1.499422307740898E-4</v>
      </c>
      <c r="V131" s="102">
        <f t="shared" si="88"/>
        <v>0.99961618776727501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288</v>
      </c>
      <c r="C132" s="46" t="s">
        <v>289</v>
      </c>
      <c r="D132" s="46"/>
      <c r="E132" s="46"/>
      <c r="F132" s="46"/>
      <c r="G132" s="7"/>
      <c r="H132" s="7"/>
      <c r="I132" s="54" t="str">
        <f t="shared" si="76"/>
        <v/>
      </c>
      <c r="J132" s="54" t="str">
        <f t="shared" si="77"/>
        <v/>
      </c>
      <c r="K132" s="55" t="str">
        <f t="shared" si="78"/>
        <v/>
      </c>
      <c r="L132" s="55" t="str">
        <f t="shared" si="79"/>
        <v/>
      </c>
      <c r="M132" s="55" t="str">
        <f t="shared" si="80"/>
        <v/>
      </c>
      <c r="N132" s="55" t="str">
        <f t="shared" si="81"/>
        <v/>
      </c>
      <c r="O132" s="56" t="str">
        <f t="shared" si="82"/>
        <v/>
      </c>
      <c r="P132" s="56" t="str">
        <f t="shared" si="83"/>
        <v/>
      </c>
      <c r="Q132" s="56" t="str">
        <f t="shared" si="84"/>
        <v/>
      </c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290</v>
      </c>
      <c r="C133" s="46" t="s">
        <v>291</v>
      </c>
      <c r="D133" s="46"/>
      <c r="E133" s="46"/>
      <c r="F133" s="46"/>
      <c r="G133" s="7"/>
      <c r="H133" s="7"/>
      <c r="I133" s="54" t="str">
        <f t="shared" si="76"/>
        <v/>
      </c>
      <c r="J133" s="54" t="str">
        <f t="shared" si="77"/>
        <v/>
      </c>
      <c r="K133" s="55" t="str">
        <f t="shared" si="78"/>
        <v/>
      </c>
      <c r="L133" s="55" t="str">
        <f t="shared" si="79"/>
        <v/>
      </c>
      <c r="M133" s="55" t="str">
        <f t="shared" si="80"/>
        <v/>
      </c>
      <c r="N133" s="55" t="str">
        <f t="shared" si="81"/>
        <v/>
      </c>
      <c r="O133" s="56" t="str">
        <f t="shared" si="82"/>
        <v/>
      </c>
      <c r="P133" s="56" t="str">
        <f t="shared" si="83"/>
        <v/>
      </c>
      <c r="Q133" s="56" t="str">
        <f t="shared" si="84"/>
        <v/>
      </c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96</v>
      </c>
      <c r="C134" s="46" t="s">
        <v>292</v>
      </c>
      <c r="D134" s="46"/>
      <c r="E134" s="46"/>
      <c r="F134" s="46"/>
      <c r="G134" s="7"/>
      <c r="H134" s="7"/>
      <c r="I134" s="54" t="str">
        <f t="shared" si="76"/>
        <v/>
      </c>
      <c r="J134" s="54" t="str">
        <f t="shared" si="77"/>
        <v/>
      </c>
      <c r="K134" s="55" t="str">
        <f t="shared" si="78"/>
        <v/>
      </c>
      <c r="L134" s="55" t="str">
        <f t="shared" si="79"/>
        <v/>
      </c>
      <c r="M134" s="55" t="str">
        <f t="shared" si="80"/>
        <v/>
      </c>
      <c r="N134" s="55" t="str">
        <f t="shared" si="81"/>
        <v/>
      </c>
      <c r="O134" s="56" t="str">
        <f t="shared" si="82"/>
        <v/>
      </c>
      <c r="P134" s="56" t="str">
        <f t="shared" si="83"/>
        <v/>
      </c>
      <c r="Q134" s="56" t="str">
        <f t="shared" si="84"/>
        <v/>
      </c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8"/>
      <c r="C135" s="48"/>
      <c r="D135" s="48"/>
      <c r="E135" s="48"/>
      <c r="F135" s="48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8"/>
      <c r="C136" s="48"/>
      <c r="D136" s="48"/>
      <c r="E136" s="48"/>
      <c r="F136" s="48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8"/>
      <c r="C137" s="48"/>
      <c r="D137" s="48"/>
      <c r="E137" s="48"/>
      <c r="F137" s="48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8"/>
      <c r="C138" s="48"/>
      <c r="D138" s="48"/>
      <c r="E138" s="48"/>
      <c r="F138" s="48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8"/>
      <c r="C139" s="48"/>
      <c r="D139" s="48"/>
      <c r="E139" s="48"/>
      <c r="F139" s="48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8"/>
      <c r="C140" s="48"/>
      <c r="D140" s="48"/>
      <c r="E140" s="48"/>
      <c r="F140" s="48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8"/>
      <c r="C141" s="48"/>
      <c r="D141" s="48"/>
      <c r="E141" s="48"/>
      <c r="F141" s="48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8"/>
      <c r="C142" s="48"/>
      <c r="D142" s="48"/>
      <c r="E142" s="48"/>
      <c r="F142" s="48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8"/>
      <c r="C143" s="48"/>
      <c r="D143" s="48"/>
      <c r="E143" s="48"/>
      <c r="F143" s="48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E26:E27"/>
    <mergeCell ref="F26:F27"/>
    <mergeCell ref="L19:Q19"/>
    <mergeCell ref="L20:Q20"/>
    <mergeCell ref="L21:Q21"/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2024-10-28T20:58:20Z</dcterms:modified>
</cp:coreProperties>
</file>