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96well_1um\"/>
    </mc:Choice>
  </mc:AlternateContent>
  <xr:revisionPtr revIDLastSave="0" documentId="13_ncr:1_{FEB0A2E4-F84E-4D58-A48B-2A2691915C3C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5" i="4" l="1"/>
  <c r="L135" i="4" s="1"/>
  <c r="M135" i="4" s="1"/>
  <c r="J135" i="4"/>
  <c r="K135" i="4" s="1"/>
  <c r="I136" i="4"/>
  <c r="N136" i="4" s="1"/>
  <c r="Q136" i="4" s="1"/>
  <c r="J136" i="4"/>
  <c r="K136" i="4" s="1"/>
  <c r="O136" i="4" s="1"/>
  <c r="P136" i="4" s="1"/>
  <c r="I137" i="4"/>
  <c r="N137" i="4" s="1"/>
  <c r="Q137" i="4" s="1"/>
  <c r="J137" i="4"/>
  <c r="K137" i="4"/>
  <c r="O137" i="4" s="1"/>
  <c r="P137" i="4" s="1"/>
  <c r="L137" i="4"/>
  <c r="M137" i="4" s="1"/>
  <c r="V137" i="4" s="1"/>
  <c r="I138" i="4"/>
  <c r="J138" i="4"/>
  <c r="K138" i="4" s="1"/>
  <c r="O138" i="4" s="1"/>
  <c r="P138" i="4" s="1"/>
  <c r="L138" i="4"/>
  <c r="M138" i="4"/>
  <c r="N138" i="4"/>
  <c r="Q138" i="4" s="1"/>
  <c r="I139" i="4"/>
  <c r="L139" i="4" s="1"/>
  <c r="J139" i="4"/>
  <c r="K139" i="4" s="1"/>
  <c r="I140" i="4"/>
  <c r="N140" i="4" s="1"/>
  <c r="Q140" i="4" s="1"/>
  <c r="J140" i="4"/>
  <c r="K140" i="4"/>
  <c r="O140" i="4" s="1"/>
  <c r="P140" i="4" s="1"/>
  <c r="I141" i="4"/>
  <c r="N141" i="4" s="1"/>
  <c r="Q141" i="4" s="1"/>
  <c r="J141" i="4"/>
  <c r="K141" i="4"/>
  <c r="L141" i="4"/>
  <c r="M141" i="4" s="1"/>
  <c r="U141" i="4" s="1"/>
  <c r="I142" i="4"/>
  <c r="J142" i="4"/>
  <c r="K142" i="4" s="1"/>
  <c r="L142" i="4"/>
  <c r="M142" i="4"/>
  <c r="N142" i="4"/>
  <c r="Q142" i="4" s="1"/>
  <c r="I143" i="4"/>
  <c r="L143" i="4" s="1"/>
  <c r="M143" i="4" s="1"/>
  <c r="J143" i="4"/>
  <c r="K143" i="4" s="1"/>
  <c r="R143" i="4"/>
  <c r="R142" i="4"/>
  <c r="R141" i="4"/>
  <c r="R140" i="4"/>
  <c r="T140" i="4" s="1"/>
  <c r="R139" i="4"/>
  <c r="R138" i="4"/>
  <c r="R137" i="4"/>
  <c r="T137" i="4" s="1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V142" i="4" l="1"/>
  <c r="O142" i="4"/>
  <c r="P142" i="4" s="1"/>
  <c r="L140" i="4"/>
  <c r="M140" i="4" s="1"/>
  <c r="V140" i="4" s="1"/>
  <c r="L136" i="4"/>
  <c r="M136" i="4" s="1"/>
  <c r="V136" i="4" s="1"/>
  <c r="S141" i="4"/>
  <c r="S137" i="4"/>
  <c r="V141" i="4"/>
  <c r="T138" i="4"/>
  <c r="O141" i="4"/>
  <c r="P141" i="4" s="1"/>
  <c r="V138" i="4"/>
  <c r="U136" i="4"/>
  <c r="V143" i="4"/>
  <c r="O143" i="4"/>
  <c r="P143" i="4" s="1"/>
  <c r="T139" i="4"/>
  <c r="O139" i="4"/>
  <c r="P139" i="4" s="1"/>
  <c r="V135" i="4"/>
  <c r="O135" i="4"/>
  <c r="P135" i="4" s="1"/>
  <c r="M139" i="4"/>
  <c r="U139" i="4" s="1"/>
  <c r="S139" i="4"/>
  <c r="U140" i="4"/>
  <c r="U137" i="4"/>
  <c r="T141" i="4"/>
  <c r="U142" i="4"/>
  <c r="N143" i="4"/>
  <c r="Q143" i="4" s="1"/>
  <c r="N139" i="4"/>
  <c r="Q139" i="4" s="1"/>
  <c r="N135" i="4"/>
  <c r="Q135" i="4" s="1"/>
  <c r="U135" i="4"/>
  <c r="U143" i="4"/>
  <c r="S135" i="4"/>
  <c r="S142" i="4"/>
  <c r="T142" i="4"/>
  <c r="T135" i="4"/>
  <c r="S140" i="4"/>
  <c r="S143" i="4"/>
  <c r="S136" i="4"/>
  <c r="U138" i="4"/>
  <c r="T143" i="4"/>
  <c r="T136" i="4"/>
  <c r="S138" i="4"/>
  <c r="V139" i="4" l="1"/>
  <c r="I128" i="4"/>
  <c r="J128" i="4"/>
  <c r="K128" i="4"/>
  <c r="L128" i="4"/>
  <c r="S128" i="4" s="1"/>
  <c r="M128" i="4"/>
  <c r="U128" i="4" s="1"/>
  <c r="N128" i="4"/>
  <c r="Q128" i="4" s="1"/>
  <c r="I129" i="4"/>
  <c r="N129" i="4" s="1"/>
  <c r="Q129" i="4" s="1"/>
  <c r="J129" i="4"/>
  <c r="K129" i="4"/>
  <c r="I130" i="4"/>
  <c r="L130" i="4" s="1"/>
  <c r="J130" i="4"/>
  <c r="K130" i="4"/>
  <c r="N130" i="4"/>
  <c r="Q130" i="4" s="1"/>
  <c r="I131" i="4"/>
  <c r="N131" i="4" s="1"/>
  <c r="Q131" i="4" s="1"/>
  <c r="J131" i="4"/>
  <c r="L131" i="4" s="1"/>
  <c r="I132" i="4"/>
  <c r="J132" i="4"/>
  <c r="L132" i="4" s="1"/>
  <c r="K132" i="4"/>
  <c r="N132" i="4"/>
  <c r="O132" i="4"/>
  <c r="P132" i="4"/>
  <c r="Q132" i="4"/>
  <c r="I133" i="4"/>
  <c r="L133" i="4" s="1"/>
  <c r="J133" i="4"/>
  <c r="K133" i="4" s="1"/>
  <c r="I134" i="4"/>
  <c r="N134" i="4" s="1"/>
  <c r="Q134" i="4" s="1"/>
  <c r="J134" i="4"/>
  <c r="K134" i="4"/>
  <c r="L134" i="4"/>
  <c r="S134" i="4" s="1"/>
  <c r="M134" i="4"/>
  <c r="U134" i="4" s="1"/>
  <c r="S131" i="4" l="1"/>
  <c r="M131" i="4"/>
  <c r="U131" i="4" s="1"/>
  <c r="M133" i="4"/>
  <c r="U133" i="4" s="1"/>
  <c r="S133" i="4"/>
  <c r="K131" i="4"/>
  <c r="L129" i="4"/>
  <c r="M130" i="4"/>
  <c r="U130" i="4" s="1"/>
  <c r="S130" i="4"/>
  <c r="O130" i="4"/>
  <c r="P130" i="4" s="1"/>
  <c r="V130" i="4"/>
  <c r="T130" i="4"/>
  <c r="O128" i="4"/>
  <c r="P128" i="4" s="1"/>
  <c r="V128" i="4"/>
  <c r="T128" i="4"/>
  <c r="O134" i="4"/>
  <c r="P134" i="4" s="1"/>
  <c r="V134" i="4"/>
  <c r="T134" i="4"/>
  <c r="T129" i="4"/>
  <c r="M132" i="4"/>
  <c r="U132" i="4" s="1"/>
  <c r="S132" i="4"/>
  <c r="O129" i="4"/>
  <c r="P129" i="4" s="1"/>
  <c r="V132" i="4"/>
  <c r="T132" i="4"/>
  <c r="O133" i="4"/>
  <c r="P133" i="4" s="1"/>
  <c r="T133" i="4"/>
  <c r="N133" i="4"/>
  <c r="Q133" i="4" s="1"/>
  <c r="S129" i="4" l="1"/>
  <c r="M129" i="4"/>
  <c r="V131" i="4"/>
  <c r="T131" i="4"/>
  <c r="O131" i="4"/>
  <c r="P131" i="4" s="1"/>
  <c r="V133" i="4"/>
  <c r="O15" i="1"/>
  <c r="L15" i="1"/>
  <c r="N15" i="1"/>
  <c r="J16" i="4"/>
  <c r="J15" i="4"/>
  <c r="J87" i="4"/>
  <c r="K87" i="4" s="1"/>
  <c r="J122" i="4"/>
  <c r="K122" i="4"/>
  <c r="J117" i="4"/>
  <c r="K117" i="4" s="1"/>
  <c r="J120" i="4"/>
  <c r="K120" i="4" s="1"/>
  <c r="J101" i="4"/>
  <c r="K101" i="4"/>
  <c r="J86" i="4"/>
  <c r="K86" i="4" s="1"/>
  <c r="J85" i="4"/>
  <c r="K85" i="4" s="1"/>
  <c r="J88" i="4"/>
  <c r="K88" i="4" s="1"/>
  <c r="J119" i="4"/>
  <c r="K119" i="4" s="1"/>
  <c r="J72" i="4"/>
  <c r="K72" i="4" s="1"/>
  <c r="J103" i="4"/>
  <c r="K103" i="4" s="1"/>
  <c r="J118" i="4"/>
  <c r="K118" i="4"/>
  <c r="J104" i="4"/>
  <c r="K104" i="4"/>
  <c r="O104" i="4" s="1"/>
  <c r="P104" i="4" s="1"/>
  <c r="J90" i="4"/>
  <c r="K90" i="4" s="1"/>
  <c r="J71" i="4"/>
  <c r="K71" i="4"/>
  <c r="J110" i="4"/>
  <c r="K110" i="4" s="1"/>
  <c r="J82" i="4"/>
  <c r="K82" i="4" s="1"/>
  <c r="J113" i="4"/>
  <c r="K113" i="4" s="1"/>
  <c r="J97" i="4"/>
  <c r="K97" i="4" s="1"/>
  <c r="J81" i="4"/>
  <c r="K81" i="4" s="1"/>
  <c r="J116" i="4"/>
  <c r="K116" i="4"/>
  <c r="J100" i="4"/>
  <c r="K100" i="4" s="1"/>
  <c r="O100" i="4" s="1"/>
  <c r="P100" i="4" s="1"/>
  <c r="J84" i="4"/>
  <c r="K84" i="4" s="1"/>
  <c r="J114" i="4"/>
  <c r="K114" i="4"/>
  <c r="J78" i="4"/>
  <c r="K78" i="4" s="1"/>
  <c r="J115" i="4"/>
  <c r="K115" i="4" s="1"/>
  <c r="J99" i="4"/>
  <c r="K99" i="4" s="1"/>
  <c r="J83" i="4"/>
  <c r="K83" i="4" s="1"/>
  <c r="J102" i="4"/>
  <c r="K102" i="4"/>
  <c r="J74" i="4"/>
  <c r="K74" i="4" s="1"/>
  <c r="J125" i="4"/>
  <c r="K125" i="4"/>
  <c r="J109" i="4"/>
  <c r="K109" i="4" s="1"/>
  <c r="J93" i="4"/>
  <c r="K93" i="4" s="1"/>
  <c r="J77" i="4"/>
  <c r="K77" i="4" s="1"/>
  <c r="J112" i="4"/>
  <c r="L112" i="4" s="1"/>
  <c r="J96" i="4"/>
  <c r="K96" i="4"/>
  <c r="J80" i="4"/>
  <c r="K80" i="4" s="1"/>
  <c r="J106" i="4"/>
  <c r="K106" i="4" s="1"/>
  <c r="J127" i="4"/>
  <c r="K127" i="4"/>
  <c r="O127" i="4" s="1"/>
  <c r="P127" i="4" s="1"/>
  <c r="J111" i="4"/>
  <c r="L111" i="4" s="1"/>
  <c r="K111" i="4"/>
  <c r="J95" i="4"/>
  <c r="K95" i="4" s="1"/>
  <c r="J79" i="4"/>
  <c r="K79" i="4"/>
  <c r="J126" i="4"/>
  <c r="K126" i="4" s="1"/>
  <c r="J94" i="4"/>
  <c r="K94" i="4" s="1"/>
  <c r="J121" i="4"/>
  <c r="K121" i="4" s="1"/>
  <c r="J105" i="4"/>
  <c r="K105" i="4" s="1"/>
  <c r="J89" i="4"/>
  <c r="K89" i="4" s="1"/>
  <c r="J73" i="4"/>
  <c r="K73" i="4" s="1"/>
  <c r="J124" i="4"/>
  <c r="K124" i="4"/>
  <c r="J108" i="4"/>
  <c r="L108" i="4" s="1"/>
  <c r="S108" i="4" s="1"/>
  <c r="K108" i="4"/>
  <c r="J92" i="4"/>
  <c r="K92" i="4"/>
  <c r="J76" i="4"/>
  <c r="K76" i="4" s="1"/>
  <c r="J98" i="4"/>
  <c r="K98" i="4" s="1"/>
  <c r="J123" i="4"/>
  <c r="K123" i="4"/>
  <c r="O123" i="4" s="1"/>
  <c r="P123" i="4" s="1"/>
  <c r="J107" i="4"/>
  <c r="K107" i="4"/>
  <c r="O107" i="4" s="1"/>
  <c r="P107" i="4" s="1"/>
  <c r="J91" i="4"/>
  <c r="K91" i="4"/>
  <c r="J75" i="4"/>
  <c r="K75" i="4" s="1"/>
  <c r="O116" i="4"/>
  <c r="P116" i="4"/>
  <c r="O122" i="4"/>
  <c r="P122" i="4" s="1"/>
  <c r="I76" i="4"/>
  <c r="N76" i="4" s="1"/>
  <c r="Q76" i="4" s="1"/>
  <c r="I77" i="4"/>
  <c r="N77" i="4" s="1"/>
  <c r="Q77" i="4" s="1"/>
  <c r="I81" i="4"/>
  <c r="N81" i="4" s="1"/>
  <c r="Q81" i="4" s="1"/>
  <c r="I89" i="4"/>
  <c r="L89" i="4" s="1"/>
  <c r="S89" i="4" s="1"/>
  <c r="I90" i="4"/>
  <c r="I96" i="4"/>
  <c r="L96" i="4" s="1"/>
  <c r="S96" i="4" s="1"/>
  <c r="I99" i="4"/>
  <c r="N99" i="4" s="1"/>
  <c r="Q99" i="4" s="1"/>
  <c r="I102" i="4"/>
  <c r="N102" i="4" s="1"/>
  <c r="Q102" i="4" s="1"/>
  <c r="I104" i="4"/>
  <c r="I108" i="4"/>
  <c r="I111" i="4"/>
  <c r="I113" i="4"/>
  <c r="N113" i="4" s="1"/>
  <c r="Q113" i="4" s="1"/>
  <c r="I115" i="4"/>
  <c r="N115" i="4" s="1"/>
  <c r="Q115" i="4" s="1"/>
  <c r="I119" i="4"/>
  <c r="I120" i="4"/>
  <c r="L120" i="4" s="1"/>
  <c r="S120" i="4" s="1"/>
  <c r="I123" i="4"/>
  <c r="L123" i="4" s="1"/>
  <c r="I125" i="4"/>
  <c r="N125" i="4" s="1"/>
  <c r="Q125" i="4" s="1"/>
  <c r="I79" i="4"/>
  <c r="N79" i="4" s="1"/>
  <c r="Q79" i="4" s="1"/>
  <c r="I92" i="4"/>
  <c r="I100" i="4"/>
  <c r="L100" i="4" s="1"/>
  <c r="M100" i="4" s="1"/>
  <c r="I103" i="4"/>
  <c r="I107" i="4"/>
  <c r="I109" i="4"/>
  <c r="I110" i="4"/>
  <c r="I117" i="4"/>
  <c r="L117" i="4" s="1"/>
  <c r="I124" i="4"/>
  <c r="I72" i="4"/>
  <c r="N72" i="4" s="1"/>
  <c r="Q72" i="4" s="1"/>
  <c r="I106" i="4"/>
  <c r="N106" i="4" s="1"/>
  <c r="Q106" i="4" s="1"/>
  <c r="I71" i="4"/>
  <c r="N71" i="4" s="1"/>
  <c r="Q71" i="4" s="1"/>
  <c r="I75" i="4"/>
  <c r="N75" i="4" s="1"/>
  <c r="Q75" i="4" s="1"/>
  <c r="I80" i="4"/>
  <c r="N80" i="4" s="1"/>
  <c r="Q80" i="4" s="1"/>
  <c r="I83" i="4"/>
  <c r="L83" i="4" s="1"/>
  <c r="S83" i="4" s="1"/>
  <c r="I86" i="4"/>
  <c r="I88" i="4"/>
  <c r="N88" i="4" s="1"/>
  <c r="Q88" i="4" s="1"/>
  <c r="I94" i="4"/>
  <c r="I95" i="4"/>
  <c r="I98" i="4"/>
  <c r="I101" i="4"/>
  <c r="N101" i="4" s="1"/>
  <c r="Q101" i="4" s="1"/>
  <c r="I118" i="4"/>
  <c r="L118" i="4" s="1"/>
  <c r="I127" i="4"/>
  <c r="L127" i="4" s="1"/>
  <c r="S127" i="4" s="1"/>
  <c r="I73" i="4"/>
  <c r="N73" i="4" s="1"/>
  <c r="Q73" i="4" s="1"/>
  <c r="I74" i="4"/>
  <c r="I78" i="4"/>
  <c r="L78" i="4" s="1"/>
  <c r="S78" i="4" s="1"/>
  <c r="I82" i="4"/>
  <c r="I85" i="4"/>
  <c r="N85" i="4" s="1"/>
  <c r="Q85" i="4" s="1"/>
  <c r="I93" i="4"/>
  <c r="N93" i="4" s="1"/>
  <c r="Q93" i="4" s="1"/>
  <c r="I112" i="4"/>
  <c r="I114" i="4"/>
  <c r="N114" i="4" s="1"/>
  <c r="Q114" i="4" s="1"/>
  <c r="I121" i="4"/>
  <c r="N121" i="4" s="1"/>
  <c r="Q121" i="4" s="1"/>
  <c r="I122" i="4"/>
  <c r="I84" i="4"/>
  <c r="I87" i="4"/>
  <c r="L87" i="4" s="1"/>
  <c r="S87" i="4" s="1"/>
  <c r="I91" i="4"/>
  <c r="N91" i="4" s="1"/>
  <c r="Q91" i="4" s="1"/>
  <c r="I97" i="4"/>
  <c r="L97" i="4" s="1"/>
  <c r="I105" i="4"/>
  <c r="I116" i="4"/>
  <c r="N116" i="4" s="1"/>
  <c r="Q116" i="4" s="1"/>
  <c r="I126" i="4"/>
  <c r="N126" i="4" s="1"/>
  <c r="Q126" i="4" s="1"/>
  <c r="N124" i="4"/>
  <c r="Q124" i="4" s="1"/>
  <c r="N107" i="4"/>
  <c r="Q107" i="4" s="1"/>
  <c r="L107" i="4"/>
  <c r="N119" i="4"/>
  <c r="Q119" i="4" s="1"/>
  <c r="N108" i="4"/>
  <c r="Q108" i="4" s="1"/>
  <c r="N98" i="4"/>
  <c r="Q98" i="4"/>
  <c r="L98" i="4"/>
  <c r="N86" i="4"/>
  <c r="Q86" i="4" s="1"/>
  <c r="N117" i="4"/>
  <c r="Q117" i="4"/>
  <c r="N112" i="4"/>
  <c r="Q112" i="4"/>
  <c r="N95" i="4"/>
  <c r="Q95" i="4"/>
  <c r="L95" i="4"/>
  <c r="S95" i="4" s="1"/>
  <c r="N110" i="4"/>
  <c r="Q110" i="4" s="1"/>
  <c r="L113" i="4"/>
  <c r="L102" i="4"/>
  <c r="N122" i="4"/>
  <c r="Q122" i="4"/>
  <c r="L122" i="4"/>
  <c r="N94" i="4"/>
  <c r="Q94" i="4" s="1"/>
  <c r="N109" i="4"/>
  <c r="Q109" i="4"/>
  <c r="L92" i="4"/>
  <c r="S92" i="4" s="1"/>
  <c r="N92" i="4"/>
  <c r="Q92" i="4" s="1"/>
  <c r="N120" i="4"/>
  <c r="Q120" i="4" s="1"/>
  <c r="N111" i="4"/>
  <c r="Q111" i="4"/>
  <c r="L81" i="4"/>
  <c r="S81" i="4" s="1"/>
  <c r="T103" i="4" l="1"/>
  <c r="O103" i="4"/>
  <c r="P103" i="4" s="1"/>
  <c r="M117" i="4"/>
  <c r="U117" i="4" s="1"/>
  <c r="S117" i="4"/>
  <c r="T99" i="4"/>
  <c r="O99" i="4"/>
  <c r="P99" i="4" s="1"/>
  <c r="T82" i="4"/>
  <c r="T75" i="4"/>
  <c r="M111" i="4"/>
  <c r="U111" i="4" s="1"/>
  <c r="S111" i="4"/>
  <c r="T76" i="4"/>
  <c r="T119" i="4"/>
  <c r="T87" i="4"/>
  <c r="O108" i="4"/>
  <c r="P108" i="4" s="1"/>
  <c r="V108" i="4"/>
  <c r="T108" i="4"/>
  <c r="V111" i="4"/>
  <c r="T111" i="4"/>
  <c r="O124" i="4"/>
  <c r="P124" i="4" s="1"/>
  <c r="T124" i="4"/>
  <c r="L125" i="4"/>
  <c r="L82" i="4"/>
  <c r="S82" i="4" s="1"/>
  <c r="T92" i="4"/>
  <c r="T79" i="4"/>
  <c r="M112" i="4"/>
  <c r="U112" i="4" s="1"/>
  <c r="S112" i="4"/>
  <c r="T115" i="4"/>
  <c r="O113" i="4"/>
  <c r="P113" i="4" s="1"/>
  <c r="T113" i="4"/>
  <c r="N118" i="4"/>
  <c r="Q118" i="4" s="1"/>
  <c r="N83" i="4"/>
  <c r="Q83" i="4" s="1"/>
  <c r="L105" i="4"/>
  <c r="T77" i="4"/>
  <c r="V78" i="4"/>
  <c r="T78" i="4"/>
  <c r="T72" i="4"/>
  <c r="T93" i="4"/>
  <c r="O110" i="4"/>
  <c r="P110" i="4" s="1"/>
  <c r="T110" i="4"/>
  <c r="M123" i="4"/>
  <c r="U123" i="4" s="1"/>
  <c r="S123" i="4"/>
  <c r="T85" i="4"/>
  <c r="N127" i="4"/>
  <c r="Q127" i="4" s="1"/>
  <c r="T74" i="4"/>
  <c r="O101" i="4"/>
  <c r="P101" i="4" s="1"/>
  <c r="T101" i="4"/>
  <c r="L101" i="4"/>
  <c r="T123" i="4"/>
  <c r="O102" i="4"/>
  <c r="P102" i="4" s="1"/>
  <c r="T102" i="4"/>
  <c r="L114" i="4"/>
  <c r="S114" i="4" s="1"/>
  <c r="O105" i="4"/>
  <c r="P105" i="4" s="1"/>
  <c r="T105" i="4"/>
  <c r="T80" i="4"/>
  <c r="T116" i="4"/>
  <c r="V120" i="4"/>
  <c r="T120" i="4"/>
  <c r="M122" i="4"/>
  <c r="U122" i="4" s="1"/>
  <c r="S122" i="4"/>
  <c r="T114" i="4"/>
  <c r="O109" i="4"/>
  <c r="P109" i="4" s="1"/>
  <c r="T109" i="4"/>
  <c r="T125" i="4"/>
  <c r="M118" i="4"/>
  <c r="U118" i="4" s="1"/>
  <c r="S118" i="4"/>
  <c r="T127" i="4"/>
  <c r="O98" i="4"/>
  <c r="P98" i="4" s="1"/>
  <c r="V98" i="4"/>
  <c r="T98" i="4"/>
  <c r="T121" i="4"/>
  <c r="O96" i="4"/>
  <c r="P96" i="4" s="1"/>
  <c r="T96" i="4"/>
  <c r="V83" i="4"/>
  <c r="T83" i="4"/>
  <c r="O118" i="4"/>
  <c r="P118" i="4" s="1"/>
  <c r="V118" i="4"/>
  <c r="T118" i="4"/>
  <c r="O117" i="4"/>
  <c r="P117" i="4" s="1"/>
  <c r="V117" i="4"/>
  <c r="T117" i="4"/>
  <c r="T84" i="4"/>
  <c r="T86" i="4"/>
  <c r="L106" i="4"/>
  <c r="M113" i="4"/>
  <c r="U113" i="4" s="1"/>
  <c r="S113" i="4"/>
  <c r="T89" i="4"/>
  <c r="L91" i="4"/>
  <c r="S91" i="4" s="1"/>
  <c r="L110" i="4"/>
  <c r="O125" i="4"/>
  <c r="P125" i="4" s="1"/>
  <c r="T94" i="4"/>
  <c r="T81" i="4"/>
  <c r="T122" i="4"/>
  <c r="U129" i="4"/>
  <c r="V129" i="4"/>
  <c r="V95" i="4"/>
  <c r="T95" i="4"/>
  <c r="T91" i="4"/>
  <c r="T88" i="4"/>
  <c r="T71" i="4"/>
  <c r="N87" i="4"/>
  <c r="Q87" i="4" s="1"/>
  <c r="M98" i="4"/>
  <c r="U98" i="4" s="1"/>
  <c r="S98" i="4"/>
  <c r="L84" i="4"/>
  <c r="S84" i="4" s="1"/>
  <c r="M102" i="4"/>
  <c r="U102" i="4" s="1"/>
  <c r="S102" i="4"/>
  <c r="L124" i="4"/>
  <c r="S124" i="4" s="1"/>
  <c r="T73" i="4"/>
  <c r="T90" i="4"/>
  <c r="L109" i="4"/>
  <c r="O114" i="4"/>
  <c r="P114" i="4" s="1"/>
  <c r="O106" i="4"/>
  <c r="P106" i="4" s="1"/>
  <c r="T106" i="4"/>
  <c r="T104" i="4"/>
  <c r="N123" i="4"/>
  <c r="Q123" i="4" s="1"/>
  <c r="L86" i="4"/>
  <c r="S86" i="4" s="1"/>
  <c r="L103" i="4"/>
  <c r="L104" i="4"/>
  <c r="O111" i="4"/>
  <c r="P111" i="4" s="1"/>
  <c r="L76" i="4"/>
  <c r="S76" i="4" s="1"/>
  <c r="T126" i="4"/>
  <c r="K112" i="4"/>
  <c r="O78" i="4"/>
  <c r="P78" i="4" s="1"/>
  <c r="O74" i="4"/>
  <c r="P74" i="4" s="1"/>
  <c r="M127" i="4"/>
  <c r="U127" i="4" s="1"/>
  <c r="M124" i="4"/>
  <c r="U124" i="4" s="1"/>
  <c r="M120" i="4"/>
  <c r="U120" i="4" s="1"/>
  <c r="M108" i="4"/>
  <c r="U108" i="4" s="1"/>
  <c r="O121" i="4"/>
  <c r="P121" i="4" s="1"/>
  <c r="L126" i="4"/>
  <c r="S126" i="4" s="1"/>
  <c r="L74" i="4"/>
  <c r="S74" i="4" s="1"/>
  <c r="N103" i="4"/>
  <c r="Q103" i="4" s="1"/>
  <c r="L85" i="4"/>
  <c r="S85" i="4" s="1"/>
  <c r="N97" i="4"/>
  <c r="Q97" i="4" s="1"/>
  <c r="L80" i="4"/>
  <c r="S80" i="4" s="1"/>
  <c r="O126" i="4"/>
  <c r="P126" i="4" s="1"/>
  <c r="L119" i="4"/>
  <c r="S119" i="4" s="1"/>
  <c r="L116" i="4"/>
  <c r="S116" i="4" s="1"/>
  <c r="M107" i="4"/>
  <c r="N100" i="4"/>
  <c r="Q100" i="4" s="1"/>
  <c r="N104" i="4"/>
  <c r="Q104" i="4" s="1"/>
  <c r="L77" i="4"/>
  <c r="S77" i="4" s="1"/>
  <c r="N89" i="4"/>
  <c r="Q89" i="4" s="1"/>
  <c r="L72" i="4"/>
  <c r="S72" i="4" s="1"/>
  <c r="O71" i="4"/>
  <c r="P71" i="4" s="1"/>
  <c r="L94" i="4"/>
  <c r="S94" i="4" s="1"/>
  <c r="L71" i="4"/>
  <c r="S71" i="4" s="1"/>
  <c r="N96" i="4"/>
  <c r="Q96" i="4" s="1"/>
  <c r="N105" i="4"/>
  <c r="Q105" i="4" s="1"/>
  <c r="O91" i="4"/>
  <c r="P91" i="4" s="1"/>
  <c r="O119" i="4"/>
  <c r="P119" i="4" s="1"/>
  <c r="L99" i="4"/>
  <c r="L90" i="4"/>
  <c r="S90" i="4" s="1"/>
  <c r="N90" i="4"/>
  <c r="Q90" i="4" s="1"/>
  <c r="O115" i="4"/>
  <c r="P115" i="4" s="1"/>
  <c r="O120" i="4"/>
  <c r="P120" i="4" s="1"/>
  <c r="N78" i="4"/>
  <c r="Q78" i="4" s="1"/>
  <c r="O83" i="4"/>
  <c r="P83" i="4" s="1"/>
  <c r="O77" i="4"/>
  <c r="P77" i="4" s="1"/>
  <c r="O73" i="4"/>
  <c r="P73" i="4" s="1"/>
  <c r="O93" i="4"/>
  <c r="P93" i="4" s="1"/>
  <c r="O97" i="4"/>
  <c r="P97" i="4" s="1"/>
  <c r="N74" i="4"/>
  <c r="Q74" i="4" s="1"/>
  <c r="M90" i="4"/>
  <c r="U90" i="4" s="1"/>
  <c r="O94" i="4"/>
  <c r="P94" i="4" s="1"/>
  <c r="O80" i="4"/>
  <c r="P80" i="4" s="1"/>
  <c r="M87" i="4"/>
  <c r="U87" i="4" s="1"/>
  <c r="L121" i="4"/>
  <c r="S121" i="4" s="1"/>
  <c r="M84" i="4"/>
  <c r="U84" i="4" s="1"/>
  <c r="O82" i="4"/>
  <c r="P82" i="4" s="1"/>
  <c r="M81" i="4"/>
  <c r="U81" i="4" s="1"/>
  <c r="L115" i="4"/>
  <c r="S115" i="4" s="1"/>
  <c r="O79" i="4"/>
  <c r="P79" i="4" s="1"/>
  <c r="O72" i="4"/>
  <c r="P72" i="4" s="1"/>
  <c r="M95" i="4"/>
  <c r="U95" i="4" s="1"/>
  <c r="M97" i="4"/>
  <c r="L79" i="4"/>
  <c r="S79" i="4" s="1"/>
  <c r="L75" i="4"/>
  <c r="S75" i="4" s="1"/>
  <c r="O84" i="4"/>
  <c r="P84" i="4" s="1"/>
  <c r="M89" i="4"/>
  <c r="U89" i="4" s="1"/>
  <c r="O95" i="4"/>
  <c r="P95" i="4" s="1"/>
  <c r="O75" i="4"/>
  <c r="P75" i="4" s="1"/>
  <c r="O87" i="4"/>
  <c r="P87" i="4" s="1"/>
  <c r="O92" i="4"/>
  <c r="P92" i="4" s="1"/>
  <c r="O89" i="4"/>
  <c r="P89" i="4" s="1"/>
  <c r="O88" i="4"/>
  <c r="P88" i="4" s="1"/>
  <c r="M76" i="4"/>
  <c r="U76" i="4" s="1"/>
  <c r="M86" i="4"/>
  <c r="U86" i="4" s="1"/>
  <c r="O90" i="4"/>
  <c r="P90" i="4" s="1"/>
  <c r="O85" i="4"/>
  <c r="P85" i="4" s="1"/>
  <c r="M96" i="4"/>
  <c r="U96" i="4" s="1"/>
  <c r="M82" i="4"/>
  <c r="U82" i="4" s="1"/>
  <c r="M83" i="4"/>
  <c r="U83" i="4" s="1"/>
  <c r="O76" i="4"/>
  <c r="P76" i="4" s="1"/>
  <c r="O86" i="4"/>
  <c r="P86" i="4" s="1"/>
  <c r="M92" i="4"/>
  <c r="U92" i="4" s="1"/>
  <c r="L73" i="4"/>
  <c r="S73" i="4" s="1"/>
  <c r="M78" i="4"/>
  <c r="U78" i="4" s="1"/>
  <c r="O81" i="4"/>
  <c r="P81" i="4" s="1"/>
  <c r="L93" i="4"/>
  <c r="S93" i="4" s="1"/>
  <c r="L88" i="4"/>
  <c r="S88" i="4" s="1"/>
  <c r="N82" i="4"/>
  <c r="Q82" i="4" s="1"/>
  <c r="N84" i="4"/>
  <c r="Q84" i="4" s="1"/>
  <c r="J14" i="4"/>
  <c r="J13" i="4" s="1"/>
  <c r="K16" i="4" s="1"/>
  <c r="M114" i="4" l="1"/>
  <c r="V82" i="4"/>
  <c r="M106" i="4"/>
  <c r="S106" i="4"/>
  <c r="V123" i="4"/>
  <c r="V92" i="4"/>
  <c r="V87" i="4"/>
  <c r="M72" i="4"/>
  <c r="M109" i="4"/>
  <c r="S109" i="4"/>
  <c r="M101" i="4"/>
  <c r="S101" i="4"/>
  <c r="V81" i="4"/>
  <c r="V86" i="4"/>
  <c r="V96" i="4"/>
  <c r="M125" i="4"/>
  <c r="S125" i="4"/>
  <c r="O112" i="4"/>
  <c r="P112" i="4" s="1"/>
  <c r="V112" i="4"/>
  <c r="T112" i="4"/>
  <c r="M104" i="4"/>
  <c r="S104" i="4"/>
  <c r="V90" i="4"/>
  <c r="V113" i="4"/>
  <c r="V122" i="4"/>
  <c r="M91" i="4"/>
  <c r="M103" i="4"/>
  <c r="S103" i="4"/>
  <c r="V84" i="4"/>
  <c r="V124" i="4"/>
  <c r="V76" i="4"/>
  <c r="V89" i="4"/>
  <c r="V127" i="4"/>
  <c r="M99" i="4"/>
  <c r="S99" i="4"/>
  <c r="M94" i="4"/>
  <c r="M74" i="4"/>
  <c r="V102" i="4"/>
  <c r="M105" i="4"/>
  <c r="S105" i="4"/>
  <c r="M110" i="4"/>
  <c r="S110" i="4"/>
  <c r="M77" i="4"/>
  <c r="M126" i="4"/>
  <c r="M115" i="4"/>
  <c r="M116" i="4"/>
  <c r="M85" i="4"/>
  <c r="M80" i="4"/>
  <c r="M71" i="4"/>
  <c r="M121" i="4"/>
  <c r="M119" i="4"/>
  <c r="M93" i="4"/>
  <c r="M79" i="4"/>
  <c r="M73" i="4"/>
  <c r="M88" i="4"/>
  <c r="M75" i="4"/>
  <c r="K14" i="4"/>
  <c r="K13" i="4"/>
  <c r="K15" i="4"/>
  <c r="U99" i="4" l="1"/>
  <c r="V99" i="4"/>
  <c r="U109" i="4"/>
  <c r="V109" i="4"/>
  <c r="U72" i="4"/>
  <c r="V72" i="4"/>
  <c r="U88" i="4"/>
  <c r="V88" i="4"/>
  <c r="U77" i="4"/>
  <c r="V77" i="4"/>
  <c r="U73" i="4"/>
  <c r="V73" i="4"/>
  <c r="U80" i="4"/>
  <c r="V80" i="4"/>
  <c r="U94" i="4"/>
  <c r="V94" i="4"/>
  <c r="U104" i="4"/>
  <c r="V104" i="4"/>
  <c r="U126" i="4"/>
  <c r="V126" i="4"/>
  <c r="U93" i="4"/>
  <c r="V93" i="4"/>
  <c r="U85" i="4"/>
  <c r="V85" i="4"/>
  <c r="U110" i="4"/>
  <c r="V110" i="4"/>
  <c r="U103" i="4"/>
  <c r="V103" i="4"/>
  <c r="U106" i="4"/>
  <c r="V106" i="4"/>
  <c r="U101" i="4"/>
  <c r="V101" i="4"/>
  <c r="U115" i="4"/>
  <c r="V115" i="4"/>
  <c r="U125" i="4"/>
  <c r="V125" i="4"/>
  <c r="U121" i="4"/>
  <c r="V121" i="4"/>
  <c r="U91" i="4"/>
  <c r="V91" i="4"/>
  <c r="U116" i="4"/>
  <c r="V116" i="4"/>
  <c r="U75" i="4"/>
  <c r="V75" i="4"/>
  <c r="U79" i="4"/>
  <c r="V79" i="4"/>
  <c r="U119" i="4"/>
  <c r="V119" i="4"/>
  <c r="U105" i="4"/>
  <c r="V105" i="4"/>
  <c r="U71" i="4"/>
  <c r="V71" i="4"/>
  <c r="U74" i="4"/>
  <c r="V74" i="4"/>
  <c r="U114" i="4"/>
  <c r="V114" i="4"/>
  <c r="I63" i="4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J58" i="4"/>
  <c r="K58" i="4" s="1"/>
  <c r="J55" i="4"/>
  <c r="K55" i="4" s="1"/>
  <c r="J61" i="4"/>
  <c r="K61" i="4" s="1"/>
  <c r="J57" i="4"/>
  <c r="K57" i="4" s="1"/>
  <c r="J59" i="4"/>
  <c r="K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T57" i="4" l="1"/>
  <c r="T61" i="4"/>
  <c r="O59" i="4"/>
  <c r="P59" i="4" s="1"/>
  <c r="T59" i="4"/>
  <c r="O55" i="4"/>
  <c r="P55" i="4" s="1"/>
  <c r="T55" i="4"/>
  <c r="T63" i="4"/>
  <c r="T58" i="4"/>
  <c r="O56" i="4"/>
  <c r="P56" i="4" s="1"/>
  <c r="T56" i="4"/>
  <c r="T60" i="4"/>
  <c r="T62" i="4"/>
  <c r="O62" i="4"/>
  <c r="P62" i="4" s="1"/>
  <c r="O60" i="4"/>
  <c r="P60" i="4" s="1"/>
  <c r="O61" i="4"/>
  <c r="P61" i="4" s="1"/>
  <c r="O57" i="4"/>
  <c r="P57" i="4" s="1"/>
  <c r="O58" i="4"/>
  <c r="P58" i="4" s="1"/>
  <c r="L66" i="4"/>
  <c r="S66" i="4" s="1"/>
  <c r="K66" i="4"/>
  <c r="K70" i="4"/>
  <c r="L70" i="4"/>
  <c r="S70" i="4" s="1"/>
  <c r="K64" i="4"/>
  <c r="L64" i="4"/>
  <c r="S64" i="4" s="1"/>
  <c r="O63" i="4"/>
  <c r="P63" i="4" s="1"/>
  <c r="L63" i="4"/>
  <c r="S63" i="4" s="1"/>
  <c r="K68" i="4"/>
  <c r="L68" i="4"/>
  <c r="S68" i="4" s="1"/>
  <c r="L67" i="4"/>
  <c r="S67" i="4" s="1"/>
  <c r="K67" i="4"/>
  <c r="L65" i="4"/>
  <c r="S65" i="4" s="1"/>
  <c r="K65" i="4"/>
  <c r="K69" i="4"/>
  <c r="L69" i="4"/>
  <c r="S69" i="4" s="1"/>
  <c r="N62" i="4"/>
  <c r="Q62" i="4" s="1"/>
  <c r="L62" i="4"/>
  <c r="S62" i="4" s="1"/>
  <c r="N55" i="4"/>
  <c r="Q55" i="4" s="1"/>
  <c r="L55" i="4"/>
  <c r="L56" i="4"/>
  <c r="N56" i="4"/>
  <c r="Q56" i="4" s="1"/>
  <c r="N59" i="4"/>
  <c r="Q59" i="4" s="1"/>
  <c r="L59" i="4"/>
  <c r="N57" i="4"/>
  <c r="Q57" i="4" s="1"/>
  <c r="L57" i="4"/>
  <c r="S57" i="4" s="1"/>
  <c r="L58" i="4"/>
  <c r="S58" i="4" s="1"/>
  <c r="N58" i="4"/>
  <c r="Q58" i="4" s="1"/>
  <c r="N61" i="4"/>
  <c r="Q61" i="4" s="1"/>
  <c r="L61" i="4"/>
  <c r="S61" i="4" s="1"/>
  <c r="L60" i="4"/>
  <c r="S60" i="4" s="1"/>
  <c r="N60" i="4"/>
  <c r="Q60" i="4" s="1"/>
  <c r="M56" i="4" l="1"/>
  <c r="S56" i="4"/>
  <c r="V64" i="4"/>
  <c r="T64" i="4"/>
  <c r="T70" i="4"/>
  <c r="V68" i="4"/>
  <c r="T68" i="4"/>
  <c r="V65" i="4"/>
  <c r="T65" i="4"/>
  <c r="V66" i="4"/>
  <c r="T66" i="4"/>
  <c r="T69" i="4"/>
  <c r="M55" i="4"/>
  <c r="S55" i="4"/>
  <c r="M59" i="4"/>
  <c r="S59" i="4"/>
  <c r="T67" i="4"/>
  <c r="M61" i="4"/>
  <c r="M62" i="4"/>
  <c r="M70" i="4"/>
  <c r="U70" i="4" s="1"/>
  <c r="M60" i="4"/>
  <c r="M63" i="4"/>
  <c r="M64" i="4"/>
  <c r="U64" i="4" s="1"/>
  <c r="O65" i="4"/>
  <c r="P65" i="4" s="1"/>
  <c r="M69" i="4"/>
  <c r="U69" i="4" s="1"/>
  <c r="M65" i="4"/>
  <c r="U65" i="4" s="1"/>
  <c r="M68" i="4"/>
  <c r="U68" i="4" s="1"/>
  <c r="M66" i="4"/>
  <c r="U66" i="4" s="1"/>
  <c r="M67" i="4"/>
  <c r="U67" i="4" s="1"/>
  <c r="O68" i="4"/>
  <c r="P68" i="4" s="1"/>
  <c r="O64" i="4"/>
  <c r="P64" i="4" s="1"/>
  <c r="M58" i="4"/>
  <c r="M57" i="4"/>
  <c r="O69" i="4"/>
  <c r="P69" i="4" s="1"/>
  <c r="O66" i="4"/>
  <c r="P66" i="4" s="1"/>
  <c r="O67" i="4"/>
  <c r="P67" i="4" s="1"/>
  <c r="O70" i="4"/>
  <c r="P70" i="4" s="1"/>
  <c r="U57" i="4" l="1"/>
  <c r="V57" i="4"/>
  <c r="U62" i="4"/>
  <c r="V62" i="4"/>
  <c r="V67" i="4"/>
  <c r="U61" i="4"/>
  <c r="V61" i="4"/>
  <c r="U58" i="4"/>
  <c r="V58" i="4"/>
  <c r="U60" i="4"/>
  <c r="V60" i="4"/>
  <c r="V70" i="4"/>
  <c r="U59" i="4"/>
  <c r="V59" i="4"/>
  <c r="U55" i="4"/>
  <c r="V55" i="4"/>
  <c r="U63" i="4"/>
  <c r="V63" i="4"/>
  <c r="V69" i="4"/>
  <c r="U56" i="4"/>
  <c r="V56" i="4"/>
  <c r="J21" i="4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J39" i="4" s="1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45" i="4" l="1"/>
  <c r="J30" i="4"/>
  <c r="K30" i="4" s="1"/>
  <c r="J43" i="4"/>
  <c r="K43" i="4" s="1"/>
  <c r="J31" i="4"/>
  <c r="K31" i="4" s="1"/>
  <c r="J44" i="4"/>
  <c r="L44" i="4" s="1"/>
  <c r="S44" i="4" s="1"/>
  <c r="J36" i="4"/>
  <c r="L36" i="4" s="1"/>
  <c r="S36" i="4" s="1"/>
  <c r="J46" i="4"/>
  <c r="K46" i="4" s="1"/>
  <c r="J35" i="4"/>
  <c r="L35" i="4" s="1"/>
  <c r="S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S34" i="4" s="1"/>
  <c r="J41" i="4"/>
  <c r="K41" i="4" s="1"/>
  <c r="J42" i="4"/>
  <c r="L42" i="4" s="1"/>
  <c r="S42" i="4" s="1"/>
  <c r="J32" i="4"/>
  <c r="L32" i="4" s="1"/>
  <c r="S32" i="4" s="1"/>
  <c r="J37" i="4"/>
  <c r="L37" i="4" s="1"/>
  <c r="S37" i="4" s="1"/>
  <c r="J40" i="4"/>
  <c r="L40" i="4" s="1"/>
  <c r="S40" i="4" s="1"/>
  <c r="J38" i="4"/>
  <c r="L38" i="4" s="1"/>
  <c r="S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L45" i="4"/>
  <c r="S45" i="4" s="1"/>
  <c r="K45" i="4"/>
  <c r="L47" i="4"/>
  <c r="S47" i="4" s="1"/>
  <c r="K52" i="4"/>
  <c r="L52" i="4"/>
  <c r="L54" i="4"/>
  <c r="K54" i="4"/>
  <c r="L51" i="4"/>
  <c r="K51" i="4"/>
  <c r="L53" i="4"/>
  <c r="K53" i="4"/>
  <c r="L48" i="4"/>
  <c r="S48" i="4" s="1"/>
  <c r="K48" i="4"/>
  <c r="L39" i="4"/>
  <c r="S39" i="4" s="1"/>
  <c r="K39" i="4"/>
  <c r="L50" i="4"/>
  <c r="K50" i="4"/>
  <c r="L49" i="4"/>
  <c r="S49" i="4" s="1"/>
  <c r="K49" i="4"/>
  <c r="L30" i="4"/>
  <c r="S30" i="4" s="1"/>
  <c r="M52" i="4" l="1"/>
  <c r="U52" i="4" s="1"/>
  <c r="S52" i="4"/>
  <c r="O52" i="4"/>
  <c r="P52" i="4" s="1"/>
  <c r="V52" i="4"/>
  <c r="T52" i="4"/>
  <c r="T45" i="4"/>
  <c r="V48" i="4"/>
  <c r="T48" i="4"/>
  <c r="T46" i="4"/>
  <c r="O53" i="4"/>
  <c r="P53" i="4" s="1"/>
  <c r="T53" i="4"/>
  <c r="M53" i="4"/>
  <c r="U53" i="4" s="1"/>
  <c r="S53" i="4"/>
  <c r="O50" i="4"/>
  <c r="P50" i="4" s="1"/>
  <c r="T50" i="4"/>
  <c r="V39" i="4"/>
  <c r="T39" i="4"/>
  <c r="T33" i="4"/>
  <c r="T31" i="4"/>
  <c r="O51" i="4"/>
  <c r="P51" i="4" s="1"/>
  <c r="T51" i="4"/>
  <c r="T43" i="4"/>
  <c r="M50" i="4"/>
  <c r="U50" i="4" s="1"/>
  <c r="S50" i="4"/>
  <c r="V47" i="4"/>
  <c r="T47" i="4"/>
  <c r="M51" i="4"/>
  <c r="U51" i="4" s="1"/>
  <c r="S51" i="4"/>
  <c r="O54" i="4"/>
  <c r="P54" i="4" s="1"/>
  <c r="T54" i="4"/>
  <c r="T41" i="4"/>
  <c r="T30" i="4"/>
  <c r="T28" i="4"/>
  <c r="V49" i="4"/>
  <c r="T49" i="4"/>
  <c r="M54" i="4"/>
  <c r="U54" i="4" s="1"/>
  <c r="S54" i="4"/>
  <c r="O48" i="4"/>
  <c r="P48" i="4" s="1"/>
  <c r="M48" i="4"/>
  <c r="U48" i="4" s="1"/>
  <c r="O49" i="4"/>
  <c r="P49" i="4" s="1"/>
  <c r="M49" i="4"/>
  <c r="U49" i="4" s="1"/>
  <c r="O46" i="4"/>
  <c r="P46" i="4" s="1"/>
  <c r="K44" i="4"/>
  <c r="M45" i="4"/>
  <c r="U45" i="4" s="1"/>
  <c r="O33" i="4"/>
  <c r="P33" i="4" s="1"/>
  <c r="M35" i="4"/>
  <c r="U35" i="4" s="1"/>
  <c r="M44" i="4"/>
  <c r="U44" i="4" s="1"/>
  <c r="O39" i="4"/>
  <c r="P39" i="4" s="1"/>
  <c r="M39" i="4"/>
  <c r="U39" i="4" s="1"/>
  <c r="M47" i="4"/>
  <c r="U47" i="4" s="1"/>
  <c r="O45" i="4"/>
  <c r="P45" i="4" s="1"/>
  <c r="O47" i="4"/>
  <c r="P47" i="4" s="1"/>
  <c r="O31" i="4"/>
  <c r="P31" i="4" s="1"/>
  <c r="L43" i="4"/>
  <c r="S43" i="4" s="1"/>
  <c r="O41" i="4"/>
  <c r="P41" i="4" s="1"/>
  <c r="O30" i="4"/>
  <c r="P30" i="4" s="1"/>
  <c r="O28" i="4"/>
  <c r="P28" i="4" s="1"/>
  <c r="O43" i="4"/>
  <c r="P43" i="4" s="1"/>
  <c r="L31" i="4"/>
  <c r="S31" i="4" s="1"/>
  <c r="K35" i="4"/>
  <c r="K36" i="4"/>
  <c r="L46" i="4"/>
  <c r="S46" i="4" s="1"/>
  <c r="K37" i="4"/>
  <c r="L41" i="4"/>
  <c r="S41" i="4" s="1"/>
  <c r="K42" i="4"/>
  <c r="K34" i="4"/>
  <c r="L33" i="4"/>
  <c r="S33" i="4" s="1"/>
  <c r="K38" i="4"/>
  <c r="K29" i="4"/>
  <c r="M32" i="4"/>
  <c r="U32" i="4" s="1"/>
  <c r="M40" i="4"/>
  <c r="U40" i="4" s="1"/>
  <c r="M34" i="4"/>
  <c r="U34" i="4" s="1"/>
  <c r="M29" i="4"/>
  <c r="U29" i="4" s="1"/>
  <c r="M37" i="4"/>
  <c r="U37" i="4" s="1"/>
  <c r="M42" i="4"/>
  <c r="U42" i="4" s="1"/>
  <c r="M38" i="4"/>
  <c r="U38" i="4" s="1"/>
  <c r="M30" i="4"/>
  <c r="U30" i="4" s="1"/>
  <c r="M36" i="4"/>
  <c r="U36" i="4" s="1"/>
  <c r="K40" i="4"/>
  <c r="K32" i="4"/>
  <c r="L28" i="4"/>
  <c r="S28" i="4" s="1"/>
  <c r="V38" i="4" l="1"/>
  <c r="T38" i="4"/>
  <c r="V40" i="4"/>
  <c r="T40" i="4"/>
  <c r="V44" i="4"/>
  <c r="T44" i="4"/>
  <c r="V34" i="4"/>
  <c r="T34" i="4"/>
  <c r="V30" i="4"/>
  <c r="V50" i="4"/>
  <c r="V45" i="4"/>
  <c r="V35" i="4"/>
  <c r="T35" i="4"/>
  <c r="V32" i="4"/>
  <c r="T32" i="4"/>
  <c r="V42" i="4"/>
  <c r="T42" i="4"/>
  <c r="V51" i="4"/>
  <c r="V29" i="4"/>
  <c r="T29" i="4"/>
  <c r="V37" i="4"/>
  <c r="T37" i="4"/>
  <c r="V54" i="4"/>
  <c r="V36" i="4"/>
  <c r="T36" i="4"/>
  <c r="V53" i="4"/>
  <c r="M31" i="4"/>
  <c r="M41" i="4"/>
  <c r="O37" i="4"/>
  <c r="P37" i="4" s="1"/>
  <c r="M46" i="4"/>
  <c r="O36" i="4"/>
  <c r="P36" i="4" s="1"/>
  <c r="O35" i="4"/>
  <c r="P35" i="4" s="1"/>
  <c r="O29" i="4"/>
  <c r="P29" i="4" s="1"/>
  <c r="O38" i="4"/>
  <c r="P38" i="4" s="1"/>
  <c r="O40" i="4"/>
  <c r="P40" i="4" s="1"/>
  <c r="O34" i="4"/>
  <c r="P34" i="4" s="1"/>
  <c r="M43" i="4"/>
  <c r="O32" i="4"/>
  <c r="P32" i="4" s="1"/>
  <c r="O44" i="4"/>
  <c r="P44" i="4" s="1"/>
  <c r="M33" i="4"/>
  <c r="O42" i="4"/>
  <c r="P42" i="4" s="1"/>
  <c r="M28" i="4"/>
  <c r="U41" i="4" l="1"/>
  <c r="V41" i="4"/>
  <c r="U28" i="4"/>
  <c r="V28" i="4"/>
  <c r="U31" i="4"/>
  <c r="V31" i="4"/>
  <c r="U33" i="4"/>
  <c r="V33" i="4"/>
  <c r="U46" i="4"/>
  <c r="V46" i="4"/>
  <c r="U43" i="4"/>
  <c r="V4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<sst xmlns="http://schemas.openxmlformats.org/spreadsheetml/2006/main" count="340" uniqueCount="313">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</sst>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X9" sqref="X9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79</v>
      </c>
      <c r="K17" s="31" t="s">
        <v>79</v>
      </c>
      <c r="L17" s="80">
        <v>2.6205E-3</v>
      </c>
      <c r="M17" s="80">
        <v>2.8380000000000001E-4</v>
      </c>
      <c r="N17" s="80">
        <v>9.5699999999999995E-5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21" zoomScale="55" zoomScaleNormal="55" workbookViewId="0">
      <selection activeCell="B28" sqref="B28:F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68"/>
      <c r="H1" s="16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68"/>
      <c r="H2" s="168"/>
      <c r="I2" s="113" t="s">
        <v>19</v>
      </c>
      <c r="J2" s="114"/>
      <c r="K2" s="114"/>
      <c r="L2" s="114"/>
      <c r="M2" s="114"/>
      <c r="N2" s="114"/>
      <c r="O2" s="114"/>
      <c r="P2" s="114"/>
      <c r="Q2" s="1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68"/>
      <c r="H3" s="168"/>
      <c r="I3" s="116"/>
      <c r="J3" s="117"/>
      <c r="K3" s="117"/>
      <c r="L3" s="117"/>
      <c r="M3" s="117"/>
      <c r="N3" s="117"/>
      <c r="O3" s="117"/>
      <c r="P3" s="117"/>
      <c r="Q3" s="11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68"/>
      <c r="H4" s="168"/>
      <c r="I4" s="119"/>
      <c r="J4" s="120"/>
      <c r="K4" s="120"/>
      <c r="L4" s="120"/>
      <c r="M4" s="120"/>
      <c r="N4" s="120"/>
      <c r="O4" s="120"/>
      <c r="P4" s="120"/>
      <c r="Q4" s="12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68"/>
      <c r="H5" s="168"/>
      <c r="I5" s="122" t="s">
        <v>38</v>
      </c>
      <c r="J5" s="123"/>
      <c r="K5" s="123"/>
      <c r="L5" s="123"/>
      <c r="M5" s="123"/>
      <c r="N5" s="123"/>
      <c r="O5" s="123"/>
      <c r="P5" s="123"/>
      <c r="Q5" s="12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68"/>
      <c r="H6" s="168"/>
      <c r="I6" s="49" t="s">
        <v>49</v>
      </c>
      <c r="J6" s="49" t="s">
        <v>50</v>
      </c>
      <c r="K6" s="49" t="s">
        <v>46</v>
      </c>
      <c r="L6" s="165" t="s">
        <v>39</v>
      </c>
      <c r="M6" s="166"/>
      <c r="N6" s="166"/>
      <c r="O6" s="166"/>
      <c r="P6" s="166"/>
      <c r="Q6" s="16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68"/>
      <c r="H7" s="168"/>
      <c r="I7" s="50" t="s">
        <v>20</v>
      </c>
      <c r="J7" s="37">
        <f>SUM(J13,J19)</f>
        <v>150.06</v>
      </c>
      <c r="K7" s="38">
        <f>J7/J7</f>
        <v>1</v>
      </c>
      <c r="L7" s="159" t="s">
        <v>68</v>
      </c>
      <c r="M7" s="160"/>
      <c r="N7" s="160"/>
      <c r="O7" s="160"/>
      <c r="P7" s="160"/>
      <c r="Q7" s="161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0" t="s">
        <v>3</v>
      </c>
      <c r="C8" s="141"/>
      <c r="D8" s="141"/>
      <c r="E8" s="141"/>
      <c r="F8" s="142"/>
      <c r="G8" s="168"/>
      <c r="H8" s="168"/>
      <c r="I8" s="51" t="s">
        <v>6</v>
      </c>
      <c r="J8" s="37">
        <f>SUM(J14,J20)</f>
        <v>149.97471000000002</v>
      </c>
      <c r="K8" s="39">
        <f>J8/J7</f>
        <v>0.99943162734906044</v>
      </c>
      <c r="L8" s="159" t="s">
        <v>69</v>
      </c>
      <c r="M8" s="160"/>
      <c r="N8" s="160"/>
      <c r="O8" s="160"/>
      <c r="P8" s="160"/>
      <c r="Q8" s="161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3"/>
      <c r="C9" s="144"/>
      <c r="D9" s="144"/>
      <c r="E9" s="144"/>
      <c r="F9" s="145"/>
      <c r="G9" s="168"/>
      <c r="H9" s="168"/>
      <c r="I9" s="50" t="s">
        <v>8</v>
      </c>
      <c r="J9" s="40">
        <f t="shared" ref="J9:J10" si="0">SUM(J15,J21)</f>
        <v>7.7675999999999995E-2</v>
      </c>
      <c r="K9" s="39">
        <f>J9/J7</f>
        <v>5.1763294682127142E-4</v>
      </c>
      <c r="L9" s="159" t="s">
        <v>69</v>
      </c>
      <c r="M9" s="160"/>
      <c r="N9" s="160"/>
      <c r="O9" s="160"/>
      <c r="P9" s="160"/>
      <c r="Q9" s="161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6"/>
      <c r="C10" s="147"/>
      <c r="D10" s="147"/>
      <c r="E10" s="147"/>
      <c r="F10" s="148"/>
      <c r="G10" s="168"/>
      <c r="H10" s="168"/>
      <c r="I10" s="51" t="s">
        <v>9</v>
      </c>
      <c r="J10" s="40">
        <f t="shared" si="0"/>
        <v>7.6139999999999992E-3</v>
      </c>
      <c r="K10" s="39">
        <f>J10/J7</f>
        <v>5.073970411835265E-5</v>
      </c>
      <c r="L10" s="159" t="s">
        <v>69</v>
      </c>
      <c r="M10" s="160"/>
      <c r="N10" s="160"/>
      <c r="O10" s="160"/>
      <c r="P10" s="160"/>
      <c r="Q10" s="161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9" t="s">
        <v>36</v>
      </c>
      <c r="C11" s="150"/>
      <c r="D11" s="150"/>
      <c r="E11" s="150"/>
      <c r="F11" s="151"/>
      <c r="G11" s="168"/>
      <c r="H11" s="168"/>
      <c r="I11" s="184"/>
      <c r="J11" s="184"/>
      <c r="K11" s="184"/>
      <c r="L11" s="184"/>
      <c r="M11" s="184"/>
      <c r="N11" s="184"/>
      <c r="O11" s="184"/>
      <c r="P11" s="184"/>
      <c r="Q11" s="18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2"/>
      <c r="C12" s="153"/>
      <c r="D12" s="153"/>
      <c r="E12" s="153"/>
      <c r="F12" s="154"/>
      <c r="G12" s="168"/>
      <c r="H12" s="168"/>
      <c r="I12" s="49" t="s">
        <v>51</v>
      </c>
      <c r="J12" s="49" t="s">
        <v>50</v>
      </c>
      <c r="K12" s="49" t="s">
        <v>46</v>
      </c>
      <c r="L12" s="165" t="s">
        <v>39</v>
      </c>
      <c r="M12" s="166"/>
      <c r="N12" s="166"/>
      <c r="O12" s="166"/>
      <c r="P12" s="166"/>
      <c r="Q12" s="16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28" t="s">
        <v>39</v>
      </c>
      <c r="E13" s="128"/>
      <c r="F13" s="128"/>
      <c r="G13" s="168"/>
      <c r="H13" s="168"/>
      <c r="I13" s="50" t="s">
        <v>5</v>
      </c>
      <c r="J13" s="41">
        <f>SUM(J14:J16)</f>
        <v>150</v>
      </c>
      <c r="K13" s="38">
        <f>J13/J13</f>
        <v>1</v>
      </c>
      <c r="L13" s="159" t="s">
        <v>71</v>
      </c>
      <c r="M13" s="160"/>
      <c r="N13" s="160"/>
      <c r="O13" s="160"/>
      <c r="P13" s="160"/>
      <c r="Q13" s="161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29" t="s">
        <v>17</v>
      </c>
      <c r="E14" s="129"/>
      <c r="F14" s="129"/>
      <c r="G14" s="168"/>
      <c r="H14" s="168"/>
      <c r="I14" s="51" t="s">
        <v>43</v>
      </c>
      <c r="J14" s="41">
        <f>C14-SUM(J15:J16)</f>
        <v>149.92230000000001</v>
      </c>
      <c r="K14" s="39">
        <f>J14/J13</f>
        <v>0.99948200000000009</v>
      </c>
      <c r="L14" s="162" t="s">
        <v>70</v>
      </c>
      <c r="M14" s="163"/>
      <c r="N14" s="163"/>
      <c r="O14" s="163"/>
      <c r="P14" s="163"/>
      <c r="Q14" s="16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0" t="s">
        <v>60</v>
      </c>
      <c r="E15" s="130"/>
      <c r="F15" s="130"/>
      <c r="G15" s="168"/>
      <c r="H15" s="16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7.1999999999999995E-2</v>
      </c>
      <c r="K15" s="39">
        <f>J15/J13</f>
        <v>4.7999999999999996E-4</v>
      </c>
      <c r="L15" s="159" t="s">
        <v>69</v>
      </c>
      <c r="M15" s="160"/>
      <c r="N15" s="160"/>
      <c r="O15" s="160"/>
      <c r="P15" s="160"/>
      <c r="Q15" s="161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1" t="s">
        <v>40</v>
      </c>
      <c r="E16" s="132"/>
      <c r="F16" s="133"/>
      <c r="G16" s="168"/>
      <c r="H16" s="16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5.6999999999999993E-3</v>
      </c>
      <c r="K16" s="39">
        <f>J16/J13</f>
        <v>3.7999999999999995E-5</v>
      </c>
      <c r="L16" s="159" t="s">
        <v>69</v>
      </c>
      <c r="M16" s="160"/>
      <c r="N16" s="160"/>
      <c r="O16" s="160"/>
      <c r="P16" s="160"/>
      <c r="Q16" s="161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4" t="s">
        <v>61</v>
      </c>
      <c r="E17" s="135"/>
      <c r="F17" s="136"/>
      <c r="G17" s="168"/>
      <c r="H17" s="168"/>
      <c r="I17" s="162"/>
      <c r="J17" s="163"/>
      <c r="K17" s="163"/>
      <c r="L17" s="163"/>
      <c r="M17" s="163"/>
      <c r="N17" s="163"/>
      <c r="O17" s="163"/>
      <c r="P17" s="163"/>
      <c r="Q17" s="16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1" t="s">
        <v>41</v>
      </c>
      <c r="E18" s="132"/>
      <c r="F18" s="133"/>
      <c r="G18" s="168"/>
      <c r="H18" s="168"/>
      <c r="I18" s="49" t="s">
        <v>29</v>
      </c>
      <c r="J18" s="49" t="s">
        <v>50</v>
      </c>
      <c r="K18" s="49" t="s">
        <v>46</v>
      </c>
      <c r="L18" s="165" t="s">
        <v>39</v>
      </c>
      <c r="M18" s="166"/>
      <c r="N18" s="166"/>
      <c r="O18" s="166"/>
      <c r="P18" s="166"/>
      <c r="Q18" s="16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0"/>
      <c r="C19" s="130"/>
      <c r="D19" s="130"/>
      <c r="E19" s="130"/>
      <c r="F19" s="130"/>
      <c r="G19" s="168"/>
      <c r="H19" s="168"/>
      <c r="I19" s="50" t="s">
        <v>5</v>
      </c>
      <c r="J19" s="41">
        <f>SUM(J20:J22)</f>
        <v>0.06</v>
      </c>
      <c r="K19" s="38">
        <f>J19/J19</f>
        <v>1</v>
      </c>
      <c r="L19" s="159" t="s">
        <v>55</v>
      </c>
      <c r="M19" s="160"/>
      <c r="N19" s="160"/>
      <c r="O19" s="160"/>
      <c r="P19" s="160"/>
      <c r="Q19" s="161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28" t="s">
        <v>39</v>
      </c>
      <c r="E20" s="128"/>
      <c r="F20" s="128"/>
      <c r="G20" s="168"/>
      <c r="H20" s="16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5.2409999999999998E-2</v>
      </c>
      <c r="K20" s="39">
        <f>J20/J19</f>
        <v>0.87350000000000005</v>
      </c>
      <c r="L20" s="159" t="s">
        <v>69</v>
      </c>
      <c r="M20" s="160"/>
      <c r="N20" s="160"/>
      <c r="O20" s="160"/>
      <c r="P20" s="160"/>
      <c r="Q20" s="161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4" t="s">
        <v>61</v>
      </c>
      <c r="E21" s="135"/>
      <c r="F21" s="136"/>
      <c r="G21" s="168"/>
      <c r="H21" s="16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5.6760000000000005E-3</v>
      </c>
      <c r="K21" s="39">
        <f>J21/J19</f>
        <v>9.4600000000000017E-2</v>
      </c>
      <c r="L21" s="159" t="s">
        <v>69</v>
      </c>
      <c r="M21" s="160"/>
      <c r="N21" s="160"/>
      <c r="O21" s="160"/>
      <c r="P21" s="160"/>
      <c r="Q21" s="161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7" t="s">
        <v>67</v>
      </c>
      <c r="E22" s="137"/>
      <c r="F22" s="137"/>
      <c r="G22" s="168"/>
      <c r="H22" s="16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1.9139999999999999E-3</v>
      </c>
      <c r="K22" s="39">
        <f>J22/J19</f>
        <v>3.1899999999999998E-2</v>
      </c>
      <c r="L22" s="159" t="s">
        <v>69</v>
      </c>
      <c r="M22" s="160"/>
      <c r="N22" s="160"/>
      <c r="O22" s="160"/>
      <c r="P22" s="160"/>
      <c r="Q22" s="161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5"/>
      <c r="C23" s="126"/>
      <c r="D23" s="126"/>
      <c r="E23" s="126"/>
      <c r="F23" s="127"/>
      <c r="G23" s="168"/>
      <c r="H23" s="168"/>
      <c r="I23" s="179"/>
      <c r="J23" s="180"/>
      <c r="K23" s="180"/>
      <c r="L23" s="180"/>
      <c r="M23" s="180"/>
      <c r="N23" s="180"/>
      <c r="O23" s="180"/>
      <c r="P23" s="180"/>
      <c r="Q23" s="18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9" t="s">
        <v>37</v>
      </c>
      <c r="C24" s="150"/>
      <c r="D24" s="150"/>
      <c r="E24" s="150"/>
      <c r="F24" s="151"/>
      <c r="G24" s="168"/>
      <c r="H24" s="168"/>
      <c r="I24" s="173" t="s">
        <v>42</v>
      </c>
      <c r="J24" s="174"/>
      <c r="K24" s="174"/>
      <c r="L24" s="174"/>
      <c r="M24" s="174"/>
      <c r="N24" s="174"/>
      <c r="O24" s="174"/>
      <c r="P24" s="174"/>
      <c r="Q24" s="17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2"/>
      <c r="C25" s="153"/>
      <c r="D25" s="153"/>
      <c r="E25" s="153"/>
      <c r="F25" s="154"/>
      <c r="G25" s="168"/>
      <c r="H25" s="168"/>
      <c r="I25" s="176"/>
      <c r="J25" s="177"/>
      <c r="K25" s="177"/>
      <c r="L25" s="177"/>
      <c r="M25" s="177"/>
      <c r="N25" s="177"/>
      <c r="O25" s="177"/>
      <c r="P25" s="177"/>
      <c r="Q25" s="17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1" t="s">
        <v>11</v>
      </c>
      <c r="C26" s="171" t="s">
        <v>12</v>
      </c>
      <c r="D26" s="155" t="s">
        <v>47</v>
      </c>
      <c r="E26" s="155" t="s">
        <v>48</v>
      </c>
      <c r="F26" s="157" t="s">
        <v>66</v>
      </c>
      <c r="G26" s="168"/>
      <c r="H26" s="168"/>
      <c r="I26" s="182" t="s">
        <v>53</v>
      </c>
      <c r="J26" s="182" t="s">
        <v>54</v>
      </c>
      <c r="K26" s="169" t="s">
        <v>73</v>
      </c>
      <c r="L26" s="169" t="s">
        <v>52</v>
      </c>
      <c r="M26" s="169" t="s">
        <v>59</v>
      </c>
      <c r="N26" s="169" t="s">
        <v>62</v>
      </c>
      <c r="O26" s="169" t="s">
        <v>72</v>
      </c>
      <c r="P26" s="169" t="s">
        <v>64</v>
      </c>
      <c r="Q26" s="169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2"/>
      <c r="C27" s="172"/>
      <c r="D27" s="156"/>
      <c r="E27" s="156"/>
      <c r="F27" s="158"/>
      <c r="G27" s="168"/>
      <c r="H27" s="168"/>
      <c r="I27" s="183"/>
      <c r="J27" s="183"/>
      <c r="K27" s="170"/>
      <c r="L27" s="170"/>
      <c r="M27" s="170"/>
      <c r="N27" s="170"/>
      <c r="O27" s="170"/>
      <c r="P27" s="170"/>
      <c r="Q27" s="170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88</v>
      </c>
      <c r="C28" s="46" t="s">
        <v>89</v>
      </c>
      <c r="D28" s="47">
        <v>6.5247999999999973E-2</v>
      </c>
      <c r="E28" s="47">
        <v>8.2216000000000289E-2</v>
      </c>
      <c r="F28" s="96">
        <v>9.9999999999999995E-7</v>
      </c>
      <c r="G28" s="168"/>
      <c r="H28" s="168"/>
      <c r="I28" s="92">
        <f t="shared" ref="I28:I47" si="1">IF(D28=0,"",LOG($K$15*10^D28+$K$16*10^E28+$K$14))</f>
        <v>3.7232006014196545E-5</v>
      </c>
      <c r="J28" s="92">
        <f t="shared" ref="J28:J47" si="2">IF(D28=0,"",LOG($K$21*10^D28+$K$22*10^E28+$K$20))</f>
        <v>9.4441934040065591E-3</v>
      </c>
      <c r="K28" s="93">
        <f t="shared" ref="K28:K47" si="3">IF(D28=0,"",1/(1+10^D28*$J$15/$J$14+10^E28*$J$16/$J$14+10^J28*$J$19/$J$14))</f>
        <v>0.99898797324673894</v>
      </c>
      <c r="L28" s="93">
        <f t="shared" ref="L28:L47" si="4">IF(D28=0,"",1/(1+10^I28/10^J28*$J$13/$J$19))</f>
        <v>4.0859163141921567E-4</v>
      </c>
      <c r="M28" s="93">
        <f t="shared" ref="M28:M47" si="5">IF(D28=0,"",1-L28)</f>
        <v>0.99959140836858074</v>
      </c>
      <c r="N28" s="93">
        <f t="shared" ref="N28:N47" si="6">IF(D28=0,"",1/(1/10^E28*$J$20/$J$22+10^D28/10^E28*$J$21/$J$22+10^I28/10^E28*$J$13/$J$22+1))</f>
        <v>1.541175005280891E-5</v>
      </c>
      <c r="O28" s="40">
        <f t="shared" ref="O28:O47" si="7">IF(D28=0,"",F28*K28*$J$7/$J$14)</f>
        <v>9.9990551949513603E-7</v>
      </c>
      <c r="P28" s="40">
        <f t="shared" ref="P28:P47" si="8">IF(D28=0,"",O28*10^J28)</f>
        <v>1.0218876701794586E-6</v>
      </c>
      <c r="Q28" s="40">
        <f t="shared" ref="Q28:Q47" si="9">IF(D28=0,"",F28*N28*$J$7/$J$22)</f>
        <v>1.2083005292186548E-6</v>
      </c>
      <c r="R28" s="9">
        <f>F28*$C$14</f>
        <v>1.4999999999999999E-4</v>
      </c>
      <c r="S28" s="9">
        <f>$R28*L28</f>
        <v>6.1288744712882342E-8</v>
      </c>
      <c r="T28" s="9">
        <f t="shared" ref="T28:T91" si="10">R28*K28</f>
        <v>1.4984819598701083E-4</v>
      </c>
      <c r="U28" s="9">
        <f t="shared" ref="U28:U91" si="11">$R28*M28</f>
        <v>1.499387112552871E-4</v>
      </c>
      <c r="V28" s="100">
        <f>K28/M28</f>
        <v>0.99939631821883435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161</v>
      </c>
      <c r="C29" s="46" t="s">
        <v>162</v>
      </c>
      <c r="D29" s="47">
        <v>2.31</v>
      </c>
      <c r="E29" s="47">
        <v>2.58</v>
      </c>
      <c r="F29" s="96">
        <v>9.9999999999999995E-7</v>
      </c>
      <c r="G29" s="168"/>
      <c r="H29" s="168"/>
      <c r="I29" s="92">
        <f t="shared" si="1"/>
        <v>4.6078470391874224E-2</v>
      </c>
      <c r="J29" s="92">
        <f t="shared" si="2"/>
        <v>1.5094227425203597</v>
      </c>
      <c r="K29" s="93">
        <f t="shared" si="3"/>
        <v>0.88853967264311695</v>
      </c>
      <c r="L29" s="93">
        <f t="shared" si="4"/>
        <v>1.1491707946538936E-2</v>
      </c>
      <c r="M29" s="93">
        <f t="shared" si="5"/>
        <v>0.98850829205346102</v>
      </c>
      <c r="N29" s="93">
        <f t="shared" si="6"/>
        <v>4.3127324913484737E-3</v>
      </c>
      <c r="O29" s="40">
        <f t="shared" si="7"/>
        <v>8.8935577480352233E-7</v>
      </c>
      <c r="P29" s="40">
        <f t="shared" si="8"/>
        <v>2.8740761574293886E-5</v>
      </c>
      <c r="Q29" s="40">
        <f t="shared" si="9"/>
        <v>3.3812363513675652E-4</v>
      </c>
      <c r="R29" s="9">
        <f t="shared" ref="R29:R92" si="12">F29*$C$14</f>
        <v>1.4999999999999999E-4</v>
      </c>
      <c r="S29" s="9">
        <f t="shared" ref="S29:S92" si="13">$R29*L29</f>
        <v>1.7237561919808404E-6</v>
      </c>
      <c r="T29" s="9">
        <f t="shared" si="10"/>
        <v>1.3328095089646752E-4</v>
      </c>
      <c r="U29" s="9">
        <f t="shared" si="11"/>
        <v>1.4827624380801913E-4</v>
      </c>
      <c r="V29" s="100">
        <f t="shared" ref="V29:V92" si="14">K29/M29</f>
        <v>0.89886921514570617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163</v>
      </c>
      <c r="C30" s="46" t="s">
        <v>164</v>
      </c>
      <c r="D30" s="90">
        <v>4.4000000000000004</v>
      </c>
      <c r="E30" s="90">
        <v>2.64</v>
      </c>
      <c r="F30" s="96">
        <v>9.9999999999999995E-7</v>
      </c>
      <c r="G30" s="168"/>
      <c r="H30" s="168"/>
      <c r="I30" s="92">
        <f t="shared" si="1"/>
        <v>1.116379396238508</v>
      </c>
      <c r="J30" s="92">
        <f t="shared" si="2"/>
        <v>3.3785873717782535</v>
      </c>
      <c r="K30" s="93">
        <f t="shared" si="3"/>
        <v>7.124124405529228E-2</v>
      </c>
      <c r="L30" s="93">
        <f t="shared" si="4"/>
        <v>6.817166178377719E-2</v>
      </c>
      <c r="M30" s="93">
        <f t="shared" si="5"/>
        <v>0.9318283382162228</v>
      </c>
      <c r="N30" s="93">
        <f t="shared" si="6"/>
        <v>3.9701525267768701E-4</v>
      </c>
      <c r="O30" s="40">
        <f t="shared" si="7"/>
        <v>7.1306677411813718E-8</v>
      </c>
      <c r="P30" s="40">
        <f t="shared" si="8"/>
        <v>1.7049732612122684E-4</v>
      </c>
      <c r="Q30" s="40">
        <f t="shared" si="9"/>
        <v>3.1126493634698913E-5</v>
      </c>
      <c r="R30" s="9">
        <f t="shared" si="12"/>
        <v>1.4999999999999999E-4</v>
      </c>
      <c r="S30" s="9">
        <f t="shared" si="13"/>
        <v>1.0225749267566578E-5</v>
      </c>
      <c r="T30" s="9">
        <f t="shared" si="10"/>
        <v>1.0686186608293841E-5</v>
      </c>
      <c r="U30" s="9">
        <f t="shared" si="11"/>
        <v>1.3977425073243341E-4</v>
      </c>
      <c r="V30" s="100">
        <f t="shared" si="14"/>
        <v>7.6453184705315716E-2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90</v>
      </c>
      <c r="C31" s="46" t="s">
        <v>91</v>
      </c>
      <c r="D31" s="47">
        <v>-0.92190615231165807</v>
      </c>
      <c r="E31" s="47">
        <v>-1.7889087518799642</v>
      </c>
      <c r="F31" s="96">
        <v>9.9999999999999995E-7</v>
      </c>
      <c r="G31" s="168"/>
      <c r="H31" s="168"/>
      <c r="I31" s="92">
        <f t="shared" si="1"/>
        <v>-1.9978935919434454E-4</v>
      </c>
      <c r="J31" s="92">
        <f t="shared" si="2"/>
        <v>-5.2888799671809497E-2</v>
      </c>
      <c r="K31" s="93">
        <f t="shared" si="3"/>
        <v>0.99958774568118147</v>
      </c>
      <c r="L31" s="93">
        <f t="shared" si="4"/>
        <v>3.5417437630590621E-4</v>
      </c>
      <c r="M31" s="93">
        <f t="shared" si="5"/>
        <v>0.99964582562369408</v>
      </c>
      <c r="N31" s="93">
        <f t="shared" si="6"/>
        <v>2.0748555586999189E-7</v>
      </c>
      <c r="O31" s="40">
        <f t="shared" si="7"/>
        <v>1.0005058428060275E-6</v>
      </c>
      <c r="P31" s="40">
        <f t="shared" si="8"/>
        <v>8.8579011514107163E-7</v>
      </c>
      <c r="Q31" s="40">
        <f t="shared" si="9"/>
        <v>1.6267127750183376E-8</v>
      </c>
      <c r="R31" s="9">
        <f t="shared" si="12"/>
        <v>1.4999999999999999E-4</v>
      </c>
      <c r="S31" s="9">
        <f t="shared" si="13"/>
        <v>5.3126156445885924E-8</v>
      </c>
      <c r="T31" s="9">
        <f t="shared" si="10"/>
        <v>1.4993816185217721E-4</v>
      </c>
      <c r="U31" s="9">
        <f t="shared" si="11"/>
        <v>1.4994687384355411E-4</v>
      </c>
      <c r="V31" s="100">
        <f t="shared" si="14"/>
        <v>0.99994189947977186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92</v>
      </c>
      <c r="C32" s="46" t="s">
        <v>93</v>
      </c>
      <c r="D32" s="47">
        <v>0.54749180498968375</v>
      </c>
      <c r="E32" s="47">
        <v>0.30136158174588817</v>
      </c>
      <c r="F32" s="96">
        <v>9.9999999999999995E-7</v>
      </c>
      <c r="G32" s="168"/>
      <c r="H32" s="168"/>
      <c r="I32" s="92">
        <f t="shared" si="1"/>
        <v>5.4311668398331027E-4</v>
      </c>
      <c r="J32" s="92">
        <f t="shared" si="2"/>
        <v>0.10416922018936327</v>
      </c>
      <c r="K32" s="93">
        <f t="shared" si="3"/>
        <v>0.99772621897853375</v>
      </c>
      <c r="L32" s="93">
        <f t="shared" si="4"/>
        <v>5.0753455886662E-4</v>
      </c>
      <c r="M32" s="93">
        <f t="shared" si="5"/>
        <v>0.99949246544113335</v>
      </c>
      <c r="N32" s="93">
        <f t="shared" si="6"/>
        <v>2.5494627096547782E-5</v>
      </c>
      <c r="O32" s="40">
        <f t="shared" si="7"/>
        <v>9.9864260633620731E-7</v>
      </c>
      <c r="P32" s="40">
        <f t="shared" si="8"/>
        <v>1.2693439317254167E-6</v>
      </c>
      <c r="Q32" s="40">
        <f t="shared" si="9"/>
        <v>1.9988107325537933E-6</v>
      </c>
      <c r="R32" s="9">
        <f t="shared" si="12"/>
        <v>1.4999999999999999E-4</v>
      </c>
      <c r="S32" s="9">
        <f t="shared" si="13"/>
        <v>7.6130183829992996E-8</v>
      </c>
      <c r="T32" s="9">
        <f t="shared" si="10"/>
        <v>1.4965893284678004E-4</v>
      </c>
      <c r="U32" s="9">
        <f t="shared" si="11"/>
        <v>1.4992386981616999E-4</v>
      </c>
      <c r="V32" s="100">
        <f t="shared" si="14"/>
        <v>0.9982328566510803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165</v>
      </c>
      <c r="C33" s="94" t="s">
        <v>110</v>
      </c>
      <c r="D33" s="95">
        <v>1.6452318246143236</v>
      </c>
      <c r="E33" s="95">
        <v>1.8629354124795308</v>
      </c>
      <c r="F33" s="96">
        <v>9.9999999999999995E-7</v>
      </c>
      <c r="G33" s="168"/>
      <c r="H33" s="168"/>
      <c r="I33" s="92">
        <f t="shared" si="1"/>
        <v>1.0070969156464394E-2</v>
      </c>
      <c r="J33" s="92">
        <f t="shared" si="2"/>
        <v>0.8680334254166765</v>
      </c>
      <c r="K33" s="93">
        <f t="shared" si="3"/>
        <v>0.97376290697679047</v>
      </c>
      <c r="L33" s="93">
        <f t="shared" si="4"/>
        <v>2.8758860007650862E-3</v>
      </c>
      <c r="M33" s="93">
        <f t="shared" si="5"/>
        <v>0.99712411399923495</v>
      </c>
      <c r="N33" s="93">
        <f t="shared" si="6"/>
        <v>9.0670150556974231E-4</v>
      </c>
      <c r="O33" s="40">
        <f t="shared" si="7"/>
        <v>9.7465728461301068E-7</v>
      </c>
      <c r="P33" s="40">
        <f t="shared" si="8"/>
        <v>7.1925908879134802E-6</v>
      </c>
      <c r="Q33" s="40">
        <f t="shared" si="9"/>
        <v>7.1086534966455334E-5</v>
      </c>
      <c r="R33" s="9">
        <f t="shared" si="12"/>
        <v>1.4999999999999999E-4</v>
      </c>
      <c r="S33" s="9">
        <f t="shared" si="13"/>
        <v>4.3138290011476288E-7</v>
      </c>
      <c r="T33" s="9">
        <f t="shared" si="10"/>
        <v>1.4606443604651856E-4</v>
      </c>
      <c r="U33" s="9">
        <f t="shared" si="11"/>
        <v>1.4956861709988523E-4</v>
      </c>
      <c r="V33" s="100">
        <f t="shared" si="14"/>
        <v>0.97657141503804568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94</v>
      </c>
      <c r="C34" s="46" t="s">
        <v>95</v>
      </c>
      <c r="D34" s="90">
        <v>0.39857726844789648</v>
      </c>
      <c r="E34" s="90">
        <v>8.9525410045599246E-2</v>
      </c>
      <c r="F34" s="96">
        <v>9.9999999999999995E-7</v>
      </c>
      <c r="G34" s="168"/>
      <c r="H34" s="168"/>
      <c r="I34" s="92">
        <f t="shared" si="1"/>
        <v>3.1711948665398576E-4</v>
      </c>
      <c r="J34" s="92">
        <f t="shared" si="2"/>
        <v>6.0527862782966999E-2</v>
      </c>
      <c r="K34" s="93">
        <f t="shared" si="3"/>
        <v>0.99829374966132034</v>
      </c>
      <c r="L34" s="93">
        <f t="shared" si="4"/>
        <v>4.5927333239133441E-4</v>
      </c>
      <c r="M34" s="93">
        <f t="shared" si="5"/>
        <v>0.99954072666760863</v>
      </c>
      <c r="N34" s="93">
        <f t="shared" si="6"/>
        <v>1.5662441404759261E-5</v>
      </c>
      <c r="O34" s="40">
        <f t="shared" si="7"/>
        <v>9.9921065828217486E-7</v>
      </c>
      <c r="P34" s="40">
        <f t="shared" si="8"/>
        <v>1.1486426043107271E-6</v>
      </c>
      <c r="Q34" s="40">
        <f t="shared" si="9"/>
        <v>1.2279550455580848E-6</v>
      </c>
      <c r="R34" s="9">
        <f t="shared" si="12"/>
        <v>1.4999999999999999E-4</v>
      </c>
      <c r="S34" s="9">
        <f t="shared" si="13"/>
        <v>6.8890999858700152E-8</v>
      </c>
      <c r="T34" s="9">
        <f t="shared" si="10"/>
        <v>1.4974406244919804E-4</v>
      </c>
      <c r="U34" s="9">
        <f t="shared" si="11"/>
        <v>1.4993110900014128E-4</v>
      </c>
      <c r="V34" s="100">
        <f t="shared" si="14"/>
        <v>0.99875245002727842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96</v>
      </c>
      <c r="C35" s="46" t="s">
        <v>97</v>
      </c>
      <c r="D35" s="90">
        <v>0.27761205565007074</v>
      </c>
      <c r="E35" s="90">
        <v>-8.2551864497786676E-2</v>
      </c>
      <c r="F35" s="96">
        <v>9.9999999999999995E-7</v>
      </c>
      <c r="G35" s="168"/>
      <c r="H35" s="168"/>
      <c r="I35" s="92">
        <f t="shared" si="1"/>
        <v>1.8367979099029661E-4</v>
      </c>
      <c r="J35" s="92">
        <f t="shared" si="2"/>
        <v>3.308020042167583E-2</v>
      </c>
      <c r="K35" s="93">
        <f t="shared" si="3"/>
        <v>0.99862848601926124</v>
      </c>
      <c r="L35" s="93">
        <f t="shared" si="4"/>
        <v>4.3128977773313566E-4</v>
      </c>
      <c r="M35" s="93">
        <f t="shared" si="5"/>
        <v>0.9995687102222669</v>
      </c>
      <c r="N35" s="93">
        <f t="shared" si="6"/>
        <v>1.0542115812239988E-5</v>
      </c>
      <c r="O35" s="40">
        <f t="shared" si="7"/>
        <v>9.9954570208735017E-7</v>
      </c>
      <c r="P35" s="40">
        <f t="shared" si="8"/>
        <v>1.0786557341105724E-6</v>
      </c>
      <c r="Q35" s="40">
        <f t="shared" si="9"/>
        <v>8.2651509863361153E-7</v>
      </c>
      <c r="R35" s="9">
        <f t="shared" si="12"/>
        <v>1.4999999999999999E-4</v>
      </c>
      <c r="S35" s="9">
        <f t="shared" si="13"/>
        <v>6.4693466659970345E-8</v>
      </c>
      <c r="T35" s="9">
        <f t="shared" si="10"/>
        <v>1.4979427290288917E-4</v>
      </c>
      <c r="U35" s="9">
        <f t="shared" si="11"/>
        <v>1.4993530653334002E-4</v>
      </c>
      <c r="V35" s="100">
        <f t="shared" si="14"/>
        <v>0.99905937011293944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166</v>
      </c>
      <c r="C36" s="46" t="s">
        <v>167</v>
      </c>
      <c r="D36" s="47">
        <v>3.4409280000000009</v>
      </c>
      <c r="E36" s="47">
        <v>4.1160660000000009</v>
      </c>
      <c r="F36" s="96">
        <v>9.9999999999999995E-7</v>
      </c>
      <c r="G36" s="168"/>
      <c r="H36" s="168"/>
      <c r="I36" s="92">
        <f t="shared" si="1"/>
        <v>0.45036614920415591</v>
      </c>
      <c r="J36" s="92">
        <f t="shared" si="2"/>
        <v>2.8316859841390225</v>
      </c>
      <c r="K36" s="93">
        <f t="shared" si="3"/>
        <v>0.32322210745805668</v>
      </c>
      <c r="L36" s="93">
        <f t="shared" si="4"/>
        <v>8.7795459446101287E-2</v>
      </c>
      <c r="M36" s="93">
        <f t="shared" si="5"/>
        <v>0.91220454055389877</v>
      </c>
      <c r="N36" s="93">
        <f t="shared" si="6"/>
        <v>5.3906701033906733E-2</v>
      </c>
      <c r="O36" s="40">
        <f t="shared" si="7"/>
        <v>3.2351897913223034E-7</v>
      </c>
      <c r="P36" s="40">
        <f t="shared" si="8"/>
        <v>2.1957644407469935E-4</v>
      </c>
      <c r="Q36" s="40">
        <f t="shared" si="9"/>
        <v>4.2263529556677351E-3</v>
      </c>
      <c r="R36" s="9">
        <f t="shared" si="12"/>
        <v>1.4999999999999999E-4</v>
      </c>
      <c r="S36" s="9">
        <f t="shared" si="13"/>
        <v>1.3169318916915192E-5</v>
      </c>
      <c r="T36" s="9">
        <f t="shared" si="10"/>
        <v>4.8483316118708497E-5</v>
      </c>
      <c r="U36" s="9">
        <f t="shared" si="11"/>
        <v>1.3683068108308479E-4</v>
      </c>
      <c r="V36" s="100">
        <f t="shared" si="14"/>
        <v>0.35433073733857245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168</v>
      </c>
      <c r="C37" s="94" t="s">
        <v>169</v>
      </c>
      <c r="D37" s="95">
        <v>4.9025336133267672</v>
      </c>
      <c r="E37" s="95">
        <v>6.4965619006479365</v>
      </c>
      <c r="F37" s="96">
        <v>9.9999999999999995E-7</v>
      </c>
      <c r="G37" s="168"/>
      <c r="H37" s="168"/>
      <c r="I37" s="92">
        <f t="shared" si="1"/>
        <v>2.2002191789801899</v>
      </c>
      <c r="J37" s="92">
        <f t="shared" si="2"/>
        <v>5.0319753139522181</v>
      </c>
      <c r="K37" s="93">
        <f t="shared" si="3"/>
        <v>4.9571213276702955E-3</v>
      </c>
      <c r="L37" s="93">
        <f t="shared" si="4"/>
        <v>0.21354523085216554</v>
      </c>
      <c r="M37" s="93">
        <f t="shared" si="5"/>
        <v>0.78645476914783452</v>
      </c>
      <c r="N37" s="93">
        <f t="shared" si="6"/>
        <v>0.19854874506775083</v>
      </c>
      <c r="O37" s="40">
        <f t="shared" si="7"/>
        <v>4.9616743235009362E-9</v>
      </c>
      <c r="P37" s="40">
        <f t="shared" si="8"/>
        <v>5.3407662236126569E-4</v>
      </c>
      <c r="Q37" s="40">
        <f t="shared" si="9"/>
        <v>1.5566470577255324E-2</v>
      </c>
      <c r="R37" s="9">
        <f t="shared" si="12"/>
        <v>1.4999999999999999E-4</v>
      </c>
      <c r="S37" s="9">
        <f t="shared" si="13"/>
        <v>3.2031784627824829E-5</v>
      </c>
      <c r="T37" s="9">
        <f t="shared" si="10"/>
        <v>7.4356819915054424E-7</v>
      </c>
      <c r="U37" s="9">
        <f t="shared" si="11"/>
        <v>1.1796821537217516E-4</v>
      </c>
      <c r="V37" s="100">
        <f t="shared" si="14"/>
        <v>6.3031232337005215E-3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170</v>
      </c>
      <c r="C38" s="46" t="s">
        <v>171</v>
      </c>
      <c r="D38" s="90">
        <v>-0.51108880646233978</v>
      </c>
      <c r="E38" s="90">
        <v>-1.2045066120098076</v>
      </c>
      <c r="F38" s="96">
        <v>9.9999999999999995E-7</v>
      </c>
      <c r="G38" s="168"/>
      <c r="H38" s="168"/>
      <c r="I38" s="92">
        <f t="shared" si="1"/>
        <v>-1.5970395933982679E-4</v>
      </c>
      <c r="J38" s="92">
        <f t="shared" si="2"/>
        <v>-4.3517986531337385E-2</v>
      </c>
      <c r="K38" s="93">
        <f t="shared" si="3"/>
        <v>0.99948780019046446</v>
      </c>
      <c r="L38" s="93">
        <f t="shared" si="4"/>
        <v>3.618632880676036E-4</v>
      </c>
      <c r="M38" s="93">
        <f t="shared" si="5"/>
        <v>0.99963813671193236</v>
      </c>
      <c r="N38" s="93">
        <f t="shared" si="6"/>
        <v>7.9679496789045164E-7</v>
      </c>
      <c r="O38" s="40">
        <f t="shared" si="7"/>
        <v>1.0004058055177988E-6</v>
      </c>
      <c r="P38" s="40">
        <f t="shared" si="8"/>
        <v>9.0502008345707647E-7</v>
      </c>
      <c r="Q38" s="40">
        <f t="shared" si="9"/>
        <v>6.2469724598558606E-8</v>
      </c>
      <c r="R38" s="9">
        <f t="shared" si="12"/>
        <v>1.4999999999999999E-4</v>
      </c>
      <c r="S38" s="9">
        <f t="shared" si="13"/>
        <v>5.4279493210140537E-8</v>
      </c>
      <c r="T38" s="9">
        <f t="shared" si="10"/>
        <v>1.4992317002856967E-4</v>
      </c>
      <c r="U38" s="9">
        <f t="shared" si="11"/>
        <v>1.4994572050678985E-4</v>
      </c>
      <c r="V38" s="100">
        <f t="shared" si="14"/>
        <v>0.99984960905757114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98</v>
      </c>
      <c r="C39" s="46" t="s">
        <v>99</v>
      </c>
      <c r="D39" s="90">
        <v>2.3414159999999997</v>
      </c>
      <c r="E39" s="90">
        <v>2.4767320000000002</v>
      </c>
      <c r="F39" s="96">
        <v>9.9999999999999995E-7</v>
      </c>
      <c r="G39" s="168"/>
      <c r="H39" s="168"/>
      <c r="I39" s="92">
        <f t="shared" si="1"/>
        <v>4.7752637245013392E-2</v>
      </c>
      <c r="J39" s="92">
        <f t="shared" si="2"/>
        <v>1.4941370637576192</v>
      </c>
      <c r="K39" s="93">
        <f t="shared" si="3"/>
        <v>0.88551075409975599</v>
      </c>
      <c r="L39" s="93">
        <f t="shared" si="4"/>
        <v>1.1056455384324369E-2</v>
      </c>
      <c r="M39" s="93">
        <f t="shared" si="5"/>
        <v>0.98894354461567568</v>
      </c>
      <c r="N39" s="93">
        <f t="shared" si="6"/>
        <v>3.3884535538808457E-3</v>
      </c>
      <c r="O39" s="40">
        <f t="shared" si="7"/>
        <v>8.8632407427186874E-7</v>
      </c>
      <c r="P39" s="40">
        <f t="shared" si="8"/>
        <v>2.7652194916195247E-5</v>
      </c>
      <c r="Q39" s="40">
        <f t="shared" si="9"/>
        <v>2.6565900746884001E-4</v>
      </c>
      <c r="R39" s="9">
        <f t="shared" si="12"/>
        <v>1.4999999999999999E-4</v>
      </c>
      <c r="S39" s="9">
        <f t="shared" si="13"/>
        <v>1.6584683076486553E-6</v>
      </c>
      <c r="T39" s="9">
        <f t="shared" si="10"/>
        <v>1.328266131149634E-4</v>
      </c>
      <c r="U39" s="9">
        <f t="shared" si="11"/>
        <v>1.4834153169235133E-4</v>
      </c>
      <c r="V39" s="100">
        <f t="shared" si="14"/>
        <v>0.89541082392512517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172</v>
      </c>
      <c r="C40" s="46" t="s">
        <v>173</v>
      </c>
      <c r="D40" s="47">
        <v>2.349974877229557</v>
      </c>
      <c r="E40" s="47">
        <v>2.8654572197209189</v>
      </c>
      <c r="F40" s="96">
        <v>9.9999999999999995E-7</v>
      </c>
      <c r="G40" s="168"/>
      <c r="H40" s="168"/>
      <c r="I40" s="92">
        <f t="shared" si="1"/>
        <v>5.4923561227077443E-2</v>
      </c>
      <c r="J40" s="92">
        <f t="shared" si="2"/>
        <v>1.6575558987283585</v>
      </c>
      <c r="K40" s="93">
        <f t="shared" si="3"/>
        <v>0.86685945169413747</v>
      </c>
      <c r="L40" s="93">
        <f t="shared" si="4"/>
        <v>1.5768471652922677E-2</v>
      </c>
      <c r="M40" s="93">
        <f t="shared" si="5"/>
        <v>0.98423152834707728</v>
      </c>
      <c r="N40" s="93">
        <f t="shared" si="6"/>
        <v>8.1186086240168792E-3</v>
      </c>
      <c r="O40" s="40">
        <f t="shared" si="7"/>
        <v>8.6765564109690331E-7</v>
      </c>
      <c r="P40" s="40">
        <f t="shared" si="8"/>
        <v>3.9436947603959622E-5</v>
      </c>
      <c r="Q40" s="40">
        <f t="shared" si="9"/>
        <v>6.3650909619643304E-4</v>
      </c>
      <c r="R40" s="9">
        <f t="shared" si="12"/>
        <v>1.4999999999999999E-4</v>
      </c>
      <c r="S40" s="9">
        <f t="shared" si="13"/>
        <v>2.3652707479384015E-6</v>
      </c>
      <c r="T40" s="9">
        <f t="shared" si="10"/>
        <v>1.3002891775412061E-4</v>
      </c>
      <c r="U40" s="9">
        <f t="shared" si="11"/>
        <v>1.4763472925206157E-4</v>
      </c>
      <c r="V40" s="100">
        <f t="shared" si="14"/>
        <v>0.88074749358003701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174</v>
      </c>
      <c r="C41" s="94" t="s">
        <v>175</v>
      </c>
      <c r="D41" s="95">
        <v>1.4854320000000003</v>
      </c>
      <c r="E41" s="95">
        <v>1.5057189999999996</v>
      </c>
      <c r="F41" s="96">
        <v>9.9999999999999995E-7</v>
      </c>
      <c r="G41" s="168"/>
      <c r="H41" s="168"/>
      <c r="I41" s="92">
        <f t="shared" si="1"/>
        <v>6.6276677113325539E-3</v>
      </c>
      <c r="J41" s="92">
        <f t="shared" si="2"/>
        <v>0.68019675641126665</v>
      </c>
      <c r="K41" s="93">
        <f t="shared" si="3"/>
        <v>0.98249157960317957</v>
      </c>
      <c r="L41" s="93">
        <f t="shared" si="4"/>
        <v>1.8828278237550526E-3</v>
      </c>
      <c r="M41" s="93">
        <f t="shared" si="5"/>
        <v>0.99811717217624496</v>
      </c>
      <c r="N41" s="93">
        <f t="shared" si="6"/>
        <v>4.0190511567853916E-4</v>
      </c>
      <c r="O41" s="40">
        <f t="shared" si="7"/>
        <v>9.8339397431371531E-7</v>
      </c>
      <c r="P41" s="40">
        <f t="shared" si="8"/>
        <v>4.7089523872113859E-6</v>
      </c>
      <c r="Q41" s="40">
        <f t="shared" si="9"/>
        <v>3.1509865025455372E-5</v>
      </c>
      <c r="R41" s="9">
        <f t="shared" si="12"/>
        <v>1.4999999999999999E-4</v>
      </c>
      <c r="S41" s="9">
        <f t="shared" si="13"/>
        <v>2.8242417356325786E-7</v>
      </c>
      <c r="T41" s="9">
        <f t="shared" si="10"/>
        <v>1.4737373694047692E-4</v>
      </c>
      <c r="U41" s="9">
        <f t="shared" si="11"/>
        <v>1.4971757582643672E-4</v>
      </c>
      <c r="V41" s="100">
        <f t="shared" si="14"/>
        <v>0.98434493162862213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176</v>
      </c>
      <c r="C42" s="46" t="s">
        <v>177</v>
      </c>
      <c r="D42" s="90">
        <v>2.0758240000000003</v>
      </c>
      <c r="E42" s="90">
        <v>2.477398</v>
      </c>
      <c r="F42" s="96">
        <v>9.9999999999999995E-7</v>
      </c>
      <c r="G42" s="168"/>
      <c r="H42" s="168"/>
      <c r="I42" s="92">
        <f t="shared" si="1"/>
        <v>2.8589842167479149E-2</v>
      </c>
      <c r="J42" s="92">
        <f t="shared" si="2"/>
        <v>1.3367435070507094</v>
      </c>
      <c r="K42" s="93">
        <f t="shared" si="3"/>
        <v>0.92825565433566037</v>
      </c>
      <c r="L42" s="93">
        <f t="shared" si="4"/>
        <v>8.0667040620519895E-3</v>
      </c>
      <c r="M42" s="93">
        <f t="shared" si="5"/>
        <v>0.99193329593794799</v>
      </c>
      <c r="N42" s="93">
        <f t="shared" si="6"/>
        <v>3.5574704437861785E-3</v>
      </c>
      <c r="O42" s="40">
        <f t="shared" si="7"/>
        <v>9.2910823466294996E-7</v>
      </c>
      <c r="P42" s="40">
        <f t="shared" si="8"/>
        <v>2.0174826859192027E-5</v>
      </c>
      <c r="Q42" s="40">
        <f t="shared" si="9"/>
        <v>2.7891014357082233E-4</v>
      </c>
      <c r="R42" s="9">
        <f t="shared" si="12"/>
        <v>1.4999999999999999E-4</v>
      </c>
      <c r="S42" s="9">
        <f t="shared" si="13"/>
        <v>1.2100056093077984E-6</v>
      </c>
      <c r="T42" s="9">
        <f t="shared" si="10"/>
        <v>1.3923834815034904E-4</v>
      </c>
      <c r="U42" s="9">
        <f t="shared" si="11"/>
        <v>1.4878999439069219E-4</v>
      </c>
      <c r="V42" s="100">
        <f t="shared" si="14"/>
        <v>0.93580451239710072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178</v>
      </c>
      <c r="C43" s="46" t="s">
        <v>179</v>
      </c>
      <c r="D43" s="90">
        <v>2.3078000000000003</v>
      </c>
      <c r="E43" s="90">
        <v>2.5099249999999995</v>
      </c>
      <c r="F43" s="96">
        <v>9.9999999999999995E-7</v>
      </c>
      <c r="G43" s="168"/>
      <c r="H43" s="168"/>
      <c r="I43" s="92">
        <f t="shared" si="1"/>
        <v>4.5043006346732313E-2</v>
      </c>
      <c r="J43" s="92">
        <f t="shared" si="2"/>
        <v>1.483039277776858</v>
      </c>
      <c r="K43" s="93">
        <f t="shared" si="3"/>
        <v>0.891241362352028</v>
      </c>
      <c r="L43" s="93">
        <f t="shared" si="4"/>
        <v>1.0847249404668288E-2</v>
      </c>
      <c r="M43" s="93">
        <f t="shared" si="5"/>
        <v>0.9891527505953317</v>
      </c>
      <c r="N43" s="93">
        <f t="shared" si="6"/>
        <v>3.6812560937510099E-3</v>
      </c>
      <c r="O43" s="40">
        <f t="shared" si="7"/>
        <v>8.9205994594897026E-7</v>
      </c>
      <c r="P43" s="40">
        <f t="shared" si="8"/>
        <v>2.7128970761075385E-5</v>
      </c>
      <c r="Q43" s="40">
        <f t="shared" si="9"/>
        <v>2.8861509374518104E-4</v>
      </c>
      <c r="R43" s="9">
        <f t="shared" si="12"/>
        <v>1.4999999999999999E-4</v>
      </c>
      <c r="S43" s="9">
        <f t="shared" si="13"/>
        <v>1.6270874107002431E-6</v>
      </c>
      <c r="T43" s="9">
        <f t="shared" si="10"/>
        <v>1.3368620435280418E-4</v>
      </c>
      <c r="U43" s="9">
        <f t="shared" si="11"/>
        <v>1.4837291258929975E-4</v>
      </c>
      <c r="V43" s="100">
        <f t="shared" si="14"/>
        <v>0.90101489564238213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180</v>
      </c>
      <c r="C44" s="46" t="s">
        <v>181</v>
      </c>
      <c r="D44" s="90">
        <v>5.676184000000001</v>
      </c>
      <c r="E44" s="90">
        <v>7.0708080000000004</v>
      </c>
      <c r="F44" s="96">
        <v>9.9999999999999995E-7</v>
      </c>
      <c r="G44" s="168"/>
      <c r="H44" s="168"/>
      <c r="I44" s="92">
        <f t="shared" si="1"/>
        <v>2.829962486439805</v>
      </c>
      <c r="J44" s="92">
        <f t="shared" si="2"/>
        <v>5.6236352715565152</v>
      </c>
      <c r="K44" s="93">
        <f t="shared" si="3"/>
        <v>1.18397635064091E-3</v>
      </c>
      <c r="L44" s="93">
        <f t="shared" si="4"/>
        <v>0.19918806530240299</v>
      </c>
      <c r="M44" s="93">
        <f t="shared" si="5"/>
        <v>0.80081193469759704</v>
      </c>
      <c r="N44" s="93">
        <f t="shared" si="6"/>
        <v>0.17792080090210324</v>
      </c>
      <c r="O44" s="40">
        <f t="shared" si="7"/>
        <v>1.1850638042317582E-9</v>
      </c>
      <c r="P44" s="40">
        <f t="shared" si="8"/>
        <v>4.9816935132131006E-4</v>
      </c>
      <c r="Q44" s="40">
        <f t="shared" si="9"/>
        <v>1.3949213888907843E-2</v>
      </c>
      <c r="R44" s="9">
        <f t="shared" si="12"/>
        <v>1.4999999999999999E-4</v>
      </c>
      <c r="S44" s="9">
        <f t="shared" si="13"/>
        <v>2.9878209795360447E-5</v>
      </c>
      <c r="T44" s="9">
        <f t="shared" si="10"/>
        <v>1.7759645259613649E-7</v>
      </c>
      <c r="U44" s="9">
        <f t="shared" si="11"/>
        <v>1.2012179020463954E-4</v>
      </c>
      <c r="V44" s="100">
        <f t="shared" si="14"/>
        <v>1.4784699120249795E-3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182</v>
      </c>
      <c r="C45" s="46" t="s">
        <v>183</v>
      </c>
      <c r="D45" s="90">
        <v>1.2599279999999999</v>
      </c>
      <c r="E45" s="90">
        <v>1.3925860000000003</v>
      </c>
      <c r="F45" s="96">
        <v>9.9999999999999995E-7</v>
      </c>
      <c r="G45" s="168"/>
      <c r="H45" s="168"/>
      <c r="I45" s="92">
        <f t="shared" si="1"/>
        <v>3.957220636313619E-3</v>
      </c>
      <c r="J45" s="92">
        <f t="shared" si="2"/>
        <v>0.52922244534276219</v>
      </c>
      <c r="K45" s="93">
        <f t="shared" si="3"/>
        <v>0.98909019453360969</v>
      </c>
      <c r="L45" s="93">
        <f t="shared" si="4"/>
        <v>1.3388852463777606E-3</v>
      </c>
      <c r="M45" s="93">
        <f t="shared" si="5"/>
        <v>0.99866111475362229</v>
      </c>
      <c r="N45" s="93">
        <f t="shared" si="6"/>
        <v>3.1181542388159861E-4</v>
      </c>
      <c r="O45" s="40">
        <f t="shared" si="7"/>
        <v>9.8999864991207737E-7</v>
      </c>
      <c r="P45" s="40">
        <f t="shared" si="8"/>
        <v>3.3485520011907784E-6</v>
      </c>
      <c r="Q45" s="40">
        <f t="shared" si="9"/>
        <v>2.4446720223444458E-5</v>
      </c>
      <c r="R45" s="9">
        <f t="shared" si="12"/>
        <v>1.4999999999999999E-4</v>
      </c>
      <c r="S45" s="9">
        <f t="shared" si="13"/>
        <v>2.0083278695666408E-7</v>
      </c>
      <c r="T45" s="9">
        <f t="shared" si="10"/>
        <v>1.4836352918004144E-4</v>
      </c>
      <c r="U45" s="9">
        <f t="shared" si="11"/>
        <v>1.4979916721304332E-4</v>
      </c>
      <c r="V45" s="100">
        <f t="shared" si="14"/>
        <v>0.99041624823614582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184</v>
      </c>
      <c r="C46" s="46" t="s">
        <v>185</v>
      </c>
      <c r="D46" s="91">
        <v>1.2889359999999999</v>
      </c>
      <c r="E46" s="91">
        <v>1.371977</v>
      </c>
      <c r="F46" s="96">
        <v>9.9999999999999995E-7</v>
      </c>
      <c r="G46" s="168"/>
      <c r="H46" s="168"/>
      <c r="I46" s="92">
        <f t="shared" si="1"/>
        <v>4.1980440605165602E-3</v>
      </c>
      <c r="J46" s="92">
        <f t="shared" si="2"/>
        <v>0.53967320644667971</v>
      </c>
      <c r="K46" s="93">
        <f t="shared" si="3"/>
        <v>0.98851039664992413</v>
      </c>
      <c r="L46" s="93">
        <f t="shared" si="4"/>
        <v>1.370690686820076E-3</v>
      </c>
      <c r="M46" s="93">
        <f t="shared" si="5"/>
        <v>0.99862930931317995</v>
      </c>
      <c r="N46" s="93">
        <f t="shared" si="6"/>
        <v>2.9718982659837748E-4</v>
      </c>
      <c r="O46" s="40">
        <f t="shared" si="7"/>
        <v>9.8941831949808403E-7</v>
      </c>
      <c r="P46" s="40">
        <f t="shared" si="8"/>
        <v>3.42809740773701E-6</v>
      </c>
      <c r="Q46" s="40">
        <f t="shared" si="9"/>
        <v>2.3300055057132983E-5</v>
      </c>
      <c r="R46" s="9">
        <f t="shared" si="12"/>
        <v>1.4999999999999999E-4</v>
      </c>
      <c r="S46" s="9">
        <f t="shared" si="13"/>
        <v>2.0560360302301138E-7</v>
      </c>
      <c r="T46" s="9">
        <f t="shared" si="10"/>
        <v>1.482765594974886E-4</v>
      </c>
      <c r="U46" s="9">
        <f t="shared" si="11"/>
        <v>1.4979439639697698E-4</v>
      </c>
      <c r="V46" s="100">
        <f t="shared" si="14"/>
        <v>0.98986719839995962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186</v>
      </c>
      <c r="C47" s="46" t="s">
        <v>187</v>
      </c>
      <c r="D47" s="90">
        <v>2.5448008164668257</v>
      </c>
      <c r="E47" s="90">
        <v>3.1426039783542175</v>
      </c>
      <c r="F47" s="96">
        <v>9.9999999999999995E-7</v>
      </c>
      <c r="G47" s="168"/>
      <c r="H47" s="168"/>
      <c r="I47" s="92">
        <f t="shared" si="1"/>
        <v>8.655050783580702E-2</v>
      </c>
      <c r="J47" s="92">
        <f t="shared" si="2"/>
        <v>1.8939751851989683</v>
      </c>
      <c r="K47" s="93">
        <f t="shared" si="3"/>
        <v>0.79839047059678236</v>
      </c>
      <c r="L47" s="93">
        <f t="shared" si="4"/>
        <v>2.5030846908104688E-2</v>
      </c>
      <c r="M47" s="93">
        <f t="shared" si="5"/>
        <v>0.97496915309189536</v>
      </c>
      <c r="N47" s="93">
        <f t="shared" si="6"/>
        <v>1.4154515888025222E-2</v>
      </c>
      <c r="O47" s="40">
        <f t="shared" si="7"/>
        <v>7.9912377289938291E-7</v>
      </c>
      <c r="P47" s="40">
        <f t="shared" si="8"/>
        <v>6.2602148117169837E-5</v>
      </c>
      <c r="Q47" s="40">
        <f t="shared" si="9"/>
        <v>1.1097317942304415E-3</v>
      </c>
      <c r="R47" s="9">
        <f t="shared" si="12"/>
        <v>1.4999999999999999E-4</v>
      </c>
      <c r="S47" s="9">
        <f t="shared" si="13"/>
        <v>3.7546270362157027E-6</v>
      </c>
      <c r="T47" s="9">
        <f t="shared" si="10"/>
        <v>1.1975857058951734E-4</v>
      </c>
      <c r="U47" s="9">
        <f t="shared" si="11"/>
        <v>1.4624537296378429E-4</v>
      </c>
      <c r="V47" s="100">
        <f t="shared" si="14"/>
        <v>0.81888792898202634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100</v>
      </c>
      <c r="C48" s="46" t="s">
        <v>101</v>
      </c>
      <c r="D48" s="90">
        <v>0.29376000000000013</v>
      </c>
      <c r="E48" s="90">
        <v>0.18140000000000034</v>
      </c>
      <c r="F48" s="96">
        <v>9.9999999999999995E-7</v>
      </c>
      <c r="G48" s="168"/>
      <c r="H48" s="168"/>
      <c r="I48" s="92">
        <f t="shared" ref="I48:I50" si="15">IF(D48=0,"",LOG($K$15*10^D48+$K$16*10^E48+$K$14))</f>
        <v>2.1004549420906745E-4</v>
      </c>
      <c r="J48" s="92">
        <f t="shared" ref="J48:J50" si="16">IF(D48=0,"",LOG($K$21*10^D48+$K$22*10^E48+$K$20))</f>
        <v>4.4538856592537125E-2</v>
      </c>
      <c r="K48" s="93">
        <f t="shared" ref="K48:K50" si="17">IF(D48=0,"",1/(1+10^D48*$J$15/$J$14+10^E48*$J$16/$J$14+10^J48*$J$19/$J$14))</f>
        <v>0.99855637451053902</v>
      </c>
      <c r="L48" s="93">
        <f t="shared" ref="L48:L50" si="18">IF(D48=0,"",1/(1+10^I48/10^J48*$J$13/$J$19))</f>
        <v>4.4278862869226031E-4</v>
      </c>
      <c r="M48" s="93">
        <f t="shared" ref="M48:M92" si="19">IF(D48=0,"",1-L48)</f>
        <v>0.99955721137130771</v>
      </c>
      <c r="N48" s="93">
        <f t="shared" ref="N48:N50" si="20">IF(D48=0,"",1/(1/10^E48*$J$20/$J$22+10^D48/10^E48*$J$21/$J$22+10^I48/10^E48*$J$13/$J$22+1))</f>
        <v>1.9357456217153066E-5</v>
      </c>
      <c r="O48" s="40">
        <f t="shared" ref="O48:O92" si="21">IF(D48=0,"",F48*K48*$J$7/$J$14)</f>
        <v>9.9947352434595432E-7</v>
      </c>
      <c r="P48" s="40">
        <f t="shared" ref="P48:P50" si="22">IF(D48=0,"",O48*10^J48)</f>
        <v>1.1074143603593429E-6</v>
      </c>
      <c r="Q48" s="40">
        <f t="shared" ref="Q48:Q50" si="23">IF(D48=0,"",F48*N48*$J$7/$J$22)</f>
        <v>1.5176488400971731E-6</v>
      </c>
      <c r="R48" s="9">
        <f t="shared" si="12"/>
        <v>1.4999999999999999E-4</v>
      </c>
      <c r="S48" s="9">
        <f t="shared" si="13"/>
        <v>6.6418294303839044E-8</v>
      </c>
      <c r="T48" s="9">
        <f t="shared" si="10"/>
        <v>1.4978345617658084E-4</v>
      </c>
      <c r="U48" s="9">
        <f t="shared" si="11"/>
        <v>1.4993358170569613E-4</v>
      </c>
      <c r="V48" s="100">
        <f t="shared" si="14"/>
        <v>0.99899871978373744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188</v>
      </c>
      <c r="C49" s="46" t="s">
        <v>189</v>
      </c>
      <c r="D49" s="90">
        <v>1.6175039999999998</v>
      </c>
      <c r="E49" s="90">
        <v>1.8999029999999997</v>
      </c>
      <c r="F49" s="96">
        <v>9.9999999999999995E-7</v>
      </c>
      <c r="G49" s="168"/>
      <c r="H49" s="168"/>
      <c r="I49" s="92">
        <f t="shared" si="15"/>
        <v>9.6186457475178466E-3</v>
      </c>
      <c r="J49" s="92">
        <f t="shared" si="16"/>
        <v>0.8649751353960996</v>
      </c>
      <c r="K49" s="93">
        <f t="shared" si="17"/>
        <v>0.9747943934726222</v>
      </c>
      <c r="L49" s="93">
        <f t="shared" si="18"/>
        <v>2.858730217063914E-3</v>
      </c>
      <c r="M49" s="93">
        <f t="shared" si="19"/>
        <v>0.99714126978293605</v>
      </c>
      <c r="N49" s="93">
        <f t="shared" si="20"/>
        <v>9.8830665520062682E-4</v>
      </c>
      <c r="O49" s="40">
        <f t="shared" si="21"/>
        <v>9.7568971850419637E-7</v>
      </c>
      <c r="P49" s="40">
        <f t="shared" si="22"/>
        <v>7.1496842728768494E-6</v>
      </c>
      <c r="Q49" s="40">
        <f t="shared" si="23"/>
        <v>7.7484481023723138E-5</v>
      </c>
      <c r="R49" s="9">
        <f t="shared" si="12"/>
        <v>1.4999999999999999E-4</v>
      </c>
      <c r="S49" s="9">
        <f t="shared" si="13"/>
        <v>4.2880953255958706E-7</v>
      </c>
      <c r="T49" s="9">
        <f t="shared" si="10"/>
        <v>1.4621915902089333E-4</v>
      </c>
      <c r="U49" s="9">
        <f t="shared" si="11"/>
        <v>1.4957119046744038E-4</v>
      </c>
      <c r="V49" s="100">
        <f t="shared" si="14"/>
        <v>0.97758905684930841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190</v>
      </c>
      <c r="C50" s="46" t="s">
        <v>191</v>
      </c>
      <c r="D50" s="90">
        <v>2.5898400000000001</v>
      </c>
      <c r="E50" s="90">
        <v>2.96393</v>
      </c>
      <c r="F50" s="96">
        <v>9.9999999999999995E-7</v>
      </c>
      <c r="G50" s="168"/>
      <c r="H50" s="168"/>
      <c r="I50" s="92">
        <f t="shared" si="15"/>
        <v>8.6760595853303396E-2</v>
      </c>
      <c r="J50" s="92">
        <f t="shared" si="16"/>
        <v>1.8262123505679773</v>
      </c>
      <c r="K50" s="93">
        <f t="shared" si="17"/>
        <v>0.80090881672135972</v>
      </c>
      <c r="L50" s="93">
        <f t="shared" si="18"/>
        <v>2.1482283285470215E-2</v>
      </c>
      <c r="M50" s="93">
        <f t="shared" si="19"/>
        <v>0.97851771671452981</v>
      </c>
      <c r="N50" s="93">
        <f t="shared" si="20"/>
        <v>9.4099815472662388E-3</v>
      </c>
      <c r="O50" s="40">
        <f t="shared" si="21"/>
        <v>8.0164443206385719E-7</v>
      </c>
      <c r="P50" s="40">
        <f t="shared" si="22"/>
        <v>5.3727190496961015E-5</v>
      </c>
      <c r="Q50" s="40">
        <f t="shared" si="23"/>
        <v>7.3775435265557561E-4</v>
      </c>
      <c r="R50" s="9">
        <f t="shared" si="12"/>
        <v>1.4999999999999999E-4</v>
      </c>
      <c r="S50" s="9">
        <f t="shared" si="13"/>
        <v>3.2223424928205319E-6</v>
      </c>
      <c r="T50" s="9">
        <f t="shared" si="10"/>
        <v>1.2013632250820394E-4</v>
      </c>
      <c r="U50" s="9">
        <f t="shared" si="11"/>
        <v>1.4677765750717946E-4</v>
      </c>
      <c r="V50" s="100">
        <f t="shared" si="14"/>
        <v>0.81849189139925893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192</v>
      </c>
      <c r="C51" s="46" t="s">
        <v>193</v>
      </c>
      <c r="D51" s="90">
        <v>5.0487680000000008</v>
      </c>
      <c r="E51" s="90">
        <v>6.0352960000000007</v>
      </c>
      <c r="F51" s="96">
        <v>9.9999999999999995E-7</v>
      </c>
      <c r="G51" s="168"/>
      <c r="H51" s="168"/>
      <c r="I51" s="92">
        <f t="shared" ref="I51:I70" si="24">IF(D51=0,"",LOG($K$15*10^D51+$K$16*10^E51+$K$14))</f>
        <v>1.9819141928346475</v>
      </c>
      <c r="J51" s="92">
        <f t="shared" ref="J51:J70" si="25">IF(D51=0,"",LOG($K$21*10^D51+$K$22*10^E51+$K$20))</f>
        <v>4.65500335522374</v>
      </c>
      <c r="K51" s="93">
        <f t="shared" ref="K51:K70" si="26">IF(D51=0,"",1/(1+10^D51*$J$15/$J$14+10^E51*$J$16/$J$14+10^J51*$J$19/$J$14))</f>
        <v>8.7677330778508956E-3</v>
      </c>
      <c r="L51" s="93">
        <f t="shared" ref="L51:L70" si="27">IF(D51=0,"",1/(1+10^I51/10^J51*$J$13/$J$19))</f>
        <v>0.1585534473777713</v>
      </c>
      <c r="M51" s="93">
        <f t="shared" ref="M51:M70" si="28">IF(D51=0,"",1-L51)</f>
        <v>0.84144655262222867</v>
      </c>
      <c r="N51" s="93">
        <f t="shared" ref="N51:N70" si="29">IF(D51=0,"",1/(1/10^E51*$J$20/$J$22+10^D51/10^E51*$J$21/$J$22+10^I51/10^E51*$J$13/$J$22+1))</f>
        <v>0.12141127420346395</v>
      </c>
      <c r="O51" s="40">
        <f t="shared" ref="O51:O70" si="30">IF(D51=0,"",F51*K51*$J$7/$J$14)</f>
        <v>8.7757860282446643E-9</v>
      </c>
      <c r="P51" s="40">
        <f t="shared" ref="P51:P70" si="31">IF(D51=0,"",O51*10^J51)</f>
        <v>3.9654217189180607E-4</v>
      </c>
      <c r="Q51" s="40">
        <f t="shared" ref="Q51:Q70" si="32">IF(D51=0,"",F51*N51*$J$7/$J$22)</f>
        <v>9.5187961373938354E-3</v>
      </c>
      <c r="R51" s="9">
        <f t="shared" si="12"/>
        <v>1.4999999999999999E-4</v>
      </c>
      <c r="S51" s="9">
        <f t="shared" si="13"/>
        <v>2.3783017106665692E-5</v>
      </c>
      <c r="T51" s="9">
        <f t="shared" si="10"/>
        <v>1.3151599616776342E-6</v>
      </c>
      <c r="U51" s="9">
        <f t="shared" si="11"/>
        <v>1.2621698289333428E-4</v>
      </c>
      <c r="V51" s="100">
        <f t="shared" si="14"/>
        <v>1.0419833619292525E-2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194</v>
      </c>
      <c r="C52" s="46" t="s">
        <v>195</v>
      </c>
      <c r="D52" s="47">
        <v>2.7330160000000001</v>
      </c>
      <c r="E52" s="47">
        <v>3.3310319999999995</v>
      </c>
      <c r="F52" s="96">
        <v>9.9999999999999995E-7</v>
      </c>
      <c r="G52" s="168"/>
      <c r="H52" s="168"/>
      <c r="I52" s="92">
        <f t="shared" si="24"/>
        <v>0.12726341031571042</v>
      </c>
      <c r="J52" s="92">
        <f t="shared" si="25"/>
        <v>2.0806048106090933</v>
      </c>
      <c r="K52" s="93">
        <f t="shared" si="26"/>
        <v>0.71975235208056765</v>
      </c>
      <c r="L52" s="93">
        <f t="shared" si="27"/>
        <v>3.4679507206254144E-2</v>
      </c>
      <c r="M52" s="93">
        <f t="shared" si="28"/>
        <v>0.96532049279374588</v>
      </c>
      <c r="N52" s="93">
        <f t="shared" si="29"/>
        <v>1.9692043660188053E-2</v>
      </c>
      <c r="O52" s="40">
        <f t="shared" si="30"/>
        <v>7.2041342717667733E-7</v>
      </c>
      <c r="P52" s="40">
        <f t="shared" si="31"/>
        <v>8.6733447522841591E-5</v>
      </c>
      <c r="Q52" s="40">
        <f t="shared" si="32"/>
        <v>1.5438809151764993E-3</v>
      </c>
      <c r="R52" s="9">
        <f t="shared" si="12"/>
        <v>1.4999999999999999E-4</v>
      </c>
      <c r="S52" s="9">
        <f t="shared" si="13"/>
        <v>5.201926080938121E-6</v>
      </c>
      <c r="T52" s="9">
        <f t="shared" si="10"/>
        <v>1.0796285281208513E-4</v>
      </c>
      <c r="U52" s="9">
        <f t="shared" si="11"/>
        <v>1.4479807391906186E-4</v>
      </c>
      <c r="V52" s="100">
        <f t="shared" si="14"/>
        <v>0.74560973008821507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196</v>
      </c>
      <c r="C53" s="46" t="s">
        <v>197</v>
      </c>
      <c r="D53" s="47">
        <v>3.4406639999999999</v>
      </c>
      <c r="E53" s="47">
        <v>4.222847999999999</v>
      </c>
      <c r="F53" s="96">
        <v>9.9999999999999995E-7</v>
      </c>
      <c r="G53" s="168"/>
      <c r="H53" s="168"/>
      <c r="I53" s="92">
        <f t="shared" si="24"/>
        <v>0.47104615060046062</v>
      </c>
      <c r="J53" s="92">
        <f t="shared" si="25"/>
        <v>2.9002106257320843</v>
      </c>
      <c r="K53" s="93">
        <f t="shared" si="26"/>
        <v>0.30507242067778056</v>
      </c>
      <c r="L53" s="93">
        <f t="shared" si="27"/>
        <v>9.7028337010823446E-2</v>
      </c>
      <c r="M53" s="93">
        <f t="shared" si="28"/>
        <v>0.90297166298917653</v>
      </c>
      <c r="N53" s="93">
        <f t="shared" si="29"/>
        <v>6.5061885541739112E-2</v>
      </c>
      <c r="O53" s="40">
        <f t="shared" si="30"/>
        <v>3.0535262230440532E-7</v>
      </c>
      <c r="P53" s="40">
        <f t="shared" si="31"/>
        <v>2.4266787086406946E-4</v>
      </c>
      <c r="Q53" s="40">
        <f t="shared" si="32"/>
        <v>5.1009334087739663E-3</v>
      </c>
      <c r="R53" s="9">
        <f t="shared" si="12"/>
        <v>1.4999999999999999E-4</v>
      </c>
      <c r="S53" s="9">
        <f t="shared" si="13"/>
        <v>1.4554250551623516E-5</v>
      </c>
      <c r="T53" s="9">
        <f t="shared" si="10"/>
        <v>4.5760863101667077E-5</v>
      </c>
      <c r="U53" s="9">
        <f t="shared" si="11"/>
        <v>1.3544574944837647E-4</v>
      </c>
      <c r="V53" s="100">
        <f t="shared" si="14"/>
        <v>0.337853814446265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198</v>
      </c>
      <c r="C54" s="46" t="s">
        <v>199</v>
      </c>
      <c r="D54" s="47">
        <v>2.8976480000000002</v>
      </c>
      <c r="E54" s="47">
        <v>3.5312959999999993</v>
      </c>
      <c r="F54" s="96">
        <v>9.9999999999999995E-7</v>
      </c>
      <c r="G54" s="168"/>
      <c r="H54" s="168"/>
      <c r="I54" s="92">
        <f t="shared" si="24"/>
        <v>0.17835694544431213</v>
      </c>
      <c r="J54" s="92">
        <f t="shared" si="25"/>
        <v>2.2648778324590841</v>
      </c>
      <c r="K54" s="93">
        <f t="shared" si="26"/>
        <v>0.63200113448547102</v>
      </c>
      <c r="L54" s="93">
        <f t="shared" si="27"/>
        <v>4.6545822014009273E-2</v>
      </c>
      <c r="M54" s="93">
        <f t="shared" si="28"/>
        <v>0.95345417798599075</v>
      </c>
      <c r="N54" s="93">
        <f t="shared" si="29"/>
        <v>2.7421395653008312E-2</v>
      </c>
      <c r="O54" s="40">
        <f t="shared" si="30"/>
        <v>6.3258161221439229E-7</v>
      </c>
      <c r="P54" s="40">
        <f t="shared" si="31"/>
        <v>1.1641110085703726E-4</v>
      </c>
      <c r="Q54" s="40">
        <f t="shared" si="32"/>
        <v>2.149871803391028E-3</v>
      </c>
      <c r="R54" s="9">
        <f t="shared" si="12"/>
        <v>1.4999999999999999E-4</v>
      </c>
      <c r="S54" s="9">
        <f t="shared" si="13"/>
        <v>6.9818733021013906E-6</v>
      </c>
      <c r="T54" s="9">
        <f t="shared" si="10"/>
        <v>9.4800170172820646E-5</v>
      </c>
      <c r="U54" s="9">
        <f t="shared" si="11"/>
        <v>1.4301812669789861E-4</v>
      </c>
      <c r="V54" s="100">
        <f t="shared" si="14"/>
        <v>0.6628542294716937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102</v>
      </c>
      <c r="C55" s="46" t="s">
        <v>103</v>
      </c>
      <c r="D55" s="47">
        <v>1.423632</v>
      </c>
      <c r="E55" s="47">
        <v>1.638849</v>
      </c>
      <c r="F55" s="96">
        <v>9.9999999999999995E-7</v>
      </c>
      <c r="G55" s="168"/>
      <c r="H55" s="168"/>
      <c r="I55" s="54">
        <f t="shared" si="24"/>
        <v>5.9812805986470914E-3</v>
      </c>
      <c r="J55" s="54">
        <f t="shared" si="25"/>
        <v>0.678648535608118</v>
      </c>
      <c r="K55" s="55">
        <f t="shared" si="26"/>
        <v>0.98395881390936313</v>
      </c>
      <c r="L55" s="55">
        <f t="shared" si="27"/>
        <v>1.8789294350804377E-3</v>
      </c>
      <c r="M55" s="55">
        <f t="shared" si="28"/>
        <v>0.99812107056491961</v>
      </c>
      <c r="N55" s="55">
        <f t="shared" si="29"/>
        <v>5.4689205920715924E-4</v>
      </c>
      <c r="O55" s="56">
        <f t="shared" si="30"/>
        <v>9.8486255623905874E-7</v>
      </c>
      <c r="P55" s="56">
        <f t="shared" si="31"/>
        <v>4.6992025171361753E-6</v>
      </c>
      <c r="Q55" s="56">
        <f t="shared" si="32"/>
        <v>4.2877023199909255E-5</v>
      </c>
      <c r="R55" s="9">
        <f t="shared" si="12"/>
        <v>1.4999999999999999E-4</v>
      </c>
      <c r="S55" s="9">
        <f t="shared" si="13"/>
        <v>2.8183941526206562E-7</v>
      </c>
      <c r="T55" s="9">
        <f t="shared" si="10"/>
        <v>1.4759382208640447E-4</v>
      </c>
      <c r="U55" s="9">
        <f t="shared" si="11"/>
        <v>1.4971816058473794E-4</v>
      </c>
      <c r="V55" s="100">
        <f t="shared" si="14"/>
        <v>0.98581108337133805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200</v>
      </c>
      <c r="C56" s="46" t="s">
        <v>201</v>
      </c>
      <c r="D56" s="47">
        <v>2.6912000000000003</v>
      </c>
      <c r="E56" s="47">
        <v>3.3249699999999995</v>
      </c>
      <c r="F56" s="96">
        <v>9.9999999999999995E-7</v>
      </c>
      <c r="G56" s="168"/>
      <c r="H56" s="168"/>
      <c r="I56" s="54">
        <f t="shared" si="24"/>
        <v>0.11910186422699467</v>
      </c>
      <c r="J56" s="54">
        <f t="shared" si="25"/>
        <v>2.0597542825278099</v>
      </c>
      <c r="K56" s="55">
        <f t="shared" si="26"/>
        <v>0.7341394072272539</v>
      </c>
      <c r="L56" s="55">
        <f t="shared" si="27"/>
        <v>3.371458618556266E-2</v>
      </c>
      <c r="M56" s="55">
        <f t="shared" si="28"/>
        <v>0.96628541381443733</v>
      </c>
      <c r="N56" s="55">
        <f t="shared" si="29"/>
        <v>1.9807252321415104E-2</v>
      </c>
      <c r="O56" s="56">
        <f t="shared" si="30"/>
        <v>7.3481369648492389E-7</v>
      </c>
      <c r="P56" s="56">
        <f t="shared" si="31"/>
        <v>8.4320180050092205E-5</v>
      </c>
      <c r="Q56" s="56">
        <f t="shared" si="32"/>
        <v>1.552913418678971E-3</v>
      </c>
      <c r="R56" s="9">
        <f t="shared" si="12"/>
        <v>1.4999999999999999E-4</v>
      </c>
      <c r="S56" s="9">
        <f t="shared" si="13"/>
        <v>5.057187927834399E-6</v>
      </c>
      <c r="T56" s="9">
        <f t="shared" si="10"/>
        <v>1.1012091108408808E-4</v>
      </c>
      <c r="U56" s="9">
        <f t="shared" si="11"/>
        <v>1.449428120721656E-4</v>
      </c>
      <c r="V56" s="100">
        <f t="shared" si="14"/>
        <v>0.75975420588128206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104</v>
      </c>
      <c r="C57" s="87" t="s">
        <v>105</v>
      </c>
      <c r="D57" s="90">
        <v>2.1493200000000003</v>
      </c>
      <c r="E57" s="90">
        <v>2.6108399999999996</v>
      </c>
      <c r="F57" s="96">
        <v>9.9999999999999995E-7</v>
      </c>
      <c r="G57" s="168"/>
      <c r="H57" s="168"/>
      <c r="I57" s="54">
        <f t="shared" si="24"/>
        <v>3.4503381608646556E-2</v>
      </c>
      <c r="J57" s="54">
        <f t="shared" si="25"/>
        <v>1.435139969210834</v>
      </c>
      <c r="K57" s="55">
        <f t="shared" si="26"/>
        <v>0.91395211195420201</v>
      </c>
      <c r="L57" s="55">
        <f t="shared" si="27"/>
        <v>9.9620432782508185E-3</v>
      </c>
      <c r="M57" s="55">
        <f t="shared" si="28"/>
        <v>0.99003795672174921</v>
      </c>
      <c r="N57" s="55">
        <f t="shared" si="29"/>
        <v>4.7625455014224946E-3</v>
      </c>
      <c r="O57" s="56">
        <f t="shared" si="30"/>
        <v>9.1479155482438273E-7</v>
      </c>
      <c r="P57" s="56">
        <f t="shared" si="31"/>
        <v>2.4915070238905307E-5</v>
      </c>
      <c r="Q57" s="56">
        <f t="shared" si="32"/>
        <v>3.7338953915541249E-4</v>
      </c>
      <c r="R57" s="9">
        <f t="shared" si="12"/>
        <v>1.4999999999999999E-4</v>
      </c>
      <c r="S57" s="9">
        <f t="shared" si="13"/>
        <v>1.4943064917376227E-6</v>
      </c>
      <c r="T57" s="9">
        <f t="shared" si="10"/>
        <v>1.3709281679313029E-4</v>
      </c>
      <c r="U57" s="9">
        <f t="shared" si="11"/>
        <v>1.4850569350826238E-4</v>
      </c>
      <c r="V57" s="100">
        <f t="shared" si="14"/>
        <v>0.92314855783965544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143</v>
      </c>
      <c r="C58" s="46" t="s">
        <v>144</v>
      </c>
      <c r="D58" s="47">
        <v>2.0184960000000003</v>
      </c>
      <c r="E58" s="47">
        <v>2.3512620000000002</v>
      </c>
      <c r="F58" s="96">
        <v>9.9999999999999995E-7</v>
      </c>
      <c r="G58" s="168"/>
      <c r="H58" s="168"/>
      <c r="I58" s="54">
        <f t="shared" si="24"/>
        <v>2.4527660835054643E-2</v>
      </c>
      <c r="J58" s="54">
        <f t="shared" si="25"/>
        <v>1.2530323770467107</v>
      </c>
      <c r="K58" s="55">
        <f t="shared" si="26"/>
        <v>0.93824705867818103</v>
      </c>
      <c r="L58" s="55">
        <f t="shared" si="27"/>
        <v>6.7241068004299321E-3</v>
      </c>
      <c r="M58" s="55">
        <f t="shared" si="28"/>
        <v>0.9932758931995701</v>
      </c>
      <c r="N58" s="55">
        <f t="shared" si="29"/>
        <v>2.6893969550217632E-3</v>
      </c>
      <c r="O58" s="56">
        <f t="shared" si="30"/>
        <v>9.3910881586827191E-7</v>
      </c>
      <c r="P58" s="56">
        <f t="shared" si="31"/>
        <v>1.681699110787526E-5</v>
      </c>
      <c r="Q58" s="56">
        <f t="shared" si="32"/>
        <v>2.1085209355828935E-4</v>
      </c>
      <c r="R58" s="9">
        <f t="shared" si="12"/>
        <v>1.4999999999999999E-4</v>
      </c>
      <c r="S58" s="9">
        <f t="shared" si="13"/>
        <v>1.0086160200644898E-6</v>
      </c>
      <c r="T58" s="9">
        <f t="shared" si="10"/>
        <v>1.4073705880172715E-4</v>
      </c>
      <c r="U58" s="9">
        <f t="shared" si="11"/>
        <v>1.489913839799355E-4</v>
      </c>
      <c r="V58" s="100">
        <f t="shared" si="14"/>
        <v>0.94459864082261324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145</v>
      </c>
      <c r="C59" s="46" t="s">
        <v>146</v>
      </c>
      <c r="D59" s="47">
        <v>1.4665360000000003</v>
      </c>
      <c r="E59" s="47">
        <v>1.8522119999999997</v>
      </c>
      <c r="F59" s="96">
        <v>9.9999999999999995E-7</v>
      </c>
      <c r="G59" s="168"/>
      <c r="H59" s="168"/>
      <c r="I59" s="54">
        <f t="shared" si="24"/>
        <v>6.9959414880738915E-3</v>
      </c>
      <c r="J59" s="54">
        <f t="shared" si="25"/>
        <v>0.77181105160959218</v>
      </c>
      <c r="K59" s="55">
        <f t="shared" si="26"/>
        <v>0.98122685015900646</v>
      </c>
      <c r="L59" s="55">
        <f t="shared" si="27"/>
        <v>2.3220175050303322E-3</v>
      </c>
      <c r="M59" s="55">
        <f t="shared" si="28"/>
        <v>0.99767798249496964</v>
      </c>
      <c r="N59" s="55">
        <f t="shared" si="29"/>
        <v>8.9136816824539095E-4</v>
      </c>
      <c r="O59" s="56">
        <f t="shared" si="30"/>
        <v>9.821280832461914E-7</v>
      </c>
      <c r="P59" s="56">
        <f t="shared" si="31"/>
        <v>5.8073657800808616E-6</v>
      </c>
      <c r="Q59" s="56">
        <f t="shared" si="32"/>
        <v>6.9884382093470928E-5</v>
      </c>
      <c r="R59" s="9">
        <f t="shared" si="12"/>
        <v>1.4999999999999999E-4</v>
      </c>
      <c r="S59" s="9">
        <f t="shared" si="13"/>
        <v>3.4830262575454982E-7</v>
      </c>
      <c r="T59" s="9">
        <f t="shared" si="10"/>
        <v>1.4718402752385095E-4</v>
      </c>
      <c r="U59" s="9">
        <f t="shared" si="11"/>
        <v>1.4965169737424542E-4</v>
      </c>
      <c r="V59" s="100">
        <f t="shared" si="14"/>
        <v>0.98351057893968696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147</v>
      </c>
      <c r="C60" s="46" t="s">
        <v>148</v>
      </c>
      <c r="D60" s="47">
        <v>2.7203999877244023</v>
      </c>
      <c r="E60" s="47">
        <v>3.3923999825375306</v>
      </c>
      <c r="F60" s="96">
        <v>9.9999999999999995E-7</v>
      </c>
      <c r="G60" s="168"/>
      <c r="H60" s="168"/>
      <c r="I60" s="54">
        <f t="shared" si="24"/>
        <v>0.12885708410514962</v>
      </c>
      <c r="J60" s="54">
        <f t="shared" si="25"/>
        <v>2.1116158946803365</v>
      </c>
      <c r="K60" s="55">
        <f t="shared" si="26"/>
        <v>0.71537732972436108</v>
      </c>
      <c r="L60" s="55">
        <f t="shared" si="27"/>
        <v>3.7019971672255542E-2</v>
      </c>
      <c r="M60" s="55">
        <f t="shared" si="28"/>
        <v>0.96298002832774443</v>
      </c>
      <c r="N60" s="55">
        <f t="shared" si="29"/>
        <v>2.2542955462393089E-2</v>
      </c>
      <c r="O60" s="56">
        <f t="shared" si="30"/>
        <v>7.1603438646844142E-7</v>
      </c>
      <c r="P60" s="56">
        <f t="shared" si="31"/>
        <v>9.2586949152311107E-5</v>
      </c>
      <c r="Q60" s="56">
        <f t="shared" si="32"/>
        <v>1.7673959752804111E-3</v>
      </c>
      <c r="R60" s="9">
        <f t="shared" si="12"/>
        <v>1.4999999999999999E-4</v>
      </c>
      <c r="S60" s="9">
        <f t="shared" si="13"/>
        <v>5.5529957508383306E-6</v>
      </c>
      <c r="T60" s="9">
        <f t="shared" si="10"/>
        <v>1.0730659945865415E-4</v>
      </c>
      <c r="U60" s="9">
        <f t="shared" si="11"/>
        <v>1.4444700424916165E-4</v>
      </c>
      <c r="V60" s="100">
        <f t="shared" si="14"/>
        <v>0.74287867731446522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149</v>
      </c>
      <c r="C61" s="46" t="s">
        <v>150</v>
      </c>
      <c r="D61" s="47">
        <v>3.4658999877244021</v>
      </c>
      <c r="E61" s="47">
        <v>4.4528999825375299</v>
      </c>
      <c r="F61" s="96">
        <v>9.9999999999999995E-7</v>
      </c>
      <c r="G61" s="168"/>
      <c r="H61" s="168"/>
      <c r="I61" s="54">
        <f t="shared" si="24"/>
        <v>0.54169315053805034</v>
      </c>
      <c r="J61" s="54">
        <f t="shared" si="25"/>
        <v>3.0728093485084504</v>
      </c>
      <c r="K61" s="55">
        <f t="shared" si="26"/>
        <v>0.25278244106279085</v>
      </c>
      <c r="L61" s="55">
        <f t="shared" si="27"/>
        <v>0.11963032045291604</v>
      </c>
      <c r="M61" s="55">
        <f t="shared" si="28"/>
        <v>0.88036967954708401</v>
      </c>
      <c r="N61" s="55">
        <f t="shared" si="29"/>
        <v>9.156354174662798E-2</v>
      </c>
      <c r="O61" s="56">
        <f t="shared" si="30"/>
        <v>2.5301461561010203E-7</v>
      </c>
      <c r="P61" s="56">
        <f t="shared" si="31"/>
        <v>2.9919543145274315E-4</v>
      </c>
      <c r="Q61" s="56">
        <f t="shared" si="32"/>
        <v>7.1786964861541248E-3</v>
      </c>
      <c r="R61" s="9">
        <f t="shared" si="12"/>
        <v>1.4999999999999999E-4</v>
      </c>
      <c r="S61" s="9">
        <f t="shared" si="13"/>
        <v>1.7944548067937404E-5</v>
      </c>
      <c r="T61" s="9">
        <f t="shared" si="10"/>
        <v>3.7917366159418625E-5</v>
      </c>
      <c r="U61" s="9">
        <f t="shared" si="11"/>
        <v>1.3205545193206258E-4</v>
      </c>
      <c r="V61" s="100">
        <f t="shared" si="14"/>
        <v>0.2871321524758072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151</v>
      </c>
      <c r="C62" s="46" t="s">
        <v>152</v>
      </c>
      <c r="D62" s="47">
        <v>4.1687999877244026</v>
      </c>
      <c r="E62" s="47">
        <v>5.4527999825375302</v>
      </c>
      <c r="F62" s="96">
        <v>9.9999999999999995E-7</v>
      </c>
      <c r="G62" s="168"/>
      <c r="H62" s="168"/>
      <c r="I62" s="54">
        <f t="shared" si="24"/>
        <v>1.2755126419323455</v>
      </c>
      <c r="J62" s="54">
        <f t="shared" si="25"/>
        <v>4.0189102052984715</v>
      </c>
      <c r="K62" s="55">
        <f t="shared" si="26"/>
        <v>4.3386404657734703E-2</v>
      </c>
      <c r="L62" s="55">
        <f t="shared" si="27"/>
        <v>0.18136307974595359</v>
      </c>
      <c r="M62" s="55">
        <f t="shared" si="28"/>
        <v>0.81863692025404644</v>
      </c>
      <c r="N62" s="55">
        <f t="shared" si="29"/>
        <v>0.15711923006999806</v>
      </c>
      <c r="O62" s="56">
        <f t="shared" si="30"/>
        <v>4.3426254019179727E-8</v>
      </c>
      <c r="P62" s="56">
        <f t="shared" si="31"/>
        <v>4.5358906244462999E-4</v>
      </c>
      <c r="Q62" s="56">
        <f t="shared" si="32"/>
        <v>1.2318344652196399E-2</v>
      </c>
      <c r="R62" s="9">
        <f t="shared" si="12"/>
        <v>1.4999999999999999E-4</v>
      </c>
      <c r="S62" s="9">
        <f t="shared" si="13"/>
        <v>2.7204461961893034E-5</v>
      </c>
      <c r="T62" s="9">
        <f t="shared" si="10"/>
        <v>6.5079606986602052E-6</v>
      </c>
      <c r="U62" s="9">
        <f t="shared" si="11"/>
        <v>1.2279553803810697E-4</v>
      </c>
      <c r="V62" s="100">
        <f t="shared" si="14"/>
        <v>5.2998348332824595E-2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153</v>
      </c>
      <c r="C63" s="46" t="s">
        <v>154</v>
      </c>
      <c r="D63" s="47">
        <v>4.999499987724402</v>
      </c>
      <c r="E63" s="47">
        <v>6.6344999825375304</v>
      </c>
      <c r="F63" s="96">
        <v>9.9999999999999995E-7</v>
      </c>
      <c r="G63" s="168"/>
      <c r="H63" s="168"/>
      <c r="I63" s="54">
        <f t="shared" si="24"/>
        <v>2.3278344887119857</v>
      </c>
      <c r="J63" s="54">
        <f t="shared" si="25"/>
        <v>5.1671582969725547</v>
      </c>
      <c r="K63" s="55">
        <f t="shared" si="26"/>
        <v>3.6811802917278069E-3</v>
      </c>
      <c r="L63" s="55">
        <f t="shared" si="27"/>
        <v>0.21648629075868739</v>
      </c>
      <c r="M63" s="55">
        <f t="shared" si="28"/>
        <v>0.78351370924131258</v>
      </c>
      <c r="N63" s="55">
        <f t="shared" si="29"/>
        <v>0.20256423489941663</v>
      </c>
      <c r="O63" s="56">
        <f t="shared" si="30"/>
        <v>3.6845613666324134E-9</v>
      </c>
      <c r="P63" s="56">
        <f t="shared" si="31"/>
        <v>5.4143221318747733E-4</v>
      </c>
      <c r="Q63" s="56">
        <f t="shared" si="32"/>
        <v>1.5881290015154891E-2</v>
      </c>
      <c r="R63" s="9">
        <f t="shared" si="12"/>
        <v>1.4999999999999999E-4</v>
      </c>
      <c r="S63" s="9">
        <f t="shared" si="13"/>
        <v>3.2472943613803106E-5</v>
      </c>
      <c r="T63" s="9">
        <f t="shared" si="10"/>
        <v>5.5217704375917099E-7</v>
      </c>
      <c r="U63" s="9">
        <f t="shared" si="11"/>
        <v>1.1752705638619687E-4</v>
      </c>
      <c r="V63" s="100">
        <f t="shared" si="14"/>
        <v>4.6982972324662265E-3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155</v>
      </c>
      <c r="C64" s="46" t="s">
        <v>156</v>
      </c>
      <c r="D64" s="47">
        <v>4.4669999877244022</v>
      </c>
      <c r="E64" s="47">
        <v>5.8769999825375301</v>
      </c>
      <c r="F64" s="96">
        <v>9.9999999999999995E-7</v>
      </c>
      <c r="G64" s="168"/>
      <c r="H64" s="168"/>
      <c r="I64" s="54">
        <f t="shared" si="24"/>
        <v>1.6404345211947191</v>
      </c>
      <c r="J64" s="54">
        <f t="shared" si="25"/>
        <v>4.4282245597152992</v>
      </c>
      <c r="K64" s="55">
        <f t="shared" si="26"/>
        <v>1.83669239480269E-2</v>
      </c>
      <c r="L64" s="55">
        <f t="shared" si="27"/>
        <v>0.19703619019405563</v>
      </c>
      <c r="M64" s="55">
        <f t="shared" si="28"/>
        <v>0.8029638098059444</v>
      </c>
      <c r="N64" s="55">
        <f t="shared" si="29"/>
        <v>0.17664937591872257</v>
      </c>
      <c r="O64" s="56">
        <f t="shared" si="30"/>
        <v>1.8383793522650842E-8</v>
      </c>
      <c r="P64" s="56">
        <f t="shared" si="31"/>
        <v>4.9278751167533324E-4</v>
      </c>
      <c r="Q64" s="56">
        <f t="shared" si="32"/>
        <v>1.3849532575947497E-2</v>
      </c>
      <c r="R64" s="9">
        <f t="shared" si="12"/>
        <v>1.4999999999999999E-4</v>
      </c>
      <c r="S64" s="9">
        <f t="shared" si="13"/>
        <v>2.9555428529108341E-5</v>
      </c>
      <c r="T64" s="9">
        <f t="shared" si="10"/>
        <v>2.7550385922040347E-6</v>
      </c>
      <c r="U64" s="9">
        <f t="shared" si="11"/>
        <v>1.2044457147089165E-4</v>
      </c>
      <c r="V64" s="100">
        <f t="shared" si="14"/>
        <v>2.2873912527223005E-2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157</v>
      </c>
      <c r="C65" s="46" t="s">
        <v>158</v>
      </c>
      <c r="D65" s="47">
        <v>4.2539999877244021</v>
      </c>
      <c r="E65" s="47">
        <v>5.5739999825375302</v>
      </c>
      <c r="F65" s="96">
        <v>9.9999999999999995E-7</v>
      </c>
      <c r="G65" s="168"/>
      <c r="H65" s="168"/>
      <c r="I65" s="54">
        <f t="shared" si="24"/>
        <v>1.3777282566754774</v>
      </c>
      <c r="J65" s="54">
        <f t="shared" si="25"/>
        <v>4.1354611831278669</v>
      </c>
      <c r="K65" s="55">
        <f t="shared" si="26"/>
        <v>3.4080249720236148E-2</v>
      </c>
      <c r="L65" s="55">
        <f t="shared" si="27"/>
        <v>0.18631549113062473</v>
      </c>
      <c r="M65" s="55">
        <f t="shared" si="28"/>
        <v>0.81368450886937527</v>
      </c>
      <c r="N65" s="55">
        <f t="shared" si="29"/>
        <v>0.16314675802429182</v>
      </c>
      <c r="O65" s="56">
        <f t="shared" si="30"/>
        <v>3.4111551603855036E-8</v>
      </c>
      <c r="P65" s="56">
        <f t="shared" si="31"/>
        <v>4.6597504331769268E-4</v>
      </c>
      <c r="Q65" s="56">
        <f t="shared" si="32"/>
        <v>1.2790910401841812E-2</v>
      </c>
      <c r="R65" s="9">
        <f t="shared" si="12"/>
        <v>1.4999999999999999E-4</v>
      </c>
      <c r="S65" s="9">
        <f t="shared" si="13"/>
        <v>2.7947323669593706E-5</v>
      </c>
      <c r="T65" s="9">
        <f t="shared" si="10"/>
        <v>5.1120374580354217E-6</v>
      </c>
      <c r="U65" s="9">
        <f t="shared" si="11"/>
        <v>1.2205267633040627E-4</v>
      </c>
      <c r="V65" s="100">
        <f t="shared" si="14"/>
        <v>4.1883862048192458E-2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159</v>
      </c>
      <c r="C66" s="46" t="s">
        <v>160</v>
      </c>
      <c r="D66" s="47">
        <v>4.4669999877244022</v>
      </c>
      <c r="E66" s="47">
        <v>5.8769999825375301</v>
      </c>
      <c r="F66" s="96">
        <v>9.9999999999999995E-7</v>
      </c>
      <c r="G66" s="168"/>
      <c r="H66" s="168"/>
      <c r="I66" s="54">
        <f t="shared" si="24"/>
        <v>1.6404345211947191</v>
      </c>
      <c r="J66" s="54">
        <f t="shared" si="25"/>
        <v>4.4282245597152992</v>
      </c>
      <c r="K66" s="55">
        <f t="shared" si="26"/>
        <v>1.83669239480269E-2</v>
      </c>
      <c r="L66" s="55">
        <f t="shared" si="27"/>
        <v>0.19703619019405563</v>
      </c>
      <c r="M66" s="55">
        <f t="shared" si="28"/>
        <v>0.8029638098059444</v>
      </c>
      <c r="N66" s="55">
        <f t="shared" si="29"/>
        <v>0.17664937591872257</v>
      </c>
      <c r="O66" s="56">
        <f t="shared" si="30"/>
        <v>1.8383793522650842E-8</v>
      </c>
      <c r="P66" s="56">
        <f t="shared" si="31"/>
        <v>4.9278751167533324E-4</v>
      </c>
      <c r="Q66" s="56">
        <f t="shared" si="32"/>
        <v>1.3849532575947497E-2</v>
      </c>
      <c r="R66" s="9">
        <f t="shared" si="12"/>
        <v>1.4999999999999999E-4</v>
      </c>
      <c r="S66" s="9">
        <f t="shared" si="13"/>
        <v>2.9555428529108341E-5</v>
      </c>
      <c r="T66" s="9">
        <f t="shared" si="10"/>
        <v>2.7550385922040347E-6</v>
      </c>
      <c r="U66" s="9">
        <f t="shared" si="11"/>
        <v>1.2044457147089165E-4</v>
      </c>
      <c r="V66" s="100">
        <f t="shared" si="14"/>
        <v>2.2873912527223005E-2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113</v>
      </c>
      <c r="C67" s="46" t="s">
        <v>114</v>
      </c>
      <c r="D67" s="47">
        <v>-0.73745450190951667</v>
      </c>
      <c r="E67" s="47">
        <v>-1.5265197844064957</v>
      </c>
      <c r="F67" s="96">
        <v>9.9999999999999995E-7</v>
      </c>
      <c r="G67" s="168"/>
      <c r="H67" s="168"/>
      <c r="I67" s="54">
        <f t="shared" si="24"/>
        <v>-1.8635683569884906E-4</v>
      </c>
      <c r="J67" s="54">
        <f t="shared" si="25"/>
        <v>-4.9749784336411765E-2</v>
      </c>
      <c r="K67" s="55">
        <f t="shared" si="26"/>
        <v>0.99955427236282646</v>
      </c>
      <c r="L67" s="55">
        <f t="shared" si="27"/>
        <v>3.5673162291214466E-4</v>
      </c>
      <c r="M67" s="55">
        <f t="shared" si="28"/>
        <v>0.99964326837708783</v>
      </c>
      <c r="N67" s="55">
        <f t="shared" si="29"/>
        <v>3.7963154517221298E-7</v>
      </c>
      <c r="O67" s="56">
        <f t="shared" si="30"/>
        <v>1.0004723387432405E-6</v>
      </c>
      <c r="P67" s="56">
        <f t="shared" si="31"/>
        <v>8.9218578890327394E-7</v>
      </c>
      <c r="Q67" s="56">
        <f t="shared" si="32"/>
        <v>2.9763589168517389E-8</v>
      </c>
      <c r="R67" s="9">
        <f t="shared" si="12"/>
        <v>1.4999999999999999E-4</v>
      </c>
      <c r="S67" s="9">
        <f t="shared" si="13"/>
        <v>5.3509743436821695E-8</v>
      </c>
      <c r="T67" s="9">
        <f t="shared" si="10"/>
        <v>1.4993314085442395E-4</v>
      </c>
      <c r="U67" s="9">
        <f t="shared" si="11"/>
        <v>1.4994649025656316E-4</v>
      </c>
      <c r="V67" s="100">
        <f t="shared" si="14"/>
        <v>0.99991097222671654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115</v>
      </c>
      <c r="C68" s="46" t="s">
        <v>116</v>
      </c>
      <c r="D68" s="47">
        <v>4.7386560000000006</v>
      </c>
      <c r="E68" s="47">
        <v>5.8355820000000005</v>
      </c>
      <c r="F68" s="96">
        <v>9.9999999999999995E-7</v>
      </c>
      <c r="G68" s="168"/>
      <c r="H68" s="168"/>
      <c r="I68" s="54">
        <f t="shared" si="24"/>
        <v>1.7268855172909561</v>
      </c>
      <c r="J68" s="54">
        <f t="shared" si="25"/>
        <v>4.4318380891863303</v>
      </c>
      <c r="K68" s="55">
        <f t="shared" si="26"/>
        <v>1.5584948756319139E-2</v>
      </c>
      <c r="L68" s="55">
        <f t="shared" si="27"/>
        <v>0.16858870783830121</v>
      </c>
      <c r="M68" s="55">
        <f t="shared" si="28"/>
        <v>0.83141129216169873</v>
      </c>
      <c r="N68" s="55">
        <f t="shared" si="29"/>
        <v>0.1362583343898213</v>
      </c>
      <c r="O68" s="56">
        <f t="shared" si="30"/>
        <v>1.5599263154135506E-8</v>
      </c>
      <c r="P68" s="56">
        <f t="shared" si="31"/>
        <v>4.2164035830359148E-4</v>
      </c>
      <c r="Q68" s="56">
        <f t="shared" si="32"/>
        <v>1.068282427300762E-2</v>
      </c>
      <c r="R68" s="9">
        <f t="shared" si="12"/>
        <v>1.4999999999999999E-4</v>
      </c>
      <c r="S68" s="9">
        <f t="shared" si="13"/>
        <v>2.528830617574518E-5</v>
      </c>
      <c r="T68" s="9">
        <f t="shared" si="10"/>
        <v>2.3377423134478705E-6</v>
      </c>
      <c r="U68" s="9">
        <f t="shared" si="11"/>
        <v>1.2471169382425481E-4</v>
      </c>
      <c r="V68" s="100">
        <f t="shared" si="14"/>
        <v>1.8745173301408645E-2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117</v>
      </c>
      <c r="C69" s="46" t="s">
        <v>118</v>
      </c>
      <c r="D69" s="47">
        <v>2.3724999877244022</v>
      </c>
      <c r="E69" s="47">
        <v>2.8974999825375303</v>
      </c>
      <c r="F69" s="96">
        <v>9.9999999999999995E-7</v>
      </c>
      <c r="G69" s="168"/>
      <c r="H69" s="168"/>
      <c r="I69" s="54">
        <f t="shared" si="24"/>
        <v>5.7919228101834593E-2</v>
      </c>
      <c r="J69" s="54">
        <f t="shared" si="25"/>
        <v>1.6845900491093684</v>
      </c>
      <c r="K69" s="55">
        <f t="shared" si="26"/>
        <v>0.86012874144215345</v>
      </c>
      <c r="L69" s="55">
        <f t="shared" si="27"/>
        <v>1.6650931080812441E-2</v>
      </c>
      <c r="M69" s="55">
        <f t="shared" si="28"/>
        <v>0.98334906891918761</v>
      </c>
      <c r="N69" s="55">
        <f t="shared" si="29"/>
        <v>8.6723967842955753E-3</v>
      </c>
      <c r="O69" s="56">
        <f t="shared" si="30"/>
        <v>8.6091874885063498E-7</v>
      </c>
      <c r="P69" s="56">
        <f t="shared" si="31"/>
        <v>4.1643978633111913E-5</v>
      </c>
      <c r="Q69" s="56">
        <f t="shared" si="32"/>
        <v>6.7992678236749942E-4</v>
      </c>
      <c r="R69" s="9">
        <f t="shared" si="12"/>
        <v>1.4999999999999999E-4</v>
      </c>
      <c r="S69" s="9">
        <f t="shared" si="13"/>
        <v>2.4976396621218657E-6</v>
      </c>
      <c r="T69" s="9">
        <f t="shared" si="10"/>
        <v>1.29019311216323E-4</v>
      </c>
      <c r="U69" s="9">
        <f t="shared" si="11"/>
        <v>1.4750236033787812E-4</v>
      </c>
      <c r="V69" s="100">
        <f t="shared" si="14"/>
        <v>0.87469319759211517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111</v>
      </c>
      <c r="C70" s="46" t="s">
        <v>112</v>
      </c>
      <c r="D70" s="47">
        <v>3.3511520000000004</v>
      </c>
      <c r="E70" s="47">
        <v>4.2962190000000007</v>
      </c>
      <c r="F70" s="96">
        <v>9.9999999999999995E-7</v>
      </c>
      <c r="G70" s="168"/>
      <c r="H70" s="168"/>
      <c r="I70" s="54">
        <f t="shared" si="24"/>
        <v>0.45156382049297444</v>
      </c>
      <c r="J70" s="54">
        <f t="shared" si="25"/>
        <v>2.9264404342876054</v>
      </c>
      <c r="K70" s="55">
        <f t="shared" si="26"/>
        <v>0.31566983051647746</v>
      </c>
      <c r="L70" s="55">
        <f t="shared" si="27"/>
        <v>0.10664942677736848</v>
      </c>
      <c r="M70" s="55">
        <f t="shared" si="28"/>
        <v>0.89335057322263156</v>
      </c>
      <c r="N70" s="55">
        <f t="shared" si="29"/>
        <v>7.9712746740886423E-2</v>
      </c>
      <c r="O70" s="56">
        <f t="shared" si="30"/>
        <v>3.1595976560726854E-7</v>
      </c>
      <c r="P70" s="56">
        <f t="shared" si="31"/>
        <v>2.6673021637019858E-4</v>
      </c>
      <c r="Q70" s="56">
        <f t="shared" si="32"/>
        <v>6.2495792977729451E-3</v>
      </c>
      <c r="R70" s="9">
        <f t="shared" si="12"/>
        <v>1.4999999999999999E-4</v>
      </c>
      <c r="S70" s="9">
        <f t="shared" si="13"/>
        <v>1.599741401660527E-5</v>
      </c>
      <c r="T70" s="9">
        <f t="shared" si="10"/>
        <v>4.7350474577471612E-5</v>
      </c>
      <c r="U70" s="9">
        <f t="shared" si="11"/>
        <v>1.3400258598339471E-4</v>
      </c>
      <c r="V70" s="100">
        <f t="shared" si="14"/>
        <v>0.35335493139915353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119</v>
      </c>
      <c r="C71" s="46" t="s">
        <v>120</v>
      </c>
      <c r="D71" s="47">
        <v>5.9183200000000005</v>
      </c>
      <c r="E71" s="47">
        <v>7.0401399999999992</v>
      </c>
      <c r="F71" s="96">
        <v>9.9999999999999995E-7</v>
      </c>
      <c r="G71" s="168"/>
      <c r="H71" s="168"/>
      <c r="I71" s="54">
        <f t="shared" ref="I71:I122" si="33">IF(D71=0,"",LOG($K$15*10^D71+$K$16*10^E71+$K$14))</f>
        <v>2.9114243406645759</v>
      </c>
      <c r="J71" s="54">
        <f t="shared" ref="J71:J122" si="34">IF(D71=0,"",LOG($K$21*10^D71+$K$22*10^E71+$K$20))</f>
        <v>5.6317189226525786</v>
      </c>
      <c r="K71" s="55">
        <f t="shared" ref="K71:K122" si="35">IF(D71=0,"",1/(1+10^D71*$J$15/$J$14+10^E71*$J$16/$J$14+10^J71*$J$19/$J$14))</f>
        <v>1.0128421933964674E-3</v>
      </c>
      <c r="L71" s="55">
        <f t="shared" ref="L71:L122" si="36">IF(D71=0,"",1/(1+10^I71/10^J71*$J$13/$J$19))</f>
        <v>0.1735984015063243</v>
      </c>
      <c r="M71" s="55">
        <f t="shared" si="19"/>
        <v>0.82640159849367567</v>
      </c>
      <c r="N71" s="55">
        <f t="shared" ref="N71:N122" si="37">IF(D71=0,"",1/(1/10^E71*$J$20/$J$22+10^D71/10^E71*$J$21/$J$22+10^I71/10^E71*$J$13/$J$22+1))</f>
        <v>0.14182653160846811</v>
      </c>
      <c r="O71" s="56">
        <f t="shared" si="21"/>
        <v>1.0137724644103904E-9</v>
      </c>
      <c r="P71" s="56">
        <f t="shared" ref="P71:P122" si="38">IF(D71=0,"",O71*10^J71)</f>
        <v>4.3416960216731719E-4</v>
      </c>
      <c r="Q71" s="56">
        <f t="shared" ref="Q71:Q122" si="39">IF(D71=0,"",F71*N71*$J$7/$J$22)</f>
        <v>1.1119377917015009E-2</v>
      </c>
      <c r="R71" s="9">
        <f t="shared" si="12"/>
        <v>1.4999999999999999E-4</v>
      </c>
      <c r="S71" s="9">
        <f t="shared" si="13"/>
        <v>2.6039760225948642E-5</v>
      </c>
      <c r="T71" s="9">
        <f t="shared" si="10"/>
        <v>1.519263290094701E-7</v>
      </c>
      <c r="U71" s="9">
        <f t="shared" si="11"/>
        <v>1.2396023977405133E-4</v>
      </c>
      <c r="V71" s="100">
        <f t="shared" si="14"/>
        <v>1.2256053173694563E-3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121</v>
      </c>
      <c r="C72" s="46" t="s">
        <v>122</v>
      </c>
      <c r="D72" s="47">
        <v>5.5295200000000007</v>
      </c>
      <c r="E72" s="47">
        <v>6.5305900000000001</v>
      </c>
      <c r="F72" s="96">
        <v>9.9999999999999995E-7</v>
      </c>
      <c r="G72" s="168"/>
      <c r="H72" s="168"/>
      <c r="I72" s="54">
        <f t="shared" si="33"/>
        <v>2.4659786116205753</v>
      </c>
      <c r="J72" s="54">
        <f t="shared" si="34"/>
        <v>5.1469287331716504</v>
      </c>
      <c r="K72" s="55">
        <f t="shared" si="35"/>
        <v>2.8679197060676085E-3</v>
      </c>
      <c r="L72" s="55">
        <f t="shared" si="36"/>
        <v>0.16098326651792641</v>
      </c>
      <c r="M72" s="55">
        <f t="shared" si="19"/>
        <v>0.83901673348207362</v>
      </c>
      <c r="N72" s="55">
        <f t="shared" si="37"/>
        <v>0.12423177355081298</v>
      </c>
      <c r="O72" s="56">
        <f t="shared" si="21"/>
        <v>2.8705538208292248E-9</v>
      </c>
      <c r="P72" s="56">
        <f t="shared" si="38"/>
        <v>4.0261914956133429E-4</v>
      </c>
      <c r="Q72" s="56">
        <f t="shared" si="39"/>
        <v>9.7399268229022961E-3</v>
      </c>
      <c r="R72" s="9">
        <f t="shared" si="12"/>
        <v>1.4999999999999999E-4</v>
      </c>
      <c r="S72" s="9">
        <f t="shared" si="13"/>
        <v>2.4147489977688961E-5</v>
      </c>
      <c r="T72" s="9">
        <f t="shared" si="10"/>
        <v>4.3018795591014125E-7</v>
      </c>
      <c r="U72" s="9">
        <f t="shared" si="11"/>
        <v>1.2585251002231103E-4</v>
      </c>
      <c r="V72" s="100">
        <f t="shared" si="14"/>
        <v>3.4181913084918043E-3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123</v>
      </c>
      <c r="C73" s="46" t="s">
        <v>124</v>
      </c>
      <c r="D73" s="47">
        <v>5.4845040000000003</v>
      </c>
      <c r="E73" s="47">
        <v>6.5678879999999999</v>
      </c>
      <c r="F73" s="96">
        <v>9.9999999999999995E-7</v>
      </c>
      <c r="G73" s="168"/>
      <c r="H73" s="168"/>
      <c r="I73" s="54">
        <f t="shared" si="33"/>
        <v>2.4593424067669152</v>
      </c>
      <c r="J73" s="54">
        <f t="shared" si="34"/>
        <v>5.1667621736278413</v>
      </c>
      <c r="K73" s="55">
        <f t="shared" si="35"/>
        <v>2.8829131852741957E-3</v>
      </c>
      <c r="L73" s="55">
        <f t="shared" si="36"/>
        <v>0.16938648356157696</v>
      </c>
      <c r="M73" s="55">
        <f t="shared" si="19"/>
        <v>0.83061351643842307</v>
      </c>
      <c r="N73" s="55">
        <f t="shared" si="37"/>
        <v>0.1360803011311901</v>
      </c>
      <c r="O73" s="56">
        <f t="shared" si="21"/>
        <v>2.8855610711831778E-9</v>
      </c>
      <c r="P73" s="56">
        <f t="shared" si="38"/>
        <v>4.2363559538750384E-4</v>
      </c>
      <c r="Q73" s="56">
        <f t="shared" si="39"/>
        <v>1.0668866242291738E-2</v>
      </c>
      <c r="R73" s="9">
        <f t="shared" si="12"/>
        <v>1.4999999999999999E-4</v>
      </c>
      <c r="S73" s="9">
        <f t="shared" si="13"/>
        <v>2.5407972534236543E-5</v>
      </c>
      <c r="T73" s="9">
        <f t="shared" si="10"/>
        <v>4.3243697779112932E-7</v>
      </c>
      <c r="U73" s="9">
        <f t="shared" si="11"/>
        <v>1.2459202746576344E-4</v>
      </c>
      <c r="V73" s="100">
        <f t="shared" si="14"/>
        <v>3.4708238286752205E-3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125</v>
      </c>
      <c r="C74" s="46" t="s">
        <v>126</v>
      </c>
      <c r="D74" s="47">
        <v>2.7195840000000011</v>
      </c>
      <c r="E74" s="47">
        <v>3.2500779999999994</v>
      </c>
      <c r="F74" s="96">
        <v>9.9999999999999995E-7</v>
      </c>
      <c r="G74" s="168"/>
      <c r="H74" s="168"/>
      <c r="I74" s="54">
        <f t="shared" si="33"/>
        <v>0.12015758400049081</v>
      </c>
      <c r="J74" s="54">
        <f t="shared" si="34"/>
        <v>2.03023552063889</v>
      </c>
      <c r="K74" s="55">
        <f t="shared" si="35"/>
        <v>0.73403930874434964</v>
      </c>
      <c r="L74" s="55">
        <f t="shared" si="36"/>
        <v>3.1494872341462983E-2</v>
      </c>
      <c r="M74" s="55">
        <f t="shared" si="19"/>
        <v>0.96850512765853702</v>
      </c>
      <c r="N74" s="55">
        <f t="shared" si="37"/>
        <v>1.6667597902627413E-2</v>
      </c>
      <c r="O74" s="56">
        <f t="shared" si="21"/>
        <v>7.3471350606398858E-7</v>
      </c>
      <c r="P74" s="56">
        <f t="shared" si="38"/>
        <v>7.8768675725998934E-5</v>
      </c>
      <c r="Q74" s="56">
        <f t="shared" si="39"/>
        <v>1.3067605753752716E-3</v>
      </c>
      <c r="R74" s="9">
        <f t="shared" si="12"/>
        <v>1.4999999999999999E-4</v>
      </c>
      <c r="S74" s="9">
        <f t="shared" si="13"/>
        <v>4.7242308512194474E-6</v>
      </c>
      <c r="T74" s="9">
        <f t="shared" si="10"/>
        <v>1.1010589631165244E-4</v>
      </c>
      <c r="U74" s="9">
        <f t="shared" si="11"/>
        <v>1.4527576914878055E-4</v>
      </c>
      <c r="V74" s="100">
        <f t="shared" si="14"/>
        <v>0.75790957402462789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80</v>
      </c>
      <c r="C75" s="46" t="s">
        <v>81</v>
      </c>
      <c r="D75" s="47">
        <v>3.9841999877244016</v>
      </c>
      <c r="E75" s="47">
        <v>5.1901999825375293</v>
      </c>
      <c r="F75" s="96">
        <v>9.9999999999999995E-7</v>
      </c>
      <c r="G75" s="168"/>
      <c r="H75" s="168"/>
      <c r="I75" s="54">
        <f t="shared" si="33"/>
        <v>1.0613094291357714</v>
      </c>
      <c r="J75" s="54">
        <f t="shared" si="34"/>
        <v>3.7676067300109843</v>
      </c>
      <c r="K75" s="55">
        <f t="shared" si="35"/>
        <v>7.2119792525057402E-2</v>
      </c>
      <c r="L75" s="55">
        <f t="shared" si="36"/>
        <v>0.16902315843057622</v>
      </c>
      <c r="M75" s="55">
        <f t="shared" si="19"/>
        <v>0.83097684156942375</v>
      </c>
      <c r="N75" s="55">
        <f t="shared" si="37"/>
        <v>0.14266917451549321</v>
      </c>
      <c r="O75" s="56">
        <f t="shared" si="21"/>
        <v>7.2186032807061468E-8</v>
      </c>
      <c r="P75" s="56">
        <f t="shared" si="38"/>
        <v>4.2272691923487106E-4</v>
      </c>
      <c r="Q75" s="56">
        <f t="shared" si="39"/>
        <v>1.1185442177531301E-2</v>
      </c>
      <c r="R75" s="9">
        <f t="shared" si="12"/>
        <v>1.4999999999999999E-4</v>
      </c>
      <c r="S75" s="9">
        <f t="shared" si="13"/>
        <v>2.5353473764586429E-5</v>
      </c>
      <c r="T75" s="9">
        <f t="shared" si="10"/>
        <v>1.081796887875861E-5</v>
      </c>
      <c r="U75" s="9">
        <f t="shared" si="11"/>
        <v>1.2464652623541355E-4</v>
      </c>
      <c r="V75" s="100">
        <f t="shared" si="14"/>
        <v>8.6789172594567629E-2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127</v>
      </c>
      <c r="C76" s="46" t="s">
        <v>128</v>
      </c>
      <c r="D76" s="47">
        <v>4.10616</v>
      </c>
      <c r="E76" s="47">
        <v>5.1108449999999994</v>
      </c>
      <c r="F76" s="96">
        <v>9.9999999999999995E-7</v>
      </c>
      <c r="G76" s="168"/>
      <c r="H76" s="168"/>
      <c r="I76" s="54">
        <f t="shared" si="33"/>
        <v>1.080392983851221</v>
      </c>
      <c r="J76" s="54">
        <f t="shared" si="34"/>
        <v>3.7264296384905324</v>
      </c>
      <c r="K76" s="55">
        <f t="shared" si="35"/>
        <v>7.0564614635696479E-2</v>
      </c>
      <c r="L76" s="55">
        <f t="shared" si="36"/>
        <v>0.15041862928280042</v>
      </c>
      <c r="M76" s="55">
        <f t="shared" si="19"/>
        <v>0.84958137071719952</v>
      </c>
      <c r="N76" s="55">
        <f t="shared" si="37"/>
        <v>0.11628070905422956</v>
      </c>
      <c r="O76" s="56">
        <f t="shared" si="21"/>
        <v>7.0629426524490438E-8</v>
      </c>
      <c r="P76" s="56">
        <f t="shared" si="38"/>
        <v>3.7619699183628398E-4</v>
      </c>
      <c r="Q76" s="56">
        <f t="shared" si="39"/>
        <v>9.1165533963833284E-3</v>
      </c>
      <c r="R76" s="9">
        <f t="shared" si="12"/>
        <v>1.4999999999999999E-4</v>
      </c>
      <c r="S76" s="9">
        <f t="shared" si="13"/>
        <v>2.2562794392420062E-5</v>
      </c>
      <c r="T76" s="9">
        <f t="shared" si="10"/>
        <v>1.0584692195354472E-5</v>
      </c>
      <c r="U76" s="9">
        <f t="shared" si="11"/>
        <v>1.2743720560757992E-4</v>
      </c>
      <c r="V76" s="100">
        <f t="shared" si="14"/>
        <v>8.3058100221909584E-2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129</v>
      </c>
      <c r="C77" s="46" t="s">
        <v>130</v>
      </c>
      <c r="D77" s="47">
        <v>2.8295519999999996</v>
      </c>
      <c r="E77" s="47">
        <v>3.5791989999999991</v>
      </c>
      <c r="F77" s="96">
        <v>9.9999999999999995E-7</v>
      </c>
      <c r="G77" s="168"/>
      <c r="H77" s="168"/>
      <c r="I77" s="54">
        <f t="shared" si="33"/>
        <v>0.16668848098518507</v>
      </c>
      <c r="J77" s="54">
        <f t="shared" si="34"/>
        <v>2.2690970019934102</v>
      </c>
      <c r="K77" s="55">
        <f t="shared" si="35"/>
        <v>0.64808769953000556</v>
      </c>
      <c r="L77" s="55">
        <f t="shared" si="36"/>
        <v>4.8196532598345422E-2</v>
      </c>
      <c r="M77" s="55">
        <f t="shared" si="19"/>
        <v>0.95180346740165456</v>
      </c>
      <c r="N77" s="55">
        <f t="shared" si="37"/>
        <v>3.1398469271027726E-2</v>
      </c>
      <c r="O77" s="56">
        <f t="shared" si="21"/>
        <v>6.4868295237914986E-7</v>
      </c>
      <c r="P77" s="56">
        <f t="shared" si="38"/>
        <v>1.205395280284619E-4</v>
      </c>
      <c r="Q77" s="56">
        <f t="shared" si="39"/>
        <v>2.4616793619699172E-3</v>
      </c>
      <c r="R77" s="9">
        <f t="shared" si="12"/>
        <v>1.4999999999999999E-4</v>
      </c>
      <c r="S77" s="9">
        <f t="shared" si="13"/>
        <v>7.2294798897518131E-6</v>
      </c>
      <c r="T77" s="9">
        <f t="shared" si="10"/>
        <v>9.7213154929500821E-5</v>
      </c>
      <c r="U77" s="9">
        <f t="shared" si="11"/>
        <v>1.4277052011024818E-4</v>
      </c>
      <c r="V77" s="100">
        <f t="shared" si="14"/>
        <v>0.6809049575110625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82</v>
      </c>
      <c r="C78" s="46" t="s">
        <v>83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0.26960058474961779</v>
      </c>
      <c r="J78" s="54">
        <f t="shared" si="34"/>
        <v>2.5945811280852147</v>
      </c>
      <c r="K78" s="55">
        <f t="shared" si="35"/>
        <v>0.49537092216526279</v>
      </c>
      <c r="L78" s="55">
        <f t="shared" si="36"/>
        <v>7.7946506016634581E-2</v>
      </c>
      <c r="M78" s="55">
        <f t="shared" si="19"/>
        <v>0.92205349398336545</v>
      </c>
      <c r="N78" s="55">
        <f t="shared" si="37"/>
        <v>5.7677470735740484E-2</v>
      </c>
      <c r="O78" s="56">
        <f t="shared" si="21"/>
        <v>4.9582590835465655E-7</v>
      </c>
      <c r="P78" s="56">
        <f t="shared" si="38"/>
        <v>1.9494421154760309E-4</v>
      </c>
      <c r="Q78" s="56">
        <f t="shared" si="39"/>
        <v>4.5219860285293711E-3</v>
      </c>
      <c r="R78" s="9">
        <f t="shared" si="12"/>
        <v>1.4999999999999999E-4</v>
      </c>
      <c r="S78" s="9">
        <f t="shared" si="13"/>
        <v>1.1691975902495187E-5</v>
      </c>
      <c r="T78" s="9">
        <f t="shared" si="10"/>
        <v>7.4305638324789416E-5</v>
      </c>
      <c r="U78" s="9">
        <f t="shared" si="11"/>
        <v>1.383080240975048E-4</v>
      </c>
      <c r="V78" s="100">
        <f t="shared" si="14"/>
        <v>0.53724748661296184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131</v>
      </c>
      <c r="C79" s="46" t="s">
        <v>132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0.30972420580945559</v>
      </c>
      <c r="J79" s="54">
        <f t="shared" si="34"/>
        <v>2.5374746618878143</v>
      </c>
      <c r="K79" s="55">
        <f t="shared" si="35"/>
        <v>0.45882897123624461</v>
      </c>
      <c r="L79" s="55">
        <f t="shared" si="36"/>
        <v>6.3300990871313342E-2</v>
      </c>
      <c r="M79" s="55">
        <f t="shared" si="19"/>
        <v>0.93669900912868664</v>
      </c>
      <c r="N79" s="55">
        <f t="shared" si="37"/>
        <v>3.3282161939527544E-2</v>
      </c>
      <c r="O79" s="56">
        <f t="shared" si="21"/>
        <v>4.5925039452910515E-7</v>
      </c>
      <c r="P79" s="56">
        <f t="shared" si="38"/>
        <v>1.5831577816915467E-4</v>
      </c>
      <c r="Q79" s="56">
        <f t="shared" si="39"/>
        <v>2.6093632291773793E-3</v>
      </c>
      <c r="R79" s="9">
        <f t="shared" si="12"/>
        <v>1.4999999999999999E-4</v>
      </c>
      <c r="S79" s="9">
        <f t="shared" si="13"/>
        <v>9.4951486306970001E-6</v>
      </c>
      <c r="T79" s="9">
        <f t="shared" si="10"/>
        <v>6.8824345685436687E-5</v>
      </c>
      <c r="U79" s="9">
        <f t="shared" si="11"/>
        <v>1.4050485136930297E-4</v>
      </c>
      <c r="V79" s="100">
        <f t="shared" si="14"/>
        <v>0.48983608049617278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133</v>
      </c>
      <c r="C80" s="46" t="s">
        <v>134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0.35763444792585858</v>
      </c>
      <c r="J80" s="54">
        <f t="shared" si="34"/>
        <v>2.6178158804762943</v>
      </c>
      <c r="K80" s="55">
        <f t="shared" si="35"/>
        <v>0.40889734995254429</v>
      </c>
      <c r="L80" s="55">
        <f t="shared" si="36"/>
        <v>6.7875835825847178E-2</v>
      </c>
      <c r="M80" s="55">
        <f t="shared" si="19"/>
        <v>0.93212416417415278</v>
      </c>
      <c r="N80" s="55">
        <f t="shared" si="37"/>
        <v>3.4610748626153334E-2</v>
      </c>
      <c r="O80" s="56">
        <f t="shared" si="21"/>
        <v>4.0927291226107651E-7</v>
      </c>
      <c r="P80" s="56">
        <f t="shared" si="38"/>
        <v>1.6975746540044378E-4</v>
      </c>
      <c r="Q80" s="56">
        <f t="shared" si="39"/>
        <v>2.7135260913482601E-3</v>
      </c>
      <c r="R80" s="9">
        <f t="shared" si="12"/>
        <v>1.4999999999999999E-4</v>
      </c>
      <c r="S80" s="9">
        <f t="shared" si="13"/>
        <v>1.0181375373877075E-5</v>
      </c>
      <c r="T80" s="9">
        <f t="shared" si="10"/>
        <v>6.1334602492881641E-5</v>
      </c>
      <c r="U80" s="9">
        <f t="shared" si="11"/>
        <v>1.398186246261229E-4</v>
      </c>
      <c r="V80" s="100">
        <f t="shared" si="14"/>
        <v>0.43867262073912744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135</v>
      </c>
      <c r="C81" s="46" t="s">
        <v>136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1.4796577057346771</v>
      </c>
      <c r="J81" s="54">
        <f t="shared" si="34"/>
        <v>4.2142679595923802</v>
      </c>
      <c r="K81" s="55">
        <f t="shared" si="35"/>
        <v>2.7213797573745233E-2</v>
      </c>
      <c r="L81" s="55">
        <f t="shared" si="36"/>
        <v>0.17837834235476835</v>
      </c>
      <c r="M81" s="55">
        <f t="shared" si="19"/>
        <v>0.82162165764523165</v>
      </c>
      <c r="N81" s="55">
        <f t="shared" si="37"/>
        <v>0.15125259944808819</v>
      </c>
      <c r="O81" s="56">
        <f t="shared" si="21"/>
        <v>2.7238792787438624E-8</v>
      </c>
      <c r="P81" s="56">
        <f t="shared" si="38"/>
        <v>4.4612423422927579E-4</v>
      </c>
      <c r="Q81" s="56">
        <f t="shared" si="39"/>
        <v>1.1858393455162026E-2</v>
      </c>
      <c r="R81" s="9">
        <f t="shared" si="12"/>
        <v>1.4999999999999999E-4</v>
      </c>
      <c r="S81" s="9">
        <f t="shared" si="13"/>
        <v>2.675675135321525E-5</v>
      </c>
      <c r="T81" s="9">
        <f t="shared" si="10"/>
        <v>4.0820696360617849E-6</v>
      </c>
      <c r="U81" s="9">
        <f t="shared" si="11"/>
        <v>1.2324324864678473E-4</v>
      </c>
      <c r="V81" s="100">
        <f t="shared" si="14"/>
        <v>3.3122054805298097E-2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137</v>
      </c>
      <c r="C82" s="46" t="s">
        <v>138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1.2498866711591912</v>
      </c>
      <c r="J82" s="54">
        <f t="shared" si="34"/>
        <v>3.9177203460984957</v>
      </c>
      <c r="K82" s="55">
        <f t="shared" si="35"/>
        <v>4.7396239612879087E-2</v>
      </c>
      <c r="L82" s="55">
        <f t="shared" si="36"/>
        <v>0.15694563685101515</v>
      </c>
      <c r="M82" s="55">
        <f t="shared" si="19"/>
        <v>0.84305436314898485</v>
      </c>
      <c r="N82" s="55">
        <f t="shared" si="37"/>
        <v>0.12310638644630227</v>
      </c>
      <c r="O82" s="56">
        <f t="shared" si="21"/>
        <v>4.7439771910573908E-8</v>
      </c>
      <c r="P82" s="56">
        <f t="shared" si="38"/>
        <v>3.9252103776438895E-4</v>
      </c>
      <c r="Q82" s="56">
        <f t="shared" si="39"/>
        <v>9.6516950627649513E-3</v>
      </c>
      <c r="R82" s="9">
        <f t="shared" si="12"/>
        <v>1.4999999999999999E-4</v>
      </c>
      <c r="S82" s="9">
        <f t="shared" si="13"/>
        <v>2.3541845527652271E-5</v>
      </c>
      <c r="T82" s="9">
        <f t="shared" si="10"/>
        <v>7.1094359419318623E-6</v>
      </c>
      <c r="U82" s="9">
        <f t="shared" si="11"/>
        <v>1.2645815447234773E-4</v>
      </c>
      <c r="V82" s="100">
        <f t="shared" si="14"/>
        <v>5.6219671808404134E-2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84</v>
      </c>
      <c r="C83" s="46" t="s">
        <v>85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0.14841008082679891</v>
      </c>
      <c r="J83" s="54">
        <f t="shared" si="34"/>
        <v>2.2125616665002776</v>
      </c>
      <c r="K83" s="55">
        <f t="shared" si="35"/>
        <v>0.6787045293700702</v>
      </c>
      <c r="L83" s="55">
        <f t="shared" si="36"/>
        <v>4.4312619952214014E-2</v>
      </c>
      <c r="M83" s="55">
        <f t="shared" si="19"/>
        <v>0.95568738004778597</v>
      </c>
      <c r="N83" s="55">
        <f t="shared" si="37"/>
        <v>2.9063000187238591E-2</v>
      </c>
      <c r="O83" s="56">
        <f t="shared" si="21"/>
        <v>6.7932790303559063E-7</v>
      </c>
      <c r="P83" s="56">
        <f t="shared" si="38"/>
        <v>1.1082586250048723E-4</v>
      </c>
      <c r="Q83" s="56">
        <f t="shared" si="39"/>
        <v>2.2785756573129694E-3</v>
      </c>
      <c r="R83" s="9">
        <f t="shared" si="12"/>
        <v>1.4999999999999999E-4</v>
      </c>
      <c r="S83" s="9">
        <f t="shared" si="13"/>
        <v>6.6468929928321013E-6</v>
      </c>
      <c r="T83" s="9">
        <f t="shared" si="10"/>
        <v>1.0180567940551052E-4</v>
      </c>
      <c r="U83" s="9">
        <f t="shared" si="11"/>
        <v>1.4335310700716789E-4</v>
      </c>
      <c r="V83" s="100">
        <f t="shared" si="14"/>
        <v>0.71017420920231655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139</v>
      </c>
      <c r="C84" s="46" t="s">
        <v>140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1.3452769109111</v>
      </c>
      <c r="J84" s="54">
        <f t="shared" si="34"/>
        <v>3.9384447971611571</v>
      </c>
      <c r="K84" s="55">
        <f t="shared" si="35"/>
        <v>3.9017173370577599E-2</v>
      </c>
      <c r="L84" s="55">
        <f t="shared" si="36"/>
        <v>0.13551445246873375</v>
      </c>
      <c r="M84" s="55">
        <f t="shared" si="19"/>
        <v>0.86448554753126627</v>
      </c>
      <c r="N84" s="55">
        <f t="shared" si="37"/>
        <v>9.2032983397384832E-2</v>
      </c>
      <c r="O84" s="56">
        <f t="shared" si="21"/>
        <v>3.9053009698949888E-8</v>
      </c>
      <c r="P84" s="56">
        <f t="shared" si="38"/>
        <v>3.3892164562430332E-4</v>
      </c>
      <c r="Q84" s="56">
        <f t="shared" si="39"/>
        <v>7.21550130021503E-3</v>
      </c>
      <c r="R84" s="9">
        <f t="shared" si="12"/>
        <v>1.4999999999999999E-4</v>
      </c>
      <c r="S84" s="9">
        <f t="shared" si="13"/>
        <v>2.032716787031006E-5</v>
      </c>
      <c r="T84" s="9">
        <f t="shared" si="10"/>
        <v>5.8525760055866395E-6</v>
      </c>
      <c r="U84" s="9">
        <f t="shared" si="11"/>
        <v>1.2967283212968992E-4</v>
      </c>
      <c r="V84" s="100">
        <f t="shared" si="14"/>
        <v>4.5133401572761918E-2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86</v>
      </c>
      <c r="C85" s="46" t="s">
        <v>87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0.12747825886296762</v>
      </c>
      <c r="J85" s="54">
        <f t="shared" si="34"/>
        <v>2.1275282735995251</v>
      </c>
      <c r="K85" s="55">
        <f t="shared" si="35"/>
        <v>0.71657467480913384</v>
      </c>
      <c r="L85" s="55">
        <f t="shared" si="36"/>
        <v>3.8465797681516527E-2</v>
      </c>
      <c r="M85" s="55">
        <f t="shared" si="19"/>
        <v>0.96153420231848352</v>
      </c>
      <c r="N85" s="55">
        <f t="shared" si="37"/>
        <v>2.4704106588708936E-2</v>
      </c>
      <c r="O85" s="56">
        <f t="shared" si="21"/>
        <v>7.1723283128566342E-7</v>
      </c>
      <c r="P85" s="56">
        <f t="shared" si="38"/>
        <v>9.6202960001472818E-5</v>
      </c>
      <c r="Q85" s="56">
        <f t="shared" si="39"/>
        <v>1.9368329334909418E-3</v>
      </c>
      <c r="R85" s="9">
        <f t="shared" si="12"/>
        <v>1.4999999999999999E-4</v>
      </c>
      <c r="S85" s="9">
        <f t="shared" si="13"/>
        <v>5.7698696522274784E-6</v>
      </c>
      <c r="T85" s="9">
        <f t="shared" si="10"/>
        <v>1.0748620122137007E-4</v>
      </c>
      <c r="U85" s="9">
        <f t="shared" si="11"/>
        <v>1.4423013034777253E-4</v>
      </c>
      <c r="V85" s="100">
        <f t="shared" si="14"/>
        <v>0.74524096291250475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141</v>
      </c>
      <c r="C86" s="46" t="s">
        <v>142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0.71310437974280194</v>
      </c>
      <c r="J86" s="54">
        <f t="shared" si="34"/>
        <v>3.1029707241226632</v>
      </c>
      <c r="K86" s="55">
        <f t="shared" si="35"/>
        <v>0.17619992165226542</v>
      </c>
      <c r="L86" s="55">
        <f t="shared" si="36"/>
        <v>8.9384342369843425E-2</v>
      </c>
      <c r="M86" s="55">
        <f t="shared" si="19"/>
        <v>0.91061565763015662</v>
      </c>
      <c r="N86" s="55">
        <f t="shared" si="37"/>
        <v>4.1067797147594252E-2</v>
      </c>
      <c r="O86" s="56">
        <f t="shared" si="21"/>
        <v>1.7636175701105803E-7</v>
      </c>
      <c r="P86" s="56">
        <f t="shared" si="38"/>
        <v>2.2355024026697842E-4</v>
      </c>
      <c r="Q86" s="56">
        <f t="shared" si="39"/>
        <v>3.2197667920417939E-3</v>
      </c>
      <c r="R86" s="9">
        <f t="shared" si="12"/>
        <v>1.4999999999999999E-4</v>
      </c>
      <c r="S86" s="9">
        <f t="shared" si="13"/>
        <v>1.3407651355476512E-5</v>
      </c>
      <c r="T86" s="9">
        <f t="shared" si="10"/>
        <v>2.6429988247839811E-5</v>
      </c>
      <c r="U86" s="9">
        <f t="shared" si="11"/>
        <v>1.3659234864452348E-4</v>
      </c>
      <c r="V86" s="100">
        <f t="shared" si="14"/>
        <v>0.19349537884162804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279</v>
      </c>
      <c r="C87" s="46" t="s">
        <v>280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7.9970216478940079E-2</v>
      </c>
      <c r="J87" s="54">
        <f t="shared" si="34"/>
        <v>1.8520245187455604</v>
      </c>
      <c r="K87" s="55">
        <f t="shared" si="35"/>
        <v>0.81216959352551288</v>
      </c>
      <c r="L87" s="55">
        <f t="shared" si="36"/>
        <v>2.3118319367625165E-2</v>
      </c>
      <c r="M87" s="55">
        <f t="shared" si="19"/>
        <v>0.97688168063237479</v>
      </c>
      <c r="N87" s="55">
        <f t="shared" si="37"/>
        <v>1.2871422780196302E-2</v>
      </c>
      <c r="O87" s="56">
        <f t="shared" si="21"/>
        <v>8.1291555161866149E-7</v>
      </c>
      <c r="P87" s="56">
        <f t="shared" si="38"/>
        <v>5.781891673843055E-5</v>
      </c>
      <c r="Q87" s="56">
        <f t="shared" si="39"/>
        <v>1.009135685682475E-3</v>
      </c>
      <c r="R87" s="9">
        <f t="shared" si="12"/>
        <v>1.4999999999999999E-4</v>
      </c>
      <c r="S87" s="9">
        <f t="shared" si="13"/>
        <v>3.4677479051437744E-6</v>
      </c>
      <c r="T87" s="9">
        <f t="shared" si="10"/>
        <v>1.2182543902882692E-4</v>
      </c>
      <c r="U87" s="9">
        <f t="shared" si="11"/>
        <v>1.4653225209485622E-4</v>
      </c>
      <c r="V87" s="100">
        <f t="shared" si="14"/>
        <v>0.83138993148050733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281</v>
      </c>
      <c r="C88" s="46" t="s">
        <v>282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1.7455890954858774E-2</v>
      </c>
      <c r="J88" s="54">
        <f t="shared" si="34"/>
        <v>0.97738229738140248</v>
      </c>
      <c r="K88" s="55">
        <f t="shared" si="35"/>
        <v>0.95661659689172007</v>
      </c>
      <c r="L88" s="55">
        <f t="shared" si="36"/>
        <v>3.6341698660579962E-3</v>
      </c>
      <c r="M88" s="55">
        <f t="shared" si="19"/>
        <v>0.99636583013394198</v>
      </c>
      <c r="N88" s="55">
        <f t="shared" si="37"/>
        <v>2.1717688947664571E-4</v>
      </c>
      <c r="O88" s="56">
        <f t="shared" si="21"/>
        <v>9.5749522605757451E-7</v>
      </c>
      <c r="P88" s="56">
        <f t="shared" si="38"/>
        <v>9.0890588350110519E-6</v>
      </c>
      <c r="Q88" s="56">
        <f t="shared" si="39"/>
        <v>1.702694045708749E-5</v>
      </c>
      <c r="R88" s="9">
        <f t="shared" si="12"/>
        <v>1.4999999999999999E-4</v>
      </c>
      <c r="S88" s="9">
        <f t="shared" si="13"/>
        <v>5.4512547990869935E-7</v>
      </c>
      <c r="T88" s="9">
        <f t="shared" si="10"/>
        <v>1.4349248953375799E-4</v>
      </c>
      <c r="U88" s="9">
        <f t="shared" si="11"/>
        <v>1.4945487452009128E-4</v>
      </c>
      <c r="V88" s="100">
        <f t="shared" si="14"/>
        <v>0.96010578440162042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283</v>
      </c>
      <c r="C89" s="46" t="s">
        <v>284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3.8813937169773554E-3</v>
      </c>
      <c r="J89" s="54">
        <f t="shared" si="34"/>
        <v>0.51151091680566108</v>
      </c>
      <c r="K89" s="55">
        <f t="shared" si="35"/>
        <v>0.98931561339738372</v>
      </c>
      <c r="L89" s="55">
        <f t="shared" si="36"/>
        <v>1.2856738011166637E-3</v>
      </c>
      <c r="M89" s="55">
        <f t="shared" si="19"/>
        <v>0.99871432619888334</v>
      </c>
      <c r="N89" s="55">
        <f t="shared" si="37"/>
        <v>2.5991655874182707E-4</v>
      </c>
      <c r="O89" s="56">
        <f t="shared" si="21"/>
        <v>9.9022427581761605E-7</v>
      </c>
      <c r="P89" s="56">
        <f t="shared" si="38"/>
        <v>3.215470176592775E-6</v>
      </c>
      <c r="Q89" s="56">
        <f t="shared" si="39"/>
        <v>2.0377784119539483E-5</v>
      </c>
      <c r="R89" s="9">
        <f t="shared" si="12"/>
        <v>1.4999999999999999E-4</v>
      </c>
      <c r="S89" s="9">
        <f t="shared" si="13"/>
        <v>1.9285107016749952E-7</v>
      </c>
      <c r="T89" s="9">
        <f t="shared" si="10"/>
        <v>1.4839734200960755E-4</v>
      </c>
      <c r="U89" s="9">
        <f t="shared" si="11"/>
        <v>1.4980714892983248E-4</v>
      </c>
      <c r="V89" s="100">
        <f t="shared" si="14"/>
        <v>0.99058918796401851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285</v>
      </c>
      <c r="C90" s="46" t="s">
        <v>286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1.2917346823443875E-4</v>
      </c>
      <c r="J90" s="54">
        <f t="shared" si="34"/>
        <v>2.1490056662363401E-2</v>
      </c>
      <c r="K90" s="55">
        <f t="shared" si="35"/>
        <v>0.99876511825968639</v>
      </c>
      <c r="L90" s="55">
        <f t="shared" si="36"/>
        <v>4.1998950404648181E-4</v>
      </c>
      <c r="M90" s="55">
        <f t="shared" si="19"/>
        <v>0.99958001049595346</v>
      </c>
      <c r="N90" s="55">
        <f t="shared" si="37"/>
        <v>8.6241287463127246E-6</v>
      </c>
      <c r="O90" s="56">
        <f t="shared" si="21"/>
        <v>9.9968245982117741E-7</v>
      </c>
      <c r="P90" s="56">
        <f t="shared" si="38"/>
        <v>1.0503937496202509E-6</v>
      </c>
      <c r="Q90" s="56">
        <f t="shared" si="39"/>
        <v>6.7614250766545852E-7</v>
      </c>
      <c r="R90" s="9">
        <f t="shared" si="12"/>
        <v>1.4999999999999999E-4</v>
      </c>
      <c r="S90" s="9">
        <f t="shared" si="13"/>
        <v>6.2998425606972268E-8</v>
      </c>
      <c r="T90" s="9">
        <f t="shared" si="10"/>
        <v>1.4981476773895294E-4</v>
      </c>
      <c r="U90" s="9">
        <f t="shared" si="11"/>
        <v>1.4993700157439301E-4</v>
      </c>
      <c r="V90" s="100">
        <f t="shared" si="14"/>
        <v>0.99918476537374656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287</v>
      </c>
      <c r="C91" s="46" t="s">
        <v>288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-2.2956464274597468E-5</v>
      </c>
      <c r="J91" s="54">
        <f t="shared" si="34"/>
        <v>-1.2034235561148411E-2</v>
      </c>
      <c r="K91" s="55">
        <f t="shared" si="35"/>
        <v>0.99914607669536071</v>
      </c>
      <c r="L91" s="55">
        <f t="shared" si="36"/>
        <v>3.8893745312268109E-4</v>
      </c>
      <c r="M91" s="55">
        <f t="shared" si="19"/>
        <v>0.99961106254687737</v>
      </c>
      <c r="N91" s="55">
        <f t="shared" si="37"/>
        <v>3.9184315536773147E-6</v>
      </c>
      <c r="O91" s="56">
        <f t="shared" si="21"/>
        <v>1.0000637681579446E-6</v>
      </c>
      <c r="P91" s="56">
        <f t="shared" si="38"/>
        <v>9.7273257025982525E-7</v>
      </c>
      <c r="Q91" s="56">
        <f t="shared" si="39"/>
        <v>3.0720994720209918E-7</v>
      </c>
      <c r="R91" s="9">
        <f t="shared" si="12"/>
        <v>1.4999999999999999E-4</v>
      </c>
      <c r="S91" s="9">
        <f t="shared" si="13"/>
        <v>5.8340617968402161E-8</v>
      </c>
      <c r="T91" s="9">
        <f t="shared" si="10"/>
        <v>1.498719115043041E-4</v>
      </c>
      <c r="U91" s="9">
        <f t="shared" si="11"/>
        <v>1.4994165938203159E-4</v>
      </c>
      <c r="V91" s="100">
        <f t="shared" si="14"/>
        <v>0.99953483322770365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289</v>
      </c>
      <c r="C92" s="46" t="s">
        <v>290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4.9737704902702096E-3</v>
      </c>
      <c r="J92" s="54">
        <f t="shared" si="34"/>
        <v>0.59563671510665295</v>
      </c>
      <c r="K92" s="55">
        <f t="shared" si="35"/>
        <v>0.98656308369296886</v>
      </c>
      <c r="L92" s="55">
        <f t="shared" si="36"/>
        <v>1.5561325597857683E-3</v>
      </c>
      <c r="M92" s="55">
        <f t="shared" si="19"/>
        <v>0.99844386744021418</v>
      </c>
      <c r="N92" s="55">
        <f t="shared" si="37"/>
        <v>3.5890781122734718E-4</v>
      </c>
      <c r="O92" s="56">
        <f t="shared" si="21"/>
        <v>9.8746921798136041E-7</v>
      </c>
      <c r="P92" s="56">
        <f t="shared" si="38"/>
        <v>3.8918875320242082E-6</v>
      </c>
      <c r="Q92" s="56">
        <f t="shared" si="39"/>
        <v>2.8138822441366622E-5</v>
      </c>
      <c r="R92" s="9">
        <f t="shared" si="12"/>
        <v>1.4999999999999999E-4</v>
      </c>
      <c r="S92" s="9">
        <f t="shared" si="13"/>
        <v>2.3341988396786522E-7</v>
      </c>
      <c r="T92" s="9">
        <f t="shared" ref="T92:T143" si="40">R92*K92</f>
        <v>1.4798446255394533E-4</v>
      </c>
      <c r="U92" s="9">
        <f t="shared" ref="U92:U143" si="41">$R92*M92</f>
        <v>1.497665801160321E-4</v>
      </c>
      <c r="V92" s="100">
        <f t="shared" si="14"/>
        <v>0.98810069936359568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291</v>
      </c>
      <c r="C93" s="46" t="s">
        <v>292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-1.6944268240451622E-5</v>
      </c>
      <c r="J93" s="54">
        <f t="shared" si="34"/>
        <v>-1.067712111790353E-2</v>
      </c>
      <c r="K93" s="55">
        <f t="shared" si="35"/>
        <v>0.99913103419320137</v>
      </c>
      <c r="L93" s="55">
        <f t="shared" si="36"/>
        <v>3.9014885969267999E-4</v>
      </c>
      <c r="M93" s="55">
        <f t="shared" ref="M93:M127" si="42">IF(D93=0,"",1-L93)</f>
        <v>0.99960985114030732</v>
      </c>
      <c r="N93" s="55">
        <f t="shared" si="37"/>
        <v>4.0834979967538778E-6</v>
      </c>
      <c r="O93" s="56">
        <f t="shared" ref="O93:O127" si="43">IF(D93=0,"",F93*K93*$J$7/$J$14)</f>
        <v>1.0000487118396114E-6</v>
      </c>
      <c r="P93" s="56">
        <f t="shared" si="38"/>
        <v>9.7576229809139239E-7</v>
      </c>
      <c r="Q93" s="56">
        <f t="shared" si="39"/>
        <v>3.2015136331916766E-7</v>
      </c>
      <c r="R93" s="9">
        <f t="shared" ref="R93:R143" si="44">F93*$C$14</f>
        <v>1.4999999999999999E-4</v>
      </c>
      <c r="S93" s="9">
        <f t="shared" ref="S93:S143" si="45">$R93*L93</f>
        <v>5.8522328953901994E-8</v>
      </c>
      <c r="T93" s="9">
        <f t="shared" si="40"/>
        <v>1.4986965512898018E-4</v>
      </c>
      <c r="U93" s="9">
        <f t="shared" si="41"/>
        <v>1.4994147767104609E-4</v>
      </c>
      <c r="V93" s="100">
        <f t="shared" ref="V93:V143" si="46">K93/M93</f>
        <v>0.99952099617009604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293</v>
      </c>
      <c r="C94" s="46" t="s">
        <v>294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-1.664624595209951E-4</v>
      </c>
      <c r="J94" s="54">
        <f t="shared" si="34"/>
        <v>-4.5097358117664625E-2</v>
      </c>
      <c r="K94" s="55">
        <f t="shared" si="35"/>
        <v>0.99950466167922969</v>
      </c>
      <c r="L94" s="55">
        <f t="shared" si="36"/>
        <v>3.6055579494212881E-4</v>
      </c>
      <c r="M94" s="55">
        <f t="shared" si="42"/>
        <v>0.9996394442050579</v>
      </c>
      <c r="N94" s="55">
        <f t="shared" si="37"/>
        <v>6.8282364795696106E-7</v>
      </c>
      <c r="O94" s="56">
        <f t="shared" si="43"/>
        <v>1.0004226824934328E-6</v>
      </c>
      <c r="P94" s="56">
        <f t="shared" si="38"/>
        <v>9.0175004315026421E-7</v>
      </c>
      <c r="Q94" s="56">
        <f t="shared" si="39"/>
        <v>5.3534230205026947E-8</v>
      </c>
      <c r="R94" s="9">
        <f t="shared" si="44"/>
        <v>1.4999999999999999E-4</v>
      </c>
      <c r="S94" s="9">
        <f t="shared" si="45"/>
        <v>5.408336924131932E-8</v>
      </c>
      <c r="T94" s="9">
        <f t="shared" si="40"/>
        <v>1.4992569925188445E-4</v>
      </c>
      <c r="U94" s="9">
        <f t="shared" si="41"/>
        <v>1.4994591663075867E-4</v>
      </c>
      <c r="V94" s="100">
        <f t="shared" si="46"/>
        <v>0.99986516886002297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295</v>
      </c>
      <c r="C95" s="46" t="s">
        <v>296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0.94867954725222914</v>
      </c>
      <c r="J95" s="54">
        <f t="shared" si="34"/>
        <v>3.6301694260723134</v>
      </c>
      <c r="K95" s="55">
        <f t="shared" si="35"/>
        <v>9.4358084344709534E-2</v>
      </c>
      <c r="L95" s="55">
        <f t="shared" si="36"/>
        <v>0.16115120433967475</v>
      </c>
      <c r="M95" s="55">
        <f t="shared" si="42"/>
        <v>0.83884879566032522</v>
      </c>
      <c r="N95" s="55">
        <f t="shared" si="37"/>
        <v>0.13385197850963756</v>
      </c>
      <c r="O95" s="56">
        <f t="shared" si="43"/>
        <v>9.4444749958926131E-8</v>
      </c>
      <c r="P95" s="56">
        <f t="shared" si="38"/>
        <v>4.0303916205352669E-4</v>
      </c>
      <c r="Q95" s="56">
        <f t="shared" si="39"/>
        <v>1.0494162954627071E-2</v>
      </c>
      <c r="R95" s="9">
        <f t="shared" si="44"/>
        <v>1.4999999999999999E-4</v>
      </c>
      <c r="S95" s="9">
        <f t="shared" si="45"/>
        <v>2.4172680650951212E-5</v>
      </c>
      <c r="T95" s="9">
        <f t="shared" si="40"/>
        <v>1.4153712651706429E-5</v>
      </c>
      <c r="U95" s="9">
        <f t="shared" si="41"/>
        <v>1.2582731934904876E-4</v>
      </c>
      <c r="V95" s="100">
        <f t="shared" si="46"/>
        <v>0.11248521167683469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297</v>
      </c>
      <c r="C96" s="46" t="s">
        <v>210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-2.2502251762220258E-4</v>
      </c>
      <c r="J96" s="54">
        <f t="shared" si="34"/>
        <v>-5.8737020764399468E-2</v>
      </c>
      <c r="K96" s="55">
        <f t="shared" si="35"/>
        <v>0.99965054031180201</v>
      </c>
      <c r="L96" s="55">
        <f t="shared" si="36"/>
        <v>3.4945897476378865E-4</v>
      </c>
      <c r="M96" s="55">
        <f t="shared" si="42"/>
        <v>0.99965054102523621</v>
      </c>
      <c r="N96" s="55">
        <f t="shared" si="37"/>
        <v>2.1773282241207605E-14</v>
      </c>
      <c r="O96" s="56">
        <f t="shared" si="43"/>
        <v>1.0005686951119947E-6</v>
      </c>
      <c r="P96" s="56">
        <f t="shared" si="38"/>
        <v>8.7399689588423546E-7</v>
      </c>
      <c r="Q96" s="56">
        <f t="shared" si="39"/>
        <v>1.7070526296319819E-15</v>
      </c>
      <c r="R96" s="9">
        <f t="shared" si="44"/>
        <v>1.4999999999999999E-4</v>
      </c>
      <c r="S96" s="9">
        <f t="shared" si="45"/>
        <v>5.2418846214568293E-8</v>
      </c>
      <c r="T96" s="9">
        <f t="shared" si="40"/>
        <v>1.4994758104677029E-4</v>
      </c>
      <c r="U96" s="9">
        <f t="shared" si="41"/>
        <v>1.4994758115378541E-4</v>
      </c>
      <c r="V96" s="100">
        <f t="shared" si="46"/>
        <v>0.99999999928631644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298</v>
      </c>
      <c r="C97" s="46" t="s">
        <v>211</v>
      </c>
      <c r="D97" s="47" t="s">
        <v>299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1.4999999999999999E-4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300</v>
      </c>
      <c r="C98" s="46" t="s">
        <v>212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1.2628922084387679</v>
      </c>
      <c r="J98" s="54">
        <f t="shared" si="34"/>
        <v>3.5852661261702856</v>
      </c>
      <c r="K98" s="55">
        <f t="shared" si="35"/>
        <v>5.033168880037954E-2</v>
      </c>
      <c r="L98" s="55">
        <f t="shared" si="36"/>
        <v>7.751623006760977E-2</v>
      </c>
      <c r="M98" s="55">
        <f t="shared" si="42"/>
        <v>0.92248376993239023</v>
      </c>
      <c r="N98" s="55">
        <f t="shared" si="37"/>
        <v>1.1426604609715153E-2</v>
      </c>
      <c r="O98" s="56">
        <f t="shared" si="43"/>
        <v>5.0377917237028472E-8</v>
      </c>
      <c r="P98" s="56">
        <f t="shared" si="38"/>
        <v>1.9386809139909213E-4</v>
      </c>
      <c r="Q98" s="56">
        <f t="shared" si="39"/>
        <v>8.958601294325265E-4</v>
      </c>
      <c r="R98" s="9">
        <f t="shared" si="44"/>
        <v>1.4999999999999999E-4</v>
      </c>
      <c r="S98" s="9">
        <f t="shared" si="45"/>
        <v>1.1627434510141465E-5</v>
      </c>
      <c r="T98" s="9">
        <f t="shared" si="40"/>
        <v>7.5497533200569301E-6</v>
      </c>
      <c r="U98" s="9">
        <f t="shared" si="41"/>
        <v>1.3837256548985852E-4</v>
      </c>
      <c r="V98" s="100">
        <f t="shared" si="46"/>
        <v>5.456105618429298E-2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301</v>
      </c>
      <c r="C99" s="46" t="s">
        <v>213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0.12448503768629132</v>
      </c>
      <c r="J99" s="54">
        <f t="shared" si="34"/>
        <v>1.8542805551315384</v>
      </c>
      <c r="K99" s="55">
        <f t="shared" si="35"/>
        <v>0.73462183072579401</v>
      </c>
      <c r="L99" s="55">
        <f t="shared" si="36"/>
        <v>2.1019839684488732E-2</v>
      </c>
      <c r="M99" s="55">
        <f t="shared" si="42"/>
        <v>0.97898016031551127</v>
      </c>
      <c r="N99" s="55">
        <f t="shared" si="37"/>
        <v>1.9594740995669503E-3</v>
      </c>
      <c r="O99" s="56">
        <f t="shared" si="43"/>
        <v>7.3529656307775858E-7</v>
      </c>
      <c r="P99" s="56">
        <f t="shared" si="38"/>
        <v>5.2570619050906314E-5</v>
      </c>
      <c r="Q99" s="56">
        <f t="shared" si="39"/>
        <v>1.5362522642686343E-4</v>
      </c>
      <c r="R99" s="9">
        <f t="shared" si="44"/>
        <v>1.4999999999999999E-4</v>
      </c>
      <c r="S99" s="9">
        <f t="shared" si="45"/>
        <v>3.1529759526733096E-6</v>
      </c>
      <c r="T99" s="9">
        <f t="shared" si="40"/>
        <v>1.101932746088691E-4</v>
      </c>
      <c r="U99" s="9">
        <f t="shared" si="41"/>
        <v>1.4684702404732668E-4</v>
      </c>
      <c r="V99" s="100">
        <f t="shared" si="46"/>
        <v>0.75039501361195704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302</v>
      </c>
      <c r="C100" s="46" t="s">
        <v>214</v>
      </c>
      <c r="D100" s="47" t="s">
        <v>299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1.4999999999999999E-4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303</v>
      </c>
      <c r="C101" s="46" t="s">
        <v>215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0.94115347171694241</v>
      </c>
      <c r="J101" s="54">
        <f t="shared" si="34"/>
        <v>3.2056950473044594</v>
      </c>
      <c r="K101" s="55">
        <f t="shared" si="35"/>
        <v>0.10660999794937492</v>
      </c>
      <c r="L101" s="55">
        <f t="shared" si="36"/>
        <v>6.8513790672245473E-2</v>
      </c>
      <c r="M101" s="55">
        <f t="shared" si="42"/>
        <v>0.9314862093277545</v>
      </c>
      <c r="N101" s="55">
        <f t="shared" si="37"/>
        <v>4.5068554831932586E-3</v>
      </c>
      <c r="O101" s="56">
        <f t="shared" si="43"/>
        <v>1.0670791664937904E-7</v>
      </c>
      <c r="P101" s="56">
        <f t="shared" si="38"/>
        <v>1.713529904712859E-4</v>
      </c>
      <c r="Q101" s="56">
        <f t="shared" si="39"/>
        <v>3.5334312111179745E-4</v>
      </c>
      <c r="R101" s="9">
        <f t="shared" si="44"/>
        <v>1.4999999999999999E-4</v>
      </c>
      <c r="S101" s="9">
        <f t="shared" si="45"/>
        <v>1.027706860083682E-5</v>
      </c>
      <c r="T101" s="9">
        <f t="shared" si="40"/>
        <v>1.5991499692406237E-5</v>
      </c>
      <c r="U101" s="9">
        <f t="shared" si="41"/>
        <v>1.3972293139916317E-4</v>
      </c>
      <c r="V101" s="100">
        <f t="shared" si="46"/>
        <v>0.11445150436130926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304</v>
      </c>
      <c r="C102" s="46" t="s">
        <v>216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0.36577089944725916</v>
      </c>
      <c r="J102" s="54">
        <f t="shared" si="34"/>
        <v>2.4173447443020346</v>
      </c>
      <c r="K102" s="55">
        <f t="shared" si="35"/>
        <v>0.41197383641196494</v>
      </c>
      <c r="L102" s="55">
        <f t="shared" si="36"/>
        <v>4.3102195681052821E-2</v>
      </c>
      <c r="M102" s="55">
        <f t="shared" si="42"/>
        <v>0.95689780431894722</v>
      </c>
      <c r="N102" s="55">
        <f t="shared" si="37"/>
        <v>6.0345500599932025E-9</v>
      </c>
      <c r="O102" s="56">
        <f t="shared" si="43"/>
        <v>4.1235222439876827E-7</v>
      </c>
      <c r="P102" s="56">
        <f t="shared" si="38"/>
        <v>1.0779859139831312E-4</v>
      </c>
      <c r="Q102" s="56">
        <f t="shared" si="39"/>
        <v>4.7311629153739813E-10</v>
      </c>
      <c r="R102" s="9">
        <f t="shared" si="44"/>
        <v>1.4999999999999999E-4</v>
      </c>
      <c r="S102" s="9">
        <f t="shared" si="45"/>
        <v>6.4653293521579229E-6</v>
      </c>
      <c r="T102" s="9">
        <f t="shared" si="40"/>
        <v>6.1796075461794734E-5</v>
      </c>
      <c r="U102" s="9">
        <f t="shared" si="41"/>
        <v>1.4353467064784207E-4</v>
      </c>
      <c r="V102" s="100">
        <f t="shared" si="46"/>
        <v>0.43053065285814823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305</v>
      </c>
      <c r="C103" s="46" t="s">
        <v>217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1.199560490818528</v>
      </c>
      <c r="J103" s="54">
        <f t="shared" si="34"/>
        <v>3.4660209722219997</v>
      </c>
      <c r="K103" s="55">
        <f t="shared" si="35"/>
        <v>5.8784005260436256E-2</v>
      </c>
      <c r="L103" s="55">
        <f t="shared" si="36"/>
        <v>6.87963123896672E-2</v>
      </c>
      <c r="M103" s="55">
        <f t="shared" si="42"/>
        <v>0.93120368761033279</v>
      </c>
      <c r="N103" s="55">
        <f t="shared" si="37"/>
        <v>1.4359338453532727E-8</v>
      </c>
      <c r="O103" s="56">
        <f t="shared" si="43"/>
        <v>5.8837996944957909E-8</v>
      </c>
      <c r="P103" s="56">
        <f t="shared" si="38"/>
        <v>1.7205957728655771E-4</v>
      </c>
      <c r="Q103" s="56">
        <f t="shared" si="39"/>
        <v>1.1257901401970329E-9</v>
      </c>
      <c r="R103" s="9">
        <f t="shared" si="44"/>
        <v>1.4999999999999999E-4</v>
      </c>
      <c r="S103" s="9">
        <f t="shared" si="45"/>
        <v>1.031944685845008E-5</v>
      </c>
      <c r="T103" s="9">
        <f t="shared" si="40"/>
        <v>8.8176007890654378E-6</v>
      </c>
      <c r="U103" s="9">
        <f t="shared" si="41"/>
        <v>1.3968055314154992E-4</v>
      </c>
      <c r="V103" s="100">
        <f t="shared" si="46"/>
        <v>6.3126903428924935E-2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306</v>
      </c>
      <c r="C104" s="46" t="s">
        <v>218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1.8651886014657959</v>
      </c>
      <c r="J104" s="54">
        <f t="shared" si="34"/>
        <v>4.1789576597323235</v>
      </c>
      <c r="K104" s="55">
        <f t="shared" si="35"/>
        <v>1.2595228887180171E-2</v>
      </c>
      <c r="L104" s="55">
        <f t="shared" si="36"/>
        <v>7.6111229576557429E-2</v>
      </c>
      <c r="M104" s="55">
        <f t="shared" si="42"/>
        <v>0.92388877042344253</v>
      </c>
      <c r="N104" s="55">
        <f t="shared" si="37"/>
        <v>5.5754735690175623E-3</v>
      </c>
      <c r="O104" s="56">
        <f t="shared" si="43"/>
        <v>1.2606797299736306E-8</v>
      </c>
      <c r="P104" s="56">
        <f t="shared" si="38"/>
        <v>1.9035418517097019E-4</v>
      </c>
      <c r="Q104" s="56">
        <f t="shared" si="39"/>
        <v>4.3712411900040512E-4</v>
      </c>
      <c r="R104" s="9">
        <f t="shared" si="44"/>
        <v>1.4999999999999999E-4</v>
      </c>
      <c r="S104" s="9">
        <f t="shared" si="45"/>
        <v>1.1416684436483613E-5</v>
      </c>
      <c r="T104" s="9">
        <f t="shared" si="40"/>
        <v>1.8892843330770255E-6</v>
      </c>
      <c r="U104" s="9">
        <f t="shared" si="41"/>
        <v>1.3858331556351636E-4</v>
      </c>
      <c r="V104" s="100">
        <f t="shared" si="46"/>
        <v>1.3632841193001455E-2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307</v>
      </c>
      <c r="C105" s="46" t="s">
        <v>219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1.4992792320699506</v>
      </c>
      <c r="J105" s="54">
        <f t="shared" si="34"/>
        <v>3.8987670522081364</v>
      </c>
      <c r="K105" s="55">
        <f t="shared" si="35"/>
        <v>2.8771474643276014E-2</v>
      </c>
      <c r="L105" s="55">
        <f t="shared" si="36"/>
        <v>9.1204063440487954E-2</v>
      </c>
      <c r="M105" s="55">
        <f t="shared" si="42"/>
        <v>0.90879593655951207</v>
      </c>
      <c r="N105" s="55">
        <f t="shared" si="37"/>
        <v>2.8512665482025773E-2</v>
      </c>
      <c r="O105" s="56">
        <f t="shared" si="43"/>
        <v>2.8797900545615951E-8</v>
      </c>
      <c r="P105" s="56">
        <f t="shared" si="38"/>
        <v>2.2810136266466046E-4</v>
      </c>
      <c r="Q105" s="56">
        <f t="shared" si="39"/>
        <v>2.2354287263494188E-3</v>
      </c>
      <c r="R105" s="9">
        <f t="shared" si="44"/>
        <v>1.4999999999999999E-4</v>
      </c>
      <c r="S105" s="9">
        <f t="shared" si="45"/>
        <v>1.3680609516073192E-5</v>
      </c>
      <c r="T105" s="9">
        <f t="shared" si="40"/>
        <v>4.3157211964914013E-6</v>
      </c>
      <c r="U105" s="9">
        <f t="shared" si="41"/>
        <v>1.363193904839268E-4</v>
      </c>
      <c r="V105" s="100">
        <f t="shared" si="46"/>
        <v>3.165889446226846E-2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308</v>
      </c>
      <c r="C106" s="46" t="s">
        <v>220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0.70891628628139558</v>
      </c>
      <c r="J106" s="54">
        <f t="shared" si="34"/>
        <v>2.9201125615030872</v>
      </c>
      <c r="K106" s="55">
        <f t="shared" si="35"/>
        <v>0.18343750999138464</v>
      </c>
      <c r="L106" s="55">
        <f t="shared" si="36"/>
        <v>6.1078128627452516E-2</v>
      </c>
      <c r="M106" s="55">
        <f t="shared" si="42"/>
        <v>0.93892187137254746</v>
      </c>
      <c r="N106" s="55">
        <f t="shared" si="37"/>
        <v>1.9035480495584408E-3</v>
      </c>
      <c r="O106" s="56">
        <f t="shared" si="43"/>
        <v>1.8360599289970324E-7</v>
      </c>
      <c r="P106" s="56">
        <f t="shared" si="38"/>
        <v>1.5275639969725878E-4</v>
      </c>
      <c r="Q106" s="56">
        <f t="shared" si="39"/>
        <v>1.492405539794878E-4</v>
      </c>
      <c r="R106" s="9">
        <f t="shared" si="44"/>
        <v>1.4999999999999999E-4</v>
      </c>
      <c r="S106" s="9">
        <f t="shared" si="45"/>
        <v>9.1617192941178771E-6</v>
      </c>
      <c r="T106" s="9">
        <f t="shared" si="40"/>
        <v>2.7515626498707692E-5</v>
      </c>
      <c r="U106" s="9">
        <f t="shared" si="41"/>
        <v>1.408382807058821E-4</v>
      </c>
      <c r="V106" s="100">
        <f t="shared" si="46"/>
        <v>0.19537036635777749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309</v>
      </c>
      <c r="C107" s="46" t="s">
        <v>221</v>
      </c>
      <c r="D107" s="47" t="s">
        <v>299</v>
      </c>
      <c r="E107" s="47" t="s">
        <v>310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1.4999999999999999E-4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311</v>
      </c>
      <c r="C108" s="46" t="s">
        <v>222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1.3235891145541188</v>
      </c>
      <c r="J108" s="54">
        <f t="shared" si="34"/>
        <v>3.6319518486565139</v>
      </c>
      <c r="K108" s="55">
        <f t="shared" si="35"/>
        <v>4.3874752044917482E-2</v>
      </c>
      <c r="L108" s="55">
        <f t="shared" si="36"/>
        <v>7.5240476607788542E-2</v>
      </c>
      <c r="M108" s="55">
        <f t="shared" si="42"/>
        <v>0.92475952339221146</v>
      </c>
      <c r="N108" s="55">
        <f t="shared" si="37"/>
        <v>7.5559725639042672E-3</v>
      </c>
      <c r="O108" s="56">
        <f t="shared" si="43"/>
        <v>4.39150499416052E-8</v>
      </c>
      <c r="P108" s="56">
        <f t="shared" si="38"/>
        <v>1.8817643199607923E-4</v>
      </c>
      <c r="Q108" s="56">
        <f t="shared" si="39"/>
        <v>5.9239772358384241E-4</v>
      </c>
      <c r="R108" s="9">
        <f t="shared" si="44"/>
        <v>1.4999999999999999E-4</v>
      </c>
      <c r="S108" s="9">
        <f t="shared" si="45"/>
        <v>1.1286071491168281E-5</v>
      </c>
      <c r="T108" s="9">
        <f t="shared" si="40"/>
        <v>6.5812128067376216E-6</v>
      </c>
      <c r="U108" s="9">
        <f t="shared" si="41"/>
        <v>1.387139285088317E-4</v>
      </c>
      <c r="V108" s="100">
        <f t="shared" si="46"/>
        <v>4.7444498742738775E-2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312</v>
      </c>
      <c r="C109" s="46" t="s">
        <v>223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1.537838229995057</v>
      </c>
      <c r="J109" s="54">
        <f t="shared" si="34"/>
        <v>3.9146802316515763</v>
      </c>
      <c r="K109" s="55">
        <f t="shared" si="35"/>
        <v>2.6449670534347103E-2</v>
      </c>
      <c r="L109" s="55">
        <f t="shared" si="36"/>
        <v>8.6973212648354115E-2</v>
      </c>
      <c r="M109" s="55">
        <f t="shared" si="42"/>
        <v>0.91302678735164589</v>
      </c>
      <c r="N109" s="55">
        <f t="shared" si="37"/>
        <v>2.2309814738662104E-2</v>
      </c>
      <c r="O109" s="56">
        <f t="shared" si="43"/>
        <v>2.6473963915869261E-8</v>
      </c>
      <c r="P109" s="56">
        <f t="shared" si="38"/>
        <v>2.1752000483353376E-4</v>
      </c>
      <c r="Q109" s="56">
        <f t="shared" si="39"/>
        <v>1.7491174502004363E-3</v>
      </c>
      <c r="R109" s="9">
        <f t="shared" si="44"/>
        <v>1.4999999999999999E-4</v>
      </c>
      <c r="S109" s="9">
        <f t="shared" si="45"/>
        <v>1.3045981897253115E-5</v>
      </c>
      <c r="T109" s="9">
        <f t="shared" si="40"/>
        <v>3.9674505801520649E-6</v>
      </c>
      <c r="U109" s="9">
        <f t="shared" si="41"/>
        <v>1.3695401810274687E-4</v>
      </c>
      <c r="V109" s="100">
        <f t="shared" si="46"/>
        <v>2.896921634804149E-2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202</v>
      </c>
      <c r="C110" s="46" t="s">
        <v>203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0.24151373144665708</v>
      </c>
      <c r="J110" s="54">
        <f t="shared" si="34"/>
        <v>2.1708272325180955</v>
      </c>
      <c r="K110" s="55">
        <f t="shared" si="35"/>
        <v>0.55429909960957635</v>
      </c>
      <c r="L110" s="55">
        <f t="shared" si="36"/>
        <v>3.2874292865250891E-2</v>
      </c>
      <c r="M110" s="55">
        <f t="shared" si="42"/>
        <v>0.9671257071347491</v>
      </c>
      <c r="N110" s="55">
        <f t="shared" si="37"/>
        <v>1.7775419969585037E-4</v>
      </c>
      <c r="O110" s="56">
        <f t="shared" si="43"/>
        <v>5.5480820990214948E-7</v>
      </c>
      <c r="P110" s="56">
        <f t="shared" si="38"/>
        <v>8.2218606455992471E-5</v>
      </c>
      <c r="Q110" s="56">
        <f t="shared" si="39"/>
        <v>1.3936152145433286E-5</v>
      </c>
      <c r="R110" s="9">
        <f t="shared" si="44"/>
        <v>1.4999999999999999E-4</v>
      </c>
      <c r="S110" s="9">
        <f t="shared" si="45"/>
        <v>4.9311439297876336E-6</v>
      </c>
      <c r="T110" s="9">
        <f t="shared" si="40"/>
        <v>8.3144864941436442E-5</v>
      </c>
      <c r="U110" s="9">
        <f t="shared" si="41"/>
        <v>1.4506885607021235E-4</v>
      </c>
      <c r="V110" s="100">
        <f t="shared" si="46"/>
        <v>0.57314069465878248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204</v>
      </c>
      <c r="C111" s="46" t="s">
        <v>205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0.16670977104284687</v>
      </c>
      <c r="J111" s="54">
        <f t="shared" si="34"/>
        <v>2.259536875659184</v>
      </c>
      <c r="K111" s="55">
        <f t="shared" si="35"/>
        <v>0.64873818783840564</v>
      </c>
      <c r="L111" s="55">
        <f t="shared" si="36"/>
        <v>4.7194496067780305E-2</v>
      </c>
      <c r="M111" s="55">
        <f t="shared" si="42"/>
        <v>0.95280550393221974</v>
      </c>
      <c r="N111" s="55">
        <f t="shared" si="37"/>
        <v>3.0052497730624822E-2</v>
      </c>
      <c r="O111" s="56">
        <f t="shared" si="43"/>
        <v>6.4933403814530034E-7</v>
      </c>
      <c r="P111" s="56">
        <f t="shared" si="38"/>
        <v>1.1803343466551858E-4</v>
      </c>
      <c r="Q111" s="56">
        <f t="shared" si="39"/>
        <v>2.3561535054637201E-3</v>
      </c>
      <c r="R111" s="9">
        <f t="shared" si="44"/>
        <v>1.4999999999999999E-4</v>
      </c>
      <c r="S111" s="9">
        <f t="shared" si="45"/>
        <v>7.0791744101670451E-6</v>
      </c>
      <c r="T111" s="9">
        <f t="shared" si="40"/>
        <v>9.7310728175760834E-5</v>
      </c>
      <c r="U111" s="9">
        <f t="shared" si="41"/>
        <v>1.4292082558983296E-4</v>
      </c>
      <c r="V111" s="100">
        <f t="shared" si="46"/>
        <v>0.68087157889104233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206</v>
      </c>
      <c r="C112" s="46" t="s">
        <v>207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2.5219720041185627</v>
      </c>
      <c r="J112" s="54">
        <f t="shared" si="34"/>
        <v>5.2954798864379393</v>
      </c>
      <c r="K112" s="55">
        <f t="shared" si="35"/>
        <v>2.4281535014184833E-3</v>
      </c>
      <c r="L112" s="55">
        <f t="shared" si="36"/>
        <v>0.1918850054509775</v>
      </c>
      <c r="M112" s="55">
        <f t="shared" si="42"/>
        <v>0.80811499454902247</v>
      </c>
      <c r="N112" s="55">
        <f t="shared" si="37"/>
        <v>0.16775243599146616</v>
      </c>
      <c r="O112" s="56">
        <f t="shared" si="43"/>
        <v>2.4303837015764673E-9</v>
      </c>
      <c r="P112" s="56">
        <f t="shared" si="38"/>
        <v>4.7990439863289456E-4</v>
      </c>
      <c r="Q112" s="56">
        <f t="shared" si="39"/>
        <v>1.3152001329613069E-2</v>
      </c>
      <c r="R112" s="9">
        <f t="shared" si="44"/>
        <v>1.4999999999999999E-4</v>
      </c>
      <c r="S112" s="9">
        <f t="shared" si="45"/>
        <v>2.8782750817646621E-5</v>
      </c>
      <c r="T112" s="9">
        <f t="shared" si="40"/>
        <v>3.6422302521277248E-7</v>
      </c>
      <c r="U112" s="9">
        <f t="shared" si="41"/>
        <v>1.2121724918235336E-4</v>
      </c>
      <c r="V112" s="100">
        <f t="shared" si="46"/>
        <v>3.004712841361818E-3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208</v>
      </c>
      <c r="C113" s="46" t="s">
        <v>209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2.8671793282646911</v>
      </c>
      <c r="J113" s="54">
        <f t="shared" si="34"/>
        <v>5.6689287455654798</v>
      </c>
      <c r="K113" s="55">
        <f t="shared" si="35"/>
        <v>1.0826931593916887E-3</v>
      </c>
      <c r="L113" s="55">
        <f t="shared" si="36"/>
        <v>0.20217113654708618</v>
      </c>
      <c r="M113" s="55">
        <f t="shared" si="42"/>
        <v>0.79782886345291382</v>
      </c>
      <c r="N113" s="55">
        <f t="shared" si="37"/>
        <v>0.18211599462397701</v>
      </c>
      <c r="O113" s="56">
        <f t="shared" si="43"/>
        <v>1.0836875868254208E-9</v>
      </c>
      <c r="P113" s="56">
        <f t="shared" si="38"/>
        <v>5.0563001250426311E-4</v>
      </c>
      <c r="Q113" s="56">
        <f t="shared" si="39"/>
        <v>1.4278122337133745E-2</v>
      </c>
      <c r="R113" s="9">
        <f t="shared" si="44"/>
        <v>1.4999999999999999E-4</v>
      </c>
      <c r="S113" s="9">
        <f t="shared" si="45"/>
        <v>3.0325670482062925E-5</v>
      </c>
      <c r="T113" s="9">
        <f t="shared" si="40"/>
        <v>1.6240397390875328E-7</v>
      </c>
      <c r="U113" s="9">
        <f t="shared" si="41"/>
        <v>1.1967432951793706E-4</v>
      </c>
      <c r="V113" s="100">
        <f t="shared" si="46"/>
        <v>1.3570493736036499E-3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106</v>
      </c>
      <c r="C114" s="46" t="s">
        <v>107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3.2678433041260839</v>
      </c>
      <c r="J114" s="54">
        <f t="shared" si="34"/>
        <v>6.0939707025144498</v>
      </c>
      <c r="K114" s="55">
        <f t="shared" si="35"/>
        <v>4.2540373880820394E-4</v>
      </c>
      <c r="L114" s="55">
        <f t="shared" si="36"/>
        <v>0.21137665413310958</v>
      </c>
      <c r="M114" s="55">
        <f t="shared" si="42"/>
        <v>0.78862334586689042</v>
      </c>
      <c r="N114" s="55">
        <f t="shared" si="37"/>
        <v>0.19502666744957381</v>
      </c>
      <c r="O114" s="56">
        <f t="shared" si="43"/>
        <v>4.2579446183495766E-10</v>
      </c>
      <c r="P114" s="56">
        <f t="shared" si="38"/>
        <v>5.2865301198690769E-4</v>
      </c>
      <c r="Q114" s="56">
        <f t="shared" si="39"/>
        <v>1.5290335275591978E-2</v>
      </c>
      <c r="R114" s="9">
        <f t="shared" si="44"/>
        <v>1.4999999999999999E-4</v>
      </c>
      <c r="S114" s="9">
        <f t="shared" si="45"/>
        <v>3.1706498119966435E-5</v>
      </c>
      <c r="T114" s="9">
        <f t="shared" si="40"/>
        <v>6.3810560821230583E-8</v>
      </c>
      <c r="U114" s="9">
        <f t="shared" si="41"/>
        <v>1.1829350188003356E-4</v>
      </c>
      <c r="V114" s="100">
        <f t="shared" si="46"/>
        <v>5.3942574872746247E-4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108</v>
      </c>
      <c r="C115" s="46" t="s">
        <v>109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1.873926252180699</v>
      </c>
      <c r="J115" s="54">
        <f t="shared" si="34"/>
        <v>4.6826081077472583</v>
      </c>
      <c r="K115" s="55">
        <f t="shared" si="35"/>
        <v>1.0625465785137104E-2</v>
      </c>
      <c r="L115" s="55">
        <f t="shared" si="36"/>
        <v>0.20475810381760043</v>
      </c>
      <c r="M115" s="55">
        <f t="shared" si="42"/>
        <v>0.7952418961823996</v>
      </c>
      <c r="N115" s="55">
        <f t="shared" si="37"/>
        <v>0.18674187136420292</v>
      </c>
      <c r="O115" s="56">
        <f t="shared" si="43"/>
        <v>1.0635225018010488E-8</v>
      </c>
      <c r="P115" s="56">
        <f t="shared" si="38"/>
        <v>5.1210001764781857E-4</v>
      </c>
      <c r="Q115" s="56">
        <f t="shared" si="39"/>
        <v>1.4640796874039861E-2</v>
      </c>
      <c r="R115" s="9">
        <f t="shared" si="44"/>
        <v>1.4999999999999999E-4</v>
      </c>
      <c r="S115" s="9">
        <f t="shared" si="45"/>
        <v>3.0713715572640064E-5</v>
      </c>
      <c r="T115" s="9">
        <f t="shared" si="40"/>
        <v>1.5938198677705654E-6</v>
      </c>
      <c r="U115" s="9">
        <f t="shared" si="41"/>
        <v>1.1928628442735993E-4</v>
      </c>
      <c r="V115" s="100">
        <f t="shared" si="46"/>
        <v>1.3361300298871587E-2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224</v>
      </c>
      <c r="C116" s="46" t="s">
        <v>225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-6.4011746653915488E-5</v>
      </c>
      <c r="J116" s="54">
        <f t="shared" si="34"/>
        <v>-2.1368353720901772E-2</v>
      </c>
      <c r="K116" s="55">
        <f t="shared" si="35"/>
        <v>0.99924876163021081</v>
      </c>
      <c r="L116" s="55">
        <f t="shared" si="36"/>
        <v>3.8070648889552505E-4</v>
      </c>
      <c r="M116" s="55">
        <f t="shared" si="42"/>
        <v>0.99961929351110446</v>
      </c>
      <c r="N116" s="55">
        <f t="shared" si="37"/>
        <v>2.8458916501343603E-6</v>
      </c>
      <c r="O116" s="56">
        <f t="shared" si="43"/>
        <v>1.0001665474064192E-6</v>
      </c>
      <c r="P116" s="56">
        <f t="shared" si="38"/>
        <v>9.5214692872770796E-7</v>
      </c>
      <c r="Q116" s="56">
        <f t="shared" si="39"/>
        <v>2.2312147388670956E-7</v>
      </c>
      <c r="R116" s="9">
        <f t="shared" si="44"/>
        <v>1.4999999999999999E-4</v>
      </c>
      <c r="S116" s="9">
        <f t="shared" si="45"/>
        <v>5.7105973334328752E-8</v>
      </c>
      <c r="T116" s="9">
        <f t="shared" si="40"/>
        <v>1.498873142445316E-4</v>
      </c>
      <c r="U116" s="9">
        <f t="shared" si="41"/>
        <v>1.4994289402666566E-4</v>
      </c>
      <c r="V116" s="100">
        <f t="shared" si="46"/>
        <v>0.99962932700149054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226</v>
      </c>
      <c r="C117" s="46" t="s">
        <v>227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1.5422749478710035E-2</v>
      </c>
      <c r="J117" s="54">
        <f t="shared" si="34"/>
        <v>1.0426006689905334</v>
      </c>
      <c r="K117" s="55">
        <f t="shared" si="35"/>
        <v>0.96052083755648832</v>
      </c>
      <c r="L117" s="55">
        <f t="shared" si="36"/>
        <v>4.2402598730416161E-3</v>
      </c>
      <c r="M117" s="55">
        <f t="shared" si="42"/>
        <v>0.99575974012695834</v>
      </c>
      <c r="N117" s="55">
        <f t="shared" si="37"/>
        <v>1.4720802568763591E-3</v>
      </c>
      <c r="O117" s="56">
        <f t="shared" si="43"/>
        <v>9.6140305267279538E-7</v>
      </c>
      <c r="P117" s="56">
        <f t="shared" si="38"/>
        <v>1.0604889942477083E-5</v>
      </c>
      <c r="Q117" s="56">
        <f t="shared" si="39"/>
        <v>1.1541293800776722E-4</v>
      </c>
      <c r="R117" s="9">
        <f t="shared" si="44"/>
        <v>1.4999999999999999E-4</v>
      </c>
      <c r="S117" s="9">
        <f t="shared" si="45"/>
        <v>6.3603898095624236E-7</v>
      </c>
      <c r="T117" s="9">
        <f t="shared" si="40"/>
        <v>1.4407812563347323E-4</v>
      </c>
      <c r="U117" s="9">
        <f t="shared" si="41"/>
        <v>1.4936396101904374E-4</v>
      </c>
      <c r="V117" s="100">
        <f t="shared" si="46"/>
        <v>0.96461103903841594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228</v>
      </c>
      <c r="C118" s="46" t="s">
        <v>229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0.17039252388598855</v>
      </c>
      <c r="J118" s="54">
        <f t="shared" si="34"/>
        <v>2.2723978215081706</v>
      </c>
      <c r="K118" s="55">
        <f t="shared" si="35"/>
        <v>0.64261248836315255</v>
      </c>
      <c r="L118" s="55">
        <f t="shared" si="36"/>
        <v>4.8153958808918644E-2</v>
      </c>
      <c r="M118" s="55">
        <f t="shared" si="42"/>
        <v>0.9518460411910814</v>
      </c>
      <c r="N118" s="55">
        <f t="shared" si="37"/>
        <v>3.0776897702554842E-2</v>
      </c>
      <c r="O118" s="56">
        <f t="shared" si="43"/>
        <v>6.432027123635021E-7</v>
      </c>
      <c r="P118" s="56">
        <f t="shared" si="38"/>
        <v>1.2043305098110553E-4</v>
      </c>
      <c r="Q118" s="56">
        <f t="shared" si="39"/>
        <v>2.4129473716015563E-3</v>
      </c>
      <c r="R118" s="9">
        <f t="shared" si="44"/>
        <v>1.4999999999999999E-4</v>
      </c>
      <c r="S118" s="9">
        <f t="shared" si="45"/>
        <v>7.2230938213377957E-6</v>
      </c>
      <c r="T118" s="9">
        <f t="shared" si="40"/>
        <v>9.6391873254472876E-5</v>
      </c>
      <c r="U118" s="9">
        <f t="shared" si="41"/>
        <v>1.4277690617866219E-4</v>
      </c>
      <c r="V118" s="100">
        <f t="shared" si="46"/>
        <v>0.67512229977762672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230</v>
      </c>
      <c r="C119" s="46" t="s">
        <v>231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-2.0346404759841822E-4</v>
      </c>
      <c r="J119" s="54">
        <f t="shared" si="34"/>
        <v>-5.374618131365505E-2</v>
      </c>
      <c r="K119" s="55">
        <f t="shared" si="35"/>
        <v>0.99959689875952529</v>
      </c>
      <c r="L119" s="55">
        <f t="shared" si="36"/>
        <v>3.5347909377060453E-4</v>
      </c>
      <c r="M119" s="55">
        <f t="shared" si="42"/>
        <v>0.99964652090622941</v>
      </c>
      <c r="N119" s="55">
        <f t="shared" si="37"/>
        <v>1.6602606413662223E-7</v>
      </c>
      <c r="O119" s="56">
        <f t="shared" si="43"/>
        <v>1.0005150042912519E-6</v>
      </c>
      <c r="P119" s="56">
        <f t="shared" si="38"/>
        <v>8.8405121352028171E-7</v>
      </c>
      <c r="Q119" s="56">
        <f t="shared" si="39"/>
        <v>1.3016651611463706E-8</v>
      </c>
      <c r="R119" s="9">
        <f t="shared" si="44"/>
        <v>1.4999999999999999E-4</v>
      </c>
      <c r="S119" s="9">
        <f t="shared" si="45"/>
        <v>5.3021864065590677E-8</v>
      </c>
      <c r="T119" s="9">
        <f t="shared" si="40"/>
        <v>1.4993953481392877E-4</v>
      </c>
      <c r="U119" s="9">
        <f t="shared" si="41"/>
        <v>1.4994697813593439E-4</v>
      </c>
      <c r="V119" s="100">
        <f t="shared" si="46"/>
        <v>0.99995036030670204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232</v>
      </c>
      <c r="C120" s="46" t="s">
        <v>233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-2.2502281549544107E-4</v>
      </c>
      <c r="J120" s="54">
        <f t="shared" si="34"/>
        <v>-5.8737087957689227E-2</v>
      </c>
      <c r="K120" s="55">
        <f t="shared" si="35"/>
        <v>0.99965054105124973</v>
      </c>
      <c r="L120" s="55">
        <f t="shared" si="36"/>
        <v>3.4945892095460281E-4</v>
      </c>
      <c r="M120" s="55">
        <f t="shared" si="42"/>
        <v>0.99965054107904538</v>
      </c>
      <c r="N120" s="55">
        <f t="shared" si="37"/>
        <v>2.1531480981968421E-16</v>
      </c>
      <c r="O120" s="56">
        <f t="shared" si="43"/>
        <v>1.0005686958521215E-6</v>
      </c>
      <c r="P120" s="56">
        <f t="shared" si="38"/>
        <v>8.7399676130746123E-7</v>
      </c>
      <c r="Q120" s="56">
        <f t="shared" si="39"/>
        <v>1.6880951077085585E-17</v>
      </c>
      <c r="R120" s="9">
        <f t="shared" si="44"/>
        <v>1.4999999999999999E-4</v>
      </c>
      <c r="S120" s="9">
        <f t="shared" si="45"/>
        <v>5.2418838143190419E-8</v>
      </c>
      <c r="T120" s="9">
        <f t="shared" si="40"/>
        <v>1.4994758115768745E-4</v>
      </c>
      <c r="U120" s="9">
        <f t="shared" si="41"/>
        <v>1.499475811618568E-4</v>
      </c>
      <c r="V120" s="100">
        <f t="shared" si="46"/>
        <v>0.99999999997219458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234</v>
      </c>
      <c r="C121" s="46" t="s">
        <v>235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1.5262652347248487E-3</v>
      </c>
      <c r="J121" s="54">
        <f t="shared" si="34"/>
        <v>0.26093616996066504</v>
      </c>
      <c r="K121" s="55">
        <f t="shared" si="35"/>
        <v>0.99525218891784129</v>
      </c>
      <c r="L121" s="55">
        <f t="shared" si="36"/>
        <v>7.2636402336263188E-4</v>
      </c>
      <c r="M121" s="55">
        <f t="shared" si="42"/>
        <v>0.99927363597663732</v>
      </c>
      <c r="N121" s="55">
        <f t="shared" si="37"/>
        <v>8.0261644288223653E-5</v>
      </c>
      <c r="O121" s="56">
        <f t="shared" si="43"/>
        <v>9.9616630393884871E-7</v>
      </c>
      <c r="P121" s="56">
        <f t="shared" si="38"/>
        <v>1.8166364224299424E-6</v>
      </c>
      <c r="Q121" s="56">
        <f t="shared" si="39"/>
        <v>6.2926135537569697E-6</v>
      </c>
      <c r="R121" s="9">
        <f t="shared" si="44"/>
        <v>1.4999999999999999E-4</v>
      </c>
      <c r="S121" s="9">
        <f t="shared" si="45"/>
        <v>1.0895460350439477E-7</v>
      </c>
      <c r="T121" s="9">
        <f t="shared" si="40"/>
        <v>1.4928782833767618E-4</v>
      </c>
      <c r="U121" s="9">
        <f t="shared" si="41"/>
        <v>1.498910453964956E-4</v>
      </c>
      <c r="V121" s="100">
        <f t="shared" si="46"/>
        <v>0.99597562978346199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236</v>
      </c>
      <c r="C122" s="46" t="s">
        <v>237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2.4878679358864142</v>
      </c>
      <c r="J122" s="54">
        <f t="shared" si="34"/>
        <v>5.3357521430084338</v>
      </c>
      <c r="K122" s="55">
        <f t="shared" si="35"/>
        <v>2.5356310915951373E-3</v>
      </c>
      <c r="L122" s="55">
        <f t="shared" si="36"/>
        <v>0.21984835761824445</v>
      </c>
      <c r="M122" s="55">
        <f t="shared" si="42"/>
        <v>0.78015164238175561</v>
      </c>
      <c r="N122" s="55">
        <f t="shared" si="37"/>
        <v>0.2071866403574914</v>
      </c>
      <c r="O122" s="56">
        <f t="shared" si="43"/>
        <v>2.5379600073155644E-9</v>
      </c>
      <c r="P122" s="56">
        <f t="shared" si="38"/>
        <v>5.4984074240322961E-4</v>
      </c>
      <c r="Q122" s="56">
        <f t="shared" si="39"/>
        <v>1.6243692399187649E-2</v>
      </c>
      <c r="R122" s="9">
        <f t="shared" si="44"/>
        <v>1.4999999999999999E-4</v>
      </c>
      <c r="S122" s="9">
        <f t="shared" si="45"/>
        <v>3.2977253642736662E-5</v>
      </c>
      <c r="T122" s="9">
        <f t="shared" si="40"/>
        <v>3.8034466373927056E-7</v>
      </c>
      <c r="U122" s="9">
        <f t="shared" si="41"/>
        <v>1.1702274635726332E-4</v>
      </c>
      <c r="V122" s="100">
        <f t="shared" si="46"/>
        <v>3.2501772140785469E-3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238</v>
      </c>
      <c r="C123" s="46" t="s">
        <v>239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1.0353959656071578E-2</v>
      </c>
      <c r="J123" s="54">
        <f t="shared" ref="J123:J127" si="48">IF(D123=0,"",LOG($K$21*10^D123+$K$22*10^E123+$K$20))</f>
        <v>0.90354926162364302</v>
      </c>
      <c r="K123" s="55">
        <f t="shared" ref="K123:K127" si="49">IF(D123=0,"",1/(1+10^D123*$J$15/$J$14+10^E123*$J$16/$J$14+10^J123*$J$19/$J$14))</f>
        <v>0.97289215249082361</v>
      </c>
      <c r="L123" s="55">
        <f t="shared" ref="L123:L127" si="50">IF(D123=0,"",1/(1+10^I123/10^J123*$J$13/$J$19))</f>
        <v>3.1181641644186155E-3</v>
      </c>
      <c r="M123" s="55">
        <f t="shared" si="42"/>
        <v>0.99688183583558143</v>
      </c>
      <c r="N123" s="55">
        <f t="shared" ref="N123:N127" si="51">IF(D123=0,"",1/(1/10^E123*$J$20/$J$22+10^D123/10^E123*$J$21/$J$22+10^I123/10^E123*$J$13/$J$22+1))</f>
        <v>1.1589625362876173E-3</v>
      </c>
      <c r="O123" s="56">
        <f t="shared" si="43"/>
        <v>9.7378573036014635E-7</v>
      </c>
      <c r="P123" s="56">
        <f t="shared" ref="P123:P127" si="52">IF(D123=0,"",O123*10^J123)</f>
        <v>7.7985285752109586E-6</v>
      </c>
      <c r="Q123" s="56">
        <f t="shared" ref="Q123:Q127" si="53">IF(D123=0,"",F123*N123*$J$7/$J$22)</f>
        <v>9.0864116089508804E-5</v>
      </c>
      <c r="R123" s="9">
        <f t="shared" si="44"/>
        <v>1.4999999999999999E-4</v>
      </c>
      <c r="S123" s="9">
        <f t="shared" si="45"/>
        <v>4.6772462466279227E-7</v>
      </c>
      <c r="T123" s="9">
        <f t="shared" si="40"/>
        <v>1.4593382287362352E-4</v>
      </c>
      <c r="U123" s="9">
        <f t="shared" si="41"/>
        <v>1.4953227537533719E-4</v>
      </c>
      <c r="V123" s="100">
        <f t="shared" si="46"/>
        <v>0.97593527890429488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240</v>
      </c>
      <c r="C124" s="46" t="s">
        <v>241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2.0480395290290027E-2</v>
      </c>
      <c r="J124" s="54">
        <f t="shared" si="48"/>
        <v>1.0716665691586713</v>
      </c>
      <c r="K124" s="55">
        <f t="shared" si="49"/>
        <v>0.94917106399388695</v>
      </c>
      <c r="L124" s="55">
        <f t="shared" si="50"/>
        <v>4.4801862966177483E-3</v>
      </c>
      <c r="M124" s="55">
        <f t="shared" si="42"/>
        <v>0.99551981370338227</v>
      </c>
      <c r="N124" s="55">
        <f t="shared" si="51"/>
        <v>6.4627326028247846E-4</v>
      </c>
      <c r="O124" s="56">
        <f t="shared" si="43"/>
        <v>9.5004285461817664E-7</v>
      </c>
      <c r="P124" s="56">
        <f t="shared" si="52"/>
        <v>1.120494592784099E-5</v>
      </c>
      <c r="Q124" s="56">
        <f t="shared" si="53"/>
        <v>5.0668633980140395E-5</v>
      </c>
      <c r="R124" s="9">
        <f t="shared" si="44"/>
        <v>1.4999999999999999E-4</v>
      </c>
      <c r="S124" s="9">
        <f t="shared" si="45"/>
        <v>6.7202794449266223E-7</v>
      </c>
      <c r="T124" s="9">
        <f t="shared" si="40"/>
        <v>1.4237565959908304E-4</v>
      </c>
      <c r="U124" s="9">
        <f t="shared" si="41"/>
        <v>1.4932797205550734E-4</v>
      </c>
      <c r="V124" s="100">
        <f t="shared" si="46"/>
        <v>0.95344266475513362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242</v>
      </c>
      <c r="C125" s="46" t="s">
        <v>243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5.8413729360461944E-4</v>
      </c>
      <c r="J125" s="54">
        <f t="shared" si="48"/>
        <v>0.1052380650673532</v>
      </c>
      <c r="K125" s="55">
        <f t="shared" si="49"/>
        <v>0.99763078501979008</v>
      </c>
      <c r="L125" s="55">
        <f t="shared" si="50"/>
        <v>5.0873652765843027E-4</v>
      </c>
      <c r="M125" s="55">
        <f t="shared" si="42"/>
        <v>0.99949126347234152</v>
      </c>
      <c r="N125" s="55">
        <f t="shared" si="51"/>
        <v>1.7401253723388282E-5</v>
      </c>
      <c r="O125" s="56">
        <f t="shared" si="43"/>
        <v>9.9854708472368479E-7</v>
      </c>
      <c r="P125" s="56">
        <f t="shared" si="52"/>
        <v>1.2723500556737341E-6</v>
      </c>
      <c r="Q125" s="56">
        <f t="shared" si="53"/>
        <v>1.3642801116675265E-6</v>
      </c>
      <c r="R125" s="9">
        <f t="shared" si="44"/>
        <v>1.4999999999999999E-4</v>
      </c>
      <c r="S125" s="9">
        <f t="shared" si="45"/>
        <v>7.6310479148764532E-8</v>
      </c>
      <c r="T125" s="9">
        <f t="shared" si="40"/>
        <v>1.4964461775296851E-4</v>
      </c>
      <c r="U125" s="9">
        <f t="shared" si="41"/>
        <v>1.4992368952085122E-4</v>
      </c>
      <c r="V125" s="100">
        <f t="shared" si="46"/>
        <v>0.99813857457234001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244</v>
      </c>
      <c r="C126" s="46" t="s">
        <v>245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1.4729644553070216</v>
      </c>
      <c r="J126" s="54">
        <f t="shared" si="48"/>
        <v>4.2425872318946825</v>
      </c>
      <c r="K126" s="55">
        <f t="shared" si="49"/>
        <v>2.7228673908910036E-2</v>
      </c>
      <c r="L126" s="55">
        <f t="shared" si="50"/>
        <v>0.19050164793435204</v>
      </c>
      <c r="M126" s="55">
        <f t="shared" si="42"/>
        <v>0.80949835206564802</v>
      </c>
      <c r="N126" s="55">
        <f t="shared" si="51"/>
        <v>0.16834575534210033</v>
      </c>
      <c r="O126" s="56">
        <f t="shared" si="43"/>
        <v>2.725368278615683E-8</v>
      </c>
      <c r="P126" s="56">
        <f t="shared" si="52"/>
        <v>4.7644462148381452E-4</v>
      </c>
      <c r="Q126" s="56">
        <f t="shared" si="53"/>
        <v>1.3198518310676895E-2</v>
      </c>
      <c r="R126" s="9">
        <f t="shared" si="44"/>
        <v>1.4999999999999999E-4</v>
      </c>
      <c r="S126" s="9">
        <f t="shared" si="45"/>
        <v>2.8575247190152804E-5</v>
      </c>
      <c r="T126" s="9">
        <f t="shared" si="40"/>
        <v>4.0843010863365049E-6</v>
      </c>
      <c r="U126" s="9">
        <f t="shared" si="41"/>
        <v>1.214247528098472E-4</v>
      </c>
      <c r="V126" s="100">
        <f t="shared" si="46"/>
        <v>3.363647849242548E-2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246</v>
      </c>
      <c r="C127" s="46" t="s">
        <v>247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0.12683662687631939</v>
      </c>
      <c r="J127" s="54">
        <f t="shared" si="48"/>
        <v>2.1027401001650152</v>
      </c>
      <c r="K127" s="55">
        <f t="shared" si="49"/>
        <v>0.71913014700124867</v>
      </c>
      <c r="L127" s="55">
        <f t="shared" si="50"/>
        <v>3.6461338677214926E-2</v>
      </c>
      <c r="M127" s="55">
        <f t="shared" si="42"/>
        <v>0.96353866132278509</v>
      </c>
      <c r="N127" s="55">
        <f t="shared" si="51"/>
        <v>2.2140283375525333E-2</v>
      </c>
      <c r="O127" s="56">
        <f t="shared" si="43"/>
        <v>7.1979065061706873E-7</v>
      </c>
      <c r="P127" s="56">
        <f t="shared" si="52"/>
        <v>9.118980803171452E-5</v>
      </c>
      <c r="Q127" s="56">
        <f t="shared" si="53"/>
        <v>1.7358259787520021E-3</v>
      </c>
      <c r="R127" s="9">
        <f t="shared" si="44"/>
        <v>1.4999999999999999E-4</v>
      </c>
      <c r="S127" s="9">
        <f t="shared" si="45"/>
        <v>5.4692008015822385E-6</v>
      </c>
      <c r="T127" s="9">
        <f t="shared" si="40"/>
        <v>1.0786952205018729E-4</v>
      </c>
      <c r="U127" s="9">
        <f t="shared" si="41"/>
        <v>1.4453079919841776E-4</v>
      </c>
      <c r="V127" s="100">
        <f t="shared" si="46"/>
        <v>0.74634280477546955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248</v>
      </c>
      <c r="C128" s="46" t="s">
        <v>249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0.56658503951123784</v>
      </c>
      <c r="J128" s="54">
        <f t="shared" ref="J128:J134" si="55">IF(D128=0,"",LOG($K$21*10^D128+$K$22*10^E128+$K$20))</f>
        <v>3.013869491074634</v>
      </c>
      <c r="K128" s="55">
        <f t="shared" ref="K128:K134" si="56">IF(D128=0,"",1/(1+10^D128*$J$15/$J$14+10^E128*$J$16/$J$14+10^J128*$J$19/$J$14))</f>
        <v>0.24382173413381009</v>
      </c>
      <c r="L128" s="55">
        <f t="shared" ref="L128:L134" si="57">IF(D128=0,"",1/(1+10^I128/10^J128*$J$13/$J$19))</f>
        <v>0.1007457933086079</v>
      </c>
      <c r="M128" s="55">
        <f t="shared" ref="M128:M134" si="58">IF(D128=0,"",1-L128)</f>
        <v>0.89925420669139211</v>
      </c>
      <c r="N128" s="55">
        <f t="shared" ref="N128:N134" si="59">IF(D128=0,"",1/(1/10^E128*$J$20/$J$22+10^D128/10^E128*$J$21/$J$22+10^I128/10^E128*$J$13/$J$22+1))</f>
        <v>6.4020802392509929E-2</v>
      </c>
      <c r="O128" s="56">
        <f t="shared" ref="O128:O134" si="60">IF(D128=0,"",F128*K128*$J$7/$J$14)</f>
        <v>2.4404567848892087E-7</v>
      </c>
      <c r="P128" s="56">
        <f t="shared" ref="P128:P134" si="61">IF(D128=0,"",O128*10^J128)</f>
        <v>2.5196522906482835E-4</v>
      </c>
      <c r="Q128" s="56">
        <f t="shared" ref="Q128:Q134" si="62">IF(D128=0,"",F128*N128*$J$7/$J$22)</f>
        <v>5.0193111844409827E-3</v>
      </c>
      <c r="R128" s="9">
        <f t="shared" si="44"/>
        <v>1.4999999999999999E-4</v>
      </c>
      <c r="S128" s="9">
        <f t="shared" si="45"/>
        <v>1.5111868996291184E-5</v>
      </c>
      <c r="T128" s="9">
        <f t="shared" si="40"/>
        <v>3.6573260120071509E-5</v>
      </c>
      <c r="U128" s="9">
        <f t="shared" si="41"/>
        <v>1.348881310037088E-4</v>
      </c>
      <c r="V128" s="100">
        <f t="shared" si="46"/>
        <v>0.27113771870014208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250</v>
      </c>
      <c r="C129" s="46" t="s">
        <v>251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-2.135446795447277E-4</v>
      </c>
      <c r="J129" s="54">
        <f t="shared" si="55"/>
        <v>-5.6092090125515102E-2</v>
      </c>
      <c r="K129" s="55">
        <f t="shared" si="56"/>
        <v>0.99962199653204842</v>
      </c>
      <c r="L129" s="55">
        <f t="shared" si="57"/>
        <v>3.5158369669237565E-4</v>
      </c>
      <c r="M129" s="55">
        <f t="shared" si="58"/>
        <v>0.99964841630330759</v>
      </c>
      <c r="N129" s="55">
        <f t="shared" si="59"/>
        <v>6.7950716306600701E-8</v>
      </c>
      <c r="O129" s="56">
        <f t="shared" si="60"/>
        <v>1.0005401251154709E-6</v>
      </c>
      <c r="P129" s="56">
        <f t="shared" si="61"/>
        <v>8.7931082542763134E-7</v>
      </c>
      <c r="Q129" s="56">
        <f t="shared" si="62"/>
        <v>5.3274213630974411E-9</v>
      </c>
      <c r="R129" s="9">
        <f t="shared" si="44"/>
        <v>1.4999999999999999E-4</v>
      </c>
      <c r="S129" s="9">
        <f t="shared" si="45"/>
        <v>5.273755450385634E-8</v>
      </c>
      <c r="T129" s="9">
        <f t="shared" si="40"/>
        <v>1.4994329947980726E-4</v>
      </c>
      <c r="U129" s="9">
        <f t="shared" si="41"/>
        <v>1.4994726244549613E-4</v>
      </c>
      <c r="V129" s="100">
        <f t="shared" si="46"/>
        <v>0.99997357093671302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252</v>
      </c>
      <c r="C130" s="46" t="s">
        <v>253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3.4815258927436928E-2</v>
      </c>
      <c r="J130" s="54">
        <f t="shared" si="55"/>
        <v>1.431085952984696</v>
      </c>
      <c r="K130" s="55">
        <f t="shared" si="56"/>
        <v>0.91338703113715691</v>
      </c>
      <c r="L130" s="55">
        <f t="shared" si="57"/>
        <v>9.8633809728098914E-3</v>
      </c>
      <c r="M130" s="55">
        <f t="shared" si="58"/>
        <v>0.99013661902719008</v>
      </c>
      <c r="N130" s="55">
        <f t="shared" si="59"/>
        <v>4.5654938053975389E-3</v>
      </c>
      <c r="O130" s="56">
        <f t="shared" si="60"/>
        <v>9.1422595499429872E-7</v>
      </c>
      <c r="P130" s="56">
        <f t="shared" si="61"/>
        <v>2.4668315812997534E-5</v>
      </c>
      <c r="Q130" s="56">
        <f t="shared" si="62"/>
        <v>3.5794043910028988E-4</v>
      </c>
      <c r="R130" s="9">
        <f t="shared" si="44"/>
        <v>1.4999999999999999E-4</v>
      </c>
      <c r="S130" s="9">
        <f t="shared" si="45"/>
        <v>1.4795071459214835E-6</v>
      </c>
      <c r="T130" s="9">
        <f t="shared" si="40"/>
        <v>1.3700805467057353E-4</v>
      </c>
      <c r="U130" s="9">
        <f t="shared" si="41"/>
        <v>1.4852049285407851E-4</v>
      </c>
      <c r="V130" s="100">
        <f t="shared" si="46"/>
        <v>0.92248586062250715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254</v>
      </c>
      <c r="C131" s="46" t="s">
        <v>255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4.8235239734115414E-4</v>
      </c>
      <c r="J131" s="54">
        <f t="shared" si="55"/>
        <v>9.2770544988280301E-2</v>
      </c>
      <c r="K131" s="55">
        <f t="shared" si="56"/>
        <v>0.99787887630204963</v>
      </c>
      <c r="L131" s="55">
        <f t="shared" si="57"/>
        <v>4.9446253203969603E-4</v>
      </c>
      <c r="M131" s="55">
        <f t="shared" si="58"/>
        <v>0.99950553746796034</v>
      </c>
      <c r="N131" s="55">
        <f t="shared" si="59"/>
        <v>2.272236380873709E-5</v>
      </c>
      <c r="O131" s="56">
        <f t="shared" si="60"/>
        <v>9.9879540387177607E-7</v>
      </c>
      <c r="P131" s="56">
        <f t="shared" si="61"/>
        <v>1.2366507926312799E-6</v>
      </c>
      <c r="Q131" s="56">
        <f t="shared" si="62"/>
        <v>1.7814618145972245E-6</v>
      </c>
      <c r="R131" s="9">
        <f t="shared" si="44"/>
        <v>1.4999999999999999E-4</v>
      </c>
      <c r="S131" s="9">
        <f t="shared" si="45"/>
        <v>7.4169379805954396E-8</v>
      </c>
      <c r="T131" s="9">
        <f t="shared" si="40"/>
        <v>1.4968183144530744E-4</v>
      </c>
      <c r="U131" s="9">
        <f t="shared" si="41"/>
        <v>1.4992583062019404E-4</v>
      </c>
      <c r="V131" s="100">
        <f t="shared" si="46"/>
        <v>0.99837253411318605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256</v>
      </c>
      <c r="C132" s="46" t="s">
        <v>257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1.6296434031808995E-3</v>
      </c>
      <c r="J132" s="54">
        <f t="shared" si="55"/>
        <v>0.27496781452008195</v>
      </c>
      <c r="K132" s="55">
        <f t="shared" si="56"/>
        <v>0.9949917559857101</v>
      </c>
      <c r="L132" s="55">
        <f t="shared" si="57"/>
        <v>7.5001907893294188E-4</v>
      </c>
      <c r="M132" s="55">
        <f t="shared" si="58"/>
        <v>0.99924998092106709</v>
      </c>
      <c r="N132" s="55">
        <f t="shared" si="59"/>
        <v>8.6900314349458489E-5</v>
      </c>
      <c r="O132" s="56">
        <f t="shared" si="60"/>
        <v>9.9590563180537953E-7</v>
      </c>
      <c r="P132" s="56">
        <f t="shared" si="61"/>
        <v>1.8757977164112879E-6</v>
      </c>
      <c r="Q132" s="56">
        <f t="shared" si="62"/>
        <v>6.8130936109089557E-6</v>
      </c>
      <c r="R132" s="9">
        <f t="shared" si="44"/>
        <v>1.4999999999999999E-4</v>
      </c>
      <c r="S132" s="9">
        <f t="shared" si="45"/>
        <v>1.1250286183994127E-7</v>
      </c>
      <c r="T132" s="9">
        <f t="shared" si="40"/>
        <v>1.492487633978565E-4</v>
      </c>
      <c r="U132" s="9">
        <f t="shared" si="41"/>
        <v>1.4988749713816006E-4</v>
      </c>
      <c r="V132" s="100">
        <f t="shared" si="46"/>
        <v>0.99573857891752782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258</v>
      </c>
      <c r="C133" s="46" t="s">
        <v>259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0.18829844715874175</v>
      </c>
      <c r="J133" s="54">
        <f t="shared" si="55"/>
        <v>2.3319124893564669</v>
      </c>
      <c r="K133" s="55">
        <f t="shared" si="56"/>
        <v>0.61368508013352674</v>
      </c>
      <c r="L133" s="55">
        <f t="shared" si="57"/>
        <v>5.274035738590882E-2</v>
      </c>
      <c r="M133" s="55">
        <f t="shared" si="58"/>
        <v>0.94725964261409112</v>
      </c>
      <c r="N133" s="55">
        <f t="shared" si="59"/>
        <v>3.4276013688949322E-2</v>
      </c>
      <c r="O133" s="56">
        <f t="shared" si="60"/>
        <v>6.1424873501031543E-7</v>
      </c>
      <c r="P133" s="56">
        <f t="shared" si="61"/>
        <v>1.3190363382215795E-4</v>
      </c>
      <c r="Q133" s="56">
        <f t="shared" si="62"/>
        <v>2.6872824525411365E-3</v>
      </c>
      <c r="R133" s="9">
        <f t="shared" si="44"/>
        <v>1.4999999999999999E-4</v>
      </c>
      <c r="S133" s="9">
        <f t="shared" si="45"/>
        <v>7.9110536078863229E-6</v>
      </c>
      <c r="T133" s="9">
        <f t="shared" si="40"/>
        <v>9.2052762020029005E-5</v>
      </c>
      <c r="U133" s="9">
        <f t="shared" si="41"/>
        <v>1.4208894639211367E-4</v>
      </c>
      <c r="V133" s="100">
        <f t="shared" si="46"/>
        <v>0.64785308327923663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260</v>
      </c>
      <c r="C134" s="46" t="s">
        <v>261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-2.2139482595652795E-4</v>
      </c>
      <c r="J134" s="54">
        <f t="shared" si="55"/>
        <v>-5.7907129439144098E-2</v>
      </c>
      <c r="K134" s="55">
        <f t="shared" si="56"/>
        <v>0.99964152494219438</v>
      </c>
      <c r="L134" s="55">
        <f t="shared" si="57"/>
        <v>3.5012423511287952E-4</v>
      </c>
      <c r="M134" s="55">
        <f t="shared" si="58"/>
        <v>0.99964987576488717</v>
      </c>
      <c r="N134" s="55">
        <f t="shared" si="59"/>
        <v>1.3257482581372997E-8</v>
      </c>
      <c r="O134" s="56">
        <f t="shared" si="60"/>
        <v>1.0005596714619884E-6</v>
      </c>
      <c r="P134" s="56">
        <f t="shared" si="61"/>
        <v>8.756607120173118E-7</v>
      </c>
      <c r="Q134" s="56">
        <f t="shared" si="62"/>
        <v>1.0394032581822528E-9</v>
      </c>
      <c r="R134" s="9">
        <f t="shared" si="44"/>
        <v>1.4999999999999999E-4</v>
      </c>
      <c r="S134" s="9">
        <f t="shared" si="45"/>
        <v>5.2518635266931926E-8</v>
      </c>
      <c r="T134" s="9">
        <f t="shared" si="40"/>
        <v>1.4994622874132913E-4</v>
      </c>
      <c r="U134" s="9">
        <f t="shared" si="41"/>
        <v>1.4994748136473306E-4</v>
      </c>
      <c r="V134" s="100">
        <f t="shared" si="46"/>
        <v>0.99999164625245773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262</v>
      </c>
      <c r="C135" s="46" t="s">
        <v>263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2.8479282847897803E-3</v>
      </c>
      <c r="J135" s="54">
        <f t="shared" ref="J135:J143" si="64">IF(D135=0,"",LOG($K$21*10^D135+$K$22*10^E135+$K$20))</f>
        <v>0.41641808606377462</v>
      </c>
      <c r="K135" s="55">
        <f t="shared" ref="K135:K143" si="65">IF(D135=0,"",1/(1+10^D135*$J$15/$J$14+10^E135*$J$16/$J$14+10^J135*$J$19/$J$14))</f>
        <v>0.99192097249296729</v>
      </c>
      <c r="L135" s="55">
        <f t="shared" ref="L135:L143" si="66">IF(D135=0,"",1/(1+10^I135/10^J135*$J$13/$J$19))</f>
        <v>1.0355716986464342E-3</v>
      </c>
      <c r="M135" s="55">
        <f t="shared" ref="M135:M143" si="67">IF(D135=0,"",1-L135)</f>
        <v>0.99896442830135357</v>
      </c>
      <c r="N135" s="55">
        <f t="shared" ref="N135:N143" si="68">IF(D135=0,"",1/(1/10^E135*$J$20/$J$22+10^D135/10^E135*$J$21/$J$22+10^I135/10^E135*$J$13/$J$22+1))</f>
        <v>1.7453028675141547E-4</v>
      </c>
      <c r="O135" s="56">
        <f t="shared" ref="O135:O143" si="69">IF(D135=0,"",F135*K135*$J$7/$J$14)</f>
        <v>9.9283202787240251E-7</v>
      </c>
      <c r="P135" s="56">
        <f t="shared" ref="P135:P143" si="70">IF(D135=0,"",O135*10^J135)</f>
        <v>2.5899648183147323E-6</v>
      </c>
      <c r="Q135" s="56">
        <f t="shared" ref="Q135:Q143" si="71">IF(D135=0,"",F135*N135*$J$7/$J$22)</f>
        <v>1.3683393328065521E-5</v>
      </c>
      <c r="R135" s="9">
        <f t="shared" si="44"/>
        <v>1.4999999999999999E-4</v>
      </c>
      <c r="S135" s="9">
        <f t="shared" si="45"/>
        <v>1.5533575479696511E-7</v>
      </c>
      <c r="T135" s="9">
        <f t="shared" si="40"/>
        <v>1.4878814587394507E-4</v>
      </c>
      <c r="U135" s="9">
        <f t="shared" si="41"/>
        <v>1.4984466424520303E-4</v>
      </c>
      <c r="V135" s="100">
        <f t="shared" si="46"/>
        <v>0.99294924262682405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264</v>
      </c>
      <c r="C136" s="46" t="s">
        <v>265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-7.9190837002413863E-5</v>
      </c>
      <c r="J136" s="54">
        <f t="shared" si="64"/>
        <v>-2.4847756824831816E-2</v>
      </c>
      <c r="K136" s="55">
        <f t="shared" si="65"/>
        <v>0.99928670966431488</v>
      </c>
      <c r="L136" s="55">
        <f t="shared" si="66"/>
        <v>3.7768294054137396E-4</v>
      </c>
      <c r="M136" s="55">
        <f t="shared" si="67"/>
        <v>0.99962231705945859</v>
      </c>
      <c r="N136" s="55">
        <f t="shared" si="68"/>
        <v>2.4752832252171872E-6</v>
      </c>
      <c r="O136" s="56">
        <f t="shared" si="69"/>
        <v>1.0002045302948734E-6</v>
      </c>
      <c r="P136" s="56">
        <f t="shared" si="70"/>
        <v>9.4458503429397639E-7</v>
      </c>
      <c r="Q136" s="56">
        <f t="shared" si="71"/>
        <v>1.9406530866044468E-7</v>
      </c>
      <c r="R136" s="9">
        <f t="shared" si="44"/>
        <v>1.4999999999999999E-4</v>
      </c>
      <c r="S136" s="9">
        <f t="shared" si="45"/>
        <v>5.6652441081206089E-8</v>
      </c>
      <c r="T136" s="9">
        <f t="shared" si="40"/>
        <v>1.4989300644964722E-4</v>
      </c>
      <c r="U136" s="9">
        <f t="shared" si="41"/>
        <v>1.4994334755891878E-4</v>
      </c>
      <c r="V136" s="100">
        <f t="shared" si="46"/>
        <v>0.99966426580377787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266</v>
      </c>
      <c r="C137" s="46" t="s">
        <v>267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-2.2462984868396082E-4</v>
      </c>
      <c r="J137" s="54">
        <f t="shared" si="64"/>
        <v>-5.8647943797627743E-2</v>
      </c>
      <c r="K137" s="55">
        <f t="shared" si="65"/>
        <v>0.99964956513163472</v>
      </c>
      <c r="L137" s="55">
        <f t="shared" si="66"/>
        <v>3.4953031772577643E-4</v>
      </c>
      <c r="M137" s="55">
        <f t="shared" si="67"/>
        <v>0.99965046968227422</v>
      </c>
      <c r="N137" s="55">
        <f t="shared" si="68"/>
        <v>5.6373060597915663E-10</v>
      </c>
      <c r="O137" s="56">
        <f t="shared" si="69"/>
        <v>1.0005677190361481E-6</v>
      </c>
      <c r="P137" s="56">
        <f t="shared" si="70"/>
        <v>8.7417532463216704E-7</v>
      </c>
      <c r="Q137" s="56">
        <f t="shared" si="71"/>
        <v>4.4197186380999084E-11</v>
      </c>
      <c r="R137" s="9">
        <f t="shared" si="44"/>
        <v>1.4999999999999999E-4</v>
      </c>
      <c r="S137" s="9">
        <f t="shared" si="45"/>
        <v>5.2429547658866462E-8</v>
      </c>
      <c r="T137" s="9">
        <f t="shared" si="40"/>
        <v>1.4994743476974518E-4</v>
      </c>
      <c r="U137" s="9">
        <f t="shared" si="41"/>
        <v>1.4994757045234112E-4</v>
      </c>
      <c r="V137" s="100">
        <f t="shared" si="46"/>
        <v>0.99999909513308205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268</v>
      </c>
      <c r="C138" s="46" t="s">
        <v>269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-9.5327662881748492E-5</v>
      </c>
      <c r="J138" s="54">
        <f t="shared" si="64"/>
        <v>-2.8562424368517695E-2</v>
      </c>
      <c r="K138" s="55">
        <f t="shared" si="65"/>
        <v>0.99932704086975854</v>
      </c>
      <c r="L138" s="55">
        <f t="shared" si="66"/>
        <v>3.7448138036762484E-4</v>
      </c>
      <c r="M138" s="55">
        <f t="shared" si="67"/>
        <v>0.99962551861963234</v>
      </c>
      <c r="N138" s="55">
        <f t="shared" si="68"/>
        <v>2.0981344706270595E-6</v>
      </c>
      <c r="O138" s="56">
        <f t="shared" si="69"/>
        <v>1.000244898543552E-6</v>
      </c>
      <c r="P138" s="56">
        <f t="shared" si="70"/>
        <v>9.365779322994298E-7</v>
      </c>
      <c r="Q138" s="56">
        <f t="shared" si="71"/>
        <v>1.644963733867798E-7</v>
      </c>
      <c r="R138" s="9">
        <f t="shared" si="44"/>
        <v>1.4999999999999999E-4</v>
      </c>
      <c r="S138" s="9">
        <f t="shared" si="45"/>
        <v>5.6172207055143722E-8</v>
      </c>
      <c r="T138" s="9">
        <f t="shared" si="40"/>
        <v>1.4989905613046377E-4</v>
      </c>
      <c r="U138" s="9">
        <f t="shared" si="41"/>
        <v>1.4994382779294482E-4</v>
      </c>
      <c r="V138" s="100">
        <f t="shared" si="46"/>
        <v>0.99970141043389338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270</v>
      </c>
      <c r="C139" s="46" t="s">
        <v>271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2.1084810301724875E-3</v>
      </c>
      <c r="J139" s="54">
        <f t="shared" si="64"/>
        <v>0.3185068789023815</v>
      </c>
      <c r="K139" s="55">
        <f t="shared" si="65"/>
        <v>0.99381762559065756</v>
      </c>
      <c r="L139" s="55">
        <f t="shared" si="66"/>
        <v>8.2813013364420069E-4</v>
      </c>
      <c r="M139" s="55">
        <f t="shared" si="67"/>
        <v>0.99917186986635576</v>
      </c>
      <c r="N139" s="55">
        <f t="shared" si="68"/>
        <v>7.6600991669476481E-5</v>
      </c>
      <c r="O139" s="56">
        <f t="shared" si="69"/>
        <v>9.9473042300000774E-7</v>
      </c>
      <c r="P139" s="56">
        <f t="shared" si="70"/>
        <v>2.0711534642441466E-6</v>
      </c>
      <c r="Q139" s="56">
        <f t="shared" si="71"/>
        <v>6.0056137982871687E-6</v>
      </c>
      <c r="R139" s="9">
        <f t="shared" si="44"/>
        <v>1.4999999999999999E-4</v>
      </c>
      <c r="S139" s="9">
        <f t="shared" si="45"/>
        <v>1.2421952004663008E-7</v>
      </c>
      <c r="T139" s="9">
        <f t="shared" si="40"/>
        <v>1.4907264383859863E-4</v>
      </c>
      <c r="U139" s="9">
        <f t="shared" si="41"/>
        <v>1.4987578047995334E-4</v>
      </c>
      <c r="V139" s="100">
        <f t="shared" si="46"/>
        <v>0.9946413180382927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272</v>
      </c>
      <c r="C140" s="46" t="s">
        <v>273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-2.2206215862113771E-4</v>
      </c>
      <c r="J140" s="54">
        <f t="shared" si="64"/>
        <v>-5.8060513860230811E-2</v>
      </c>
      <c r="K140" s="55">
        <f t="shared" si="65"/>
        <v>0.99964318403634167</v>
      </c>
      <c r="L140" s="55">
        <f t="shared" si="66"/>
        <v>3.5000118072317944E-4</v>
      </c>
      <c r="M140" s="55">
        <f t="shared" si="67"/>
        <v>0.99964999881927685</v>
      </c>
      <c r="N140" s="55">
        <f t="shared" si="68"/>
        <v>9.9339801249192429E-9</v>
      </c>
      <c r="O140" s="56">
        <f t="shared" si="69"/>
        <v>1.0005613320799736E-6</v>
      </c>
      <c r="P140" s="56">
        <f t="shared" si="70"/>
        <v>8.7535295298867181E-7</v>
      </c>
      <c r="Q140" s="56">
        <f t="shared" si="71"/>
        <v>7.7883649819507907E-10</v>
      </c>
      <c r="R140" s="9">
        <f t="shared" si="44"/>
        <v>1.4999999999999999E-4</v>
      </c>
      <c r="S140" s="9">
        <f t="shared" si="45"/>
        <v>5.2500177108476909E-8</v>
      </c>
      <c r="T140" s="9">
        <f t="shared" si="40"/>
        <v>1.4994647760545123E-4</v>
      </c>
      <c r="U140" s="9">
        <f t="shared" si="41"/>
        <v>1.4994749982289151E-4</v>
      </c>
      <c r="V140" s="100">
        <f t="shared" si="46"/>
        <v>0.99999318283104766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274</v>
      </c>
      <c r="C141" s="46" t="s">
        <v>275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-2.1765065893421197E-4</v>
      </c>
      <c r="J141" s="54">
        <f t="shared" si="64"/>
        <v>-5.7043412255376839E-2</v>
      </c>
      <c r="K141" s="55">
        <f t="shared" si="65"/>
        <v>0.9996322130726697</v>
      </c>
      <c r="L141" s="55">
        <f t="shared" si="66"/>
        <v>3.5081798090003845E-4</v>
      </c>
      <c r="M141" s="55">
        <f t="shared" si="67"/>
        <v>0.99964918201909991</v>
      </c>
      <c r="N141" s="55">
        <f t="shared" si="68"/>
        <v>3.6264450333698189E-8</v>
      </c>
      <c r="O141" s="56">
        <f t="shared" si="69"/>
        <v>1.0005503510397373E-6</v>
      </c>
      <c r="P141" s="56">
        <f t="shared" si="70"/>
        <v>8.7739577023099644E-7</v>
      </c>
      <c r="Q141" s="56">
        <f t="shared" si="71"/>
        <v>2.8431783788269333E-9</v>
      </c>
      <c r="R141" s="9">
        <f t="shared" si="44"/>
        <v>1.4999999999999999E-4</v>
      </c>
      <c r="S141" s="9">
        <f t="shared" si="45"/>
        <v>5.2622697135005763E-8</v>
      </c>
      <c r="T141" s="9">
        <f t="shared" si="40"/>
        <v>1.4994483196090045E-4</v>
      </c>
      <c r="U141" s="9">
        <f t="shared" si="41"/>
        <v>1.4994737730286497E-4</v>
      </c>
      <c r="V141" s="100">
        <f t="shared" si="46"/>
        <v>0.99998302509846915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276</v>
      </c>
      <c r="C142" s="46" t="s">
        <v>277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5.0919667310397418E-2</v>
      </c>
      <c r="J142" s="54">
        <f t="shared" si="64"/>
        <v>1.619266797430863</v>
      </c>
      <c r="K142" s="55">
        <f t="shared" si="65"/>
        <v>0.87593671521198402</v>
      </c>
      <c r="L142" s="55">
        <f t="shared" si="66"/>
        <v>1.4588967000082081E-2</v>
      </c>
      <c r="M142" s="55">
        <f t="shared" si="67"/>
        <v>0.98541103299991795</v>
      </c>
      <c r="N142" s="55">
        <f t="shared" si="68"/>
        <v>7.3867093004319415E-3</v>
      </c>
      <c r="O142" s="56">
        <f t="shared" si="69"/>
        <v>8.76741241861353E-7</v>
      </c>
      <c r="P142" s="56">
        <f t="shared" si="70"/>
        <v>3.6487006467205296E-5</v>
      </c>
      <c r="Q142" s="56">
        <f t="shared" si="71"/>
        <v>5.7912727148527548E-4</v>
      </c>
      <c r="R142" s="9">
        <f t="shared" si="44"/>
        <v>1.4999999999999999E-4</v>
      </c>
      <c r="S142" s="9">
        <f t="shared" si="45"/>
        <v>2.1883450500123121E-6</v>
      </c>
      <c r="T142" s="9">
        <f t="shared" si="40"/>
        <v>1.313905072817976E-4</v>
      </c>
      <c r="U142" s="9">
        <f t="shared" si="41"/>
        <v>1.4781165494998769E-4</v>
      </c>
      <c r="V142" s="100">
        <f t="shared" si="46"/>
        <v>0.88890491975246333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96</v>
      </c>
      <c r="C143" s="46" t="s">
        <v>278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0.38018124000089604</v>
      </c>
      <c r="J143" s="54">
        <f t="shared" si="64"/>
        <v>2.4581070126707267</v>
      </c>
      <c r="K143" s="55">
        <f t="shared" si="65"/>
        <v>0.39745675081028975</v>
      </c>
      <c r="L143" s="55">
        <f t="shared" si="66"/>
        <v>4.5675352184367385E-2</v>
      </c>
      <c r="M143" s="55">
        <f t="shared" si="67"/>
        <v>0.95432464781563264</v>
      </c>
      <c r="N143" s="55">
        <f t="shared" si="68"/>
        <v>2.138777258543164E-3</v>
      </c>
      <c r="O143" s="56">
        <f t="shared" si="69"/>
        <v>3.978218052057104E-7</v>
      </c>
      <c r="P143" s="56">
        <f t="shared" si="70"/>
        <v>1.142340558131028E-4</v>
      </c>
      <c r="Q143" s="56">
        <f t="shared" si="71"/>
        <v>1.6768281892214586E-4</v>
      </c>
      <c r="R143" s="9">
        <f t="shared" si="44"/>
        <v>1.4999999999999999E-4</v>
      </c>
      <c r="S143" s="9">
        <f t="shared" si="45"/>
        <v>6.8513028276551073E-6</v>
      </c>
      <c r="T143" s="9">
        <f t="shared" si="40"/>
        <v>5.9618512621543457E-5</v>
      </c>
      <c r="U143" s="9">
        <f t="shared" si="41"/>
        <v>1.4314869717234487E-4</v>
      </c>
      <c r="V143" s="100">
        <f t="shared" si="46"/>
        <v>0.41647960337190726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2025-02-02T14:52:35Z</dcterms:modified>
</cp:coreProperties>
</file>