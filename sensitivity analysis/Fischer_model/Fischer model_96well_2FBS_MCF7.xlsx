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5E9BB8CB-A775-4141-A88C-33F099D08819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T130" i="4" s="1"/>
  <c r="V127" i="4"/>
  <c r="U127" i="4"/>
  <c r="T127" i="4"/>
  <c r="R127" i="4"/>
  <c r="S127" i="4" s="1"/>
  <c r="V126" i="4"/>
  <c r="R126" i="4"/>
  <c r="T126" i="4" s="1"/>
  <c r="V124" i="4"/>
  <c r="U124" i="4"/>
  <c r="T124" i="4"/>
  <c r="S124" i="4"/>
  <c r="R124" i="4"/>
  <c r="V121" i="4"/>
  <c r="R121" i="4"/>
  <c r="U121" i="4" s="1"/>
  <c r="V120" i="4"/>
  <c r="R120" i="4"/>
  <c r="U120" i="4" s="1"/>
  <c r="V119" i="4"/>
  <c r="U119" i="4"/>
  <c r="R119" i="4"/>
  <c r="T119" i="4" s="1"/>
  <c r="V116" i="4"/>
  <c r="R116" i="4"/>
  <c r="U116" i="4" s="1"/>
  <c r="V115" i="4"/>
  <c r="U115" i="4"/>
  <c r="T115" i="4"/>
  <c r="S115" i="4"/>
  <c r="R115" i="4"/>
  <c r="V114" i="4"/>
  <c r="R114" i="4"/>
  <c r="U114" i="4" s="1"/>
  <c r="V108" i="4"/>
  <c r="R108" i="4"/>
  <c r="T108" i="4" s="1"/>
  <c r="V107" i="4"/>
  <c r="R107" i="4"/>
  <c r="U107" i="4" s="1"/>
  <c r="V93" i="4"/>
  <c r="R93" i="4"/>
  <c r="T93" i="4" s="1"/>
  <c r="V92" i="4"/>
  <c r="U92" i="4"/>
  <c r="T92" i="4"/>
  <c r="R92" i="4"/>
  <c r="S92" i="4" s="1"/>
  <c r="V91" i="4"/>
  <c r="R91" i="4"/>
  <c r="T91" i="4" s="1"/>
  <c r="V90" i="4"/>
  <c r="U90" i="4"/>
  <c r="T90" i="4"/>
  <c r="S90" i="4"/>
  <c r="R90" i="4"/>
  <c r="V89" i="4"/>
  <c r="R89" i="4"/>
  <c r="U89" i="4" s="1"/>
  <c r="V88" i="4"/>
  <c r="R88" i="4"/>
  <c r="T88" i="4" s="1"/>
  <c r="V86" i="4"/>
  <c r="U86" i="4"/>
  <c r="R86" i="4"/>
  <c r="T86" i="4" s="1"/>
  <c r="V85" i="4"/>
  <c r="R85" i="4"/>
  <c r="T85" i="4" s="1"/>
  <c r="V84" i="4"/>
  <c r="U84" i="4"/>
  <c r="T84" i="4"/>
  <c r="S84" i="4"/>
  <c r="R84" i="4"/>
  <c r="V83" i="4"/>
  <c r="R83" i="4"/>
  <c r="T83" i="4" s="1"/>
  <c r="V82" i="4"/>
  <c r="R82" i="4"/>
  <c r="T82" i="4" s="1"/>
  <c r="V81" i="4"/>
  <c r="R81" i="4"/>
  <c r="U81" i="4" s="1"/>
  <c r="V80" i="4"/>
  <c r="R80" i="4"/>
  <c r="T80" i="4" s="1"/>
  <c r="V79" i="4"/>
  <c r="U79" i="4"/>
  <c r="T79" i="4"/>
  <c r="R79" i="4"/>
  <c r="S79" i="4" s="1"/>
  <c r="V78" i="4"/>
  <c r="R78" i="4"/>
  <c r="T78" i="4" s="1"/>
  <c r="V77" i="4"/>
  <c r="U77" i="4"/>
  <c r="T77" i="4"/>
  <c r="S77" i="4"/>
  <c r="R77" i="4"/>
  <c r="V76" i="4"/>
  <c r="R76" i="4"/>
  <c r="U76" i="4" s="1"/>
  <c r="V75" i="4"/>
  <c r="R75" i="4"/>
  <c r="U75" i="4" s="1"/>
  <c r="V74" i="4"/>
  <c r="U74" i="4"/>
  <c r="R74" i="4"/>
  <c r="T74" i="4" s="1"/>
  <c r="V73" i="4"/>
  <c r="R73" i="4"/>
  <c r="U73" i="4" s="1"/>
  <c r="V72" i="4"/>
  <c r="U72" i="4"/>
  <c r="T72" i="4"/>
  <c r="S72" i="4"/>
  <c r="R72" i="4"/>
  <c r="V71" i="4"/>
  <c r="R71" i="4"/>
  <c r="S71" i="4" s="1"/>
  <c r="V70" i="4"/>
  <c r="R70" i="4"/>
  <c r="S70" i="4" s="1"/>
  <c r="V69" i="4"/>
  <c r="R69" i="4"/>
  <c r="U69" i="4" s="1"/>
  <c r="V68" i="4"/>
  <c r="R68" i="4"/>
  <c r="U68" i="4" s="1"/>
  <c r="V65" i="4"/>
  <c r="U65" i="4"/>
  <c r="T65" i="4"/>
  <c r="R65" i="4"/>
  <c r="S65" i="4" s="1"/>
  <c r="V64" i="4"/>
  <c r="R64" i="4"/>
  <c r="T64" i="4" s="1"/>
  <c r="V63" i="4"/>
  <c r="U63" i="4"/>
  <c r="T63" i="4"/>
  <c r="S63" i="4"/>
  <c r="R63" i="4"/>
  <c r="V62" i="4"/>
  <c r="R62" i="4"/>
  <c r="U62" i="4" s="1"/>
  <c r="V61" i="4"/>
  <c r="R61" i="4"/>
  <c r="S61" i="4" s="1"/>
  <c r="V60" i="4"/>
  <c r="U60" i="4"/>
  <c r="R60" i="4"/>
  <c r="T60" i="4" s="1"/>
  <c r="V58" i="4"/>
  <c r="R58" i="4"/>
  <c r="T58" i="4" s="1"/>
  <c r="V57" i="4"/>
  <c r="U57" i="4"/>
  <c r="T57" i="4"/>
  <c r="S57" i="4"/>
  <c r="R57" i="4"/>
  <c r="V49" i="4"/>
  <c r="R49" i="4"/>
  <c r="U49" i="4" s="1"/>
  <c r="V48" i="4"/>
  <c r="R48" i="4"/>
  <c r="T48" i="4" s="1"/>
  <c r="V47" i="4"/>
  <c r="R47" i="4"/>
  <c r="U47" i="4" s="1"/>
  <c r="V46" i="4"/>
  <c r="R46" i="4"/>
  <c r="U46" i="4" s="1"/>
  <c r="V45" i="4"/>
  <c r="U45" i="4"/>
  <c r="T45" i="4"/>
  <c r="S45" i="4"/>
  <c r="R45" i="4"/>
  <c r="V44" i="4"/>
  <c r="R44" i="4"/>
  <c r="S44" i="4" s="1"/>
  <c r="V43" i="4"/>
  <c r="U43" i="4"/>
  <c r="T43" i="4"/>
  <c r="S43" i="4"/>
  <c r="R43" i="4"/>
  <c r="V42" i="4"/>
  <c r="R42" i="4"/>
  <c r="U42" i="4" s="1"/>
  <c r="V41" i="4"/>
  <c r="R41" i="4"/>
  <c r="S41" i="4" s="1"/>
  <c r="V40" i="4"/>
  <c r="U40" i="4"/>
  <c r="R40" i="4"/>
  <c r="T40" i="4" s="1"/>
  <c r="V39" i="4"/>
  <c r="R39" i="4"/>
  <c r="S39" i="4" s="1"/>
  <c r="V38" i="4"/>
  <c r="U38" i="4"/>
  <c r="T38" i="4"/>
  <c r="S38" i="4"/>
  <c r="R38" i="4"/>
  <c r="V37" i="4"/>
  <c r="R37" i="4"/>
  <c r="U37" i="4" s="1"/>
  <c r="V36" i="4"/>
  <c r="R36" i="4"/>
  <c r="U36" i="4" s="1"/>
  <c r="V35" i="4"/>
  <c r="R35" i="4"/>
  <c r="U35" i="4" s="1"/>
  <c r="V34" i="4"/>
  <c r="R34" i="4"/>
  <c r="U34" i="4" s="1"/>
  <c r="V33" i="4"/>
  <c r="U33" i="4"/>
  <c r="T33" i="4"/>
  <c r="R33" i="4"/>
  <c r="S33" i="4" s="1"/>
  <c r="V32" i="4"/>
  <c r="R32" i="4"/>
  <c r="T32" i="4" s="1"/>
  <c r="V31" i="4"/>
  <c r="U31" i="4"/>
  <c r="T31" i="4"/>
  <c r="S31" i="4"/>
  <c r="R31" i="4"/>
  <c r="V30" i="4"/>
  <c r="R30" i="4"/>
  <c r="U30" i="4" s="1"/>
  <c r="V29" i="4"/>
  <c r="R29" i="4"/>
  <c r="U29" i="4" s="1"/>
  <c r="V28" i="4"/>
  <c r="U28" i="4"/>
  <c r="R28" i="4"/>
  <c r="T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 s="1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108" i="4" l="1"/>
  <c r="T116" i="4"/>
  <c r="S30" i="4"/>
  <c r="U32" i="4"/>
  <c r="T37" i="4"/>
  <c r="S42" i="4"/>
  <c r="U44" i="4"/>
  <c r="T49" i="4"/>
  <c r="S62" i="4"/>
  <c r="U64" i="4"/>
  <c r="T71" i="4"/>
  <c r="S76" i="4"/>
  <c r="U78" i="4"/>
  <c r="T114" i="4"/>
  <c r="S121" i="4"/>
  <c r="U126" i="4"/>
  <c r="S36" i="4"/>
  <c r="S82" i="4"/>
  <c r="S108" i="4"/>
  <c r="T36" i="4"/>
  <c r="T29" i="4"/>
  <c r="S34" i="4"/>
  <c r="S68" i="4"/>
  <c r="U82" i="4"/>
  <c r="T34" i="4"/>
  <c r="U61" i="4"/>
  <c r="T68" i="4"/>
  <c r="S73" i="4"/>
  <c r="U88" i="4"/>
  <c r="S32" i="4"/>
  <c r="T73" i="4"/>
  <c r="U80" i="4"/>
  <c r="S91" i="4"/>
  <c r="U93" i="4"/>
  <c r="U130" i="4"/>
  <c r="S37" i="4"/>
  <c r="U39" i="4"/>
  <c r="T44" i="4"/>
  <c r="S49" i="4"/>
  <c r="U85" i="4"/>
  <c r="S114" i="4"/>
  <c r="U91" i="4"/>
  <c r="T30" i="4"/>
  <c r="S35" i="4"/>
  <c r="T42" i="4"/>
  <c r="S47" i="4"/>
  <c r="T62" i="4"/>
  <c r="S69" i="4"/>
  <c r="U71" i="4"/>
  <c r="T76" i="4"/>
  <c r="S81" i="4"/>
  <c r="U83" i="4"/>
  <c r="T89" i="4"/>
  <c r="S107" i="4"/>
  <c r="T121" i="4"/>
  <c r="S131" i="4"/>
  <c r="S29" i="4"/>
  <c r="T70" i="4"/>
  <c r="S75" i="4"/>
  <c r="S88" i="4"/>
  <c r="T41" i="4"/>
  <c r="S46" i="4"/>
  <c r="U48" i="4"/>
  <c r="T61" i="4"/>
  <c r="U70" i="4"/>
  <c r="T75" i="4"/>
  <c r="S80" i="4"/>
  <c r="S93" i="4"/>
  <c r="S130" i="4"/>
  <c r="U41" i="4"/>
  <c r="T46" i="4"/>
  <c r="S58" i="4"/>
  <c r="S85" i="4"/>
  <c r="S116" i="4"/>
  <c r="T39" i="4"/>
  <c r="S64" i="4"/>
  <c r="S78" i="4"/>
  <c r="S126" i="4"/>
  <c r="S89" i="4"/>
  <c r="S28" i="4"/>
  <c r="T35" i="4"/>
  <c r="S40" i="4"/>
  <c r="T47" i="4"/>
  <c r="S60" i="4"/>
  <c r="T69" i="4"/>
  <c r="S74" i="4"/>
  <c r="T81" i="4"/>
  <c r="S86" i="4"/>
  <c r="T107" i="4"/>
  <c r="S119" i="4"/>
  <c r="T131" i="4"/>
  <c r="S48" i="4"/>
  <c r="S120" i="4"/>
  <c r="T120" i="4"/>
  <c r="U58" i="4"/>
  <c r="S83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 s="1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/>
  <c r="J103" i="4"/>
  <c r="K103" i="4"/>
  <c r="J118" i="4"/>
  <c r="K118" i="4"/>
  <c r="J104" i="4"/>
  <c r="K104" i="4"/>
  <c r="J90" i="4"/>
  <c r="K90" i="4"/>
  <c r="J71" i="4"/>
  <c r="K71" i="4" s="1"/>
  <c r="O71" i="4" s="1"/>
  <c r="P71" i="4" s="1"/>
  <c r="J110" i="4"/>
  <c r="K110" i="4"/>
  <c r="J82" i="4"/>
  <c r="K82" i="4"/>
  <c r="J113" i="4"/>
  <c r="K113" i="4"/>
  <c r="J97" i="4"/>
  <c r="K97" i="4"/>
  <c r="J81" i="4"/>
  <c r="K81" i="4"/>
  <c r="J116" i="4"/>
  <c r="K116" i="4" s="1"/>
  <c r="O116" i="4" s="1"/>
  <c r="P116" i="4" s="1"/>
  <c r="J100" i="4"/>
  <c r="K100" i="4"/>
  <c r="O100" i="4"/>
  <c r="J84" i="4"/>
  <c r="K84" i="4" s="1"/>
  <c r="J114" i="4"/>
  <c r="K114" i="4"/>
  <c r="J78" i="4"/>
  <c r="K78" i="4"/>
  <c r="J115" i="4"/>
  <c r="K115" i="4"/>
  <c r="O115" i="4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K109" i="4"/>
  <c r="J93" i="4"/>
  <c r="K93" i="4" s="1"/>
  <c r="J77" i="4"/>
  <c r="K77" i="4"/>
  <c r="J112" i="4"/>
  <c r="K112" i="4"/>
  <c r="J96" i="4"/>
  <c r="K96" i="4" s="1"/>
  <c r="J80" i="4"/>
  <c r="K80" i="4" s="1"/>
  <c r="J106" i="4"/>
  <c r="K106" i="4"/>
  <c r="J127" i="4"/>
  <c r="K127" i="4"/>
  <c r="O127" i="4" s="1"/>
  <c r="P127" i="4" s="1"/>
  <c r="J111" i="4"/>
  <c r="K111" i="4"/>
  <c r="J95" i="4"/>
  <c r="K95" i="4"/>
  <c r="J79" i="4"/>
  <c r="K79" i="4" s="1"/>
  <c r="J126" i="4"/>
  <c r="K126" i="4"/>
  <c r="J94" i="4"/>
  <c r="K94" i="4" s="1"/>
  <c r="J121" i="4"/>
  <c r="K121" i="4"/>
  <c r="J105" i="4"/>
  <c r="K105" i="4"/>
  <c r="J89" i="4"/>
  <c r="K89" i="4"/>
  <c r="J73" i="4"/>
  <c r="K73" i="4" s="1"/>
  <c r="J124" i="4"/>
  <c r="K124" i="4"/>
  <c r="O124" i="4" s="1"/>
  <c r="P124" i="4" s="1"/>
  <c r="J108" i="4"/>
  <c r="K108" i="4"/>
  <c r="O108" i="4" s="1"/>
  <c r="P108" i="4" s="1"/>
  <c r="J92" i="4"/>
  <c r="K92" i="4"/>
  <c r="J76" i="4"/>
  <c r="K76" i="4"/>
  <c r="J98" i="4"/>
  <c r="K98" i="4"/>
  <c r="J123" i="4"/>
  <c r="K123" i="4"/>
  <c r="J107" i="4"/>
  <c r="K107" i="4"/>
  <c r="O107" i="4" s="1"/>
  <c r="P107" i="4" s="1"/>
  <c r="J91" i="4"/>
  <c r="K91" i="4"/>
  <c r="J75" i="4"/>
  <c r="K75" i="4"/>
  <c r="P100" i="4"/>
  <c r="O112" i="4"/>
  <c r="P112" i="4"/>
  <c r="O75" i="4"/>
  <c r="P75" i="4"/>
  <c r="O98" i="4"/>
  <c r="P98" i="4"/>
  <c r="O105" i="4"/>
  <c r="P105" i="4"/>
  <c r="O126" i="4"/>
  <c r="P126" i="4" s="1"/>
  <c r="O111" i="4"/>
  <c r="P111" i="4"/>
  <c r="O104" i="4"/>
  <c r="P104" i="4"/>
  <c r="O91" i="4"/>
  <c r="P91" i="4"/>
  <c r="O121" i="4"/>
  <c r="P121" i="4"/>
  <c r="O102" i="4"/>
  <c r="P102" i="4"/>
  <c r="O78" i="4"/>
  <c r="P78" i="4" s="1"/>
  <c r="O97" i="4"/>
  <c r="P97" i="4"/>
  <c r="O110" i="4"/>
  <c r="P110" i="4"/>
  <c r="O118" i="4"/>
  <c r="P118" i="4"/>
  <c r="O117" i="4"/>
  <c r="P117" i="4"/>
  <c r="O106" i="4"/>
  <c r="P106" i="4"/>
  <c r="O109" i="4"/>
  <c r="P109" i="4"/>
  <c r="O114" i="4"/>
  <c r="P114" i="4"/>
  <c r="O113" i="4"/>
  <c r="P113" i="4"/>
  <c r="O103" i="4"/>
  <c r="P103" i="4"/>
  <c r="O122" i="4"/>
  <c r="P122" i="4"/>
  <c r="O123" i="4"/>
  <c r="P123" i="4"/>
  <c r="O95" i="4"/>
  <c r="P95" i="4"/>
  <c r="O125" i="4"/>
  <c r="P125" i="4"/>
  <c r="O99" i="4"/>
  <c r="P99" i="4"/>
  <c r="O101" i="4"/>
  <c r="P101" i="4"/>
  <c r="I76" i="4"/>
  <c r="I77" i="4"/>
  <c r="I81" i="4"/>
  <c r="I89" i="4"/>
  <c r="L89" i="4" s="1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L83" i="4" s="1"/>
  <c r="I86" i="4"/>
  <c r="L86" i="4" s="1"/>
  <c r="I88" i="4"/>
  <c r="N88" i="4" s="1"/>
  <c r="Q88" i="4" s="1"/>
  <c r="I94" i="4"/>
  <c r="I95" i="4"/>
  <c r="N95" i="4" s="1"/>
  <c r="Q95" i="4" s="1"/>
  <c r="I98" i="4"/>
  <c r="I101" i="4"/>
  <c r="I118" i="4"/>
  <c r="I127" i="4"/>
  <c r="N127" i="4" s="1"/>
  <c r="Q127" i="4" s="1"/>
  <c r="I73" i="4"/>
  <c r="N73" i="4" s="1"/>
  <c r="Q73" i="4" s="1"/>
  <c r="I74" i="4"/>
  <c r="I78" i="4"/>
  <c r="I82" i="4"/>
  <c r="L82" i="4" s="1"/>
  <c r="I85" i="4"/>
  <c r="L85" i="4" s="1"/>
  <c r="I93" i="4"/>
  <c r="N93" i="4" s="1"/>
  <c r="Q93" i="4" s="1"/>
  <c r="I112" i="4"/>
  <c r="I114" i="4"/>
  <c r="I121" i="4"/>
  <c r="I122" i="4"/>
  <c r="I84" i="4"/>
  <c r="I87" i="4"/>
  <c r="I91" i="4"/>
  <c r="I97" i="4"/>
  <c r="L97" i="4" s="1"/>
  <c r="I105" i="4"/>
  <c r="I116" i="4"/>
  <c r="I126" i="4"/>
  <c r="N126" i="4" s="1"/>
  <c r="Q126" i="4" s="1"/>
  <c r="L105" i="4"/>
  <c r="N105" i="4"/>
  <c r="Q105" i="4"/>
  <c r="N121" i="4"/>
  <c r="Q121" i="4"/>
  <c r="L121" i="4"/>
  <c r="M121" i="4" s="1"/>
  <c r="L73" i="4"/>
  <c r="N101" i="4"/>
  <c r="Q101" i="4"/>
  <c r="L101" i="4"/>
  <c r="N75" i="4"/>
  <c r="Q75" i="4"/>
  <c r="L75" i="4"/>
  <c r="L106" i="4"/>
  <c r="N106" i="4"/>
  <c r="Q106" i="4"/>
  <c r="L124" i="4"/>
  <c r="M124" i="4" s="1"/>
  <c r="N124" i="4"/>
  <c r="Q124" i="4"/>
  <c r="N107" i="4"/>
  <c r="Q107" i="4" s="1"/>
  <c r="L107" i="4"/>
  <c r="M107" i="4" s="1"/>
  <c r="N79" i="4"/>
  <c r="Q79" i="4"/>
  <c r="N119" i="4"/>
  <c r="Q119" i="4" s="1"/>
  <c r="L119" i="4"/>
  <c r="M119" i="4" s="1"/>
  <c r="N108" i="4"/>
  <c r="Q108" i="4"/>
  <c r="L108" i="4"/>
  <c r="M108" i="4" s="1"/>
  <c r="L96" i="4"/>
  <c r="N96" i="4"/>
  <c r="Q96" i="4" s="1"/>
  <c r="N77" i="4"/>
  <c r="Q77" i="4"/>
  <c r="L77" i="4"/>
  <c r="N114" i="4"/>
  <c r="Q114" i="4" s="1"/>
  <c r="L114" i="4"/>
  <c r="M114" i="4" s="1"/>
  <c r="N98" i="4"/>
  <c r="Q98" i="4"/>
  <c r="L98" i="4"/>
  <c r="N71" i="4"/>
  <c r="Q71" i="4" s="1"/>
  <c r="L71" i="4"/>
  <c r="M71" i="4" s="1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 s="1"/>
  <c r="L115" i="4"/>
  <c r="M115" i="4" s="1"/>
  <c r="L104" i="4"/>
  <c r="N104" i="4"/>
  <c r="Q104" i="4"/>
  <c r="N90" i="4"/>
  <c r="Q90" i="4" s="1"/>
  <c r="L90" i="4"/>
  <c r="N76" i="4"/>
  <c r="Q76" i="4" s="1"/>
  <c r="N91" i="4"/>
  <c r="Q91" i="4" s="1"/>
  <c r="L91" i="4"/>
  <c r="M91" i="4" s="1"/>
  <c r="L112" i="4"/>
  <c r="N112" i="4"/>
  <c r="Q112" i="4"/>
  <c r="L78" i="4"/>
  <c r="N78" i="4"/>
  <c r="Q78" i="4"/>
  <c r="L127" i="4"/>
  <c r="M127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 s="1"/>
  <c r="N116" i="4"/>
  <c r="Q116" i="4"/>
  <c r="L116" i="4"/>
  <c r="M116" i="4" s="1"/>
  <c r="N87" i="4"/>
  <c r="Q87" i="4" s="1"/>
  <c r="L87" i="4"/>
  <c r="N122" i="4"/>
  <c r="Q122" i="4"/>
  <c r="L122" i="4"/>
  <c r="N74" i="4"/>
  <c r="Q74" i="4" s="1"/>
  <c r="L74" i="4"/>
  <c r="N118" i="4"/>
  <c r="Q118" i="4"/>
  <c r="L118" i="4"/>
  <c r="L94" i="4"/>
  <c r="N94" i="4"/>
  <c r="Q94" i="4"/>
  <c r="L80" i="4"/>
  <c r="N80" i="4"/>
  <c r="Q80" i="4" s="1"/>
  <c r="N109" i="4"/>
  <c r="Q109" i="4"/>
  <c r="L109" i="4"/>
  <c r="L92" i="4"/>
  <c r="N92" i="4"/>
  <c r="Q92" i="4"/>
  <c r="N120" i="4"/>
  <c r="Q120" i="4"/>
  <c r="L120" i="4"/>
  <c r="M120" i="4" s="1"/>
  <c r="N111" i="4"/>
  <c r="Q111" i="4"/>
  <c r="L111" i="4"/>
  <c r="N99" i="4"/>
  <c r="Q99" i="4"/>
  <c r="L99" i="4"/>
  <c r="L81" i="4"/>
  <c r="N81" i="4"/>
  <c r="Q81" i="4" s="1"/>
  <c r="O88" i="4" l="1"/>
  <c r="P88" i="4" s="1"/>
  <c r="O86" i="4"/>
  <c r="P86" i="4" s="1"/>
  <c r="O93" i="4"/>
  <c r="P93" i="4" s="1"/>
  <c r="O80" i="4"/>
  <c r="P80" i="4" s="1"/>
  <c r="M72" i="4"/>
  <c r="M82" i="4"/>
  <c r="M83" i="4"/>
  <c r="O83" i="4"/>
  <c r="P83" i="4" s="1"/>
  <c r="M85" i="4"/>
  <c r="O73" i="4"/>
  <c r="P73" i="4" s="1"/>
  <c r="O77" i="4"/>
  <c r="P77" i="4" s="1"/>
  <c r="O72" i="4"/>
  <c r="P72" i="4" s="1"/>
  <c r="M95" i="4"/>
  <c r="M80" i="4"/>
  <c r="L126" i="4"/>
  <c r="M126" i="4" s="1"/>
  <c r="M97" i="4"/>
  <c r="O89" i="4"/>
  <c r="P89" i="4" s="1"/>
  <c r="M87" i="4"/>
  <c r="M96" i="4"/>
  <c r="O82" i="4"/>
  <c r="P82" i="4" s="1"/>
  <c r="M73" i="4"/>
  <c r="M89" i="4"/>
  <c r="M90" i="4"/>
  <c r="L84" i="4"/>
  <c r="O76" i="4"/>
  <c r="P76" i="4" s="1"/>
  <c r="O81" i="4"/>
  <c r="P81" i="4" s="1"/>
  <c r="O90" i="4"/>
  <c r="P90" i="4" s="1"/>
  <c r="M94" i="4"/>
  <c r="L76" i="4"/>
  <c r="O87" i="4"/>
  <c r="P87" i="4" s="1"/>
  <c r="M78" i="4"/>
  <c r="O84" i="4"/>
  <c r="P84" i="4" s="1"/>
  <c r="N86" i="4"/>
  <c r="Q86" i="4" s="1"/>
  <c r="O92" i="4"/>
  <c r="P92" i="4" s="1"/>
  <c r="O85" i="4"/>
  <c r="P85" i="4" s="1"/>
  <c r="M77" i="4"/>
  <c r="O94" i="4"/>
  <c r="P94" i="4" s="1"/>
  <c r="O79" i="4"/>
  <c r="P79" i="4" s="1"/>
  <c r="M81" i="4"/>
  <c r="M92" i="4"/>
  <c r="M74" i="4"/>
  <c r="O74" i="4"/>
  <c r="P74" i="4" s="1"/>
  <c r="M86" i="4"/>
  <c r="L79" i="4"/>
  <c r="M75" i="4"/>
  <c r="O96" i="4"/>
  <c r="P96" i="4" s="1"/>
  <c r="N97" i="4"/>
  <c r="Q97" i="4" s="1"/>
  <c r="N85" i="4"/>
  <c r="Q85" i="4" s="1"/>
  <c r="L93" i="4"/>
  <c r="L88" i="4"/>
  <c r="N82" i="4"/>
  <c r="Q82" i="4" s="1"/>
  <c r="N84" i="4"/>
  <c r="Q84" i="4" s="1"/>
  <c r="J14" i="4"/>
  <c r="J13" i="4" s="1"/>
  <c r="K16" i="4" s="1"/>
  <c r="M84" i="4" l="1"/>
  <c r="M88" i="4"/>
  <c r="M76" i="4"/>
  <c r="M93" i="4"/>
  <c r="M79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M57" i="4"/>
  <c r="O66" i="4"/>
  <c r="P66" i="4" s="1"/>
  <c r="O69" i="4"/>
  <c r="P69" i="4" s="1"/>
  <c r="M65" i="4"/>
  <c r="M67" i="4"/>
  <c r="M68" i="4"/>
  <c r="O64" i="4"/>
  <c r="P64" i="4" s="1"/>
  <c r="O68" i="4"/>
  <c r="P68" i="4" s="1"/>
  <c r="M69" i="4"/>
  <c r="M58" i="4"/>
  <c r="M66" i="4"/>
  <c r="O65" i="4"/>
  <c r="P65" i="4" s="1"/>
  <c r="O67" i="4"/>
  <c r="P67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J45" i="4" s="1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0" i="4" l="1"/>
  <c r="J43" i="4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K35" i="4"/>
  <c r="L49" i="4"/>
  <c r="K49" i="4"/>
  <c r="K30" i="4"/>
  <c r="L30" i="4"/>
  <c r="O48" i="4" l="1"/>
  <c r="P48" i="4" s="1"/>
  <c r="O49" i="4"/>
  <c r="P49" i="4" s="1"/>
  <c r="M49" i="4"/>
  <c r="M48" i="4"/>
  <c r="M35" i="4"/>
  <c r="O30" i="4"/>
  <c r="P30" i="4" s="1"/>
  <c r="M47" i="4"/>
  <c r="M45" i="4"/>
  <c r="M31" i="4"/>
  <c r="O43" i="4"/>
  <c r="P43" i="4" s="1"/>
  <c r="O28" i="4"/>
  <c r="P28" i="4" s="1"/>
  <c r="M44" i="4"/>
  <c r="M39" i="4"/>
  <c r="O45" i="4"/>
  <c r="P45" i="4" s="1"/>
  <c r="O35" i="4"/>
  <c r="P35" i="4" s="1"/>
  <c r="O31" i="4"/>
  <c r="P31" i="4" s="1"/>
  <c r="M43" i="4"/>
  <c r="K36" i="4"/>
  <c r="O47" i="4"/>
  <c r="P47" i="4" s="1"/>
  <c r="O33" i="4"/>
  <c r="P33" i="4" s="1"/>
  <c r="O46" i="4"/>
  <c r="P46" i="4" s="1"/>
  <c r="O39" i="4"/>
  <c r="P39" i="4" s="1"/>
  <c r="O41" i="4"/>
  <c r="P41" i="4" s="1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32" i="4" l="1"/>
  <c r="P32" i="4" s="1"/>
  <c r="O34" i="4"/>
  <c r="P34" i="4" s="1"/>
  <c r="O42" i="4"/>
  <c r="P42" i="4" s="1"/>
  <c r="O29" i="4"/>
  <c r="P29" i="4" s="1"/>
  <c r="O36" i="4"/>
  <c r="P36" i="4" s="1"/>
  <c r="O38" i="4"/>
  <c r="P38" i="4" s="1"/>
  <c r="O40" i="4"/>
  <c r="P40" i="4" s="1"/>
  <c r="M33" i="4"/>
  <c r="M41" i="4"/>
  <c r="O37" i="4"/>
  <c r="P37" i="4" s="1"/>
  <c r="M46" i="4"/>
  <c r="O44" i="4"/>
  <c r="P4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<sst xmlns="http://schemas.openxmlformats.org/spreadsheetml/2006/main" count="318" uniqueCount="294">
  <si>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</si>
  <si>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</si>
  <si>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</si>
  <si>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</si>
  <si>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</si>
  <si>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</si>
  <si>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</si>
  <si>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</si>
  <si>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</si>
  <si>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</si>
  <si>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</si>
  <si>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</si>
  <si>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</si>
  <si>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</si>
  <si>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</si>
  <si>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</si>
  <si>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</si>
  <si>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</si>
  <si>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</si>
  <si>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</si>
  <si>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</si>
  <si>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</si>
  <si>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</si>
  <si>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</si>
  <si>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</si>
  <si>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</si>
  <si>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</si>
  <si>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</si>
  <si>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</si>
  <si>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</si>
  <si>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</si>
  <si>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</si>
  <si>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</si>
  <si>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</si>
  <si>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</si>
  <si>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</si>
  <si>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</si>
  <si>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</si>
  <si>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</si>
  <si>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</si>
  <si>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</si>
  <si>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</si>
  <si>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</si>
  <si>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</si>
  <si>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</si>
  <si>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</si>
  <si>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</si>
  <si>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</si>
  <si>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</si>
  <si>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</si>
  <si>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</si>
  <si>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</si>
  <si>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</si>
  <si>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</si>
  <si>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</si>
  <si>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</si>
  <si>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</si>
  <si>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</si>
  <si>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</si>
  <si>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</si>
  <si>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</si>
  <si>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</si>
  <si>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</si>
  <si>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</si>
  <si>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</si>
  <si>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</si>
  <si>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</si>
  <si>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</si>
  <si>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</si>
  <si>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</si>
  <si>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</si>
  <si>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</si>
  <si>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</si>
  <si>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</si>
  <si>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</si>
  <si>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</si>
  <si>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</si>
  <si>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</si>
  <si>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</si>
  <si>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</si>
  <si>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</si>
  <si>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</si>
  <si>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</si>
  <si>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</si>
  <si>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</si>
  <si>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</si>
  <si>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</si>
  <si>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</si>
  <si>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</si>
  <si>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</si>
  <si>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</si>
  <si>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</si>
  <si>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</si>
  <si>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</si>
  <si>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</si>
  <si>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</si>
  <si>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</si>
  <si>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</si>
  <si>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</si>
  <si>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</si>
  <si>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</si>
  <si>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</si>
  <si>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</si>
  <si>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</si>
  <si>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</si>
  <si>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</si>
  <si>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</si>
  <si>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</si>
  <si>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</si>
  <si>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</si>
  <si>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</si>
  <si>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MCF7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</si>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</sst>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X9" sqref="X9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111</v>
      </c>
      <c r="K17" s="31" t="s">
        <v>79</v>
      </c>
      <c r="L17" s="81">
        <v>9.8986000000000005E-3</v>
      </c>
      <c r="M17" s="81">
        <v>5.1399999999999996E-5</v>
      </c>
      <c r="N17" s="81">
        <v>5.0000000000000002E-5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89" zoomScale="55" zoomScaleNormal="55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150.19999999999999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150.120272</v>
      </c>
      <c r="K8" s="39">
        <f>J8/J7</f>
        <v>0.9994691877496672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7.3027999999999996E-2</v>
      </c>
      <c r="K9" s="39">
        <f>J9/J7</f>
        <v>4.8620505992010655E-4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6.6999999999999994E-3</v>
      </c>
      <c r="K10" s="39">
        <f>J10/J7</f>
        <v>4.4607190412782955E-5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150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0.2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0.19797200000000001</v>
      </c>
      <c r="K20" s="39">
        <f>J20/J19</f>
        <v>0.98985999999999996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1.0279999999999998E-3</v>
      </c>
      <c r="K21" s="39">
        <f>J21/J19</f>
        <v>5.1399999999999987E-3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1.0000000000000002E-3</v>
      </c>
      <c r="K22" s="39">
        <f>J22/J19</f>
        <v>5.000000000000001E-3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0.20832460750095885</v>
      </c>
      <c r="K28" s="95">
        <f t="shared" ref="K28:K47" si="3">IF(D28=0,"",1/(1+10^D28*$J$15/$J$14+10^E28*$J$16/$J$14+10^J28*$J$19/$J$14))</f>
        <v>0.97433957630536017</v>
      </c>
      <c r="L28" s="95">
        <f t="shared" ref="L28:L47" si="4">IF(D28=0,"",1/(1+10^I28/10^J28*$J$13/$J$19))</f>
        <v>2.0999004676847191E-3</v>
      </c>
      <c r="M28" s="95">
        <f t="shared" ref="M28:M47" si="5">IF(D28=0,"",1-L28)</f>
        <v>0.99790009953231529</v>
      </c>
      <c r="N28" s="95">
        <f t="shared" ref="N28:N47" si="6">IF(D28=0,"",1/(1/10^E28*$J$20/$J$22+10^D28/10^E28*$J$21/$J$22+10^I28/10^E28*$J$13/$J$22+1))</f>
        <v>5.1914551583823025E-4</v>
      </c>
      <c r="O28" s="40">
        <f t="shared" ref="O28:O47" si="7">IF(D28=0,"",F28*K28*$J$7/$J$14)</f>
        <v>9.7614433850778097E-7</v>
      </c>
      <c r="P28" s="40">
        <f t="shared" ref="P28:P47" si="8">IF(D28=0,"",O28*10^J28)</f>
        <v>1.5770252512312244E-6</v>
      </c>
      <c r="Q28" s="40">
        <f t="shared" ref="Q28:Q47" si="9">IF(D28=0,"",F28*N28*$J$7/$J$22)</f>
        <v>7.7975656478902148E-5</v>
      </c>
      <c r="R28" s="9">
        <f>F28*$C$14</f>
        <v>1.4999999999999999E-4</v>
      </c>
      <c r="S28" s="9">
        <f>$R28*L28</f>
        <v>3.1498507015270786E-7</v>
      </c>
      <c r="T28" s="9">
        <f t="shared" ref="T28:T49" si="10">R28*K28</f>
        <v>1.4615093644580401E-4</v>
      </c>
      <c r="U28" s="9">
        <f t="shared" ref="U28:U49" si="11">$R28*M28</f>
        <v>1.4968501492984728E-4</v>
      </c>
      <c r="V28" s="102">
        <f>K28/M28</f>
        <v>0.97638989790862107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1.7268855172909561</v>
      </c>
      <c r="J29" s="94">
        <f t="shared" si="2"/>
        <v>3.5689903624588988</v>
      </c>
      <c r="K29" s="95">
        <f t="shared" si="3"/>
        <v>1.7155034022439924E-2</v>
      </c>
      <c r="L29" s="95">
        <f t="shared" si="4"/>
        <v>8.4829265294081163E-2</v>
      </c>
      <c r="M29" s="95">
        <f t="shared" si="5"/>
        <v>0.91517073470591881</v>
      </c>
      <c r="N29" s="95">
        <f t="shared" si="6"/>
        <v>7.8362331224614667E-2</v>
      </c>
      <c r="O29" s="40">
        <f t="shared" si="7"/>
        <v>1.7186810168803948E-8</v>
      </c>
      <c r="P29" s="40">
        <f t="shared" si="8"/>
        <v>6.3706778235854967E-5</v>
      </c>
      <c r="Q29" s="40">
        <f t="shared" si="9"/>
        <v>1.177002214993712E-2</v>
      </c>
      <c r="R29" s="9">
        <f>F29*$C$14</f>
        <v>1.4999999999999999E-4</v>
      </c>
      <c r="S29" s="9">
        <f t="shared" ref="S29:S49" si="12">$R29*L29</f>
        <v>1.2724389794112173E-5</v>
      </c>
      <c r="T29" s="9">
        <f t="shared" si="10"/>
        <v>2.5732551033659884E-6</v>
      </c>
      <c r="U29" s="9">
        <f t="shared" si="11"/>
        <v>1.3727561020588782E-4</v>
      </c>
      <c r="V29" s="102">
        <f t="shared" ref="V29:V49" si="13">K29/M29</f>
        <v>1.8745173301408645E-2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4.916346796550199</v>
      </c>
      <c r="J30" s="94">
        <f t="shared" si="2"/>
        <v>7.0019946190511906</v>
      </c>
      <c r="K30" s="95">
        <f t="shared" si="3"/>
        <v>1.0424914569768568E-5</v>
      </c>
      <c r="L30" s="95">
        <f t="shared" si="4"/>
        <v>0.13971109071884744</v>
      </c>
      <c r="M30" s="95">
        <f t="shared" si="5"/>
        <v>0.86028890928115254</v>
      </c>
      <c r="N30" s="95">
        <f t="shared" si="6"/>
        <v>0.13871750486345669</v>
      </c>
      <c r="O30" s="40">
        <f t="shared" si="7"/>
        <v>1.044422456418584E-11</v>
      </c>
      <c r="P30" s="40">
        <f t="shared" si="8"/>
        <v>1.0492302912985459E-4</v>
      </c>
      <c r="Q30" s="40">
        <f t="shared" si="9"/>
        <v>2.0835369230491188E-2</v>
      </c>
      <c r="R30" s="9">
        <f t="shared" ref="R30:R49" si="14">F30*$C$14</f>
        <v>1.4999999999999999E-4</v>
      </c>
      <c r="S30" s="9">
        <f t="shared" si="12"/>
        <v>2.0956663607827114E-5</v>
      </c>
      <c r="T30" s="9">
        <f t="shared" si="10"/>
        <v>1.5637371854652849E-9</v>
      </c>
      <c r="U30" s="9">
        <f t="shared" si="11"/>
        <v>1.2904333639217287E-4</v>
      </c>
      <c r="V30" s="102">
        <f t="shared" si="13"/>
        <v>1.2117922778383259E-5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0.45156382049297444</v>
      </c>
      <c r="J31" s="94">
        <f t="shared" si="2"/>
        <v>2.0469857256800985</v>
      </c>
      <c r="K31" s="95">
        <f t="shared" si="3"/>
        <v>0.33572138565663051</v>
      </c>
      <c r="L31" s="95">
        <f t="shared" si="4"/>
        <v>4.9903211121748767E-2</v>
      </c>
      <c r="M31" s="95">
        <f t="shared" si="5"/>
        <v>0.95009678887825122</v>
      </c>
      <c r="N31" s="95">
        <f t="shared" si="6"/>
        <v>4.4292660821885016E-2</v>
      </c>
      <c r="O31" s="40">
        <f t="shared" si="7"/>
        <v>3.3634323996914334E-7</v>
      </c>
      <c r="P31" s="40">
        <f t="shared" si="8"/>
        <v>3.7477311552433321E-5</v>
      </c>
      <c r="Q31" s="40">
        <f t="shared" si="9"/>
        <v>6.6527576554471259E-3</v>
      </c>
      <c r="R31" s="9">
        <f t="shared" si="14"/>
        <v>1.4999999999999999E-4</v>
      </c>
      <c r="S31" s="9">
        <f t="shared" si="12"/>
        <v>7.485481668262314E-6</v>
      </c>
      <c r="T31" s="9">
        <f t="shared" si="10"/>
        <v>5.0358207848494575E-5</v>
      </c>
      <c r="U31" s="9">
        <f t="shared" si="11"/>
        <v>1.4251451833173766E-4</v>
      </c>
      <c r="V31" s="102">
        <f t="shared" si="13"/>
        <v>0.35335493139915353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2.9114243406645759</v>
      </c>
      <c r="J32" s="94">
        <f t="shared" si="2"/>
        <v>4.7715972923878738</v>
      </c>
      <c r="K32" s="95">
        <f t="shared" si="3"/>
        <v>1.1176106706757975E-3</v>
      </c>
      <c r="L32" s="95">
        <f t="shared" si="4"/>
        <v>8.8115354236101132E-2</v>
      </c>
      <c r="M32" s="95">
        <f t="shared" si="5"/>
        <v>0.91188464576389883</v>
      </c>
      <c r="N32" s="95">
        <f t="shared" si="6"/>
        <v>8.1764409274580674E-2</v>
      </c>
      <c r="O32" s="40">
        <f t="shared" si="7"/>
        <v>1.1196808128977792E-9</v>
      </c>
      <c r="P32" s="40">
        <f t="shared" si="8"/>
        <v>6.6174631031311955E-5</v>
      </c>
      <c r="Q32" s="40">
        <f t="shared" si="9"/>
        <v>1.2281014273042011E-2</v>
      </c>
      <c r="R32" s="9">
        <f t="shared" si="14"/>
        <v>1.4999999999999999E-4</v>
      </c>
      <c r="S32" s="9">
        <f t="shared" si="12"/>
        <v>1.3217303135415169E-5</v>
      </c>
      <c r="T32" s="9">
        <f t="shared" si="10"/>
        <v>1.6764160060136961E-7</v>
      </c>
      <c r="U32" s="9">
        <f t="shared" si="11"/>
        <v>1.3678269686458481E-4</v>
      </c>
      <c r="V32" s="102">
        <f t="shared" si="13"/>
        <v>1.2256053173694563E-3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2.4659786116205753</v>
      </c>
      <c r="J33" s="94">
        <f t="shared" si="2"/>
        <v>4.2719801127259975</v>
      </c>
      <c r="K33" s="95">
        <f t="shared" si="3"/>
        <v>3.14954090859028E-3</v>
      </c>
      <c r="L33" s="95">
        <f t="shared" si="4"/>
        <v>7.8594313675222585E-2</v>
      </c>
      <c r="M33" s="95">
        <f t="shared" si="5"/>
        <v>0.92140568632477737</v>
      </c>
      <c r="N33" s="95">
        <f t="shared" si="6"/>
        <v>7.1280545959466007E-2</v>
      </c>
      <c r="O33" s="40">
        <f t="shared" si="7"/>
        <v>3.1553747806047532E-9</v>
      </c>
      <c r="P33" s="40">
        <f t="shared" si="8"/>
        <v>5.9024329570092194E-5</v>
      </c>
      <c r="Q33" s="40">
        <f t="shared" si="9"/>
        <v>1.070633800311179E-2</v>
      </c>
      <c r="R33" s="9">
        <f t="shared" si="14"/>
        <v>1.4999999999999999E-4</v>
      </c>
      <c r="S33" s="9">
        <f t="shared" si="12"/>
        <v>1.1789147051283387E-5</v>
      </c>
      <c r="T33" s="9">
        <f t="shared" si="10"/>
        <v>4.7243113628854198E-7</v>
      </c>
      <c r="U33" s="9">
        <f t="shared" si="11"/>
        <v>1.3821085294871659E-4</v>
      </c>
      <c r="V33" s="102">
        <f t="shared" si="13"/>
        <v>3.4181913084918047E-3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2.4593424067669152</v>
      </c>
      <c r="J34" s="94">
        <f t="shared" si="2"/>
        <v>4.3022457905640747</v>
      </c>
      <c r="K34" s="95">
        <f t="shared" si="3"/>
        <v>3.1759005738812652E-3</v>
      </c>
      <c r="L34" s="95">
        <f t="shared" si="4"/>
        <v>8.4972118825899848E-2</v>
      </c>
      <c r="M34" s="95">
        <f t="shared" si="5"/>
        <v>0.91502788117410017</v>
      </c>
      <c r="N34" s="95">
        <f t="shared" si="6"/>
        <v>7.8322882354665807E-2</v>
      </c>
      <c r="O34" s="40">
        <f t="shared" si="7"/>
        <v>3.1817832717145209E-9</v>
      </c>
      <c r="P34" s="40">
        <f t="shared" si="8"/>
        <v>6.3814061238250754E-5</v>
      </c>
      <c r="Q34" s="40">
        <f t="shared" si="9"/>
        <v>1.1764096929670799E-2</v>
      </c>
      <c r="R34" s="9">
        <f t="shared" si="14"/>
        <v>1.4999999999999999E-4</v>
      </c>
      <c r="S34" s="9">
        <f t="shared" si="12"/>
        <v>1.2745817823884976E-5</v>
      </c>
      <c r="T34" s="9">
        <f t="shared" si="10"/>
        <v>4.7638508608218973E-7</v>
      </c>
      <c r="U34" s="9">
        <f t="shared" si="11"/>
        <v>1.3725418217611502E-4</v>
      </c>
      <c r="V34" s="102">
        <f t="shared" si="13"/>
        <v>3.4708238286752205E-3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0.12015758400049081</v>
      </c>
      <c r="J35" s="94">
        <f t="shared" si="2"/>
        <v>1.0996040565396163</v>
      </c>
      <c r="K35" s="95">
        <f t="shared" si="3"/>
        <v>0.74839225789411046</v>
      </c>
      <c r="L35" s="95">
        <f t="shared" si="4"/>
        <v>1.2557324061733335E-2</v>
      </c>
      <c r="M35" s="95">
        <f t="shared" si="5"/>
        <v>0.98744267593826662</v>
      </c>
      <c r="N35" s="95">
        <f t="shared" si="6"/>
        <v>8.8785296600159616E-3</v>
      </c>
      <c r="O35" s="40">
        <f t="shared" si="7"/>
        <v>7.4977849950071055E-7</v>
      </c>
      <c r="P35" s="40">
        <f t="shared" si="8"/>
        <v>9.4305503703617332E-6</v>
      </c>
      <c r="Q35" s="40">
        <f t="shared" si="9"/>
        <v>1.3335551549343968E-3</v>
      </c>
      <c r="R35" s="9">
        <f t="shared" si="14"/>
        <v>1.4999999999999999E-4</v>
      </c>
      <c r="S35" s="9">
        <f t="shared" si="12"/>
        <v>1.8835986092600001E-6</v>
      </c>
      <c r="T35" s="9">
        <f t="shared" si="10"/>
        <v>1.1225883868411656E-4</v>
      </c>
      <c r="U35" s="9">
        <f t="shared" si="11"/>
        <v>1.4811640139073998E-4</v>
      </c>
      <c r="V35" s="102">
        <f t="shared" si="13"/>
        <v>0.757909574024628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5.3597305230687828</v>
      </c>
      <c r="J36" s="94">
        <f t="shared" si="2"/>
        <v>7.4478257337388314</v>
      </c>
      <c r="K36" s="95">
        <f t="shared" si="3"/>
        <v>3.7527187829226161E-6</v>
      </c>
      <c r="L36" s="95">
        <f t="shared" si="4"/>
        <v>0.14038978667843457</v>
      </c>
      <c r="M36" s="95">
        <f t="shared" si="5"/>
        <v>0.8596102133215654</v>
      </c>
      <c r="N36" s="95">
        <f t="shared" si="6"/>
        <v>0.13946678342669278</v>
      </c>
      <c r="O36" s="40">
        <f t="shared" si="7"/>
        <v>3.7596699169835102E-12</v>
      </c>
      <c r="P36" s="40">
        <f t="shared" si="8"/>
        <v>1.0543272979550458E-4</v>
      </c>
      <c r="Q36" s="40">
        <f t="shared" si="9"/>
        <v>2.0947910870689247E-2</v>
      </c>
      <c r="R36" s="9">
        <f t="shared" si="14"/>
        <v>1.4999999999999999E-4</v>
      </c>
      <c r="S36" s="9">
        <f t="shared" si="12"/>
        <v>2.1058468001765184E-5</v>
      </c>
      <c r="T36" s="9">
        <f t="shared" si="10"/>
        <v>5.6290781743839233E-10</v>
      </c>
      <c r="U36" s="9">
        <f t="shared" si="11"/>
        <v>1.2894153199823481E-4</v>
      </c>
      <c r="V36" s="102">
        <f t="shared" si="13"/>
        <v>4.3656051600666457E-6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1.080392983851221</v>
      </c>
      <c r="J37" s="94">
        <f t="shared" si="2"/>
        <v>2.8524813659648856</v>
      </c>
      <c r="K37" s="95">
        <f t="shared" si="3"/>
        <v>7.6984704673363949E-2</v>
      </c>
      <c r="L37" s="95">
        <f t="shared" si="4"/>
        <v>7.3122254570223782E-2</v>
      </c>
      <c r="M37" s="95">
        <f t="shared" si="5"/>
        <v>0.92687774542977619</v>
      </c>
      <c r="N37" s="95">
        <f t="shared" si="6"/>
        <v>6.6280108678815799E-2</v>
      </c>
      <c r="O37" s="40">
        <f t="shared" si="7"/>
        <v>7.7127302889158341E-8</v>
      </c>
      <c r="P37" s="40">
        <f t="shared" si="8"/>
        <v>5.4914813182238075E-5</v>
      </c>
      <c r="Q37" s="40">
        <f t="shared" si="9"/>
        <v>9.9552723235581293E-3</v>
      </c>
      <c r="R37" s="9">
        <f t="shared" si="14"/>
        <v>1.4999999999999999E-4</v>
      </c>
      <c r="S37" s="9">
        <f t="shared" si="12"/>
        <v>1.0968338185533567E-5</v>
      </c>
      <c r="T37" s="9">
        <f t="shared" si="10"/>
        <v>1.1547705701004591E-5</v>
      </c>
      <c r="U37" s="9">
        <f t="shared" si="11"/>
        <v>1.3903166181446642E-4</v>
      </c>
      <c r="V37" s="102">
        <f t="shared" si="13"/>
        <v>8.3058100221909584E-2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0.16668848098518507</v>
      </c>
      <c r="J38" s="94">
        <f t="shared" si="2"/>
        <v>1.3698795093743001</v>
      </c>
      <c r="K38" s="95">
        <f t="shared" si="3"/>
        <v>0.66671215569735731</v>
      </c>
      <c r="L38" s="95">
        <f t="shared" si="4"/>
        <v>2.0844027726842542E-2</v>
      </c>
      <c r="M38" s="95">
        <f t="shared" si="5"/>
        <v>0.97915597227315743</v>
      </c>
      <c r="N38" s="95">
        <f t="shared" si="6"/>
        <v>1.6876062968173771E-2</v>
      </c>
      <c r="O38" s="40">
        <f t="shared" si="7"/>
        <v>6.6794710183703856E-7</v>
      </c>
      <c r="P38" s="40">
        <f t="shared" si="8"/>
        <v>1.5653864822858746E-5</v>
      </c>
      <c r="Q38" s="40">
        <f t="shared" si="9"/>
        <v>2.5347846578196997E-3</v>
      </c>
      <c r="R38" s="9">
        <f t="shared" si="14"/>
        <v>1.4999999999999999E-4</v>
      </c>
      <c r="S38" s="9">
        <f t="shared" si="12"/>
        <v>3.1266041590263811E-6</v>
      </c>
      <c r="T38" s="9">
        <f t="shared" si="10"/>
        <v>1.0000682335460359E-4</v>
      </c>
      <c r="U38" s="9">
        <f t="shared" si="11"/>
        <v>1.4687339584097361E-4</v>
      </c>
      <c r="V38" s="102">
        <f t="shared" si="13"/>
        <v>0.6809049575110625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-1.6807124166640264E-5</v>
      </c>
      <c r="J39" s="94">
        <f t="shared" si="2"/>
        <v>-2.0830894197039467E-3</v>
      </c>
      <c r="K39" s="95">
        <f t="shared" si="3"/>
        <v>0.99819606968008956</v>
      </c>
      <c r="L39" s="95">
        <f t="shared" si="4"/>
        <v>1.3252460716567597E-3</v>
      </c>
      <c r="M39" s="95">
        <f t="shared" si="5"/>
        <v>0.99867475392834326</v>
      </c>
      <c r="N39" s="95">
        <f t="shared" si="6"/>
        <v>3.2250512411554137E-7</v>
      </c>
      <c r="O39" s="40">
        <f t="shared" si="7"/>
        <v>1.0000450210939229E-6</v>
      </c>
      <c r="P39" s="40">
        <f t="shared" si="8"/>
        <v>9.9525979981422651E-7</v>
      </c>
      <c r="Q39" s="40">
        <f t="shared" si="9"/>
        <v>4.8440269642154291E-8</v>
      </c>
      <c r="R39" s="9">
        <f t="shared" si="14"/>
        <v>1.4999999999999999E-4</v>
      </c>
      <c r="S39" s="9">
        <f t="shared" si="12"/>
        <v>1.9878691074851395E-7</v>
      </c>
      <c r="T39" s="9">
        <f t="shared" si="10"/>
        <v>1.4972941045201342E-4</v>
      </c>
      <c r="U39" s="9">
        <f t="shared" si="11"/>
        <v>1.4980121308925148E-4</v>
      </c>
      <c r="V39" s="102">
        <f t="shared" si="13"/>
        <v>0.99952068053550891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0.30972420580945559</v>
      </c>
      <c r="J40" s="94">
        <f t="shared" si="2"/>
        <v>1.5824466515947846</v>
      </c>
      <c r="K40" s="95">
        <f t="shared" si="3"/>
        <v>0.47789634002372494</v>
      </c>
      <c r="L40" s="95">
        <f t="shared" si="4"/>
        <v>2.4374971440147136E-2</v>
      </c>
      <c r="M40" s="95">
        <f t="shared" si="5"/>
        <v>0.97562502855985289</v>
      </c>
      <c r="N40" s="95">
        <f t="shared" si="6"/>
        <v>1.8111418597421686E-2</v>
      </c>
      <c r="O40" s="40">
        <f t="shared" si="7"/>
        <v>4.7878154398353997E-7</v>
      </c>
      <c r="P40" s="40">
        <f t="shared" si="8"/>
        <v>1.8305603551550496E-5</v>
      </c>
      <c r="Q40" s="40">
        <f t="shared" si="9"/>
        <v>2.7203350733327365E-3</v>
      </c>
      <c r="R40" s="9">
        <f t="shared" si="14"/>
        <v>1.4999999999999999E-4</v>
      </c>
      <c r="S40" s="9">
        <f t="shared" si="12"/>
        <v>3.6562457160220699E-6</v>
      </c>
      <c r="T40" s="9">
        <f t="shared" si="10"/>
        <v>7.1684451003558731E-5</v>
      </c>
      <c r="U40" s="9">
        <f t="shared" si="11"/>
        <v>1.4634375428397792E-4</v>
      </c>
      <c r="V40" s="102">
        <f t="shared" si="13"/>
        <v>0.48983608049617278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0.35763444792585858</v>
      </c>
      <c r="J41" s="94">
        <f t="shared" si="2"/>
        <v>1.6545409469670946</v>
      </c>
      <c r="K41" s="95">
        <f t="shared" si="3"/>
        <v>0.42738342734000662</v>
      </c>
      <c r="L41" s="95">
        <f t="shared" si="4"/>
        <v>2.5734894008427957E-2</v>
      </c>
      <c r="M41" s="95">
        <f t="shared" si="5"/>
        <v>0.97426510599157201</v>
      </c>
      <c r="N41" s="95">
        <f t="shared" si="6"/>
        <v>1.8900462920248547E-2</v>
      </c>
      <c r="O41" s="40">
        <f t="shared" si="7"/>
        <v>4.2817506659428902E-7</v>
      </c>
      <c r="P41" s="40">
        <f t="shared" si="8"/>
        <v>1.932690540032939E-5</v>
      </c>
      <c r="Q41" s="40">
        <f t="shared" si="9"/>
        <v>2.8388495306213308E-3</v>
      </c>
      <c r="R41" s="9">
        <f t="shared" si="14"/>
        <v>1.4999999999999999E-4</v>
      </c>
      <c r="S41" s="9">
        <f t="shared" si="12"/>
        <v>3.8602341012641936E-6</v>
      </c>
      <c r="T41" s="9">
        <f t="shared" si="10"/>
        <v>6.4107514101000989E-5</v>
      </c>
      <c r="U41" s="9">
        <f t="shared" si="11"/>
        <v>1.4613976589873578E-4</v>
      </c>
      <c r="V41" s="102">
        <f t="shared" si="13"/>
        <v>0.43867262073912738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1.4796577057346771</v>
      </c>
      <c r="J42" s="94">
        <f t="shared" si="2"/>
        <v>3.3641784665212624</v>
      </c>
      <c r="K42" s="95">
        <f t="shared" si="3"/>
        <v>3.0050802011388822E-2</v>
      </c>
      <c r="L42" s="95">
        <f t="shared" si="4"/>
        <v>9.2725309826430458E-2</v>
      </c>
      <c r="M42" s="95">
        <f t="shared" si="5"/>
        <v>0.90727469017356954</v>
      </c>
      <c r="N42" s="95">
        <f t="shared" si="6"/>
        <v>8.7262536152666867E-2</v>
      </c>
      <c r="O42" s="40">
        <f t="shared" si="7"/>
        <v>3.0106464896220244E-8</v>
      </c>
      <c r="P42" s="40">
        <f t="shared" si="8"/>
        <v>6.9636707679649279E-5</v>
      </c>
      <c r="Q42" s="40">
        <f t="shared" si="9"/>
        <v>1.310683293013056E-2</v>
      </c>
      <c r="R42" s="9">
        <f t="shared" si="14"/>
        <v>1.4999999999999999E-4</v>
      </c>
      <c r="S42" s="9">
        <f t="shared" si="12"/>
        <v>1.3908796473964567E-5</v>
      </c>
      <c r="T42" s="9">
        <f t="shared" si="10"/>
        <v>4.5076203017083225E-6</v>
      </c>
      <c r="U42" s="9">
        <f t="shared" si="11"/>
        <v>1.3609120352603543E-4</v>
      </c>
      <c r="V42" s="102">
        <f t="shared" si="13"/>
        <v>3.3122054805298097E-2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1.2498866711591912</v>
      </c>
      <c r="J43" s="94">
        <f t="shared" si="2"/>
        <v>3.0473260422149981</v>
      </c>
      <c r="K43" s="95">
        <f t="shared" si="3"/>
        <v>5.1880726677937763E-2</v>
      </c>
      <c r="L43" s="95">
        <f t="shared" si="4"/>
        <v>7.7178414439227613E-2</v>
      </c>
      <c r="M43" s="95">
        <f t="shared" si="5"/>
        <v>0.92282158556077243</v>
      </c>
      <c r="N43" s="95">
        <f t="shared" si="6"/>
        <v>7.0404564148666346E-2</v>
      </c>
      <c r="O43" s="40">
        <f t="shared" si="7"/>
        <v>5.1976824975512314E-8</v>
      </c>
      <c r="P43" s="40">
        <f t="shared" si="8"/>
        <v>5.7960989243859938E-5</v>
      </c>
      <c r="Q43" s="40">
        <f t="shared" si="9"/>
        <v>1.0574765535129682E-2</v>
      </c>
      <c r="R43" s="9">
        <f t="shared" si="14"/>
        <v>1.4999999999999999E-4</v>
      </c>
      <c r="S43" s="9">
        <f t="shared" si="12"/>
        <v>1.157676216588414E-5</v>
      </c>
      <c r="T43" s="9">
        <f t="shared" si="10"/>
        <v>7.7821090016906634E-6</v>
      </c>
      <c r="U43" s="9">
        <f t="shared" si="11"/>
        <v>1.3842323783411586E-4</v>
      </c>
      <c r="V43" s="102">
        <f t="shared" si="13"/>
        <v>5.6219671808404134E-2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0.14841008082679891</v>
      </c>
      <c r="J44" s="94">
        <f t="shared" si="2"/>
        <v>1.3173040593206689</v>
      </c>
      <c r="K44" s="95">
        <f t="shared" si="3"/>
        <v>0.6964736774846465</v>
      </c>
      <c r="L44" s="95">
        <f t="shared" si="4"/>
        <v>1.9291790014535685E-2</v>
      </c>
      <c r="M44" s="95">
        <f t="shared" si="5"/>
        <v>0.98070820998546426</v>
      </c>
      <c r="N44" s="95">
        <f t="shared" si="6"/>
        <v>1.5581973848270923E-2</v>
      </c>
      <c r="O44" s="40">
        <f t="shared" si="7"/>
        <v>6.9776375067747688E-7</v>
      </c>
      <c r="P44" s="40">
        <f t="shared" si="8"/>
        <v>1.4488134300916292E-5</v>
      </c>
      <c r="Q44" s="40">
        <f t="shared" si="9"/>
        <v>2.340412472010292E-3</v>
      </c>
      <c r="R44" s="9">
        <f t="shared" si="14"/>
        <v>1.4999999999999999E-4</v>
      </c>
      <c r="S44" s="9">
        <f t="shared" si="12"/>
        <v>2.8937685021803524E-6</v>
      </c>
      <c r="T44" s="9">
        <f t="shared" si="10"/>
        <v>1.0447105162269697E-4</v>
      </c>
      <c r="U44" s="9">
        <f t="shared" si="11"/>
        <v>1.4710623149781962E-4</v>
      </c>
      <c r="V44" s="102">
        <f t="shared" si="13"/>
        <v>0.71017420920231655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1.3452769109111</v>
      </c>
      <c r="J45" s="94">
        <f t="shared" si="2"/>
        <v>3.0318323583249076</v>
      </c>
      <c r="K45" s="95">
        <f t="shared" si="3"/>
        <v>4.2387220776035898E-2</v>
      </c>
      <c r="L45" s="95">
        <f t="shared" si="4"/>
        <v>6.0845863618295158E-2</v>
      </c>
      <c r="M45" s="95">
        <f t="shared" si="5"/>
        <v>0.93915413638170486</v>
      </c>
      <c r="N45" s="95">
        <f t="shared" si="6"/>
        <v>5.2237298110635405E-2</v>
      </c>
      <c r="O45" s="40">
        <f t="shared" si="7"/>
        <v>4.2465734320782103E-8</v>
      </c>
      <c r="P45" s="40">
        <f t="shared" si="8"/>
        <v>4.569524357733967E-5</v>
      </c>
      <c r="Q45" s="40">
        <f t="shared" si="9"/>
        <v>7.846042176217434E-3</v>
      </c>
      <c r="R45" s="9">
        <f t="shared" si="14"/>
        <v>1.4999999999999999E-4</v>
      </c>
      <c r="S45" s="9">
        <f t="shared" si="12"/>
        <v>9.1268795427442721E-6</v>
      </c>
      <c r="T45" s="9">
        <f t="shared" si="10"/>
        <v>6.3580831164053844E-6</v>
      </c>
      <c r="U45" s="9">
        <f t="shared" si="11"/>
        <v>1.4087312045725571E-4</v>
      </c>
      <c r="V45" s="102">
        <f t="shared" si="13"/>
        <v>4.5133401572761918E-2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0.12747825886296762</v>
      </c>
      <c r="J46" s="94">
        <f t="shared" si="2"/>
        <v>1.2317717173887035</v>
      </c>
      <c r="K46" s="95">
        <f t="shared" si="3"/>
        <v>0.73281791182670741</v>
      </c>
      <c r="L46" s="95">
        <f t="shared" si="4"/>
        <v>1.666984465970095E-2</v>
      </c>
      <c r="M46" s="95">
        <f t="shared" si="5"/>
        <v>0.98333015534029911</v>
      </c>
      <c r="N46" s="95">
        <f t="shared" si="6"/>
        <v>1.3199632496214192E-2</v>
      </c>
      <c r="O46" s="40">
        <f t="shared" si="7"/>
        <v>7.3417530518389476E-7</v>
      </c>
      <c r="P46" s="40">
        <f t="shared" si="8"/>
        <v>1.2519053339435408E-5</v>
      </c>
      <c r="Q46" s="40">
        <f t="shared" si="9"/>
        <v>1.982584800931371E-3</v>
      </c>
      <c r="R46" s="9">
        <f t="shared" si="14"/>
        <v>1.4999999999999999E-4</v>
      </c>
      <c r="S46" s="9">
        <f t="shared" si="12"/>
        <v>2.5004766989551423E-6</v>
      </c>
      <c r="T46" s="9">
        <f t="shared" si="10"/>
        <v>1.0992268677400611E-4</v>
      </c>
      <c r="U46" s="9">
        <f t="shared" si="11"/>
        <v>1.4749952330104485E-4</v>
      </c>
      <c r="V46" s="102">
        <f t="shared" si="13"/>
        <v>0.74524096291250475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0.71310437974280194</v>
      </c>
      <c r="J47" s="94">
        <f t="shared" si="2"/>
        <v>2.1121156644685484</v>
      </c>
      <c r="K47" s="95">
        <f t="shared" si="3"/>
        <v>0.18723867524842186</v>
      </c>
      <c r="L47" s="95">
        <f t="shared" si="4"/>
        <v>3.2335157721400776E-2</v>
      </c>
      <c r="M47" s="95">
        <f t="shared" si="5"/>
        <v>0.96766484227859917</v>
      </c>
      <c r="N47" s="95">
        <f t="shared" si="6"/>
        <v>2.2800760014425329E-2</v>
      </c>
      <c r="O47" s="40">
        <f t="shared" si="7"/>
        <v>1.8758549610240077E-7</v>
      </c>
      <c r="P47" s="40">
        <f t="shared" si="8"/>
        <v>2.4283703448771982E-5</v>
      </c>
      <c r="Q47" s="40">
        <f t="shared" si="9"/>
        <v>3.4246741541666828E-3</v>
      </c>
      <c r="R47" s="9">
        <f t="shared" si="14"/>
        <v>1.4999999999999999E-4</v>
      </c>
      <c r="S47" s="9">
        <f t="shared" si="12"/>
        <v>4.8502736582101157E-6</v>
      </c>
      <c r="T47" s="9">
        <f t="shared" si="10"/>
        <v>2.8085801287263276E-5</v>
      </c>
      <c r="U47" s="9">
        <f t="shared" si="11"/>
        <v>1.4514972634178987E-4</v>
      </c>
      <c r="V47" s="102">
        <f t="shared" si="13"/>
        <v>0.1934953788416281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0.42305595357710185</v>
      </c>
      <c r="K48" s="95">
        <f t="shared" ref="K48:K50" si="17">IF(D48=0,"",1/(1+10^D48*$J$15/$J$14+10^E48*$J$16/$J$14+10^J48*$J$19/$J$14))</f>
        <v>0.94145619970251082</v>
      </c>
      <c r="L48" s="95">
        <f t="shared" ref="L48:L50" si="18">IF(D48=0,"",1/(1+10^I48/10^J48*$J$13/$J$19))</f>
        <v>3.3267474504999456E-3</v>
      </c>
      <c r="M48" s="95">
        <f t="shared" ref="M48:M92" si="19">IF(D48=0,"",1-L48)</f>
        <v>0.99667325254950001</v>
      </c>
      <c r="N48" s="95">
        <f t="shared" ref="N48:N50" si="20">IF(D48=0,"",1/(1/10^E48*$J$20/$J$22+10^D48/10^E48*$J$21/$J$22+10^I48/10^E48*$J$13/$J$22+1))</f>
        <v>1.4099245851411256E-3</v>
      </c>
      <c r="O48" s="40">
        <f t="shared" ref="O48:O92" si="21">IF(D48=0,"",F48*K48*$J$7/$J$14)</f>
        <v>9.4320005226251923E-7</v>
      </c>
      <c r="P48" s="40">
        <f t="shared" ref="P48:P50" si="22">IF(D48=0,"",O48*10^J48)</f>
        <v>2.498387335325458E-6</v>
      </c>
      <c r="Q48" s="40">
        <f t="shared" ref="Q48:Q50" si="23">IF(D48=0,"",F48*N48*$J$7/$J$22)</f>
        <v>2.1177067268819699E-4</v>
      </c>
      <c r="R48" s="9">
        <f t="shared" si="14"/>
        <v>1.4999999999999999E-4</v>
      </c>
      <c r="S48" s="9">
        <f t="shared" si="12"/>
        <v>4.9901211757499182E-7</v>
      </c>
      <c r="T48" s="9">
        <f t="shared" si="10"/>
        <v>1.4121842995537662E-4</v>
      </c>
      <c r="U48" s="9">
        <f t="shared" si="11"/>
        <v>1.4950098788242498E-4</v>
      </c>
      <c r="V48" s="102">
        <f t="shared" si="13"/>
        <v>0.94459864082261324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6.9959414880738915E-3</v>
      </c>
      <c r="J49" s="94">
        <f t="shared" si="16"/>
        <v>0.17496858668585646</v>
      </c>
      <c r="K49" s="95">
        <f t="shared" si="17"/>
        <v>0.98158376956549998</v>
      </c>
      <c r="L49" s="95">
        <f t="shared" si="18"/>
        <v>1.959114030338373E-3</v>
      </c>
      <c r="M49" s="95">
        <f t="shared" si="19"/>
        <v>0.99804088596966167</v>
      </c>
      <c r="N49" s="95">
        <f t="shared" si="20"/>
        <v>4.6587899776734403E-4</v>
      </c>
      <c r="O49" s="40">
        <f t="shared" si="21"/>
        <v>9.8340195013509038E-7</v>
      </c>
      <c r="P49" s="40">
        <f t="shared" si="22"/>
        <v>1.4712946367841181E-6</v>
      </c>
      <c r="Q49" s="40">
        <f t="shared" si="23"/>
        <v>6.997502546465505E-5</v>
      </c>
      <c r="R49" s="9">
        <f t="shared" si="14"/>
        <v>1.4999999999999999E-4</v>
      </c>
      <c r="S49" s="9">
        <f t="shared" si="12"/>
        <v>2.9386710455075591E-7</v>
      </c>
      <c r="T49" s="9">
        <f t="shared" si="10"/>
        <v>1.4723756543482498E-4</v>
      </c>
      <c r="U49" s="9">
        <f t="shared" si="11"/>
        <v>1.4970613289544925E-4</v>
      </c>
      <c r="V49" s="102">
        <f t="shared" si="13"/>
        <v>0.98351057893968685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3.7232006014196545E-5</v>
      </c>
      <c r="J57" s="54">
        <f t="shared" si="25"/>
        <v>8.1368247852758456E-4</v>
      </c>
      <c r="K57" s="55">
        <f t="shared" si="26"/>
        <v>0.99806318600201693</v>
      </c>
      <c r="L57" s="55">
        <f t="shared" si="27"/>
        <v>1.3339374905776075E-3</v>
      </c>
      <c r="M57" s="55">
        <f t="shared" si="28"/>
        <v>0.99866606250942236</v>
      </c>
      <c r="N57" s="55">
        <f t="shared" si="29"/>
        <v>8.0446619771821949E-6</v>
      </c>
      <c r="O57" s="56">
        <f t="shared" si="30"/>
        <v>9.9991189127636715E-7</v>
      </c>
      <c r="P57" s="56">
        <f t="shared" si="31"/>
        <v>1.0017870554237831E-6</v>
      </c>
      <c r="Q57" s="56">
        <f t="shared" si="32"/>
        <v>1.2083082289727652E-6</v>
      </c>
      <c r="R57" s="9">
        <f t="shared" ref="R57:R58" si="33">F57*$C$14</f>
        <v>1.4999999999999999E-4</v>
      </c>
      <c r="S57" s="9">
        <f t="shared" ref="S57:S58" si="34">$R57*L57</f>
        <v>2.0009062358664112E-7</v>
      </c>
      <c r="T57" s="9">
        <f t="shared" ref="T57:T58" si="35">R57*K57</f>
        <v>1.4970947790030251E-4</v>
      </c>
      <c r="U57" s="9">
        <f t="shared" ref="U57:U58" si="36">$R57*M57</f>
        <v>1.4979990937641333E-4</v>
      </c>
      <c r="V57" s="102">
        <f t="shared" ref="V57:V58" si="37">K57/M57</f>
        <v>0.99939631821883435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3.6330362911661196E-2</v>
      </c>
      <c r="J58" s="54">
        <f t="shared" si="25"/>
        <v>0.56932041838992553</v>
      </c>
      <c r="K58" s="55">
        <f t="shared" si="26"/>
        <v>0.91511027221437224</v>
      </c>
      <c r="L58" s="55">
        <f t="shared" si="27"/>
        <v>4.5285337440724082E-3</v>
      </c>
      <c r="M58" s="55">
        <f t="shared" si="28"/>
        <v>0.99547146625592764</v>
      </c>
      <c r="N58" s="55">
        <f t="shared" si="29"/>
        <v>2.3652453326129521E-3</v>
      </c>
      <c r="O58" s="56">
        <f t="shared" si="30"/>
        <v>9.1680532440203158E-7</v>
      </c>
      <c r="P58" s="56">
        <f t="shared" si="31"/>
        <v>3.4009288417983779E-6</v>
      </c>
      <c r="Q58" s="56">
        <f t="shared" si="32"/>
        <v>3.5525984895846524E-4</v>
      </c>
      <c r="R58" s="9">
        <f t="shared" si="33"/>
        <v>1.4999999999999999E-4</v>
      </c>
      <c r="S58" s="9">
        <f t="shared" si="34"/>
        <v>6.792800616108612E-7</v>
      </c>
      <c r="T58" s="9">
        <f t="shared" si="35"/>
        <v>1.3726654083215582E-4</v>
      </c>
      <c r="U58" s="9">
        <f t="shared" si="36"/>
        <v>1.4932071993838914E-4</v>
      </c>
      <c r="V58" s="102">
        <f t="shared" si="37"/>
        <v>0.91927323206580469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5.084171441621077E-2</v>
      </c>
      <c r="J60" s="54">
        <f t="shared" si="25"/>
        <v>0.60440409790510718</v>
      </c>
      <c r="K60" s="55">
        <f t="shared" si="26"/>
        <v>0.88484394853015025</v>
      </c>
      <c r="L60" s="55">
        <f t="shared" si="27"/>
        <v>4.7471673546622588E-3</v>
      </c>
      <c r="M60" s="55">
        <f t="shared" si="28"/>
        <v>0.9952528326453377</v>
      </c>
      <c r="N60" s="55">
        <f t="shared" si="29"/>
        <v>2.1797337509572097E-3</v>
      </c>
      <c r="O60" s="56">
        <f t="shared" si="30"/>
        <v>8.8648293862373087E-7</v>
      </c>
      <c r="P60" s="56">
        <f t="shared" si="31"/>
        <v>3.5651226833513567E-6</v>
      </c>
      <c r="Q60" s="56">
        <f t="shared" si="32"/>
        <v>3.273960093937728E-4</v>
      </c>
      <c r="R60" s="9">
        <f>F60*$C$14</f>
        <v>1.4999999999999999E-4</v>
      </c>
      <c r="S60" s="9">
        <f t="shared" ref="S60:S93" si="38">$R60*L60</f>
        <v>7.1207510319933875E-7</v>
      </c>
      <c r="T60" s="9">
        <f t="shared" ref="T60:T93" si="39">R60*K60</f>
        <v>1.3272659227952252E-4</v>
      </c>
      <c r="U60" s="9">
        <f t="shared" ref="U60:U93" si="40">$R60*M60</f>
        <v>1.4928792489680065E-4</v>
      </c>
      <c r="V60" s="102">
        <f t="shared" ref="V60:V93" si="41">K60/M60</f>
        <v>0.8890644864363505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0.31132307136990117</v>
      </c>
      <c r="J61" s="54">
        <f t="shared" si="25"/>
        <v>1.499720898757618</v>
      </c>
      <c r="K61" s="55">
        <f t="shared" si="26"/>
        <v>0.47819721918376185</v>
      </c>
      <c r="L61" s="55">
        <f t="shared" si="27"/>
        <v>2.0160054622364219E-2</v>
      </c>
      <c r="M61" s="55">
        <f t="shared" si="28"/>
        <v>0.97983994537763575</v>
      </c>
      <c r="N61" s="55">
        <f t="shared" si="29"/>
        <v>1.3461820954798328E-2</v>
      </c>
      <c r="O61" s="56">
        <f t="shared" si="30"/>
        <v>4.7908298045988498E-7</v>
      </c>
      <c r="P61" s="56">
        <f t="shared" si="31"/>
        <v>1.5140201021395529E-5</v>
      </c>
      <c r="Q61" s="56">
        <f t="shared" si="32"/>
        <v>2.0219655074107082E-3</v>
      </c>
      <c r="R61" s="9">
        <f>F61*$C$14</f>
        <v>1.4999999999999999E-4</v>
      </c>
      <c r="S61" s="9">
        <f t="shared" si="38"/>
        <v>3.0240081933546325E-6</v>
      </c>
      <c r="T61" s="9">
        <f t="shared" si="39"/>
        <v>7.1729582877564266E-5</v>
      </c>
      <c r="U61" s="9">
        <f t="shared" si="40"/>
        <v>1.4697599180664534E-4</v>
      </c>
      <c r="V61" s="102">
        <f t="shared" si="41"/>
        <v>0.48803605266313366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0.17220522092565899</v>
      </c>
      <c r="J62" s="54">
        <f t="shared" si="25"/>
        <v>1.2557340163142241</v>
      </c>
      <c r="K62" s="55">
        <f t="shared" si="26"/>
        <v>0.66161789706911722</v>
      </c>
      <c r="L62" s="55">
        <f t="shared" si="27"/>
        <v>1.5903950682262216E-2</v>
      </c>
      <c r="M62" s="55">
        <f t="shared" si="28"/>
        <v>0.98409604931773775</v>
      </c>
      <c r="N62" s="55">
        <f t="shared" si="29"/>
        <v>1.1349690228974474E-2</v>
      </c>
      <c r="O62" s="56">
        <f t="shared" si="30"/>
        <v>6.6284340715011303E-7</v>
      </c>
      <c r="P62" s="56">
        <f t="shared" si="31"/>
        <v>1.1943866962378924E-5</v>
      </c>
      <c r="Q62" s="56">
        <f t="shared" si="32"/>
        <v>1.7047234723919654E-3</v>
      </c>
      <c r="R62" s="9">
        <f>F62*$C$14</f>
        <v>1.4999999999999999E-4</v>
      </c>
      <c r="S62" s="9">
        <f t="shared" si="38"/>
        <v>2.3855926023393321E-6</v>
      </c>
      <c r="T62" s="9">
        <f t="shared" si="39"/>
        <v>9.9242684560367576E-5</v>
      </c>
      <c r="U62" s="9">
        <f t="shared" si="40"/>
        <v>1.4761440739766065E-4</v>
      </c>
      <c r="V62" s="102">
        <f t="shared" si="41"/>
        <v>0.67231028671216508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0.15417954710270029</v>
      </c>
      <c r="J63" s="54">
        <f t="shared" si="25"/>
        <v>1.1862468902307319</v>
      </c>
      <c r="K63" s="55">
        <f t="shared" si="26"/>
        <v>0.69088444526323789</v>
      </c>
      <c r="L63" s="55">
        <f t="shared" si="27"/>
        <v>1.4151942803203128E-2</v>
      </c>
      <c r="M63" s="55">
        <f t="shared" si="28"/>
        <v>0.98584805719679691</v>
      </c>
      <c r="N63" s="55">
        <f t="shared" si="29"/>
        <v>9.8280459600791781E-3</v>
      </c>
      <c r="O63" s="56">
        <f t="shared" si="30"/>
        <v>6.9216416556134953E-7</v>
      </c>
      <c r="P63" s="56">
        <f t="shared" si="31"/>
        <v>1.0628109045205547E-5</v>
      </c>
      <c r="Q63" s="56">
        <f t="shared" si="32"/>
        <v>1.476172503203892E-3</v>
      </c>
      <c r="R63" s="9">
        <f>F63*$C$14</f>
        <v>1.4999999999999999E-4</v>
      </c>
      <c r="S63" s="9">
        <f t="shared" si="38"/>
        <v>2.1227914204804689E-6</v>
      </c>
      <c r="T63" s="9">
        <f t="shared" si="39"/>
        <v>1.0363266678948567E-4</v>
      </c>
      <c r="U63" s="9">
        <f t="shared" si="40"/>
        <v>1.4787720857951952E-4</v>
      </c>
      <c r="V63" s="102">
        <f t="shared" si="41"/>
        <v>0.70080215730984818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2.9920298270100572E-2</v>
      </c>
      <c r="J64" s="54">
        <f t="shared" si="25"/>
        <v>0.54325556656441565</v>
      </c>
      <c r="K64" s="55">
        <f t="shared" si="26"/>
        <v>0.92890334558511667</v>
      </c>
      <c r="L64" s="55">
        <f t="shared" si="27"/>
        <v>4.3290225997150902E-3</v>
      </c>
      <c r="M64" s="55">
        <f t="shared" si="28"/>
        <v>0.99567097740028487</v>
      </c>
      <c r="N64" s="55">
        <f t="shared" si="29"/>
        <v>2.3395120736965599E-3</v>
      </c>
      <c r="O64" s="56">
        <f t="shared" si="30"/>
        <v>9.3062394658356036E-7</v>
      </c>
      <c r="P64" s="56">
        <f t="shared" si="31"/>
        <v>3.2510959723860326E-6</v>
      </c>
      <c r="Q64" s="56">
        <f t="shared" si="32"/>
        <v>3.513947134692232E-4</v>
      </c>
      <c r="R64" s="9">
        <f>F64*$C$14</f>
        <v>1.4999999999999999E-4</v>
      </c>
      <c r="S64" s="9">
        <f t="shared" si="38"/>
        <v>6.4935338995726347E-7</v>
      </c>
      <c r="T64" s="9">
        <f t="shared" si="39"/>
        <v>1.3933550183776747E-4</v>
      </c>
      <c r="U64" s="9">
        <f t="shared" si="40"/>
        <v>1.4935064661004272E-4</v>
      </c>
      <c r="V64" s="102">
        <f t="shared" si="41"/>
        <v>0.93294207290293851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0.45036614920415591</v>
      </c>
      <c r="J65" s="54">
        <f t="shared" si="25"/>
        <v>1.9057707829015962</v>
      </c>
      <c r="K65" s="55">
        <f t="shared" si="26"/>
        <v>0.34134297480776277</v>
      </c>
      <c r="L65" s="55">
        <f t="shared" si="27"/>
        <v>3.6654349064838838E-2</v>
      </c>
      <c r="M65" s="55">
        <f t="shared" si="28"/>
        <v>0.96334565093516111</v>
      </c>
      <c r="N65" s="55">
        <f t="shared" si="29"/>
        <v>2.9743408295704661E-2</v>
      </c>
      <c r="O65" s="56">
        <f t="shared" si="30"/>
        <v>3.4197524194950291E-7</v>
      </c>
      <c r="P65" s="56">
        <f t="shared" si="31"/>
        <v>2.7527416147693964E-5</v>
      </c>
      <c r="Q65" s="56">
        <f t="shared" si="32"/>
        <v>4.4674599260148386E-3</v>
      </c>
      <c r="R65" s="9">
        <f>F65*$C$14</f>
        <v>1.4999999999999999E-4</v>
      </c>
      <c r="S65" s="9">
        <f t="shared" si="38"/>
        <v>5.4981523597258249E-6</v>
      </c>
      <c r="T65" s="9">
        <f t="shared" si="39"/>
        <v>5.1201446221164409E-5</v>
      </c>
      <c r="U65" s="9">
        <f t="shared" si="40"/>
        <v>1.4450184764027416E-4</v>
      </c>
      <c r="V65" s="102">
        <f t="shared" si="41"/>
        <v>0.35433073733857257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4.7752637245013392E-2</v>
      </c>
      <c r="J68" s="54">
        <f t="shared" si="25"/>
        <v>0.55831225094540526</v>
      </c>
      <c r="K68" s="55">
        <f t="shared" si="26"/>
        <v>0.89155915884581904</v>
      </c>
      <c r="L68" s="55">
        <f t="shared" si="27"/>
        <v>4.3015618935921939E-3</v>
      </c>
      <c r="M68" s="55">
        <f t="shared" si="28"/>
        <v>0.99569843810640779</v>
      </c>
      <c r="N68" s="55">
        <f t="shared" si="29"/>
        <v>1.7824441448814612E-3</v>
      </c>
      <c r="O68" s="56">
        <f t="shared" si="30"/>
        <v>8.9321058747525881E-7</v>
      </c>
      <c r="P68" s="56">
        <f t="shared" si="31"/>
        <v>3.2304729820877368E-6</v>
      </c>
      <c r="Q68" s="56">
        <f t="shared" si="32"/>
        <v>2.6772311056119538E-4</v>
      </c>
      <c r="R68" s="9">
        <f>F68*$C$14</f>
        <v>1.4999999999999999E-4</v>
      </c>
      <c r="S68" s="9">
        <f t="shared" si="38"/>
        <v>6.4523428403882899E-7</v>
      </c>
      <c r="T68" s="9">
        <f t="shared" si="39"/>
        <v>1.3373387382687284E-4</v>
      </c>
      <c r="U68" s="9">
        <f t="shared" si="40"/>
        <v>1.4935476571596116E-4</v>
      </c>
      <c r="V68" s="102">
        <f t="shared" si="41"/>
        <v>0.89541082392512539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1.1979474472139457</v>
      </c>
      <c r="J69" s="54">
        <f t="shared" si="25"/>
        <v>2.847496995843116</v>
      </c>
      <c r="K69" s="55">
        <f t="shared" si="26"/>
        <v>5.9803717253691872E-2</v>
      </c>
      <c r="L69" s="55">
        <f t="shared" si="27"/>
        <v>5.615506506651604E-2</v>
      </c>
      <c r="M69" s="55">
        <f t="shared" si="28"/>
        <v>0.94384493493348398</v>
      </c>
      <c r="N69" s="55">
        <f t="shared" si="29"/>
        <v>4.7303681655979202E-2</v>
      </c>
      <c r="O69" s="56">
        <f t="shared" si="30"/>
        <v>5.9914491249830856E-8</v>
      </c>
      <c r="P69" s="56">
        <f t="shared" si="31"/>
        <v>4.217245386495355E-5</v>
      </c>
      <c r="Q69" s="56">
        <f t="shared" si="32"/>
        <v>7.1050129847280733E-3</v>
      </c>
      <c r="R69" s="9">
        <f>F69*$C$14</f>
        <v>1.4999999999999999E-4</v>
      </c>
      <c r="S69" s="9">
        <f t="shared" si="38"/>
        <v>8.4232597599774054E-6</v>
      </c>
      <c r="T69" s="9">
        <f t="shared" si="39"/>
        <v>8.9705575880537798E-6</v>
      </c>
      <c r="U69" s="9">
        <f t="shared" si="40"/>
        <v>1.4157674024002257E-4</v>
      </c>
      <c r="V69" s="102">
        <f t="shared" si="41"/>
        <v>6.3361803449108356E-2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6.6276677113325539E-3</v>
      </c>
      <c r="J70" s="54">
        <f t="shared" si="25"/>
        <v>0.11635831463150176</v>
      </c>
      <c r="K70" s="55">
        <f t="shared" si="26"/>
        <v>0.98265809966529782</v>
      </c>
      <c r="L70" s="55">
        <f t="shared" si="27"/>
        <v>1.7136594186892206E-3</v>
      </c>
      <c r="M70" s="55">
        <f t="shared" si="28"/>
        <v>0.99828634058131083</v>
      </c>
      <c r="N70" s="55">
        <f t="shared" si="29"/>
        <v>2.1001736341704649E-4</v>
      </c>
      <c r="O70" s="56">
        <f t="shared" si="30"/>
        <v>9.8447827020881968E-7</v>
      </c>
      <c r="P70" s="56">
        <f t="shared" si="31"/>
        <v>1.2869582234356046E-6</v>
      </c>
      <c r="Q70" s="56">
        <f t="shared" si="32"/>
        <v>3.1544607985240368E-5</v>
      </c>
      <c r="R70" s="9">
        <f t="shared" ref="R70:R86" si="42">F70*$C$14</f>
        <v>1.4999999999999999E-4</v>
      </c>
      <c r="S70" s="9">
        <f t="shared" si="38"/>
        <v>2.5704891280338308E-7</v>
      </c>
      <c r="T70" s="9">
        <f t="shared" si="39"/>
        <v>1.4739871494979465E-4</v>
      </c>
      <c r="U70" s="9">
        <f t="shared" si="40"/>
        <v>1.4974295108719662E-4</v>
      </c>
      <c r="V70" s="102">
        <f t="shared" si="41"/>
        <v>0.98434493162862213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3">IF(D71=0,"",LOG($K$15*10^D71+$K$16*10^E71+$K$14))</f>
        <v>2.8589842167479149E-2</v>
      </c>
      <c r="J71" s="54">
        <f t="shared" ref="J71:J122" si="44">IF(D71=0,"",LOG($K$21*10^D71+$K$22*10^E71+$K$20))</f>
        <v>0.49176308419639264</v>
      </c>
      <c r="K71" s="55">
        <f t="shared" ref="K71:K122" si="45">IF(D71=0,"",1/(1+10^D71*$J$15/$J$14+10^E71*$J$16/$J$14+10^J71*$J$19/$J$14))</f>
        <v>0.93219359053099515</v>
      </c>
      <c r="L71" s="55">
        <f t="shared" ref="L71:L122" si="46">IF(D71=0,"",1/(1+10^I71/10^J71*$J$13/$J$19))</f>
        <v>3.858628397565509E-3</v>
      </c>
      <c r="M71" s="55">
        <f t="shared" si="19"/>
        <v>0.99614137160243454</v>
      </c>
      <c r="N71" s="55">
        <f t="shared" ref="N71:N122" si="47">IF(D71=0,"",1/(1/10^E71*$J$20/$J$22+10^D71/10^E71*$J$21/$J$22+10^I71/10^E71*$J$13/$J$22+1))</f>
        <v>1.8665424712880501E-3</v>
      </c>
      <c r="O71" s="56">
        <f t="shared" si="21"/>
        <v>9.3392028602653137E-7</v>
      </c>
      <c r="P71" s="56">
        <f t="shared" ref="P71:P122" si="48">IF(D71=0,"",O71*10^J71)</f>
        <v>2.8978299265716972E-6</v>
      </c>
      <c r="Q71" s="56">
        <f t="shared" ref="Q71:Q122" si="49">IF(D71=0,"",F71*N71*$J$7/$J$22)</f>
        <v>2.8035467918746502E-4</v>
      </c>
      <c r="R71" s="9">
        <f t="shared" si="42"/>
        <v>1.4999999999999999E-4</v>
      </c>
      <c r="S71" s="9">
        <f t="shared" si="38"/>
        <v>5.7879425963482631E-7</v>
      </c>
      <c r="T71" s="9">
        <f t="shared" si="39"/>
        <v>1.3982903857964927E-4</v>
      </c>
      <c r="U71" s="9">
        <f t="shared" si="40"/>
        <v>1.4942120574036518E-4</v>
      </c>
      <c r="V71" s="102">
        <f t="shared" si="41"/>
        <v>0.9358045123971005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3"/>
        <v>4.5043006346732313E-2</v>
      </c>
      <c r="J72" s="54">
        <f t="shared" si="44"/>
        <v>0.56249502482927194</v>
      </c>
      <c r="K72" s="55">
        <f t="shared" si="45"/>
        <v>0.89707739472299652</v>
      </c>
      <c r="L72" s="55">
        <f t="shared" si="46"/>
        <v>4.3700730569810964E-3</v>
      </c>
      <c r="M72" s="55">
        <f t="shared" si="19"/>
        <v>0.99562992694301888</v>
      </c>
      <c r="N72" s="55">
        <f t="shared" si="47"/>
        <v>1.9359256626821164E-3</v>
      </c>
      <c r="O72" s="56">
        <f t="shared" si="21"/>
        <v>8.987390447411364E-7</v>
      </c>
      <c r="P72" s="56">
        <f t="shared" si="48"/>
        <v>3.2819248657928027E-6</v>
      </c>
      <c r="Q72" s="56">
        <f t="shared" si="49"/>
        <v>2.9077603453485379E-4</v>
      </c>
      <c r="R72" s="9">
        <f t="shared" si="42"/>
        <v>1.4999999999999999E-4</v>
      </c>
      <c r="S72" s="9">
        <f t="shared" si="38"/>
        <v>6.5551095854716439E-7</v>
      </c>
      <c r="T72" s="9">
        <f t="shared" si="39"/>
        <v>1.3456160920844948E-4</v>
      </c>
      <c r="U72" s="9">
        <f t="shared" si="40"/>
        <v>1.4934448904145283E-4</v>
      </c>
      <c r="V72" s="102">
        <f t="shared" si="41"/>
        <v>0.90101489564238191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3"/>
        <v>2.829962486439805</v>
      </c>
      <c r="J73" s="54">
        <f t="shared" si="44"/>
        <v>4.7874172575965854</v>
      </c>
      <c r="K73" s="55">
        <f t="shared" si="45"/>
        <v>1.3190132508480532E-3</v>
      </c>
      <c r="L73" s="55">
        <f t="shared" si="46"/>
        <v>0.10785248984778273</v>
      </c>
      <c r="M73" s="55">
        <f t="shared" si="19"/>
        <v>0.89214751015221727</v>
      </c>
      <c r="N73" s="55">
        <f t="shared" si="47"/>
        <v>0.10355973305231719</v>
      </c>
      <c r="O73" s="56">
        <f t="shared" si="21"/>
        <v>1.3214564496234221E-9</v>
      </c>
      <c r="P73" s="56">
        <f t="shared" si="48"/>
        <v>8.0997219875684863E-5</v>
      </c>
      <c r="Q73" s="56">
        <f t="shared" si="49"/>
        <v>1.5554671904458037E-2</v>
      </c>
      <c r="R73" s="9">
        <f t="shared" si="42"/>
        <v>1.4999999999999999E-4</v>
      </c>
      <c r="S73" s="9">
        <f t="shared" si="38"/>
        <v>1.6177873477167408E-5</v>
      </c>
      <c r="T73" s="9">
        <f t="shared" si="39"/>
        <v>1.9785198762720796E-7</v>
      </c>
      <c r="U73" s="9">
        <f t="shared" si="40"/>
        <v>1.3382212652283257E-4</v>
      </c>
      <c r="V73" s="102">
        <f t="shared" si="41"/>
        <v>1.4784699120249795E-3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3"/>
        <v>3.957220636313619E-3</v>
      </c>
      <c r="J74" s="54">
        <f t="shared" si="44"/>
        <v>8.1651701078615704E-2</v>
      </c>
      <c r="K74" s="55">
        <f t="shared" si="45"/>
        <v>0.98883951207221255</v>
      </c>
      <c r="L74" s="55">
        <f t="shared" si="46"/>
        <v>1.5919934338127976E-3</v>
      </c>
      <c r="M74" s="55">
        <f t="shared" si="19"/>
        <v>0.99840800656618722</v>
      </c>
      <c r="N74" s="55">
        <f t="shared" si="47"/>
        <v>1.6287167974623202E-4</v>
      </c>
      <c r="O74" s="56">
        <f t="shared" si="21"/>
        <v>9.9067113240155926E-7</v>
      </c>
      <c r="P74" s="56">
        <f t="shared" si="48"/>
        <v>1.1955870687934108E-6</v>
      </c>
      <c r="Q74" s="56">
        <f t="shared" si="49"/>
        <v>2.4463326297884043E-5</v>
      </c>
      <c r="R74" s="9">
        <f t="shared" si="42"/>
        <v>1.4999999999999999E-4</v>
      </c>
      <c r="S74" s="9">
        <f t="shared" si="38"/>
        <v>2.3879901507191963E-7</v>
      </c>
      <c r="T74" s="9">
        <f t="shared" si="39"/>
        <v>1.4832592681083187E-4</v>
      </c>
      <c r="U74" s="9">
        <f t="shared" si="40"/>
        <v>1.4976120098492807E-4</v>
      </c>
      <c r="V74" s="102">
        <f t="shared" si="41"/>
        <v>0.99041624823614594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3"/>
        <v>4.1980440605165602E-3</v>
      </c>
      <c r="J75" s="54">
        <f t="shared" si="44"/>
        <v>8.191699132953921E-2</v>
      </c>
      <c r="K75" s="55">
        <f t="shared" si="45"/>
        <v>0.98829124767934329</v>
      </c>
      <c r="L75" s="55">
        <f t="shared" si="46"/>
        <v>1.592082981599617E-3</v>
      </c>
      <c r="M75" s="55">
        <f t="shared" si="19"/>
        <v>0.99840791701840037</v>
      </c>
      <c r="N75" s="55">
        <f t="shared" si="47"/>
        <v>1.5523716862673206E-4</v>
      </c>
      <c r="O75" s="56">
        <f t="shared" si="21"/>
        <v>9.9012185246249113E-7</v>
      </c>
      <c r="P75" s="56">
        <f t="shared" si="48"/>
        <v>1.1956543191813119E-6</v>
      </c>
      <c r="Q75" s="56">
        <f t="shared" si="49"/>
        <v>2.3316622727735146E-5</v>
      </c>
      <c r="R75" s="9">
        <f t="shared" si="42"/>
        <v>1.4999999999999999E-4</v>
      </c>
      <c r="S75" s="9">
        <f t="shared" si="38"/>
        <v>2.3881244723994251E-7</v>
      </c>
      <c r="T75" s="9">
        <f t="shared" si="39"/>
        <v>1.4824368715190148E-4</v>
      </c>
      <c r="U75" s="9">
        <f t="shared" si="40"/>
        <v>1.4976118755276004E-4</v>
      </c>
      <c r="V75" s="102">
        <f t="shared" si="41"/>
        <v>0.98986719839995951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3"/>
        <v>0.35626551305621779</v>
      </c>
      <c r="J76" s="54">
        <f t="shared" si="44"/>
        <v>1.6871342472773443</v>
      </c>
      <c r="K76" s="55">
        <f t="shared" si="45"/>
        <v>0.42783712296063603</v>
      </c>
      <c r="L76" s="55">
        <f t="shared" si="46"/>
        <v>2.7770037860042854E-2</v>
      </c>
      <c r="M76" s="55">
        <f t="shared" si="19"/>
        <v>0.97222996213995716</v>
      </c>
      <c r="N76" s="55">
        <f t="shared" si="47"/>
        <v>2.1153938085434223E-2</v>
      </c>
      <c r="O76" s="56">
        <f t="shared" si="21"/>
        <v>4.2862960259205944E-7</v>
      </c>
      <c r="P76" s="56">
        <f t="shared" si="48"/>
        <v>2.0855298432892184E-5</v>
      </c>
      <c r="Q76" s="56">
        <f t="shared" si="49"/>
        <v>3.1773215004322194E-3</v>
      </c>
      <c r="R76" s="9">
        <f t="shared" si="42"/>
        <v>1.4999999999999999E-4</v>
      </c>
      <c r="S76" s="9">
        <f t="shared" si="38"/>
        <v>4.1655056790064274E-6</v>
      </c>
      <c r="T76" s="9">
        <f t="shared" si="39"/>
        <v>6.4175568444095398E-5</v>
      </c>
      <c r="U76" s="9">
        <f t="shared" si="40"/>
        <v>1.4583449432099355E-4</v>
      </c>
      <c r="V76" s="102">
        <f t="shared" si="41"/>
        <v>0.44005753743582615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3"/>
        <v>2.1004549420906745E-4</v>
      </c>
      <c r="J77" s="54">
        <f t="shared" si="44"/>
        <v>3.2716025135218711E-3</v>
      </c>
      <c r="K77" s="55">
        <f t="shared" si="45"/>
        <v>0.99765909719913604</v>
      </c>
      <c r="L77" s="55">
        <f t="shared" si="46"/>
        <v>1.3409652665935278E-3</v>
      </c>
      <c r="M77" s="55">
        <f t="shared" si="19"/>
        <v>0.99865903473340645</v>
      </c>
      <c r="N77" s="55">
        <f t="shared" si="47"/>
        <v>1.0104525653235358E-5</v>
      </c>
      <c r="O77" s="56">
        <f t="shared" si="21"/>
        <v>9.9950705398269754E-7</v>
      </c>
      <c r="P77" s="56">
        <f t="shared" si="48"/>
        <v>1.0070649152117389E-6</v>
      </c>
      <c r="Q77" s="56">
        <f t="shared" si="49"/>
        <v>1.5176997531159501E-6</v>
      </c>
      <c r="R77" s="9">
        <f t="shared" si="42"/>
        <v>1.4999999999999999E-4</v>
      </c>
      <c r="S77" s="9">
        <f t="shared" si="38"/>
        <v>2.0114478998902915E-7</v>
      </c>
      <c r="T77" s="9">
        <f t="shared" si="39"/>
        <v>1.496488645798704E-4</v>
      </c>
      <c r="U77" s="9">
        <f t="shared" si="40"/>
        <v>1.4979885521001097E-4</v>
      </c>
      <c r="V77" s="102">
        <f t="shared" si="41"/>
        <v>0.99899871978373744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3"/>
        <v>9.6186457475178466E-3</v>
      </c>
      <c r="J78" s="54">
        <f t="shared" si="44"/>
        <v>0.20411410518597825</v>
      </c>
      <c r="K78" s="55">
        <f t="shared" si="45"/>
        <v>0.97555349040449646</v>
      </c>
      <c r="L78" s="55">
        <f t="shared" si="46"/>
        <v>2.0822312100877297E-3</v>
      </c>
      <c r="M78" s="55">
        <f t="shared" si="19"/>
        <v>0.99791776878991223</v>
      </c>
      <c r="N78" s="55">
        <f t="shared" si="47"/>
        <v>5.1675876409134887E-4</v>
      </c>
      <c r="O78" s="56">
        <f t="shared" si="21"/>
        <v>9.7736050113128834E-7</v>
      </c>
      <c r="P78" s="56">
        <f t="shared" si="48"/>
        <v>1.5637556387758851E-6</v>
      </c>
      <c r="Q78" s="56">
        <f t="shared" si="49"/>
        <v>7.7617166366520575E-5</v>
      </c>
      <c r="R78" s="9">
        <f t="shared" si="42"/>
        <v>1.4999999999999999E-4</v>
      </c>
      <c r="S78" s="9">
        <f t="shared" si="38"/>
        <v>3.1233468151315943E-7</v>
      </c>
      <c r="T78" s="9">
        <f t="shared" si="39"/>
        <v>1.4633302356067444E-4</v>
      </c>
      <c r="U78" s="9">
        <f t="shared" si="40"/>
        <v>1.4968766531848682E-4</v>
      </c>
      <c r="V78" s="102">
        <f t="shared" si="41"/>
        <v>0.9775890568493083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3"/>
        <v>8.6760595853303396E-2</v>
      </c>
      <c r="J79" s="54">
        <f t="shared" si="44"/>
        <v>0.88026017671842771</v>
      </c>
      <c r="K79" s="55">
        <f t="shared" si="45"/>
        <v>0.81176416697109088</v>
      </c>
      <c r="L79" s="55">
        <f t="shared" si="46"/>
        <v>8.2196592279815735E-3</v>
      </c>
      <c r="M79" s="55">
        <f t="shared" si="19"/>
        <v>0.99178034077201838</v>
      </c>
      <c r="N79" s="55">
        <f t="shared" si="47"/>
        <v>4.9830315909308674E-3</v>
      </c>
      <c r="O79" s="56">
        <f t="shared" si="21"/>
        <v>8.1326779190992817E-7</v>
      </c>
      <c r="P79" s="56">
        <f t="shared" si="48"/>
        <v>6.1729640802141614E-6</v>
      </c>
      <c r="Q79" s="56">
        <f t="shared" si="49"/>
        <v>7.4845134495781602E-4</v>
      </c>
      <c r="R79" s="9">
        <f t="shared" si="42"/>
        <v>1.4999999999999999E-4</v>
      </c>
      <c r="S79" s="9">
        <f t="shared" si="38"/>
        <v>1.2329488841972358E-6</v>
      </c>
      <c r="T79" s="9">
        <f t="shared" si="39"/>
        <v>1.2176462504566362E-4</v>
      </c>
      <c r="U79" s="9">
        <f t="shared" si="40"/>
        <v>1.4876705111580273E-4</v>
      </c>
      <c r="V79" s="102">
        <f t="shared" si="41"/>
        <v>0.81849189139925893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3"/>
        <v>1.9819141928346475</v>
      </c>
      <c r="J80" s="54">
        <f t="shared" si="44"/>
        <v>3.7781080579293054</v>
      </c>
      <c r="K80" s="55">
        <f t="shared" si="45"/>
        <v>9.6177731175781551E-3</v>
      </c>
      <c r="L80" s="55">
        <f t="shared" si="46"/>
        <v>7.697440583209901E-2</v>
      </c>
      <c r="M80" s="55">
        <f t="shared" si="19"/>
        <v>0.92302559416790098</v>
      </c>
      <c r="N80" s="55">
        <f t="shared" si="47"/>
        <v>6.9583183081881467E-2</v>
      </c>
      <c r="O80" s="56">
        <f t="shared" si="21"/>
        <v>9.6355880496779914E-9</v>
      </c>
      <c r="P80" s="56">
        <f t="shared" si="48"/>
        <v>5.7807778779906385E-5</v>
      </c>
      <c r="Q80" s="56">
        <f t="shared" si="49"/>
        <v>1.0451394098898593E-2</v>
      </c>
      <c r="R80" s="9">
        <f t="shared" si="42"/>
        <v>1.4999999999999999E-4</v>
      </c>
      <c r="S80" s="9">
        <f t="shared" si="38"/>
        <v>1.1546160874814851E-5</v>
      </c>
      <c r="T80" s="9">
        <f t="shared" si="39"/>
        <v>1.4426659676367232E-6</v>
      </c>
      <c r="U80" s="9">
        <f t="shared" si="40"/>
        <v>1.3845383912518513E-4</v>
      </c>
      <c r="V80" s="102">
        <f t="shared" si="41"/>
        <v>1.0419833619292527E-2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3"/>
        <v>0.12726341031571042</v>
      </c>
      <c r="J81" s="54">
        <f t="shared" si="44"/>
        <v>1.1609089688318674</v>
      </c>
      <c r="K81" s="55">
        <f t="shared" si="45"/>
        <v>0.7350200345978809</v>
      </c>
      <c r="L81" s="55">
        <f t="shared" si="46"/>
        <v>1.420273242555641E-2</v>
      </c>
      <c r="M81" s="55">
        <f t="shared" si="19"/>
        <v>0.98579726757444364</v>
      </c>
      <c r="N81" s="55">
        <f t="shared" si="47"/>
        <v>1.0506666341928456E-2</v>
      </c>
      <c r="O81" s="56">
        <f t="shared" si="21"/>
        <v>7.3638150693126835E-7</v>
      </c>
      <c r="P81" s="56">
        <f t="shared" si="48"/>
        <v>1.0666252051592863E-5</v>
      </c>
      <c r="Q81" s="56">
        <f t="shared" si="49"/>
        <v>1.5781012845576534E-3</v>
      </c>
      <c r="R81" s="9">
        <f t="shared" si="42"/>
        <v>1.4999999999999999E-4</v>
      </c>
      <c r="S81" s="9">
        <f t="shared" si="38"/>
        <v>2.1304098638334612E-6</v>
      </c>
      <c r="T81" s="9">
        <f t="shared" si="39"/>
        <v>1.1025300518968213E-4</v>
      </c>
      <c r="U81" s="9">
        <f t="shared" si="40"/>
        <v>1.4786959013616654E-4</v>
      </c>
      <c r="V81" s="102">
        <f t="shared" si="41"/>
        <v>0.74560973008821507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3"/>
        <v>0.47104615060046062</v>
      </c>
      <c r="J82" s="54">
        <f t="shared" si="44"/>
        <v>1.9942887659269517</v>
      </c>
      <c r="K82" s="55">
        <f t="shared" si="45"/>
        <v>0.32346551908772875</v>
      </c>
      <c r="L82" s="55">
        <f t="shared" si="46"/>
        <v>4.2587340273539144E-2</v>
      </c>
      <c r="M82" s="55">
        <f t="shared" si="19"/>
        <v>0.95741265972646084</v>
      </c>
      <c r="N82" s="55">
        <f t="shared" si="47"/>
        <v>3.6042072517255004E-2</v>
      </c>
      <c r="O82" s="56">
        <f t="shared" si="21"/>
        <v>3.2406467194658066E-7</v>
      </c>
      <c r="P82" s="56">
        <f t="shared" si="48"/>
        <v>3.19830925454279E-5</v>
      </c>
      <c r="Q82" s="56">
        <f t="shared" si="49"/>
        <v>5.4135192920917001E-3</v>
      </c>
      <c r="R82" s="9">
        <f t="shared" si="42"/>
        <v>1.4999999999999999E-4</v>
      </c>
      <c r="S82" s="9">
        <f t="shared" si="38"/>
        <v>6.3881010410308707E-6</v>
      </c>
      <c r="T82" s="9">
        <f t="shared" si="39"/>
        <v>4.8519827863159306E-5</v>
      </c>
      <c r="U82" s="9">
        <f t="shared" si="40"/>
        <v>1.4361189895896912E-4</v>
      </c>
      <c r="V82" s="102">
        <f t="shared" si="41"/>
        <v>0.337853814446265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3"/>
        <v>0.17835694544431213</v>
      </c>
      <c r="J83" s="54">
        <f t="shared" si="44"/>
        <v>1.3432804907607612</v>
      </c>
      <c r="K83" s="55">
        <f t="shared" si="45"/>
        <v>0.65018073501976259</v>
      </c>
      <c r="L83" s="55">
        <f t="shared" si="46"/>
        <v>1.9119579974668125E-2</v>
      </c>
      <c r="M83" s="55">
        <f t="shared" si="19"/>
        <v>0.98088042002533182</v>
      </c>
      <c r="N83" s="55">
        <f t="shared" si="47"/>
        <v>1.4738858888623769E-2</v>
      </c>
      <c r="O83" s="56">
        <f t="shared" si="21"/>
        <v>6.5138506012760163E-7</v>
      </c>
      <c r="P83" s="56">
        <f t="shared" si="48"/>
        <v>1.4358804560975765E-5</v>
      </c>
      <c r="Q83" s="56">
        <f t="shared" si="49"/>
        <v>2.2137766050712893E-3</v>
      </c>
      <c r="R83" s="9">
        <f t="shared" si="42"/>
        <v>1.4999999999999999E-4</v>
      </c>
      <c r="S83" s="9">
        <f t="shared" si="38"/>
        <v>2.8679369962002183E-6</v>
      </c>
      <c r="T83" s="9">
        <f t="shared" si="39"/>
        <v>9.7527110252964381E-5</v>
      </c>
      <c r="U83" s="9">
        <f t="shared" si="40"/>
        <v>1.4713206300379975E-4</v>
      </c>
      <c r="V83" s="102">
        <f t="shared" si="41"/>
        <v>0.6628542294716937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3"/>
        <v>5.9812805986470914E-3</v>
      </c>
      <c r="J84" s="54">
        <f t="shared" si="44"/>
        <v>0.12835770982382372</v>
      </c>
      <c r="K84" s="55">
        <f t="shared" si="45"/>
        <v>0.98407191350278245</v>
      </c>
      <c r="L84" s="55">
        <f t="shared" si="46"/>
        <v>1.7642019834144666E-3</v>
      </c>
      <c r="M84" s="55">
        <f t="shared" si="19"/>
        <v>0.99823579801658557</v>
      </c>
      <c r="N84" s="55">
        <f t="shared" si="47"/>
        <v>2.8576537139605199E-4</v>
      </c>
      <c r="O84" s="56">
        <f t="shared" si="21"/>
        <v>9.858947028435256E-7</v>
      </c>
      <c r="P84" s="56">
        <f t="shared" si="48"/>
        <v>1.3249156895442641E-6</v>
      </c>
      <c r="Q84" s="56">
        <f t="shared" si="49"/>
        <v>4.2921958783686997E-5</v>
      </c>
      <c r="R84" s="9">
        <f t="shared" si="42"/>
        <v>1.4999999999999999E-4</v>
      </c>
      <c r="S84" s="9">
        <f t="shared" si="38"/>
        <v>2.6463029751216999E-7</v>
      </c>
      <c r="T84" s="9">
        <f t="shared" si="39"/>
        <v>1.4761078702541736E-4</v>
      </c>
      <c r="U84" s="9">
        <f t="shared" si="40"/>
        <v>1.4973536970248782E-4</v>
      </c>
      <c r="V84" s="102">
        <f t="shared" si="41"/>
        <v>0.98581108337133805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3"/>
        <v>0.11910186422699467</v>
      </c>
      <c r="J85" s="54">
        <f t="shared" si="44"/>
        <v>1.1486336221473528</v>
      </c>
      <c r="K85" s="55">
        <f t="shared" si="45"/>
        <v>0.74906391868461042</v>
      </c>
      <c r="L85" s="55">
        <f t="shared" si="46"/>
        <v>1.4070718021588784E-2</v>
      </c>
      <c r="M85" s="55">
        <f t="shared" si="19"/>
        <v>0.98592928197841123</v>
      </c>
      <c r="N85" s="55">
        <f t="shared" si="47"/>
        <v>1.0558996404997039E-2</v>
      </c>
      <c r="O85" s="56">
        <f t="shared" si="21"/>
        <v>7.5045140440367098E-7</v>
      </c>
      <c r="P85" s="56">
        <f t="shared" si="48"/>
        <v>1.0567109234213174E-5</v>
      </c>
      <c r="Q85" s="56">
        <f t="shared" si="49"/>
        <v>1.5859612600305547E-3</v>
      </c>
      <c r="R85" s="9">
        <f t="shared" si="42"/>
        <v>1.4999999999999999E-4</v>
      </c>
      <c r="S85" s="9">
        <f t="shared" si="38"/>
        <v>2.1106077032383172E-6</v>
      </c>
      <c r="T85" s="9">
        <f t="shared" si="39"/>
        <v>1.1235958780269156E-4</v>
      </c>
      <c r="U85" s="9">
        <f t="shared" si="40"/>
        <v>1.4788939229676168E-4</v>
      </c>
      <c r="V85" s="102">
        <f t="shared" si="41"/>
        <v>0.75975420588128206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3"/>
        <v>3.4503381608646556E-2</v>
      </c>
      <c r="J86" s="54">
        <f t="shared" si="44"/>
        <v>0.5746808679209805</v>
      </c>
      <c r="K86" s="55">
        <f t="shared" si="45"/>
        <v>0.91889860788052669</v>
      </c>
      <c r="L86" s="55">
        <f t="shared" si="46"/>
        <v>4.6037551844033764E-3</v>
      </c>
      <c r="M86" s="55">
        <f t="shared" si="19"/>
        <v>0.99539624481559663</v>
      </c>
      <c r="N86" s="55">
        <f t="shared" si="47"/>
        <v>2.5017353044010527E-3</v>
      </c>
      <c r="O86" s="56">
        <f t="shared" si="21"/>
        <v>9.2060067717514391E-7</v>
      </c>
      <c r="P86" s="56">
        <f t="shared" si="48"/>
        <v>3.4574201434869356E-6</v>
      </c>
      <c r="Q86" s="56">
        <f t="shared" si="49"/>
        <v>3.7576064272103801E-4</v>
      </c>
      <c r="R86" s="9">
        <f t="shared" si="42"/>
        <v>1.4999999999999999E-4</v>
      </c>
      <c r="S86" s="9">
        <f t="shared" si="38"/>
        <v>6.9056327766050643E-7</v>
      </c>
      <c r="T86" s="9">
        <f t="shared" si="39"/>
        <v>1.3783479118207898E-4</v>
      </c>
      <c r="U86" s="9">
        <f t="shared" si="40"/>
        <v>1.4930943672233947E-4</v>
      </c>
      <c r="V86" s="102">
        <f t="shared" si="41"/>
        <v>0.92314855783965544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3"/>
        <v/>
      </c>
      <c r="J87" s="54" t="str">
        <f t="shared" si="44"/>
        <v/>
      </c>
      <c r="K87" s="55" t="str">
        <f t="shared" si="45"/>
        <v/>
      </c>
      <c r="L87" s="55" t="str">
        <f t="shared" si="46"/>
        <v/>
      </c>
      <c r="M87" s="55" t="str">
        <f t="shared" si="19"/>
        <v/>
      </c>
      <c r="N87" s="55" t="str">
        <f t="shared" si="47"/>
        <v/>
      </c>
      <c r="O87" s="56" t="str">
        <f t="shared" si="21"/>
        <v/>
      </c>
      <c r="P87" s="56" t="str">
        <f t="shared" si="48"/>
        <v/>
      </c>
      <c r="Q87" s="56" t="str">
        <f t="shared" si="49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3"/>
        <v>1.1640116161103842</v>
      </c>
      <c r="J88" s="54">
        <f t="shared" si="44"/>
        <v>2.9801011501568286</v>
      </c>
      <c r="K88" s="55">
        <f t="shared" si="45"/>
        <v>6.3010488530128445E-2</v>
      </c>
      <c r="L88" s="55">
        <f t="shared" si="46"/>
        <v>8.0293013226762536E-2</v>
      </c>
      <c r="M88" s="55">
        <f t="shared" si="19"/>
        <v>0.91970698677323748</v>
      </c>
      <c r="N88" s="55">
        <f t="shared" si="47"/>
        <v>7.4000492572520463E-2</v>
      </c>
      <c r="O88" s="56">
        <f t="shared" si="21"/>
        <v>6.3127202405681412E-8</v>
      </c>
      <c r="P88" s="56">
        <f t="shared" si="48"/>
        <v>6.0300052933298676E-5</v>
      </c>
      <c r="Q88" s="56">
        <f t="shared" si="49"/>
        <v>1.111487398439257E-2</v>
      </c>
      <c r="R88" s="9">
        <f>F88*$C$14</f>
        <v>1.4999999999999999E-4</v>
      </c>
      <c r="S88" s="9">
        <f t="shared" si="38"/>
        <v>1.204395198401438E-5</v>
      </c>
      <c r="T88" s="9">
        <f t="shared" si="39"/>
        <v>9.4515732795192655E-6</v>
      </c>
      <c r="U88" s="9">
        <f t="shared" si="40"/>
        <v>1.3795604801598562E-4</v>
      </c>
      <c r="V88" s="102">
        <f t="shared" si="41"/>
        <v>6.8511481848364253E-2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3"/>
        <v>2.5219720041185627</v>
      </c>
      <c r="J89" s="54">
        <f t="shared" si="44"/>
        <v>4.4534363688963623</v>
      </c>
      <c r="K89" s="55">
        <f t="shared" si="45"/>
        <v>2.6975475056504987E-3</v>
      </c>
      <c r="L89" s="55">
        <f t="shared" si="46"/>
        <v>0.10222785068942011</v>
      </c>
      <c r="M89" s="55">
        <f t="shared" si="19"/>
        <v>0.89777214931057991</v>
      </c>
      <c r="N89" s="55">
        <f t="shared" si="47"/>
        <v>9.7368810703754999E-2</v>
      </c>
      <c r="O89" s="56">
        <f t="shared" si="21"/>
        <v>2.7025441535295604E-9</v>
      </c>
      <c r="P89" s="56">
        <f t="shared" si="48"/>
        <v>7.6773115867754442E-5</v>
      </c>
      <c r="Q89" s="56">
        <f t="shared" si="49"/>
        <v>1.4624795367703997E-2</v>
      </c>
      <c r="R89" s="9">
        <f>F89*$C$14</f>
        <v>1.4999999999999999E-4</v>
      </c>
      <c r="S89" s="9">
        <f t="shared" si="38"/>
        <v>1.5334177603413017E-5</v>
      </c>
      <c r="T89" s="9">
        <f t="shared" si="39"/>
        <v>4.0463212584757475E-7</v>
      </c>
      <c r="U89" s="9">
        <f t="shared" si="40"/>
        <v>1.3466582239658699E-4</v>
      </c>
      <c r="V89" s="102">
        <f t="shared" si="41"/>
        <v>3.004712841361818E-3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3"/>
        <v>2.8671793282646911</v>
      </c>
      <c r="J90" s="54">
        <f t="shared" si="44"/>
        <v>4.835013233934724</v>
      </c>
      <c r="K90" s="55">
        <f t="shared" si="45"/>
        <v>1.2075382397880665E-3</v>
      </c>
      <c r="L90" s="55">
        <f t="shared" si="46"/>
        <v>0.11017368765187681</v>
      </c>
      <c r="M90" s="55">
        <f t="shared" si="19"/>
        <v>0.88982631234812315</v>
      </c>
      <c r="N90" s="55">
        <f t="shared" si="47"/>
        <v>0.10612107884857647</v>
      </c>
      <c r="O90" s="56">
        <f t="shared" si="21"/>
        <v>1.2097749542007265E-9</v>
      </c>
      <c r="P90" s="56">
        <f t="shared" si="48"/>
        <v>8.2740439426559549E-5</v>
      </c>
      <c r="Q90" s="56">
        <f t="shared" si="49"/>
        <v>1.593938604305618E-2</v>
      </c>
      <c r="R90" s="9">
        <f>F90*$C$14</f>
        <v>1.4999999999999999E-4</v>
      </c>
      <c r="S90" s="9">
        <f t="shared" si="38"/>
        <v>1.6526053147781519E-5</v>
      </c>
      <c r="T90" s="9">
        <f t="shared" si="39"/>
        <v>1.8113073596820996E-7</v>
      </c>
      <c r="U90" s="9">
        <f t="shared" si="40"/>
        <v>1.3347394685221846E-4</v>
      </c>
      <c r="V90" s="102">
        <f t="shared" si="41"/>
        <v>1.3570493736036503E-3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3"/>
        <v>3.2678433041260839</v>
      </c>
      <c r="J91" s="54">
        <f t="shared" si="44"/>
        <v>5.2666304943820279</v>
      </c>
      <c r="K91" s="55">
        <f t="shared" si="45"/>
        <v>4.761201026495518E-4</v>
      </c>
      <c r="L91" s="55">
        <f t="shared" si="46"/>
        <v>0.11735747918458186</v>
      </c>
      <c r="M91" s="55">
        <f t="shared" si="19"/>
        <v>0.88264252081541816</v>
      </c>
      <c r="N91" s="55">
        <f t="shared" si="47"/>
        <v>0.11404264524939514</v>
      </c>
      <c r="O91" s="56">
        <f t="shared" si="21"/>
        <v>4.7700201649763024E-10</v>
      </c>
      <c r="P91" s="56">
        <f t="shared" si="48"/>
        <v>8.8135466867621056E-5</v>
      </c>
      <c r="Q91" s="56">
        <f t="shared" si="49"/>
        <v>1.7129205316459145E-2</v>
      </c>
      <c r="R91" s="9">
        <f t="shared" ref="R91:R92" si="50">F91*$C$14</f>
        <v>1.4999999999999999E-4</v>
      </c>
      <c r="S91" s="9">
        <f t="shared" si="38"/>
        <v>1.7603621877687279E-5</v>
      </c>
      <c r="T91" s="9">
        <f t="shared" si="39"/>
        <v>7.1418015397432768E-8</v>
      </c>
      <c r="U91" s="9">
        <f t="shared" si="40"/>
        <v>1.3239637812231271E-4</v>
      </c>
      <c r="V91" s="102">
        <f t="shared" si="41"/>
        <v>5.3942574872746247E-4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3"/>
        <v>4.4880081925943038</v>
      </c>
      <c r="J92" s="54">
        <f t="shared" si="44"/>
        <v>6.5323897253277963</v>
      </c>
      <c r="K92" s="55">
        <f t="shared" si="45"/>
        <v>2.8310409614327044E-5</v>
      </c>
      <c r="L92" s="55">
        <f t="shared" si="46"/>
        <v>0.12867661799989083</v>
      </c>
      <c r="M92" s="55">
        <f t="shared" si="19"/>
        <v>0.87132338200010917</v>
      </c>
      <c r="N92" s="55">
        <f t="shared" si="47"/>
        <v>0.12653419802060462</v>
      </c>
      <c r="O92" s="56">
        <f t="shared" si="21"/>
        <v>2.8362848782815642E-11</v>
      </c>
      <c r="P92" s="56">
        <f t="shared" si="48"/>
        <v>9.6636140117918137E-5</v>
      </c>
      <c r="Q92" s="56">
        <f t="shared" si="49"/>
        <v>1.900543654269481E-2</v>
      </c>
      <c r="R92" s="9">
        <f t="shared" si="50"/>
        <v>1.4999999999999999E-4</v>
      </c>
      <c r="S92" s="9">
        <f t="shared" si="38"/>
        <v>1.9301492699983623E-5</v>
      </c>
      <c r="T92" s="9">
        <f t="shared" si="39"/>
        <v>4.2465614421490558E-9</v>
      </c>
      <c r="U92" s="9">
        <f t="shared" si="40"/>
        <v>1.3069850730001637E-4</v>
      </c>
      <c r="V92" s="102">
        <f t="shared" si="41"/>
        <v>3.2491277290574878E-5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3"/>
        <v>3.2311126461878961E-2</v>
      </c>
      <c r="J93" s="54">
        <f t="shared" si="44"/>
        <v>0.42148240883964078</v>
      </c>
      <c r="K93" s="55">
        <f t="shared" si="45"/>
        <v>0.92479921119505015</v>
      </c>
      <c r="L93" s="55">
        <f t="shared" si="46"/>
        <v>3.2560691453530272E-3</v>
      </c>
      <c r="M93" s="55">
        <f t="shared" ref="M93:M127" si="51">IF(D93=0,"",1-L93)</f>
        <v>0.99674393085464696</v>
      </c>
      <c r="N93" s="55">
        <f t="shared" si="47"/>
        <v>1.096935809875113E-3</v>
      </c>
      <c r="O93" s="56">
        <f t="shared" ref="O93:O127" si="52">IF(D93=0,"",F93*K93*$J$7/$J$14)</f>
        <v>9.2651221013482665E-7</v>
      </c>
      <c r="P93" s="56">
        <f t="shared" si="48"/>
        <v>2.4453079281601228E-6</v>
      </c>
      <c r="Q93" s="56">
        <f t="shared" si="49"/>
        <v>1.6475975864324192E-4</v>
      </c>
      <c r="R93" s="9">
        <f>F93*$C$14</f>
        <v>1.4999999999999999E-4</v>
      </c>
      <c r="S93" s="9">
        <f t="shared" si="38"/>
        <v>4.8841037180295408E-7</v>
      </c>
      <c r="T93" s="9">
        <f t="shared" si="39"/>
        <v>1.387198816792575E-4</v>
      </c>
      <c r="U93" s="9">
        <f t="shared" si="40"/>
        <v>1.4951158962819703E-4</v>
      </c>
      <c r="V93" s="102">
        <f t="shared" si="41"/>
        <v>0.92782025810991531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3"/>
        <v/>
      </c>
      <c r="J94" s="54" t="str">
        <f t="shared" si="44"/>
        <v/>
      </c>
      <c r="K94" s="55" t="str">
        <f t="shared" si="45"/>
        <v/>
      </c>
      <c r="L94" s="55" t="str">
        <f t="shared" si="46"/>
        <v/>
      </c>
      <c r="M94" s="55" t="str">
        <f t="shared" si="51"/>
        <v/>
      </c>
      <c r="N94" s="55" t="str">
        <f t="shared" si="47"/>
        <v/>
      </c>
      <c r="O94" s="56" t="str">
        <f t="shared" si="52"/>
        <v/>
      </c>
      <c r="P94" s="56" t="str">
        <f t="shared" si="48"/>
        <v/>
      </c>
      <c r="Q94" s="56" t="str">
        <f t="shared" si="49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3"/>
        <v/>
      </c>
      <c r="J95" s="54" t="str">
        <f t="shared" si="44"/>
        <v/>
      </c>
      <c r="K95" s="55" t="str">
        <f t="shared" si="45"/>
        <v/>
      </c>
      <c r="L95" s="55" t="str">
        <f t="shared" si="46"/>
        <v/>
      </c>
      <c r="M95" s="55" t="str">
        <f t="shared" si="51"/>
        <v/>
      </c>
      <c r="N95" s="55" t="str">
        <f t="shared" si="47"/>
        <v/>
      </c>
      <c r="O95" s="56" t="str">
        <f t="shared" si="52"/>
        <v/>
      </c>
      <c r="P95" s="56" t="str">
        <f t="shared" si="48"/>
        <v/>
      </c>
      <c r="Q95" s="56" t="str">
        <f t="shared" si="49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3"/>
        <v/>
      </c>
      <c r="J96" s="54" t="str">
        <f t="shared" si="44"/>
        <v/>
      </c>
      <c r="K96" s="55" t="str">
        <f t="shared" si="45"/>
        <v/>
      </c>
      <c r="L96" s="55" t="str">
        <f t="shared" si="46"/>
        <v/>
      </c>
      <c r="M96" s="55" t="str">
        <f t="shared" si="51"/>
        <v/>
      </c>
      <c r="N96" s="55" t="str">
        <f t="shared" si="47"/>
        <v/>
      </c>
      <c r="O96" s="56" t="str">
        <f t="shared" si="52"/>
        <v/>
      </c>
      <c r="P96" s="56" t="str">
        <f t="shared" si="48"/>
        <v/>
      </c>
      <c r="Q96" s="56" t="str">
        <f t="shared" si="49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3"/>
        <v/>
      </c>
      <c r="J97" s="54" t="str">
        <f t="shared" si="44"/>
        <v/>
      </c>
      <c r="K97" s="55" t="str">
        <f t="shared" si="45"/>
        <v/>
      </c>
      <c r="L97" s="55" t="str">
        <f t="shared" si="46"/>
        <v/>
      </c>
      <c r="M97" s="55" t="str">
        <f t="shared" si="51"/>
        <v/>
      </c>
      <c r="N97" s="55" t="str">
        <f t="shared" si="47"/>
        <v/>
      </c>
      <c r="O97" s="56" t="str">
        <f t="shared" si="52"/>
        <v/>
      </c>
      <c r="P97" s="56" t="str">
        <f t="shared" si="48"/>
        <v/>
      </c>
      <c r="Q97" s="56" t="str">
        <f t="shared" si="49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3"/>
        <v/>
      </c>
      <c r="J98" s="54" t="str">
        <f t="shared" si="44"/>
        <v/>
      </c>
      <c r="K98" s="55" t="str">
        <f t="shared" si="45"/>
        <v/>
      </c>
      <c r="L98" s="55" t="str">
        <f t="shared" si="46"/>
        <v/>
      </c>
      <c r="M98" s="55" t="str">
        <f t="shared" si="51"/>
        <v/>
      </c>
      <c r="N98" s="55" t="str">
        <f t="shared" si="47"/>
        <v/>
      </c>
      <c r="O98" s="56" t="str">
        <f t="shared" si="52"/>
        <v/>
      </c>
      <c r="P98" s="56" t="str">
        <f t="shared" si="48"/>
        <v/>
      </c>
      <c r="Q98" s="56" t="str">
        <f t="shared" si="49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3"/>
        <v/>
      </c>
      <c r="J99" s="54" t="str">
        <f t="shared" si="44"/>
        <v/>
      </c>
      <c r="K99" s="55" t="str">
        <f t="shared" si="45"/>
        <v/>
      </c>
      <c r="L99" s="55" t="str">
        <f t="shared" si="46"/>
        <v/>
      </c>
      <c r="M99" s="55" t="str">
        <f t="shared" si="51"/>
        <v/>
      </c>
      <c r="N99" s="55" t="str">
        <f t="shared" si="47"/>
        <v/>
      </c>
      <c r="O99" s="56" t="str">
        <f t="shared" si="52"/>
        <v/>
      </c>
      <c r="P99" s="56" t="str">
        <f t="shared" si="48"/>
        <v/>
      </c>
      <c r="Q99" s="56" t="str">
        <f t="shared" si="49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3"/>
        <v/>
      </c>
      <c r="J100" s="54" t="str">
        <f t="shared" si="44"/>
        <v/>
      </c>
      <c r="K100" s="55" t="str">
        <f t="shared" si="45"/>
        <v/>
      </c>
      <c r="L100" s="55" t="str">
        <f t="shared" si="46"/>
        <v/>
      </c>
      <c r="M100" s="55" t="str">
        <f t="shared" si="51"/>
        <v/>
      </c>
      <c r="N100" s="55" t="str">
        <f t="shared" si="47"/>
        <v/>
      </c>
      <c r="O100" s="56" t="str">
        <f t="shared" si="52"/>
        <v/>
      </c>
      <c r="P100" s="56" t="str">
        <f t="shared" si="48"/>
        <v/>
      </c>
      <c r="Q100" s="56" t="str">
        <f t="shared" si="49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3"/>
        <v/>
      </c>
      <c r="J101" s="54" t="str">
        <f t="shared" si="44"/>
        <v/>
      </c>
      <c r="K101" s="55" t="str">
        <f t="shared" si="45"/>
        <v/>
      </c>
      <c r="L101" s="55" t="str">
        <f t="shared" si="46"/>
        <v/>
      </c>
      <c r="M101" s="55" t="str">
        <f t="shared" si="51"/>
        <v/>
      </c>
      <c r="N101" s="55" t="str">
        <f t="shared" si="47"/>
        <v/>
      </c>
      <c r="O101" s="56" t="str">
        <f t="shared" si="52"/>
        <v/>
      </c>
      <c r="P101" s="56" t="str">
        <f t="shared" si="48"/>
        <v/>
      </c>
      <c r="Q101" s="56" t="str">
        <f t="shared" si="49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3"/>
        <v/>
      </c>
      <c r="J102" s="54" t="str">
        <f t="shared" si="44"/>
        <v/>
      </c>
      <c r="K102" s="55" t="str">
        <f t="shared" si="45"/>
        <v/>
      </c>
      <c r="L102" s="55" t="str">
        <f t="shared" si="46"/>
        <v/>
      </c>
      <c r="M102" s="55" t="str">
        <f t="shared" si="51"/>
        <v/>
      </c>
      <c r="N102" s="55" t="str">
        <f t="shared" si="47"/>
        <v/>
      </c>
      <c r="O102" s="56" t="str">
        <f t="shared" si="52"/>
        <v/>
      </c>
      <c r="P102" s="56" t="str">
        <f t="shared" si="48"/>
        <v/>
      </c>
      <c r="Q102" s="56" t="str">
        <f t="shared" si="49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3"/>
        <v/>
      </c>
      <c r="J103" s="54" t="str">
        <f t="shared" si="44"/>
        <v/>
      </c>
      <c r="K103" s="55" t="str">
        <f t="shared" si="45"/>
        <v/>
      </c>
      <c r="L103" s="55" t="str">
        <f t="shared" si="46"/>
        <v/>
      </c>
      <c r="M103" s="55" t="str">
        <f t="shared" si="51"/>
        <v/>
      </c>
      <c r="N103" s="55" t="str">
        <f t="shared" si="47"/>
        <v/>
      </c>
      <c r="O103" s="56" t="str">
        <f t="shared" si="52"/>
        <v/>
      </c>
      <c r="P103" s="56" t="str">
        <f t="shared" si="48"/>
        <v/>
      </c>
      <c r="Q103" s="56" t="str">
        <f t="shared" si="49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3"/>
        <v/>
      </c>
      <c r="J104" s="54" t="str">
        <f t="shared" si="44"/>
        <v/>
      </c>
      <c r="K104" s="55" t="str">
        <f t="shared" si="45"/>
        <v/>
      </c>
      <c r="L104" s="55" t="str">
        <f t="shared" si="46"/>
        <v/>
      </c>
      <c r="M104" s="55" t="str">
        <f t="shared" si="51"/>
        <v/>
      </c>
      <c r="N104" s="55" t="str">
        <f t="shared" si="47"/>
        <v/>
      </c>
      <c r="O104" s="56" t="str">
        <f t="shared" si="52"/>
        <v/>
      </c>
      <c r="P104" s="56" t="str">
        <f t="shared" si="48"/>
        <v/>
      </c>
      <c r="Q104" s="56" t="str">
        <f t="shared" si="49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3"/>
        <v/>
      </c>
      <c r="J105" s="54" t="str">
        <f t="shared" si="44"/>
        <v/>
      </c>
      <c r="K105" s="55" t="str">
        <f t="shared" si="45"/>
        <v/>
      </c>
      <c r="L105" s="55" t="str">
        <f t="shared" si="46"/>
        <v/>
      </c>
      <c r="M105" s="55" t="str">
        <f t="shared" si="51"/>
        <v/>
      </c>
      <c r="N105" s="55" t="str">
        <f t="shared" si="47"/>
        <v/>
      </c>
      <c r="O105" s="56" t="str">
        <f t="shared" si="52"/>
        <v/>
      </c>
      <c r="P105" s="56" t="str">
        <f t="shared" si="48"/>
        <v/>
      </c>
      <c r="Q105" s="56" t="str">
        <f t="shared" si="49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3"/>
        <v/>
      </c>
      <c r="J106" s="54" t="str">
        <f t="shared" si="44"/>
        <v/>
      </c>
      <c r="K106" s="55" t="str">
        <f t="shared" si="45"/>
        <v/>
      </c>
      <c r="L106" s="55" t="str">
        <f t="shared" si="46"/>
        <v/>
      </c>
      <c r="M106" s="55" t="str">
        <f t="shared" si="51"/>
        <v/>
      </c>
      <c r="N106" s="55" t="str">
        <f t="shared" si="47"/>
        <v/>
      </c>
      <c r="O106" s="56" t="str">
        <f t="shared" si="52"/>
        <v/>
      </c>
      <c r="P106" s="56" t="str">
        <f t="shared" si="48"/>
        <v/>
      </c>
      <c r="Q106" s="56" t="str">
        <f t="shared" si="49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3"/>
        <v>1.9446765022663539E-3</v>
      </c>
      <c r="J107" s="54">
        <f t="shared" si="44"/>
        <v>4.0258937016961469E-2</v>
      </c>
      <c r="K107" s="55">
        <f t="shared" si="45"/>
        <v>0.99356959894329133</v>
      </c>
      <c r="L107" s="55">
        <f t="shared" si="46"/>
        <v>1.4541894549267333E-3</v>
      </c>
      <c r="M107" s="55">
        <f t="shared" si="51"/>
        <v>0.9985458105450733</v>
      </c>
      <c r="N107" s="55">
        <f t="shared" si="47"/>
        <v>7.7436204547955893E-5</v>
      </c>
      <c r="O107" s="56">
        <f t="shared" si="52"/>
        <v>9.9540998077859207E-7</v>
      </c>
      <c r="P107" s="56">
        <f t="shared" si="48"/>
        <v>1.0920962806499764E-6</v>
      </c>
      <c r="Q107" s="56">
        <f t="shared" si="49"/>
        <v>1.1630917923102971E-5</v>
      </c>
      <c r="R107" s="9">
        <f>F107*$C$14</f>
        <v>1.4999999999999999E-4</v>
      </c>
      <c r="S107" s="9">
        <f t="shared" ref="S107:S108" si="53">$R107*L107</f>
        <v>2.1812841823900997E-7</v>
      </c>
      <c r="T107" s="9">
        <f t="shared" ref="T107:T108" si="54">R107*K107</f>
        <v>1.4903543984149368E-4</v>
      </c>
      <c r="U107" s="9">
        <f t="shared" ref="U107:U108" si="55">$R107*M107</f>
        <v>1.4978187158176098E-4</v>
      </c>
      <c r="V107" s="102">
        <f t="shared" ref="V107:V108" si="56">K107/M107</f>
        <v>0.99501654150542618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3"/>
        <v>1.5422749478710035E-2</v>
      </c>
      <c r="J108" s="54">
        <f t="shared" si="44"/>
        <v>0.2864338169946784</v>
      </c>
      <c r="K108" s="55">
        <f t="shared" si="45"/>
        <v>0.96221649624786676</v>
      </c>
      <c r="L108" s="55">
        <f t="shared" si="46"/>
        <v>2.4823920664811829E-3</v>
      </c>
      <c r="M108" s="55">
        <f t="shared" si="51"/>
        <v>0.99751760793351885</v>
      </c>
      <c r="N108" s="55">
        <f t="shared" si="47"/>
        <v>7.7046969629535533E-4</v>
      </c>
      <c r="O108" s="56">
        <f t="shared" si="52"/>
        <v>9.6399880295612857E-7</v>
      </c>
      <c r="P108" s="56">
        <f t="shared" si="48"/>
        <v>1.8642764419273684E-6</v>
      </c>
      <c r="Q108" s="56">
        <f t="shared" si="49"/>
        <v>1.1572454838356233E-4</v>
      </c>
      <c r="R108" s="9">
        <f>F108*$C$14</f>
        <v>1.4999999999999999E-4</v>
      </c>
      <c r="S108" s="9">
        <f t="shared" si="53"/>
        <v>3.7235880997217741E-7</v>
      </c>
      <c r="T108" s="9">
        <f t="shared" si="54"/>
        <v>1.4433247443718E-4</v>
      </c>
      <c r="U108" s="9">
        <f t="shared" si="55"/>
        <v>1.4962764119002783E-4</v>
      </c>
      <c r="V108" s="102">
        <f t="shared" si="56"/>
        <v>0.96461103903841583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3"/>
        <v/>
      </c>
      <c r="J109" s="54" t="str">
        <f t="shared" si="44"/>
        <v/>
      </c>
      <c r="K109" s="55" t="str">
        <f t="shared" si="45"/>
        <v/>
      </c>
      <c r="L109" s="55" t="str">
        <f t="shared" si="46"/>
        <v/>
      </c>
      <c r="M109" s="55" t="str">
        <f t="shared" si="51"/>
        <v/>
      </c>
      <c r="N109" s="55" t="str">
        <f t="shared" si="47"/>
        <v/>
      </c>
      <c r="O109" s="56" t="str">
        <f t="shared" si="52"/>
        <v/>
      </c>
      <c r="P109" s="56" t="str">
        <f t="shared" si="48"/>
        <v/>
      </c>
      <c r="Q109" s="56" t="str">
        <f t="shared" si="49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3"/>
        <v/>
      </c>
      <c r="J110" s="54" t="str">
        <f t="shared" si="44"/>
        <v/>
      </c>
      <c r="K110" s="55" t="str">
        <f t="shared" si="45"/>
        <v/>
      </c>
      <c r="L110" s="55" t="str">
        <f t="shared" si="46"/>
        <v/>
      </c>
      <c r="M110" s="55" t="str">
        <f t="shared" si="51"/>
        <v/>
      </c>
      <c r="N110" s="55" t="str">
        <f t="shared" si="47"/>
        <v/>
      </c>
      <c r="O110" s="56" t="str">
        <f t="shared" si="52"/>
        <v/>
      </c>
      <c r="P110" s="56" t="str">
        <f t="shared" si="48"/>
        <v/>
      </c>
      <c r="Q110" s="56" t="str">
        <f t="shared" si="49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3"/>
        <v/>
      </c>
      <c r="J111" s="54" t="str">
        <f t="shared" si="44"/>
        <v/>
      </c>
      <c r="K111" s="55" t="str">
        <f t="shared" si="45"/>
        <v/>
      </c>
      <c r="L111" s="55" t="str">
        <f t="shared" si="46"/>
        <v/>
      </c>
      <c r="M111" s="55" t="str">
        <f t="shared" si="51"/>
        <v/>
      </c>
      <c r="N111" s="55" t="str">
        <f t="shared" si="47"/>
        <v/>
      </c>
      <c r="O111" s="56" t="str">
        <f t="shared" si="52"/>
        <v/>
      </c>
      <c r="P111" s="56" t="str">
        <f t="shared" si="48"/>
        <v/>
      </c>
      <c r="Q111" s="56" t="str">
        <f t="shared" si="49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3"/>
        <v/>
      </c>
      <c r="J112" s="54" t="str">
        <f t="shared" si="44"/>
        <v/>
      </c>
      <c r="K112" s="55" t="str">
        <f t="shared" si="45"/>
        <v/>
      </c>
      <c r="L112" s="55" t="str">
        <f t="shared" si="46"/>
        <v/>
      </c>
      <c r="M112" s="55" t="str">
        <f t="shared" si="51"/>
        <v/>
      </c>
      <c r="N112" s="55" t="str">
        <f t="shared" si="47"/>
        <v/>
      </c>
      <c r="O112" s="56" t="str">
        <f t="shared" si="52"/>
        <v/>
      </c>
      <c r="P112" s="56" t="str">
        <f t="shared" si="48"/>
        <v/>
      </c>
      <c r="Q112" s="56" t="str">
        <f t="shared" si="49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3"/>
        <v/>
      </c>
      <c r="J113" s="54" t="str">
        <f t="shared" si="44"/>
        <v/>
      </c>
      <c r="K113" s="55" t="str">
        <f t="shared" si="45"/>
        <v/>
      </c>
      <c r="L113" s="55" t="str">
        <f t="shared" si="46"/>
        <v/>
      </c>
      <c r="M113" s="55" t="str">
        <f t="shared" si="51"/>
        <v/>
      </c>
      <c r="N113" s="55" t="str">
        <f t="shared" si="47"/>
        <v/>
      </c>
      <c r="O113" s="56" t="str">
        <f t="shared" si="52"/>
        <v/>
      </c>
      <c r="P113" s="56" t="str">
        <f t="shared" si="48"/>
        <v/>
      </c>
      <c r="Q113" s="56" t="str">
        <f t="shared" si="49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3"/>
        <v>1.0353959656071578E-2</v>
      </c>
      <c r="J114" s="54">
        <f t="shared" si="44"/>
        <v>0.22591684515469179</v>
      </c>
      <c r="K114" s="55">
        <f t="shared" si="45"/>
        <v>0.97380236930419173</v>
      </c>
      <c r="L114" s="55">
        <f t="shared" si="46"/>
        <v>2.1855031232171076E-3</v>
      </c>
      <c r="M114" s="55">
        <f t="shared" si="51"/>
        <v>0.99781449687678292</v>
      </c>
      <c r="N114" s="55">
        <f t="shared" si="47"/>
        <v>6.0608507655149E-4</v>
      </c>
      <c r="O114" s="56">
        <f t="shared" si="52"/>
        <v>9.7560613644194076E-7</v>
      </c>
      <c r="P114" s="56">
        <f t="shared" si="48"/>
        <v>1.6413128455360477E-6</v>
      </c>
      <c r="Q114" s="56">
        <f t="shared" si="49"/>
        <v>9.1033978498033759E-5</v>
      </c>
      <c r="R114" s="9">
        <f>F114*$C$14</f>
        <v>1.4999999999999999E-4</v>
      </c>
      <c r="S114" s="9">
        <f t="shared" ref="S114:S116" si="57">$R114*L114</f>
        <v>3.2782546848256612E-7</v>
      </c>
      <c r="T114" s="9">
        <f t="shared" ref="T114:T116" si="58">R114*K114</f>
        <v>1.4607035539562874E-4</v>
      </c>
      <c r="U114" s="9">
        <f t="shared" ref="U114:U116" si="59">$R114*M114</f>
        <v>1.4967217453151741E-4</v>
      </c>
      <c r="V114" s="102">
        <f t="shared" ref="V114:V116" si="60">K114/M114</f>
        <v>0.97593527890429477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3"/>
        <v>2.0480395290290027E-2</v>
      </c>
      <c r="J115" s="54">
        <f t="shared" si="44"/>
        <v>0.24488252340606687</v>
      </c>
      <c r="K115" s="55">
        <f t="shared" si="45"/>
        <v>0.95131616302560207</v>
      </c>
      <c r="L115" s="55">
        <f t="shared" si="46"/>
        <v>2.2303404369655193E-3</v>
      </c>
      <c r="M115" s="55">
        <f t="shared" si="51"/>
        <v>0.99776965956303443</v>
      </c>
      <c r="N115" s="55">
        <f t="shared" si="47"/>
        <v>3.384189232376306E-4</v>
      </c>
      <c r="O115" s="56">
        <f t="shared" si="52"/>
        <v>9.5307827912488951E-7</v>
      </c>
      <c r="P115" s="56">
        <f t="shared" si="48"/>
        <v>1.6749856681611048E-6</v>
      </c>
      <c r="Q115" s="56">
        <f t="shared" si="49"/>
        <v>5.083052227029209E-5</v>
      </c>
      <c r="R115" s="9">
        <f>F115*$C$14</f>
        <v>1.4999999999999999E-4</v>
      </c>
      <c r="S115" s="9">
        <f t="shared" si="57"/>
        <v>3.3455106554482788E-7</v>
      </c>
      <c r="T115" s="9">
        <f t="shared" si="58"/>
        <v>1.426974244538403E-4</v>
      </c>
      <c r="U115" s="9">
        <f t="shared" si="59"/>
        <v>1.4966544893445515E-4</v>
      </c>
      <c r="V115" s="102">
        <f t="shared" si="60"/>
        <v>0.95344266475513362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3"/>
        <v>5.8413729360461944E-4</v>
      </c>
      <c r="J116" s="54">
        <f t="shared" si="44"/>
        <v>6.9342980082594723E-3</v>
      </c>
      <c r="K116" s="55">
        <f t="shared" si="45"/>
        <v>0.99678994541169608</v>
      </c>
      <c r="L116" s="55">
        <f t="shared" si="46"/>
        <v>1.3511442148419497E-3</v>
      </c>
      <c r="M116" s="55">
        <f t="shared" si="51"/>
        <v>0.99864885578515805</v>
      </c>
      <c r="N116" s="55">
        <f t="shared" si="47"/>
        <v>9.0839014170041529E-6</v>
      </c>
      <c r="O116" s="56">
        <f t="shared" si="52"/>
        <v>9.9863629227164156E-7</v>
      </c>
      <c r="P116" s="56">
        <f t="shared" si="48"/>
        <v>1.0147093053463043E-6</v>
      </c>
      <c r="Q116" s="56">
        <f t="shared" si="49"/>
        <v>1.3644019928340232E-6</v>
      </c>
      <c r="R116" s="9">
        <f>F116*$C$14</f>
        <v>1.4999999999999999E-4</v>
      </c>
      <c r="S116" s="9">
        <f t="shared" si="57"/>
        <v>2.0267163222629244E-7</v>
      </c>
      <c r="T116" s="9">
        <f t="shared" si="58"/>
        <v>1.4951849181175439E-4</v>
      </c>
      <c r="U116" s="9">
        <f t="shared" si="59"/>
        <v>1.4979732836777369E-4</v>
      </c>
      <c r="V116" s="102">
        <f t="shared" si="60"/>
        <v>0.99813857457234012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3"/>
        <v/>
      </c>
      <c r="J117" s="54" t="str">
        <f t="shared" si="44"/>
        <v/>
      </c>
      <c r="K117" s="55" t="str">
        <f t="shared" si="45"/>
        <v/>
      </c>
      <c r="L117" s="55" t="str">
        <f t="shared" si="46"/>
        <v/>
      </c>
      <c r="M117" s="55" t="str">
        <f t="shared" si="51"/>
        <v/>
      </c>
      <c r="N117" s="55" t="str">
        <f t="shared" si="47"/>
        <v/>
      </c>
      <c r="O117" s="56" t="str">
        <f t="shared" si="52"/>
        <v/>
      </c>
      <c r="P117" s="56" t="str">
        <f t="shared" si="48"/>
        <v/>
      </c>
      <c r="Q117" s="56" t="str">
        <f t="shared" si="49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3"/>
        <v/>
      </c>
      <c r="J118" s="54" t="str">
        <f t="shared" si="44"/>
        <v/>
      </c>
      <c r="K118" s="55" t="str">
        <f t="shared" si="45"/>
        <v/>
      </c>
      <c r="L118" s="55" t="str">
        <f t="shared" si="46"/>
        <v/>
      </c>
      <c r="M118" s="55" t="str">
        <f t="shared" si="51"/>
        <v/>
      </c>
      <c r="N118" s="55" t="str">
        <f t="shared" si="47"/>
        <v/>
      </c>
      <c r="O118" s="56" t="str">
        <f t="shared" si="52"/>
        <v/>
      </c>
      <c r="P118" s="56" t="str">
        <f t="shared" si="48"/>
        <v/>
      </c>
      <c r="Q118" s="56" t="str">
        <f t="shared" si="49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3"/>
        <v>0.56658503951123784</v>
      </c>
      <c r="J119" s="54">
        <f t="shared" si="44"/>
        <v>2.094216282910164</v>
      </c>
      <c r="K119" s="55">
        <f t="shared" si="45"/>
        <v>0.25947845092965077</v>
      </c>
      <c r="L119" s="55">
        <f t="shared" si="46"/>
        <v>4.3001275611474682E-2</v>
      </c>
      <c r="M119" s="55">
        <f t="shared" si="51"/>
        <v>0.95699872438852529</v>
      </c>
      <c r="N119" s="55">
        <f t="shared" si="47"/>
        <v>3.5596562452002059E-2</v>
      </c>
      <c r="O119" s="56">
        <f t="shared" si="52"/>
        <v>2.5995908100151572E-7</v>
      </c>
      <c r="P119" s="56">
        <f t="shared" si="48"/>
        <v>3.2293957984217477E-5</v>
      </c>
      <c r="Q119" s="56">
        <f t="shared" si="49"/>
        <v>5.3466036802907067E-3</v>
      </c>
      <c r="R119" s="9">
        <f>F119*$C$14</f>
        <v>1.4999999999999999E-4</v>
      </c>
      <c r="S119" s="9">
        <f t="shared" ref="S119:S121" si="61">$R119*L119</f>
        <v>6.4501913417212015E-6</v>
      </c>
      <c r="T119" s="9">
        <f t="shared" ref="T119:T121" si="62">R119*K119</f>
        <v>3.8921767639447615E-5</v>
      </c>
      <c r="U119" s="9">
        <f t="shared" ref="U119:U121" si="63">$R119*M119</f>
        <v>1.4354980865827877E-4</v>
      </c>
      <c r="V119" s="102">
        <f t="shared" ref="V119:V121" si="64">K119/M119</f>
        <v>0.27113771870014208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3"/>
        <v>2.3514137427377815E-2</v>
      </c>
      <c r="J120" s="54">
        <f t="shared" si="44"/>
        <v>0.37045470607538694</v>
      </c>
      <c r="K120" s="55">
        <f t="shared" si="45"/>
        <v>0.94400760185031962</v>
      </c>
      <c r="L120" s="55">
        <f t="shared" si="46"/>
        <v>2.955248170077078E-3</v>
      </c>
      <c r="M120" s="55">
        <f t="shared" si="51"/>
        <v>0.99704475182992292</v>
      </c>
      <c r="N120" s="55">
        <f t="shared" si="47"/>
        <v>1.0357268986023707E-3</v>
      </c>
      <c r="O120" s="56">
        <f t="shared" si="52"/>
        <v>9.457561803542101E-7</v>
      </c>
      <c r="P120" s="56">
        <f t="shared" si="48"/>
        <v>2.2193913757278855E-6</v>
      </c>
      <c r="Q120" s="56">
        <f t="shared" si="49"/>
        <v>1.5556618017007604E-4</v>
      </c>
      <c r="R120" s="9">
        <f>F120*$C$14</f>
        <v>1.4999999999999999E-4</v>
      </c>
      <c r="S120" s="9">
        <f t="shared" si="61"/>
        <v>4.4328722551156167E-7</v>
      </c>
      <c r="T120" s="9">
        <f t="shared" si="62"/>
        <v>1.4160114027754792E-4</v>
      </c>
      <c r="U120" s="9">
        <f t="shared" si="63"/>
        <v>1.4955671277448843E-4</v>
      </c>
      <c r="V120" s="102">
        <f t="shared" si="64"/>
        <v>0.94680564750753493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3"/>
        <v>1.0322461970770105</v>
      </c>
      <c r="J121" s="54">
        <f t="shared" si="44"/>
        <v>2.5297227295182512</v>
      </c>
      <c r="K121" s="55">
        <f t="shared" si="45"/>
        <v>8.9062451903360831E-2</v>
      </c>
      <c r="L121" s="55">
        <f t="shared" si="46"/>
        <v>4.0232881317186227E-2</v>
      </c>
      <c r="M121" s="55">
        <f t="shared" si="51"/>
        <v>0.95976711868281372</v>
      </c>
      <c r="N121" s="55">
        <f t="shared" si="47"/>
        <v>3.013612516250155E-2</v>
      </c>
      <c r="O121" s="56">
        <f t="shared" si="52"/>
        <v>8.922742164364337E-8</v>
      </c>
      <c r="P121" s="56">
        <f t="shared" si="48"/>
        <v>3.0214893869206855E-5</v>
      </c>
      <c r="Q121" s="56">
        <f t="shared" si="49"/>
        <v>4.5264459994077307E-3</v>
      </c>
      <c r="R121" s="9">
        <f>F121*$C$14</f>
        <v>1.4999999999999999E-4</v>
      </c>
      <c r="S121" s="9">
        <f t="shared" si="61"/>
        <v>6.0349321975779334E-6</v>
      </c>
      <c r="T121" s="9">
        <f t="shared" si="62"/>
        <v>1.3359367785504124E-5</v>
      </c>
      <c r="U121" s="9">
        <f t="shared" si="63"/>
        <v>1.4396506780242204E-4</v>
      </c>
      <c r="V121" s="102">
        <f t="shared" si="64"/>
        <v>9.2795898264977361E-2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3"/>
        <v/>
      </c>
      <c r="J122" s="54" t="str">
        <f t="shared" si="44"/>
        <v/>
      </c>
      <c r="K122" s="55" t="str">
        <f t="shared" si="45"/>
        <v/>
      </c>
      <c r="L122" s="55" t="str">
        <f t="shared" si="46"/>
        <v/>
      </c>
      <c r="M122" s="55" t="str">
        <f t="shared" si="51"/>
        <v/>
      </c>
      <c r="N122" s="55" t="str">
        <f t="shared" si="47"/>
        <v/>
      </c>
      <c r="O122" s="56" t="str">
        <f t="shared" si="52"/>
        <v/>
      </c>
      <c r="P122" s="56" t="str">
        <f t="shared" si="48"/>
        <v/>
      </c>
      <c r="Q122" s="56" t="str">
        <f t="shared" si="49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5">IF(D123=0,"",LOG($K$15*10^D123+$K$16*10^E123+$K$14))</f>
        <v/>
      </c>
      <c r="J123" s="54" t="str">
        <f t="shared" ref="J123:J127" si="66">IF(D123=0,"",LOG($K$21*10^D123+$K$22*10^E123+$K$20))</f>
        <v/>
      </c>
      <c r="K123" s="55" t="str">
        <f t="shared" ref="K123:K127" si="67">IF(D123=0,"",1/(1+10^D123*$J$15/$J$14+10^E123*$J$16/$J$14+10^J123*$J$19/$J$14))</f>
        <v/>
      </c>
      <c r="L123" s="55" t="str">
        <f t="shared" ref="L123:L127" si="68">IF(D123=0,"",1/(1+10^I123/10^J123*$J$13/$J$19))</f>
        <v/>
      </c>
      <c r="M123" s="55" t="str">
        <f t="shared" si="51"/>
        <v/>
      </c>
      <c r="N123" s="55" t="str">
        <f t="shared" ref="N123:N127" si="69">IF(D123=0,"",1/(1/10^E123*$J$20/$J$22+10^D123/10^E123*$J$21/$J$22+10^I123/10^E123*$J$13/$J$22+1))</f>
        <v/>
      </c>
      <c r="O123" s="56" t="str">
        <f t="shared" si="52"/>
        <v/>
      </c>
      <c r="P123" s="56" t="str">
        <f t="shared" ref="P123:P127" si="70">IF(D123=0,"",O123*10^J123)</f>
        <v/>
      </c>
      <c r="Q123" s="56" t="str">
        <f t="shared" ref="Q123:Q127" si="71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5"/>
        <v>0.13981203375224763</v>
      </c>
      <c r="J124" s="54">
        <f t="shared" si="66"/>
        <v>1.2572371673508673</v>
      </c>
      <c r="K124" s="55">
        <f t="shared" si="67"/>
        <v>0.71193461924671597</v>
      </c>
      <c r="L124" s="55">
        <f t="shared" si="68"/>
        <v>1.7172797099994908E-2</v>
      </c>
      <c r="M124" s="55">
        <f t="shared" si="51"/>
        <v>0.98282720290000514</v>
      </c>
      <c r="N124" s="55">
        <f t="shared" si="69"/>
        <v>1.3460397202502706E-2</v>
      </c>
      <c r="O124" s="56">
        <f t="shared" si="52"/>
        <v>7.1325333063097837E-7</v>
      </c>
      <c r="P124" s="56">
        <f t="shared" si="70"/>
        <v>1.2896770622096177E-5</v>
      </c>
      <c r="Q124" s="56">
        <f t="shared" si="71"/>
        <v>2.0217516598159059E-3</v>
      </c>
      <c r="R124" s="9">
        <f>F124*$C$14</f>
        <v>1.4999999999999999E-4</v>
      </c>
      <c r="S124" s="9">
        <f t="shared" ref="S124:S127" si="72">$R124*L124</f>
        <v>2.5759195649992359E-6</v>
      </c>
      <c r="T124" s="9">
        <f t="shared" ref="T124:T127" si="73">R124*K124</f>
        <v>1.0679019288700739E-4</v>
      </c>
      <c r="U124" s="9">
        <f t="shared" ref="U124:U127" si="74">$R124*M124</f>
        <v>1.4742408043500076E-4</v>
      </c>
      <c r="V124" s="102">
        <f t="shared" ref="V124:V127" si="75">K124/M124</f>
        <v>0.72437414954126955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5"/>
        <v/>
      </c>
      <c r="J125" s="54" t="str">
        <f t="shared" si="66"/>
        <v/>
      </c>
      <c r="K125" s="55" t="str">
        <f t="shared" si="67"/>
        <v/>
      </c>
      <c r="L125" s="55" t="str">
        <f t="shared" si="68"/>
        <v/>
      </c>
      <c r="M125" s="55" t="str">
        <f t="shared" si="51"/>
        <v/>
      </c>
      <c r="N125" s="55" t="str">
        <f t="shared" si="69"/>
        <v/>
      </c>
      <c r="O125" s="56" t="str">
        <f t="shared" si="52"/>
        <v/>
      </c>
      <c r="P125" s="56" t="str">
        <f t="shared" si="70"/>
        <v/>
      </c>
      <c r="Q125" s="56" t="str">
        <f t="shared" si="71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5"/>
        <v>4.9312922410980113E-2</v>
      </c>
      <c r="J126" s="54">
        <f t="shared" si="66"/>
        <v>0.63134408871011904</v>
      </c>
      <c r="K126" s="55">
        <f t="shared" si="67"/>
        <v>0.88767875417189435</v>
      </c>
      <c r="L126" s="55">
        <f t="shared" si="68"/>
        <v>5.0671489852564134E-3</v>
      </c>
      <c r="M126" s="55">
        <f t="shared" si="51"/>
        <v>0.9949328510147436</v>
      </c>
      <c r="N126" s="55">
        <f t="shared" si="69"/>
        <v>2.573022531766416E-3</v>
      </c>
      <c r="O126" s="56">
        <f t="shared" si="52"/>
        <v>8.8932299515561402E-7</v>
      </c>
      <c r="P126" s="56">
        <f t="shared" si="70"/>
        <v>3.8054288879275662E-6</v>
      </c>
      <c r="Q126" s="56">
        <f t="shared" si="71"/>
        <v>3.8646798427131553E-4</v>
      </c>
      <c r="R126" s="9">
        <f>F126*$C$14</f>
        <v>1.4999999999999999E-4</v>
      </c>
      <c r="S126" s="9">
        <f t="shared" si="72"/>
        <v>7.6007234778846199E-7</v>
      </c>
      <c r="T126" s="9">
        <f t="shared" si="73"/>
        <v>1.3315181312578415E-4</v>
      </c>
      <c r="U126" s="9">
        <f t="shared" si="74"/>
        <v>1.4923992765221151E-4</v>
      </c>
      <c r="V126" s="102">
        <f t="shared" si="75"/>
        <v>0.8921996627878358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5"/>
        <v>5.4598878066109929E-5</v>
      </c>
      <c r="J127" s="54">
        <f t="shared" si="66"/>
        <v>9.5943034079013759E-4</v>
      </c>
      <c r="K127" s="55">
        <f t="shared" si="67"/>
        <v>0.99802288194863231</v>
      </c>
      <c r="L127" s="55">
        <f t="shared" si="68"/>
        <v>1.3343313454303393E-3</v>
      </c>
      <c r="M127" s="55">
        <f t="shared" si="51"/>
        <v>0.99866566865456963</v>
      </c>
      <c r="N127" s="55">
        <f t="shared" si="69"/>
        <v>7.9110342065373839E-6</v>
      </c>
      <c r="O127" s="56">
        <f t="shared" si="52"/>
        <v>9.9987151256807403E-7</v>
      </c>
      <c r="P127" s="56">
        <f t="shared" si="70"/>
        <v>1.0020828404181845E-6</v>
      </c>
      <c r="Q127" s="56">
        <f t="shared" si="71"/>
        <v>1.1882373378219145E-6</v>
      </c>
      <c r="R127" s="9">
        <f>F127*$C$14</f>
        <v>1.4999999999999999E-4</v>
      </c>
      <c r="S127" s="9">
        <f t="shared" si="72"/>
        <v>2.0014970181455088E-7</v>
      </c>
      <c r="T127" s="9">
        <f t="shared" si="73"/>
        <v>1.4970343229229484E-4</v>
      </c>
      <c r="U127" s="9">
        <f t="shared" si="74"/>
        <v>1.4979985029818543E-4</v>
      </c>
      <c r="V127" s="102">
        <f t="shared" si="75"/>
        <v>0.99935635445764015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6">IF(D128=0,"",LOG($K$15*10^D128+$K$16*10^E128+$K$14))</f>
        <v/>
      </c>
      <c r="J128" s="54" t="str">
        <f t="shared" ref="J128:J134" si="77">IF(D128=0,"",LOG($K$21*10^D128+$K$22*10^E128+$K$20))</f>
        <v/>
      </c>
      <c r="K128" s="55" t="str">
        <f t="shared" ref="K128:K134" si="78">IF(D128=0,"",1/(1+10^D128*$J$15/$J$14+10^E128*$J$16/$J$14+10^J128*$J$19/$J$14))</f>
        <v/>
      </c>
      <c r="L128" s="55" t="str">
        <f t="shared" ref="L128:L134" si="79">IF(D128=0,"",1/(1+10^I128/10^J128*$J$13/$J$19))</f>
        <v/>
      </c>
      <c r="M128" s="55" t="str">
        <f t="shared" ref="M128:M134" si="80">IF(D128=0,"",1-L128)</f>
        <v/>
      </c>
      <c r="N128" s="55" t="str">
        <f t="shared" ref="N128:N134" si="81">IF(D128=0,"",1/(1/10^E128*$J$20/$J$22+10^D128/10^E128*$J$21/$J$22+10^I128/10^E128*$J$13/$J$22+1))</f>
        <v/>
      </c>
      <c r="O128" s="56" t="str">
        <f t="shared" ref="O128:O134" si="82">IF(D128=0,"",F128*K128*$J$7/$J$14)</f>
        <v/>
      </c>
      <c r="P128" s="56" t="str">
        <f t="shared" ref="P128:P134" si="83">IF(D128=0,"",O128*10^J128)</f>
        <v/>
      </c>
      <c r="Q128" s="56" t="str">
        <f t="shared" ref="Q128:Q134" si="84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6"/>
        <v/>
      </c>
      <c r="J129" s="54" t="str">
        <f t="shared" si="77"/>
        <v/>
      </c>
      <c r="K129" s="55" t="str">
        <f t="shared" si="78"/>
        <v/>
      </c>
      <c r="L129" s="55" t="str">
        <f t="shared" si="79"/>
        <v/>
      </c>
      <c r="M129" s="55" t="str">
        <f t="shared" si="80"/>
        <v/>
      </c>
      <c r="N129" s="55" t="str">
        <f t="shared" si="81"/>
        <v/>
      </c>
      <c r="O129" s="56" t="str">
        <f t="shared" si="82"/>
        <v/>
      </c>
      <c r="P129" s="56" t="str">
        <f t="shared" si="83"/>
        <v/>
      </c>
      <c r="Q129" s="56" t="str">
        <f t="shared" si="84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6"/>
        <v>2.1084810301724875E-3</v>
      </c>
      <c r="J130" s="54">
        <f t="shared" si="77"/>
        <v>3.1510352752518005E-2</v>
      </c>
      <c r="K130" s="55">
        <f t="shared" si="78"/>
        <v>0.99322425905758671</v>
      </c>
      <c r="L130" s="55">
        <f t="shared" si="79"/>
        <v>1.4246934598501561E-3</v>
      </c>
      <c r="M130" s="55">
        <f t="shared" si="80"/>
        <v>0.99857530654014981</v>
      </c>
      <c r="N130" s="55">
        <f t="shared" si="81"/>
        <v>3.9997521657462923E-5</v>
      </c>
      <c r="O130" s="56">
        <f t="shared" si="82"/>
        <v>9.9506400122229657E-7</v>
      </c>
      <c r="P130" s="56">
        <f t="shared" si="83"/>
        <v>1.0699447883474673E-6</v>
      </c>
      <c r="Q130" s="56">
        <f t="shared" si="84"/>
        <v>6.0076277529509289E-6</v>
      </c>
      <c r="R130" s="9">
        <f>F130*$C$14</f>
        <v>1.4999999999999999E-4</v>
      </c>
      <c r="S130" s="9">
        <f t="shared" ref="S130:S131" si="85">$R130*L130</f>
        <v>2.1370401897752341E-7</v>
      </c>
      <c r="T130" s="9">
        <f t="shared" ref="T130:T131" si="86">R130*K130</f>
        <v>1.4898363885863799E-4</v>
      </c>
      <c r="U130" s="9">
        <f t="shared" ref="U130:U131" si="87">$R130*M130</f>
        <v>1.4978629598102247E-4</v>
      </c>
      <c r="V130" s="102">
        <f t="shared" ref="V130:V131" si="88">K130/M130</f>
        <v>0.99464131803829259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6"/>
        <v>-5.830329626681688E-5</v>
      </c>
      <c r="J131" s="54">
        <f t="shared" si="77"/>
        <v>-1.4833307878910978E-3</v>
      </c>
      <c r="K131" s="55">
        <f t="shared" si="78"/>
        <v>0.99828949546167478</v>
      </c>
      <c r="L131" s="55">
        <f t="shared" si="79"/>
        <v>1.3272017018487953E-3</v>
      </c>
      <c r="M131" s="55">
        <f t="shared" si="80"/>
        <v>0.99867279829815125</v>
      </c>
      <c r="N131" s="55">
        <f t="shared" si="81"/>
        <v>3.7995771306765475E-6</v>
      </c>
      <c r="O131" s="56">
        <f t="shared" si="82"/>
        <v>1.0001386199274127E-6</v>
      </c>
      <c r="P131" s="56">
        <f t="shared" si="83"/>
        <v>9.9672847808844537E-7</v>
      </c>
      <c r="Q131" s="56">
        <f t="shared" si="84"/>
        <v>5.7069648502761725E-7</v>
      </c>
      <c r="R131" s="9">
        <f>F131*$C$14</f>
        <v>1.4999999999999999E-4</v>
      </c>
      <c r="S131" s="9">
        <f t="shared" si="85"/>
        <v>1.9908025527731928E-7</v>
      </c>
      <c r="T131" s="9">
        <f t="shared" si="86"/>
        <v>1.4974342431925121E-4</v>
      </c>
      <c r="U131" s="9">
        <f t="shared" si="87"/>
        <v>1.4980091974472267E-4</v>
      </c>
      <c r="V131" s="102">
        <f t="shared" si="88"/>
        <v>0.99961618776727501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6"/>
        <v/>
      </c>
      <c r="J132" s="54" t="str">
        <f t="shared" si="77"/>
        <v/>
      </c>
      <c r="K132" s="55" t="str">
        <f t="shared" si="78"/>
        <v/>
      </c>
      <c r="L132" s="55" t="str">
        <f t="shared" si="79"/>
        <v/>
      </c>
      <c r="M132" s="55" t="str">
        <f t="shared" si="80"/>
        <v/>
      </c>
      <c r="N132" s="55" t="str">
        <f t="shared" si="81"/>
        <v/>
      </c>
      <c r="O132" s="56" t="str">
        <f t="shared" si="82"/>
        <v/>
      </c>
      <c r="P132" s="56" t="str">
        <f t="shared" si="83"/>
        <v/>
      </c>
      <c r="Q132" s="56" t="str">
        <f t="shared" si="84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6"/>
        <v/>
      </c>
      <c r="J133" s="54" t="str">
        <f t="shared" si="77"/>
        <v/>
      </c>
      <c r="K133" s="55" t="str">
        <f t="shared" si="78"/>
        <v/>
      </c>
      <c r="L133" s="55" t="str">
        <f t="shared" si="79"/>
        <v/>
      </c>
      <c r="M133" s="55" t="str">
        <f t="shared" si="80"/>
        <v/>
      </c>
      <c r="N133" s="55" t="str">
        <f t="shared" si="81"/>
        <v/>
      </c>
      <c r="O133" s="56" t="str">
        <f t="shared" si="82"/>
        <v/>
      </c>
      <c r="P133" s="56" t="str">
        <f t="shared" si="83"/>
        <v/>
      </c>
      <c r="Q133" s="56" t="str">
        <f t="shared" si="84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293</v>
      </c>
      <c r="D134" s="46"/>
      <c r="E134" s="46"/>
      <c r="F134" s="46"/>
      <c r="G134" s="7"/>
      <c r="H134" s="7"/>
      <c r="I134" s="54" t="str">
        <f t="shared" si="76"/>
        <v/>
      </c>
      <c r="J134" s="54" t="str">
        <f t="shared" si="77"/>
        <v/>
      </c>
      <c r="K134" s="55" t="str">
        <f t="shared" si="78"/>
        <v/>
      </c>
      <c r="L134" s="55" t="str">
        <f t="shared" si="79"/>
        <v/>
      </c>
      <c r="M134" s="55" t="str">
        <f t="shared" si="80"/>
        <v/>
      </c>
      <c r="N134" s="55" t="str">
        <f t="shared" si="81"/>
        <v/>
      </c>
      <c r="O134" s="56" t="str">
        <f t="shared" si="82"/>
        <v/>
      </c>
      <c r="P134" s="56" t="str">
        <f t="shared" si="83"/>
        <v/>
      </c>
      <c r="Q134" s="56" t="str">
        <f t="shared" si="84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2024-10-28T20:59:58Z</dcterms:modified>
</cp:coreProperties>
</file>