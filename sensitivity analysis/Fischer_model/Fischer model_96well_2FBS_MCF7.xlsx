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96well_1um\"/>
    </mc:Choice>
  </mc:AlternateContent>
  <xr:revisionPtr revIDLastSave="0" documentId="13_ncr:1_{941F8582-021C-4526-A4CA-40CABEB8757F}" xr6:coauthVersionLast="47" xr6:coauthVersionMax="47" xr10:uidLastSave="{00000000-0000-0000-0000-000000000000}"/>
  <bookViews>
    <workbookView xWindow="43080" yWindow="-120" windowWidth="29040" windowHeight="15720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5" i="4" l="1"/>
  <c r="J135" i="4"/>
  <c r="K135" i="4"/>
  <c r="N135" i="4"/>
  <c r="O135" i="4"/>
  <c r="P135" i="4"/>
  <c r="Q135" i="4"/>
  <c r="I136" i="4"/>
  <c r="L136" i="4" s="1"/>
  <c r="M136" i="4" s="1"/>
  <c r="J136" i="4"/>
  <c r="K136" i="4" s="1"/>
  <c r="O136" i="4" s="1"/>
  <c r="P136" i="4" s="1"/>
  <c r="I137" i="4"/>
  <c r="J137" i="4"/>
  <c r="K137" i="4"/>
  <c r="O137" i="4" s="1"/>
  <c r="P137" i="4" s="1"/>
  <c r="L137" i="4"/>
  <c r="S137" i="4" s="1"/>
  <c r="M137" i="4"/>
  <c r="U137" i="4" s="1"/>
  <c r="N137" i="4"/>
  <c r="Q137" i="4" s="1"/>
  <c r="I138" i="4"/>
  <c r="J138" i="4"/>
  <c r="K138" i="4"/>
  <c r="O138" i="4" s="1"/>
  <c r="P138" i="4" s="1"/>
  <c r="I139" i="4"/>
  <c r="J139" i="4"/>
  <c r="L139" i="4" s="1"/>
  <c r="K139" i="4"/>
  <c r="N139" i="4"/>
  <c r="Q139" i="4" s="1"/>
  <c r="O139" i="4"/>
  <c r="P139" i="4" s="1"/>
  <c r="I140" i="4"/>
  <c r="L140" i="4" s="1"/>
  <c r="M140" i="4" s="1"/>
  <c r="J140" i="4"/>
  <c r="K140" i="4"/>
  <c r="V140" i="4" s="1"/>
  <c r="I141" i="4"/>
  <c r="J141" i="4"/>
  <c r="K141" i="4"/>
  <c r="O141" i="4" s="1"/>
  <c r="P141" i="4" s="1"/>
  <c r="L141" i="4"/>
  <c r="M141" i="4"/>
  <c r="V141" i="4" s="1"/>
  <c r="N141" i="4"/>
  <c r="Q141" i="4" s="1"/>
  <c r="I142" i="4"/>
  <c r="J142" i="4"/>
  <c r="K142" i="4" s="1"/>
  <c r="I143" i="4"/>
  <c r="J143" i="4"/>
  <c r="L143" i="4" s="1"/>
  <c r="K143" i="4"/>
  <c r="T143" i="4" s="1"/>
  <c r="N143" i="4"/>
  <c r="Q143" i="4" s="1"/>
  <c r="O143" i="4"/>
  <c r="P143" i="4" s="1"/>
  <c r="R143" i="4"/>
  <c r="R142" i="4"/>
  <c r="R141" i="4"/>
  <c r="T141" i="4" s="1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2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U138" i="4" l="1"/>
  <c r="L138" i="4"/>
  <c r="M138" i="4" s="1"/>
  <c r="V138" i="4" s="1"/>
  <c r="N138" i="4"/>
  <c r="Q138" i="4" s="1"/>
  <c r="T138" i="4"/>
  <c r="V142" i="4"/>
  <c r="O142" i="4"/>
  <c r="P142" i="4" s="1"/>
  <c r="L142" i="4"/>
  <c r="M142" i="4" s="1"/>
  <c r="U142" i="4" s="1"/>
  <c r="N142" i="4"/>
  <c r="Q142" i="4" s="1"/>
  <c r="L135" i="4"/>
  <c r="M135" i="4" s="1"/>
  <c r="V135" i="4" s="1"/>
  <c r="T139" i="4"/>
  <c r="U141" i="4"/>
  <c r="V137" i="4"/>
  <c r="M143" i="4"/>
  <c r="S143" i="4"/>
  <c r="M139" i="4"/>
  <c r="S139" i="4"/>
  <c r="U136" i="4"/>
  <c r="V136" i="4"/>
  <c r="O140" i="4"/>
  <c r="P140" i="4" s="1"/>
  <c r="N140" i="4"/>
  <c r="Q140" i="4" s="1"/>
  <c r="N136" i="4"/>
  <c r="Q136" i="4" s="1"/>
  <c r="T137" i="4"/>
  <c r="T142" i="4"/>
  <c r="T135" i="4"/>
  <c r="S142" i="4"/>
  <c r="U140" i="4"/>
  <c r="T140" i="4"/>
  <c r="S140" i="4"/>
  <c r="S136" i="4"/>
  <c r="T136" i="4"/>
  <c r="S141" i="4"/>
  <c r="U135" i="4" l="1"/>
  <c r="S135" i="4"/>
  <c r="S138" i="4"/>
  <c r="V139" i="4"/>
  <c r="U139" i="4"/>
  <c r="V143" i="4"/>
  <c r="U143" i="4"/>
  <c r="I128" i="4"/>
  <c r="J128" i="4"/>
  <c r="K128" i="4" s="1"/>
  <c r="N128" i="4"/>
  <c r="Q128" i="4"/>
  <c r="I129" i="4"/>
  <c r="L129" i="4" s="1"/>
  <c r="J129" i="4"/>
  <c r="K129" i="4" s="1"/>
  <c r="I130" i="4"/>
  <c r="J130" i="4"/>
  <c r="K130" i="4"/>
  <c r="N130" i="4"/>
  <c r="Q130" i="4" s="1"/>
  <c r="I131" i="4"/>
  <c r="J131" i="4"/>
  <c r="K131" i="4" s="1"/>
  <c r="N131" i="4"/>
  <c r="Q131" i="4"/>
  <c r="I132" i="4"/>
  <c r="J132" i="4"/>
  <c r="K132" i="4"/>
  <c r="I133" i="4"/>
  <c r="J133" i="4"/>
  <c r="K133" i="4"/>
  <c r="L133" i="4"/>
  <c r="N133" i="4"/>
  <c r="Q133" i="4" s="1"/>
  <c r="I134" i="4"/>
  <c r="N134" i="4" s="1"/>
  <c r="Q134" i="4" s="1"/>
  <c r="J134" i="4"/>
  <c r="K134" i="4"/>
  <c r="L134" i="4"/>
  <c r="S134" i="4" s="1"/>
  <c r="T131" i="4" l="1"/>
  <c r="O131" i="4"/>
  <c r="P131" i="4" s="1"/>
  <c r="M129" i="4"/>
  <c r="U129" i="4" s="1"/>
  <c r="S129" i="4"/>
  <c r="L128" i="4"/>
  <c r="O133" i="4"/>
  <c r="P133" i="4" s="1"/>
  <c r="T133" i="4"/>
  <c r="O132" i="4"/>
  <c r="P132" i="4" s="1"/>
  <c r="T132" i="4"/>
  <c r="O128" i="4"/>
  <c r="P128" i="4" s="1"/>
  <c r="T128" i="4"/>
  <c r="O130" i="4"/>
  <c r="P130" i="4" s="1"/>
  <c r="T130" i="4"/>
  <c r="L130" i="4"/>
  <c r="T134" i="4"/>
  <c r="M133" i="4"/>
  <c r="U133" i="4" s="1"/>
  <c r="S133" i="4"/>
  <c r="L131" i="4"/>
  <c r="O134" i="4"/>
  <c r="P134" i="4" s="1"/>
  <c r="M134" i="4"/>
  <c r="U134" i="4" s="1"/>
  <c r="L132" i="4"/>
  <c r="O129" i="4"/>
  <c r="P129" i="4" s="1"/>
  <c r="T129" i="4"/>
  <c r="N129" i="4"/>
  <c r="Q129" i="4" s="1"/>
  <c r="N132" i="4"/>
  <c r="Q132" i="4" s="1"/>
  <c r="M131" i="4" l="1"/>
  <c r="S131" i="4"/>
  <c r="V134" i="4"/>
  <c r="V133" i="4"/>
  <c r="M130" i="4"/>
  <c r="S130" i="4"/>
  <c r="M128" i="4"/>
  <c r="S128" i="4"/>
  <c r="V129" i="4"/>
  <c r="M132" i="4"/>
  <c r="S132" i="4"/>
  <c r="O15" i="1"/>
  <c r="L15" i="1"/>
  <c r="N15" i="1"/>
  <c r="J16" i="4"/>
  <c r="J15" i="4"/>
  <c r="J87" i="4"/>
  <c r="K87" i="4" s="1"/>
  <c r="J122" i="4"/>
  <c r="K122" i="4" s="1"/>
  <c r="J117" i="4"/>
  <c r="K117" i="4" s="1"/>
  <c r="J120" i="4"/>
  <c r="K120" i="4" s="1"/>
  <c r="J101" i="4"/>
  <c r="K101" i="4"/>
  <c r="J86" i="4"/>
  <c r="K86" i="4" s="1"/>
  <c r="J85" i="4"/>
  <c r="K85" i="4" s="1"/>
  <c r="J88" i="4"/>
  <c r="K88" i="4" s="1"/>
  <c r="J119" i="4"/>
  <c r="K119" i="4" s="1"/>
  <c r="J72" i="4"/>
  <c r="K72" i="4"/>
  <c r="J103" i="4"/>
  <c r="K103" i="4"/>
  <c r="J118" i="4"/>
  <c r="K118" i="4"/>
  <c r="J104" i="4"/>
  <c r="K104" i="4"/>
  <c r="J90" i="4"/>
  <c r="K90" i="4" s="1"/>
  <c r="J71" i="4"/>
  <c r="K71" i="4" s="1"/>
  <c r="J110" i="4"/>
  <c r="K110" i="4" s="1"/>
  <c r="J82" i="4"/>
  <c r="K82" i="4" s="1"/>
  <c r="J113" i="4"/>
  <c r="K113" i="4" s="1"/>
  <c r="J97" i="4"/>
  <c r="K97" i="4"/>
  <c r="O97" i="4" s="1"/>
  <c r="P97" i="4" s="1"/>
  <c r="J81" i="4"/>
  <c r="K81" i="4"/>
  <c r="J116" i="4"/>
  <c r="K116" i="4" s="1"/>
  <c r="J100" i="4"/>
  <c r="J84" i="4"/>
  <c r="K84" i="4" s="1"/>
  <c r="J114" i="4"/>
  <c r="K114" i="4"/>
  <c r="J78" i="4"/>
  <c r="K78" i="4"/>
  <c r="J115" i="4"/>
  <c r="K115" i="4"/>
  <c r="J99" i="4"/>
  <c r="K99" i="4"/>
  <c r="J83" i="4"/>
  <c r="K83" i="4" s="1"/>
  <c r="J102" i="4"/>
  <c r="K102" i="4" s="1"/>
  <c r="J74" i="4"/>
  <c r="K74" i="4" s="1"/>
  <c r="J125" i="4"/>
  <c r="K125" i="4"/>
  <c r="J109" i="4"/>
  <c r="K109" i="4"/>
  <c r="J93" i="4"/>
  <c r="K93" i="4" s="1"/>
  <c r="J77" i="4"/>
  <c r="K77" i="4"/>
  <c r="J112" i="4"/>
  <c r="K112" i="4" s="1"/>
  <c r="J96" i="4"/>
  <c r="K96" i="4" s="1"/>
  <c r="J80" i="4"/>
  <c r="K80" i="4" s="1"/>
  <c r="J106" i="4"/>
  <c r="K106" i="4" s="1"/>
  <c r="J127" i="4"/>
  <c r="K127" i="4"/>
  <c r="J111" i="4"/>
  <c r="K111" i="4" s="1"/>
  <c r="J95" i="4"/>
  <c r="K95" i="4"/>
  <c r="J79" i="4"/>
  <c r="K79" i="4" s="1"/>
  <c r="J126" i="4"/>
  <c r="K126" i="4"/>
  <c r="O126" i="4" s="1"/>
  <c r="P126" i="4" s="1"/>
  <c r="J94" i="4"/>
  <c r="K94" i="4" s="1"/>
  <c r="J121" i="4"/>
  <c r="K121" i="4" s="1"/>
  <c r="J105" i="4"/>
  <c r="K105" i="4" s="1"/>
  <c r="J89" i="4"/>
  <c r="K89" i="4"/>
  <c r="J73" i="4"/>
  <c r="K73" i="4" s="1"/>
  <c r="J124" i="4"/>
  <c r="K124" i="4"/>
  <c r="J108" i="4"/>
  <c r="L108" i="4" s="1"/>
  <c r="S108" i="4" s="1"/>
  <c r="K108" i="4"/>
  <c r="J92" i="4"/>
  <c r="K92" i="4"/>
  <c r="J76" i="4"/>
  <c r="K76" i="4" s="1"/>
  <c r="J98" i="4"/>
  <c r="K98" i="4"/>
  <c r="J123" i="4"/>
  <c r="K123" i="4" s="1"/>
  <c r="J107" i="4"/>
  <c r="K107" i="4"/>
  <c r="J91" i="4"/>
  <c r="K91" i="4"/>
  <c r="J75" i="4"/>
  <c r="K75" i="4"/>
  <c r="O75" i="4"/>
  <c r="P75" i="4" s="1"/>
  <c r="O109" i="4"/>
  <c r="P109" i="4" s="1"/>
  <c r="O114" i="4"/>
  <c r="P114" i="4" s="1"/>
  <c r="O103" i="4"/>
  <c r="P103" i="4" s="1"/>
  <c r="I76" i="4"/>
  <c r="N76" i="4" s="1"/>
  <c r="Q76" i="4" s="1"/>
  <c r="I77" i="4"/>
  <c r="I81" i="4"/>
  <c r="N81" i="4" s="1"/>
  <c r="Q81" i="4" s="1"/>
  <c r="I89" i="4"/>
  <c r="L89" i="4" s="1"/>
  <c r="S89" i="4" s="1"/>
  <c r="I90" i="4"/>
  <c r="N90" i="4" s="1"/>
  <c r="Q90" i="4" s="1"/>
  <c r="I96" i="4"/>
  <c r="L96" i="4" s="1"/>
  <c r="S96" i="4" s="1"/>
  <c r="I99" i="4"/>
  <c r="I102" i="4"/>
  <c r="L102" i="4" s="1"/>
  <c r="I104" i="4"/>
  <c r="L104" i="4" s="1"/>
  <c r="I108" i="4"/>
  <c r="I111" i="4"/>
  <c r="I113" i="4"/>
  <c r="I115" i="4"/>
  <c r="L115" i="4" s="1"/>
  <c r="S115" i="4" s="1"/>
  <c r="I119" i="4"/>
  <c r="N119" i="4" s="1"/>
  <c r="Q119" i="4" s="1"/>
  <c r="I120" i="4"/>
  <c r="N120" i="4" s="1"/>
  <c r="Q120" i="4" s="1"/>
  <c r="I123" i="4"/>
  <c r="N123" i="4" s="1"/>
  <c r="Q123" i="4" s="1"/>
  <c r="I125" i="4"/>
  <c r="L125" i="4" s="1"/>
  <c r="I79" i="4"/>
  <c r="N79" i="4" s="1"/>
  <c r="Q79" i="4" s="1"/>
  <c r="I92" i="4"/>
  <c r="N92" i="4" s="1"/>
  <c r="Q92" i="4" s="1"/>
  <c r="I100" i="4"/>
  <c r="N100" i="4" s="1"/>
  <c r="Q100" i="4" s="1"/>
  <c r="I103" i="4"/>
  <c r="N103" i="4" s="1"/>
  <c r="Q103" i="4" s="1"/>
  <c r="I107" i="4"/>
  <c r="L107" i="4" s="1"/>
  <c r="I109" i="4"/>
  <c r="N109" i="4" s="1"/>
  <c r="Q109" i="4" s="1"/>
  <c r="I110" i="4"/>
  <c r="N110" i="4" s="1"/>
  <c r="Q110" i="4" s="1"/>
  <c r="I117" i="4"/>
  <c r="I124" i="4"/>
  <c r="I72" i="4"/>
  <c r="L72" i="4" s="1"/>
  <c r="S72" i="4" s="1"/>
  <c r="I106" i="4"/>
  <c r="L106" i="4" s="1"/>
  <c r="I71" i="4"/>
  <c r="L71" i="4" s="1"/>
  <c r="S71" i="4" s="1"/>
  <c r="I75" i="4"/>
  <c r="N75" i="4" s="1"/>
  <c r="Q75" i="4" s="1"/>
  <c r="I80" i="4"/>
  <c r="L80" i="4" s="1"/>
  <c r="S80" i="4" s="1"/>
  <c r="I83" i="4"/>
  <c r="I86" i="4"/>
  <c r="I88" i="4"/>
  <c r="N88" i="4" s="1"/>
  <c r="Q88" i="4" s="1"/>
  <c r="I94" i="4"/>
  <c r="I95" i="4"/>
  <c r="N95" i="4" s="1"/>
  <c r="Q95" i="4" s="1"/>
  <c r="I98" i="4"/>
  <c r="N98" i="4" s="1"/>
  <c r="Q98" i="4" s="1"/>
  <c r="I101" i="4"/>
  <c r="I118" i="4"/>
  <c r="N118" i="4" s="1"/>
  <c r="Q118" i="4" s="1"/>
  <c r="I127" i="4"/>
  <c r="N127" i="4" s="1"/>
  <c r="Q127" i="4" s="1"/>
  <c r="I73" i="4"/>
  <c r="N73" i="4" s="1"/>
  <c r="Q73" i="4" s="1"/>
  <c r="I74" i="4"/>
  <c r="I78" i="4"/>
  <c r="L78" i="4" s="1"/>
  <c r="S78" i="4" s="1"/>
  <c r="I82" i="4"/>
  <c r="L82" i="4" s="1"/>
  <c r="S82" i="4" s="1"/>
  <c r="I85" i="4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I84" i="4"/>
  <c r="I87" i="4"/>
  <c r="N87" i="4" s="1"/>
  <c r="Q87" i="4" s="1"/>
  <c r="I91" i="4"/>
  <c r="L91" i="4" s="1"/>
  <c r="S91" i="4" s="1"/>
  <c r="I97" i="4"/>
  <c r="I105" i="4"/>
  <c r="N105" i="4" s="1"/>
  <c r="Q105" i="4" s="1"/>
  <c r="I116" i="4"/>
  <c r="N116" i="4" s="1"/>
  <c r="Q116" i="4" s="1"/>
  <c r="I126" i="4"/>
  <c r="N126" i="4" s="1"/>
  <c r="Q126" i="4" s="1"/>
  <c r="N101" i="4"/>
  <c r="Q101" i="4" s="1"/>
  <c r="N124" i="4"/>
  <c r="Q124" i="4"/>
  <c r="N107" i="4"/>
  <c r="Q107" i="4" s="1"/>
  <c r="N108" i="4"/>
  <c r="Q108" i="4"/>
  <c r="N77" i="4"/>
  <c r="Q77" i="4"/>
  <c r="N72" i="4"/>
  <c r="Q72" i="4" s="1"/>
  <c r="N117" i="4"/>
  <c r="Q117" i="4"/>
  <c r="L103" i="4"/>
  <c r="S103" i="4" s="1"/>
  <c r="N115" i="4"/>
  <c r="Q115" i="4" s="1"/>
  <c r="N112" i="4"/>
  <c r="Q112" i="4"/>
  <c r="L127" i="4"/>
  <c r="S127" i="4" s="1"/>
  <c r="L87" i="4"/>
  <c r="S87" i="4" s="1"/>
  <c r="N122" i="4"/>
  <c r="Q122" i="4" s="1"/>
  <c r="N74" i="4"/>
  <c r="Q74" i="4" s="1"/>
  <c r="L74" i="4"/>
  <c r="S74" i="4" s="1"/>
  <c r="N94" i="4"/>
  <c r="Q94" i="4" s="1"/>
  <c r="N111" i="4"/>
  <c r="Q111" i="4"/>
  <c r="L111" i="4"/>
  <c r="N99" i="4"/>
  <c r="Q99" i="4" s="1"/>
  <c r="T123" i="4" l="1"/>
  <c r="O123" i="4"/>
  <c r="P123" i="4" s="1"/>
  <c r="T76" i="4"/>
  <c r="T90" i="4"/>
  <c r="T105" i="4"/>
  <c r="O105" i="4"/>
  <c r="P105" i="4" s="1"/>
  <c r="M104" i="4"/>
  <c r="U104" i="4" s="1"/>
  <c r="S104" i="4"/>
  <c r="O111" i="4"/>
  <c r="P111" i="4" s="1"/>
  <c r="T111" i="4"/>
  <c r="S102" i="4"/>
  <c r="M102" i="4"/>
  <c r="U102" i="4" s="1"/>
  <c r="V80" i="4"/>
  <c r="T80" i="4"/>
  <c r="T116" i="4"/>
  <c r="T120" i="4"/>
  <c r="L75" i="4"/>
  <c r="S75" i="4" s="1"/>
  <c r="T115" i="4"/>
  <c r="T103" i="4"/>
  <c r="T78" i="4"/>
  <c r="N104" i="4"/>
  <c r="Q104" i="4" s="1"/>
  <c r="L117" i="4"/>
  <c r="T73" i="4"/>
  <c r="V82" i="4"/>
  <c r="T82" i="4"/>
  <c r="U130" i="4"/>
  <c r="V130" i="4"/>
  <c r="L100" i="4"/>
  <c r="M100" i="4" s="1"/>
  <c r="O104" i="4"/>
  <c r="P104" i="4" s="1"/>
  <c r="T104" i="4"/>
  <c r="M111" i="4"/>
  <c r="U111" i="4" s="1"/>
  <c r="S111" i="4"/>
  <c r="V92" i="4"/>
  <c r="T92" i="4"/>
  <c r="T94" i="4"/>
  <c r="O99" i="4"/>
  <c r="P99" i="4" s="1"/>
  <c r="T99" i="4"/>
  <c r="N78" i="4"/>
  <c r="Q78" i="4" s="1"/>
  <c r="T126" i="4"/>
  <c r="O112" i="4"/>
  <c r="P112" i="4" s="1"/>
  <c r="T112" i="4"/>
  <c r="L99" i="4"/>
  <c r="T81" i="4"/>
  <c r="T118" i="4"/>
  <c r="U132" i="4"/>
  <c r="V132" i="4"/>
  <c r="M125" i="4"/>
  <c r="U125" i="4" s="1"/>
  <c r="S125" i="4"/>
  <c r="V91" i="4"/>
  <c r="T91" i="4"/>
  <c r="V108" i="4"/>
  <c r="T108" i="4"/>
  <c r="T77" i="4"/>
  <c r="O115" i="4"/>
  <c r="P115" i="4" s="1"/>
  <c r="M106" i="4"/>
  <c r="U106" i="4" s="1"/>
  <c r="S106" i="4"/>
  <c r="O118" i="4"/>
  <c r="P118" i="4" s="1"/>
  <c r="N96" i="4"/>
  <c r="Q96" i="4" s="1"/>
  <c r="T124" i="4"/>
  <c r="V95" i="4"/>
  <c r="T95" i="4"/>
  <c r="T93" i="4"/>
  <c r="V87" i="4"/>
  <c r="T87" i="4"/>
  <c r="U128" i="4"/>
  <c r="V128" i="4"/>
  <c r="L92" i="4"/>
  <c r="S92" i="4" s="1"/>
  <c r="L121" i="4"/>
  <c r="S121" i="4" s="1"/>
  <c r="L122" i="4"/>
  <c r="L101" i="4"/>
  <c r="L77" i="4"/>
  <c r="S77" i="4" s="1"/>
  <c r="O91" i="4"/>
  <c r="P91" i="4" s="1"/>
  <c r="L124" i="4"/>
  <c r="S124" i="4" s="1"/>
  <c r="T109" i="4"/>
  <c r="O113" i="4"/>
  <c r="P113" i="4" s="1"/>
  <c r="T113" i="4"/>
  <c r="T72" i="4"/>
  <c r="N80" i="4"/>
  <c r="Q80" i="4" s="1"/>
  <c r="N102" i="4"/>
  <c r="Q102" i="4" s="1"/>
  <c r="L113" i="4"/>
  <c r="O95" i="4"/>
  <c r="P95" i="4" s="1"/>
  <c r="T89" i="4"/>
  <c r="O125" i="4"/>
  <c r="P125" i="4" s="1"/>
  <c r="T125" i="4"/>
  <c r="T114" i="4"/>
  <c r="O110" i="4"/>
  <c r="P110" i="4" s="1"/>
  <c r="T110" i="4"/>
  <c r="T119" i="4"/>
  <c r="M103" i="4"/>
  <c r="U103" i="4" s="1"/>
  <c r="N113" i="4"/>
  <c r="Q113" i="4" s="1"/>
  <c r="T98" i="4"/>
  <c r="T127" i="4"/>
  <c r="T71" i="4"/>
  <c r="T88" i="4"/>
  <c r="T121" i="4"/>
  <c r="T83" i="4"/>
  <c r="O101" i="4"/>
  <c r="P101" i="4" s="1"/>
  <c r="T101" i="4"/>
  <c r="T75" i="4"/>
  <c r="T96" i="4"/>
  <c r="O98" i="4"/>
  <c r="P98" i="4" s="1"/>
  <c r="V74" i="4"/>
  <c r="T74" i="4"/>
  <c r="T84" i="4"/>
  <c r="T85" i="4"/>
  <c r="O117" i="4"/>
  <c r="P117" i="4" s="1"/>
  <c r="T117" i="4"/>
  <c r="T79" i="4"/>
  <c r="O122" i="4"/>
  <c r="P122" i="4" s="1"/>
  <c r="T122" i="4"/>
  <c r="L94" i="4"/>
  <c r="S94" i="4" s="1"/>
  <c r="L105" i="4"/>
  <c r="O106" i="4"/>
  <c r="P106" i="4" s="1"/>
  <c r="T106" i="4"/>
  <c r="V106" i="4"/>
  <c r="O102" i="4"/>
  <c r="P102" i="4" s="1"/>
  <c r="V102" i="4"/>
  <c r="T102" i="4"/>
  <c r="K100" i="4"/>
  <c r="O100" i="4" s="1"/>
  <c r="P100" i="4" s="1"/>
  <c r="T86" i="4"/>
  <c r="U131" i="4"/>
  <c r="V131" i="4"/>
  <c r="M71" i="4"/>
  <c r="U71" i="4" s="1"/>
  <c r="M124" i="4"/>
  <c r="U124" i="4" s="1"/>
  <c r="M107" i="4"/>
  <c r="M91" i="4"/>
  <c r="U91" i="4" s="1"/>
  <c r="O121" i="4"/>
  <c r="P121" i="4" s="1"/>
  <c r="L73" i="4"/>
  <c r="S73" i="4" s="1"/>
  <c r="O116" i="4"/>
  <c r="P116" i="4" s="1"/>
  <c r="L120" i="4"/>
  <c r="S120" i="4" s="1"/>
  <c r="L123" i="4"/>
  <c r="N71" i="4"/>
  <c r="Q71" i="4" s="1"/>
  <c r="L98" i="4"/>
  <c r="L110" i="4"/>
  <c r="L119" i="4"/>
  <c r="S119" i="4" s="1"/>
  <c r="M127" i="4"/>
  <c r="U127" i="4" s="1"/>
  <c r="L116" i="4"/>
  <c r="S116" i="4" s="1"/>
  <c r="L118" i="4"/>
  <c r="N125" i="4"/>
  <c r="Q125" i="4" s="1"/>
  <c r="N91" i="4"/>
  <c r="Q91" i="4" s="1"/>
  <c r="L85" i="4"/>
  <c r="S85" i="4" s="1"/>
  <c r="L86" i="4"/>
  <c r="S86" i="4" s="1"/>
  <c r="L81" i="4"/>
  <c r="S81" i="4" s="1"/>
  <c r="O107" i="4"/>
  <c r="P107" i="4" s="1"/>
  <c r="O71" i="4"/>
  <c r="P71" i="4" s="1"/>
  <c r="L109" i="4"/>
  <c r="L114" i="4"/>
  <c r="S114" i="4" s="1"/>
  <c r="L83" i="4"/>
  <c r="S83" i="4" s="1"/>
  <c r="N83" i="4"/>
  <c r="Q83" i="4" s="1"/>
  <c r="L90" i="4"/>
  <c r="S90" i="4" s="1"/>
  <c r="O108" i="4"/>
  <c r="P108" i="4" s="1"/>
  <c r="O124" i="4"/>
  <c r="P124" i="4" s="1"/>
  <c r="O119" i="4"/>
  <c r="P119" i="4" s="1"/>
  <c r="M115" i="4"/>
  <c r="U115" i="4" s="1"/>
  <c r="M108" i="4"/>
  <c r="U108" i="4" s="1"/>
  <c r="N106" i="4"/>
  <c r="Q106" i="4" s="1"/>
  <c r="O127" i="4"/>
  <c r="P127" i="4" s="1"/>
  <c r="N89" i="4"/>
  <c r="Q89" i="4" s="1"/>
  <c r="L112" i="4"/>
  <c r="O120" i="4"/>
  <c r="P120" i="4" s="1"/>
  <c r="L95" i="4"/>
  <c r="S95" i="4" s="1"/>
  <c r="L97" i="4"/>
  <c r="O78" i="4"/>
  <c r="P78" i="4" s="1"/>
  <c r="O88" i="4"/>
  <c r="P88" i="4" s="1"/>
  <c r="O86" i="4"/>
  <c r="P86" i="4" s="1"/>
  <c r="O93" i="4"/>
  <c r="P93" i="4" s="1"/>
  <c r="O80" i="4"/>
  <c r="P80" i="4" s="1"/>
  <c r="M72" i="4"/>
  <c r="U72" i="4" s="1"/>
  <c r="M82" i="4"/>
  <c r="U82" i="4" s="1"/>
  <c r="O83" i="4"/>
  <c r="P83" i="4" s="1"/>
  <c r="O73" i="4"/>
  <c r="P73" i="4" s="1"/>
  <c r="O77" i="4"/>
  <c r="P77" i="4" s="1"/>
  <c r="O72" i="4"/>
  <c r="P72" i="4" s="1"/>
  <c r="M95" i="4"/>
  <c r="U95" i="4" s="1"/>
  <c r="M80" i="4"/>
  <c r="U80" i="4" s="1"/>
  <c r="L126" i="4"/>
  <c r="S126" i="4" s="1"/>
  <c r="M97" i="4"/>
  <c r="O89" i="4"/>
  <c r="P89" i="4" s="1"/>
  <c r="M87" i="4"/>
  <c r="U87" i="4" s="1"/>
  <c r="M96" i="4"/>
  <c r="U96" i="4" s="1"/>
  <c r="O82" i="4"/>
  <c r="P82" i="4" s="1"/>
  <c r="M89" i="4"/>
  <c r="U89" i="4" s="1"/>
  <c r="M90" i="4"/>
  <c r="U90" i="4" s="1"/>
  <c r="L84" i="4"/>
  <c r="S84" i="4" s="1"/>
  <c r="O76" i="4"/>
  <c r="P76" i="4" s="1"/>
  <c r="O81" i="4"/>
  <c r="P81" i="4" s="1"/>
  <c r="O90" i="4"/>
  <c r="P90" i="4" s="1"/>
  <c r="L76" i="4"/>
  <c r="S76" i="4" s="1"/>
  <c r="O87" i="4"/>
  <c r="P87" i="4" s="1"/>
  <c r="M78" i="4"/>
  <c r="U78" i="4" s="1"/>
  <c r="O84" i="4"/>
  <c r="P84" i="4" s="1"/>
  <c r="N86" i="4"/>
  <c r="Q86" i="4" s="1"/>
  <c r="O92" i="4"/>
  <c r="P92" i="4" s="1"/>
  <c r="O85" i="4"/>
  <c r="P85" i="4" s="1"/>
  <c r="O94" i="4"/>
  <c r="P94" i="4" s="1"/>
  <c r="O79" i="4"/>
  <c r="P79" i="4" s="1"/>
  <c r="M92" i="4"/>
  <c r="U92" i="4" s="1"/>
  <c r="M74" i="4"/>
  <c r="U74" i="4" s="1"/>
  <c r="O74" i="4"/>
  <c r="P74" i="4" s="1"/>
  <c r="L79" i="4"/>
  <c r="S79" i="4" s="1"/>
  <c r="O96" i="4"/>
  <c r="P96" i="4" s="1"/>
  <c r="N97" i="4"/>
  <c r="Q97" i="4" s="1"/>
  <c r="N85" i="4"/>
  <c r="Q85" i="4" s="1"/>
  <c r="L93" i="4"/>
  <c r="S93" i="4" s="1"/>
  <c r="L88" i="4"/>
  <c r="S88" i="4" s="1"/>
  <c r="N82" i="4"/>
  <c r="Q82" i="4" s="1"/>
  <c r="N84" i="4"/>
  <c r="Q84" i="4" s="1"/>
  <c r="J14" i="4"/>
  <c r="J13" i="4" s="1"/>
  <c r="K16" i="4" s="1"/>
  <c r="M110" i="4" l="1"/>
  <c r="S110" i="4"/>
  <c r="M117" i="4"/>
  <c r="S117" i="4"/>
  <c r="V104" i="4"/>
  <c r="V78" i="4"/>
  <c r="M105" i="4"/>
  <c r="S105" i="4"/>
  <c r="V89" i="4"/>
  <c r="M99" i="4"/>
  <c r="S99" i="4"/>
  <c r="M113" i="4"/>
  <c r="S113" i="4"/>
  <c r="M123" i="4"/>
  <c r="S123" i="4"/>
  <c r="M101" i="4"/>
  <c r="S101" i="4"/>
  <c r="M122" i="4"/>
  <c r="S122" i="4"/>
  <c r="V124" i="4"/>
  <c r="V90" i="4"/>
  <c r="M94" i="4"/>
  <c r="V96" i="4"/>
  <c r="V71" i="4"/>
  <c r="V72" i="4"/>
  <c r="M112" i="4"/>
  <c r="S112" i="4"/>
  <c r="M109" i="4"/>
  <c r="S109" i="4"/>
  <c r="M98" i="4"/>
  <c r="S98" i="4"/>
  <c r="M75" i="4"/>
  <c r="M118" i="4"/>
  <c r="S118" i="4"/>
  <c r="V103" i="4"/>
  <c r="V127" i="4"/>
  <c r="V111" i="4"/>
  <c r="M77" i="4"/>
  <c r="M121" i="4"/>
  <c r="V125" i="4"/>
  <c r="V115" i="4"/>
  <c r="M126" i="4"/>
  <c r="M114" i="4"/>
  <c r="M81" i="4"/>
  <c r="M120" i="4"/>
  <c r="M73" i="4"/>
  <c r="M85" i="4"/>
  <c r="M119" i="4"/>
  <c r="M83" i="4"/>
  <c r="M116" i="4"/>
  <c r="M86" i="4"/>
  <c r="M84" i="4"/>
  <c r="M88" i="4"/>
  <c r="M76" i="4"/>
  <c r="M93" i="4"/>
  <c r="M79" i="4"/>
  <c r="K14" i="4"/>
  <c r="K13" i="4"/>
  <c r="K15" i="4"/>
  <c r="U120" i="4" l="1"/>
  <c r="V120" i="4"/>
  <c r="U119" i="4"/>
  <c r="V119" i="4"/>
  <c r="U113" i="4"/>
  <c r="V113" i="4"/>
  <c r="U85" i="4"/>
  <c r="V85" i="4"/>
  <c r="U73" i="4"/>
  <c r="V73" i="4"/>
  <c r="U99" i="4"/>
  <c r="V99" i="4"/>
  <c r="U79" i="4"/>
  <c r="V79" i="4"/>
  <c r="U94" i="4"/>
  <c r="V94" i="4"/>
  <c r="U118" i="4"/>
  <c r="V118" i="4"/>
  <c r="U81" i="4"/>
  <c r="V81" i="4"/>
  <c r="U75" i="4"/>
  <c r="V75" i="4"/>
  <c r="U93" i="4"/>
  <c r="V93" i="4"/>
  <c r="U114" i="4"/>
  <c r="V114" i="4"/>
  <c r="U105" i="4"/>
  <c r="V105" i="4"/>
  <c r="U76" i="4"/>
  <c r="V76" i="4"/>
  <c r="U126" i="4"/>
  <c r="V126" i="4"/>
  <c r="U98" i="4"/>
  <c r="V98" i="4"/>
  <c r="U122" i="4"/>
  <c r="V122" i="4"/>
  <c r="U88" i="4"/>
  <c r="V88" i="4"/>
  <c r="U84" i="4"/>
  <c r="V84" i="4"/>
  <c r="U109" i="4"/>
  <c r="V109" i="4"/>
  <c r="U101" i="4"/>
  <c r="V101" i="4"/>
  <c r="U86" i="4"/>
  <c r="V86" i="4"/>
  <c r="U121" i="4"/>
  <c r="V121" i="4"/>
  <c r="U117" i="4"/>
  <c r="V117" i="4"/>
  <c r="U116" i="4"/>
  <c r="V116" i="4"/>
  <c r="U77" i="4"/>
  <c r="V77" i="4"/>
  <c r="U112" i="4"/>
  <c r="V112" i="4"/>
  <c r="U123" i="4"/>
  <c r="V123" i="4"/>
  <c r="U83" i="4"/>
  <c r="V83" i="4"/>
  <c r="U110" i="4"/>
  <c r="V110" i="4"/>
  <c r="I63" i="4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J58" i="4"/>
  <c r="K58" i="4" s="1"/>
  <c r="J55" i="4"/>
  <c r="K55" i="4" s="1"/>
  <c r="J61" i="4"/>
  <c r="K61" i="4" s="1"/>
  <c r="J57" i="4"/>
  <c r="K57" i="4" s="1"/>
  <c r="J59" i="4"/>
  <c r="K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T61" i="4" l="1"/>
  <c r="T60" i="4"/>
  <c r="T57" i="4"/>
  <c r="O55" i="4"/>
  <c r="P55" i="4" s="1"/>
  <c r="T55" i="4"/>
  <c r="T62" i="4"/>
  <c r="T63" i="4"/>
  <c r="T58" i="4"/>
  <c r="O56" i="4"/>
  <c r="P56" i="4" s="1"/>
  <c r="T56" i="4"/>
  <c r="O59" i="4"/>
  <c r="P59" i="4" s="1"/>
  <c r="T59" i="4"/>
  <c r="O60" i="4"/>
  <c r="P60" i="4" s="1"/>
  <c r="O62" i="4"/>
  <c r="P62" i="4" s="1"/>
  <c r="O61" i="4"/>
  <c r="P61" i="4" s="1"/>
  <c r="O57" i="4"/>
  <c r="P57" i="4" s="1"/>
  <c r="O58" i="4"/>
  <c r="P58" i="4" s="1"/>
  <c r="L66" i="4"/>
  <c r="S66" i="4" s="1"/>
  <c r="K66" i="4"/>
  <c r="K70" i="4"/>
  <c r="L70" i="4"/>
  <c r="S70" i="4" s="1"/>
  <c r="K64" i="4"/>
  <c r="L64" i="4"/>
  <c r="S64" i="4" s="1"/>
  <c r="O63" i="4"/>
  <c r="P63" i="4" s="1"/>
  <c r="L63" i="4"/>
  <c r="S63" i="4" s="1"/>
  <c r="K68" i="4"/>
  <c r="L68" i="4"/>
  <c r="S68" i="4" s="1"/>
  <c r="L67" i="4"/>
  <c r="S67" i="4" s="1"/>
  <c r="K67" i="4"/>
  <c r="L65" i="4"/>
  <c r="S65" i="4" s="1"/>
  <c r="K65" i="4"/>
  <c r="K69" i="4"/>
  <c r="L69" i="4"/>
  <c r="S69" i="4" s="1"/>
  <c r="N62" i="4"/>
  <c r="Q62" i="4" s="1"/>
  <c r="L62" i="4"/>
  <c r="S62" i="4" s="1"/>
  <c r="N55" i="4"/>
  <c r="Q55" i="4" s="1"/>
  <c r="L55" i="4"/>
  <c r="L56" i="4"/>
  <c r="N56" i="4"/>
  <c r="Q56" i="4" s="1"/>
  <c r="N59" i="4"/>
  <c r="Q59" i="4" s="1"/>
  <c r="L59" i="4"/>
  <c r="N57" i="4"/>
  <c r="Q57" i="4" s="1"/>
  <c r="L57" i="4"/>
  <c r="S57" i="4" s="1"/>
  <c r="L58" i="4"/>
  <c r="S58" i="4" s="1"/>
  <c r="N58" i="4"/>
  <c r="Q58" i="4" s="1"/>
  <c r="N61" i="4"/>
  <c r="Q61" i="4" s="1"/>
  <c r="L61" i="4"/>
  <c r="S61" i="4" s="1"/>
  <c r="L60" i="4"/>
  <c r="S60" i="4" s="1"/>
  <c r="N60" i="4"/>
  <c r="Q60" i="4" s="1"/>
  <c r="T68" i="4" l="1"/>
  <c r="M55" i="4"/>
  <c r="S55" i="4"/>
  <c r="V64" i="4"/>
  <c r="T64" i="4"/>
  <c r="T70" i="4"/>
  <c r="V65" i="4"/>
  <c r="T65" i="4"/>
  <c r="V67" i="4"/>
  <c r="T67" i="4"/>
  <c r="M56" i="4"/>
  <c r="S56" i="4"/>
  <c r="T69" i="4"/>
  <c r="V66" i="4"/>
  <c r="T66" i="4"/>
  <c r="M59" i="4"/>
  <c r="S59" i="4"/>
  <c r="M70" i="4"/>
  <c r="U70" i="4" s="1"/>
  <c r="M61" i="4"/>
  <c r="M60" i="4"/>
  <c r="M62" i="4"/>
  <c r="M63" i="4"/>
  <c r="M64" i="4"/>
  <c r="U64" i="4" s="1"/>
  <c r="M57" i="4"/>
  <c r="O66" i="4"/>
  <c r="P66" i="4" s="1"/>
  <c r="O69" i="4"/>
  <c r="P69" i="4" s="1"/>
  <c r="M65" i="4"/>
  <c r="U65" i="4" s="1"/>
  <c r="M67" i="4"/>
  <c r="U67" i="4" s="1"/>
  <c r="M68" i="4"/>
  <c r="U68" i="4" s="1"/>
  <c r="O64" i="4"/>
  <c r="P64" i="4" s="1"/>
  <c r="O68" i="4"/>
  <c r="P68" i="4" s="1"/>
  <c r="M69" i="4"/>
  <c r="U69" i="4" s="1"/>
  <c r="M58" i="4"/>
  <c r="M66" i="4"/>
  <c r="U66" i="4" s="1"/>
  <c r="O65" i="4"/>
  <c r="P65" i="4" s="1"/>
  <c r="O67" i="4"/>
  <c r="P67" i="4" s="1"/>
  <c r="O70" i="4"/>
  <c r="P70" i="4" s="1"/>
  <c r="U58" i="4" l="1"/>
  <c r="V58" i="4"/>
  <c r="V70" i="4"/>
  <c r="U62" i="4"/>
  <c r="V62" i="4"/>
  <c r="U61" i="4"/>
  <c r="V61" i="4"/>
  <c r="U57" i="4"/>
  <c r="V57" i="4"/>
  <c r="V69" i="4"/>
  <c r="U55" i="4"/>
  <c r="V55" i="4"/>
  <c r="U60" i="4"/>
  <c r="V60" i="4"/>
  <c r="U59" i="4"/>
  <c r="V59" i="4"/>
  <c r="U63" i="4"/>
  <c r="V63" i="4"/>
  <c r="U56" i="4"/>
  <c r="V56" i="4"/>
  <c r="V68" i="4"/>
  <c r="J21" i="4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J39" i="4" s="1"/>
  <c r="K22" i="4"/>
  <c r="J45" i="4" s="1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0" i="4" l="1"/>
  <c r="K30" i="4" s="1"/>
  <c r="J43" i="4"/>
  <c r="J31" i="4"/>
  <c r="J44" i="4"/>
  <c r="L44" i="4" s="1"/>
  <c r="S44" i="4" s="1"/>
  <c r="J36" i="4"/>
  <c r="L36" i="4" s="1"/>
  <c r="S36" i="4" s="1"/>
  <c r="J46" i="4"/>
  <c r="K46" i="4" s="1"/>
  <c r="J35" i="4"/>
  <c r="L35" i="4" s="1"/>
  <c r="S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S34" i="4" s="1"/>
  <c r="J41" i="4"/>
  <c r="K41" i="4" s="1"/>
  <c r="J42" i="4"/>
  <c r="L42" i="4" s="1"/>
  <c r="S42" i="4" s="1"/>
  <c r="J32" i="4"/>
  <c r="L32" i="4" s="1"/>
  <c r="S32" i="4" s="1"/>
  <c r="J37" i="4"/>
  <c r="L37" i="4" s="1"/>
  <c r="S37" i="4" s="1"/>
  <c r="J40" i="4"/>
  <c r="L40" i="4" s="1"/>
  <c r="S40" i="4" s="1"/>
  <c r="J38" i="4"/>
  <c r="L38" i="4" s="1"/>
  <c r="S38" i="4" s="1"/>
  <c r="J29" i="4"/>
  <c r="L29" i="4" s="1"/>
  <c r="S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S31" i="4" s="1"/>
  <c r="L45" i="4"/>
  <c r="S45" i="4" s="1"/>
  <c r="K45" i="4"/>
  <c r="L47" i="4"/>
  <c r="S47" i="4" s="1"/>
  <c r="K47" i="4"/>
  <c r="K52" i="4"/>
  <c r="L52" i="4"/>
  <c r="L43" i="4"/>
  <c r="S43" i="4" s="1"/>
  <c r="K43" i="4"/>
  <c r="L54" i="4"/>
  <c r="K54" i="4"/>
  <c r="L51" i="4"/>
  <c r="K51" i="4"/>
  <c r="L53" i="4"/>
  <c r="K53" i="4"/>
  <c r="L48" i="4"/>
  <c r="S48" i="4" s="1"/>
  <c r="K48" i="4"/>
  <c r="L39" i="4"/>
  <c r="S39" i="4" s="1"/>
  <c r="K39" i="4"/>
  <c r="L50" i="4"/>
  <c r="K50" i="4"/>
  <c r="L49" i="4"/>
  <c r="S49" i="4" s="1"/>
  <c r="K49" i="4"/>
  <c r="T30" i="4" l="1"/>
  <c r="T41" i="4"/>
  <c r="T48" i="4"/>
  <c r="T33" i="4"/>
  <c r="O53" i="4"/>
  <c r="P53" i="4" s="1"/>
  <c r="T53" i="4"/>
  <c r="M53" i="4"/>
  <c r="U53" i="4" s="1"/>
  <c r="S53" i="4"/>
  <c r="O51" i="4"/>
  <c r="P51" i="4" s="1"/>
  <c r="V51" i="4"/>
  <c r="T51" i="4"/>
  <c r="T49" i="4"/>
  <c r="T31" i="4"/>
  <c r="O54" i="4"/>
  <c r="P54" i="4" s="1"/>
  <c r="T54" i="4"/>
  <c r="T46" i="4"/>
  <c r="O50" i="4"/>
  <c r="P50" i="4" s="1"/>
  <c r="V50" i="4"/>
  <c r="T50" i="4"/>
  <c r="T43" i="4"/>
  <c r="M50" i="4"/>
  <c r="U50" i="4" s="1"/>
  <c r="S50" i="4"/>
  <c r="O52" i="4"/>
  <c r="P52" i="4" s="1"/>
  <c r="V52" i="4"/>
  <c r="T52" i="4"/>
  <c r="V47" i="4"/>
  <c r="T47" i="4"/>
  <c r="T45" i="4"/>
  <c r="L30" i="4"/>
  <c r="S30" i="4" s="1"/>
  <c r="M51" i="4"/>
  <c r="U51" i="4" s="1"/>
  <c r="S51" i="4"/>
  <c r="T28" i="4"/>
  <c r="K35" i="4"/>
  <c r="O35" i="4" s="1"/>
  <c r="P35" i="4" s="1"/>
  <c r="M54" i="4"/>
  <c r="U54" i="4" s="1"/>
  <c r="S54" i="4"/>
  <c r="T39" i="4"/>
  <c r="M52" i="4"/>
  <c r="U52" i="4" s="1"/>
  <c r="S52" i="4"/>
  <c r="O48" i="4"/>
  <c r="P48" i="4" s="1"/>
  <c r="O49" i="4"/>
  <c r="P49" i="4" s="1"/>
  <c r="M49" i="4"/>
  <c r="U49" i="4" s="1"/>
  <c r="M48" i="4"/>
  <c r="U48" i="4" s="1"/>
  <c r="M35" i="4"/>
  <c r="U35" i="4" s="1"/>
  <c r="O30" i="4"/>
  <c r="P30" i="4" s="1"/>
  <c r="M47" i="4"/>
  <c r="U47" i="4" s="1"/>
  <c r="M45" i="4"/>
  <c r="U45" i="4" s="1"/>
  <c r="M31" i="4"/>
  <c r="U31" i="4" s="1"/>
  <c r="O43" i="4"/>
  <c r="P43" i="4" s="1"/>
  <c r="O28" i="4"/>
  <c r="P28" i="4" s="1"/>
  <c r="M44" i="4"/>
  <c r="U44" i="4" s="1"/>
  <c r="M39" i="4"/>
  <c r="U39" i="4" s="1"/>
  <c r="O45" i="4"/>
  <c r="P45" i="4" s="1"/>
  <c r="O31" i="4"/>
  <c r="P31" i="4" s="1"/>
  <c r="M43" i="4"/>
  <c r="U43" i="4" s="1"/>
  <c r="K36" i="4"/>
  <c r="O47" i="4"/>
  <c r="P47" i="4" s="1"/>
  <c r="O33" i="4"/>
  <c r="P33" i="4" s="1"/>
  <c r="O46" i="4"/>
  <c r="P46" i="4" s="1"/>
  <c r="O39" i="4"/>
  <c r="P39" i="4" s="1"/>
  <c r="O41" i="4"/>
  <c r="P41" i="4" s="1"/>
  <c r="K44" i="4"/>
  <c r="L46" i="4"/>
  <c r="S46" i="4" s="1"/>
  <c r="K37" i="4"/>
  <c r="L41" i="4"/>
  <c r="S41" i="4" s="1"/>
  <c r="K42" i="4"/>
  <c r="K34" i="4"/>
  <c r="L33" i="4"/>
  <c r="S33" i="4" s="1"/>
  <c r="K38" i="4"/>
  <c r="K29" i="4"/>
  <c r="M32" i="4"/>
  <c r="U32" i="4" s="1"/>
  <c r="M40" i="4"/>
  <c r="U40" i="4" s="1"/>
  <c r="M34" i="4"/>
  <c r="U34" i="4" s="1"/>
  <c r="M29" i="4"/>
  <c r="U29" i="4" s="1"/>
  <c r="M37" i="4"/>
  <c r="U37" i="4" s="1"/>
  <c r="M42" i="4"/>
  <c r="U42" i="4" s="1"/>
  <c r="M38" i="4"/>
  <c r="U38" i="4" s="1"/>
  <c r="M36" i="4"/>
  <c r="U36" i="4" s="1"/>
  <c r="K40" i="4"/>
  <c r="K32" i="4"/>
  <c r="L28" i="4"/>
  <c r="S28" i="4" s="1"/>
  <c r="V29" i="4" l="1"/>
  <c r="T29" i="4"/>
  <c r="V32" i="4"/>
  <c r="T32" i="4"/>
  <c r="V54" i="4"/>
  <c r="V36" i="4"/>
  <c r="T36" i="4"/>
  <c r="M30" i="4"/>
  <c r="V39" i="4"/>
  <c r="V38" i="4"/>
  <c r="T38" i="4"/>
  <c r="V53" i="4"/>
  <c r="V40" i="4"/>
  <c r="T40" i="4"/>
  <c r="V35" i="4"/>
  <c r="T35" i="4"/>
  <c r="V34" i="4"/>
  <c r="T34" i="4"/>
  <c r="V42" i="4"/>
  <c r="T42" i="4"/>
  <c r="V31" i="4"/>
  <c r="V37" i="4"/>
  <c r="T37" i="4"/>
  <c r="V43" i="4"/>
  <c r="V49" i="4"/>
  <c r="V48" i="4"/>
  <c r="V44" i="4"/>
  <c r="T44" i="4"/>
  <c r="V45" i="4"/>
  <c r="O32" i="4"/>
  <c r="P32" i="4" s="1"/>
  <c r="O34" i="4"/>
  <c r="P34" i="4" s="1"/>
  <c r="O42" i="4"/>
  <c r="P42" i="4" s="1"/>
  <c r="O29" i="4"/>
  <c r="P29" i="4" s="1"/>
  <c r="O36" i="4"/>
  <c r="P36" i="4" s="1"/>
  <c r="O38" i="4"/>
  <c r="P38" i="4" s="1"/>
  <c r="O40" i="4"/>
  <c r="P40" i="4" s="1"/>
  <c r="M33" i="4"/>
  <c r="M41" i="4"/>
  <c r="O37" i="4"/>
  <c r="P37" i="4" s="1"/>
  <c r="M46" i="4"/>
  <c r="O44" i="4"/>
  <c r="P44" i="4" s="1"/>
  <c r="M28" i="4"/>
  <c r="U28" i="4" l="1"/>
  <c r="V28" i="4"/>
  <c r="U46" i="4"/>
  <c r="V46" i="4"/>
  <c r="U41" i="4"/>
  <c r="V41" i="4"/>
  <c r="U30" i="4"/>
  <c r="V30" i="4"/>
  <c r="U33" i="4"/>
  <c r="V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<sst xmlns="http://schemas.openxmlformats.org/spreadsheetml/2006/main" count="340" uniqueCount="314">
  <si>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</si>
  <si>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</si>
  <si>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</si>
  <si>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</si>
  <si>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</si>
  <si>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</si>
  <si>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</si>
  <si>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</si>
  <si>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</si>
  <si>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</si>
  <si>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</si>
  <si>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</si>
  <si>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</si>
  <si>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</si>
  <si>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</si>
  <si>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</si>
  <si>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</si>
  <si>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</si>
  <si>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</si>
  <si>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</si>
  <si>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</si>
  <si>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</si>
  <si>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</si>
  <si>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</si>
  <si>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</si>
  <si>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</si>
  <si>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</si>
  <si>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</si>
  <si>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</si>
  <si>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</si>
  <si>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</si>
  <si>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</si>
  <si>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</si>
  <si>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</si>
  <si>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</si>
  <si>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</si>
  <si>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</si>
  <si>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</si>
  <si>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</si>
  <si>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</si>
  <si>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</si>
  <si>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</si>
  <si>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</si>
  <si>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</si>
  <si>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</si>
  <si>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</si>
  <si>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</si>
  <si>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</si>
  <si>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</si>
  <si>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</si>
  <si>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</si>
  <si>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</si>
  <si>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</si>
  <si>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</si>
  <si>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</si>
  <si>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</si>
  <si>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</si>
  <si>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</si>
  <si>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</si>
  <si>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</si>
  <si>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</si>
  <si>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</si>
  <si>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</si>
  <si>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</si>
  <si>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</si>
  <si>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</si>
  <si>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</si>
  <si>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</si>
  <si>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</si>
  <si>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</si>
  <si>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</si>
  <si>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</si>
  <si>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</si>
  <si>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</si>
  <si>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</si>
  <si>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</si>
  <si>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</si>
  <si>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</si>
  <si>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</si>
  <si>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</si>
  <si>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</si>
  <si>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</si>
  <si>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</si>
  <si>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</si>
  <si>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</si>
  <si>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</si>
  <si>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</si>
  <si>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</si>
  <si>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</si>
  <si>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</si>
  <si>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</si>
  <si>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</si>
  <si>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</si>
  <si>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</si>
  <si>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</si>
  <si>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</si>
  <si>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</si>
  <si>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</si>
  <si>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</si>
  <si>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</si>
  <si>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</si>
  <si>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</si>
  <si>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</si>
  <si>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</si>
  <si>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</si>
  <si>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</si>
  <si>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</si>
  <si>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</si>
  <si>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</si>
  <si>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</si>
  <si>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</si>
  <si>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MCF7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</si>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</sst>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X9" sqref="X9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111</v>
      </c>
      <c r="K17" s="31" t="s">
        <v>79</v>
      </c>
      <c r="L17" s="80">
        <v>9.8986000000000005E-3</v>
      </c>
      <c r="M17" s="80">
        <v>5.1399999999999996E-5</v>
      </c>
      <c r="N17" s="80">
        <v>5.0000000000000002E-5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A17" zoomScale="55" zoomScaleNormal="55" workbookViewId="0">
      <selection activeCell="B28" sqref="B28:F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68"/>
      <c r="H1" s="16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68"/>
      <c r="H2" s="168"/>
      <c r="I2" s="113" t="s">
        <v>19</v>
      </c>
      <c r="J2" s="114"/>
      <c r="K2" s="114"/>
      <c r="L2" s="114"/>
      <c r="M2" s="114"/>
      <c r="N2" s="114"/>
      <c r="O2" s="114"/>
      <c r="P2" s="114"/>
      <c r="Q2" s="11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68"/>
      <c r="H3" s="168"/>
      <c r="I3" s="116"/>
      <c r="J3" s="117"/>
      <c r="K3" s="117"/>
      <c r="L3" s="117"/>
      <c r="M3" s="117"/>
      <c r="N3" s="117"/>
      <c r="O3" s="117"/>
      <c r="P3" s="117"/>
      <c r="Q3" s="11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68"/>
      <c r="H4" s="168"/>
      <c r="I4" s="119"/>
      <c r="J4" s="120"/>
      <c r="K4" s="120"/>
      <c r="L4" s="120"/>
      <c r="M4" s="120"/>
      <c r="N4" s="120"/>
      <c r="O4" s="120"/>
      <c r="P4" s="120"/>
      <c r="Q4" s="12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68"/>
      <c r="H5" s="168"/>
      <c r="I5" s="122" t="s">
        <v>38</v>
      </c>
      <c r="J5" s="123"/>
      <c r="K5" s="123"/>
      <c r="L5" s="123"/>
      <c r="M5" s="123"/>
      <c r="N5" s="123"/>
      <c r="O5" s="123"/>
      <c r="P5" s="123"/>
      <c r="Q5" s="12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68"/>
      <c r="H6" s="168"/>
      <c r="I6" s="49" t="s">
        <v>49</v>
      </c>
      <c r="J6" s="49" t="s">
        <v>50</v>
      </c>
      <c r="K6" s="49" t="s">
        <v>46</v>
      </c>
      <c r="L6" s="165" t="s">
        <v>39</v>
      </c>
      <c r="M6" s="166"/>
      <c r="N6" s="166"/>
      <c r="O6" s="166"/>
      <c r="P6" s="166"/>
      <c r="Q6" s="16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68"/>
      <c r="H7" s="168"/>
      <c r="I7" s="50" t="s">
        <v>20</v>
      </c>
      <c r="J7" s="37">
        <f>SUM(J13,J19)</f>
        <v>150.19999999999999</v>
      </c>
      <c r="K7" s="38">
        <f>J7/J7</f>
        <v>1</v>
      </c>
      <c r="L7" s="159" t="s">
        <v>68</v>
      </c>
      <c r="M7" s="160"/>
      <c r="N7" s="160"/>
      <c r="O7" s="160"/>
      <c r="P7" s="160"/>
      <c r="Q7" s="161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40" t="s">
        <v>3</v>
      </c>
      <c r="C8" s="141"/>
      <c r="D8" s="141"/>
      <c r="E8" s="141"/>
      <c r="F8" s="142"/>
      <c r="G8" s="168"/>
      <c r="H8" s="168"/>
      <c r="I8" s="51" t="s">
        <v>6</v>
      </c>
      <c r="J8" s="37">
        <f>SUM(J14,J20)</f>
        <v>150.120272</v>
      </c>
      <c r="K8" s="39">
        <f>J8/J7</f>
        <v>0.9994691877496672</v>
      </c>
      <c r="L8" s="159" t="s">
        <v>69</v>
      </c>
      <c r="M8" s="160"/>
      <c r="N8" s="160"/>
      <c r="O8" s="160"/>
      <c r="P8" s="160"/>
      <c r="Q8" s="161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43"/>
      <c r="C9" s="144"/>
      <c r="D9" s="144"/>
      <c r="E9" s="144"/>
      <c r="F9" s="145"/>
      <c r="G9" s="168"/>
      <c r="H9" s="168"/>
      <c r="I9" s="50" t="s">
        <v>8</v>
      </c>
      <c r="J9" s="40">
        <f t="shared" ref="J9:J10" si="0">SUM(J15,J21)</f>
        <v>7.3027999999999996E-2</v>
      </c>
      <c r="K9" s="39">
        <f>J9/J7</f>
        <v>4.8620505992010655E-4</v>
      </c>
      <c r="L9" s="159" t="s">
        <v>69</v>
      </c>
      <c r="M9" s="160"/>
      <c r="N9" s="160"/>
      <c r="O9" s="160"/>
      <c r="P9" s="160"/>
      <c r="Q9" s="161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46"/>
      <c r="C10" s="147"/>
      <c r="D10" s="147"/>
      <c r="E10" s="147"/>
      <c r="F10" s="148"/>
      <c r="G10" s="168"/>
      <c r="H10" s="168"/>
      <c r="I10" s="51" t="s">
        <v>9</v>
      </c>
      <c r="J10" s="40">
        <f t="shared" si="0"/>
        <v>6.6999999999999994E-3</v>
      </c>
      <c r="K10" s="39">
        <f>J10/J7</f>
        <v>4.4607190412782955E-5</v>
      </c>
      <c r="L10" s="159" t="s">
        <v>69</v>
      </c>
      <c r="M10" s="160"/>
      <c r="N10" s="160"/>
      <c r="O10" s="160"/>
      <c r="P10" s="160"/>
      <c r="Q10" s="161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9" t="s">
        <v>36</v>
      </c>
      <c r="C11" s="150"/>
      <c r="D11" s="150"/>
      <c r="E11" s="150"/>
      <c r="F11" s="151"/>
      <c r="G11" s="168"/>
      <c r="H11" s="168"/>
      <c r="I11" s="184"/>
      <c r="J11" s="184"/>
      <c r="K11" s="184"/>
      <c r="L11" s="184"/>
      <c r="M11" s="184"/>
      <c r="N11" s="184"/>
      <c r="O11" s="184"/>
      <c r="P11" s="184"/>
      <c r="Q11" s="184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52"/>
      <c r="C12" s="153"/>
      <c r="D12" s="153"/>
      <c r="E12" s="153"/>
      <c r="F12" s="154"/>
      <c r="G12" s="168"/>
      <c r="H12" s="168"/>
      <c r="I12" s="49" t="s">
        <v>51</v>
      </c>
      <c r="J12" s="49" t="s">
        <v>50</v>
      </c>
      <c r="K12" s="49" t="s">
        <v>46</v>
      </c>
      <c r="L12" s="165" t="s">
        <v>39</v>
      </c>
      <c r="M12" s="166"/>
      <c r="N12" s="166"/>
      <c r="O12" s="166"/>
      <c r="P12" s="166"/>
      <c r="Q12" s="16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8" t="s">
        <v>4</v>
      </c>
      <c r="C13" s="139"/>
      <c r="D13" s="128" t="s">
        <v>39</v>
      </c>
      <c r="E13" s="128"/>
      <c r="F13" s="128"/>
      <c r="G13" s="168"/>
      <c r="H13" s="168"/>
      <c r="I13" s="50" t="s">
        <v>5</v>
      </c>
      <c r="J13" s="41">
        <f>SUM(J14:J16)</f>
        <v>150</v>
      </c>
      <c r="K13" s="38">
        <f>J13/J13</f>
        <v>1</v>
      </c>
      <c r="L13" s="159" t="s">
        <v>71</v>
      </c>
      <c r="M13" s="160"/>
      <c r="N13" s="160"/>
      <c r="O13" s="160"/>
      <c r="P13" s="160"/>
      <c r="Q13" s="161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29" t="s">
        <v>17</v>
      </c>
      <c r="E14" s="129"/>
      <c r="F14" s="129"/>
      <c r="G14" s="168"/>
      <c r="H14" s="168"/>
      <c r="I14" s="51" t="s">
        <v>43</v>
      </c>
      <c r="J14" s="41">
        <f>C14-SUM(J15:J16)</f>
        <v>149.92230000000001</v>
      </c>
      <c r="K14" s="39">
        <f>J14/J13</f>
        <v>0.99948200000000009</v>
      </c>
      <c r="L14" s="162" t="s">
        <v>70</v>
      </c>
      <c r="M14" s="163"/>
      <c r="N14" s="163"/>
      <c r="O14" s="163"/>
      <c r="P14" s="163"/>
      <c r="Q14" s="164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30" t="s">
        <v>60</v>
      </c>
      <c r="E15" s="130"/>
      <c r="F15" s="130"/>
      <c r="G15" s="168"/>
      <c r="H15" s="16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7.1999999999999995E-2</v>
      </c>
      <c r="K15" s="39">
        <f>J15/J13</f>
        <v>4.7999999999999996E-4</v>
      </c>
      <c r="L15" s="159" t="s">
        <v>69</v>
      </c>
      <c r="M15" s="160"/>
      <c r="N15" s="160"/>
      <c r="O15" s="160"/>
      <c r="P15" s="160"/>
      <c r="Q15" s="161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0.98</v>
      </c>
      <c r="D16" s="131" t="s">
        <v>40</v>
      </c>
      <c r="E16" s="132"/>
      <c r="F16" s="133"/>
      <c r="G16" s="168"/>
      <c r="H16" s="16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5.6999999999999993E-3</v>
      </c>
      <c r="K16" s="39">
        <f>J16/J13</f>
        <v>3.7999999999999995E-5</v>
      </c>
      <c r="L16" s="159" t="s">
        <v>69</v>
      </c>
      <c r="M16" s="160"/>
      <c r="N16" s="160"/>
      <c r="O16" s="160"/>
      <c r="P16" s="160"/>
      <c r="Q16" s="161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16</v>
      </c>
      <c r="D17" s="134" t="s">
        <v>61</v>
      </c>
      <c r="E17" s="135"/>
      <c r="F17" s="136"/>
      <c r="G17" s="168"/>
      <c r="H17" s="168"/>
      <c r="I17" s="162"/>
      <c r="J17" s="163"/>
      <c r="K17" s="163"/>
      <c r="L17" s="163"/>
      <c r="M17" s="163"/>
      <c r="N17" s="163"/>
      <c r="O17" s="163"/>
      <c r="P17" s="163"/>
      <c r="Q17" s="164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0.02</v>
      </c>
      <c r="D18" s="131" t="s">
        <v>41</v>
      </c>
      <c r="E18" s="132"/>
      <c r="F18" s="133"/>
      <c r="G18" s="168"/>
      <c r="H18" s="168"/>
      <c r="I18" s="49" t="s">
        <v>29</v>
      </c>
      <c r="J18" s="49" t="s">
        <v>50</v>
      </c>
      <c r="K18" s="49" t="s">
        <v>46</v>
      </c>
      <c r="L18" s="165" t="s">
        <v>39</v>
      </c>
      <c r="M18" s="166"/>
      <c r="N18" s="166"/>
      <c r="O18" s="166"/>
      <c r="P18" s="166"/>
      <c r="Q18" s="16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30"/>
      <c r="C19" s="130"/>
      <c r="D19" s="130"/>
      <c r="E19" s="130"/>
      <c r="F19" s="130"/>
      <c r="G19" s="168"/>
      <c r="H19" s="168"/>
      <c r="I19" s="50" t="s">
        <v>5</v>
      </c>
      <c r="J19" s="41">
        <f>SUM(J20:J22)</f>
        <v>0.2</v>
      </c>
      <c r="K19" s="38">
        <f>J19/J19</f>
        <v>1</v>
      </c>
      <c r="L19" s="159" t="s">
        <v>55</v>
      </c>
      <c r="M19" s="160"/>
      <c r="N19" s="160"/>
      <c r="O19" s="160"/>
      <c r="P19" s="160"/>
      <c r="Q19" s="161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8" t="s">
        <v>7</v>
      </c>
      <c r="C20" s="139"/>
      <c r="D20" s="128" t="s">
        <v>39</v>
      </c>
      <c r="E20" s="128"/>
      <c r="F20" s="128"/>
      <c r="G20" s="168"/>
      <c r="H20" s="16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0.19797200000000001</v>
      </c>
      <c r="K20" s="39">
        <f>J20/J19</f>
        <v>0.98985999999999996</v>
      </c>
      <c r="L20" s="159" t="s">
        <v>69</v>
      </c>
      <c r="M20" s="160"/>
      <c r="N20" s="160"/>
      <c r="O20" s="160"/>
      <c r="P20" s="160"/>
      <c r="Q20" s="161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79</v>
      </c>
      <c r="D21" s="134" t="s">
        <v>61</v>
      </c>
      <c r="E21" s="135"/>
      <c r="F21" s="136"/>
      <c r="G21" s="168"/>
      <c r="H21" s="16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1.0279999999999998E-3</v>
      </c>
      <c r="K21" s="39">
        <f>J21/J19</f>
        <v>5.1399999999999987E-3</v>
      </c>
      <c r="L21" s="159" t="s">
        <v>69</v>
      </c>
      <c r="M21" s="160"/>
      <c r="N21" s="160"/>
      <c r="O21" s="160"/>
      <c r="P21" s="160"/>
      <c r="Q21" s="161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37" t="s">
        <v>67</v>
      </c>
      <c r="E22" s="137"/>
      <c r="F22" s="137"/>
      <c r="G22" s="168"/>
      <c r="H22" s="16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1.0000000000000002E-3</v>
      </c>
      <c r="K22" s="39">
        <f>J22/J19</f>
        <v>5.000000000000001E-3</v>
      </c>
      <c r="L22" s="159" t="s">
        <v>69</v>
      </c>
      <c r="M22" s="160"/>
      <c r="N22" s="160"/>
      <c r="O22" s="160"/>
      <c r="P22" s="160"/>
      <c r="Q22" s="161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25"/>
      <c r="C23" s="126"/>
      <c r="D23" s="126"/>
      <c r="E23" s="126"/>
      <c r="F23" s="127"/>
      <c r="G23" s="168"/>
      <c r="H23" s="168"/>
      <c r="I23" s="179"/>
      <c r="J23" s="180"/>
      <c r="K23" s="180"/>
      <c r="L23" s="180"/>
      <c r="M23" s="180"/>
      <c r="N23" s="180"/>
      <c r="O23" s="180"/>
      <c r="P23" s="180"/>
      <c r="Q23" s="181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9" t="s">
        <v>37</v>
      </c>
      <c r="C24" s="150"/>
      <c r="D24" s="150"/>
      <c r="E24" s="150"/>
      <c r="F24" s="151"/>
      <c r="G24" s="168"/>
      <c r="H24" s="168"/>
      <c r="I24" s="173" t="s">
        <v>42</v>
      </c>
      <c r="J24" s="174"/>
      <c r="K24" s="174"/>
      <c r="L24" s="174"/>
      <c r="M24" s="174"/>
      <c r="N24" s="174"/>
      <c r="O24" s="174"/>
      <c r="P24" s="174"/>
      <c r="Q24" s="175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52"/>
      <c r="C25" s="153"/>
      <c r="D25" s="153"/>
      <c r="E25" s="153"/>
      <c r="F25" s="154"/>
      <c r="G25" s="168"/>
      <c r="H25" s="168"/>
      <c r="I25" s="176"/>
      <c r="J25" s="177"/>
      <c r="K25" s="177"/>
      <c r="L25" s="177"/>
      <c r="M25" s="177"/>
      <c r="N25" s="177"/>
      <c r="O25" s="177"/>
      <c r="P25" s="177"/>
      <c r="Q25" s="178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71" t="s">
        <v>11</v>
      </c>
      <c r="C26" s="171" t="s">
        <v>12</v>
      </c>
      <c r="D26" s="155" t="s">
        <v>47</v>
      </c>
      <c r="E26" s="155" t="s">
        <v>48</v>
      </c>
      <c r="F26" s="157" t="s">
        <v>66</v>
      </c>
      <c r="G26" s="168"/>
      <c r="H26" s="168"/>
      <c r="I26" s="182" t="s">
        <v>53</v>
      </c>
      <c r="J26" s="182" t="s">
        <v>54</v>
      </c>
      <c r="K26" s="169" t="s">
        <v>73</v>
      </c>
      <c r="L26" s="169" t="s">
        <v>52</v>
      </c>
      <c r="M26" s="169" t="s">
        <v>59</v>
      </c>
      <c r="N26" s="169" t="s">
        <v>62</v>
      </c>
      <c r="O26" s="169" t="s">
        <v>72</v>
      </c>
      <c r="P26" s="169" t="s">
        <v>64</v>
      </c>
      <c r="Q26" s="169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72"/>
      <c r="C27" s="172"/>
      <c r="D27" s="156"/>
      <c r="E27" s="156"/>
      <c r="F27" s="158"/>
      <c r="G27" s="168"/>
      <c r="H27" s="168"/>
      <c r="I27" s="183"/>
      <c r="J27" s="183"/>
      <c r="K27" s="170"/>
      <c r="L27" s="170"/>
      <c r="M27" s="170"/>
      <c r="N27" s="170"/>
      <c r="O27" s="170"/>
      <c r="P27" s="170"/>
      <c r="Q27" s="170"/>
      <c r="R27" s="7" t="s">
        <v>78</v>
      </c>
      <c r="S27" s="7" t="s">
        <v>77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88</v>
      </c>
      <c r="C28" s="46" t="s">
        <v>89</v>
      </c>
      <c r="D28" s="47">
        <v>6.5247999999999973E-2</v>
      </c>
      <c r="E28" s="47">
        <v>8.2216000000000289E-2</v>
      </c>
      <c r="F28" s="96">
        <v>9.9999999999999995E-7</v>
      </c>
      <c r="G28" s="168"/>
      <c r="H28" s="168"/>
      <c r="I28" s="92">
        <f t="shared" ref="I28:I47" si="1">IF(D28=0,"",LOG($K$15*10^D28+$K$16*10^E28+$K$14))</f>
        <v>3.7232006014196545E-5</v>
      </c>
      <c r="J28" s="92">
        <f t="shared" ref="J28:J47" si="2">IF(D28=0,"",LOG($K$21*10^D28+$K$22*10^E28+$K$20))</f>
        <v>8.1368247852758456E-4</v>
      </c>
      <c r="K28" s="93">
        <f t="shared" ref="K28:K47" si="3">IF(D28=0,"",1/(1+10^D28*$J$15/$J$14+10^E28*$J$16/$J$14+10^J28*$J$19/$J$14))</f>
        <v>0.99806318600201693</v>
      </c>
      <c r="L28" s="93">
        <f t="shared" ref="L28:L47" si="4">IF(D28=0,"",1/(1+10^I28/10^J28*$J$13/$J$19))</f>
        <v>1.3339374905776075E-3</v>
      </c>
      <c r="M28" s="93">
        <f t="shared" ref="M28:M47" si="5">IF(D28=0,"",1-L28)</f>
        <v>0.99866606250942236</v>
      </c>
      <c r="N28" s="93">
        <f t="shared" ref="N28:N47" si="6">IF(D28=0,"",1/(1/10^E28*$J$20/$J$22+10^D28/10^E28*$J$21/$J$22+10^I28/10^E28*$J$13/$J$22+1))</f>
        <v>8.0446619771821949E-6</v>
      </c>
      <c r="O28" s="40">
        <f t="shared" ref="O28:O47" si="7">IF(D28=0,"",F28*K28*$J$7/$J$14)</f>
        <v>9.9991189127636715E-7</v>
      </c>
      <c r="P28" s="40">
        <f t="shared" ref="P28:P47" si="8">IF(D28=0,"",O28*10^J28)</f>
        <v>1.0017870554237831E-6</v>
      </c>
      <c r="Q28" s="40">
        <f t="shared" ref="Q28:Q47" si="9">IF(D28=0,"",F28*N28*$J$7/$J$22)</f>
        <v>1.2083082289727652E-6</v>
      </c>
      <c r="R28" s="9">
        <f>F28*$C$14</f>
        <v>1.4999999999999999E-4</v>
      </c>
      <c r="S28" s="9">
        <f>$R28*L28</f>
        <v>2.0009062358664112E-7</v>
      </c>
      <c r="T28" s="9">
        <f t="shared" ref="T28:T91" si="10">R28*K28</f>
        <v>1.4970947790030251E-4</v>
      </c>
      <c r="U28" s="9">
        <f t="shared" ref="U28:U91" si="11">$R28*M28</f>
        <v>1.4979990937641333E-4</v>
      </c>
      <c r="V28" s="100">
        <f>K28/M28</f>
        <v>0.99939631821883435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162</v>
      </c>
      <c r="C29" s="46" t="s">
        <v>163</v>
      </c>
      <c r="D29" s="47">
        <v>2.31</v>
      </c>
      <c r="E29" s="47">
        <v>2.58</v>
      </c>
      <c r="F29" s="96">
        <v>9.9999999999999995E-7</v>
      </c>
      <c r="G29" s="168"/>
      <c r="H29" s="168"/>
      <c r="I29" s="92">
        <f t="shared" si="1"/>
        <v>4.6078470391874224E-2</v>
      </c>
      <c r="J29" s="92">
        <f t="shared" si="2"/>
        <v>0.59552491133732632</v>
      </c>
      <c r="K29" s="93">
        <f t="shared" si="3"/>
        <v>0.89464219270089973</v>
      </c>
      <c r="L29" s="93">
        <f t="shared" si="4"/>
        <v>4.7026000819497199E-3</v>
      </c>
      <c r="M29" s="93">
        <f t="shared" si="5"/>
        <v>0.99529739991805033</v>
      </c>
      <c r="N29" s="93">
        <f t="shared" si="6"/>
        <v>2.2687317041284634E-3</v>
      </c>
      <c r="O29" s="40">
        <f t="shared" si="7"/>
        <v>8.9629933201181623E-7</v>
      </c>
      <c r="P29" s="40">
        <f t="shared" si="8"/>
        <v>3.5316526615442391E-6</v>
      </c>
      <c r="Q29" s="40">
        <f t="shared" si="9"/>
        <v>3.4076350196009507E-4</v>
      </c>
      <c r="R29" s="9">
        <f t="shared" ref="R29:R92" si="12">F29*$C$14</f>
        <v>1.4999999999999999E-4</v>
      </c>
      <c r="S29" s="9">
        <f t="shared" ref="S29:S92" si="13">$R29*L29</f>
        <v>7.0539001229245796E-7</v>
      </c>
      <c r="T29" s="9">
        <f t="shared" si="10"/>
        <v>1.3419632890513495E-4</v>
      </c>
      <c r="U29" s="9">
        <f t="shared" si="11"/>
        <v>1.4929460998770755E-4</v>
      </c>
      <c r="V29" s="100">
        <f t="shared" ref="V29:V92" si="14">K29/M29</f>
        <v>0.89886921514570595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164</v>
      </c>
      <c r="C30" s="46" t="s">
        <v>165</v>
      </c>
      <c r="D30" s="90">
        <v>4.4000000000000004</v>
      </c>
      <c r="E30" s="90">
        <v>2.64</v>
      </c>
      <c r="F30" s="96">
        <v>9.9999999999999995E-7</v>
      </c>
      <c r="G30" s="168"/>
      <c r="H30" s="168"/>
      <c r="I30" s="92">
        <f t="shared" si="1"/>
        <v>1.116379396238508</v>
      </c>
      <c r="J30" s="92">
        <f t="shared" si="2"/>
        <v>2.1215053545079172</v>
      </c>
      <c r="K30" s="93">
        <f t="shared" si="3"/>
        <v>7.5435437061085575E-2</v>
      </c>
      <c r="L30" s="93">
        <f t="shared" si="4"/>
        <v>1.3312037270297918E-2</v>
      </c>
      <c r="M30" s="93">
        <f t="shared" si="5"/>
        <v>0.98668796272970205</v>
      </c>
      <c r="N30" s="93">
        <f t="shared" si="6"/>
        <v>2.1963885685532064E-4</v>
      </c>
      <c r="O30" s="40">
        <f t="shared" si="7"/>
        <v>7.5575165579603923E-8</v>
      </c>
      <c r="P30" s="40">
        <f t="shared" si="8"/>
        <v>9.9973399899937434E-6</v>
      </c>
      <c r="Q30" s="40">
        <f t="shared" si="9"/>
        <v>3.2989756299669151E-5</v>
      </c>
      <c r="R30" s="9">
        <f t="shared" si="12"/>
        <v>1.4999999999999999E-4</v>
      </c>
      <c r="S30" s="9">
        <f t="shared" si="13"/>
        <v>1.9968055905446878E-6</v>
      </c>
      <c r="T30" s="9">
        <f t="shared" si="10"/>
        <v>1.1315315559162835E-5</v>
      </c>
      <c r="U30" s="9">
        <f t="shared" si="11"/>
        <v>1.4800319440945529E-4</v>
      </c>
      <c r="V30" s="100">
        <f t="shared" si="14"/>
        <v>7.6453184705315716E-2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90</v>
      </c>
      <c r="C31" s="46" t="s">
        <v>91</v>
      </c>
      <c r="D31" s="47">
        <v>-0.92190615231165807</v>
      </c>
      <c r="E31" s="47">
        <v>-1.7889087518799642</v>
      </c>
      <c r="F31" s="96">
        <v>9.9999999999999995E-7</v>
      </c>
      <c r="G31" s="168"/>
      <c r="H31" s="168"/>
      <c r="I31" s="92">
        <f t="shared" si="1"/>
        <v>-1.9978935919434454E-4</v>
      </c>
      <c r="J31" s="92">
        <f t="shared" si="2"/>
        <v>-4.120725013364435E-3</v>
      </c>
      <c r="K31" s="93">
        <f t="shared" si="3"/>
        <v>0.99862237001802145</v>
      </c>
      <c r="L31" s="93">
        <f t="shared" si="4"/>
        <v>1.3196061315530081E-3</v>
      </c>
      <c r="M31" s="93">
        <f t="shared" si="5"/>
        <v>0.99868039386844698</v>
      </c>
      <c r="N31" s="93">
        <f t="shared" si="6"/>
        <v>1.0829946277674029E-7</v>
      </c>
      <c r="O31" s="40">
        <f t="shared" si="7"/>
        <v>1.0004721110649102E-6</v>
      </c>
      <c r="P31" s="40">
        <f t="shared" si="8"/>
        <v>9.9102420479630885E-7</v>
      </c>
      <c r="Q31" s="40">
        <f t="shared" si="9"/>
        <v>1.6266579309066385E-8</v>
      </c>
      <c r="R31" s="9">
        <f t="shared" si="12"/>
        <v>1.4999999999999999E-4</v>
      </c>
      <c r="S31" s="9">
        <f t="shared" si="13"/>
        <v>1.979409197329512E-7</v>
      </c>
      <c r="T31" s="9">
        <f t="shared" si="10"/>
        <v>1.4979335550270321E-4</v>
      </c>
      <c r="U31" s="9">
        <f t="shared" si="11"/>
        <v>1.4980205908026703E-4</v>
      </c>
      <c r="V31" s="100">
        <f t="shared" si="14"/>
        <v>0.99994189947977175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92</v>
      </c>
      <c r="C32" s="46" t="s">
        <v>93</v>
      </c>
      <c r="D32" s="47">
        <v>0.54749180498968375</v>
      </c>
      <c r="E32" s="47">
        <v>0.30136158174588817</v>
      </c>
      <c r="F32" s="96">
        <v>9.9999999999999995E-7</v>
      </c>
      <c r="G32" s="168"/>
      <c r="H32" s="168"/>
      <c r="I32" s="92">
        <f t="shared" si="1"/>
        <v>5.4311668398331027E-4</v>
      </c>
      <c r="J32" s="92">
        <f t="shared" si="2"/>
        <v>7.7477876607213378E-3</v>
      </c>
      <c r="K32" s="93">
        <f t="shared" si="3"/>
        <v>0.99688144729559824</v>
      </c>
      <c r="L32" s="93">
        <f t="shared" si="4"/>
        <v>1.3538017171823094E-3</v>
      </c>
      <c r="M32" s="93">
        <f t="shared" si="5"/>
        <v>0.99864619828281764</v>
      </c>
      <c r="N32" s="93">
        <f t="shared" si="6"/>
        <v>1.330879878535482E-5</v>
      </c>
      <c r="O32" s="40">
        <f t="shared" si="7"/>
        <v>9.9872796364382632E-7</v>
      </c>
      <c r="P32" s="40">
        <f t="shared" si="8"/>
        <v>1.0167050896039142E-6</v>
      </c>
      <c r="Q32" s="40">
        <f t="shared" si="9"/>
        <v>1.9989815775602931E-6</v>
      </c>
      <c r="R32" s="9">
        <f t="shared" si="12"/>
        <v>1.4999999999999999E-4</v>
      </c>
      <c r="S32" s="9">
        <f t="shared" si="13"/>
        <v>2.030702575773464E-7</v>
      </c>
      <c r="T32" s="9">
        <f t="shared" si="10"/>
        <v>1.4953221709433973E-4</v>
      </c>
      <c r="U32" s="9">
        <f t="shared" si="11"/>
        <v>1.4979692974242265E-4</v>
      </c>
      <c r="V32" s="100">
        <f t="shared" si="14"/>
        <v>0.9982328566510803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166</v>
      </c>
      <c r="C33" s="94" t="s">
        <v>110</v>
      </c>
      <c r="D33" s="95">
        <v>1.6452318246143236</v>
      </c>
      <c r="E33" s="95">
        <v>1.8629354124795308</v>
      </c>
      <c r="F33" s="96">
        <v>9.9999999999999995E-7</v>
      </c>
      <c r="G33" s="168"/>
      <c r="H33" s="168"/>
      <c r="I33" s="92">
        <f t="shared" si="1"/>
        <v>1.0070969156464394E-2</v>
      </c>
      <c r="J33" s="92">
        <f t="shared" si="2"/>
        <v>0.19910294819785623</v>
      </c>
      <c r="K33" s="93">
        <f t="shared" si="3"/>
        <v>0.9745633360840783</v>
      </c>
      <c r="L33" s="93">
        <f t="shared" si="4"/>
        <v>2.0562540773212414E-3</v>
      </c>
      <c r="M33" s="93">
        <f t="shared" si="5"/>
        <v>0.99794374592267876</v>
      </c>
      <c r="N33" s="93">
        <f t="shared" si="6"/>
        <v>4.7411014131698109E-4</v>
      </c>
      <c r="O33" s="40">
        <f t="shared" si="7"/>
        <v>9.7636851275513093E-7</v>
      </c>
      <c r="P33" s="40">
        <f t="shared" si="8"/>
        <v>1.5442468120682522E-6</v>
      </c>
      <c r="Q33" s="40">
        <f t="shared" si="9"/>
        <v>7.1211343225810532E-5</v>
      </c>
      <c r="R33" s="9">
        <f t="shared" si="12"/>
        <v>1.4999999999999999E-4</v>
      </c>
      <c r="S33" s="9">
        <f t="shared" si="13"/>
        <v>3.0843811159818616E-7</v>
      </c>
      <c r="T33" s="9">
        <f t="shared" si="10"/>
        <v>1.4618450041261173E-4</v>
      </c>
      <c r="U33" s="9">
        <f t="shared" si="11"/>
        <v>1.496915618884018E-4</v>
      </c>
      <c r="V33" s="100">
        <f t="shared" si="14"/>
        <v>0.97657141503804568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94</v>
      </c>
      <c r="C34" s="46" t="s">
        <v>95</v>
      </c>
      <c r="D34" s="90">
        <v>0.39857726844789648</v>
      </c>
      <c r="E34" s="90">
        <v>8.9525410045599246E-2</v>
      </c>
      <c r="F34" s="96">
        <v>9.9999999999999995E-7</v>
      </c>
      <c r="G34" s="168"/>
      <c r="H34" s="168"/>
      <c r="I34" s="92">
        <f t="shared" si="1"/>
        <v>3.1711948665398576E-4</v>
      </c>
      <c r="J34" s="92">
        <f t="shared" si="2"/>
        <v>3.8367123062800941E-3</v>
      </c>
      <c r="K34" s="93">
        <f t="shared" si="3"/>
        <v>0.9974117463272173</v>
      </c>
      <c r="L34" s="93">
        <f t="shared" si="4"/>
        <v>1.3423783841776189E-3</v>
      </c>
      <c r="M34" s="93">
        <f t="shared" si="5"/>
        <v>0.99865762161582239</v>
      </c>
      <c r="N34" s="93">
        <f t="shared" si="6"/>
        <v>8.1758638810011466E-6</v>
      </c>
      <c r="O34" s="40">
        <f t="shared" si="7"/>
        <v>9.9925924494453478E-7</v>
      </c>
      <c r="P34" s="40">
        <f t="shared" si="8"/>
        <v>1.0081261665173914E-6</v>
      </c>
      <c r="Q34" s="40">
        <f t="shared" si="9"/>
        <v>1.2280147549263716E-6</v>
      </c>
      <c r="R34" s="9">
        <f t="shared" si="12"/>
        <v>1.4999999999999999E-4</v>
      </c>
      <c r="S34" s="9">
        <f t="shared" si="13"/>
        <v>2.0135675762664282E-7</v>
      </c>
      <c r="T34" s="9">
        <f t="shared" si="10"/>
        <v>1.4961176194908259E-4</v>
      </c>
      <c r="U34" s="9">
        <f t="shared" si="11"/>
        <v>1.4979864324237335E-4</v>
      </c>
      <c r="V34" s="100">
        <f t="shared" si="14"/>
        <v>0.9987524500272783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96</v>
      </c>
      <c r="C35" s="46" t="s">
        <v>97</v>
      </c>
      <c r="D35" s="90">
        <v>0.27761205565007074</v>
      </c>
      <c r="E35" s="90">
        <v>-8.2551864497786676E-2</v>
      </c>
      <c r="F35" s="96">
        <v>9.9999999999999995E-7</v>
      </c>
      <c r="G35" s="168"/>
      <c r="H35" s="168"/>
      <c r="I35" s="92">
        <f t="shared" si="1"/>
        <v>1.8367979099029661E-4</v>
      </c>
      <c r="J35" s="92">
        <f t="shared" si="2"/>
        <v>1.6189891917167312E-3</v>
      </c>
      <c r="K35" s="93">
        <f t="shared" si="3"/>
        <v>0.99772466674785265</v>
      </c>
      <c r="L35" s="93">
        <f t="shared" si="4"/>
        <v>1.33596000899913E-3</v>
      </c>
      <c r="M35" s="93">
        <f t="shared" si="5"/>
        <v>0.99866403999100084</v>
      </c>
      <c r="N35" s="93">
        <f t="shared" si="6"/>
        <v>5.5029125176828871E-6</v>
      </c>
      <c r="O35" s="40">
        <f t="shared" si="7"/>
        <v>9.9957274498541881E-7</v>
      </c>
      <c r="P35" s="40">
        <f t="shared" si="8"/>
        <v>1.0033059667583465E-6</v>
      </c>
      <c r="Q35" s="40">
        <f t="shared" si="9"/>
        <v>8.2653746015596935E-7</v>
      </c>
      <c r="R35" s="9">
        <f t="shared" si="12"/>
        <v>1.4999999999999999E-4</v>
      </c>
      <c r="S35" s="9">
        <f t="shared" si="13"/>
        <v>2.0039400134986946E-7</v>
      </c>
      <c r="T35" s="9">
        <f t="shared" si="10"/>
        <v>1.4965870001217788E-4</v>
      </c>
      <c r="U35" s="9">
        <f t="shared" si="11"/>
        <v>1.4979960599865013E-4</v>
      </c>
      <c r="V35" s="100">
        <f t="shared" si="14"/>
        <v>0.99905937011293944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167</v>
      </c>
      <c r="C36" s="46" t="s">
        <v>168</v>
      </c>
      <c r="D36" s="47">
        <v>3.4409280000000009</v>
      </c>
      <c r="E36" s="47">
        <v>4.1160660000000009</v>
      </c>
      <c r="F36" s="96">
        <v>9.9999999999999995E-7</v>
      </c>
      <c r="G36" s="168"/>
      <c r="H36" s="168"/>
      <c r="I36" s="92">
        <f t="shared" si="1"/>
        <v>0.45036614920415591</v>
      </c>
      <c r="J36" s="92">
        <f t="shared" si="2"/>
        <v>1.9057707829015962</v>
      </c>
      <c r="K36" s="93">
        <f t="shared" si="3"/>
        <v>0.34134297480776277</v>
      </c>
      <c r="L36" s="93">
        <f t="shared" si="4"/>
        <v>3.6654349064838838E-2</v>
      </c>
      <c r="M36" s="93">
        <f t="shared" si="5"/>
        <v>0.96334565093516111</v>
      </c>
      <c r="N36" s="93">
        <f t="shared" si="6"/>
        <v>2.9743408295704661E-2</v>
      </c>
      <c r="O36" s="40">
        <f t="shared" si="7"/>
        <v>3.4197524194950291E-7</v>
      </c>
      <c r="P36" s="40">
        <f t="shared" si="8"/>
        <v>2.7527416147693964E-5</v>
      </c>
      <c r="Q36" s="40">
        <f t="shared" si="9"/>
        <v>4.4674599260148386E-3</v>
      </c>
      <c r="R36" s="9">
        <f t="shared" si="12"/>
        <v>1.4999999999999999E-4</v>
      </c>
      <c r="S36" s="9">
        <f t="shared" si="13"/>
        <v>5.4981523597258249E-6</v>
      </c>
      <c r="T36" s="9">
        <f t="shared" si="10"/>
        <v>5.1201446221164409E-5</v>
      </c>
      <c r="U36" s="9">
        <f t="shared" si="11"/>
        <v>1.4450184764027416E-4</v>
      </c>
      <c r="V36" s="100">
        <f t="shared" si="14"/>
        <v>0.35433073733857257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169</v>
      </c>
      <c r="C37" s="94" t="s">
        <v>170</v>
      </c>
      <c r="D37" s="95">
        <v>4.9025336133267672</v>
      </c>
      <c r="E37" s="95">
        <v>6.4965619006479365</v>
      </c>
      <c r="F37" s="96">
        <v>9.9999999999999995E-7</v>
      </c>
      <c r="G37" s="168"/>
      <c r="H37" s="168"/>
      <c r="I37" s="92">
        <f t="shared" si="1"/>
        <v>2.2002191789801899</v>
      </c>
      <c r="J37" s="92">
        <f t="shared" si="2"/>
        <v>4.2067820330591292</v>
      </c>
      <c r="K37" s="93">
        <f t="shared" si="3"/>
        <v>5.551634526487003E-3</v>
      </c>
      <c r="L37" s="93">
        <f t="shared" si="4"/>
        <v>0.11922481591278108</v>
      </c>
      <c r="M37" s="93">
        <f t="shared" si="5"/>
        <v>0.88077518408721889</v>
      </c>
      <c r="N37" s="93">
        <f t="shared" si="6"/>
        <v>0.11617603024212775</v>
      </c>
      <c r="O37" s="40">
        <f t="shared" si="7"/>
        <v>5.5619177792653108E-9</v>
      </c>
      <c r="P37" s="40">
        <f t="shared" si="8"/>
        <v>8.9537836750498568E-5</v>
      </c>
      <c r="Q37" s="40">
        <f t="shared" si="9"/>
        <v>1.7449639742367584E-2</v>
      </c>
      <c r="R37" s="9">
        <f t="shared" si="12"/>
        <v>1.4999999999999999E-4</v>
      </c>
      <c r="S37" s="9">
        <f t="shared" si="13"/>
        <v>1.7883722386917162E-5</v>
      </c>
      <c r="T37" s="9">
        <f t="shared" si="10"/>
        <v>8.3274517897305035E-7</v>
      </c>
      <c r="U37" s="9">
        <f t="shared" si="11"/>
        <v>1.3211627761308282E-4</v>
      </c>
      <c r="V37" s="100">
        <f t="shared" si="14"/>
        <v>6.3031232337005215E-3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171</v>
      </c>
      <c r="C38" s="46" t="s">
        <v>172</v>
      </c>
      <c r="D38" s="90">
        <v>-0.51108880646233978</v>
      </c>
      <c r="E38" s="90">
        <v>-1.2045066120098076</v>
      </c>
      <c r="F38" s="96">
        <v>9.9999999999999995E-7</v>
      </c>
      <c r="G38" s="168"/>
      <c r="H38" s="168"/>
      <c r="I38" s="92">
        <f t="shared" si="1"/>
        <v>-1.5970395933982679E-4</v>
      </c>
      <c r="J38" s="92">
        <f t="shared" si="2"/>
        <v>-3.5948759330246263E-3</v>
      </c>
      <c r="K38" s="93">
        <f t="shared" si="3"/>
        <v>0.99852872673429849</v>
      </c>
      <c r="L38" s="93">
        <f t="shared" si="4"/>
        <v>1.3210810018895235E-3</v>
      </c>
      <c r="M38" s="93">
        <f t="shared" si="5"/>
        <v>0.99867891899811045</v>
      </c>
      <c r="N38" s="93">
        <f t="shared" si="6"/>
        <v>4.1589884606624545E-7</v>
      </c>
      <c r="O38" s="40">
        <f t="shared" si="7"/>
        <v>1.0003782943264052E-6</v>
      </c>
      <c r="P38" s="40">
        <f t="shared" si="8"/>
        <v>9.9213183241903192E-7</v>
      </c>
      <c r="Q38" s="40">
        <f t="shared" si="9"/>
        <v>6.2468006679150034E-8</v>
      </c>
      <c r="R38" s="9">
        <f t="shared" si="12"/>
        <v>1.4999999999999999E-4</v>
      </c>
      <c r="S38" s="9">
        <f t="shared" si="13"/>
        <v>1.9816215028342851E-7</v>
      </c>
      <c r="T38" s="9">
        <f t="shared" si="10"/>
        <v>1.4977930901014476E-4</v>
      </c>
      <c r="U38" s="9">
        <f t="shared" si="11"/>
        <v>1.4980183784971655E-4</v>
      </c>
      <c r="V38" s="100">
        <f t="shared" si="14"/>
        <v>0.99984960905757114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98</v>
      </c>
      <c r="C39" s="46" t="s">
        <v>99</v>
      </c>
      <c r="D39" s="90">
        <v>2.3414159999999997</v>
      </c>
      <c r="E39" s="90">
        <v>2.4767320000000002</v>
      </c>
      <c r="F39" s="96">
        <v>9.9999999999999995E-7</v>
      </c>
      <c r="G39" s="168"/>
      <c r="H39" s="168"/>
      <c r="I39" s="92">
        <f t="shared" si="1"/>
        <v>4.7752637245013392E-2</v>
      </c>
      <c r="J39" s="92">
        <f t="shared" si="2"/>
        <v>0.55831225094540526</v>
      </c>
      <c r="K39" s="93">
        <f t="shared" si="3"/>
        <v>0.89155915884581904</v>
      </c>
      <c r="L39" s="93">
        <f t="shared" si="4"/>
        <v>4.3015618935921939E-3</v>
      </c>
      <c r="M39" s="93">
        <f t="shared" si="5"/>
        <v>0.99569843810640779</v>
      </c>
      <c r="N39" s="93">
        <f t="shared" si="6"/>
        <v>1.7824441448814612E-3</v>
      </c>
      <c r="O39" s="40">
        <f t="shared" si="7"/>
        <v>8.9321058747525881E-7</v>
      </c>
      <c r="P39" s="40">
        <f t="shared" si="8"/>
        <v>3.2304729820877368E-6</v>
      </c>
      <c r="Q39" s="40">
        <f t="shared" si="9"/>
        <v>2.6772311056119538E-4</v>
      </c>
      <c r="R39" s="9">
        <f t="shared" si="12"/>
        <v>1.4999999999999999E-4</v>
      </c>
      <c r="S39" s="9">
        <f t="shared" si="13"/>
        <v>6.4523428403882899E-7</v>
      </c>
      <c r="T39" s="9">
        <f t="shared" si="10"/>
        <v>1.3373387382687284E-4</v>
      </c>
      <c r="U39" s="9">
        <f t="shared" si="11"/>
        <v>1.4935476571596116E-4</v>
      </c>
      <c r="V39" s="100">
        <f t="shared" si="14"/>
        <v>0.89541082392512539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173</v>
      </c>
      <c r="C40" s="46" t="s">
        <v>174</v>
      </c>
      <c r="D40" s="47">
        <v>2.349974877229557</v>
      </c>
      <c r="E40" s="47">
        <v>2.8654572197209189</v>
      </c>
      <c r="F40" s="96">
        <v>9.9999999999999995E-7</v>
      </c>
      <c r="G40" s="168"/>
      <c r="H40" s="168"/>
      <c r="I40" s="92">
        <f t="shared" si="1"/>
        <v>5.4923561227077443E-2</v>
      </c>
      <c r="J40" s="92">
        <f t="shared" si="2"/>
        <v>0.76406237426847545</v>
      </c>
      <c r="K40" s="93">
        <f t="shared" si="3"/>
        <v>0.87477748239214737</v>
      </c>
      <c r="L40" s="93">
        <f t="shared" si="4"/>
        <v>6.778345929345629E-3</v>
      </c>
      <c r="M40" s="93">
        <f t="shared" si="5"/>
        <v>0.99322165407065433</v>
      </c>
      <c r="N40" s="93">
        <f t="shared" si="6"/>
        <v>4.2804416265772817E-3</v>
      </c>
      <c r="O40" s="40">
        <f t="shared" si="7"/>
        <v>8.7639782644276746E-7</v>
      </c>
      <c r="P40" s="40">
        <f t="shared" si="8"/>
        <v>5.0905377929385664E-6</v>
      </c>
      <c r="Q40" s="40">
        <f t="shared" si="9"/>
        <v>6.4292233231190736E-4</v>
      </c>
      <c r="R40" s="9">
        <f t="shared" si="12"/>
        <v>1.4999999999999999E-4</v>
      </c>
      <c r="S40" s="9">
        <f t="shared" si="13"/>
        <v>1.0167518894018443E-6</v>
      </c>
      <c r="T40" s="9">
        <f t="shared" si="10"/>
        <v>1.3121662235882208E-4</v>
      </c>
      <c r="U40" s="9">
        <f t="shared" si="11"/>
        <v>1.4898324811059814E-4</v>
      </c>
      <c r="V40" s="100">
        <f t="shared" si="14"/>
        <v>0.88074749358003701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175</v>
      </c>
      <c r="C41" s="94" t="s">
        <v>176</v>
      </c>
      <c r="D41" s="95">
        <v>1.4854320000000003</v>
      </c>
      <c r="E41" s="95">
        <v>1.5057189999999996</v>
      </c>
      <c r="F41" s="96">
        <v>9.9999999999999995E-7</v>
      </c>
      <c r="G41" s="168"/>
      <c r="H41" s="168"/>
      <c r="I41" s="92">
        <f t="shared" si="1"/>
        <v>6.6276677113325539E-3</v>
      </c>
      <c r="J41" s="92">
        <f t="shared" si="2"/>
        <v>0.11635831463150176</v>
      </c>
      <c r="K41" s="93">
        <f t="shared" si="3"/>
        <v>0.98265809966529782</v>
      </c>
      <c r="L41" s="93">
        <f t="shared" si="4"/>
        <v>1.7136594186892206E-3</v>
      </c>
      <c r="M41" s="93">
        <f t="shared" si="5"/>
        <v>0.99828634058131083</v>
      </c>
      <c r="N41" s="93">
        <f t="shared" si="6"/>
        <v>2.1001736341704649E-4</v>
      </c>
      <c r="O41" s="40">
        <f t="shared" si="7"/>
        <v>9.8447827020881968E-7</v>
      </c>
      <c r="P41" s="40">
        <f t="shared" si="8"/>
        <v>1.2869582234356046E-6</v>
      </c>
      <c r="Q41" s="40">
        <f t="shared" si="9"/>
        <v>3.1544607985240368E-5</v>
      </c>
      <c r="R41" s="9">
        <f t="shared" si="12"/>
        <v>1.4999999999999999E-4</v>
      </c>
      <c r="S41" s="9">
        <f t="shared" si="13"/>
        <v>2.5704891280338308E-7</v>
      </c>
      <c r="T41" s="9">
        <f t="shared" si="10"/>
        <v>1.4739871494979465E-4</v>
      </c>
      <c r="U41" s="9">
        <f t="shared" si="11"/>
        <v>1.4974295108719662E-4</v>
      </c>
      <c r="V41" s="100">
        <f t="shared" si="14"/>
        <v>0.98434493162862213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177</v>
      </c>
      <c r="C42" s="46" t="s">
        <v>178</v>
      </c>
      <c r="D42" s="90">
        <v>2.0758240000000003</v>
      </c>
      <c r="E42" s="90">
        <v>2.477398</v>
      </c>
      <c r="F42" s="96">
        <v>9.9999999999999995E-7</v>
      </c>
      <c r="G42" s="168"/>
      <c r="H42" s="168"/>
      <c r="I42" s="92">
        <f t="shared" si="1"/>
        <v>2.8589842167479149E-2</v>
      </c>
      <c r="J42" s="92">
        <f t="shared" si="2"/>
        <v>0.49176308419639264</v>
      </c>
      <c r="K42" s="93">
        <f t="shared" si="3"/>
        <v>0.93219359053099515</v>
      </c>
      <c r="L42" s="93">
        <f t="shared" si="4"/>
        <v>3.858628397565509E-3</v>
      </c>
      <c r="M42" s="93">
        <f t="shared" si="5"/>
        <v>0.99614137160243454</v>
      </c>
      <c r="N42" s="93">
        <f t="shared" si="6"/>
        <v>1.8665424712880501E-3</v>
      </c>
      <c r="O42" s="40">
        <f t="shared" si="7"/>
        <v>9.3392028602653137E-7</v>
      </c>
      <c r="P42" s="40">
        <f t="shared" si="8"/>
        <v>2.8978299265716972E-6</v>
      </c>
      <c r="Q42" s="40">
        <f t="shared" si="9"/>
        <v>2.8035467918746502E-4</v>
      </c>
      <c r="R42" s="9">
        <f t="shared" si="12"/>
        <v>1.4999999999999999E-4</v>
      </c>
      <c r="S42" s="9">
        <f t="shared" si="13"/>
        <v>5.7879425963482631E-7</v>
      </c>
      <c r="T42" s="9">
        <f t="shared" si="10"/>
        <v>1.3982903857964927E-4</v>
      </c>
      <c r="U42" s="9">
        <f t="shared" si="11"/>
        <v>1.4942120574036518E-4</v>
      </c>
      <c r="V42" s="100">
        <f t="shared" si="14"/>
        <v>0.9358045123971005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179</v>
      </c>
      <c r="C43" s="46" t="s">
        <v>180</v>
      </c>
      <c r="D43" s="90">
        <v>2.3078000000000003</v>
      </c>
      <c r="E43" s="90">
        <v>2.5099249999999995</v>
      </c>
      <c r="F43" s="96">
        <v>9.9999999999999995E-7</v>
      </c>
      <c r="G43" s="168"/>
      <c r="H43" s="168"/>
      <c r="I43" s="92">
        <f t="shared" si="1"/>
        <v>4.5043006346732313E-2</v>
      </c>
      <c r="J43" s="92">
        <f t="shared" si="2"/>
        <v>0.56249502482927194</v>
      </c>
      <c r="K43" s="93">
        <f t="shared" si="3"/>
        <v>0.89707739472299652</v>
      </c>
      <c r="L43" s="93">
        <f t="shared" si="4"/>
        <v>4.3700730569810964E-3</v>
      </c>
      <c r="M43" s="93">
        <f t="shared" si="5"/>
        <v>0.99562992694301888</v>
      </c>
      <c r="N43" s="93">
        <f t="shared" si="6"/>
        <v>1.9359256626821164E-3</v>
      </c>
      <c r="O43" s="40">
        <f t="shared" si="7"/>
        <v>8.987390447411364E-7</v>
      </c>
      <c r="P43" s="40">
        <f t="shared" si="8"/>
        <v>3.2819248657928027E-6</v>
      </c>
      <c r="Q43" s="40">
        <f t="shared" si="9"/>
        <v>2.9077603453485379E-4</v>
      </c>
      <c r="R43" s="9">
        <f t="shared" si="12"/>
        <v>1.4999999999999999E-4</v>
      </c>
      <c r="S43" s="9">
        <f t="shared" si="13"/>
        <v>6.5551095854716439E-7</v>
      </c>
      <c r="T43" s="9">
        <f t="shared" si="10"/>
        <v>1.3456160920844948E-4</v>
      </c>
      <c r="U43" s="9">
        <f t="shared" si="11"/>
        <v>1.4934448904145283E-4</v>
      </c>
      <c r="V43" s="100">
        <f t="shared" si="14"/>
        <v>0.90101489564238191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181</v>
      </c>
      <c r="C44" s="46" t="s">
        <v>182</v>
      </c>
      <c r="D44" s="90">
        <v>5.676184000000001</v>
      </c>
      <c r="E44" s="90">
        <v>7.0708080000000004</v>
      </c>
      <c r="F44" s="96">
        <v>9.9999999999999995E-7</v>
      </c>
      <c r="G44" s="168"/>
      <c r="H44" s="168"/>
      <c r="I44" s="92">
        <f t="shared" si="1"/>
        <v>2.829962486439805</v>
      </c>
      <c r="J44" s="92">
        <f t="shared" si="2"/>
        <v>4.7874172575965854</v>
      </c>
      <c r="K44" s="93">
        <f t="shared" si="3"/>
        <v>1.3190132508480532E-3</v>
      </c>
      <c r="L44" s="93">
        <f t="shared" si="4"/>
        <v>0.10785248984778273</v>
      </c>
      <c r="M44" s="93">
        <f t="shared" si="5"/>
        <v>0.89214751015221727</v>
      </c>
      <c r="N44" s="93">
        <f t="shared" si="6"/>
        <v>0.10355973305231719</v>
      </c>
      <c r="O44" s="40">
        <f t="shared" si="7"/>
        <v>1.3214564496234221E-9</v>
      </c>
      <c r="P44" s="40">
        <f t="shared" si="8"/>
        <v>8.0997219875684863E-5</v>
      </c>
      <c r="Q44" s="40">
        <f t="shared" si="9"/>
        <v>1.5554671904458037E-2</v>
      </c>
      <c r="R44" s="9">
        <f t="shared" si="12"/>
        <v>1.4999999999999999E-4</v>
      </c>
      <c r="S44" s="9">
        <f t="shared" si="13"/>
        <v>1.6177873477167408E-5</v>
      </c>
      <c r="T44" s="9">
        <f t="shared" si="10"/>
        <v>1.9785198762720796E-7</v>
      </c>
      <c r="U44" s="9">
        <f t="shared" si="11"/>
        <v>1.3382212652283257E-4</v>
      </c>
      <c r="V44" s="100">
        <f t="shared" si="14"/>
        <v>1.4784699120249795E-3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183</v>
      </c>
      <c r="C45" s="46" t="s">
        <v>184</v>
      </c>
      <c r="D45" s="90">
        <v>1.2599279999999999</v>
      </c>
      <c r="E45" s="90">
        <v>1.3925860000000003</v>
      </c>
      <c r="F45" s="96">
        <v>9.9999999999999995E-7</v>
      </c>
      <c r="G45" s="168"/>
      <c r="H45" s="168"/>
      <c r="I45" s="92">
        <f t="shared" si="1"/>
        <v>3.957220636313619E-3</v>
      </c>
      <c r="J45" s="92">
        <f t="shared" si="2"/>
        <v>8.1651701078615704E-2</v>
      </c>
      <c r="K45" s="93">
        <f t="shared" si="3"/>
        <v>0.98883951207221255</v>
      </c>
      <c r="L45" s="93">
        <f t="shared" si="4"/>
        <v>1.5919934338127976E-3</v>
      </c>
      <c r="M45" s="93">
        <f t="shared" si="5"/>
        <v>0.99840800656618722</v>
      </c>
      <c r="N45" s="93">
        <f t="shared" si="6"/>
        <v>1.6287167974623202E-4</v>
      </c>
      <c r="O45" s="40">
        <f t="shared" si="7"/>
        <v>9.9067113240155926E-7</v>
      </c>
      <c r="P45" s="40">
        <f t="shared" si="8"/>
        <v>1.1955870687934108E-6</v>
      </c>
      <c r="Q45" s="40">
        <f t="shared" si="9"/>
        <v>2.4463326297884043E-5</v>
      </c>
      <c r="R45" s="9">
        <f t="shared" si="12"/>
        <v>1.4999999999999999E-4</v>
      </c>
      <c r="S45" s="9">
        <f t="shared" si="13"/>
        <v>2.3879901507191963E-7</v>
      </c>
      <c r="T45" s="9">
        <f t="shared" si="10"/>
        <v>1.4832592681083187E-4</v>
      </c>
      <c r="U45" s="9">
        <f t="shared" si="11"/>
        <v>1.4976120098492807E-4</v>
      </c>
      <c r="V45" s="100">
        <f t="shared" si="14"/>
        <v>0.99041624823614594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185</v>
      </c>
      <c r="C46" s="46" t="s">
        <v>186</v>
      </c>
      <c r="D46" s="91">
        <v>1.2889359999999999</v>
      </c>
      <c r="E46" s="91">
        <v>1.371977</v>
      </c>
      <c r="F46" s="96">
        <v>9.9999999999999995E-7</v>
      </c>
      <c r="G46" s="168"/>
      <c r="H46" s="168"/>
      <c r="I46" s="92">
        <f t="shared" si="1"/>
        <v>4.1980440605165602E-3</v>
      </c>
      <c r="J46" s="92">
        <f t="shared" si="2"/>
        <v>8.191699132953921E-2</v>
      </c>
      <c r="K46" s="93">
        <f t="shared" si="3"/>
        <v>0.98829124767934329</v>
      </c>
      <c r="L46" s="93">
        <f t="shared" si="4"/>
        <v>1.592082981599617E-3</v>
      </c>
      <c r="M46" s="93">
        <f t="shared" si="5"/>
        <v>0.99840791701840037</v>
      </c>
      <c r="N46" s="93">
        <f t="shared" si="6"/>
        <v>1.5523716862673206E-4</v>
      </c>
      <c r="O46" s="40">
        <f t="shared" si="7"/>
        <v>9.9012185246249113E-7</v>
      </c>
      <c r="P46" s="40">
        <f t="shared" si="8"/>
        <v>1.1956543191813119E-6</v>
      </c>
      <c r="Q46" s="40">
        <f t="shared" si="9"/>
        <v>2.3316622727735146E-5</v>
      </c>
      <c r="R46" s="9">
        <f t="shared" si="12"/>
        <v>1.4999999999999999E-4</v>
      </c>
      <c r="S46" s="9">
        <f t="shared" si="13"/>
        <v>2.3881244723994251E-7</v>
      </c>
      <c r="T46" s="9">
        <f t="shared" si="10"/>
        <v>1.4824368715190148E-4</v>
      </c>
      <c r="U46" s="9">
        <f t="shared" si="11"/>
        <v>1.4976118755276004E-4</v>
      </c>
      <c r="V46" s="100">
        <f t="shared" si="14"/>
        <v>0.98986719839995951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187</v>
      </c>
      <c r="C47" s="46" t="s">
        <v>188</v>
      </c>
      <c r="D47" s="90">
        <v>2.5448008164668257</v>
      </c>
      <c r="E47" s="90">
        <v>3.1426039783542175</v>
      </c>
      <c r="F47" s="96">
        <v>9.9999999999999995E-7</v>
      </c>
      <c r="G47" s="168"/>
      <c r="H47" s="168"/>
      <c r="I47" s="92">
        <f t="shared" si="1"/>
        <v>8.655050783580702E-2</v>
      </c>
      <c r="J47" s="92">
        <f t="shared" si="2"/>
        <v>0.9883505302708685</v>
      </c>
      <c r="K47" s="93">
        <f t="shared" si="3"/>
        <v>0.81027067525452845</v>
      </c>
      <c r="L47" s="93">
        <f t="shared" si="4"/>
        <v>1.0523117294218938E-2</v>
      </c>
      <c r="M47" s="93">
        <f t="shared" si="5"/>
        <v>0.98947688270578105</v>
      </c>
      <c r="N47" s="93">
        <f t="shared" si="6"/>
        <v>7.5052966681022331E-3</v>
      </c>
      <c r="O47" s="40">
        <f t="shared" si="7"/>
        <v>8.1177153380938103E-7</v>
      </c>
      <c r="P47" s="40">
        <f t="shared" si="8"/>
        <v>7.9028610879584222E-6</v>
      </c>
      <c r="Q47" s="40">
        <f t="shared" si="9"/>
        <v>1.1272955595489551E-3</v>
      </c>
      <c r="R47" s="9">
        <f t="shared" si="12"/>
        <v>1.4999999999999999E-4</v>
      </c>
      <c r="S47" s="9">
        <f t="shared" si="13"/>
        <v>1.5784675941328406E-6</v>
      </c>
      <c r="T47" s="9">
        <f t="shared" si="10"/>
        <v>1.2154060128817926E-4</v>
      </c>
      <c r="U47" s="9">
        <f t="shared" si="11"/>
        <v>1.4842153240586715E-4</v>
      </c>
      <c r="V47" s="100">
        <f t="shared" si="14"/>
        <v>0.81888792898202634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100</v>
      </c>
      <c r="C48" s="46" t="s">
        <v>101</v>
      </c>
      <c r="D48" s="90">
        <v>0.29376000000000013</v>
      </c>
      <c r="E48" s="90">
        <v>0.18140000000000034</v>
      </c>
      <c r="F48" s="96">
        <v>9.9999999999999995E-7</v>
      </c>
      <c r="G48" s="168"/>
      <c r="H48" s="168"/>
      <c r="I48" s="92">
        <f t="shared" ref="I48:I50" si="15">IF(D48=0,"",LOG($K$15*10^D48+$K$16*10^E48+$K$14))</f>
        <v>2.1004549420906745E-4</v>
      </c>
      <c r="J48" s="92">
        <f t="shared" ref="J48:J50" si="16">IF(D48=0,"",LOG($K$21*10^D48+$K$22*10^E48+$K$20))</f>
        <v>3.2716025135218711E-3</v>
      </c>
      <c r="K48" s="93">
        <f t="shared" ref="K48:K50" si="17">IF(D48=0,"",1/(1+10^D48*$J$15/$J$14+10^E48*$J$16/$J$14+10^J48*$J$19/$J$14))</f>
        <v>0.99765909719913604</v>
      </c>
      <c r="L48" s="93">
        <f t="shared" ref="L48:L50" si="18">IF(D48=0,"",1/(1+10^I48/10^J48*$J$13/$J$19))</f>
        <v>1.3409652665935278E-3</v>
      </c>
      <c r="M48" s="93">
        <f t="shared" ref="M48:M92" si="19">IF(D48=0,"",1-L48)</f>
        <v>0.99865903473340645</v>
      </c>
      <c r="N48" s="93">
        <f t="shared" ref="N48:N50" si="20">IF(D48=0,"",1/(1/10^E48*$J$20/$J$22+10^D48/10^E48*$J$21/$J$22+10^I48/10^E48*$J$13/$J$22+1))</f>
        <v>1.0104525653235358E-5</v>
      </c>
      <c r="O48" s="40">
        <f t="shared" ref="O48:O92" si="21">IF(D48=0,"",F48*K48*$J$7/$J$14)</f>
        <v>9.9950705398269754E-7</v>
      </c>
      <c r="P48" s="40">
        <f t="shared" ref="P48:P50" si="22">IF(D48=0,"",O48*10^J48)</f>
        <v>1.0070649152117389E-6</v>
      </c>
      <c r="Q48" s="40">
        <f t="shared" ref="Q48:Q50" si="23">IF(D48=0,"",F48*N48*$J$7/$J$22)</f>
        <v>1.5176997531159501E-6</v>
      </c>
      <c r="R48" s="9">
        <f t="shared" si="12"/>
        <v>1.4999999999999999E-4</v>
      </c>
      <c r="S48" s="9">
        <f t="shared" si="13"/>
        <v>2.0114478998902915E-7</v>
      </c>
      <c r="T48" s="9">
        <f t="shared" si="10"/>
        <v>1.496488645798704E-4</v>
      </c>
      <c r="U48" s="9">
        <f t="shared" si="11"/>
        <v>1.4979885521001097E-4</v>
      </c>
      <c r="V48" s="100">
        <f t="shared" si="14"/>
        <v>0.99899871978373744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189</v>
      </c>
      <c r="C49" s="46" t="s">
        <v>190</v>
      </c>
      <c r="D49" s="90">
        <v>1.6175039999999998</v>
      </c>
      <c r="E49" s="90">
        <v>1.8999029999999997</v>
      </c>
      <c r="F49" s="96">
        <v>9.9999999999999995E-7</v>
      </c>
      <c r="G49" s="168"/>
      <c r="H49" s="168"/>
      <c r="I49" s="92">
        <f t="shared" si="15"/>
        <v>9.6186457475178466E-3</v>
      </c>
      <c r="J49" s="92">
        <f t="shared" si="16"/>
        <v>0.20411410518597825</v>
      </c>
      <c r="K49" s="93">
        <f t="shared" si="17"/>
        <v>0.97555349040449646</v>
      </c>
      <c r="L49" s="93">
        <f t="shared" si="18"/>
        <v>2.0822312100877297E-3</v>
      </c>
      <c r="M49" s="93">
        <f t="shared" si="19"/>
        <v>0.99791776878991223</v>
      </c>
      <c r="N49" s="93">
        <f t="shared" si="20"/>
        <v>5.1675876409134887E-4</v>
      </c>
      <c r="O49" s="40">
        <f t="shared" si="21"/>
        <v>9.7736050113128834E-7</v>
      </c>
      <c r="P49" s="40">
        <f t="shared" si="22"/>
        <v>1.5637556387758851E-6</v>
      </c>
      <c r="Q49" s="40">
        <f t="shared" si="23"/>
        <v>7.7617166366520575E-5</v>
      </c>
      <c r="R49" s="9">
        <f t="shared" si="12"/>
        <v>1.4999999999999999E-4</v>
      </c>
      <c r="S49" s="9">
        <f t="shared" si="13"/>
        <v>3.1233468151315943E-7</v>
      </c>
      <c r="T49" s="9">
        <f t="shared" si="10"/>
        <v>1.4633302356067444E-4</v>
      </c>
      <c r="U49" s="9">
        <f t="shared" si="11"/>
        <v>1.4968766531848682E-4</v>
      </c>
      <c r="V49" s="100">
        <f t="shared" si="14"/>
        <v>0.9775890568493083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191</v>
      </c>
      <c r="C50" s="46" t="s">
        <v>192</v>
      </c>
      <c r="D50" s="90">
        <v>2.5898400000000001</v>
      </c>
      <c r="E50" s="90">
        <v>2.96393</v>
      </c>
      <c r="F50" s="96">
        <v>9.9999999999999995E-7</v>
      </c>
      <c r="G50" s="168"/>
      <c r="H50" s="168"/>
      <c r="I50" s="92">
        <f t="shared" si="15"/>
        <v>8.6760595853303396E-2</v>
      </c>
      <c r="J50" s="92">
        <f t="shared" si="16"/>
        <v>0.88026017671842771</v>
      </c>
      <c r="K50" s="93">
        <f t="shared" si="17"/>
        <v>0.81176416697109088</v>
      </c>
      <c r="L50" s="93">
        <f t="shared" si="18"/>
        <v>8.2196592279815735E-3</v>
      </c>
      <c r="M50" s="93">
        <f t="shared" si="19"/>
        <v>0.99178034077201838</v>
      </c>
      <c r="N50" s="93">
        <f t="shared" si="20"/>
        <v>4.9830315909308674E-3</v>
      </c>
      <c r="O50" s="40">
        <f t="shared" si="21"/>
        <v>8.1326779190992817E-7</v>
      </c>
      <c r="P50" s="40">
        <f t="shared" si="22"/>
        <v>6.1729640802141614E-6</v>
      </c>
      <c r="Q50" s="40">
        <f t="shared" si="23"/>
        <v>7.4845134495781602E-4</v>
      </c>
      <c r="R50" s="9">
        <f t="shared" si="12"/>
        <v>1.4999999999999999E-4</v>
      </c>
      <c r="S50" s="9">
        <f t="shared" si="13"/>
        <v>1.2329488841972358E-6</v>
      </c>
      <c r="T50" s="9">
        <f t="shared" si="10"/>
        <v>1.2176462504566362E-4</v>
      </c>
      <c r="U50" s="9">
        <f t="shared" si="11"/>
        <v>1.4876705111580273E-4</v>
      </c>
      <c r="V50" s="100">
        <f t="shared" si="14"/>
        <v>0.81849189139925893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193</v>
      </c>
      <c r="C51" s="46" t="s">
        <v>194</v>
      </c>
      <c r="D51" s="90">
        <v>5.0487680000000008</v>
      </c>
      <c r="E51" s="90">
        <v>6.0352960000000007</v>
      </c>
      <c r="F51" s="96">
        <v>9.9999999999999995E-7</v>
      </c>
      <c r="G51" s="168"/>
      <c r="H51" s="168"/>
      <c r="I51" s="92">
        <f t="shared" ref="I51:I70" si="24">IF(D51=0,"",LOG($K$15*10^D51+$K$16*10^E51+$K$14))</f>
        <v>1.9819141928346475</v>
      </c>
      <c r="J51" s="92">
        <f t="shared" ref="J51:J70" si="25">IF(D51=0,"",LOG($K$21*10^D51+$K$22*10^E51+$K$20))</f>
        <v>3.7781080579293054</v>
      </c>
      <c r="K51" s="93">
        <f t="shared" ref="K51:K70" si="26">IF(D51=0,"",1/(1+10^D51*$J$15/$J$14+10^E51*$J$16/$J$14+10^J51*$J$19/$J$14))</f>
        <v>9.6177731175781551E-3</v>
      </c>
      <c r="L51" s="93">
        <f t="shared" ref="L51:L70" si="27">IF(D51=0,"",1/(1+10^I51/10^J51*$J$13/$J$19))</f>
        <v>7.697440583209901E-2</v>
      </c>
      <c r="M51" s="93">
        <f t="shared" ref="M51:M70" si="28">IF(D51=0,"",1-L51)</f>
        <v>0.92302559416790098</v>
      </c>
      <c r="N51" s="93">
        <f t="shared" ref="N51:N70" si="29">IF(D51=0,"",1/(1/10^E51*$J$20/$J$22+10^D51/10^E51*$J$21/$J$22+10^I51/10^E51*$J$13/$J$22+1))</f>
        <v>6.9583183081881467E-2</v>
      </c>
      <c r="O51" s="40">
        <f t="shared" ref="O51:O70" si="30">IF(D51=0,"",F51*K51*$J$7/$J$14)</f>
        <v>9.6355880496779914E-9</v>
      </c>
      <c r="P51" s="40">
        <f t="shared" ref="P51:P70" si="31">IF(D51=0,"",O51*10^J51)</f>
        <v>5.7807778779906385E-5</v>
      </c>
      <c r="Q51" s="40">
        <f t="shared" ref="Q51:Q70" si="32">IF(D51=0,"",F51*N51*$J$7/$J$22)</f>
        <v>1.0451394098898593E-2</v>
      </c>
      <c r="R51" s="9">
        <f t="shared" si="12"/>
        <v>1.4999999999999999E-4</v>
      </c>
      <c r="S51" s="9">
        <f t="shared" si="13"/>
        <v>1.1546160874814851E-5</v>
      </c>
      <c r="T51" s="9">
        <f t="shared" si="10"/>
        <v>1.4426659676367232E-6</v>
      </c>
      <c r="U51" s="9">
        <f t="shared" si="11"/>
        <v>1.3845383912518513E-4</v>
      </c>
      <c r="V51" s="100">
        <f t="shared" si="14"/>
        <v>1.0419833619292527E-2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195</v>
      </c>
      <c r="C52" s="46" t="s">
        <v>196</v>
      </c>
      <c r="D52" s="47">
        <v>2.7330160000000001</v>
      </c>
      <c r="E52" s="47">
        <v>3.3310319999999995</v>
      </c>
      <c r="F52" s="96">
        <v>9.9999999999999995E-7</v>
      </c>
      <c r="G52" s="168"/>
      <c r="H52" s="168"/>
      <c r="I52" s="92">
        <f t="shared" si="24"/>
        <v>0.12726341031571042</v>
      </c>
      <c r="J52" s="92">
        <f t="shared" si="25"/>
        <v>1.1609089688318674</v>
      </c>
      <c r="K52" s="93">
        <f t="shared" si="26"/>
        <v>0.7350200345978809</v>
      </c>
      <c r="L52" s="93">
        <f t="shared" si="27"/>
        <v>1.420273242555641E-2</v>
      </c>
      <c r="M52" s="93">
        <f t="shared" si="28"/>
        <v>0.98579726757444364</v>
      </c>
      <c r="N52" s="93">
        <f t="shared" si="29"/>
        <v>1.0506666341928456E-2</v>
      </c>
      <c r="O52" s="40">
        <f t="shared" si="30"/>
        <v>7.3638150693126835E-7</v>
      </c>
      <c r="P52" s="40">
        <f t="shared" si="31"/>
        <v>1.0666252051592863E-5</v>
      </c>
      <c r="Q52" s="40">
        <f t="shared" si="32"/>
        <v>1.5781012845576534E-3</v>
      </c>
      <c r="R52" s="9">
        <f t="shared" si="12"/>
        <v>1.4999999999999999E-4</v>
      </c>
      <c r="S52" s="9">
        <f t="shared" si="13"/>
        <v>2.1304098638334612E-6</v>
      </c>
      <c r="T52" s="9">
        <f t="shared" si="10"/>
        <v>1.1025300518968213E-4</v>
      </c>
      <c r="U52" s="9">
        <f t="shared" si="11"/>
        <v>1.4786959013616654E-4</v>
      </c>
      <c r="V52" s="100">
        <f t="shared" si="14"/>
        <v>0.74560973008821507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197</v>
      </c>
      <c r="C53" s="46" t="s">
        <v>198</v>
      </c>
      <c r="D53" s="47">
        <v>3.4406639999999999</v>
      </c>
      <c r="E53" s="47">
        <v>4.222847999999999</v>
      </c>
      <c r="F53" s="96">
        <v>9.9999999999999995E-7</v>
      </c>
      <c r="G53" s="168"/>
      <c r="H53" s="168"/>
      <c r="I53" s="92">
        <f t="shared" si="24"/>
        <v>0.47104615060046062</v>
      </c>
      <c r="J53" s="92">
        <f t="shared" si="25"/>
        <v>1.9942887659269517</v>
      </c>
      <c r="K53" s="93">
        <f t="shared" si="26"/>
        <v>0.32346551908772875</v>
      </c>
      <c r="L53" s="93">
        <f t="shared" si="27"/>
        <v>4.2587340273539144E-2</v>
      </c>
      <c r="M53" s="93">
        <f t="shared" si="28"/>
        <v>0.95741265972646084</v>
      </c>
      <c r="N53" s="93">
        <f t="shared" si="29"/>
        <v>3.6042072517255004E-2</v>
      </c>
      <c r="O53" s="40">
        <f t="shared" si="30"/>
        <v>3.2406467194658066E-7</v>
      </c>
      <c r="P53" s="40">
        <f t="shared" si="31"/>
        <v>3.19830925454279E-5</v>
      </c>
      <c r="Q53" s="40">
        <f t="shared" si="32"/>
        <v>5.4135192920917001E-3</v>
      </c>
      <c r="R53" s="9">
        <f t="shared" si="12"/>
        <v>1.4999999999999999E-4</v>
      </c>
      <c r="S53" s="9">
        <f t="shared" si="13"/>
        <v>6.3881010410308707E-6</v>
      </c>
      <c r="T53" s="9">
        <f t="shared" si="10"/>
        <v>4.8519827863159306E-5</v>
      </c>
      <c r="U53" s="9">
        <f t="shared" si="11"/>
        <v>1.4361189895896912E-4</v>
      </c>
      <c r="V53" s="100">
        <f t="shared" si="14"/>
        <v>0.337853814446265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199</v>
      </c>
      <c r="C54" s="46" t="s">
        <v>200</v>
      </c>
      <c r="D54" s="47">
        <v>2.8976480000000002</v>
      </c>
      <c r="E54" s="47">
        <v>3.5312959999999993</v>
      </c>
      <c r="F54" s="96">
        <v>9.9999999999999995E-7</v>
      </c>
      <c r="G54" s="168"/>
      <c r="H54" s="168"/>
      <c r="I54" s="92">
        <f t="shared" si="24"/>
        <v>0.17835694544431213</v>
      </c>
      <c r="J54" s="92">
        <f t="shared" si="25"/>
        <v>1.3432804907607612</v>
      </c>
      <c r="K54" s="93">
        <f t="shared" si="26"/>
        <v>0.65018073501976259</v>
      </c>
      <c r="L54" s="93">
        <f t="shared" si="27"/>
        <v>1.9119579974668125E-2</v>
      </c>
      <c r="M54" s="93">
        <f t="shared" si="28"/>
        <v>0.98088042002533182</v>
      </c>
      <c r="N54" s="93">
        <f t="shared" si="29"/>
        <v>1.4738858888623769E-2</v>
      </c>
      <c r="O54" s="40">
        <f t="shared" si="30"/>
        <v>6.5138506012760163E-7</v>
      </c>
      <c r="P54" s="40">
        <f t="shared" si="31"/>
        <v>1.4358804560975765E-5</v>
      </c>
      <c r="Q54" s="40">
        <f t="shared" si="32"/>
        <v>2.2137766050712893E-3</v>
      </c>
      <c r="R54" s="9">
        <f t="shared" si="12"/>
        <v>1.4999999999999999E-4</v>
      </c>
      <c r="S54" s="9">
        <f t="shared" si="13"/>
        <v>2.8679369962002183E-6</v>
      </c>
      <c r="T54" s="9">
        <f t="shared" si="10"/>
        <v>9.7527110252964381E-5</v>
      </c>
      <c r="U54" s="9">
        <f t="shared" si="11"/>
        <v>1.4713206300379975E-4</v>
      </c>
      <c r="V54" s="100">
        <f t="shared" si="14"/>
        <v>0.6628542294716937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102</v>
      </c>
      <c r="C55" s="46" t="s">
        <v>103</v>
      </c>
      <c r="D55" s="47">
        <v>1.423632</v>
      </c>
      <c r="E55" s="47">
        <v>1.638849</v>
      </c>
      <c r="F55" s="96">
        <v>9.9999999999999995E-7</v>
      </c>
      <c r="G55" s="168"/>
      <c r="H55" s="168"/>
      <c r="I55" s="54">
        <f t="shared" si="24"/>
        <v>5.9812805986470914E-3</v>
      </c>
      <c r="J55" s="54">
        <f t="shared" si="25"/>
        <v>0.12835770982382372</v>
      </c>
      <c r="K55" s="55">
        <f t="shared" si="26"/>
        <v>0.98407191350278245</v>
      </c>
      <c r="L55" s="55">
        <f t="shared" si="27"/>
        <v>1.7642019834144666E-3</v>
      </c>
      <c r="M55" s="55">
        <f t="shared" si="28"/>
        <v>0.99823579801658557</v>
      </c>
      <c r="N55" s="55">
        <f t="shared" si="29"/>
        <v>2.8576537139605199E-4</v>
      </c>
      <c r="O55" s="56">
        <f t="shared" si="30"/>
        <v>9.858947028435256E-7</v>
      </c>
      <c r="P55" s="56">
        <f t="shared" si="31"/>
        <v>1.3249156895442641E-6</v>
      </c>
      <c r="Q55" s="56">
        <f t="shared" si="32"/>
        <v>4.2921958783686997E-5</v>
      </c>
      <c r="R55" s="9">
        <f t="shared" si="12"/>
        <v>1.4999999999999999E-4</v>
      </c>
      <c r="S55" s="9">
        <f t="shared" si="13"/>
        <v>2.6463029751216999E-7</v>
      </c>
      <c r="T55" s="9">
        <f t="shared" si="10"/>
        <v>1.4761078702541736E-4</v>
      </c>
      <c r="U55" s="9">
        <f t="shared" si="11"/>
        <v>1.4973536970248782E-4</v>
      </c>
      <c r="V55" s="100">
        <f t="shared" si="14"/>
        <v>0.98581108337133805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201</v>
      </c>
      <c r="C56" s="46" t="s">
        <v>202</v>
      </c>
      <c r="D56" s="47">
        <v>2.6912000000000003</v>
      </c>
      <c r="E56" s="47">
        <v>3.3249699999999995</v>
      </c>
      <c r="F56" s="96">
        <v>9.9999999999999995E-7</v>
      </c>
      <c r="G56" s="168"/>
      <c r="H56" s="168"/>
      <c r="I56" s="54">
        <f t="shared" si="24"/>
        <v>0.11910186422699467</v>
      </c>
      <c r="J56" s="54">
        <f t="shared" si="25"/>
        <v>1.1486336221473528</v>
      </c>
      <c r="K56" s="55">
        <f t="shared" si="26"/>
        <v>0.74906391868461042</v>
      </c>
      <c r="L56" s="55">
        <f t="shared" si="27"/>
        <v>1.4070718021588784E-2</v>
      </c>
      <c r="M56" s="55">
        <f t="shared" si="28"/>
        <v>0.98592928197841123</v>
      </c>
      <c r="N56" s="55">
        <f t="shared" si="29"/>
        <v>1.0558996404997039E-2</v>
      </c>
      <c r="O56" s="56">
        <f t="shared" si="30"/>
        <v>7.5045140440367098E-7</v>
      </c>
      <c r="P56" s="56">
        <f t="shared" si="31"/>
        <v>1.0567109234213174E-5</v>
      </c>
      <c r="Q56" s="56">
        <f t="shared" si="32"/>
        <v>1.5859612600305547E-3</v>
      </c>
      <c r="R56" s="9">
        <f t="shared" si="12"/>
        <v>1.4999999999999999E-4</v>
      </c>
      <c r="S56" s="9">
        <f t="shared" si="13"/>
        <v>2.1106077032383172E-6</v>
      </c>
      <c r="T56" s="9">
        <f t="shared" si="10"/>
        <v>1.1235958780269156E-4</v>
      </c>
      <c r="U56" s="9">
        <f t="shared" si="11"/>
        <v>1.4788939229676168E-4</v>
      </c>
      <c r="V56" s="100">
        <f t="shared" si="14"/>
        <v>0.75975420588128206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104</v>
      </c>
      <c r="C57" s="87" t="s">
        <v>105</v>
      </c>
      <c r="D57" s="90">
        <v>2.1493200000000003</v>
      </c>
      <c r="E57" s="90">
        <v>2.6108399999999996</v>
      </c>
      <c r="F57" s="96">
        <v>9.9999999999999995E-7</v>
      </c>
      <c r="G57" s="168"/>
      <c r="H57" s="168"/>
      <c r="I57" s="54">
        <f t="shared" si="24"/>
        <v>3.4503381608646556E-2</v>
      </c>
      <c r="J57" s="54">
        <f t="shared" si="25"/>
        <v>0.5746808679209805</v>
      </c>
      <c r="K57" s="55">
        <f t="shared" si="26"/>
        <v>0.91889860788052669</v>
      </c>
      <c r="L57" s="55">
        <f t="shared" si="27"/>
        <v>4.6037551844033764E-3</v>
      </c>
      <c r="M57" s="55">
        <f t="shared" si="28"/>
        <v>0.99539624481559663</v>
      </c>
      <c r="N57" s="55">
        <f t="shared" si="29"/>
        <v>2.5017353044010527E-3</v>
      </c>
      <c r="O57" s="56">
        <f t="shared" si="30"/>
        <v>9.2060067717514391E-7</v>
      </c>
      <c r="P57" s="56">
        <f t="shared" si="31"/>
        <v>3.4574201434869356E-6</v>
      </c>
      <c r="Q57" s="56">
        <f t="shared" si="32"/>
        <v>3.7576064272103801E-4</v>
      </c>
      <c r="R57" s="9">
        <f t="shared" si="12"/>
        <v>1.4999999999999999E-4</v>
      </c>
      <c r="S57" s="9">
        <f t="shared" si="13"/>
        <v>6.9056327766050643E-7</v>
      </c>
      <c r="T57" s="9">
        <f t="shared" si="10"/>
        <v>1.3783479118207898E-4</v>
      </c>
      <c r="U57" s="9">
        <f t="shared" si="11"/>
        <v>1.4930943672233947E-4</v>
      </c>
      <c r="V57" s="100">
        <f t="shared" si="14"/>
        <v>0.92314855783965544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144</v>
      </c>
      <c r="C58" s="46" t="s">
        <v>145</v>
      </c>
      <c r="D58" s="47">
        <v>2.0184960000000003</v>
      </c>
      <c r="E58" s="47">
        <v>2.3512620000000002</v>
      </c>
      <c r="F58" s="96">
        <v>9.9999999999999995E-7</v>
      </c>
      <c r="G58" s="168"/>
      <c r="H58" s="168"/>
      <c r="I58" s="54">
        <f t="shared" si="24"/>
        <v>2.4527660835054643E-2</v>
      </c>
      <c r="J58" s="54">
        <f t="shared" si="25"/>
        <v>0.42305595357710185</v>
      </c>
      <c r="K58" s="55">
        <f t="shared" si="26"/>
        <v>0.94145619970251082</v>
      </c>
      <c r="L58" s="55">
        <f t="shared" si="27"/>
        <v>3.3267474504999456E-3</v>
      </c>
      <c r="M58" s="55">
        <f t="shared" si="28"/>
        <v>0.99667325254950001</v>
      </c>
      <c r="N58" s="55">
        <f t="shared" si="29"/>
        <v>1.4099245851411256E-3</v>
      </c>
      <c r="O58" s="56">
        <f t="shared" si="30"/>
        <v>9.4320005226251923E-7</v>
      </c>
      <c r="P58" s="56">
        <f t="shared" si="31"/>
        <v>2.498387335325458E-6</v>
      </c>
      <c r="Q58" s="56">
        <f t="shared" si="32"/>
        <v>2.1177067268819699E-4</v>
      </c>
      <c r="R58" s="9">
        <f t="shared" si="12"/>
        <v>1.4999999999999999E-4</v>
      </c>
      <c r="S58" s="9">
        <f t="shared" si="13"/>
        <v>4.9901211757499182E-7</v>
      </c>
      <c r="T58" s="9">
        <f t="shared" si="10"/>
        <v>1.4121842995537662E-4</v>
      </c>
      <c r="U58" s="9">
        <f t="shared" si="11"/>
        <v>1.4950098788242498E-4</v>
      </c>
      <c r="V58" s="100">
        <f t="shared" si="14"/>
        <v>0.94459864082261324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146</v>
      </c>
      <c r="C59" s="46" t="s">
        <v>147</v>
      </c>
      <c r="D59" s="47">
        <v>1.4665360000000003</v>
      </c>
      <c r="E59" s="47">
        <v>1.8522119999999997</v>
      </c>
      <c r="F59" s="96">
        <v>9.9999999999999995E-7</v>
      </c>
      <c r="G59" s="168"/>
      <c r="H59" s="168"/>
      <c r="I59" s="54">
        <f t="shared" si="24"/>
        <v>6.9959414880738915E-3</v>
      </c>
      <c r="J59" s="54">
        <f t="shared" si="25"/>
        <v>0.17496858668585646</v>
      </c>
      <c r="K59" s="55">
        <f t="shared" si="26"/>
        <v>0.98158376956549998</v>
      </c>
      <c r="L59" s="55">
        <f t="shared" si="27"/>
        <v>1.959114030338373E-3</v>
      </c>
      <c r="M59" s="55">
        <f t="shared" si="28"/>
        <v>0.99804088596966167</v>
      </c>
      <c r="N59" s="55">
        <f t="shared" si="29"/>
        <v>4.6587899776734403E-4</v>
      </c>
      <c r="O59" s="56">
        <f t="shared" si="30"/>
        <v>9.8340195013509038E-7</v>
      </c>
      <c r="P59" s="56">
        <f t="shared" si="31"/>
        <v>1.4712946367841181E-6</v>
      </c>
      <c r="Q59" s="56">
        <f t="shared" si="32"/>
        <v>6.997502546465505E-5</v>
      </c>
      <c r="R59" s="9">
        <f t="shared" si="12"/>
        <v>1.4999999999999999E-4</v>
      </c>
      <c r="S59" s="9">
        <f t="shared" si="13"/>
        <v>2.9386710455075591E-7</v>
      </c>
      <c r="T59" s="9">
        <f t="shared" si="10"/>
        <v>1.4723756543482498E-4</v>
      </c>
      <c r="U59" s="9">
        <f t="shared" si="11"/>
        <v>1.4970613289544925E-4</v>
      </c>
      <c r="V59" s="100">
        <f t="shared" si="14"/>
        <v>0.98351057893968685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148</v>
      </c>
      <c r="C60" s="46" t="s">
        <v>149</v>
      </c>
      <c r="D60" s="47">
        <v>2.7203999877244023</v>
      </c>
      <c r="E60" s="47">
        <v>3.3923999825375306</v>
      </c>
      <c r="F60" s="96">
        <v>9.9999999999999995E-7</v>
      </c>
      <c r="G60" s="168"/>
      <c r="H60" s="168"/>
      <c r="I60" s="54">
        <f t="shared" si="24"/>
        <v>0.12885708410514962</v>
      </c>
      <c r="J60" s="54">
        <f t="shared" si="25"/>
        <v>1.2049718259520315</v>
      </c>
      <c r="K60" s="55">
        <f t="shared" si="26"/>
        <v>0.73126082670913872</v>
      </c>
      <c r="L60" s="55">
        <f t="shared" si="27"/>
        <v>1.5638960923371005E-2</v>
      </c>
      <c r="M60" s="55">
        <f t="shared" si="28"/>
        <v>0.98436103907662897</v>
      </c>
      <c r="N60" s="55">
        <f t="shared" si="29"/>
        <v>1.203943358798398E-2</v>
      </c>
      <c r="O60" s="56">
        <f t="shared" si="30"/>
        <v>7.3261533588874119E-7</v>
      </c>
      <c r="P60" s="56">
        <f t="shared" si="31"/>
        <v>1.1744859653451622E-5</v>
      </c>
      <c r="Q60" s="56">
        <f t="shared" si="32"/>
        <v>1.8083229249151931E-3</v>
      </c>
      <c r="R60" s="9">
        <f t="shared" si="12"/>
        <v>1.4999999999999999E-4</v>
      </c>
      <c r="S60" s="9">
        <f t="shared" si="13"/>
        <v>2.3458441385056506E-6</v>
      </c>
      <c r="T60" s="9">
        <f t="shared" si="10"/>
        <v>1.096891240063708E-4</v>
      </c>
      <c r="U60" s="9">
        <f t="shared" si="11"/>
        <v>1.4765415586149433E-4</v>
      </c>
      <c r="V60" s="100">
        <f t="shared" si="14"/>
        <v>0.74287867731446522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150</v>
      </c>
      <c r="C61" s="46" t="s">
        <v>151</v>
      </c>
      <c r="D61" s="47">
        <v>3.4658999877244021</v>
      </c>
      <c r="E61" s="47">
        <v>4.4528999825375299</v>
      </c>
      <c r="F61" s="96">
        <v>9.9999999999999995E-7</v>
      </c>
      <c r="G61" s="168"/>
      <c r="H61" s="168"/>
      <c r="I61" s="54">
        <f t="shared" si="24"/>
        <v>0.54169315053805034</v>
      </c>
      <c r="J61" s="54">
        <f t="shared" si="25"/>
        <v>2.1983266201231308</v>
      </c>
      <c r="K61" s="55">
        <f t="shared" si="26"/>
        <v>0.27075818937367641</v>
      </c>
      <c r="L61" s="55">
        <f t="shared" si="27"/>
        <v>5.7025878017998702E-2</v>
      </c>
      <c r="M61" s="55">
        <f t="shared" si="28"/>
        <v>0.94297412198200126</v>
      </c>
      <c r="N61" s="55">
        <f t="shared" si="29"/>
        <v>5.1240734628208787E-2</v>
      </c>
      <c r="O61" s="56">
        <f t="shared" si="30"/>
        <v>2.7125971282408415E-7</v>
      </c>
      <c r="P61" s="56">
        <f t="shared" si="31"/>
        <v>4.2826434391517033E-5</v>
      </c>
      <c r="Q61" s="56">
        <f t="shared" si="32"/>
        <v>7.6963583411569581E-3</v>
      </c>
      <c r="R61" s="9">
        <f t="shared" si="12"/>
        <v>1.4999999999999999E-4</v>
      </c>
      <c r="S61" s="9">
        <f t="shared" si="13"/>
        <v>8.5538817026998045E-6</v>
      </c>
      <c r="T61" s="9">
        <f t="shared" si="10"/>
        <v>4.0613728406051458E-5</v>
      </c>
      <c r="U61" s="9">
        <f t="shared" si="11"/>
        <v>1.4144611829730017E-4</v>
      </c>
      <c r="V61" s="100">
        <f t="shared" si="14"/>
        <v>0.2871321524758072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152</v>
      </c>
      <c r="C62" s="46" t="s">
        <v>153</v>
      </c>
      <c r="D62" s="47">
        <v>4.1687999877244026</v>
      </c>
      <c r="E62" s="47">
        <v>5.4527999825375302</v>
      </c>
      <c r="F62" s="96">
        <v>9.9999999999999995E-7</v>
      </c>
      <c r="G62" s="168"/>
      <c r="H62" s="168"/>
      <c r="I62" s="54">
        <f t="shared" si="24"/>
        <v>1.2755126419323455</v>
      </c>
      <c r="J62" s="54">
        <f t="shared" si="25"/>
        <v>3.1746738444272542</v>
      </c>
      <c r="K62" s="55">
        <f t="shared" si="26"/>
        <v>4.7931678794080224E-2</v>
      </c>
      <c r="L62" s="55">
        <f t="shared" si="27"/>
        <v>9.5600517716631001E-2</v>
      </c>
      <c r="M62" s="55">
        <f t="shared" si="28"/>
        <v>0.90439948228336897</v>
      </c>
      <c r="N62" s="55">
        <f t="shared" si="29"/>
        <v>9.0689370346406437E-2</v>
      </c>
      <c r="O62" s="56">
        <f t="shared" si="30"/>
        <v>4.8020462298609671E-8</v>
      </c>
      <c r="P62" s="56">
        <f t="shared" si="31"/>
        <v>7.1795988805189881E-5</v>
      </c>
      <c r="Q62" s="56">
        <f t="shared" si="32"/>
        <v>1.3621543426030244E-2</v>
      </c>
      <c r="R62" s="9">
        <f t="shared" si="12"/>
        <v>1.4999999999999999E-4</v>
      </c>
      <c r="S62" s="9">
        <f t="shared" si="13"/>
        <v>1.4340077657494648E-5</v>
      </c>
      <c r="T62" s="9">
        <f t="shared" si="10"/>
        <v>7.1897518191120328E-6</v>
      </c>
      <c r="U62" s="9">
        <f t="shared" si="11"/>
        <v>1.3565992234250535E-4</v>
      </c>
      <c r="V62" s="100">
        <f t="shared" si="14"/>
        <v>5.2998348332824602E-2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154</v>
      </c>
      <c r="C63" s="46" t="s">
        <v>155</v>
      </c>
      <c r="D63" s="47">
        <v>4.999499987724402</v>
      </c>
      <c r="E63" s="47">
        <v>6.6344999825375304</v>
      </c>
      <c r="F63" s="96">
        <v>9.9999999999999995E-7</v>
      </c>
      <c r="G63" s="168"/>
      <c r="H63" s="168"/>
      <c r="I63" s="54">
        <f t="shared" si="24"/>
        <v>2.3278344887119857</v>
      </c>
      <c r="J63" s="54">
        <f t="shared" si="25"/>
        <v>4.3437142739376391</v>
      </c>
      <c r="K63" s="55">
        <f t="shared" si="26"/>
        <v>4.1274725826428724E-3</v>
      </c>
      <c r="L63" s="55">
        <f t="shared" si="27"/>
        <v>0.12149607008233444</v>
      </c>
      <c r="M63" s="55">
        <f t="shared" si="28"/>
        <v>0.87850392991766557</v>
      </c>
      <c r="N63" s="55">
        <f t="shared" si="29"/>
        <v>0.1186637157469814</v>
      </c>
      <c r="O63" s="56">
        <f t="shared" si="30"/>
        <v>4.1351178704766359E-9</v>
      </c>
      <c r="P63" s="56">
        <f t="shared" si="31"/>
        <v>9.1243548631833168E-5</v>
      </c>
      <c r="Q63" s="56">
        <f t="shared" si="32"/>
        <v>1.78232901051966E-2</v>
      </c>
      <c r="R63" s="9">
        <f t="shared" si="12"/>
        <v>1.4999999999999999E-4</v>
      </c>
      <c r="S63" s="9">
        <f t="shared" si="13"/>
        <v>1.8224410512350164E-5</v>
      </c>
      <c r="T63" s="9">
        <f t="shared" si="10"/>
        <v>6.1912088739643078E-7</v>
      </c>
      <c r="U63" s="9">
        <f t="shared" si="11"/>
        <v>1.3177558948764982E-4</v>
      </c>
      <c r="V63" s="100">
        <f t="shared" si="14"/>
        <v>4.6982972324662274E-3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156</v>
      </c>
      <c r="C64" s="46" t="s">
        <v>157</v>
      </c>
      <c r="D64" s="47">
        <v>4.4669999877244022</v>
      </c>
      <c r="E64" s="47">
        <v>5.8769999825375301</v>
      </c>
      <c r="F64" s="96">
        <v>9.9999999999999995E-7</v>
      </c>
      <c r="G64" s="168"/>
      <c r="H64" s="168"/>
      <c r="I64" s="54">
        <f t="shared" si="24"/>
        <v>1.6404345211947191</v>
      </c>
      <c r="J64" s="54">
        <f t="shared" si="25"/>
        <v>3.5931104785941299</v>
      </c>
      <c r="K64" s="55">
        <f t="shared" si="26"/>
        <v>2.0431018081128738E-2</v>
      </c>
      <c r="L64" s="55">
        <f t="shared" si="27"/>
        <v>0.10679827699729542</v>
      </c>
      <c r="M64" s="55">
        <f t="shared" si="28"/>
        <v>0.89320172300270462</v>
      </c>
      <c r="N64" s="55">
        <f t="shared" si="29"/>
        <v>0.10266531746961959</v>
      </c>
      <c r="O64" s="56">
        <f t="shared" si="30"/>
        <v>2.046886230924643E-8</v>
      </c>
      <c r="P64" s="56">
        <f t="shared" si="31"/>
        <v>8.0205506024968884E-5</v>
      </c>
      <c r="Q64" s="56">
        <f t="shared" si="32"/>
        <v>1.5420330683936856E-2</v>
      </c>
      <c r="R64" s="9">
        <f t="shared" si="12"/>
        <v>1.4999999999999999E-4</v>
      </c>
      <c r="S64" s="9">
        <f t="shared" si="13"/>
        <v>1.6019741549594313E-5</v>
      </c>
      <c r="T64" s="9">
        <f t="shared" si="10"/>
        <v>3.0646527121693105E-6</v>
      </c>
      <c r="U64" s="9">
        <f t="shared" si="11"/>
        <v>1.3398025845040568E-4</v>
      </c>
      <c r="V64" s="100">
        <f t="shared" si="14"/>
        <v>2.2873912527223005E-2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158</v>
      </c>
      <c r="C65" s="46" t="s">
        <v>159</v>
      </c>
      <c r="D65" s="47">
        <v>4.2539999877244021</v>
      </c>
      <c r="E65" s="47">
        <v>5.5739999825375302</v>
      </c>
      <c r="F65" s="96">
        <v>9.9999999999999995E-7</v>
      </c>
      <c r="G65" s="168"/>
      <c r="H65" s="168"/>
      <c r="I65" s="54">
        <f t="shared" si="24"/>
        <v>1.3777282566754774</v>
      </c>
      <c r="J65" s="54">
        <f t="shared" si="25"/>
        <v>3.2940480664417366</v>
      </c>
      <c r="K65" s="55">
        <f t="shared" si="26"/>
        <v>3.773436386026726E-2</v>
      </c>
      <c r="L65" s="55">
        <f t="shared" si="27"/>
        <v>9.9071527433422971E-2</v>
      </c>
      <c r="M65" s="55">
        <f t="shared" si="28"/>
        <v>0.90092847256657704</v>
      </c>
      <c r="N65" s="55">
        <f t="shared" si="29"/>
        <v>9.4378002042247819E-2</v>
      </c>
      <c r="O65" s="56">
        <f t="shared" si="30"/>
        <v>3.7804258951551183E-8</v>
      </c>
      <c r="P65" s="56">
        <f t="shared" si="31"/>
        <v>7.4402717102500695E-5</v>
      </c>
      <c r="Q65" s="56">
        <f t="shared" si="32"/>
        <v>1.4175575906745617E-2</v>
      </c>
      <c r="R65" s="9">
        <f t="shared" si="12"/>
        <v>1.4999999999999999E-4</v>
      </c>
      <c r="S65" s="9">
        <f t="shared" si="13"/>
        <v>1.4860729115013445E-5</v>
      </c>
      <c r="T65" s="9">
        <f t="shared" si="10"/>
        <v>5.6601545790400885E-6</v>
      </c>
      <c r="U65" s="9">
        <f t="shared" si="11"/>
        <v>1.3513927088498656E-4</v>
      </c>
      <c r="V65" s="100">
        <f t="shared" si="14"/>
        <v>4.1883862048192465E-2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160</v>
      </c>
      <c r="C66" s="46" t="s">
        <v>161</v>
      </c>
      <c r="D66" s="47">
        <v>4.4669999877244022</v>
      </c>
      <c r="E66" s="47">
        <v>5.8769999825375301</v>
      </c>
      <c r="F66" s="96">
        <v>9.9999999999999995E-7</v>
      </c>
      <c r="G66" s="168"/>
      <c r="H66" s="168"/>
      <c r="I66" s="54">
        <f t="shared" si="24"/>
        <v>1.6404345211947191</v>
      </c>
      <c r="J66" s="54">
        <f t="shared" si="25"/>
        <v>3.5931104785941299</v>
      </c>
      <c r="K66" s="55">
        <f t="shared" si="26"/>
        <v>2.0431018081128738E-2</v>
      </c>
      <c r="L66" s="55">
        <f t="shared" si="27"/>
        <v>0.10679827699729542</v>
      </c>
      <c r="M66" s="55">
        <f t="shared" si="28"/>
        <v>0.89320172300270462</v>
      </c>
      <c r="N66" s="55">
        <f t="shared" si="29"/>
        <v>0.10266531746961959</v>
      </c>
      <c r="O66" s="56">
        <f t="shared" si="30"/>
        <v>2.046886230924643E-8</v>
      </c>
      <c r="P66" s="56">
        <f t="shared" si="31"/>
        <v>8.0205506024968884E-5</v>
      </c>
      <c r="Q66" s="56">
        <f t="shared" si="32"/>
        <v>1.5420330683936856E-2</v>
      </c>
      <c r="R66" s="9">
        <f t="shared" si="12"/>
        <v>1.4999999999999999E-4</v>
      </c>
      <c r="S66" s="9">
        <f t="shared" si="13"/>
        <v>1.6019741549594313E-5</v>
      </c>
      <c r="T66" s="9">
        <f t="shared" si="10"/>
        <v>3.0646527121693105E-6</v>
      </c>
      <c r="U66" s="9">
        <f t="shared" si="11"/>
        <v>1.3398025845040568E-4</v>
      </c>
      <c r="V66" s="100">
        <f t="shared" si="14"/>
        <v>2.2873912527223005E-2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114</v>
      </c>
      <c r="C67" s="46" t="s">
        <v>115</v>
      </c>
      <c r="D67" s="47">
        <v>-0.73745450190951667</v>
      </c>
      <c r="E67" s="47">
        <v>-1.5265197844064957</v>
      </c>
      <c r="F67" s="96">
        <v>9.9999999999999995E-7</v>
      </c>
      <c r="G67" s="168"/>
      <c r="H67" s="168"/>
      <c r="I67" s="54">
        <f t="shared" si="24"/>
        <v>-1.8635683569884906E-4</v>
      </c>
      <c r="J67" s="54">
        <f t="shared" si="25"/>
        <v>-3.9484454940644457E-3</v>
      </c>
      <c r="K67" s="55">
        <f t="shared" si="26"/>
        <v>0.99859100151121272</v>
      </c>
      <c r="L67" s="55">
        <f t="shared" si="27"/>
        <v>1.3200882400205508E-3</v>
      </c>
      <c r="M67" s="55">
        <f t="shared" si="28"/>
        <v>0.9986799117599795</v>
      </c>
      <c r="N67" s="55">
        <f t="shared" si="29"/>
        <v>1.9815344519355369E-7</v>
      </c>
      <c r="O67" s="56">
        <f t="shared" si="30"/>
        <v>1.0004406844544416E-6</v>
      </c>
      <c r="P67" s="56">
        <f t="shared" si="31"/>
        <v>9.913862682554339E-7</v>
      </c>
      <c r="Q67" s="56">
        <f t="shared" si="32"/>
        <v>2.9762647468071753E-8</v>
      </c>
      <c r="R67" s="9">
        <f t="shared" si="12"/>
        <v>1.4999999999999999E-4</v>
      </c>
      <c r="S67" s="9">
        <f t="shared" si="13"/>
        <v>1.9801323600308261E-7</v>
      </c>
      <c r="T67" s="9">
        <f t="shared" si="10"/>
        <v>1.4978865022668189E-4</v>
      </c>
      <c r="U67" s="9">
        <f t="shared" si="11"/>
        <v>1.498019867639969E-4</v>
      </c>
      <c r="V67" s="100">
        <f t="shared" si="14"/>
        <v>0.99991097222671665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116</v>
      </c>
      <c r="C68" s="46" t="s">
        <v>117</v>
      </c>
      <c r="D68" s="47">
        <v>4.7386560000000006</v>
      </c>
      <c r="E68" s="47">
        <v>5.8355820000000005</v>
      </c>
      <c r="F68" s="96">
        <v>9.9999999999999995E-7</v>
      </c>
      <c r="G68" s="168"/>
      <c r="H68" s="168"/>
      <c r="I68" s="54">
        <f t="shared" si="24"/>
        <v>1.7268855172909561</v>
      </c>
      <c r="J68" s="54">
        <f t="shared" si="25"/>
        <v>3.5689903624588988</v>
      </c>
      <c r="K68" s="55">
        <f t="shared" si="26"/>
        <v>1.7155034022439924E-2</v>
      </c>
      <c r="L68" s="55">
        <f t="shared" si="27"/>
        <v>8.4829265294081163E-2</v>
      </c>
      <c r="M68" s="55">
        <f t="shared" si="28"/>
        <v>0.91517073470591881</v>
      </c>
      <c r="N68" s="55">
        <f t="shared" si="29"/>
        <v>7.8362331224614667E-2</v>
      </c>
      <c r="O68" s="56">
        <f t="shared" si="30"/>
        <v>1.7186810168803948E-8</v>
      </c>
      <c r="P68" s="56">
        <f t="shared" si="31"/>
        <v>6.3706778235854967E-5</v>
      </c>
      <c r="Q68" s="56">
        <f t="shared" si="32"/>
        <v>1.177002214993712E-2</v>
      </c>
      <c r="R68" s="9">
        <f t="shared" si="12"/>
        <v>1.4999999999999999E-4</v>
      </c>
      <c r="S68" s="9">
        <f t="shared" si="13"/>
        <v>1.2724389794112173E-5</v>
      </c>
      <c r="T68" s="9">
        <f t="shared" si="10"/>
        <v>2.5732551033659884E-6</v>
      </c>
      <c r="U68" s="9">
        <f t="shared" si="11"/>
        <v>1.3727561020588782E-4</v>
      </c>
      <c r="V68" s="100">
        <f t="shared" si="14"/>
        <v>1.8745173301408645E-2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118</v>
      </c>
      <c r="C69" s="46" t="s">
        <v>119</v>
      </c>
      <c r="D69" s="47">
        <v>2.3724999877244022</v>
      </c>
      <c r="E69" s="47">
        <v>2.8974999825375303</v>
      </c>
      <c r="F69" s="96">
        <v>9.9999999999999995E-7</v>
      </c>
      <c r="G69" s="168"/>
      <c r="H69" s="168"/>
      <c r="I69" s="54">
        <f t="shared" si="24"/>
        <v>5.7919228101834593E-2</v>
      </c>
      <c r="J69" s="54">
        <f t="shared" si="25"/>
        <v>0.78891704772139615</v>
      </c>
      <c r="K69" s="55">
        <f t="shared" si="26"/>
        <v>0.86846034937253636</v>
      </c>
      <c r="L69" s="55">
        <f t="shared" si="27"/>
        <v>7.1257536205117152E-3</v>
      </c>
      <c r="M69" s="55">
        <f t="shared" si="28"/>
        <v>0.99287424637948829</v>
      </c>
      <c r="N69" s="55">
        <f t="shared" si="29"/>
        <v>4.574922498486394E-3</v>
      </c>
      <c r="O69" s="56">
        <f t="shared" si="30"/>
        <v>8.7006899224301482E-7</v>
      </c>
      <c r="P69" s="56">
        <f t="shared" si="31"/>
        <v>5.351440969004297E-6</v>
      </c>
      <c r="Q69" s="56">
        <f t="shared" si="32"/>
        <v>6.8715335927265625E-4</v>
      </c>
      <c r="R69" s="9">
        <f t="shared" si="12"/>
        <v>1.4999999999999999E-4</v>
      </c>
      <c r="S69" s="9">
        <f t="shared" si="13"/>
        <v>1.0688630430767572E-6</v>
      </c>
      <c r="T69" s="9">
        <f t="shared" si="10"/>
        <v>1.3026905240588044E-4</v>
      </c>
      <c r="U69" s="9">
        <f t="shared" si="11"/>
        <v>1.4893113695692322E-4</v>
      </c>
      <c r="V69" s="100">
        <f t="shared" si="14"/>
        <v>0.87469319759211539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112</v>
      </c>
      <c r="C70" s="46" t="s">
        <v>113</v>
      </c>
      <c r="D70" s="47">
        <v>3.3511520000000004</v>
      </c>
      <c r="E70" s="47">
        <v>4.2962190000000007</v>
      </c>
      <c r="F70" s="96">
        <v>9.9999999999999995E-7</v>
      </c>
      <c r="G70" s="168"/>
      <c r="H70" s="168"/>
      <c r="I70" s="54">
        <f t="shared" si="24"/>
        <v>0.45156382049297444</v>
      </c>
      <c r="J70" s="54">
        <f t="shared" si="25"/>
        <v>2.0469857256800985</v>
      </c>
      <c r="K70" s="55">
        <f t="shared" si="26"/>
        <v>0.33572138565663051</v>
      </c>
      <c r="L70" s="55">
        <f t="shared" si="27"/>
        <v>4.9903211121748767E-2</v>
      </c>
      <c r="M70" s="55">
        <f t="shared" si="28"/>
        <v>0.95009678887825122</v>
      </c>
      <c r="N70" s="55">
        <f t="shared" si="29"/>
        <v>4.4292660821885016E-2</v>
      </c>
      <c r="O70" s="56">
        <f t="shared" si="30"/>
        <v>3.3634323996914334E-7</v>
      </c>
      <c r="P70" s="56">
        <f t="shared" si="31"/>
        <v>3.7477311552433321E-5</v>
      </c>
      <c r="Q70" s="56">
        <f t="shared" si="32"/>
        <v>6.6527576554471259E-3</v>
      </c>
      <c r="R70" s="9">
        <f t="shared" si="12"/>
        <v>1.4999999999999999E-4</v>
      </c>
      <c r="S70" s="9">
        <f t="shared" si="13"/>
        <v>7.485481668262314E-6</v>
      </c>
      <c r="T70" s="9">
        <f t="shared" si="10"/>
        <v>5.0358207848494575E-5</v>
      </c>
      <c r="U70" s="9">
        <f t="shared" si="11"/>
        <v>1.4251451833173766E-4</v>
      </c>
      <c r="V70" s="100">
        <f t="shared" si="14"/>
        <v>0.35335493139915353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120</v>
      </c>
      <c r="C71" s="46" t="s">
        <v>121</v>
      </c>
      <c r="D71" s="47">
        <v>5.9183200000000005</v>
      </c>
      <c r="E71" s="47">
        <v>7.0401399999999992</v>
      </c>
      <c r="F71" s="96">
        <v>9.9999999999999995E-7</v>
      </c>
      <c r="G71" s="168"/>
      <c r="H71" s="168"/>
      <c r="I71" s="54">
        <f t="shared" ref="I71:I122" si="33">IF(D71=0,"",LOG($K$15*10^D71+$K$16*10^E71+$K$14))</f>
        <v>2.9114243406645759</v>
      </c>
      <c r="J71" s="54">
        <f t="shared" ref="J71:J122" si="34">IF(D71=0,"",LOG($K$21*10^D71+$K$22*10^E71+$K$20))</f>
        <v>4.7715972923878738</v>
      </c>
      <c r="K71" s="55">
        <f t="shared" ref="K71:K122" si="35">IF(D71=0,"",1/(1+10^D71*$J$15/$J$14+10^E71*$J$16/$J$14+10^J71*$J$19/$J$14))</f>
        <v>1.1176106706757975E-3</v>
      </c>
      <c r="L71" s="55">
        <f t="shared" ref="L71:L122" si="36">IF(D71=0,"",1/(1+10^I71/10^J71*$J$13/$J$19))</f>
        <v>8.8115354236101132E-2</v>
      </c>
      <c r="M71" s="55">
        <f t="shared" si="19"/>
        <v>0.91188464576389883</v>
      </c>
      <c r="N71" s="55">
        <f t="shared" ref="N71:N122" si="37">IF(D71=0,"",1/(1/10^E71*$J$20/$J$22+10^D71/10^E71*$J$21/$J$22+10^I71/10^E71*$J$13/$J$22+1))</f>
        <v>8.1764409274580674E-2</v>
      </c>
      <c r="O71" s="56">
        <f t="shared" si="21"/>
        <v>1.1196808128977792E-9</v>
      </c>
      <c r="P71" s="56">
        <f t="shared" ref="P71:P122" si="38">IF(D71=0,"",O71*10^J71)</f>
        <v>6.6174631031311955E-5</v>
      </c>
      <c r="Q71" s="56">
        <f t="shared" ref="Q71:Q122" si="39">IF(D71=0,"",F71*N71*$J$7/$J$22)</f>
        <v>1.2281014273042011E-2</v>
      </c>
      <c r="R71" s="9">
        <f t="shared" si="12"/>
        <v>1.4999999999999999E-4</v>
      </c>
      <c r="S71" s="9">
        <f t="shared" si="13"/>
        <v>1.3217303135415169E-5</v>
      </c>
      <c r="T71" s="9">
        <f t="shared" si="10"/>
        <v>1.6764160060136961E-7</v>
      </c>
      <c r="U71" s="9">
        <f t="shared" si="11"/>
        <v>1.3678269686458481E-4</v>
      </c>
      <c r="V71" s="100">
        <f t="shared" si="14"/>
        <v>1.2256053173694563E-3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122</v>
      </c>
      <c r="C72" s="46" t="s">
        <v>123</v>
      </c>
      <c r="D72" s="47">
        <v>5.5295200000000007</v>
      </c>
      <c r="E72" s="47">
        <v>6.5305900000000001</v>
      </c>
      <c r="F72" s="96">
        <v>9.9999999999999995E-7</v>
      </c>
      <c r="G72" s="168"/>
      <c r="H72" s="168"/>
      <c r="I72" s="54">
        <f t="shared" si="33"/>
        <v>2.4659786116205753</v>
      </c>
      <c r="J72" s="54">
        <f t="shared" si="34"/>
        <v>4.2719801127259975</v>
      </c>
      <c r="K72" s="55">
        <f t="shared" si="35"/>
        <v>3.14954090859028E-3</v>
      </c>
      <c r="L72" s="55">
        <f t="shared" si="36"/>
        <v>7.8594313675222585E-2</v>
      </c>
      <c r="M72" s="55">
        <f t="shared" si="19"/>
        <v>0.92140568632477737</v>
      </c>
      <c r="N72" s="55">
        <f t="shared" si="37"/>
        <v>7.1280545959466007E-2</v>
      </c>
      <c r="O72" s="56">
        <f t="shared" si="21"/>
        <v>3.1553747806047532E-9</v>
      </c>
      <c r="P72" s="56">
        <f t="shared" si="38"/>
        <v>5.9024329570092194E-5</v>
      </c>
      <c r="Q72" s="56">
        <f t="shared" si="39"/>
        <v>1.070633800311179E-2</v>
      </c>
      <c r="R72" s="9">
        <f t="shared" si="12"/>
        <v>1.4999999999999999E-4</v>
      </c>
      <c r="S72" s="9">
        <f t="shared" si="13"/>
        <v>1.1789147051283387E-5</v>
      </c>
      <c r="T72" s="9">
        <f t="shared" si="10"/>
        <v>4.7243113628854198E-7</v>
      </c>
      <c r="U72" s="9">
        <f t="shared" si="11"/>
        <v>1.3821085294871659E-4</v>
      </c>
      <c r="V72" s="100">
        <f t="shared" si="14"/>
        <v>3.4181913084918047E-3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124</v>
      </c>
      <c r="C73" s="46" t="s">
        <v>125</v>
      </c>
      <c r="D73" s="47">
        <v>5.4845040000000003</v>
      </c>
      <c r="E73" s="47">
        <v>6.5678879999999999</v>
      </c>
      <c r="F73" s="96">
        <v>9.9999999999999995E-7</v>
      </c>
      <c r="G73" s="168"/>
      <c r="H73" s="168"/>
      <c r="I73" s="54">
        <f t="shared" si="33"/>
        <v>2.4593424067669152</v>
      </c>
      <c r="J73" s="54">
        <f t="shared" si="34"/>
        <v>4.3022457905640747</v>
      </c>
      <c r="K73" s="55">
        <f t="shared" si="35"/>
        <v>3.1759005738812652E-3</v>
      </c>
      <c r="L73" s="55">
        <f t="shared" si="36"/>
        <v>8.4972118825899848E-2</v>
      </c>
      <c r="M73" s="55">
        <f t="shared" si="19"/>
        <v>0.91502788117410017</v>
      </c>
      <c r="N73" s="55">
        <f t="shared" si="37"/>
        <v>7.8322882354665807E-2</v>
      </c>
      <c r="O73" s="56">
        <f t="shared" si="21"/>
        <v>3.1817832717145209E-9</v>
      </c>
      <c r="P73" s="56">
        <f t="shared" si="38"/>
        <v>6.3814061238250754E-5</v>
      </c>
      <c r="Q73" s="56">
        <f t="shared" si="39"/>
        <v>1.1764096929670799E-2</v>
      </c>
      <c r="R73" s="9">
        <f t="shared" si="12"/>
        <v>1.4999999999999999E-4</v>
      </c>
      <c r="S73" s="9">
        <f t="shared" si="13"/>
        <v>1.2745817823884976E-5</v>
      </c>
      <c r="T73" s="9">
        <f t="shared" si="10"/>
        <v>4.7638508608218973E-7</v>
      </c>
      <c r="U73" s="9">
        <f t="shared" si="11"/>
        <v>1.3725418217611502E-4</v>
      </c>
      <c r="V73" s="100">
        <f t="shared" si="14"/>
        <v>3.4708238286752205E-3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126</v>
      </c>
      <c r="C74" s="46" t="s">
        <v>127</v>
      </c>
      <c r="D74" s="47">
        <v>2.7195840000000011</v>
      </c>
      <c r="E74" s="47">
        <v>3.2500779999999994</v>
      </c>
      <c r="F74" s="96">
        <v>9.9999999999999995E-7</v>
      </c>
      <c r="G74" s="168"/>
      <c r="H74" s="168"/>
      <c r="I74" s="54">
        <f t="shared" si="33"/>
        <v>0.12015758400049081</v>
      </c>
      <c r="J74" s="54">
        <f t="shared" si="34"/>
        <v>1.0996040565396163</v>
      </c>
      <c r="K74" s="55">
        <f t="shared" si="35"/>
        <v>0.74839225789411046</v>
      </c>
      <c r="L74" s="55">
        <f t="shared" si="36"/>
        <v>1.2557324061733335E-2</v>
      </c>
      <c r="M74" s="55">
        <f t="shared" si="19"/>
        <v>0.98744267593826662</v>
      </c>
      <c r="N74" s="55">
        <f t="shared" si="37"/>
        <v>8.8785296600159616E-3</v>
      </c>
      <c r="O74" s="56">
        <f t="shared" si="21"/>
        <v>7.4977849950071055E-7</v>
      </c>
      <c r="P74" s="56">
        <f t="shared" si="38"/>
        <v>9.4305503703617332E-6</v>
      </c>
      <c r="Q74" s="56">
        <f t="shared" si="39"/>
        <v>1.3335551549343968E-3</v>
      </c>
      <c r="R74" s="9">
        <f t="shared" si="12"/>
        <v>1.4999999999999999E-4</v>
      </c>
      <c r="S74" s="9">
        <f t="shared" si="13"/>
        <v>1.8835986092600001E-6</v>
      </c>
      <c r="T74" s="9">
        <f t="shared" si="10"/>
        <v>1.1225883868411656E-4</v>
      </c>
      <c r="U74" s="9">
        <f t="shared" si="11"/>
        <v>1.4811640139073998E-4</v>
      </c>
      <c r="V74" s="100">
        <f t="shared" si="14"/>
        <v>0.757909574024628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80</v>
      </c>
      <c r="C75" s="46" t="s">
        <v>81</v>
      </c>
      <c r="D75" s="47">
        <v>3.9841999877244016</v>
      </c>
      <c r="E75" s="47">
        <v>5.1901999825375293</v>
      </c>
      <c r="F75" s="96">
        <v>9.9999999999999995E-7</v>
      </c>
      <c r="G75" s="168"/>
      <c r="H75" s="168"/>
      <c r="I75" s="54">
        <f t="shared" si="33"/>
        <v>1.0613094291357714</v>
      </c>
      <c r="J75" s="54">
        <f t="shared" si="34"/>
        <v>2.9166215689730115</v>
      </c>
      <c r="K75" s="55">
        <f t="shared" si="35"/>
        <v>7.921940648681107E-2</v>
      </c>
      <c r="L75" s="55">
        <f t="shared" si="36"/>
        <v>8.7220166772627741E-2</v>
      </c>
      <c r="M75" s="55">
        <f t="shared" si="19"/>
        <v>0.91277983322737222</v>
      </c>
      <c r="N75" s="55">
        <f t="shared" si="37"/>
        <v>8.1877642707911313E-2</v>
      </c>
      <c r="O75" s="56">
        <f t="shared" si="21"/>
        <v>7.9366144024731619E-8</v>
      </c>
      <c r="P75" s="56">
        <f t="shared" si="38"/>
        <v>6.5502345246243429E-5</v>
      </c>
      <c r="Q75" s="56">
        <f t="shared" si="39"/>
        <v>1.2298021934728273E-2</v>
      </c>
      <c r="R75" s="9">
        <f t="shared" si="12"/>
        <v>1.4999999999999999E-4</v>
      </c>
      <c r="S75" s="9">
        <f t="shared" si="13"/>
        <v>1.308302501589416E-5</v>
      </c>
      <c r="T75" s="9">
        <f t="shared" si="10"/>
        <v>1.188291097302166E-5</v>
      </c>
      <c r="U75" s="9">
        <f t="shared" si="11"/>
        <v>1.3691697498410582E-4</v>
      </c>
      <c r="V75" s="100">
        <f t="shared" si="14"/>
        <v>8.6789172594567629E-2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128</v>
      </c>
      <c r="C76" s="46" t="s">
        <v>129</v>
      </c>
      <c r="D76" s="47">
        <v>4.10616</v>
      </c>
      <c r="E76" s="47">
        <v>5.1108449999999994</v>
      </c>
      <c r="F76" s="96">
        <v>9.9999999999999995E-7</v>
      </c>
      <c r="G76" s="168"/>
      <c r="H76" s="168"/>
      <c r="I76" s="54">
        <f t="shared" si="33"/>
        <v>1.080392983851221</v>
      </c>
      <c r="J76" s="54">
        <f t="shared" si="34"/>
        <v>2.8524813659648856</v>
      </c>
      <c r="K76" s="55">
        <f t="shared" si="35"/>
        <v>7.6984704673363949E-2</v>
      </c>
      <c r="L76" s="55">
        <f t="shared" si="36"/>
        <v>7.3122254570223782E-2</v>
      </c>
      <c r="M76" s="55">
        <f t="shared" si="19"/>
        <v>0.92687774542977619</v>
      </c>
      <c r="N76" s="55">
        <f t="shared" si="37"/>
        <v>6.6280108678815799E-2</v>
      </c>
      <c r="O76" s="56">
        <f t="shared" si="21"/>
        <v>7.7127302889158341E-8</v>
      </c>
      <c r="P76" s="56">
        <f t="shared" si="38"/>
        <v>5.4914813182238075E-5</v>
      </c>
      <c r="Q76" s="56">
        <f t="shared" si="39"/>
        <v>9.9552723235581293E-3</v>
      </c>
      <c r="R76" s="9">
        <f t="shared" si="12"/>
        <v>1.4999999999999999E-4</v>
      </c>
      <c r="S76" s="9">
        <f t="shared" si="13"/>
        <v>1.0968338185533567E-5</v>
      </c>
      <c r="T76" s="9">
        <f t="shared" si="10"/>
        <v>1.1547705701004591E-5</v>
      </c>
      <c r="U76" s="9">
        <f t="shared" si="11"/>
        <v>1.3903166181446642E-4</v>
      </c>
      <c r="V76" s="100">
        <f t="shared" si="14"/>
        <v>8.3058100221909584E-2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130</v>
      </c>
      <c r="C77" s="46" t="s">
        <v>131</v>
      </c>
      <c r="D77" s="47">
        <v>2.8295519999999996</v>
      </c>
      <c r="E77" s="47">
        <v>3.5791989999999991</v>
      </c>
      <c r="F77" s="96">
        <v>9.9999999999999995E-7</v>
      </c>
      <c r="G77" s="168"/>
      <c r="H77" s="168"/>
      <c r="I77" s="54">
        <f t="shared" si="33"/>
        <v>0.16668848098518507</v>
      </c>
      <c r="J77" s="54">
        <f t="shared" si="34"/>
        <v>1.3698795093743001</v>
      </c>
      <c r="K77" s="55">
        <f t="shared" si="35"/>
        <v>0.66671215569735731</v>
      </c>
      <c r="L77" s="55">
        <f t="shared" si="36"/>
        <v>2.0844027726842542E-2</v>
      </c>
      <c r="M77" s="55">
        <f t="shared" si="19"/>
        <v>0.97915597227315743</v>
      </c>
      <c r="N77" s="55">
        <f t="shared" si="37"/>
        <v>1.6876062968173771E-2</v>
      </c>
      <c r="O77" s="56">
        <f t="shared" si="21"/>
        <v>6.6794710183703856E-7</v>
      </c>
      <c r="P77" s="56">
        <f t="shared" si="38"/>
        <v>1.5653864822858746E-5</v>
      </c>
      <c r="Q77" s="56">
        <f t="shared" si="39"/>
        <v>2.5347846578196997E-3</v>
      </c>
      <c r="R77" s="9">
        <f t="shared" si="12"/>
        <v>1.4999999999999999E-4</v>
      </c>
      <c r="S77" s="9">
        <f t="shared" si="13"/>
        <v>3.1266041590263811E-6</v>
      </c>
      <c r="T77" s="9">
        <f t="shared" si="10"/>
        <v>1.0000682335460359E-4</v>
      </c>
      <c r="U77" s="9">
        <f t="shared" si="11"/>
        <v>1.4687339584097361E-4</v>
      </c>
      <c r="V77" s="100">
        <f t="shared" si="14"/>
        <v>0.6809049575110625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82</v>
      </c>
      <c r="C78" s="46" t="s">
        <v>83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0.26960058474961779</v>
      </c>
      <c r="J78" s="54">
        <f t="shared" si="34"/>
        <v>1.7168211447433381</v>
      </c>
      <c r="K78" s="55">
        <f t="shared" si="35"/>
        <v>0.51790941764052545</v>
      </c>
      <c r="L78" s="55">
        <f t="shared" si="36"/>
        <v>3.5994712780048344E-2</v>
      </c>
      <c r="M78" s="55">
        <f t="shared" si="19"/>
        <v>0.9640052872199516</v>
      </c>
      <c r="N78" s="55">
        <f t="shared" si="37"/>
        <v>3.150558674010915E-2</v>
      </c>
      <c r="O78" s="56">
        <f t="shared" si="21"/>
        <v>5.1886873753675664E-7</v>
      </c>
      <c r="P78" s="56">
        <f t="shared" si="38"/>
        <v>2.70320292978163E-5</v>
      </c>
      <c r="Q78" s="56">
        <f t="shared" si="39"/>
        <v>4.7321391283643927E-3</v>
      </c>
      <c r="R78" s="9">
        <f t="shared" si="12"/>
        <v>1.4999999999999999E-4</v>
      </c>
      <c r="S78" s="9">
        <f t="shared" si="13"/>
        <v>5.3992069170072509E-6</v>
      </c>
      <c r="T78" s="9">
        <f t="shared" si="10"/>
        <v>7.7686412646078807E-5</v>
      </c>
      <c r="U78" s="9">
        <f t="shared" si="11"/>
        <v>1.4460079308299272E-4</v>
      </c>
      <c r="V78" s="100">
        <f t="shared" si="14"/>
        <v>0.53724748661296196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132</v>
      </c>
      <c r="C79" s="46" t="s">
        <v>133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0.30972420580945559</v>
      </c>
      <c r="J79" s="54">
        <f t="shared" si="34"/>
        <v>1.5824466515947846</v>
      </c>
      <c r="K79" s="55">
        <f t="shared" si="35"/>
        <v>0.47789634002372494</v>
      </c>
      <c r="L79" s="55">
        <f t="shared" si="36"/>
        <v>2.4374971440147136E-2</v>
      </c>
      <c r="M79" s="55">
        <f t="shared" si="19"/>
        <v>0.97562502855985289</v>
      </c>
      <c r="N79" s="55">
        <f t="shared" si="37"/>
        <v>1.8111418597421686E-2</v>
      </c>
      <c r="O79" s="56">
        <f t="shared" si="21"/>
        <v>4.7878154398353997E-7</v>
      </c>
      <c r="P79" s="56">
        <f t="shared" si="38"/>
        <v>1.8305603551550496E-5</v>
      </c>
      <c r="Q79" s="56">
        <f t="shared" si="39"/>
        <v>2.7203350733327365E-3</v>
      </c>
      <c r="R79" s="9">
        <f t="shared" si="12"/>
        <v>1.4999999999999999E-4</v>
      </c>
      <c r="S79" s="9">
        <f t="shared" si="13"/>
        <v>3.6562457160220699E-6</v>
      </c>
      <c r="T79" s="9">
        <f t="shared" si="10"/>
        <v>7.1684451003558731E-5</v>
      </c>
      <c r="U79" s="9">
        <f t="shared" si="11"/>
        <v>1.4634375428397792E-4</v>
      </c>
      <c r="V79" s="100">
        <f t="shared" si="14"/>
        <v>0.48983608049617278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134</v>
      </c>
      <c r="C80" s="46" t="s">
        <v>135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0.35763444792585858</v>
      </c>
      <c r="J80" s="54">
        <f t="shared" si="34"/>
        <v>1.6545409469670946</v>
      </c>
      <c r="K80" s="55">
        <f t="shared" si="35"/>
        <v>0.42738342734000662</v>
      </c>
      <c r="L80" s="55">
        <f t="shared" si="36"/>
        <v>2.5734894008427957E-2</v>
      </c>
      <c r="M80" s="55">
        <f t="shared" si="19"/>
        <v>0.97426510599157201</v>
      </c>
      <c r="N80" s="55">
        <f t="shared" si="37"/>
        <v>1.8900462920248547E-2</v>
      </c>
      <c r="O80" s="56">
        <f t="shared" si="21"/>
        <v>4.2817506659428902E-7</v>
      </c>
      <c r="P80" s="56">
        <f t="shared" si="38"/>
        <v>1.932690540032939E-5</v>
      </c>
      <c r="Q80" s="56">
        <f t="shared" si="39"/>
        <v>2.8388495306213308E-3</v>
      </c>
      <c r="R80" s="9">
        <f t="shared" si="12"/>
        <v>1.4999999999999999E-4</v>
      </c>
      <c r="S80" s="9">
        <f t="shared" si="13"/>
        <v>3.8602341012641936E-6</v>
      </c>
      <c r="T80" s="9">
        <f t="shared" si="10"/>
        <v>6.4107514101000989E-5</v>
      </c>
      <c r="U80" s="9">
        <f t="shared" si="11"/>
        <v>1.4613976589873578E-4</v>
      </c>
      <c r="V80" s="100">
        <f t="shared" si="14"/>
        <v>0.43867262073912738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136</v>
      </c>
      <c r="C81" s="46" t="s">
        <v>137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1.4796577057346771</v>
      </c>
      <c r="J81" s="54">
        <f t="shared" si="34"/>
        <v>3.3641784665212624</v>
      </c>
      <c r="K81" s="55">
        <f t="shared" si="35"/>
        <v>3.0050802011388822E-2</v>
      </c>
      <c r="L81" s="55">
        <f t="shared" si="36"/>
        <v>9.2725309826430458E-2</v>
      </c>
      <c r="M81" s="55">
        <f t="shared" si="19"/>
        <v>0.90727469017356954</v>
      </c>
      <c r="N81" s="55">
        <f t="shared" si="37"/>
        <v>8.7262536152666867E-2</v>
      </c>
      <c r="O81" s="56">
        <f t="shared" si="21"/>
        <v>3.0106464896220244E-8</v>
      </c>
      <c r="P81" s="56">
        <f t="shared" si="38"/>
        <v>6.9636707679649279E-5</v>
      </c>
      <c r="Q81" s="56">
        <f t="shared" si="39"/>
        <v>1.310683293013056E-2</v>
      </c>
      <c r="R81" s="9">
        <f t="shared" si="12"/>
        <v>1.4999999999999999E-4</v>
      </c>
      <c r="S81" s="9">
        <f t="shared" si="13"/>
        <v>1.3908796473964567E-5</v>
      </c>
      <c r="T81" s="9">
        <f t="shared" si="10"/>
        <v>4.5076203017083225E-6</v>
      </c>
      <c r="U81" s="9">
        <f t="shared" si="11"/>
        <v>1.3609120352603543E-4</v>
      </c>
      <c r="V81" s="100">
        <f t="shared" si="14"/>
        <v>3.3122054805298097E-2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138</v>
      </c>
      <c r="C82" s="46" t="s">
        <v>139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1.2498866711591912</v>
      </c>
      <c r="J82" s="54">
        <f t="shared" si="34"/>
        <v>3.0473260422149981</v>
      </c>
      <c r="K82" s="55">
        <f t="shared" si="35"/>
        <v>5.1880726677937763E-2</v>
      </c>
      <c r="L82" s="55">
        <f t="shared" si="36"/>
        <v>7.7178414439227613E-2</v>
      </c>
      <c r="M82" s="55">
        <f t="shared" si="19"/>
        <v>0.92282158556077243</v>
      </c>
      <c r="N82" s="55">
        <f t="shared" si="37"/>
        <v>7.0404564148666346E-2</v>
      </c>
      <c r="O82" s="56">
        <f t="shared" si="21"/>
        <v>5.1976824975512314E-8</v>
      </c>
      <c r="P82" s="56">
        <f t="shared" si="38"/>
        <v>5.7960989243859938E-5</v>
      </c>
      <c r="Q82" s="56">
        <f t="shared" si="39"/>
        <v>1.0574765535129682E-2</v>
      </c>
      <c r="R82" s="9">
        <f t="shared" si="12"/>
        <v>1.4999999999999999E-4</v>
      </c>
      <c r="S82" s="9">
        <f t="shared" si="13"/>
        <v>1.157676216588414E-5</v>
      </c>
      <c r="T82" s="9">
        <f t="shared" si="10"/>
        <v>7.7821090016906634E-6</v>
      </c>
      <c r="U82" s="9">
        <f t="shared" si="11"/>
        <v>1.3842323783411586E-4</v>
      </c>
      <c r="V82" s="100">
        <f t="shared" si="14"/>
        <v>5.6219671808404134E-2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84</v>
      </c>
      <c r="C83" s="46" t="s">
        <v>85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0.14841008082679891</v>
      </c>
      <c r="J83" s="54">
        <f t="shared" si="34"/>
        <v>1.3173040593206689</v>
      </c>
      <c r="K83" s="55">
        <f t="shared" si="35"/>
        <v>0.6964736774846465</v>
      </c>
      <c r="L83" s="55">
        <f t="shared" si="36"/>
        <v>1.9291790014535685E-2</v>
      </c>
      <c r="M83" s="55">
        <f t="shared" si="19"/>
        <v>0.98070820998546426</v>
      </c>
      <c r="N83" s="55">
        <f t="shared" si="37"/>
        <v>1.5581973848270923E-2</v>
      </c>
      <c r="O83" s="56">
        <f t="shared" si="21"/>
        <v>6.9776375067747688E-7</v>
      </c>
      <c r="P83" s="56">
        <f t="shared" si="38"/>
        <v>1.4488134300916292E-5</v>
      </c>
      <c r="Q83" s="56">
        <f t="shared" si="39"/>
        <v>2.340412472010292E-3</v>
      </c>
      <c r="R83" s="9">
        <f t="shared" si="12"/>
        <v>1.4999999999999999E-4</v>
      </c>
      <c r="S83" s="9">
        <f t="shared" si="13"/>
        <v>2.8937685021803524E-6</v>
      </c>
      <c r="T83" s="9">
        <f t="shared" si="10"/>
        <v>1.0447105162269697E-4</v>
      </c>
      <c r="U83" s="9">
        <f t="shared" si="11"/>
        <v>1.4710623149781962E-4</v>
      </c>
      <c r="V83" s="100">
        <f t="shared" si="14"/>
        <v>0.71017420920231655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140</v>
      </c>
      <c r="C84" s="46" t="s">
        <v>141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1.3452769109111</v>
      </c>
      <c r="J84" s="54">
        <f t="shared" si="34"/>
        <v>3.0318323583249076</v>
      </c>
      <c r="K84" s="55">
        <f t="shared" si="35"/>
        <v>4.2387220776035898E-2</v>
      </c>
      <c r="L84" s="55">
        <f t="shared" si="36"/>
        <v>6.0845863618295158E-2</v>
      </c>
      <c r="M84" s="55">
        <f t="shared" si="19"/>
        <v>0.93915413638170486</v>
      </c>
      <c r="N84" s="55">
        <f t="shared" si="37"/>
        <v>5.2237298110635405E-2</v>
      </c>
      <c r="O84" s="56">
        <f t="shared" si="21"/>
        <v>4.2465734320782103E-8</v>
      </c>
      <c r="P84" s="56">
        <f t="shared" si="38"/>
        <v>4.569524357733967E-5</v>
      </c>
      <c r="Q84" s="56">
        <f t="shared" si="39"/>
        <v>7.846042176217434E-3</v>
      </c>
      <c r="R84" s="9">
        <f t="shared" si="12"/>
        <v>1.4999999999999999E-4</v>
      </c>
      <c r="S84" s="9">
        <f t="shared" si="13"/>
        <v>9.1268795427442721E-6</v>
      </c>
      <c r="T84" s="9">
        <f t="shared" si="10"/>
        <v>6.3580831164053844E-6</v>
      </c>
      <c r="U84" s="9">
        <f t="shared" si="11"/>
        <v>1.4087312045725571E-4</v>
      </c>
      <c r="V84" s="100">
        <f t="shared" si="14"/>
        <v>4.5133401572761918E-2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86</v>
      </c>
      <c r="C85" s="46" t="s">
        <v>87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0.12747825886296762</v>
      </c>
      <c r="J85" s="54">
        <f t="shared" si="34"/>
        <v>1.2317717173887035</v>
      </c>
      <c r="K85" s="55">
        <f t="shared" si="35"/>
        <v>0.73281791182670741</v>
      </c>
      <c r="L85" s="55">
        <f t="shared" si="36"/>
        <v>1.666984465970095E-2</v>
      </c>
      <c r="M85" s="55">
        <f t="shared" si="19"/>
        <v>0.98333015534029911</v>
      </c>
      <c r="N85" s="55">
        <f t="shared" si="37"/>
        <v>1.3199632496214192E-2</v>
      </c>
      <c r="O85" s="56">
        <f t="shared" si="21"/>
        <v>7.3417530518389476E-7</v>
      </c>
      <c r="P85" s="56">
        <f t="shared" si="38"/>
        <v>1.2519053339435408E-5</v>
      </c>
      <c r="Q85" s="56">
        <f t="shared" si="39"/>
        <v>1.982584800931371E-3</v>
      </c>
      <c r="R85" s="9">
        <f t="shared" si="12"/>
        <v>1.4999999999999999E-4</v>
      </c>
      <c r="S85" s="9">
        <f t="shared" si="13"/>
        <v>2.5004766989551423E-6</v>
      </c>
      <c r="T85" s="9">
        <f t="shared" si="10"/>
        <v>1.0992268677400611E-4</v>
      </c>
      <c r="U85" s="9">
        <f t="shared" si="11"/>
        <v>1.4749952330104485E-4</v>
      </c>
      <c r="V85" s="100">
        <f t="shared" si="14"/>
        <v>0.74524096291250475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142</v>
      </c>
      <c r="C86" s="46" t="s">
        <v>143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0.71310437974280194</v>
      </c>
      <c r="J86" s="54">
        <f t="shared" si="34"/>
        <v>2.1121156644685484</v>
      </c>
      <c r="K86" s="55">
        <f t="shared" si="35"/>
        <v>0.18723867524842186</v>
      </c>
      <c r="L86" s="55">
        <f t="shared" si="36"/>
        <v>3.2335157721400776E-2</v>
      </c>
      <c r="M86" s="55">
        <f t="shared" si="19"/>
        <v>0.96766484227859917</v>
      </c>
      <c r="N86" s="55">
        <f t="shared" si="37"/>
        <v>2.2800760014425329E-2</v>
      </c>
      <c r="O86" s="56">
        <f t="shared" si="21"/>
        <v>1.8758549610240077E-7</v>
      </c>
      <c r="P86" s="56">
        <f t="shared" si="38"/>
        <v>2.4283703448771982E-5</v>
      </c>
      <c r="Q86" s="56">
        <f t="shared" si="39"/>
        <v>3.4246741541666828E-3</v>
      </c>
      <c r="R86" s="9">
        <f t="shared" si="12"/>
        <v>1.4999999999999999E-4</v>
      </c>
      <c r="S86" s="9">
        <f t="shared" si="13"/>
        <v>4.8502736582101157E-6</v>
      </c>
      <c r="T86" s="9">
        <f t="shared" si="10"/>
        <v>2.8085801287263276E-5</v>
      </c>
      <c r="U86" s="9">
        <f t="shared" si="11"/>
        <v>1.4514972634178987E-4</v>
      </c>
      <c r="V86" s="100">
        <f t="shared" si="14"/>
        <v>0.1934953788416281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280</v>
      </c>
      <c r="C87" s="46" t="s">
        <v>281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7.9970216478940079E-2</v>
      </c>
      <c r="J87" s="54">
        <f t="shared" si="34"/>
        <v>0.94754119329128117</v>
      </c>
      <c r="K87" s="55">
        <f t="shared" si="35"/>
        <v>0.82329773103235193</v>
      </c>
      <c r="L87" s="55">
        <f t="shared" si="36"/>
        <v>9.733339485775417E-3</v>
      </c>
      <c r="M87" s="55">
        <f t="shared" si="19"/>
        <v>0.99026666051422463</v>
      </c>
      <c r="N87" s="55">
        <f t="shared" si="37"/>
        <v>6.8170238677278403E-3</v>
      </c>
      <c r="O87" s="56">
        <f t="shared" si="21"/>
        <v>8.2482271950910064E-7</v>
      </c>
      <c r="P87" s="56">
        <f t="shared" si="38"/>
        <v>7.3097379538173372E-6</v>
      </c>
      <c r="Q87" s="56">
        <f t="shared" si="39"/>
        <v>1.023916984932721E-3</v>
      </c>
      <c r="R87" s="9">
        <f t="shared" si="12"/>
        <v>1.4999999999999999E-4</v>
      </c>
      <c r="S87" s="9">
        <f t="shared" si="13"/>
        <v>1.4600009228663124E-6</v>
      </c>
      <c r="T87" s="9">
        <f t="shared" si="10"/>
        <v>1.2349465965485278E-4</v>
      </c>
      <c r="U87" s="9">
        <f t="shared" si="11"/>
        <v>1.4853999907713368E-4</v>
      </c>
      <c r="V87" s="100">
        <f t="shared" si="14"/>
        <v>0.83138993148050722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282</v>
      </c>
      <c r="C88" s="46" t="s">
        <v>283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1.7455890954858774E-2</v>
      </c>
      <c r="J88" s="54">
        <f t="shared" si="34"/>
        <v>0.18077336940563399</v>
      </c>
      <c r="K88" s="55">
        <f t="shared" si="35"/>
        <v>0.95824484296703483</v>
      </c>
      <c r="L88" s="55">
        <f t="shared" si="36"/>
        <v>1.9382670793357123E-3</v>
      </c>
      <c r="M88" s="55">
        <f t="shared" si="19"/>
        <v>0.99806173292066425</v>
      </c>
      <c r="N88" s="55">
        <f t="shared" si="37"/>
        <v>1.1366068116779554E-4</v>
      </c>
      <c r="O88" s="56">
        <f t="shared" si="21"/>
        <v>9.6001979301043696E-7</v>
      </c>
      <c r="P88" s="56">
        <f t="shared" si="38"/>
        <v>1.4556385765811199E-6</v>
      </c>
      <c r="Q88" s="56">
        <f t="shared" si="39"/>
        <v>1.7071834311402882E-5</v>
      </c>
      <c r="R88" s="9">
        <f t="shared" si="12"/>
        <v>1.4999999999999999E-4</v>
      </c>
      <c r="S88" s="9">
        <f t="shared" si="13"/>
        <v>2.9074006190035683E-7</v>
      </c>
      <c r="T88" s="9">
        <f t="shared" si="10"/>
        <v>1.437367264450552E-4</v>
      </c>
      <c r="U88" s="9">
        <f t="shared" si="11"/>
        <v>1.4970925993809962E-4</v>
      </c>
      <c r="V88" s="100">
        <f t="shared" si="14"/>
        <v>0.96010578440162031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284</v>
      </c>
      <c r="C89" s="46" t="s">
        <v>285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3.8813937169773554E-3</v>
      </c>
      <c r="J89" s="54">
        <f t="shared" si="34"/>
        <v>7.4106535684859906E-2</v>
      </c>
      <c r="K89" s="55">
        <f t="shared" si="35"/>
        <v>0.98903902517809661</v>
      </c>
      <c r="L89" s="55">
        <f t="shared" si="36"/>
        <v>1.5648896684488662E-3</v>
      </c>
      <c r="M89" s="55">
        <f t="shared" si="19"/>
        <v>0.99843511033155108</v>
      </c>
      <c r="N89" s="55">
        <f t="shared" si="37"/>
        <v>1.3575960945106947E-4</v>
      </c>
      <c r="O89" s="56">
        <f t="shared" si="21"/>
        <v>9.9087101506413702E-7</v>
      </c>
      <c r="P89" s="56">
        <f t="shared" si="38"/>
        <v>1.1752321410050983E-6</v>
      </c>
      <c r="Q89" s="56">
        <f t="shared" si="39"/>
        <v>2.0391093339550629E-5</v>
      </c>
      <c r="R89" s="9">
        <f t="shared" si="12"/>
        <v>1.4999999999999999E-4</v>
      </c>
      <c r="S89" s="9">
        <f t="shared" si="13"/>
        <v>2.347334502673299E-7</v>
      </c>
      <c r="T89" s="9">
        <f t="shared" si="10"/>
        <v>1.4835585377671447E-4</v>
      </c>
      <c r="U89" s="9">
        <f t="shared" si="11"/>
        <v>1.4976526654973264E-4</v>
      </c>
      <c r="V89" s="100">
        <f t="shared" si="14"/>
        <v>0.99058918796401874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286</v>
      </c>
      <c r="C90" s="46" t="s">
        <v>287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1.2917346823443875E-4</v>
      </c>
      <c r="J90" s="54">
        <f t="shared" si="34"/>
        <v>7.3722564111608664E-4</v>
      </c>
      <c r="K90" s="55">
        <f t="shared" si="35"/>
        <v>0.99785243138049795</v>
      </c>
      <c r="L90" s="55">
        <f t="shared" si="36"/>
        <v>1.3334210442553236E-3</v>
      </c>
      <c r="M90" s="55">
        <f t="shared" si="19"/>
        <v>0.99866657895574462</v>
      </c>
      <c r="N90" s="55">
        <f t="shared" si="37"/>
        <v>4.5016969097335866E-6</v>
      </c>
      <c r="O90" s="56">
        <f t="shared" si="21"/>
        <v>9.9970074627557591E-7</v>
      </c>
      <c r="P90" s="56">
        <f t="shared" si="38"/>
        <v>1.001399204235748E-6</v>
      </c>
      <c r="Q90" s="56">
        <f t="shared" si="39"/>
        <v>6.761548758419845E-7</v>
      </c>
      <c r="R90" s="9">
        <f t="shared" si="12"/>
        <v>1.4999999999999999E-4</v>
      </c>
      <c r="S90" s="9">
        <f t="shared" si="13"/>
        <v>2.0001315663829853E-7</v>
      </c>
      <c r="T90" s="9">
        <f t="shared" si="10"/>
        <v>1.4967786470707469E-4</v>
      </c>
      <c r="U90" s="9">
        <f t="shared" si="11"/>
        <v>1.4979998684336169E-4</v>
      </c>
      <c r="V90" s="100">
        <f t="shared" si="14"/>
        <v>0.99918476537374668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288</v>
      </c>
      <c r="C91" s="46" t="s">
        <v>289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-2.2956464274597468E-5</v>
      </c>
      <c r="J91" s="54">
        <f t="shared" si="34"/>
        <v>-1.6308597924744735E-3</v>
      </c>
      <c r="K91" s="55">
        <f t="shared" si="35"/>
        <v>0.99820880664512357</v>
      </c>
      <c r="L91" s="55">
        <f t="shared" si="36"/>
        <v>1.326643693144883E-3</v>
      </c>
      <c r="M91" s="55">
        <f t="shared" si="19"/>
        <v>0.99867335630685516</v>
      </c>
      <c r="N91" s="55">
        <f t="shared" si="37"/>
        <v>2.0453269520975639E-6</v>
      </c>
      <c r="O91" s="56">
        <f t="shared" si="21"/>
        <v>1.0000577816515458E-6</v>
      </c>
      <c r="P91" s="56">
        <f t="shared" si="38"/>
        <v>9.9630941355180707E-7</v>
      </c>
      <c r="Q91" s="56">
        <f t="shared" si="39"/>
        <v>3.0720810820505395E-7</v>
      </c>
      <c r="R91" s="9">
        <f t="shared" si="12"/>
        <v>1.4999999999999999E-4</v>
      </c>
      <c r="S91" s="9">
        <f t="shared" si="13"/>
        <v>1.9899655397173243E-7</v>
      </c>
      <c r="T91" s="9">
        <f t="shared" si="10"/>
        <v>1.4973132099676853E-4</v>
      </c>
      <c r="U91" s="9">
        <f t="shared" si="11"/>
        <v>1.4980100344602826E-4</v>
      </c>
      <c r="V91" s="100">
        <f t="shared" si="14"/>
        <v>0.99953483322770365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290</v>
      </c>
      <c r="C92" s="46" t="s">
        <v>291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4.9737704902702096E-3</v>
      </c>
      <c r="J92" s="54">
        <f t="shared" si="34"/>
        <v>9.6782625218511734E-2</v>
      </c>
      <c r="K92" s="55">
        <f t="shared" si="35"/>
        <v>0.98647577176652168</v>
      </c>
      <c r="L92" s="55">
        <f t="shared" si="36"/>
        <v>1.6444959487634761E-3</v>
      </c>
      <c r="M92" s="55">
        <f t="shared" si="19"/>
        <v>0.99835550405123652</v>
      </c>
      <c r="N92" s="55">
        <f t="shared" si="37"/>
        <v>1.8750054727702608E-4</v>
      </c>
      <c r="O92" s="56">
        <f t="shared" si="21"/>
        <v>9.8830301375666973E-7</v>
      </c>
      <c r="P92" s="56">
        <f t="shared" si="38"/>
        <v>1.2350164575213705E-6</v>
      </c>
      <c r="Q92" s="56">
        <f t="shared" si="39"/>
        <v>2.8162582201009309E-5</v>
      </c>
      <c r="R92" s="9">
        <f t="shared" si="12"/>
        <v>1.4999999999999999E-4</v>
      </c>
      <c r="S92" s="9">
        <f t="shared" si="13"/>
        <v>2.4667439231452141E-7</v>
      </c>
      <c r="T92" s="9">
        <f t="shared" ref="T92:T143" si="40">R92*K92</f>
        <v>1.4797136576497825E-4</v>
      </c>
      <c r="U92" s="9">
        <f t="shared" ref="U92:U143" si="41">$R92*M92</f>
        <v>1.4975332560768545E-4</v>
      </c>
      <c r="V92" s="100">
        <f t="shared" si="14"/>
        <v>0.98810069936359546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292</v>
      </c>
      <c r="C93" s="46" t="s">
        <v>293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-1.6944268240451622E-5</v>
      </c>
      <c r="J93" s="54">
        <f t="shared" si="34"/>
        <v>-1.5403293623035036E-3</v>
      </c>
      <c r="K93" s="55">
        <f t="shared" si="35"/>
        <v>0.99819473020667071</v>
      </c>
      <c r="L93" s="55">
        <f t="shared" si="36"/>
        <v>1.3269015543518837E-3</v>
      </c>
      <c r="M93" s="55">
        <f t="shared" ref="M93:M127" si="42">IF(D93=0,"",1-L93)</f>
        <v>0.99867309844564811</v>
      </c>
      <c r="N93" s="55">
        <f t="shared" si="37"/>
        <v>2.1314896948856063E-6</v>
      </c>
      <c r="O93" s="56">
        <f t="shared" ref="O93:O127" si="43">IF(D93=0,"",F93*K93*$J$7/$J$14)</f>
        <v>1.0000436791394069E-6</v>
      </c>
      <c r="P93" s="56">
        <f t="shared" si="38"/>
        <v>9.9650306731826449E-7</v>
      </c>
      <c r="Q93" s="56">
        <f t="shared" si="39"/>
        <v>3.2014975217181795E-7</v>
      </c>
      <c r="R93" s="9">
        <f t="shared" ref="R93:R143" si="44">F93*$C$14</f>
        <v>1.4999999999999999E-4</v>
      </c>
      <c r="S93" s="9">
        <f t="shared" ref="S93:S143" si="45">$R93*L93</f>
        <v>1.9903523315278254E-7</v>
      </c>
      <c r="T93" s="9">
        <f t="shared" si="40"/>
        <v>1.497292095310006E-4</v>
      </c>
      <c r="U93" s="9">
        <f t="shared" si="41"/>
        <v>1.498009647668472E-4</v>
      </c>
      <c r="V93" s="100">
        <f t="shared" ref="V93:V143" si="46">K93/M93</f>
        <v>0.99952099617009615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294</v>
      </c>
      <c r="C94" s="46" t="s">
        <v>295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-1.664624595209951E-4</v>
      </c>
      <c r="J94" s="54">
        <f t="shared" si="34"/>
        <v>-3.6857986344730684E-3</v>
      </c>
      <c r="K94" s="55">
        <f t="shared" si="35"/>
        <v>0.99854452160279406</v>
      </c>
      <c r="L94" s="55">
        <f t="shared" si="36"/>
        <v>1.320825345615978E-3</v>
      </c>
      <c r="M94" s="55">
        <f t="shared" si="42"/>
        <v>0.99867917465438405</v>
      </c>
      <c r="N94" s="55">
        <f t="shared" si="37"/>
        <v>3.5640946536025711E-7</v>
      </c>
      <c r="O94" s="56">
        <f t="shared" si="43"/>
        <v>1.0003941184516221E-6</v>
      </c>
      <c r="P94" s="56">
        <f t="shared" si="38"/>
        <v>9.9193983455759952E-7</v>
      </c>
      <c r="Q94" s="56">
        <f t="shared" si="39"/>
        <v>5.3532701697110598E-8</v>
      </c>
      <c r="R94" s="9">
        <f t="shared" si="44"/>
        <v>1.4999999999999999E-4</v>
      </c>
      <c r="S94" s="9">
        <f t="shared" si="45"/>
        <v>1.9812380184239669E-7</v>
      </c>
      <c r="T94" s="9">
        <f t="shared" si="40"/>
        <v>1.497816782404191E-4</v>
      </c>
      <c r="U94" s="9">
        <f t="shared" si="41"/>
        <v>1.4980187619815759E-4</v>
      </c>
      <c r="V94" s="100">
        <f t="shared" si="46"/>
        <v>0.99986516886002297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296</v>
      </c>
      <c r="C95" s="46" t="s">
        <v>297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0.94867954725222914</v>
      </c>
      <c r="J95" s="54">
        <f t="shared" si="34"/>
        <v>2.775095201359258</v>
      </c>
      <c r="K95" s="55">
        <f t="shared" si="35"/>
        <v>0.10325394993412446</v>
      </c>
      <c r="L95" s="55">
        <f t="shared" si="36"/>
        <v>8.2066447714311708E-2</v>
      </c>
      <c r="M95" s="55">
        <f t="shared" si="42"/>
        <v>0.91793355228568829</v>
      </c>
      <c r="N95" s="55">
        <f t="shared" si="37"/>
        <v>7.6526247971932471E-2</v>
      </c>
      <c r="O95" s="56">
        <f t="shared" si="43"/>
        <v>1.0344520648432882E-7</v>
      </c>
      <c r="P95" s="56">
        <f t="shared" si="38"/>
        <v>6.1631902233448115E-5</v>
      </c>
      <c r="Q95" s="56">
        <f t="shared" si="39"/>
        <v>1.1494242445384254E-2</v>
      </c>
      <c r="R95" s="9">
        <f t="shared" si="44"/>
        <v>1.4999999999999999E-4</v>
      </c>
      <c r="S95" s="9">
        <f t="shared" si="45"/>
        <v>1.2309967157146755E-5</v>
      </c>
      <c r="T95" s="9">
        <f t="shared" si="40"/>
        <v>1.5488092490118667E-5</v>
      </c>
      <c r="U95" s="9">
        <f t="shared" si="41"/>
        <v>1.3769003284285324E-4</v>
      </c>
      <c r="V95" s="100">
        <f t="shared" si="46"/>
        <v>0.1124852116768347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298</v>
      </c>
      <c r="C96" s="46" t="s">
        <v>211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-2.2502251762220258E-4</v>
      </c>
      <c r="J96" s="54">
        <f t="shared" si="34"/>
        <v>-4.4262217719037919E-3</v>
      </c>
      <c r="K96" s="55">
        <f t="shared" si="35"/>
        <v>0.99868124334078479</v>
      </c>
      <c r="L96" s="55">
        <f t="shared" si="36"/>
        <v>1.3187559464728931E-3</v>
      </c>
      <c r="M96" s="55">
        <f t="shared" si="42"/>
        <v>0.9986812440535271</v>
      </c>
      <c r="N96" s="55">
        <f t="shared" si="37"/>
        <v>1.1364770160310984E-14</v>
      </c>
      <c r="O96" s="56">
        <f t="shared" si="43"/>
        <v>1.0005310934383067E-6</v>
      </c>
      <c r="P96" s="56">
        <f t="shared" si="38"/>
        <v>9.9038571580114264E-7</v>
      </c>
      <c r="Q96" s="56">
        <f t="shared" si="39"/>
        <v>1.7069884780787092E-15</v>
      </c>
      <c r="R96" s="9">
        <f t="shared" si="44"/>
        <v>1.4999999999999999E-4</v>
      </c>
      <c r="S96" s="9">
        <f t="shared" si="45"/>
        <v>1.9781339197093395E-7</v>
      </c>
      <c r="T96" s="9">
        <f t="shared" si="40"/>
        <v>1.498021865011177E-4</v>
      </c>
      <c r="U96" s="9">
        <f t="shared" si="41"/>
        <v>1.4980218660802906E-4</v>
      </c>
      <c r="V96" s="100">
        <f t="shared" si="46"/>
        <v>0.99999999928631655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299</v>
      </c>
      <c r="C97" s="46" t="s">
        <v>212</v>
      </c>
      <c r="D97" s="47" t="s">
        <v>300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1.4999999999999999E-4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301</v>
      </c>
      <c r="C98" s="46" t="s">
        <v>213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1.2628922084387679</v>
      </c>
      <c r="J98" s="54">
        <f t="shared" si="34"/>
        <v>2.4283398551706128</v>
      </c>
      <c r="K98" s="55">
        <f t="shared" si="35"/>
        <v>5.3516636157279286E-2</v>
      </c>
      <c r="L98" s="55">
        <f t="shared" si="36"/>
        <v>1.914222524369593E-2</v>
      </c>
      <c r="M98" s="55">
        <f t="shared" si="42"/>
        <v>0.98085777475630409</v>
      </c>
      <c r="N98" s="55">
        <f t="shared" si="37"/>
        <v>6.347790300244481E-3</v>
      </c>
      <c r="O98" s="56">
        <f t="shared" si="43"/>
        <v>5.361576463823826E-8</v>
      </c>
      <c r="P98" s="56">
        <f t="shared" si="38"/>
        <v>1.4375811158015647E-5</v>
      </c>
      <c r="Q98" s="56">
        <f t="shared" si="39"/>
        <v>9.5343810309672075E-4</v>
      </c>
      <c r="R98" s="9">
        <f t="shared" si="44"/>
        <v>1.4999999999999999E-4</v>
      </c>
      <c r="S98" s="9">
        <f t="shared" si="45"/>
        <v>2.8713337865543893E-6</v>
      </c>
      <c r="T98" s="9">
        <f t="shared" si="40"/>
        <v>8.027495423591892E-6</v>
      </c>
      <c r="U98" s="9">
        <f t="shared" si="41"/>
        <v>1.4712866621344561E-4</v>
      </c>
      <c r="V98" s="100">
        <f t="shared" si="46"/>
        <v>5.4561056184292966E-2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302</v>
      </c>
      <c r="C99" s="46" t="s">
        <v>214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0.12448503768629132</v>
      </c>
      <c r="J99" s="54">
        <f t="shared" si="34"/>
        <v>0.74111806458001228</v>
      </c>
      <c r="K99" s="55">
        <f t="shared" si="35"/>
        <v>0.74627903598558976</v>
      </c>
      <c r="L99" s="55">
        <f t="shared" si="36"/>
        <v>5.4850812594761733E-3</v>
      </c>
      <c r="M99" s="55">
        <f t="shared" si="42"/>
        <v>0.99451491874052378</v>
      </c>
      <c r="N99" s="55">
        <f t="shared" si="37"/>
        <v>1.0400039903484507E-3</v>
      </c>
      <c r="O99" s="56">
        <f t="shared" si="43"/>
        <v>7.4766136328641941E-7</v>
      </c>
      <c r="P99" s="56">
        <f t="shared" si="38"/>
        <v>4.1192960258666062E-6</v>
      </c>
      <c r="Q99" s="56">
        <f t="shared" si="39"/>
        <v>1.5620859935033723E-4</v>
      </c>
      <c r="R99" s="9">
        <f t="shared" si="44"/>
        <v>1.4999999999999999E-4</v>
      </c>
      <c r="S99" s="9">
        <f t="shared" si="45"/>
        <v>8.2276218892142588E-7</v>
      </c>
      <c r="T99" s="9">
        <f t="shared" si="40"/>
        <v>1.1194185539783845E-4</v>
      </c>
      <c r="U99" s="9">
        <f t="shared" si="41"/>
        <v>1.4917723781107857E-4</v>
      </c>
      <c r="V99" s="100">
        <f t="shared" si="46"/>
        <v>0.75039501361195715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303</v>
      </c>
      <c r="C100" s="46" t="s">
        <v>215</v>
      </c>
      <c r="D100" s="47" t="s">
        <v>300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1.4999999999999999E-4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304</v>
      </c>
      <c r="C101" s="46" t="s">
        <v>216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0.94115347171694241</v>
      </c>
      <c r="J101" s="54">
        <f t="shared" si="34"/>
        <v>1.9956787366510347</v>
      </c>
      <c r="K101" s="55">
        <f t="shared" si="35"/>
        <v>0.11274711258484869</v>
      </c>
      <c r="L101" s="55">
        <f t="shared" si="36"/>
        <v>1.489182502206368E-2</v>
      </c>
      <c r="M101" s="55">
        <f t="shared" si="42"/>
        <v>0.98510817497793635</v>
      </c>
      <c r="N101" s="55">
        <f t="shared" si="37"/>
        <v>2.4902284606189286E-3</v>
      </c>
      <c r="O101" s="56">
        <f t="shared" si="43"/>
        <v>1.1295595325207972E-7</v>
      </c>
      <c r="P101" s="56">
        <f t="shared" si="38"/>
        <v>1.118376059156982E-5</v>
      </c>
      <c r="Q101" s="56">
        <f t="shared" si="39"/>
        <v>3.7403231478496296E-4</v>
      </c>
      <c r="R101" s="9">
        <f t="shared" si="44"/>
        <v>1.4999999999999999E-4</v>
      </c>
      <c r="S101" s="9">
        <f t="shared" si="45"/>
        <v>2.2337737533095517E-6</v>
      </c>
      <c r="T101" s="9">
        <f t="shared" si="40"/>
        <v>1.6912066887727304E-5</v>
      </c>
      <c r="U101" s="9">
        <f t="shared" si="41"/>
        <v>1.4776622624669043E-4</v>
      </c>
      <c r="V101" s="100">
        <f t="shared" si="46"/>
        <v>0.11445150436130927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305</v>
      </c>
      <c r="C102" s="46" t="s">
        <v>217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0.36577089944725916</v>
      </c>
      <c r="J102" s="54">
        <f t="shared" si="34"/>
        <v>1.1803151929421574</v>
      </c>
      <c r="K102" s="55">
        <f t="shared" si="35"/>
        <v>0.42681764900934255</v>
      </c>
      <c r="L102" s="55">
        <f t="shared" si="36"/>
        <v>8.624249688509715E-3</v>
      </c>
      <c r="M102" s="55">
        <f t="shared" si="42"/>
        <v>0.99137575031149028</v>
      </c>
      <c r="N102" s="55">
        <f t="shared" si="37"/>
        <v>3.2664475906740127E-9</v>
      </c>
      <c r="O102" s="56">
        <f t="shared" si="43"/>
        <v>4.2760824027648476E-7</v>
      </c>
      <c r="P102" s="56">
        <f t="shared" si="38"/>
        <v>6.4768115160707953E-6</v>
      </c>
      <c r="Q102" s="56">
        <f t="shared" si="39"/>
        <v>4.906204281192365E-10</v>
      </c>
      <c r="R102" s="9">
        <f t="shared" si="44"/>
        <v>1.4999999999999999E-4</v>
      </c>
      <c r="S102" s="9">
        <f t="shared" si="45"/>
        <v>1.2936374532764572E-6</v>
      </c>
      <c r="T102" s="9">
        <f t="shared" si="40"/>
        <v>6.402264735140137E-5</v>
      </c>
      <c r="U102" s="9">
        <f t="shared" si="41"/>
        <v>1.4870636254672354E-4</v>
      </c>
      <c r="V102" s="100">
        <f t="shared" si="46"/>
        <v>0.43053065285814834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306</v>
      </c>
      <c r="C103" s="46" t="s">
        <v>218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1.199560490818528</v>
      </c>
      <c r="J103" s="54">
        <f t="shared" si="34"/>
        <v>2.2036613995296537</v>
      </c>
      <c r="K103" s="55">
        <f t="shared" si="35"/>
        <v>6.2288510529924797E-2</v>
      </c>
      <c r="L103" s="55">
        <f t="shared" si="36"/>
        <v>1.3281071198813025E-2</v>
      </c>
      <c r="M103" s="55">
        <f t="shared" si="42"/>
        <v>0.98671892880118695</v>
      </c>
      <c r="N103" s="55">
        <f t="shared" si="37"/>
        <v>7.9495266771424467E-9</v>
      </c>
      <c r="O103" s="56">
        <f t="shared" si="43"/>
        <v>6.2403887090811059E-8</v>
      </c>
      <c r="P103" s="56">
        <f t="shared" si="38"/>
        <v>9.974084470308584E-6</v>
      </c>
      <c r="Q103" s="56">
        <f t="shared" si="39"/>
        <v>1.194018906906795E-9</v>
      </c>
      <c r="R103" s="9">
        <f t="shared" si="44"/>
        <v>1.4999999999999999E-4</v>
      </c>
      <c r="S103" s="9">
        <f t="shared" si="45"/>
        <v>1.9921606798219535E-6</v>
      </c>
      <c r="T103" s="9">
        <f t="shared" si="40"/>
        <v>9.3432765794887192E-6</v>
      </c>
      <c r="U103" s="9">
        <f t="shared" si="41"/>
        <v>1.4800783932017802E-4</v>
      </c>
      <c r="V103" s="100">
        <f t="shared" si="46"/>
        <v>6.3126903428924949E-2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307</v>
      </c>
      <c r="C104" s="46" t="s">
        <v>219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1.8651886014657959</v>
      </c>
      <c r="J104" s="54">
        <f t="shared" si="34"/>
        <v>2.970635068773662</v>
      </c>
      <c r="K104" s="55">
        <f t="shared" si="35"/>
        <v>1.340498979807626E-2</v>
      </c>
      <c r="L104" s="55">
        <f t="shared" si="36"/>
        <v>1.6713419579930538E-2</v>
      </c>
      <c r="M104" s="55">
        <f t="shared" si="42"/>
        <v>0.98328658042006944</v>
      </c>
      <c r="N104" s="55">
        <f t="shared" si="37"/>
        <v>3.1002752378620694E-3</v>
      </c>
      <c r="O104" s="56">
        <f t="shared" si="43"/>
        <v>1.342981976444501E-8</v>
      </c>
      <c r="P104" s="56">
        <f t="shared" si="38"/>
        <v>1.2551778104527835E-5</v>
      </c>
      <c r="Q104" s="56">
        <f t="shared" si="39"/>
        <v>4.6566134072688266E-4</v>
      </c>
      <c r="R104" s="9">
        <f t="shared" si="44"/>
        <v>1.4999999999999999E-4</v>
      </c>
      <c r="S104" s="9">
        <f t="shared" si="45"/>
        <v>2.5070129369895803E-6</v>
      </c>
      <c r="T104" s="9">
        <f t="shared" si="40"/>
        <v>2.0107484697114387E-6</v>
      </c>
      <c r="U104" s="9">
        <f t="shared" si="41"/>
        <v>1.4749298706301039E-4</v>
      </c>
      <c r="V104" s="100">
        <f t="shared" si="46"/>
        <v>1.3632841193001455E-2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308</v>
      </c>
      <c r="C105" s="46" t="s">
        <v>220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1.4992792320699506</v>
      </c>
      <c r="J105" s="54">
        <f t="shared" si="34"/>
        <v>2.835620537354179</v>
      </c>
      <c r="K105" s="55">
        <f t="shared" si="35"/>
        <v>3.0768890623447519E-2</v>
      </c>
      <c r="L105" s="55">
        <f t="shared" si="36"/>
        <v>2.8112284207575784E-2</v>
      </c>
      <c r="M105" s="55">
        <f t="shared" si="42"/>
        <v>0.97188771579242417</v>
      </c>
      <c r="N105" s="55">
        <f t="shared" si="37"/>
        <v>1.5931094058932335E-2</v>
      </c>
      <c r="O105" s="56">
        <f t="shared" si="43"/>
        <v>3.0825883618659908E-8</v>
      </c>
      <c r="P105" s="56">
        <f t="shared" si="38"/>
        <v>2.1112325439889417E-5</v>
      </c>
      <c r="Q105" s="56">
        <f t="shared" si="39"/>
        <v>2.3928503276516356E-3</v>
      </c>
      <c r="R105" s="9">
        <f t="shared" si="44"/>
        <v>1.4999999999999999E-4</v>
      </c>
      <c r="S105" s="9">
        <f t="shared" si="45"/>
        <v>4.2168426311363674E-6</v>
      </c>
      <c r="T105" s="9">
        <f t="shared" si="40"/>
        <v>4.6153335935171279E-6</v>
      </c>
      <c r="U105" s="9">
        <f t="shared" si="41"/>
        <v>1.4578315736886362E-4</v>
      </c>
      <c r="V105" s="100">
        <f t="shared" si="46"/>
        <v>3.165889446226846E-2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309</v>
      </c>
      <c r="C106" s="46" t="s">
        <v>221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0.70891628628139558</v>
      </c>
      <c r="J106" s="54">
        <f t="shared" si="34"/>
        <v>1.6884421390433322</v>
      </c>
      <c r="K106" s="55">
        <f t="shared" si="35"/>
        <v>0.19291659452806842</v>
      </c>
      <c r="L106" s="55">
        <f t="shared" si="36"/>
        <v>1.2559590665943249E-2</v>
      </c>
      <c r="M106" s="55">
        <f t="shared" si="42"/>
        <v>0.98744040933405675</v>
      </c>
      <c r="N106" s="55">
        <f t="shared" si="37"/>
        <v>1.0459317600308307E-3</v>
      </c>
      <c r="O106" s="56">
        <f t="shared" si="43"/>
        <v>1.9327393255116731E-7</v>
      </c>
      <c r="P106" s="56">
        <f t="shared" si="38"/>
        <v>9.4322525901233802E-6</v>
      </c>
      <c r="Q106" s="56">
        <f t="shared" si="39"/>
        <v>1.5709895035663073E-4</v>
      </c>
      <c r="R106" s="9">
        <f t="shared" si="44"/>
        <v>1.4999999999999999E-4</v>
      </c>
      <c r="S106" s="9">
        <f t="shared" si="45"/>
        <v>1.8839385998914872E-6</v>
      </c>
      <c r="T106" s="9">
        <f t="shared" si="40"/>
        <v>2.8937489179210259E-5</v>
      </c>
      <c r="U106" s="9">
        <f t="shared" si="41"/>
        <v>1.481160614001085E-4</v>
      </c>
      <c r="V106" s="100">
        <f t="shared" si="46"/>
        <v>0.19537036635777746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310</v>
      </c>
      <c r="C107" s="46" t="s">
        <v>222</v>
      </c>
      <c r="D107" s="47" t="s">
        <v>300</v>
      </c>
      <c r="E107" s="47" t="s">
        <v>311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1.4999999999999999E-4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312</v>
      </c>
      <c r="C108" s="46" t="s">
        <v>223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1.3235891145541188</v>
      </c>
      <c r="J108" s="54">
        <f t="shared" si="34"/>
        <v>2.4437814319566185</v>
      </c>
      <c r="K108" s="55">
        <f t="shared" si="35"/>
        <v>4.6624626061362077E-2</v>
      </c>
      <c r="L108" s="55">
        <f t="shared" si="36"/>
        <v>1.7280669057593845E-2</v>
      </c>
      <c r="M108" s="55">
        <f t="shared" si="42"/>
        <v>0.98271933094240616</v>
      </c>
      <c r="N108" s="55">
        <f t="shared" si="37"/>
        <v>4.1951657606302062E-3</v>
      </c>
      <c r="O108" s="56">
        <f t="shared" si="43"/>
        <v>4.6710988521498019E-8</v>
      </c>
      <c r="P108" s="56">
        <f t="shared" si="38"/>
        <v>1.297778246225298E-5</v>
      </c>
      <c r="Q108" s="56">
        <f t="shared" si="39"/>
        <v>6.3011389724665671E-4</v>
      </c>
      <c r="R108" s="9">
        <f t="shared" si="44"/>
        <v>1.4999999999999999E-4</v>
      </c>
      <c r="S108" s="9">
        <f t="shared" si="45"/>
        <v>2.5921003586390766E-6</v>
      </c>
      <c r="T108" s="9">
        <f t="shared" si="40"/>
        <v>6.9936939092043114E-6</v>
      </c>
      <c r="U108" s="9">
        <f t="shared" si="41"/>
        <v>1.474078996413609E-4</v>
      </c>
      <c r="V108" s="100">
        <f t="shared" si="46"/>
        <v>4.7444498742738775E-2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313</v>
      </c>
      <c r="C109" s="46" t="s">
        <v>224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1.537838229995057</v>
      </c>
      <c r="J109" s="54">
        <f t="shared" si="34"/>
        <v>2.8216463889123298</v>
      </c>
      <c r="K109" s="55">
        <f t="shared" si="35"/>
        <v>2.8245292356442589E-2</v>
      </c>
      <c r="L109" s="55">
        <f t="shared" si="36"/>
        <v>2.4989422665133355E-2</v>
      </c>
      <c r="M109" s="55">
        <f t="shared" si="42"/>
        <v>0.97501057733486662</v>
      </c>
      <c r="N109" s="55">
        <f t="shared" si="37"/>
        <v>1.2447434168873265E-2</v>
      </c>
      <c r="O109" s="56">
        <f t="shared" si="43"/>
        <v>2.829761090870188E-8</v>
      </c>
      <c r="P109" s="56">
        <f t="shared" si="38"/>
        <v>1.876705642151515E-5</v>
      </c>
      <c r="Q109" s="56">
        <f t="shared" si="39"/>
        <v>1.8696046121647637E-3</v>
      </c>
      <c r="R109" s="9">
        <f t="shared" si="44"/>
        <v>1.4999999999999999E-4</v>
      </c>
      <c r="S109" s="9">
        <f t="shared" si="45"/>
        <v>3.7484133997700029E-6</v>
      </c>
      <c r="T109" s="9">
        <f t="shared" si="40"/>
        <v>4.2367938534663876E-6</v>
      </c>
      <c r="U109" s="9">
        <f t="shared" si="41"/>
        <v>1.4625158660022997E-4</v>
      </c>
      <c r="V109" s="100">
        <f t="shared" si="46"/>
        <v>2.896921634804149E-2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203</v>
      </c>
      <c r="C110" s="46" t="s">
        <v>204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0.24151373144665708</v>
      </c>
      <c r="J110" s="54">
        <f t="shared" si="34"/>
        <v>0.95791227506374221</v>
      </c>
      <c r="K110" s="55">
        <f t="shared" si="35"/>
        <v>0.56919071294002266</v>
      </c>
      <c r="L110" s="55">
        <f t="shared" si="36"/>
        <v>6.8918186329649861E-3</v>
      </c>
      <c r="M110" s="55">
        <f t="shared" si="42"/>
        <v>0.99310818136703505</v>
      </c>
      <c r="N110" s="55">
        <f t="shared" si="37"/>
        <v>9.5365561279096421E-5</v>
      </c>
      <c r="O110" s="56">
        <f t="shared" si="43"/>
        <v>5.7024502081138948E-7</v>
      </c>
      <c r="P110" s="56">
        <f t="shared" si="38"/>
        <v>5.175755793356703E-6</v>
      </c>
      <c r="Q110" s="56">
        <f t="shared" si="39"/>
        <v>1.4323907304120277E-5</v>
      </c>
      <c r="R110" s="9">
        <f t="shared" si="44"/>
        <v>1.4999999999999999E-4</v>
      </c>
      <c r="S110" s="9">
        <f t="shared" si="45"/>
        <v>1.0337727949447479E-6</v>
      </c>
      <c r="T110" s="9">
        <f t="shared" si="40"/>
        <v>8.5378606941003391E-5</v>
      </c>
      <c r="U110" s="9">
        <f t="shared" si="41"/>
        <v>1.4896622720505525E-4</v>
      </c>
      <c r="V110" s="100">
        <f t="shared" si="46"/>
        <v>0.57314069465878248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205</v>
      </c>
      <c r="C111" s="46" t="s">
        <v>206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0.16670977104284687</v>
      </c>
      <c r="J111" s="54">
        <f t="shared" si="34"/>
        <v>1.3555020598075196</v>
      </c>
      <c r="K111" s="55">
        <f t="shared" si="35"/>
        <v>0.66713294925410038</v>
      </c>
      <c r="L111" s="55">
        <f t="shared" si="36"/>
        <v>2.0178004285798672E-2</v>
      </c>
      <c r="M111" s="55">
        <f t="shared" si="42"/>
        <v>0.97982199571420137</v>
      </c>
      <c r="N111" s="55">
        <f t="shared" si="37"/>
        <v>1.6146617858011712E-2</v>
      </c>
      <c r="O111" s="56">
        <f t="shared" si="43"/>
        <v>6.6836867482666604E-7</v>
      </c>
      <c r="P111" s="56">
        <f t="shared" si="38"/>
        <v>1.5153681218634804E-5</v>
      </c>
      <c r="Q111" s="56">
        <f t="shared" si="39"/>
        <v>2.425222002273358E-3</v>
      </c>
      <c r="R111" s="9">
        <f t="shared" si="44"/>
        <v>1.4999999999999999E-4</v>
      </c>
      <c r="S111" s="9">
        <f t="shared" si="45"/>
        <v>3.0267006428698005E-6</v>
      </c>
      <c r="T111" s="9">
        <f t="shared" si="40"/>
        <v>1.0006994238811505E-4</v>
      </c>
      <c r="U111" s="9">
        <f t="shared" si="41"/>
        <v>1.4697329935713018E-4</v>
      </c>
      <c r="V111" s="100">
        <f t="shared" si="46"/>
        <v>0.68087157889104233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207</v>
      </c>
      <c r="C112" s="46" t="s">
        <v>208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2.5219720041185627</v>
      </c>
      <c r="J112" s="54">
        <f t="shared" si="34"/>
        <v>4.4534363688963623</v>
      </c>
      <c r="K112" s="55">
        <f t="shared" si="35"/>
        <v>2.6975475056504987E-3</v>
      </c>
      <c r="L112" s="55">
        <f t="shared" si="36"/>
        <v>0.10222785068942011</v>
      </c>
      <c r="M112" s="55">
        <f t="shared" si="42"/>
        <v>0.89777214931057991</v>
      </c>
      <c r="N112" s="55">
        <f t="shared" si="37"/>
        <v>9.7368810703754999E-2</v>
      </c>
      <c r="O112" s="56">
        <f t="shared" si="43"/>
        <v>2.7025441535295604E-9</v>
      </c>
      <c r="P112" s="56">
        <f t="shared" si="38"/>
        <v>7.6773115867754442E-5</v>
      </c>
      <c r="Q112" s="56">
        <f t="shared" si="39"/>
        <v>1.4624795367703997E-2</v>
      </c>
      <c r="R112" s="9">
        <f t="shared" si="44"/>
        <v>1.4999999999999999E-4</v>
      </c>
      <c r="S112" s="9">
        <f t="shared" si="45"/>
        <v>1.5334177603413017E-5</v>
      </c>
      <c r="T112" s="9">
        <f t="shared" si="40"/>
        <v>4.0463212584757475E-7</v>
      </c>
      <c r="U112" s="9">
        <f t="shared" si="41"/>
        <v>1.3466582239658699E-4</v>
      </c>
      <c r="V112" s="100">
        <f t="shared" si="46"/>
        <v>3.004712841361818E-3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209</v>
      </c>
      <c r="C113" s="46" t="s">
        <v>210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2.8671793282646911</v>
      </c>
      <c r="J113" s="54">
        <f t="shared" si="34"/>
        <v>4.835013233934724</v>
      </c>
      <c r="K113" s="55">
        <f t="shared" si="35"/>
        <v>1.2075382397880665E-3</v>
      </c>
      <c r="L113" s="55">
        <f t="shared" si="36"/>
        <v>0.11017368765187681</v>
      </c>
      <c r="M113" s="55">
        <f t="shared" si="42"/>
        <v>0.88982631234812315</v>
      </c>
      <c r="N113" s="55">
        <f t="shared" si="37"/>
        <v>0.10612107884857647</v>
      </c>
      <c r="O113" s="56">
        <f t="shared" si="43"/>
        <v>1.2097749542007265E-9</v>
      </c>
      <c r="P113" s="56">
        <f t="shared" si="38"/>
        <v>8.2740439426559549E-5</v>
      </c>
      <c r="Q113" s="56">
        <f t="shared" si="39"/>
        <v>1.593938604305618E-2</v>
      </c>
      <c r="R113" s="9">
        <f t="shared" si="44"/>
        <v>1.4999999999999999E-4</v>
      </c>
      <c r="S113" s="9">
        <f t="shared" si="45"/>
        <v>1.6526053147781519E-5</v>
      </c>
      <c r="T113" s="9">
        <f t="shared" si="40"/>
        <v>1.8113073596820996E-7</v>
      </c>
      <c r="U113" s="9">
        <f t="shared" si="41"/>
        <v>1.3347394685221846E-4</v>
      </c>
      <c r="V113" s="100">
        <f t="shared" si="46"/>
        <v>1.3570493736036503E-3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106</v>
      </c>
      <c r="C114" s="46" t="s">
        <v>107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3.2678433041260839</v>
      </c>
      <c r="J114" s="54">
        <f t="shared" si="34"/>
        <v>5.2666304943820279</v>
      </c>
      <c r="K114" s="55">
        <f t="shared" si="35"/>
        <v>4.761201026495518E-4</v>
      </c>
      <c r="L114" s="55">
        <f t="shared" si="36"/>
        <v>0.11735747918458186</v>
      </c>
      <c r="M114" s="55">
        <f t="shared" si="42"/>
        <v>0.88264252081541816</v>
      </c>
      <c r="N114" s="55">
        <f t="shared" si="37"/>
        <v>0.11404264524939514</v>
      </c>
      <c r="O114" s="56">
        <f t="shared" si="43"/>
        <v>4.7700201649763024E-10</v>
      </c>
      <c r="P114" s="56">
        <f t="shared" si="38"/>
        <v>8.8135466867621056E-5</v>
      </c>
      <c r="Q114" s="56">
        <f t="shared" si="39"/>
        <v>1.7129205316459145E-2</v>
      </c>
      <c r="R114" s="9">
        <f t="shared" si="44"/>
        <v>1.4999999999999999E-4</v>
      </c>
      <c r="S114" s="9">
        <f t="shared" si="45"/>
        <v>1.7603621877687279E-5</v>
      </c>
      <c r="T114" s="9">
        <f t="shared" si="40"/>
        <v>7.1418015397432768E-8</v>
      </c>
      <c r="U114" s="9">
        <f t="shared" si="41"/>
        <v>1.3239637812231271E-4</v>
      </c>
      <c r="V114" s="100">
        <f t="shared" si="46"/>
        <v>5.3942574872746247E-4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108</v>
      </c>
      <c r="C115" s="46" t="s">
        <v>109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1.873926252180699</v>
      </c>
      <c r="J115" s="54">
        <f t="shared" si="34"/>
        <v>3.8521324112849911</v>
      </c>
      <c r="K115" s="55">
        <f t="shared" si="35"/>
        <v>1.1857660207368424E-2</v>
      </c>
      <c r="L115" s="55">
        <f t="shared" si="36"/>
        <v>0.11253695807062662</v>
      </c>
      <c r="M115" s="55">
        <f t="shared" si="42"/>
        <v>0.88746304192937342</v>
      </c>
      <c r="N115" s="55">
        <f t="shared" si="37"/>
        <v>0.10888067311408198</v>
      </c>
      <c r="O115" s="56">
        <f t="shared" si="43"/>
        <v>1.187962406624456E-8</v>
      </c>
      <c r="P115" s="56">
        <f t="shared" si="38"/>
        <v>8.4515255511040534E-5</v>
      </c>
      <c r="Q115" s="56">
        <f t="shared" si="39"/>
        <v>1.6353877101735106E-2</v>
      </c>
      <c r="R115" s="9">
        <f t="shared" si="44"/>
        <v>1.4999999999999999E-4</v>
      </c>
      <c r="S115" s="9">
        <f t="shared" si="45"/>
        <v>1.6880543710593991E-5</v>
      </c>
      <c r="T115" s="9">
        <f t="shared" si="40"/>
        <v>1.7786490311052634E-6</v>
      </c>
      <c r="U115" s="9">
        <f t="shared" si="41"/>
        <v>1.3311945628940601E-4</v>
      </c>
      <c r="V115" s="100">
        <f t="shared" si="46"/>
        <v>1.3361300298871585E-2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225</v>
      </c>
      <c r="C116" s="46" t="s">
        <v>226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-6.4011746653915488E-5</v>
      </c>
      <c r="J116" s="54">
        <f t="shared" si="34"/>
        <v>-2.2409333494947648E-3</v>
      </c>
      <c r="K116" s="55">
        <f t="shared" si="35"/>
        <v>0.99830490916249714</v>
      </c>
      <c r="L116" s="55">
        <f t="shared" si="36"/>
        <v>1.3249089469655516E-3</v>
      </c>
      <c r="M116" s="55">
        <f t="shared" si="42"/>
        <v>0.99867509105303442</v>
      </c>
      <c r="N116" s="55">
        <f t="shared" si="37"/>
        <v>1.4854772878044358E-6</v>
      </c>
      <c r="O116" s="56">
        <f t="shared" si="43"/>
        <v>1.0001540621789224E-6</v>
      </c>
      <c r="P116" s="56">
        <f t="shared" si="38"/>
        <v>9.9500661917112901E-7</v>
      </c>
      <c r="Q116" s="56">
        <f t="shared" si="39"/>
        <v>2.2311868862822616E-7</v>
      </c>
      <c r="R116" s="9">
        <f t="shared" si="44"/>
        <v>1.4999999999999999E-4</v>
      </c>
      <c r="S116" s="9">
        <f t="shared" si="45"/>
        <v>1.9873634204483272E-7</v>
      </c>
      <c r="T116" s="9">
        <f t="shared" si="40"/>
        <v>1.4974573637437455E-4</v>
      </c>
      <c r="U116" s="9">
        <f t="shared" si="41"/>
        <v>1.4980126365795514E-4</v>
      </c>
      <c r="V116" s="100">
        <f t="shared" si="46"/>
        <v>0.99962932700149054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227</v>
      </c>
      <c r="C117" s="46" t="s">
        <v>228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1.5422749478710035E-2</v>
      </c>
      <c r="J117" s="54">
        <f t="shared" si="34"/>
        <v>0.2864338169946784</v>
      </c>
      <c r="K117" s="55">
        <f t="shared" si="35"/>
        <v>0.96221649624786676</v>
      </c>
      <c r="L117" s="55">
        <f t="shared" si="36"/>
        <v>2.4823920664811829E-3</v>
      </c>
      <c r="M117" s="55">
        <f t="shared" si="42"/>
        <v>0.99751760793351885</v>
      </c>
      <c r="N117" s="55">
        <f t="shared" si="37"/>
        <v>7.7046969629535533E-4</v>
      </c>
      <c r="O117" s="56">
        <f t="shared" si="43"/>
        <v>9.6399880295612857E-7</v>
      </c>
      <c r="P117" s="56">
        <f t="shared" si="38"/>
        <v>1.8642764419273684E-6</v>
      </c>
      <c r="Q117" s="56">
        <f t="shared" si="39"/>
        <v>1.1572454838356233E-4</v>
      </c>
      <c r="R117" s="9">
        <f t="shared" si="44"/>
        <v>1.4999999999999999E-4</v>
      </c>
      <c r="S117" s="9">
        <f t="shared" si="45"/>
        <v>3.7235880997217741E-7</v>
      </c>
      <c r="T117" s="9">
        <f t="shared" si="40"/>
        <v>1.4433247443718E-4</v>
      </c>
      <c r="U117" s="9">
        <f t="shared" si="41"/>
        <v>1.4962764119002783E-4</v>
      </c>
      <c r="V117" s="100">
        <f t="shared" si="46"/>
        <v>0.96461103903841583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229</v>
      </c>
      <c r="C118" s="46" t="s">
        <v>230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0.17039252388598855</v>
      </c>
      <c r="J118" s="54">
        <f t="shared" si="34"/>
        <v>1.3686761084292649</v>
      </c>
      <c r="K118" s="55">
        <f t="shared" si="35"/>
        <v>0.66120489115062797</v>
      </c>
      <c r="L118" s="55">
        <f t="shared" si="36"/>
        <v>2.0614648089069029E-2</v>
      </c>
      <c r="M118" s="55">
        <f t="shared" si="42"/>
        <v>0.97938535191093101</v>
      </c>
      <c r="N118" s="55">
        <f t="shared" si="37"/>
        <v>1.6545115521413207E-2</v>
      </c>
      <c r="O118" s="56">
        <f t="shared" si="43"/>
        <v>6.624296362237259E-7</v>
      </c>
      <c r="P118" s="56">
        <f t="shared" si="38"/>
        <v>1.5481600714890838E-5</v>
      </c>
      <c r="Q118" s="56">
        <f t="shared" si="39"/>
        <v>2.4850763513162631E-3</v>
      </c>
      <c r="R118" s="9">
        <f t="shared" si="44"/>
        <v>1.4999999999999999E-4</v>
      </c>
      <c r="S118" s="9">
        <f t="shared" si="45"/>
        <v>3.0921972133603542E-6</v>
      </c>
      <c r="T118" s="9">
        <f t="shared" si="40"/>
        <v>9.918073367259419E-5</v>
      </c>
      <c r="U118" s="9">
        <f t="shared" si="41"/>
        <v>1.4690780278663965E-4</v>
      </c>
      <c r="V118" s="100">
        <f t="shared" si="46"/>
        <v>0.67512229977762672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231</v>
      </c>
      <c r="C119" s="46" t="s">
        <v>232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-2.0346404759841822E-4</v>
      </c>
      <c r="J119" s="54">
        <f t="shared" si="34"/>
        <v>-4.1669766004283522E-3</v>
      </c>
      <c r="K119" s="55">
        <f t="shared" si="35"/>
        <v>0.99863094886668258</v>
      </c>
      <c r="L119" s="55">
        <f t="shared" si="36"/>
        <v>1.3194769384500744E-3</v>
      </c>
      <c r="M119" s="55">
        <f t="shared" si="42"/>
        <v>0.99868052306154997</v>
      </c>
      <c r="N119" s="55">
        <f t="shared" si="37"/>
        <v>8.6659157056004425E-8</v>
      </c>
      <c r="O119" s="56">
        <f t="shared" si="43"/>
        <v>1.0004807058041112E-6</v>
      </c>
      <c r="P119" s="56">
        <f t="shared" si="38"/>
        <v>9.9092718077600567E-7</v>
      </c>
      <c r="Q119" s="56">
        <f t="shared" si="39"/>
        <v>1.3016205389811859E-8</v>
      </c>
      <c r="R119" s="9">
        <f t="shared" si="44"/>
        <v>1.4999999999999999E-4</v>
      </c>
      <c r="S119" s="9">
        <f t="shared" si="45"/>
        <v>1.9792154076751113E-7</v>
      </c>
      <c r="T119" s="9">
        <f t="shared" si="40"/>
        <v>1.4979464233000236E-4</v>
      </c>
      <c r="U119" s="9">
        <f t="shared" si="41"/>
        <v>1.4980207845923248E-4</v>
      </c>
      <c r="V119" s="100">
        <f t="shared" si="46"/>
        <v>0.99995036030670204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233</v>
      </c>
      <c r="C120" s="46" t="s">
        <v>234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-2.2502281549544107E-4</v>
      </c>
      <c r="J120" s="54">
        <f t="shared" si="34"/>
        <v>-4.4262249960394223E-3</v>
      </c>
      <c r="K120" s="55">
        <f t="shared" si="35"/>
        <v>0.99868124403463243</v>
      </c>
      <c r="L120" s="55">
        <f t="shared" si="36"/>
        <v>1.3187559375988757E-3</v>
      </c>
      <c r="M120" s="55">
        <f t="shared" si="42"/>
        <v>0.99868124406240111</v>
      </c>
      <c r="N120" s="55">
        <f t="shared" si="37"/>
        <v>1.1238559710444877E-16</v>
      </c>
      <c r="O120" s="56">
        <f t="shared" si="43"/>
        <v>1.0005310941334396E-6</v>
      </c>
      <c r="P120" s="56">
        <f t="shared" si="38"/>
        <v>9.9038570913675518E-7</v>
      </c>
      <c r="Q120" s="56">
        <f t="shared" si="39"/>
        <v>1.68803166850882E-17</v>
      </c>
      <c r="R120" s="9">
        <f t="shared" si="44"/>
        <v>1.4999999999999999E-4</v>
      </c>
      <c r="S120" s="9">
        <f t="shared" si="45"/>
        <v>1.9781339063983134E-7</v>
      </c>
      <c r="T120" s="9">
        <f t="shared" si="40"/>
        <v>1.4980218660519485E-4</v>
      </c>
      <c r="U120" s="9">
        <f t="shared" si="41"/>
        <v>1.4980218660936017E-4</v>
      </c>
      <c r="V120" s="100">
        <f t="shared" si="46"/>
        <v>0.99999999997219469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235</v>
      </c>
      <c r="C121" s="46" t="s">
        <v>236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1.5262652347248487E-3</v>
      </c>
      <c r="J121" s="54">
        <f t="shared" si="34"/>
        <v>2.6173480936565248E-2</v>
      </c>
      <c r="K121" s="55">
        <f t="shared" si="35"/>
        <v>0.99457209809123392</v>
      </c>
      <c r="L121" s="55">
        <f t="shared" si="36"/>
        <v>1.4092028461914099E-3</v>
      </c>
      <c r="M121" s="55">
        <f t="shared" si="42"/>
        <v>0.99859079715380861</v>
      </c>
      <c r="N121" s="55">
        <f t="shared" si="37"/>
        <v>4.1905328465854545E-5</v>
      </c>
      <c r="O121" s="56">
        <f t="shared" si="43"/>
        <v>9.9641433684850956E-7</v>
      </c>
      <c r="P121" s="56">
        <f t="shared" si="38"/>
        <v>1.0583113374897488E-6</v>
      </c>
      <c r="Q121" s="56">
        <f t="shared" si="39"/>
        <v>6.2941803355713501E-6</v>
      </c>
      <c r="R121" s="9">
        <f t="shared" si="44"/>
        <v>1.4999999999999999E-4</v>
      </c>
      <c r="S121" s="9">
        <f t="shared" si="45"/>
        <v>2.1138042692871148E-7</v>
      </c>
      <c r="T121" s="9">
        <f t="shared" si="40"/>
        <v>1.4918581471368508E-4</v>
      </c>
      <c r="U121" s="9">
        <f t="shared" si="41"/>
        <v>1.4978861957307127E-4</v>
      </c>
      <c r="V121" s="100">
        <f t="shared" si="46"/>
        <v>0.99597562978346199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237</v>
      </c>
      <c r="C122" s="46" t="s">
        <v>238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2.4878679358864142</v>
      </c>
      <c r="J122" s="54">
        <f t="shared" si="34"/>
        <v>4.5142868350926486</v>
      </c>
      <c r="K122" s="55">
        <f t="shared" si="35"/>
        <v>2.8467973716421566E-3</v>
      </c>
      <c r="L122" s="55">
        <f t="shared" si="36"/>
        <v>0.12411010719326325</v>
      </c>
      <c r="M122" s="55">
        <f t="shared" si="42"/>
        <v>0.87588989280673679</v>
      </c>
      <c r="N122" s="55">
        <f t="shared" si="37"/>
        <v>0.12153190416513564</v>
      </c>
      <c r="O122" s="56">
        <f t="shared" si="43"/>
        <v>2.8520704739765321E-9</v>
      </c>
      <c r="P122" s="56">
        <f t="shared" si="38"/>
        <v>9.3206690502140697E-5</v>
      </c>
      <c r="Q122" s="56">
        <f t="shared" si="39"/>
        <v>1.8254092005603365E-2</v>
      </c>
      <c r="R122" s="9">
        <f t="shared" si="44"/>
        <v>1.4999999999999999E-4</v>
      </c>
      <c r="S122" s="9">
        <f t="shared" si="45"/>
        <v>1.8616516078989486E-5</v>
      </c>
      <c r="T122" s="9">
        <f t="shared" si="40"/>
        <v>4.2701960574632345E-7</v>
      </c>
      <c r="U122" s="9">
        <f t="shared" si="41"/>
        <v>1.3138348392101049E-4</v>
      </c>
      <c r="V122" s="100">
        <f t="shared" si="46"/>
        <v>3.2501772140785465E-3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239</v>
      </c>
      <c r="C123" s="46" t="s">
        <v>240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1.0353959656071578E-2</v>
      </c>
      <c r="J123" s="54">
        <f t="shared" ref="J123:J127" si="48">IF(D123=0,"",LOG($K$21*10^D123+$K$22*10^E123+$K$20))</f>
        <v>0.22591684515469179</v>
      </c>
      <c r="K123" s="55">
        <f t="shared" ref="K123:K127" si="49">IF(D123=0,"",1/(1+10^D123*$J$15/$J$14+10^E123*$J$16/$J$14+10^J123*$J$19/$J$14))</f>
        <v>0.97380236930419173</v>
      </c>
      <c r="L123" s="55">
        <f t="shared" ref="L123:L127" si="50">IF(D123=0,"",1/(1+10^I123/10^J123*$J$13/$J$19))</f>
        <v>2.1855031232171076E-3</v>
      </c>
      <c r="M123" s="55">
        <f t="shared" si="42"/>
        <v>0.99781449687678292</v>
      </c>
      <c r="N123" s="55">
        <f t="shared" ref="N123:N127" si="51">IF(D123=0,"",1/(1/10^E123*$J$20/$J$22+10^D123/10^E123*$J$21/$J$22+10^I123/10^E123*$J$13/$J$22+1))</f>
        <v>6.0608507655149E-4</v>
      </c>
      <c r="O123" s="56">
        <f t="shared" si="43"/>
        <v>9.7560613644194076E-7</v>
      </c>
      <c r="P123" s="56">
        <f t="shared" ref="P123:P127" si="52">IF(D123=0,"",O123*10^J123)</f>
        <v>1.6413128455360477E-6</v>
      </c>
      <c r="Q123" s="56">
        <f t="shared" ref="Q123:Q127" si="53">IF(D123=0,"",F123*N123*$J$7/$J$22)</f>
        <v>9.1033978498033759E-5</v>
      </c>
      <c r="R123" s="9">
        <f t="shared" si="44"/>
        <v>1.4999999999999999E-4</v>
      </c>
      <c r="S123" s="9">
        <f t="shared" si="45"/>
        <v>3.2782546848256612E-7</v>
      </c>
      <c r="T123" s="9">
        <f t="shared" si="40"/>
        <v>1.4607035539562874E-4</v>
      </c>
      <c r="U123" s="9">
        <f t="shared" si="41"/>
        <v>1.4967217453151741E-4</v>
      </c>
      <c r="V123" s="100">
        <f t="shared" si="46"/>
        <v>0.97593527890429477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241</v>
      </c>
      <c r="C124" s="46" t="s">
        <v>242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2.0480395290290027E-2</v>
      </c>
      <c r="J124" s="54">
        <f t="shared" si="48"/>
        <v>0.24488252340606687</v>
      </c>
      <c r="K124" s="55">
        <f t="shared" si="49"/>
        <v>0.95131616302560207</v>
      </c>
      <c r="L124" s="55">
        <f t="shared" si="50"/>
        <v>2.2303404369655193E-3</v>
      </c>
      <c r="M124" s="55">
        <f t="shared" si="42"/>
        <v>0.99776965956303443</v>
      </c>
      <c r="N124" s="55">
        <f t="shared" si="51"/>
        <v>3.384189232376306E-4</v>
      </c>
      <c r="O124" s="56">
        <f t="shared" si="43"/>
        <v>9.5307827912488951E-7</v>
      </c>
      <c r="P124" s="56">
        <f t="shared" si="52"/>
        <v>1.6749856681611048E-6</v>
      </c>
      <c r="Q124" s="56">
        <f t="shared" si="53"/>
        <v>5.083052227029209E-5</v>
      </c>
      <c r="R124" s="9">
        <f t="shared" si="44"/>
        <v>1.4999999999999999E-4</v>
      </c>
      <c r="S124" s="9">
        <f t="shared" si="45"/>
        <v>3.3455106554482788E-7</v>
      </c>
      <c r="T124" s="9">
        <f t="shared" si="40"/>
        <v>1.426974244538403E-4</v>
      </c>
      <c r="U124" s="9">
        <f t="shared" si="41"/>
        <v>1.4966544893445515E-4</v>
      </c>
      <c r="V124" s="100">
        <f t="shared" si="46"/>
        <v>0.95344266475513362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243</v>
      </c>
      <c r="C125" s="46" t="s">
        <v>244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5.8413729360461944E-4</v>
      </c>
      <c r="J125" s="54">
        <f t="shared" si="48"/>
        <v>6.9342980082594723E-3</v>
      </c>
      <c r="K125" s="55">
        <f t="shared" si="49"/>
        <v>0.99678994541169608</v>
      </c>
      <c r="L125" s="55">
        <f t="shared" si="50"/>
        <v>1.3511442148419497E-3</v>
      </c>
      <c r="M125" s="55">
        <f t="shared" si="42"/>
        <v>0.99864885578515805</v>
      </c>
      <c r="N125" s="55">
        <f t="shared" si="51"/>
        <v>9.0839014170041529E-6</v>
      </c>
      <c r="O125" s="56">
        <f t="shared" si="43"/>
        <v>9.9863629227164156E-7</v>
      </c>
      <c r="P125" s="56">
        <f t="shared" si="52"/>
        <v>1.0147093053463043E-6</v>
      </c>
      <c r="Q125" s="56">
        <f t="shared" si="53"/>
        <v>1.3644019928340232E-6</v>
      </c>
      <c r="R125" s="9">
        <f t="shared" si="44"/>
        <v>1.4999999999999999E-4</v>
      </c>
      <c r="S125" s="9">
        <f t="shared" si="45"/>
        <v>2.0267163222629244E-7</v>
      </c>
      <c r="T125" s="9">
        <f t="shared" si="40"/>
        <v>1.4951849181175439E-4</v>
      </c>
      <c r="U125" s="9">
        <f t="shared" si="41"/>
        <v>1.4979732836777369E-4</v>
      </c>
      <c r="V125" s="100">
        <f t="shared" si="46"/>
        <v>0.99813857457234012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245</v>
      </c>
      <c r="C126" s="46" t="s">
        <v>246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1.4729644553070216</v>
      </c>
      <c r="J126" s="54">
        <f t="shared" si="48"/>
        <v>3.4036065550970451</v>
      </c>
      <c r="K126" s="55">
        <f t="shared" si="49"/>
        <v>3.0203734041067701E-2</v>
      </c>
      <c r="L126" s="55">
        <f t="shared" si="50"/>
        <v>0.10205421629172008</v>
      </c>
      <c r="M126" s="55">
        <f t="shared" si="42"/>
        <v>0.89794578370827993</v>
      </c>
      <c r="N126" s="55">
        <f t="shared" si="51"/>
        <v>9.7565075226171041E-2</v>
      </c>
      <c r="O126" s="56">
        <f t="shared" si="43"/>
        <v>3.0259680200799806E-8</v>
      </c>
      <c r="P126" s="56">
        <f t="shared" si="52"/>
        <v>7.6642716435081808E-5</v>
      </c>
      <c r="Q126" s="56">
        <f t="shared" si="53"/>
        <v>1.4654274298970885E-2</v>
      </c>
      <c r="R126" s="9">
        <f t="shared" si="44"/>
        <v>1.4999999999999999E-4</v>
      </c>
      <c r="S126" s="9">
        <f t="shared" si="45"/>
        <v>1.5308132443758011E-5</v>
      </c>
      <c r="T126" s="9">
        <f t="shared" si="40"/>
        <v>4.5305601061601547E-6</v>
      </c>
      <c r="U126" s="9">
        <f t="shared" si="41"/>
        <v>1.3469186755624198E-4</v>
      </c>
      <c r="V126" s="100">
        <f t="shared" si="46"/>
        <v>3.363647849242548E-2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247</v>
      </c>
      <c r="C127" s="46" t="s">
        <v>248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0.12683662687631939</v>
      </c>
      <c r="J127" s="54">
        <f t="shared" si="48"/>
        <v>1.1960082768923535</v>
      </c>
      <c r="K127" s="55">
        <f t="shared" si="49"/>
        <v>0.73485304666612594</v>
      </c>
      <c r="L127" s="55">
        <f t="shared" si="50"/>
        <v>1.5394746269176036E-2</v>
      </c>
      <c r="M127" s="55">
        <f t="shared" si="42"/>
        <v>0.98460525373082397</v>
      </c>
      <c r="N127" s="55">
        <f t="shared" si="51"/>
        <v>1.182045639900038E-2</v>
      </c>
      <c r="O127" s="56">
        <f t="shared" si="43"/>
        <v>7.3621420968896624E-7</v>
      </c>
      <c r="P127" s="56">
        <f t="shared" si="52"/>
        <v>1.1561454448151199E-5</v>
      </c>
      <c r="Q127" s="56">
        <f t="shared" si="53"/>
        <v>1.7754325511298566E-3</v>
      </c>
      <c r="R127" s="9">
        <f t="shared" si="44"/>
        <v>1.4999999999999999E-4</v>
      </c>
      <c r="S127" s="9">
        <f t="shared" si="45"/>
        <v>2.3092119403764053E-6</v>
      </c>
      <c r="T127" s="9">
        <f t="shared" si="40"/>
        <v>1.1022795699991889E-4</v>
      </c>
      <c r="U127" s="9">
        <f t="shared" si="41"/>
        <v>1.4769078805962357E-4</v>
      </c>
      <c r="V127" s="100">
        <f t="shared" si="46"/>
        <v>0.74634280477546944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249</v>
      </c>
      <c r="C128" s="46" t="s">
        <v>250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0.56658503951123784</v>
      </c>
      <c r="J128" s="54">
        <f t="shared" ref="J128:J134" si="55">IF(D128=0,"",LOG($K$21*10^D128+$K$22*10^E128+$K$20))</f>
        <v>2.094216282910164</v>
      </c>
      <c r="K128" s="55">
        <f t="shared" ref="K128:K134" si="56">IF(D128=0,"",1/(1+10^D128*$J$15/$J$14+10^E128*$J$16/$J$14+10^J128*$J$19/$J$14))</f>
        <v>0.25947845092965077</v>
      </c>
      <c r="L128" s="55">
        <f t="shared" ref="L128:L134" si="57">IF(D128=0,"",1/(1+10^I128/10^J128*$J$13/$J$19))</f>
        <v>4.3001275611474682E-2</v>
      </c>
      <c r="M128" s="55">
        <f t="shared" ref="M128:M134" si="58">IF(D128=0,"",1-L128)</f>
        <v>0.95699872438852529</v>
      </c>
      <c r="N128" s="55">
        <f t="shared" ref="N128:N134" si="59">IF(D128=0,"",1/(1/10^E128*$J$20/$J$22+10^D128/10^E128*$J$21/$J$22+10^I128/10^E128*$J$13/$J$22+1))</f>
        <v>3.5596562452002059E-2</v>
      </c>
      <c r="O128" s="56">
        <f t="shared" ref="O128:O134" si="60">IF(D128=0,"",F128*K128*$J$7/$J$14)</f>
        <v>2.5995908100151572E-7</v>
      </c>
      <c r="P128" s="56">
        <f t="shared" ref="P128:P134" si="61">IF(D128=0,"",O128*10^J128)</f>
        <v>3.2293957984217477E-5</v>
      </c>
      <c r="Q128" s="56">
        <f t="shared" ref="Q128:Q134" si="62">IF(D128=0,"",F128*N128*$J$7/$J$22)</f>
        <v>5.3466036802907067E-3</v>
      </c>
      <c r="R128" s="9">
        <f t="shared" si="44"/>
        <v>1.4999999999999999E-4</v>
      </c>
      <c r="S128" s="9">
        <f t="shared" si="45"/>
        <v>6.4501913417212015E-6</v>
      </c>
      <c r="T128" s="9">
        <f t="shared" si="40"/>
        <v>3.8921767639447615E-5</v>
      </c>
      <c r="U128" s="9">
        <f t="shared" si="41"/>
        <v>1.4354980865827877E-4</v>
      </c>
      <c r="V128" s="100">
        <f t="shared" si="46"/>
        <v>0.27113771870014208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251</v>
      </c>
      <c r="C129" s="46" t="s">
        <v>252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-2.135446795447277E-4</v>
      </c>
      <c r="J129" s="54">
        <f t="shared" si="55"/>
        <v>-4.2914078638979607E-3</v>
      </c>
      <c r="K129" s="55">
        <f t="shared" si="56"/>
        <v>0.99865447577866173</v>
      </c>
      <c r="L129" s="55">
        <f t="shared" si="57"/>
        <v>1.3191300214221444E-3</v>
      </c>
      <c r="M129" s="55">
        <f t="shared" si="58"/>
        <v>0.99868086997857786</v>
      </c>
      <c r="N129" s="55">
        <f t="shared" si="59"/>
        <v>3.5467579789765869E-8</v>
      </c>
      <c r="O129" s="56">
        <f t="shared" si="60"/>
        <v>1.0005042762948205E-6</v>
      </c>
      <c r="P129" s="56">
        <f t="shared" si="61"/>
        <v>9.9066664608803025E-7</v>
      </c>
      <c r="Q129" s="56">
        <f t="shared" si="62"/>
        <v>5.3272304844228318E-9</v>
      </c>
      <c r="R129" s="9">
        <f t="shared" si="44"/>
        <v>1.4999999999999999E-4</v>
      </c>
      <c r="S129" s="9">
        <f t="shared" si="45"/>
        <v>1.9786950321332163E-7</v>
      </c>
      <c r="T129" s="9">
        <f t="shared" si="40"/>
        <v>1.4979817136679925E-4</v>
      </c>
      <c r="U129" s="9">
        <f t="shared" si="41"/>
        <v>1.4980213049678668E-4</v>
      </c>
      <c r="V129" s="100">
        <f t="shared" si="46"/>
        <v>0.99997357093671302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253</v>
      </c>
      <c r="C130" s="46" t="s">
        <v>254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3.4815258927436928E-2</v>
      </c>
      <c r="J130" s="54">
        <f t="shared" si="55"/>
        <v>0.56673031230734872</v>
      </c>
      <c r="K130" s="55">
        <f t="shared" si="56"/>
        <v>0.91831863335133035</v>
      </c>
      <c r="L130" s="55">
        <f t="shared" si="57"/>
        <v>4.5173887742461106E-3</v>
      </c>
      <c r="M130" s="55">
        <f t="shared" si="58"/>
        <v>0.99548261122575388</v>
      </c>
      <c r="N130" s="55">
        <f t="shared" si="59"/>
        <v>2.3981943752675785E-3</v>
      </c>
      <c r="O130" s="56">
        <f t="shared" si="60"/>
        <v>9.2001962836329087E-7</v>
      </c>
      <c r="P130" s="56">
        <f t="shared" si="61"/>
        <v>3.3925589694588289E-6</v>
      </c>
      <c r="Q130" s="56">
        <f t="shared" si="62"/>
        <v>3.6020879516519019E-4</v>
      </c>
      <c r="R130" s="9">
        <f t="shared" si="44"/>
        <v>1.4999999999999999E-4</v>
      </c>
      <c r="S130" s="9">
        <f t="shared" si="45"/>
        <v>6.7760831613691649E-7</v>
      </c>
      <c r="T130" s="9">
        <f t="shared" si="40"/>
        <v>1.3774779500269954E-4</v>
      </c>
      <c r="U130" s="9">
        <f t="shared" si="41"/>
        <v>1.4932239168386307E-4</v>
      </c>
      <c r="V130" s="100">
        <f t="shared" si="46"/>
        <v>0.92248586062250726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255</v>
      </c>
      <c r="C131" s="46" t="s">
        <v>256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4.8235239734115414E-4</v>
      </c>
      <c r="J131" s="54">
        <f t="shared" si="55"/>
        <v>6.6795363533780584E-3</v>
      </c>
      <c r="K131" s="55">
        <f t="shared" si="56"/>
        <v>0.99702406326930915</v>
      </c>
      <c r="L131" s="55">
        <f t="shared" si="57"/>
        <v>1.3506690116178047E-3</v>
      </c>
      <c r="M131" s="55">
        <f t="shared" si="58"/>
        <v>0.99864933098838216</v>
      </c>
      <c r="N131" s="55">
        <f t="shared" si="59"/>
        <v>1.1861493808290396E-5</v>
      </c>
      <c r="O131" s="56">
        <f t="shared" si="60"/>
        <v>9.9887084378408155E-7</v>
      </c>
      <c r="P131" s="56">
        <f t="shared" si="61"/>
        <v>1.0143524277249711E-6</v>
      </c>
      <c r="Q131" s="56">
        <f t="shared" si="62"/>
        <v>1.7815963700052169E-6</v>
      </c>
      <c r="R131" s="9">
        <f t="shared" si="44"/>
        <v>1.4999999999999999E-4</v>
      </c>
      <c r="S131" s="9">
        <f t="shared" si="45"/>
        <v>2.0260035174267068E-7</v>
      </c>
      <c r="T131" s="9">
        <f t="shared" si="40"/>
        <v>1.4955360949039635E-4</v>
      </c>
      <c r="U131" s="9">
        <f t="shared" si="41"/>
        <v>1.4979739964825732E-4</v>
      </c>
      <c r="V131" s="100">
        <f t="shared" si="46"/>
        <v>0.99837253411318616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257</v>
      </c>
      <c r="C132" s="46" t="s">
        <v>258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1.6296434031808995E-3</v>
      </c>
      <c r="J132" s="54">
        <f t="shared" si="55"/>
        <v>2.8199434247480615E-2</v>
      </c>
      <c r="K132" s="55">
        <f t="shared" si="56"/>
        <v>0.9943291645145953</v>
      </c>
      <c r="L132" s="55">
        <f t="shared" si="57"/>
        <v>1.415446215275335E-3</v>
      </c>
      <c r="M132" s="55">
        <f t="shared" si="58"/>
        <v>0.99858455378472466</v>
      </c>
      <c r="N132" s="55">
        <f t="shared" si="59"/>
        <v>4.5372228379888641E-5</v>
      </c>
      <c r="O132" s="56">
        <f t="shared" si="60"/>
        <v>9.9617095328775093E-7</v>
      </c>
      <c r="P132" s="56">
        <f t="shared" si="61"/>
        <v>1.0630001076717762E-6</v>
      </c>
      <c r="Q132" s="56">
        <f t="shared" si="62"/>
        <v>6.8149087026592705E-6</v>
      </c>
      <c r="R132" s="9">
        <f t="shared" si="44"/>
        <v>1.4999999999999999E-4</v>
      </c>
      <c r="S132" s="9">
        <f t="shared" si="45"/>
        <v>2.1231693229130024E-7</v>
      </c>
      <c r="T132" s="9">
        <f t="shared" si="40"/>
        <v>1.4914937467718929E-4</v>
      </c>
      <c r="U132" s="9">
        <f t="shared" si="41"/>
        <v>1.497876830677087E-4</v>
      </c>
      <c r="V132" s="100">
        <f t="shared" si="46"/>
        <v>0.99573857891752771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259</v>
      </c>
      <c r="C133" s="46" t="s">
        <v>260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0.18829844715874175</v>
      </c>
      <c r="J133" s="54">
        <f t="shared" si="55"/>
        <v>1.4297811371420288</v>
      </c>
      <c r="K133" s="55">
        <f t="shared" si="56"/>
        <v>0.63313279761518426</v>
      </c>
      <c r="L133" s="55">
        <f t="shared" si="57"/>
        <v>2.2721641748686048E-2</v>
      </c>
      <c r="M133" s="55">
        <f t="shared" si="58"/>
        <v>0.97727835825131393</v>
      </c>
      <c r="N133" s="55">
        <f t="shared" si="59"/>
        <v>1.8475560420912421E-2</v>
      </c>
      <c r="O133" s="56">
        <f t="shared" si="60"/>
        <v>6.3430554495095563E-7</v>
      </c>
      <c r="P133" s="56">
        <f t="shared" si="61"/>
        <v>1.7063952953263222E-5</v>
      </c>
      <c r="Q133" s="56">
        <f t="shared" si="62"/>
        <v>2.7750291752210447E-3</v>
      </c>
      <c r="R133" s="9">
        <f t="shared" si="44"/>
        <v>1.4999999999999999E-4</v>
      </c>
      <c r="S133" s="9">
        <f t="shared" si="45"/>
        <v>3.4082462623029067E-6</v>
      </c>
      <c r="T133" s="9">
        <f t="shared" si="40"/>
        <v>9.4969919642277632E-5</v>
      </c>
      <c r="U133" s="9">
        <f t="shared" si="41"/>
        <v>1.4659175373769707E-4</v>
      </c>
      <c r="V133" s="100">
        <f t="shared" si="46"/>
        <v>0.64785308327923674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261</v>
      </c>
      <c r="C134" s="46" t="s">
        <v>262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-2.2139482595652795E-4</v>
      </c>
      <c r="J134" s="54">
        <f t="shared" si="55"/>
        <v>-4.3849060173013843E-3</v>
      </c>
      <c r="K134" s="55">
        <f t="shared" si="56"/>
        <v>0.99867278702786433</v>
      </c>
      <c r="L134" s="55">
        <f t="shared" si="57"/>
        <v>1.3188702421024618E-3</v>
      </c>
      <c r="M134" s="55">
        <f t="shared" si="58"/>
        <v>0.99868112975789758</v>
      </c>
      <c r="N134" s="55">
        <f t="shared" si="59"/>
        <v>6.9198719695884953E-9</v>
      </c>
      <c r="O134" s="56">
        <f t="shared" si="60"/>
        <v>1.0005226214618185E-6</v>
      </c>
      <c r="P134" s="56">
        <f t="shared" si="61"/>
        <v>9.9047155181894863E-7</v>
      </c>
      <c r="Q134" s="56">
        <f t="shared" si="62"/>
        <v>1.0393647698321917E-9</v>
      </c>
      <c r="R134" s="9">
        <f t="shared" si="44"/>
        <v>1.4999999999999999E-4</v>
      </c>
      <c r="S134" s="9">
        <f t="shared" si="45"/>
        <v>1.9783053631536924E-7</v>
      </c>
      <c r="T134" s="9">
        <f t="shared" si="40"/>
        <v>1.4980091805417964E-4</v>
      </c>
      <c r="U134" s="9">
        <f t="shared" si="41"/>
        <v>1.4980216946368463E-4</v>
      </c>
      <c r="V134" s="100">
        <f t="shared" si="46"/>
        <v>0.99999164625245773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263</v>
      </c>
      <c r="C135" s="46" t="s">
        <v>264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2.8479282847897803E-3</v>
      </c>
      <c r="J135" s="54">
        <f t="shared" ref="J135:J143" si="64">IF(D135=0,"",LOG($K$21*10^D135+$K$22*10^E135+$K$20))</f>
        <v>5.2755991161798507E-2</v>
      </c>
      <c r="K135" s="55">
        <f t="shared" ref="K135:K143" si="65">IF(D135=0,"",1/(1+10^D135*$J$15/$J$14+10^E135*$J$16/$J$14+10^J135*$J$19/$J$14))</f>
        <v>0.99146629861051572</v>
      </c>
      <c r="L135" s="55">
        <f t="shared" ref="L135:L143" si="66">IF(D135=0,"",1/(1+10^I135/10^J135*$J$13/$J$19))</f>
        <v>1.4934741401135515E-3</v>
      </c>
      <c r="M135" s="55">
        <f t="shared" ref="M135:M143" si="67">IF(D135=0,"",1-L135)</f>
        <v>0.99850652585988642</v>
      </c>
      <c r="N135" s="55">
        <f t="shared" ref="N135:N143" si="68">IF(D135=0,"",1/(1/10^E135*$J$20/$J$22+10^D135/10^E135*$J$21/$J$22+10^I135/10^E135*$J$13/$J$22+1))</f>
        <v>9.1144350083882328E-5</v>
      </c>
      <c r="O135" s="56">
        <f t="shared" ref="O135:O143" si="69">IF(D135=0,"",F135*K135*$J$7/$J$14)</f>
        <v>9.9330278451770973E-7</v>
      </c>
      <c r="P135" s="56">
        <f t="shared" ref="P135:P143" si="70">IF(D135=0,"",O135*10^J135)</f>
        <v>1.121599079225277E-6</v>
      </c>
      <c r="Q135" s="56">
        <f t="shared" ref="Q135:Q143" si="71">IF(D135=0,"",F135*N135*$J$7/$J$22)</f>
        <v>1.3689881382599121E-5</v>
      </c>
      <c r="R135" s="9">
        <f t="shared" si="44"/>
        <v>1.4999999999999999E-4</v>
      </c>
      <c r="S135" s="9">
        <f t="shared" si="45"/>
        <v>2.240211210170327E-7</v>
      </c>
      <c r="T135" s="9">
        <f t="shared" si="40"/>
        <v>1.4871994479157734E-4</v>
      </c>
      <c r="U135" s="9">
        <f t="shared" si="41"/>
        <v>1.4977597887898294E-4</v>
      </c>
      <c r="V135" s="100">
        <f t="shared" si="46"/>
        <v>0.99294924262682427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265</v>
      </c>
      <c r="C136" s="46" t="s">
        <v>266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-7.9190837002413863E-5</v>
      </c>
      <c r="J136" s="54">
        <f t="shared" si="64"/>
        <v>-2.4626113408787245E-3</v>
      </c>
      <c r="K136" s="55">
        <f t="shared" si="65"/>
        <v>0.99834043044849419</v>
      </c>
      <c r="L136" s="55">
        <f t="shared" si="66"/>
        <v>1.3242799613518387E-3</v>
      </c>
      <c r="M136" s="55">
        <f t="shared" si="67"/>
        <v>0.99867572003864813</v>
      </c>
      <c r="N136" s="55">
        <f t="shared" si="68"/>
        <v>1.2920267733588797E-6</v>
      </c>
      <c r="O136" s="56">
        <f t="shared" si="69"/>
        <v>1.0001896492607424E-6</v>
      </c>
      <c r="P136" s="56">
        <f t="shared" si="70"/>
        <v>9.9453425097523044E-7</v>
      </c>
      <c r="Q136" s="56">
        <f t="shared" si="71"/>
        <v>1.9406242135850365E-7</v>
      </c>
      <c r="R136" s="9">
        <f t="shared" si="44"/>
        <v>1.4999999999999999E-4</v>
      </c>
      <c r="S136" s="9">
        <f t="shared" si="45"/>
        <v>1.9864199420277579E-7</v>
      </c>
      <c r="T136" s="9">
        <f t="shared" si="40"/>
        <v>1.497510645672741E-4</v>
      </c>
      <c r="U136" s="9">
        <f t="shared" si="41"/>
        <v>1.4980135800579721E-4</v>
      </c>
      <c r="V136" s="100">
        <f t="shared" si="46"/>
        <v>0.99966426580377765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267</v>
      </c>
      <c r="C137" s="46" t="s">
        <v>268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-2.2462984868396082E-4</v>
      </c>
      <c r="J137" s="54">
        <f t="shared" si="64"/>
        <v>-4.421887076917202E-3</v>
      </c>
      <c r="K137" s="55">
        <f t="shared" si="65"/>
        <v>0.9986803284254997</v>
      </c>
      <c r="L137" s="55">
        <f t="shared" si="66"/>
        <v>1.3187679008917568E-3</v>
      </c>
      <c r="M137" s="55">
        <f t="shared" si="67"/>
        <v>0.9986812320991082</v>
      </c>
      <c r="N137" s="55">
        <f t="shared" si="68"/>
        <v>2.9424452771306277E-10</v>
      </c>
      <c r="O137" s="56">
        <f t="shared" si="69"/>
        <v>1.0005301768283306E-6</v>
      </c>
      <c r="P137" s="56">
        <f t="shared" si="70"/>
        <v>9.9039469356970948E-7</v>
      </c>
      <c r="Q137" s="56">
        <f t="shared" si="71"/>
        <v>4.4195528062502016E-11</v>
      </c>
      <c r="R137" s="9">
        <f t="shared" si="44"/>
        <v>1.4999999999999999E-4</v>
      </c>
      <c r="S137" s="9">
        <f t="shared" si="45"/>
        <v>1.9781518513376351E-7</v>
      </c>
      <c r="T137" s="9">
        <f t="shared" si="40"/>
        <v>1.4980204926382494E-4</v>
      </c>
      <c r="U137" s="9">
        <f t="shared" si="41"/>
        <v>1.4980218481486622E-4</v>
      </c>
      <c r="V137" s="100">
        <f t="shared" si="46"/>
        <v>0.99999909513308205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269</v>
      </c>
      <c r="C138" s="46" t="s">
        <v>270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-9.5327662881748492E-5</v>
      </c>
      <c r="J138" s="54">
        <f t="shared" si="64"/>
        <v>-2.6957393584216881E-3</v>
      </c>
      <c r="K138" s="55">
        <f t="shared" si="65"/>
        <v>0.9983781863147676</v>
      </c>
      <c r="L138" s="55">
        <f t="shared" si="66"/>
        <v>1.323619338049493E-3</v>
      </c>
      <c r="M138" s="55">
        <f t="shared" si="67"/>
        <v>0.99867638066195052</v>
      </c>
      <c r="N138" s="55">
        <f t="shared" si="68"/>
        <v>1.0951631690344474E-6</v>
      </c>
      <c r="O138" s="56">
        <f t="shared" si="69"/>
        <v>1.0002274750619359E-6</v>
      </c>
      <c r="P138" s="56">
        <f t="shared" si="70"/>
        <v>9.940381228751692E-7</v>
      </c>
      <c r="Q138" s="56">
        <f t="shared" si="71"/>
        <v>1.6449350798897394E-7</v>
      </c>
      <c r="R138" s="9">
        <f t="shared" si="44"/>
        <v>1.4999999999999999E-4</v>
      </c>
      <c r="S138" s="9">
        <f t="shared" si="45"/>
        <v>1.9854290070742393E-7</v>
      </c>
      <c r="T138" s="9">
        <f t="shared" si="40"/>
        <v>1.4975672794721511E-4</v>
      </c>
      <c r="U138" s="9">
        <f t="shared" si="41"/>
        <v>1.4980145709929258E-4</v>
      </c>
      <c r="V138" s="100">
        <f t="shared" si="46"/>
        <v>0.99970141043389327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271</v>
      </c>
      <c r="C139" s="46" t="s">
        <v>272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2.1084810301724875E-3</v>
      </c>
      <c r="J139" s="54">
        <f t="shared" si="64"/>
        <v>3.1510352752518005E-2</v>
      </c>
      <c r="K139" s="55">
        <f t="shared" si="65"/>
        <v>0.99322425905758671</v>
      </c>
      <c r="L139" s="55">
        <f t="shared" si="66"/>
        <v>1.4246934598501561E-3</v>
      </c>
      <c r="M139" s="55">
        <f t="shared" si="67"/>
        <v>0.99857530654014981</v>
      </c>
      <c r="N139" s="55">
        <f t="shared" si="68"/>
        <v>3.9997521657462923E-5</v>
      </c>
      <c r="O139" s="56">
        <f t="shared" si="69"/>
        <v>9.9506400122229657E-7</v>
      </c>
      <c r="P139" s="56">
        <f t="shared" si="70"/>
        <v>1.0699447883474673E-6</v>
      </c>
      <c r="Q139" s="56">
        <f t="shared" si="71"/>
        <v>6.0076277529509289E-6</v>
      </c>
      <c r="R139" s="9">
        <f t="shared" si="44"/>
        <v>1.4999999999999999E-4</v>
      </c>
      <c r="S139" s="9">
        <f t="shared" si="45"/>
        <v>2.1370401897752341E-7</v>
      </c>
      <c r="T139" s="9">
        <f t="shared" si="40"/>
        <v>1.4898363885863799E-4</v>
      </c>
      <c r="U139" s="9">
        <f t="shared" si="41"/>
        <v>1.4978629598102247E-4</v>
      </c>
      <c r="V139" s="100">
        <f t="shared" si="46"/>
        <v>0.99464131803829259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273</v>
      </c>
      <c r="C140" s="46" t="s">
        <v>274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-2.2206215862113771E-4</v>
      </c>
      <c r="J140" s="54">
        <f t="shared" si="64"/>
        <v>-4.3926456876418607E-3</v>
      </c>
      <c r="K140" s="55">
        <f t="shared" si="65"/>
        <v>0.99867434302861291</v>
      </c>
      <c r="L140" s="55">
        <f t="shared" si="66"/>
        <v>1.3188487932499263E-3</v>
      </c>
      <c r="M140" s="55">
        <f t="shared" si="67"/>
        <v>0.99868115120675005</v>
      </c>
      <c r="N140" s="55">
        <f t="shared" si="68"/>
        <v>5.1851370126551822E-9</v>
      </c>
      <c r="O140" s="56">
        <f t="shared" si="69"/>
        <v>1.0005241803447361E-6</v>
      </c>
      <c r="P140" s="56">
        <f t="shared" si="70"/>
        <v>9.9045544373069438E-7</v>
      </c>
      <c r="Q140" s="56">
        <f t="shared" si="71"/>
        <v>7.7880757930080811E-10</v>
      </c>
      <c r="R140" s="9">
        <f t="shared" si="44"/>
        <v>1.4999999999999999E-4</v>
      </c>
      <c r="S140" s="9">
        <f t="shared" si="45"/>
        <v>1.9782731898748893E-7</v>
      </c>
      <c r="T140" s="9">
        <f t="shared" si="40"/>
        <v>1.4980115145429192E-4</v>
      </c>
      <c r="U140" s="9">
        <f t="shared" si="41"/>
        <v>1.4980217268101249E-4</v>
      </c>
      <c r="V140" s="100">
        <f t="shared" si="46"/>
        <v>0.99999318283104777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275</v>
      </c>
      <c r="C141" s="46" t="s">
        <v>276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-2.1765065893421197E-4</v>
      </c>
      <c r="J141" s="54">
        <f t="shared" si="64"/>
        <v>-4.3407954588776127E-3</v>
      </c>
      <c r="K141" s="55">
        <f t="shared" si="65"/>
        <v>0.99866405481703691</v>
      </c>
      <c r="L141" s="55">
        <f t="shared" si="66"/>
        <v>1.3189926712030228E-3</v>
      </c>
      <c r="M141" s="55">
        <f t="shared" si="67"/>
        <v>0.99868100732879694</v>
      </c>
      <c r="N141" s="55">
        <f t="shared" si="68"/>
        <v>1.8928593358971835E-8</v>
      </c>
      <c r="O141" s="56">
        <f t="shared" si="69"/>
        <v>1.0005138730763795E-6</v>
      </c>
      <c r="P141" s="56">
        <f t="shared" si="70"/>
        <v>9.9056349607346997E-7</v>
      </c>
      <c r="Q141" s="56">
        <f t="shared" si="71"/>
        <v>2.8430747225175686E-9</v>
      </c>
      <c r="R141" s="9">
        <f t="shared" si="44"/>
        <v>1.4999999999999999E-4</v>
      </c>
      <c r="S141" s="9">
        <f t="shared" si="45"/>
        <v>1.978489006804534E-7</v>
      </c>
      <c r="T141" s="9">
        <f t="shared" si="40"/>
        <v>1.4979960822255551E-4</v>
      </c>
      <c r="U141" s="9">
        <f t="shared" si="41"/>
        <v>1.4980215109931954E-4</v>
      </c>
      <c r="V141" s="100">
        <f t="shared" si="46"/>
        <v>0.99998302509846926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277</v>
      </c>
      <c r="C142" s="46" t="s">
        <v>278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5.0919667310397418E-2</v>
      </c>
      <c r="J142" s="54">
        <f t="shared" si="64"/>
        <v>0.72928068716026384</v>
      </c>
      <c r="K142" s="55">
        <f t="shared" si="65"/>
        <v>0.88328923533179171</v>
      </c>
      <c r="L142" s="55">
        <f t="shared" si="66"/>
        <v>6.3175310383426662E-3</v>
      </c>
      <c r="M142" s="55">
        <f t="shared" si="67"/>
        <v>0.99368246896165735</v>
      </c>
      <c r="N142" s="55">
        <f t="shared" si="68"/>
        <v>3.8916993504911632E-3</v>
      </c>
      <c r="O142" s="56">
        <f t="shared" si="69"/>
        <v>8.8492534564127618E-7</v>
      </c>
      <c r="P142" s="56">
        <f t="shared" si="70"/>
        <v>4.7444658097953428E-6</v>
      </c>
      <c r="Q142" s="56">
        <f t="shared" si="71"/>
        <v>5.8453324244377245E-4</v>
      </c>
      <c r="R142" s="9">
        <f t="shared" si="44"/>
        <v>1.4999999999999999E-4</v>
      </c>
      <c r="S142" s="9">
        <f t="shared" si="45"/>
        <v>9.476296557513999E-7</v>
      </c>
      <c r="T142" s="9">
        <f t="shared" si="40"/>
        <v>1.3249338529976875E-4</v>
      </c>
      <c r="U142" s="9">
        <f t="shared" si="41"/>
        <v>1.4905237034424859E-4</v>
      </c>
      <c r="V142" s="100">
        <f t="shared" si="46"/>
        <v>0.88890491975246333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96</v>
      </c>
      <c r="C143" s="46" t="s">
        <v>279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0.38018124000089604</v>
      </c>
      <c r="J143" s="54">
        <f t="shared" si="64"/>
        <v>1.253369354583612</v>
      </c>
      <c r="K143" s="55">
        <f t="shared" si="65"/>
        <v>0.41237361494381436</v>
      </c>
      <c r="L143" s="55">
        <f t="shared" si="66"/>
        <v>9.8587983537486816E-3</v>
      </c>
      <c r="M143" s="55">
        <f t="shared" si="67"/>
        <v>0.9901412016462513</v>
      </c>
      <c r="N143" s="55">
        <f t="shared" si="68"/>
        <v>1.1593768283492487E-3</v>
      </c>
      <c r="O143" s="56">
        <f t="shared" si="69"/>
        <v>4.1313745163035056E-7</v>
      </c>
      <c r="P143" s="56">
        <f t="shared" si="70"/>
        <v>7.4039575636652572E-6</v>
      </c>
      <c r="Q143" s="56">
        <f t="shared" si="71"/>
        <v>1.741383996180571E-4</v>
      </c>
      <c r="R143" s="9">
        <f t="shared" si="44"/>
        <v>1.4999999999999999E-4</v>
      </c>
      <c r="S143" s="9">
        <f t="shared" si="45"/>
        <v>1.4788197530623021E-6</v>
      </c>
      <c r="T143" s="9">
        <f t="shared" si="40"/>
        <v>6.185604224157215E-5</v>
      </c>
      <c r="U143" s="9">
        <f t="shared" si="41"/>
        <v>1.4852118024693769E-4</v>
      </c>
      <c r="V143" s="100">
        <f t="shared" si="46"/>
        <v>0.4164796033719072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E26:E27"/>
    <mergeCell ref="F26:F27"/>
    <mergeCell ref="L19:Q19"/>
    <mergeCell ref="L20:Q20"/>
    <mergeCell ref="L21:Q21"/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2025-02-02T14:52:31Z</dcterms:modified>
</cp:coreProperties>
</file>