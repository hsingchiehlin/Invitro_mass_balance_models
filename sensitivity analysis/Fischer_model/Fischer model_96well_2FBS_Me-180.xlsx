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Paper writing\R1\Sens_R\Fischer\96well_1um\"/>
    </mc:Choice>
  </mc:AlternateContent>
  <xr:revisionPtr revIDLastSave="0" documentId="13_ncr:1_{D41FFCC1-FF5A-4D92-889F-FBD8E7FDF9FC}" xr6:coauthVersionLast="47" xr6:coauthVersionMax="47" xr10:uidLastSave="{00000000-0000-0000-0000-000000000000}"/>
  <bookViews>
    <workbookView xWindow="43080" yWindow="-120" windowWidth="29040" windowHeight="15720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35" i="4" l="1"/>
  <c r="J135" i="4"/>
  <c r="K135" i="4" s="1"/>
  <c r="N135" i="4"/>
  <c r="Q135" i="4"/>
  <c r="I136" i="4"/>
  <c r="J136" i="4"/>
  <c r="K136" i="4" s="1"/>
  <c r="I137" i="4"/>
  <c r="J137" i="4"/>
  <c r="K137" i="4"/>
  <c r="O137" i="4" s="1"/>
  <c r="P137" i="4" s="1"/>
  <c r="L137" i="4"/>
  <c r="S137" i="4" s="1"/>
  <c r="M137" i="4"/>
  <c r="V137" i="4" s="1"/>
  <c r="N137" i="4"/>
  <c r="Q137" i="4" s="1"/>
  <c r="I138" i="4"/>
  <c r="N138" i="4" s="1"/>
  <c r="Q138" i="4" s="1"/>
  <c r="J138" i="4"/>
  <c r="K138" i="4"/>
  <c r="O138" i="4" s="1"/>
  <c r="P138" i="4" s="1"/>
  <c r="L138" i="4"/>
  <c r="M138" i="4"/>
  <c r="I139" i="4"/>
  <c r="J139" i="4"/>
  <c r="K139" i="4" s="1"/>
  <c r="N139" i="4"/>
  <c r="Q139" i="4"/>
  <c r="I140" i="4"/>
  <c r="L140" i="4" s="1"/>
  <c r="M140" i="4" s="1"/>
  <c r="J140" i="4"/>
  <c r="K140" i="4"/>
  <c r="I141" i="4"/>
  <c r="J141" i="4"/>
  <c r="K141" i="4" s="1"/>
  <c r="O141" i="4" s="1"/>
  <c r="P141" i="4" s="1"/>
  <c r="I142" i="4"/>
  <c r="J142" i="4"/>
  <c r="K142" i="4"/>
  <c r="O142" i="4" s="1"/>
  <c r="P142" i="4" s="1"/>
  <c r="L142" i="4"/>
  <c r="M142" i="4" s="1"/>
  <c r="V142" i="4" s="1"/>
  <c r="N142" i="4"/>
  <c r="Q142" i="4" s="1"/>
  <c r="I143" i="4"/>
  <c r="J143" i="4"/>
  <c r="K143" i="4" s="1"/>
  <c r="N143" i="4"/>
  <c r="Q143" i="4"/>
  <c r="R143" i="4"/>
  <c r="R142" i="4"/>
  <c r="R141" i="4"/>
  <c r="T141" i="4" s="1"/>
  <c r="R140" i="4"/>
  <c r="R139" i="4"/>
  <c r="R138" i="4"/>
  <c r="R137" i="4"/>
  <c r="U137" i="4" s="1"/>
  <c r="R136" i="4"/>
  <c r="R135" i="4"/>
  <c r="R134" i="4"/>
  <c r="R133" i="4"/>
  <c r="R132" i="4"/>
  <c r="R131" i="4"/>
  <c r="R130" i="4"/>
  <c r="R129" i="4"/>
  <c r="R128" i="4"/>
  <c r="R127" i="4"/>
  <c r="R126" i="4"/>
  <c r="R125" i="4"/>
  <c r="R124" i="4"/>
  <c r="R123" i="4"/>
  <c r="R122" i="4"/>
  <c r="R121" i="4"/>
  <c r="R120" i="4"/>
  <c r="R119" i="4"/>
  <c r="R118" i="4"/>
  <c r="R117" i="4"/>
  <c r="R116" i="4"/>
  <c r="R115" i="4"/>
  <c r="R114" i="4"/>
  <c r="R113" i="4"/>
  <c r="R112" i="4"/>
  <c r="R111" i="4"/>
  <c r="R110" i="4"/>
  <c r="R109" i="4"/>
  <c r="R108" i="4"/>
  <c r="R107" i="4"/>
  <c r="R106" i="4"/>
  <c r="R105" i="4"/>
  <c r="R104" i="4"/>
  <c r="R103" i="4"/>
  <c r="R102" i="4"/>
  <c r="R101" i="4"/>
  <c r="R100" i="4"/>
  <c r="R99" i="4"/>
  <c r="R98" i="4"/>
  <c r="R97" i="4"/>
  <c r="R96" i="4"/>
  <c r="R95" i="4"/>
  <c r="R94" i="4"/>
  <c r="R93" i="4"/>
  <c r="R92" i="4"/>
  <c r="R91" i="4"/>
  <c r="R90" i="4"/>
  <c r="R89" i="4"/>
  <c r="R88" i="4"/>
  <c r="R87" i="4"/>
  <c r="R86" i="4"/>
  <c r="R85" i="4"/>
  <c r="R84" i="4"/>
  <c r="R83" i="4"/>
  <c r="R82" i="4"/>
  <c r="R81" i="4"/>
  <c r="R80" i="4"/>
  <c r="R79" i="4"/>
  <c r="R78" i="4"/>
  <c r="R77" i="4"/>
  <c r="R76" i="4"/>
  <c r="R75" i="4"/>
  <c r="R74" i="4"/>
  <c r="R73" i="4"/>
  <c r="R72" i="4"/>
  <c r="R71" i="4"/>
  <c r="R70" i="4"/>
  <c r="R69" i="4"/>
  <c r="R68" i="4"/>
  <c r="R67" i="4"/>
  <c r="R66" i="4"/>
  <c r="R65" i="4"/>
  <c r="R64" i="4"/>
  <c r="R63" i="4"/>
  <c r="R62" i="4"/>
  <c r="R61" i="4"/>
  <c r="R60" i="4"/>
  <c r="R59" i="4"/>
  <c r="R58" i="4"/>
  <c r="R57" i="4"/>
  <c r="R56" i="4"/>
  <c r="R55" i="4"/>
  <c r="R54" i="4"/>
  <c r="R53" i="4"/>
  <c r="R52" i="4"/>
  <c r="R51" i="4"/>
  <c r="R50" i="4"/>
  <c r="R49" i="4"/>
  <c r="R48" i="4"/>
  <c r="R47" i="4"/>
  <c r="R46" i="4"/>
  <c r="R45" i="4"/>
  <c r="R44" i="4"/>
  <c r="R43" i="4"/>
  <c r="R42" i="4"/>
  <c r="R41" i="4"/>
  <c r="R40" i="4"/>
  <c r="R39" i="4"/>
  <c r="R38" i="4"/>
  <c r="R37" i="4"/>
  <c r="R36" i="4"/>
  <c r="R35" i="4"/>
  <c r="R34" i="4"/>
  <c r="R33" i="4"/>
  <c r="R32" i="4"/>
  <c r="R31" i="4"/>
  <c r="R30" i="4"/>
  <c r="R29" i="4"/>
  <c r="R28" i="4"/>
  <c r="T142" i="4" l="1"/>
  <c r="L141" i="4"/>
  <c r="M141" i="4" s="1"/>
  <c r="U141" i="4" s="1"/>
  <c r="N141" i="4"/>
  <c r="Q141" i="4" s="1"/>
  <c r="T140" i="4"/>
  <c r="L136" i="4"/>
  <c r="M136" i="4" s="1"/>
  <c r="V136" i="4" s="1"/>
  <c r="U140" i="4"/>
  <c r="V138" i="4"/>
  <c r="L135" i="4"/>
  <c r="M135" i="4" s="1"/>
  <c r="V135" i="4" s="1"/>
  <c r="T137" i="4"/>
  <c r="S138" i="4"/>
  <c r="O139" i="4"/>
  <c r="P139" i="4" s="1"/>
  <c r="T139" i="4"/>
  <c r="O143" i="4"/>
  <c r="P143" i="4" s="1"/>
  <c r="O135" i="4"/>
  <c r="P135" i="4" s="1"/>
  <c r="V140" i="4"/>
  <c r="T135" i="4"/>
  <c r="L143" i="4"/>
  <c r="M143" i="4" s="1"/>
  <c r="V143" i="4" s="1"/>
  <c r="O140" i="4"/>
  <c r="P140" i="4" s="1"/>
  <c r="L139" i="4"/>
  <c r="O136" i="4"/>
  <c r="P136" i="4" s="1"/>
  <c r="N140" i="4"/>
  <c r="Q140" i="4" s="1"/>
  <c r="N136" i="4"/>
  <c r="Q136" i="4" s="1"/>
  <c r="S140" i="4"/>
  <c r="U135" i="4"/>
  <c r="U142" i="4"/>
  <c r="U138" i="4"/>
  <c r="T138" i="4"/>
  <c r="S135" i="4"/>
  <c r="S142" i="4"/>
  <c r="T143" i="4"/>
  <c r="S136" i="4"/>
  <c r="T136" i="4"/>
  <c r="U136" i="4" l="1"/>
  <c r="S141" i="4"/>
  <c r="V141" i="4"/>
  <c r="U143" i="4"/>
  <c r="M139" i="4"/>
  <c r="S139" i="4"/>
  <c r="S143" i="4"/>
  <c r="I128" i="4"/>
  <c r="L128" i="4" s="1"/>
  <c r="J128" i="4"/>
  <c r="K128" i="4"/>
  <c r="N128" i="4"/>
  <c r="Q128" i="4" s="1"/>
  <c r="I129" i="4"/>
  <c r="J129" i="4"/>
  <c r="K129" i="4"/>
  <c r="I130" i="4"/>
  <c r="J130" i="4"/>
  <c r="K130" i="4" s="1"/>
  <c r="N130" i="4"/>
  <c r="Q130" i="4" s="1"/>
  <c r="I131" i="4"/>
  <c r="N131" i="4" s="1"/>
  <c r="Q131" i="4" s="1"/>
  <c r="J131" i="4"/>
  <c r="K131" i="4" s="1"/>
  <c r="L131" i="4"/>
  <c r="S131" i="4" s="1"/>
  <c r="I132" i="4"/>
  <c r="J132" i="4"/>
  <c r="K132" i="4"/>
  <c r="L132" i="4"/>
  <c r="N132" i="4"/>
  <c r="O132" i="4"/>
  <c r="P132" i="4" s="1"/>
  <c r="Q132" i="4"/>
  <c r="I133" i="4"/>
  <c r="J133" i="4"/>
  <c r="K133" i="4"/>
  <c r="I134" i="4"/>
  <c r="L134" i="4" s="1"/>
  <c r="J134" i="4"/>
  <c r="K134" i="4" s="1"/>
  <c r="M128" i="4" l="1"/>
  <c r="U128" i="4" s="1"/>
  <c r="S128" i="4"/>
  <c r="S134" i="4"/>
  <c r="M134" i="4"/>
  <c r="U134" i="4" s="1"/>
  <c r="T131" i="4"/>
  <c r="O134" i="4"/>
  <c r="P134" i="4" s="1"/>
  <c r="V134" i="4"/>
  <c r="T134" i="4"/>
  <c r="L133" i="4"/>
  <c r="L129" i="4"/>
  <c r="N134" i="4"/>
  <c r="Q134" i="4" s="1"/>
  <c r="O133" i="4"/>
  <c r="P133" i="4" s="1"/>
  <c r="T133" i="4"/>
  <c r="V128" i="4"/>
  <c r="T128" i="4"/>
  <c r="T130" i="4"/>
  <c r="O129" i="4"/>
  <c r="P129" i="4" s="1"/>
  <c r="T129" i="4"/>
  <c r="M132" i="4"/>
  <c r="U132" i="4" s="1"/>
  <c r="S132" i="4"/>
  <c r="T132" i="4"/>
  <c r="O128" i="4"/>
  <c r="P128" i="4" s="1"/>
  <c r="U139" i="4"/>
  <c r="V139" i="4"/>
  <c r="M131" i="4"/>
  <c r="U131" i="4" s="1"/>
  <c r="O131" i="4"/>
  <c r="P131" i="4" s="1"/>
  <c r="O130" i="4"/>
  <c r="P130" i="4" s="1"/>
  <c r="L130" i="4"/>
  <c r="S130" i="4" s="1"/>
  <c r="N133" i="4"/>
  <c r="Q133" i="4" s="1"/>
  <c r="N129" i="4"/>
  <c r="Q129" i="4" s="1"/>
  <c r="O15" i="1"/>
  <c r="L15" i="1"/>
  <c r="N15" i="1"/>
  <c r="J16" i="4"/>
  <c r="J15" i="4"/>
  <c r="J87" i="4"/>
  <c r="K87" i="4" s="1"/>
  <c r="J122" i="4"/>
  <c r="K122" i="4" s="1"/>
  <c r="J117" i="4"/>
  <c r="K117" i="4"/>
  <c r="J120" i="4"/>
  <c r="K120" i="4"/>
  <c r="J101" i="4"/>
  <c r="J86" i="4"/>
  <c r="K86" i="4" s="1"/>
  <c r="J85" i="4"/>
  <c r="K85" i="4" s="1"/>
  <c r="J88" i="4"/>
  <c r="K88" i="4" s="1"/>
  <c r="J119" i="4"/>
  <c r="K119" i="4" s="1"/>
  <c r="J72" i="4"/>
  <c r="K72" i="4" s="1"/>
  <c r="J103" i="4"/>
  <c r="K103" i="4"/>
  <c r="J118" i="4"/>
  <c r="K118" i="4"/>
  <c r="J104" i="4"/>
  <c r="K104" i="4"/>
  <c r="J90" i="4"/>
  <c r="K90" i="4" s="1"/>
  <c r="J71" i="4"/>
  <c r="K71" i="4" s="1"/>
  <c r="J110" i="4"/>
  <c r="K110" i="4"/>
  <c r="J82" i="4"/>
  <c r="K82" i="4" s="1"/>
  <c r="J113" i="4"/>
  <c r="K113" i="4" s="1"/>
  <c r="J97" i="4"/>
  <c r="K97" i="4"/>
  <c r="O97" i="4" s="1"/>
  <c r="P97" i="4" s="1"/>
  <c r="J81" i="4"/>
  <c r="K81" i="4" s="1"/>
  <c r="J116" i="4"/>
  <c r="L116" i="4" s="1"/>
  <c r="S116" i="4" s="1"/>
  <c r="K116" i="4"/>
  <c r="J100" i="4"/>
  <c r="K100" i="4" s="1"/>
  <c r="O100" i="4" s="1"/>
  <c r="P100" i="4" s="1"/>
  <c r="J84" i="4"/>
  <c r="K84" i="4" s="1"/>
  <c r="J114" i="4"/>
  <c r="K114" i="4" s="1"/>
  <c r="J78" i="4"/>
  <c r="K78" i="4"/>
  <c r="J115" i="4"/>
  <c r="K115" i="4"/>
  <c r="O115" i="4"/>
  <c r="P115" i="4" s="1"/>
  <c r="J99" i="4"/>
  <c r="K99" i="4"/>
  <c r="J83" i="4"/>
  <c r="K83" i="4" s="1"/>
  <c r="J102" i="4"/>
  <c r="K102" i="4" s="1"/>
  <c r="J74" i="4"/>
  <c r="K74" i="4" s="1"/>
  <c r="J125" i="4"/>
  <c r="K125" i="4" s="1"/>
  <c r="J109" i="4"/>
  <c r="K109" i="4"/>
  <c r="J93" i="4"/>
  <c r="K93" i="4" s="1"/>
  <c r="J77" i="4"/>
  <c r="K77" i="4" s="1"/>
  <c r="J112" i="4"/>
  <c r="K112" i="4"/>
  <c r="J96" i="4"/>
  <c r="K96" i="4" s="1"/>
  <c r="J80" i="4"/>
  <c r="K80" i="4" s="1"/>
  <c r="J106" i="4"/>
  <c r="K106" i="4" s="1"/>
  <c r="J127" i="4"/>
  <c r="K127" i="4" s="1"/>
  <c r="J111" i="4"/>
  <c r="K111" i="4"/>
  <c r="J95" i="4"/>
  <c r="K95" i="4" s="1"/>
  <c r="J79" i="4"/>
  <c r="K79" i="4" s="1"/>
  <c r="J126" i="4"/>
  <c r="K126" i="4" s="1"/>
  <c r="J94" i="4"/>
  <c r="K94" i="4"/>
  <c r="J121" i="4"/>
  <c r="K121" i="4" s="1"/>
  <c r="J105" i="4"/>
  <c r="K105" i="4" s="1"/>
  <c r="J89" i="4"/>
  <c r="K89" i="4" s="1"/>
  <c r="J73" i="4"/>
  <c r="K73" i="4" s="1"/>
  <c r="J124" i="4"/>
  <c r="K124" i="4" s="1"/>
  <c r="J108" i="4"/>
  <c r="K108" i="4" s="1"/>
  <c r="J92" i="4"/>
  <c r="K92" i="4" s="1"/>
  <c r="J76" i="4"/>
  <c r="K76" i="4" s="1"/>
  <c r="J98" i="4"/>
  <c r="K98" i="4"/>
  <c r="J123" i="4"/>
  <c r="K123" i="4"/>
  <c r="J107" i="4"/>
  <c r="K107" i="4" s="1"/>
  <c r="J91" i="4"/>
  <c r="K91" i="4" s="1"/>
  <c r="J75" i="4"/>
  <c r="K75" i="4" s="1"/>
  <c r="O109" i="4"/>
  <c r="P109" i="4"/>
  <c r="I76" i="4"/>
  <c r="N76" i="4" s="1"/>
  <c r="Q76" i="4" s="1"/>
  <c r="I77" i="4"/>
  <c r="N77" i="4" s="1"/>
  <c r="Q77" i="4" s="1"/>
  <c r="I81" i="4"/>
  <c r="I89" i="4"/>
  <c r="N89" i="4" s="1"/>
  <c r="Q89" i="4" s="1"/>
  <c r="I90" i="4"/>
  <c r="I96" i="4"/>
  <c r="I99" i="4"/>
  <c r="I102" i="4"/>
  <c r="N102" i="4" s="1"/>
  <c r="Q102" i="4" s="1"/>
  <c r="I104" i="4"/>
  <c r="I108" i="4"/>
  <c r="N108" i="4" s="1"/>
  <c r="Q108" i="4" s="1"/>
  <c r="I111" i="4"/>
  <c r="N111" i="4" s="1"/>
  <c r="Q111" i="4" s="1"/>
  <c r="I113" i="4"/>
  <c r="L113" i="4" s="1"/>
  <c r="I115" i="4"/>
  <c r="I119" i="4"/>
  <c r="L119" i="4" s="1"/>
  <c r="S119" i="4" s="1"/>
  <c r="I120" i="4"/>
  <c r="N120" i="4" s="1"/>
  <c r="Q120" i="4" s="1"/>
  <c r="I123" i="4"/>
  <c r="I125" i="4"/>
  <c r="I79" i="4"/>
  <c r="N79" i="4" s="1"/>
  <c r="Q79" i="4" s="1"/>
  <c r="I92" i="4"/>
  <c r="I100" i="4"/>
  <c r="I103" i="4"/>
  <c r="N103" i="4" s="1"/>
  <c r="Q103" i="4" s="1"/>
  <c r="I107" i="4"/>
  <c r="N107" i="4" s="1"/>
  <c r="Q107" i="4" s="1"/>
  <c r="I109" i="4"/>
  <c r="L109" i="4" s="1"/>
  <c r="I110" i="4"/>
  <c r="L110" i="4" s="1"/>
  <c r="I117" i="4"/>
  <c r="N117" i="4" s="1"/>
  <c r="Q117" i="4" s="1"/>
  <c r="I124" i="4"/>
  <c r="L124" i="4" s="1"/>
  <c r="S124" i="4" s="1"/>
  <c r="I72" i="4"/>
  <c r="I106" i="4"/>
  <c r="N106" i="4" s="1"/>
  <c r="Q106" i="4" s="1"/>
  <c r="I71" i="4"/>
  <c r="N71" i="4" s="1"/>
  <c r="Q71" i="4" s="1"/>
  <c r="I75" i="4"/>
  <c r="N75" i="4" s="1"/>
  <c r="Q75" i="4" s="1"/>
  <c r="I80" i="4"/>
  <c r="L80" i="4" s="1"/>
  <c r="S80" i="4" s="1"/>
  <c r="I83" i="4"/>
  <c r="I86" i="4"/>
  <c r="N86" i="4" s="1"/>
  <c r="Q86" i="4" s="1"/>
  <c r="I88" i="4"/>
  <c r="N88" i="4" s="1"/>
  <c r="Q88" i="4" s="1"/>
  <c r="I94" i="4"/>
  <c r="N94" i="4" s="1"/>
  <c r="Q94" i="4" s="1"/>
  <c r="I95" i="4"/>
  <c r="N95" i="4" s="1"/>
  <c r="Q95" i="4" s="1"/>
  <c r="I98" i="4"/>
  <c r="N98" i="4" s="1"/>
  <c r="Q98" i="4" s="1"/>
  <c r="I101" i="4"/>
  <c r="N101" i="4" s="1"/>
  <c r="Q101" i="4" s="1"/>
  <c r="I118" i="4"/>
  <c r="N118" i="4" s="1"/>
  <c r="Q118" i="4" s="1"/>
  <c r="I127" i="4"/>
  <c r="I73" i="4"/>
  <c r="I74" i="4"/>
  <c r="N74" i="4" s="1"/>
  <c r="Q74" i="4" s="1"/>
  <c r="I78" i="4"/>
  <c r="L78" i="4" s="1"/>
  <c r="S78" i="4" s="1"/>
  <c r="I82" i="4"/>
  <c r="L82" i="4" s="1"/>
  <c r="S82" i="4" s="1"/>
  <c r="I85" i="4"/>
  <c r="N85" i="4" s="1"/>
  <c r="Q85" i="4" s="1"/>
  <c r="I93" i="4"/>
  <c r="N93" i="4" s="1"/>
  <c r="Q93" i="4" s="1"/>
  <c r="I112" i="4"/>
  <c r="L112" i="4" s="1"/>
  <c r="I114" i="4"/>
  <c r="N114" i="4" s="1"/>
  <c r="Q114" i="4" s="1"/>
  <c r="I121" i="4"/>
  <c r="I122" i="4"/>
  <c r="L122" i="4" s="1"/>
  <c r="I84" i="4"/>
  <c r="L84" i="4" s="1"/>
  <c r="S84" i="4" s="1"/>
  <c r="I87" i="4"/>
  <c r="I91" i="4"/>
  <c r="I97" i="4"/>
  <c r="I105" i="4"/>
  <c r="I116" i="4"/>
  <c r="N116" i="4" s="1"/>
  <c r="Q116" i="4" s="1"/>
  <c r="I126" i="4"/>
  <c r="L126" i="4" s="1"/>
  <c r="S126" i="4" s="1"/>
  <c r="N105" i="4"/>
  <c r="Q105" i="4"/>
  <c r="N121" i="4"/>
  <c r="Q121" i="4" s="1"/>
  <c r="L121" i="4"/>
  <c r="S121" i="4" s="1"/>
  <c r="N73" i="4"/>
  <c r="Q73" i="4" s="1"/>
  <c r="N97" i="4"/>
  <c r="Q97" i="4"/>
  <c r="L71" i="4"/>
  <c r="S71" i="4" s="1"/>
  <c r="N125" i="4"/>
  <c r="Q125" i="4"/>
  <c r="N115" i="4"/>
  <c r="Q115" i="4"/>
  <c r="N90" i="4"/>
  <c r="Q90" i="4" s="1"/>
  <c r="N91" i="4"/>
  <c r="Q91" i="4" s="1"/>
  <c r="N83" i="4"/>
  <c r="Q83" i="4" s="1"/>
  <c r="N123" i="4"/>
  <c r="Q123" i="4"/>
  <c r="N87" i="4"/>
  <c r="Q87" i="4" s="1"/>
  <c r="L87" i="4"/>
  <c r="N80" i="4"/>
  <c r="Q80" i="4" s="1"/>
  <c r="N92" i="4"/>
  <c r="Q92" i="4" s="1"/>
  <c r="N99" i="4"/>
  <c r="Q99" i="4"/>
  <c r="L99" i="4"/>
  <c r="T124" i="4" l="1"/>
  <c r="T102" i="4"/>
  <c r="O102" i="4"/>
  <c r="P102" i="4" s="1"/>
  <c r="M122" i="4"/>
  <c r="U122" i="4" s="1"/>
  <c r="S122" i="4"/>
  <c r="T96" i="4"/>
  <c r="O99" i="4"/>
  <c r="P99" i="4" s="1"/>
  <c r="T99" i="4"/>
  <c r="O118" i="4"/>
  <c r="P118" i="4" s="1"/>
  <c r="T118" i="4"/>
  <c r="M133" i="4"/>
  <c r="S133" i="4"/>
  <c r="M112" i="4"/>
  <c r="U112" i="4" s="1"/>
  <c r="S112" i="4"/>
  <c r="O123" i="4"/>
  <c r="P123" i="4" s="1"/>
  <c r="T123" i="4"/>
  <c r="O112" i="4"/>
  <c r="P112" i="4" s="1"/>
  <c r="T112" i="4"/>
  <c r="L117" i="4"/>
  <c r="N119" i="4"/>
  <c r="Q119" i="4" s="1"/>
  <c r="L105" i="4"/>
  <c r="T103" i="4"/>
  <c r="O98" i="4"/>
  <c r="P98" i="4" s="1"/>
  <c r="T98" i="4"/>
  <c r="T77" i="4"/>
  <c r="T115" i="4"/>
  <c r="O122" i="4"/>
  <c r="P122" i="4" s="1"/>
  <c r="T122" i="4"/>
  <c r="N109" i="4"/>
  <c r="Q109" i="4" s="1"/>
  <c r="T93" i="4"/>
  <c r="O113" i="4"/>
  <c r="P113" i="4" s="1"/>
  <c r="T113" i="4"/>
  <c r="V113" i="4"/>
  <c r="L106" i="4"/>
  <c r="T92" i="4"/>
  <c r="T88" i="4"/>
  <c r="T108" i="4"/>
  <c r="O111" i="4"/>
  <c r="P111" i="4" s="1"/>
  <c r="T111" i="4"/>
  <c r="O125" i="4"/>
  <c r="P125" i="4" s="1"/>
  <c r="T125" i="4"/>
  <c r="T114" i="4"/>
  <c r="T85" i="4"/>
  <c r="M87" i="4"/>
  <c r="U87" i="4" s="1"/>
  <c r="S87" i="4"/>
  <c r="T75" i="4"/>
  <c r="O106" i="4"/>
  <c r="P106" i="4" s="1"/>
  <c r="T106" i="4"/>
  <c r="O104" i="4"/>
  <c r="P104" i="4" s="1"/>
  <c r="T104" i="4"/>
  <c r="L101" i="4"/>
  <c r="T89" i="4"/>
  <c r="T83" i="4"/>
  <c r="M129" i="4"/>
  <c r="S129" i="4"/>
  <c r="M110" i="4"/>
  <c r="U110" i="4" s="1"/>
  <c r="S110" i="4"/>
  <c r="O105" i="4"/>
  <c r="P105" i="4" s="1"/>
  <c r="T105" i="4"/>
  <c r="M109" i="4"/>
  <c r="U109" i="4" s="1"/>
  <c r="S109" i="4"/>
  <c r="T121" i="4"/>
  <c r="T81" i="4"/>
  <c r="O117" i="4"/>
  <c r="P117" i="4" s="1"/>
  <c r="T117" i="4"/>
  <c r="L104" i="4"/>
  <c r="O103" i="4"/>
  <c r="P103" i="4" s="1"/>
  <c r="L100" i="4"/>
  <c r="M100" i="4" s="1"/>
  <c r="L98" i="4"/>
  <c r="L115" i="4"/>
  <c r="S115" i="4" s="1"/>
  <c r="T72" i="4"/>
  <c r="T76" i="4"/>
  <c r="T79" i="4"/>
  <c r="V109" i="4"/>
  <c r="T109" i="4"/>
  <c r="T78" i="4"/>
  <c r="T82" i="4"/>
  <c r="T119" i="4"/>
  <c r="V131" i="4"/>
  <c r="N126" i="4"/>
  <c r="Q126" i="4" s="1"/>
  <c r="L88" i="4"/>
  <c r="S88" i="4" s="1"/>
  <c r="T95" i="4"/>
  <c r="O110" i="4"/>
  <c r="P110" i="4" s="1"/>
  <c r="T110" i="4"/>
  <c r="L73" i="4"/>
  <c r="S73" i="4" s="1"/>
  <c r="L127" i="4"/>
  <c r="S127" i="4" s="1"/>
  <c r="L123" i="4"/>
  <c r="T74" i="4"/>
  <c r="T84" i="4"/>
  <c r="V71" i="4"/>
  <c r="T71" i="4"/>
  <c r="T86" i="4"/>
  <c r="T73" i="4"/>
  <c r="T91" i="4"/>
  <c r="V80" i="4"/>
  <c r="T80" i="4"/>
  <c r="T116" i="4"/>
  <c r="T120" i="4"/>
  <c r="M99" i="4"/>
  <c r="U99" i="4" s="1"/>
  <c r="S99" i="4"/>
  <c r="M113" i="4"/>
  <c r="U113" i="4" s="1"/>
  <c r="S113" i="4"/>
  <c r="T94" i="4"/>
  <c r="N124" i="4"/>
  <c r="Q124" i="4" s="1"/>
  <c r="L83" i="4"/>
  <c r="S83" i="4" s="1"/>
  <c r="V126" i="4"/>
  <c r="T126" i="4"/>
  <c r="V87" i="4"/>
  <c r="T87" i="4"/>
  <c r="N122" i="4"/>
  <c r="Q122" i="4" s="1"/>
  <c r="L118" i="4"/>
  <c r="L81" i="4"/>
  <c r="S81" i="4" s="1"/>
  <c r="T127" i="4"/>
  <c r="T90" i="4"/>
  <c r="K101" i="4"/>
  <c r="V132" i="4"/>
  <c r="M116" i="4"/>
  <c r="U116" i="4" s="1"/>
  <c r="O127" i="4"/>
  <c r="P127" i="4" s="1"/>
  <c r="O91" i="4"/>
  <c r="P91" i="4" s="1"/>
  <c r="M127" i="4"/>
  <c r="U127" i="4" s="1"/>
  <c r="O84" i="4"/>
  <c r="P84" i="4" s="1"/>
  <c r="L95" i="4"/>
  <c r="L111" i="4"/>
  <c r="L76" i="4"/>
  <c r="S76" i="4" s="1"/>
  <c r="O126" i="4"/>
  <c r="P126" i="4" s="1"/>
  <c r="M130" i="4"/>
  <c r="N127" i="4"/>
  <c r="Q127" i="4" s="1"/>
  <c r="L125" i="4"/>
  <c r="O108" i="4"/>
  <c r="P108" i="4" s="1"/>
  <c r="L94" i="4"/>
  <c r="S94" i="4" s="1"/>
  <c r="L90" i="4"/>
  <c r="S90" i="4" s="1"/>
  <c r="L103" i="4"/>
  <c r="L107" i="4"/>
  <c r="O120" i="4"/>
  <c r="P120" i="4" s="1"/>
  <c r="O124" i="4"/>
  <c r="P124" i="4" s="1"/>
  <c r="L120" i="4"/>
  <c r="S120" i="4" s="1"/>
  <c r="L89" i="4"/>
  <c r="S89" i="4" s="1"/>
  <c r="N100" i="4"/>
  <c r="Q100" i="4" s="1"/>
  <c r="N78" i="4"/>
  <c r="Q78" i="4" s="1"/>
  <c r="N82" i="4"/>
  <c r="Q82" i="4" s="1"/>
  <c r="L96" i="4"/>
  <c r="L97" i="4"/>
  <c r="M97" i="4" s="1"/>
  <c r="L91" i="4"/>
  <c r="S91" i="4" s="1"/>
  <c r="M126" i="4"/>
  <c r="U126" i="4" s="1"/>
  <c r="L108" i="4"/>
  <c r="S108" i="4" s="1"/>
  <c r="O71" i="4"/>
  <c r="P71" i="4" s="1"/>
  <c r="N113" i="4"/>
  <c r="Q113" i="4" s="1"/>
  <c r="O116" i="4"/>
  <c r="P116" i="4" s="1"/>
  <c r="N104" i="4"/>
  <c r="Q104" i="4" s="1"/>
  <c r="O107" i="4"/>
  <c r="P107" i="4" s="1"/>
  <c r="O119" i="4"/>
  <c r="P119" i="4" s="1"/>
  <c r="M71" i="4"/>
  <c r="U71" i="4" s="1"/>
  <c r="L114" i="4"/>
  <c r="S114" i="4" s="1"/>
  <c r="L85" i="4"/>
  <c r="S85" i="4" s="1"/>
  <c r="O114" i="4"/>
  <c r="P114" i="4" s="1"/>
  <c r="L93" i="4"/>
  <c r="S93" i="4" s="1"/>
  <c r="N112" i="4"/>
  <c r="Q112" i="4" s="1"/>
  <c r="M124" i="4"/>
  <c r="U124" i="4" s="1"/>
  <c r="L72" i="4"/>
  <c r="S72" i="4" s="1"/>
  <c r="N81" i="4"/>
  <c r="Q81" i="4" s="1"/>
  <c r="L102" i="4"/>
  <c r="N110" i="4"/>
  <c r="Q110" i="4" s="1"/>
  <c r="M121" i="4"/>
  <c r="U121" i="4" s="1"/>
  <c r="M119" i="4"/>
  <c r="U119" i="4" s="1"/>
  <c r="L92" i="4"/>
  <c r="S92" i="4" s="1"/>
  <c r="N72" i="4"/>
  <c r="Q72" i="4" s="1"/>
  <c r="O121" i="4"/>
  <c r="P121" i="4" s="1"/>
  <c r="O90" i="4"/>
  <c r="P90" i="4" s="1"/>
  <c r="L77" i="4"/>
  <c r="S77" i="4" s="1"/>
  <c r="M73" i="4"/>
  <c r="U73" i="4" s="1"/>
  <c r="O95" i="4"/>
  <c r="P95" i="4" s="1"/>
  <c r="O93" i="4"/>
  <c r="P93" i="4" s="1"/>
  <c r="O86" i="4"/>
  <c r="P86" i="4" s="1"/>
  <c r="O73" i="4"/>
  <c r="P73" i="4" s="1"/>
  <c r="O81" i="4"/>
  <c r="P81" i="4" s="1"/>
  <c r="M78" i="4"/>
  <c r="U78" i="4" s="1"/>
  <c r="M84" i="4"/>
  <c r="U84" i="4" s="1"/>
  <c r="O89" i="4"/>
  <c r="P89" i="4" s="1"/>
  <c r="O78" i="4"/>
  <c r="P78" i="4" s="1"/>
  <c r="M80" i="4"/>
  <c r="U80" i="4" s="1"/>
  <c r="O74" i="4"/>
  <c r="P74" i="4" s="1"/>
  <c r="O79" i="4"/>
  <c r="P79" i="4" s="1"/>
  <c r="M82" i="4"/>
  <c r="U82" i="4" s="1"/>
  <c r="O82" i="4"/>
  <c r="P82" i="4" s="1"/>
  <c r="O72" i="4"/>
  <c r="P72" i="4" s="1"/>
  <c r="O76" i="4"/>
  <c r="P76" i="4" s="1"/>
  <c r="O94" i="4"/>
  <c r="P94" i="4" s="1"/>
  <c r="O80" i="4"/>
  <c r="P80" i="4" s="1"/>
  <c r="O77" i="4"/>
  <c r="P77" i="4" s="1"/>
  <c r="O92" i="4"/>
  <c r="P92" i="4" s="1"/>
  <c r="O96" i="4"/>
  <c r="P96" i="4" s="1"/>
  <c r="O83" i="4"/>
  <c r="P83" i="4" s="1"/>
  <c r="O87" i="4"/>
  <c r="P87" i="4" s="1"/>
  <c r="M81" i="4"/>
  <c r="U81" i="4" s="1"/>
  <c r="M93" i="4"/>
  <c r="U93" i="4" s="1"/>
  <c r="M76" i="4"/>
  <c r="U76" i="4" s="1"/>
  <c r="O88" i="4"/>
  <c r="P88" i="4" s="1"/>
  <c r="L86" i="4"/>
  <c r="S86" i="4" s="1"/>
  <c r="O75" i="4"/>
  <c r="P75" i="4" s="1"/>
  <c r="O85" i="4"/>
  <c r="P85" i="4" s="1"/>
  <c r="N96" i="4"/>
  <c r="Q96" i="4" s="1"/>
  <c r="N84" i="4"/>
  <c r="Q84" i="4" s="1"/>
  <c r="L79" i="4"/>
  <c r="S79" i="4" s="1"/>
  <c r="L75" i="4"/>
  <c r="S75" i="4" s="1"/>
  <c r="L74" i="4"/>
  <c r="S74" i="4" s="1"/>
  <c r="J14" i="4"/>
  <c r="J13" i="4" s="1"/>
  <c r="K16" i="4" s="1"/>
  <c r="V84" i="4" l="1"/>
  <c r="U130" i="4"/>
  <c r="V130" i="4"/>
  <c r="M102" i="4"/>
  <c r="S102" i="4"/>
  <c r="M103" i="4"/>
  <c r="S103" i="4"/>
  <c r="M118" i="4"/>
  <c r="S118" i="4"/>
  <c r="V110" i="4"/>
  <c r="V78" i="4"/>
  <c r="V112" i="4"/>
  <c r="M115" i="4"/>
  <c r="M104" i="4"/>
  <c r="S104" i="4"/>
  <c r="M106" i="4"/>
  <c r="S106" i="4"/>
  <c r="V99" i="4"/>
  <c r="V81" i="4"/>
  <c r="V93" i="4"/>
  <c r="M123" i="4"/>
  <c r="S123" i="4"/>
  <c r="V121" i="4"/>
  <c r="S105" i="4"/>
  <c r="M105" i="4"/>
  <c r="M88" i="4"/>
  <c r="M111" i="4"/>
  <c r="S111" i="4"/>
  <c r="M89" i="4"/>
  <c r="M83" i="4"/>
  <c r="M95" i="4"/>
  <c r="S95" i="4"/>
  <c r="V127" i="4"/>
  <c r="V82" i="4"/>
  <c r="M98" i="4"/>
  <c r="S98" i="4"/>
  <c r="M101" i="4"/>
  <c r="U101" i="4" s="1"/>
  <c r="S101" i="4"/>
  <c r="M117" i="4"/>
  <c r="S117" i="4"/>
  <c r="M96" i="4"/>
  <c r="S96" i="4"/>
  <c r="M125" i="4"/>
  <c r="S125" i="4"/>
  <c r="V116" i="4"/>
  <c r="U129" i="4"/>
  <c r="V129" i="4"/>
  <c r="V101" i="4"/>
  <c r="T101" i="4"/>
  <c r="O101" i="4"/>
  <c r="P101" i="4" s="1"/>
  <c r="V76" i="4"/>
  <c r="V119" i="4"/>
  <c r="U133" i="4"/>
  <c r="V133" i="4"/>
  <c r="V122" i="4"/>
  <c r="M94" i="4"/>
  <c r="V73" i="4"/>
  <c r="V124" i="4"/>
  <c r="M107" i="4"/>
  <c r="M90" i="4"/>
  <c r="M72" i="4"/>
  <c r="M120" i="4"/>
  <c r="M114" i="4"/>
  <c r="M91" i="4"/>
  <c r="M85" i="4"/>
  <c r="M92" i="4"/>
  <c r="M108" i="4"/>
  <c r="M74" i="4"/>
  <c r="M86" i="4"/>
  <c r="M75" i="4"/>
  <c r="M77" i="4"/>
  <c r="M79" i="4"/>
  <c r="K14" i="4"/>
  <c r="K13" i="4"/>
  <c r="K15" i="4"/>
  <c r="U79" i="4" l="1"/>
  <c r="V79" i="4"/>
  <c r="U90" i="4"/>
  <c r="V90" i="4"/>
  <c r="U77" i="4"/>
  <c r="V77" i="4"/>
  <c r="U98" i="4"/>
  <c r="V98" i="4"/>
  <c r="U94" i="4"/>
  <c r="V94" i="4"/>
  <c r="U118" i="4"/>
  <c r="V118" i="4"/>
  <c r="U95" i="4"/>
  <c r="V95" i="4"/>
  <c r="U103" i="4"/>
  <c r="V103" i="4"/>
  <c r="U89" i="4"/>
  <c r="V89" i="4"/>
  <c r="U106" i="4"/>
  <c r="V106" i="4"/>
  <c r="U114" i="4"/>
  <c r="V114" i="4"/>
  <c r="U117" i="4"/>
  <c r="V117" i="4"/>
  <c r="U88" i="4"/>
  <c r="V88" i="4"/>
  <c r="U104" i="4"/>
  <c r="V104" i="4"/>
  <c r="U75" i="4"/>
  <c r="V75" i="4"/>
  <c r="U86" i="4"/>
  <c r="V86" i="4"/>
  <c r="U123" i="4"/>
  <c r="V123" i="4"/>
  <c r="U74" i="4"/>
  <c r="V74" i="4"/>
  <c r="U108" i="4"/>
  <c r="V108" i="4"/>
  <c r="U125" i="4"/>
  <c r="V125" i="4"/>
  <c r="U92" i="4"/>
  <c r="V92" i="4"/>
  <c r="U83" i="4"/>
  <c r="V83" i="4"/>
  <c r="U85" i="4"/>
  <c r="V85" i="4"/>
  <c r="U96" i="4"/>
  <c r="V96" i="4"/>
  <c r="U91" i="4"/>
  <c r="V91" i="4"/>
  <c r="U102" i="4"/>
  <c r="V102" i="4"/>
  <c r="U111" i="4"/>
  <c r="V111" i="4"/>
  <c r="U120" i="4"/>
  <c r="V120" i="4"/>
  <c r="U72" i="4"/>
  <c r="V72" i="4"/>
  <c r="U105" i="4"/>
  <c r="V105" i="4"/>
  <c r="U115" i="4"/>
  <c r="V115" i="4"/>
  <c r="I63" i="4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J60" i="4"/>
  <c r="K60" i="4" s="1"/>
  <c r="J56" i="4"/>
  <c r="K56" i="4" s="1"/>
  <c r="J58" i="4"/>
  <c r="K58" i="4" s="1"/>
  <c r="J55" i="4"/>
  <c r="K55" i="4" s="1"/>
  <c r="J61" i="4"/>
  <c r="K61" i="4" s="1"/>
  <c r="J57" i="4"/>
  <c r="K57" i="4" s="1"/>
  <c r="J59" i="4"/>
  <c r="K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T63" i="4" l="1"/>
  <c r="O55" i="4"/>
  <c r="P55" i="4" s="1"/>
  <c r="T55" i="4"/>
  <c r="O56" i="4"/>
  <c r="P56" i="4" s="1"/>
  <c r="T56" i="4"/>
  <c r="T60" i="4"/>
  <c r="O59" i="4"/>
  <c r="P59" i="4" s="1"/>
  <c r="T59" i="4"/>
  <c r="T61" i="4"/>
  <c r="T58" i="4"/>
  <c r="T62" i="4"/>
  <c r="T57" i="4"/>
  <c r="O62" i="4"/>
  <c r="P62" i="4" s="1"/>
  <c r="O60" i="4"/>
  <c r="P60" i="4" s="1"/>
  <c r="O61" i="4"/>
  <c r="P61" i="4" s="1"/>
  <c r="O57" i="4"/>
  <c r="P57" i="4" s="1"/>
  <c r="O58" i="4"/>
  <c r="P58" i="4" s="1"/>
  <c r="L66" i="4"/>
  <c r="S66" i="4" s="1"/>
  <c r="K66" i="4"/>
  <c r="K70" i="4"/>
  <c r="L70" i="4"/>
  <c r="S70" i="4" s="1"/>
  <c r="K64" i="4"/>
  <c r="L64" i="4"/>
  <c r="S64" i="4" s="1"/>
  <c r="O63" i="4"/>
  <c r="P63" i="4" s="1"/>
  <c r="L63" i="4"/>
  <c r="S63" i="4" s="1"/>
  <c r="K68" i="4"/>
  <c r="L68" i="4"/>
  <c r="S68" i="4" s="1"/>
  <c r="L67" i="4"/>
  <c r="S67" i="4" s="1"/>
  <c r="K67" i="4"/>
  <c r="L65" i="4"/>
  <c r="S65" i="4" s="1"/>
  <c r="K65" i="4"/>
  <c r="K69" i="4"/>
  <c r="L69" i="4"/>
  <c r="S69" i="4" s="1"/>
  <c r="N62" i="4"/>
  <c r="Q62" i="4" s="1"/>
  <c r="L62" i="4"/>
  <c r="S62" i="4" s="1"/>
  <c r="N55" i="4"/>
  <c r="Q55" i="4" s="1"/>
  <c r="L55" i="4"/>
  <c r="L56" i="4"/>
  <c r="N56" i="4"/>
  <c r="Q56" i="4" s="1"/>
  <c r="N59" i="4"/>
  <c r="Q59" i="4" s="1"/>
  <c r="L59" i="4"/>
  <c r="N57" i="4"/>
  <c r="Q57" i="4" s="1"/>
  <c r="L57" i="4"/>
  <c r="S57" i="4" s="1"/>
  <c r="L58" i="4"/>
  <c r="S58" i="4" s="1"/>
  <c r="N58" i="4"/>
  <c r="Q58" i="4" s="1"/>
  <c r="N61" i="4"/>
  <c r="Q61" i="4" s="1"/>
  <c r="L61" i="4"/>
  <c r="S61" i="4" s="1"/>
  <c r="L60" i="4"/>
  <c r="S60" i="4" s="1"/>
  <c r="N60" i="4"/>
  <c r="Q60" i="4" s="1"/>
  <c r="M56" i="4" l="1"/>
  <c r="S56" i="4"/>
  <c r="T68" i="4"/>
  <c r="M55" i="4"/>
  <c r="S55" i="4"/>
  <c r="T64" i="4"/>
  <c r="V69" i="4"/>
  <c r="T69" i="4"/>
  <c r="T70" i="4"/>
  <c r="V65" i="4"/>
  <c r="T65" i="4"/>
  <c r="T66" i="4"/>
  <c r="M59" i="4"/>
  <c r="S59" i="4"/>
  <c r="T67" i="4"/>
  <c r="M62" i="4"/>
  <c r="M60" i="4"/>
  <c r="M61" i="4"/>
  <c r="M70" i="4"/>
  <c r="U70" i="4" s="1"/>
  <c r="M63" i="4"/>
  <c r="M57" i="4"/>
  <c r="M69" i="4"/>
  <c r="U69" i="4" s="1"/>
  <c r="M65" i="4"/>
  <c r="U65" i="4" s="1"/>
  <c r="O64" i="4"/>
  <c r="P64" i="4" s="1"/>
  <c r="O69" i="4"/>
  <c r="P69" i="4" s="1"/>
  <c r="O66" i="4"/>
  <c r="P66" i="4" s="1"/>
  <c r="M68" i="4"/>
  <c r="U68" i="4" s="1"/>
  <c r="O67" i="4"/>
  <c r="P67" i="4" s="1"/>
  <c r="M67" i="4"/>
  <c r="U67" i="4" s="1"/>
  <c r="O68" i="4"/>
  <c r="P68" i="4" s="1"/>
  <c r="M66" i="4"/>
  <c r="U66" i="4" s="1"/>
  <c r="M64" i="4"/>
  <c r="U64" i="4" s="1"/>
  <c r="M58" i="4"/>
  <c r="O65" i="4"/>
  <c r="P65" i="4" s="1"/>
  <c r="O70" i="4"/>
  <c r="P70" i="4" s="1"/>
  <c r="U63" i="4" l="1"/>
  <c r="V63" i="4"/>
  <c r="U56" i="4"/>
  <c r="V56" i="4"/>
  <c r="U61" i="4"/>
  <c r="V61" i="4"/>
  <c r="V70" i="4"/>
  <c r="U60" i="4"/>
  <c r="V60" i="4"/>
  <c r="U62" i="4"/>
  <c r="V62" i="4"/>
  <c r="V67" i="4"/>
  <c r="V64" i="4"/>
  <c r="U59" i="4"/>
  <c r="V59" i="4"/>
  <c r="U55" i="4"/>
  <c r="V55" i="4"/>
  <c r="V66" i="4"/>
  <c r="V68" i="4"/>
  <c r="U58" i="4"/>
  <c r="V58" i="4"/>
  <c r="U57" i="4"/>
  <c r="V57" i="4"/>
  <c r="J21" i="4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N52" i="4"/>
  <c r="N47" i="4"/>
  <c r="J7" i="4" l="1"/>
  <c r="Q48" i="4" s="1"/>
  <c r="K21" i="4"/>
  <c r="K22" i="4"/>
  <c r="K20" i="4"/>
  <c r="Q50" i="4"/>
  <c r="Q52" i="4"/>
  <c r="J52" i="4"/>
  <c r="J49" i="4"/>
  <c r="J53" i="4"/>
  <c r="J54" i="4"/>
  <c r="J50" i="4"/>
  <c r="J48" i="4"/>
  <c r="J51" i="4"/>
  <c r="Q54" i="4"/>
  <c r="Q51" i="4"/>
  <c r="Q49" i="4"/>
  <c r="J39" i="4" l="1"/>
  <c r="L39" i="4" s="1"/>
  <c r="S39" i="4" s="1"/>
  <c r="J45" i="4"/>
  <c r="L45" i="4" s="1"/>
  <c r="S45" i="4" s="1"/>
  <c r="J30" i="4"/>
  <c r="K30" i="4" s="1"/>
  <c r="J43" i="4"/>
  <c r="L43" i="4" s="1"/>
  <c r="S43" i="4" s="1"/>
  <c r="J31" i="4"/>
  <c r="K31" i="4" s="1"/>
  <c r="J44" i="4"/>
  <c r="L44" i="4" s="1"/>
  <c r="S44" i="4" s="1"/>
  <c r="J36" i="4"/>
  <c r="K36" i="4" s="1"/>
  <c r="J46" i="4"/>
  <c r="K46" i="4" s="1"/>
  <c r="J35" i="4"/>
  <c r="K35" i="4" s="1"/>
  <c r="Q41" i="4"/>
  <c r="Q45" i="4"/>
  <c r="Q31" i="4"/>
  <c r="Q36" i="4"/>
  <c r="Q43" i="4"/>
  <c r="Q42" i="4"/>
  <c r="Q38" i="4"/>
  <c r="Q44" i="4"/>
  <c r="Q39" i="4"/>
  <c r="Q34" i="4"/>
  <c r="Q29" i="4"/>
  <c r="J33" i="4"/>
  <c r="K33" i="4" s="1"/>
  <c r="J47" i="4"/>
  <c r="K47" i="4" s="1"/>
  <c r="Q47" i="4"/>
  <c r="Q46" i="4"/>
  <c r="Q35" i="4"/>
  <c r="J34" i="4"/>
  <c r="L34" i="4" s="1"/>
  <c r="S34" i="4" s="1"/>
  <c r="J41" i="4"/>
  <c r="K41" i="4" s="1"/>
  <c r="J42" i="4"/>
  <c r="L42" i="4" s="1"/>
  <c r="S42" i="4" s="1"/>
  <c r="J32" i="4"/>
  <c r="L32" i="4" s="1"/>
  <c r="S32" i="4" s="1"/>
  <c r="J37" i="4"/>
  <c r="L37" i="4" s="1"/>
  <c r="S37" i="4" s="1"/>
  <c r="J40" i="4"/>
  <c r="L40" i="4" s="1"/>
  <c r="S40" i="4" s="1"/>
  <c r="J38" i="4"/>
  <c r="L38" i="4" s="1"/>
  <c r="S38" i="4" s="1"/>
  <c r="J29" i="4"/>
  <c r="L29" i="4" s="1"/>
  <c r="S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K44" i="4"/>
  <c r="L36" i="4"/>
  <c r="S36" i="4" s="1"/>
  <c r="K52" i="4"/>
  <c r="L52" i="4"/>
  <c r="L54" i="4"/>
  <c r="K54" i="4"/>
  <c r="L51" i="4"/>
  <c r="K51" i="4"/>
  <c r="L53" i="4"/>
  <c r="K53" i="4"/>
  <c r="L48" i="4"/>
  <c r="S48" i="4" s="1"/>
  <c r="K48" i="4"/>
  <c r="L50" i="4"/>
  <c r="K50" i="4"/>
  <c r="L49" i="4"/>
  <c r="S49" i="4" s="1"/>
  <c r="K49" i="4"/>
  <c r="T49" i="4" l="1"/>
  <c r="M54" i="4"/>
  <c r="U54" i="4" s="1"/>
  <c r="S54" i="4"/>
  <c r="M52" i="4"/>
  <c r="U52" i="4" s="1"/>
  <c r="S52" i="4"/>
  <c r="O50" i="4"/>
  <c r="P50" i="4" s="1"/>
  <c r="V50" i="4"/>
  <c r="T50" i="4"/>
  <c r="O52" i="4"/>
  <c r="P52" i="4" s="1"/>
  <c r="V52" i="4"/>
  <c r="T52" i="4"/>
  <c r="M50" i="4"/>
  <c r="U50" i="4" s="1"/>
  <c r="S50" i="4"/>
  <c r="T47" i="4"/>
  <c r="K39" i="4"/>
  <c r="O39" i="4" s="1"/>
  <c r="P39" i="4" s="1"/>
  <c r="T44" i="4"/>
  <c r="T33" i="4"/>
  <c r="T35" i="4"/>
  <c r="V48" i="4"/>
  <c r="T48" i="4"/>
  <c r="T28" i="4"/>
  <c r="T46" i="4"/>
  <c r="T36" i="4"/>
  <c r="O53" i="4"/>
  <c r="P53" i="4" s="1"/>
  <c r="T53" i="4"/>
  <c r="M53" i="4"/>
  <c r="U53" i="4" s="1"/>
  <c r="S53" i="4"/>
  <c r="T31" i="4"/>
  <c r="O51" i="4"/>
  <c r="P51" i="4" s="1"/>
  <c r="T51" i="4"/>
  <c r="M51" i="4"/>
  <c r="U51" i="4" s="1"/>
  <c r="S51" i="4"/>
  <c r="T41" i="4"/>
  <c r="T30" i="4"/>
  <c r="O54" i="4"/>
  <c r="P54" i="4" s="1"/>
  <c r="T54" i="4"/>
  <c r="M48" i="4"/>
  <c r="U48" i="4" s="1"/>
  <c r="O48" i="4"/>
  <c r="P48" i="4" s="1"/>
  <c r="M49" i="4"/>
  <c r="U49" i="4" s="1"/>
  <c r="O49" i="4"/>
  <c r="P49" i="4" s="1"/>
  <c r="O44" i="4"/>
  <c r="P44" i="4" s="1"/>
  <c r="O35" i="4"/>
  <c r="P35" i="4" s="1"/>
  <c r="O31" i="4"/>
  <c r="P31" i="4" s="1"/>
  <c r="M43" i="4"/>
  <c r="U43" i="4" s="1"/>
  <c r="O33" i="4"/>
  <c r="P33" i="4" s="1"/>
  <c r="O46" i="4"/>
  <c r="P46" i="4" s="1"/>
  <c r="O41" i="4"/>
  <c r="P41" i="4" s="1"/>
  <c r="O30" i="4"/>
  <c r="P30" i="4" s="1"/>
  <c r="O47" i="4"/>
  <c r="P47" i="4" s="1"/>
  <c r="M45" i="4"/>
  <c r="U45" i="4" s="1"/>
  <c r="L47" i="4"/>
  <c r="S47" i="4" s="1"/>
  <c r="O28" i="4"/>
  <c r="P28" i="4" s="1"/>
  <c r="O36" i="4"/>
  <c r="P36" i="4" s="1"/>
  <c r="M44" i="4"/>
  <c r="U44" i="4" s="1"/>
  <c r="L35" i="4"/>
  <c r="S35" i="4" s="1"/>
  <c r="M39" i="4"/>
  <c r="U39" i="4" s="1"/>
  <c r="K45" i="4"/>
  <c r="L30" i="4"/>
  <c r="S30" i="4" s="1"/>
  <c r="L31" i="4"/>
  <c r="S31" i="4" s="1"/>
  <c r="K43" i="4"/>
  <c r="L46" i="4"/>
  <c r="S46" i="4" s="1"/>
  <c r="K37" i="4"/>
  <c r="L41" i="4"/>
  <c r="S41" i="4" s="1"/>
  <c r="K42" i="4"/>
  <c r="K34" i="4"/>
  <c r="L33" i="4"/>
  <c r="S33" i="4" s="1"/>
  <c r="K38" i="4"/>
  <c r="K29" i="4"/>
  <c r="M32" i="4"/>
  <c r="U32" i="4" s="1"/>
  <c r="M40" i="4"/>
  <c r="U40" i="4" s="1"/>
  <c r="M34" i="4"/>
  <c r="U34" i="4" s="1"/>
  <c r="M29" i="4"/>
  <c r="U29" i="4" s="1"/>
  <c r="M37" i="4"/>
  <c r="U37" i="4" s="1"/>
  <c r="M42" i="4"/>
  <c r="U42" i="4" s="1"/>
  <c r="M38" i="4"/>
  <c r="U38" i="4" s="1"/>
  <c r="M36" i="4"/>
  <c r="U36" i="4" s="1"/>
  <c r="K40" i="4"/>
  <c r="K32" i="4"/>
  <c r="L28" i="4"/>
  <c r="S28" i="4" s="1"/>
  <c r="V38" i="4" l="1"/>
  <c r="T38" i="4"/>
  <c r="V53" i="4"/>
  <c r="V40" i="4"/>
  <c r="T40" i="4"/>
  <c r="V37" i="4"/>
  <c r="T37" i="4"/>
  <c r="V45" i="4"/>
  <c r="T45" i="4"/>
  <c r="T32" i="4"/>
  <c r="V32" i="4"/>
  <c r="V34" i="4"/>
  <c r="T34" i="4"/>
  <c r="V42" i="4"/>
  <c r="T42" i="4"/>
  <c r="V44" i="4"/>
  <c r="T29" i="4"/>
  <c r="V29" i="4"/>
  <c r="V36" i="4"/>
  <c r="V39" i="4"/>
  <c r="T39" i="4"/>
  <c r="V51" i="4"/>
  <c r="V43" i="4"/>
  <c r="T43" i="4"/>
  <c r="V54" i="4"/>
  <c r="V49" i="4"/>
  <c r="M46" i="4"/>
  <c r="O45" i="4"/>
  <c r="P45" i="4" s="1"/>
  <c r="O29" i="4"/>
  <c r="P29" i="4" s="1"/>
  <c r="M33" i="4"/>
  <c r="O43" i="4"/>
  <c r="P43" i="4" s="1"/>
  <c r="O32" i="4"/>
  <c r="P32" i="4" s="1"/>
  <c r="O40" i="4"/>
  <c r="P40" i="4" s="1"/>
  <c r="M31" i="4"/>
  <c r="M47" i="4"/>
  <c r="O34" i="4"/>
  <c r="P34" i="4" s="1"/>
  <c r="M30" i="4"/>
  <c r="M41" i="4"/>
  <c r="O38" i="4"/>
  <c r="P38" i="4" s="1"/>
  <c r="M35" i="4"/>
  <c r="O42" i="4"/>
  <c r="P42" i="4" s="1"/>
  <c r="O37" i="4"/>
  <c r="P37" i="4" s="1"/>
  <c r="M28" i="4"/>
  <c r="U47" i="4" l="1"/>
  <c r="V47" i="4"/>
  <c r="U31" i="4"/>
  <c r="V31" i="4"/>
  <c r="U35" i="4"/>
  <c r="V35" i="4"/>
  <c r="U46" i="4"/>
  <c r="V46" i="4"/>
  <c r="U41" i="4"/>
  <c r="V41" i="4"/>
  <c r="U28" i="4"/>
  <c r="V28" i="4"/>
  <c r="U33" i="4"/>
  <c r="V33" i="4"/>
  <c r="U30" i="4"/>
  <c r="V30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<sst xmlns="http://schemas.openxmlformats.org/spreadsheetml/2006/main" count="340" uniqueCount="313">
  <si>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</si>
  <si>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</si>
  <si>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</si>
  <si>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</si>
  <si>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</si>
  <si>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</si>
  <si>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</si>
  <si>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</si>
  <si>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</si>
  <si>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</si>
  <si>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</si>
  <si>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</si>
  <si>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</si>
  <si>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</si>
  <si>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</si>
  <si>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</si>
  <si>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</si>
  <si>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</si>
  <si>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</si>
  <si>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</si>
  <si>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</si>
  <si>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</si>
  <si>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</si>
  <si>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</si>
  <si>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</si>
  <si>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</si>
  <si>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</si>
  <si>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</si>
  <si>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</si>
  <si>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</si>
  <si>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</si>
  <si>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</si>
  <si>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</si>
  <si>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</si>
  <si>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</si>
  <si>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</si>
  <si>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</si>
  <si>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</si>
  <si>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</si>
  <si>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</si>
  <si>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</si>
  <si>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</si>
  <si>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</si>
  <si>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</si>
  <si>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</si>
  <si>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</si>
  <si>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</si>
  <si>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</si>
  <si>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</si>
  <si>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</si>
  <si>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</si>
  <si>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</si>
  <si>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</si>
  <si>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</si>
  <si>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</si>
  <si>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</si>
  <si>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</si>
  <si>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</si>
  <si>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</si>
  <si>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</si>
  <si>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</si>
  <si>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</si>
  <si>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</si>
  <si>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</si>
  <si>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</si>
  <si>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</si>
  <si>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</si>
  <si>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</si>
  <si>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</si>
  <si>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</si>
  <si>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</si>
  <si>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</si>
  <si>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</si>
  <si>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</si>
  <si>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7" type="noConversion"/>
  </si>
  <si>
    <t>cs-FBS</t>
    <phoneticPr fontId="17" type="noConversion"/>
  </si>
  <si>
    <t>HEK293T</t>
    <phoneticPr fontId="17" type="noConversion"/>
  </si>
  <si>
    <t>umole</t>
    <phoneticPr fontId="17" type="noConversion"/>
  </si>
  <si>
    <t>umold</t>
    <phoneticPr fontId="17" type="noConversion"/>
  </si>
  <si>
    <t>HepG2</t>
  </si>
  <si>
    <t>Dicofol</t>
  </si>
  <si>
    <t>115-32-2</t>
  </si>
  <si>
    <t>Endosulfan I</t>
  </si>
  <si>
    <t>115-29-7</t>
  </si>
  <si>
    <t>Lindane</t>
  </si>
  <si>
    <t>58-89-9</t>
  </si>
  <si>
    <t>Parathion</t>
  </si>
  <si>
    <t>56-38-2</t>
  </si>
  <si>
    <t>Caffeine</t>
  </si>
  <si>
    <t>58-08-2</t>
  </si>
  <si>
    <t>2,4-Dichlorophenoxyacetic</t>
  </si>
  <si>
    <t>94-75-7</t>
  </si>
  <si>
    <t>(S)-Naproxen</t>
  </si>
  <si>
    <t>22204-53-1</t>
  </si>
  <si>
    <t>Torasemide</t>
  </si>
  <si>
    <t>56211-40-6</t>
  </si>
  <si>
    <t>Warfarin</t>
  </si>
  <si>
    <t>81-81-2</t>
  </si>
  <si>
    <t>Malathion</t>
  </si>
  <si>
    <t>121-75-5</t>
  </si>
  <si>
    <t>Allyl alcohol</t>
  </si>
  <si>
    <t>107-18-6</t>
  </si>
  <si>
    <t>dichloromethane</t>
  </si>
  <si>
    <t>75-09-2</t>
  </si>
  <si>
    <t>2,3-dimethyl-1,3-butadiene</t>
  </si>
  <si>
    <t>513-81-5</t>
  </si>
  <si>
    <t>PBDE 153</t>
  </si>
  <si>
    <t>68631-49-2</t>
  </si>
  <si>
    <t>amiodarone</t>
  </si>
  <si>
    <t>1951-25-3</t>
  </si>
  <si>
    <t>15687-27-1</t>
  </si>
  <si>
    <t>Chlorpyrifos</t>
  </si>
  <si>
    <t>2921-88-2</t>
  </si>
  <si>
    <t>2,4-Dinitrophenol</t>
  </si>
  <si>
    <t>51-28-5</t>
  </si>
  <si>
    <t>Aldrin</t>
  </si>
  <si>
    <t>309-00-2</t>
  </si>
  <si>
    <t>Azinphos-methyl</t>
  </si>
  <si>
    <t>86-50-0</t>
  </si>
  <si>
    <t>DDD-p,p'</t>
  </si>
  <si>
    <t>50-29-3</t>
  </si>
  <si>
    <t>DDT-o,p'</t>
  </si>
  <si>
    <t>789-02-6</t>
  </si>
  <si>
    <t>DDT-p,p'</t>
  </si>
  <si>
    <t>72-54-8</t>
  </si>
  <si>
    <t>Diazinon</t>
  </si>
  <si>
    <t>333-41-5</t>
  </si>
  <si>
    <t>Dieldrin</t>
  </si>
  <si>
    <t>60-57-1</t>
  </si>
  <si>
    <t>Disulfoton</t>
  </si>
  <si>
    <t>298-04-4</t>
  </si>
  <si>
    <t>Endrin</t>
  </si>
  <si>
    <t>72-20-8</t>
  </si>
  <si>
    <t>Ethion</t>
  </si>
  <si>
    <t>563-12-2</t>
  </si>
  <si>
    <t>Heptachlor</t>
  </si>
  <si>
    <t>76-44-8</t>
  </si>
  <si>
    <t>Heptachlor epoxide B</t>
  </si>
  <si>
    <t>1024-57-3</t>
  </si>
  <si>
    <t>Methoxychlor-o,p'</t>
  </si>
  <si>
    <t>72-43-5</t>
  </si>
  <si>
    <t>Trifluralin</t>
  </si>
  <si>
    <t>1582-09-8</t>
  </si>
  <si>
    <t>Eugenol F</t>
  </si>
  <si>
    <t>97-53-0</t>
  </si>
  <si>
    <t>Methyl-antranilate</t>
  </si>
  <si>
    <t>134-20-3</t>
  </si>
  <si>
    <t>Lilyfore</t>
  </si>
  <si>
    <t>285977-85-7</t>
  </si>
  <si>
    <t>Damascone beta</t>
  </si>
  <si>
    <t>23726-91-2</t>
  </si>
  <si>
    <t>Veloutone</t>
  </si>
  <si>
    <t>14595-54-1</t>
  </si>
  <si>
    <t>Verdox</t>
  </si>
  <si>
    <t>82356-51-2</t>
  </si>
  <si>
    <t>Nirvanol</t>
  </si>
  <si>
    <t>1506-02-1</t>
  </si>
  <si>
    <t>Cetalox</t>
  </si>
  <si>
    <t>3738-00-9</t>
  </si>
  <si>
    <t>Tonalide</t>
  </si>
  <si>
    <t>21145-77-7</t>
  </si>
  <si>
    <t>Lamotrigine</t>
  </si>
  <si>
    <t>84057-84-1</t>
  </si>
  <si>
    <t>Diclofenac</t>
  </si>
  <si>
    <t>15307-79-6</t>
  </si>
  <si>
    <t>Ibuprofen</t>
  </si>
  <si>
    <t>di-n-butylphthalate</t>
  </si>
  <si>
    <t>84-74-2</t>
  </si>
  <si>
    <t>hexachlorophene</t>
  </si>
  <si>
    <t>70-30-4</t>
  </si>
  <si>
    <t>hexamethylenetetramine</t>
  </si>
  <si>
    <t>100-97-0</t>
  </si>
  <si>
    <t>pentachlorophenol</t>
  </si>
  <si>
    <t>87-86-5</t>
  </si>
  <si>
    <t>2,2,2-trichloroethanol</t>
  </si>
  <si>
    <t>115-20-8</t>
  </si>
  <si>
    <t>diethylphthalate</t>
  </si>
  <si>
    <t>84-66-2</t>
  </si>
  <si>
    <t>4-chlorophenol</t>
  </si>
  <si>
    <t>106-48-9</t>
  </si>
  <si>
    <t>permethrin</t>
  </si>
  <si>
    <t>52645-53-1</t>
  </si>
  <si>
    <t>Aniline</t>
  </si>
  <si>
    <t>62-53-3</t>
  </si>
  <si>
    <t>4-fluoroaniline</t>
  </si>
  <si>
    <t>371-40-4</t>
  </si>
  <si>
    <t>2,4,6-trichlorophenol</t>
  </si>
  <si>
    <t>88-06-2</t>
  </si>
  <si>
    <t>N-methylaniline</t>
  </si>
  <si>
    <t>100-61-8</t>
  </si>
  <si>
    <t>3,4-dichloroaniline</t>
  </si>
  <si>
    <t>95-76-1</t>
  </si>
  <si>
    <t>4-decylaniline</t>
  </si>
  <si>
    <t>37529-30-9</t>
  </si>
  <si>
    <t>naphthalene</t>
  </si>
  <si>
    <t>91-20-3</t>
  </si>
  <si>
    <t>1,2,4-trichlorobenzene</t>
  </si>
  <si>
    <t>120-82-1</t>
  </si>
  <si>
    <t>1,2-dichlorobenzene</t>
  </si>
  <si>
    <t>95-50-1</t>
  </si>
  <si>
    <t>tetrachloroethylene</t>
  </si>
  <si>
    <t>127-18-4</t>
  </si>
  <si>
    <t>cyclosporine A</t>
  </si>
  <si>
    <t>59865-13-3</t>
  </si>
  <si>
    <t>chlorpromazine</t>
  </si>
  <si>
    <t>50-53-3</t>
  </si>
  <si>
    <t>PBDE 47</t>
  </si>
  <si>
    <t>5436-43-1</t>
  </si>
  <si>
    <t>PBDE 99</t>
  </si>
  <si>
    <t>60348-60-9</t>
  </si>
  <si>
    <t>375-73-5</t>
  </si>
  <si>
    <t>757124-72-4</t>
  </si>
  <si>
    <t>375-95-1</t>
  </si>
  <si>
    <t>307-24-4</t>
  </si>
  <si>
    <t>375-22-4</t>
  </si>
  <si>
    <t>335-67-1</t>
  </si>
  <si>
    <t>27619-97-2</t>
  </si>
  <si>
    <t>39108-34-4</t>
  </si>
  <si>
    <t>2058-94-8</t>
  </si>
  <si>
    <t>1763-23-1</t>
  </si>
  <si>
    <t>375-85-9</t>
  </si>
  <si>
    <t>2706-90-3</t>
  </si>
  <si>
    <t>355-46-4</t>
  </si>
  <si>
    <t>335-76-2</t>
  </si>
  <si>
    <t>Azathioprine</t>
  </si>
  <si>
    <t>446-86-6</t>
  </si>
  <si>
    <t>Benzocaine</t>
  </si>
  <si>
    <t>94-09-7</t>
  </si>
  <si>
    <t>Butylated hydroxyanisole</t>
  </si>
  <si>
    <t>25013-16-5</t>
  </si>
  <si>
    <t>Cetirizine dihydrochloride</t>
  </si>
  <si>
    <t>83881-52-1</t>
  </si>
  <si>
    <t>Cyclamate</t>
  </si>
  <si>
    <t>139-05-9</t>
  </si>
  <si>
    <t>Cyclophosphamide</t>
  </si>
  <si>
    <t>6055-19-2</t>
  </si>
  <si>
    <t>Cypermethrin</t>
  </si>
  <si>
    <t>67375-30-8</t>
  </si>
  <si>
    <t>DEET</t>
  </si>
  <si>
    <t>134-62-3</t>
  </si>
  <si>
    <t>Dexamethasone</t>
  </si>
  <si>
    <t>50-02-2</t>
  </si>
  <si>
    <t>Digoxin</t>
  </si>
  <si>
    <t>20830-75-5</t>
  </si>
  <si>
    <t>Fenazaquin</t>
  </si>
  <si>
    <t>120928-09-8</t>
  </si>
  <si>
    <t>Fenbuconazole</t>
  </si>
  <si>
    <t>114369-43-6</t>
  </si>
  <si>
    <t>Fluazinam</t>
  </si>
  <si>
    <t>79622-59-6</t>
  </si>
  <si>
    <t>Furosemide</t>
  </si>
  <si>
    <t>54-31-9</t>
  </si>
  <si>
    <t>Glybenclamide</t>
  </si>
  <si>
    <t>10238-21-8</t>
  </si>
  <si>
    <t>HC Red 3</t>
  </si>
  <si>
    <t>2871-01-4</t>
  </si>
  <si>
    <t>Hydralazine hydrochloride</t>
  </si>
  <si>
    <t>304-20-1</t>
  </si>
  <si>
    <t>Ketoconazole</t>
  </si>
  <si>
    <t>65277-42-1</t>
  </si>
  <si>
    <t>Metformin</t>
  </si>
  <si>
    <t>1115-70-4</t>
  </si>
  <si>
    <t>Metoclopramide</t>
  </si>
  <si>
    <t>364-62-5</t>
  </si>
  <si>
    <t>Nitrofurantoin</t>
  </si>
  <si>
    <t>67-20-9</t>
  </si>
  <si>
    <t>Oxytetracycline hydrochloride</t>
  </si>
  <si>
    <t>2058-46-0</t>
  </si>
  <si>
    <t>Panthenol</t>
  </si>
  <si>
    <t xml:space="preserve">16485-10-2 </t>
  </si>
  <si>
    <t>Paracetamol</t>
  </si>
  <si>
    <t>103-90-2</t>
  </si>
  <si>
    <t>Topiramate</t>
  </si>
  <si>
    <t>97240-79-4</t>
  </si>
  <si>
    <t>Trimellitic anhydride</t>
  </si>
  <si>
    <t>552-30-7</t>
  </si>
  <si>
    <t>Verapamil hydrochloride</t>
  </si>
  <si>
    <t>152-11-4</t>
  </si>
  <si>
    <t>129-06-6</t>
  </si>
  <si>
    <t>Cisapride</t>
  </si>
  <si>
    <t>81098-60-4</t>
  </si>
  <si>
    <t>Citalopram hydrobromide</t>
  </si>
  <si>
    <t>59729-33-8</t>
  </si>
  <si>
    <t>Dofetilide</t>
  </si>
  <si>
    <t>115256-11-6</t>
  </si>
  <si>
    <t>Moxifloxacin hydrochloride</t>
  </si>
  <si>
    <t>186826-86-8</t>
  </si>
  <si>
    <t>N-acetylpro-cainamide</t>
  </si>
  <si>
    <t>32795-44-1</t>
  </si>
  <si>
    <t>Quinidine sulfate</t>
  </si>
  <si>
    <t>50-54-4</t>
  </si>
  <si>
    <t>Sematilide</t>
  </si>
  <si>
    <t>101526-83-4</t>
  </si>
  <si>
    <t>Sotalol hydrochloride</t>
  </si>
  <si>
    <t>959-24-0</t>
  </si>
  <si>
    <t>Mifepristone</t>
  </si>
  <si>
    <t>84371-65-3</t>
  </si>
  <si>
    <t>Perfluorobutanesulfonic_acid</t>
  </si>
  <si>
    <t>4_2_Fluorotelomer_sulfonic_acid</t>
  </si>
  <si>
    <t>˂1</t>
  </si>
  <si>
    <t>Perfluorononanoic_acid</t>
  </si>
  <si>
    <t>Perfluorohexanoic_acid</t>
  </si>
  <si>
    <t>Perfluorobutanoic_acid</t>
  </si>
  <si>
    <t>Perfluorooctanoic_acid</t>
  </si>
  <si>
    <t>6_2_Fluorotelomer_sulfonic_acid</t>
  </si>
  <si>
    <t>8_2_Fluorotelomer_sulfonic_acid</t>
  </si>
  <si>
    <t>Perfluoroundecanoic_acid</t>
  </si>
  <si>
    <t>Perfluorooctanesulfonic_acid</t>
  </si>
  <si>
    <t>Perfluoroheptanoic_acid</t>
  </si>
  <si>
    <t>Perfluoropentanoic_acid</t>
  </si>
  <si>
    <t>N/A</t>
  </si>
  <si>
    <t>Perfluorohexanesulfonic_acid</t>
  </si>
  <si>
    <t>Perfluorodecanoic_acid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</si>
</sst>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"/>
    <numFmt numFmtId="177" formatCode="0.000000000"/>
    <numFmt numFmtId="178" formatCode="0.0%"/>
    <numFmt numFmtId="179" formatCode="0.00_);[Red]\(0.00\)"/>
    <numFmt numFmtId="180" formatCode="0.00000_);[Red]\(0.00000\)"/>
    <numFmt numFmtId="181" formatCode="0.000000_);[Red]\(0.000000\)"/>
    <numFmt numFmtId="182" formatCode="0.0E+00"/>
  </numFmts>
  <fonts count="22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E4BC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8" fillId="0" borderId="0"/>
  </cellStyleXfs>
  <cellXfs count="185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8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79" fontId="0" fillId="3" borderId="0" xfId="0" applyNumberFormat="1" applyFill="1"/>
    <xf numFmtId="180" fontId="0" fillId="3" borderId="0" xfId="0" applyNumberFormat="1" applyFill="1"/>
    <xf numFmtId="181" fontId="0" fillId="3" borderId="0" xfId="0" applyNumberFormat="1" applyFill="1"/>
    <xf numFmtId="0" fontId="4" fillId="8" borderId="7" xfId="0" applyFont="1" applyFill="1" applyBorder="1" applyAlignment="1" applyProtection="1">
      <alignment horizontal="left" vertical="center"/>
      <protection locked="0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2" fontId="4" fillId="8" borderId="7" xfId="0" applyNumberFormat="1" applyFont="1" applyFill="1" applyBorder="1" applyAlignment="1" applyProtection="1">
      <alignment horizontal="center" vertical="center"/>
      <protection locked="0"/>
    </xf>
    <xf numFmtId="2" fontId="1" fillId="8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2" fontId="19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0" fillId="5" borderId="0" xfId="0" applyFill="1"/>
    <xf numFmtId="181" fontId="0" fillId="0" borderId="0" xfId="0" applyNumberFormat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X9" sqref="X9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0" t="s">
        <v>57</v>
      </c>
      <c r="C2" s="111"/>
      <c r="D2" s="111"/>
      <c r="E2" s="111"/>
      <c r="F2" s="111"/>
      <c r="G2" s="111"/>
      <c r="H2" s="112"/>
      <c r="I2" s="7"/>
      <c r="J2" s="101" t="s">
        <v>56</v>
      </c>
      <c r="K2" s="102"/>
      <c r="L2" s="102"/>
      <c r="M2" s="102"/>
      <c r="N2" s="102"/>
      <c r="O2" s="103"/>
      <c r="P2" s="7"/>
      <c r="Q2" s="101" t="s">
        <v>58</v>
      </c>
      <c r="R2" s="102"/>
      <c r="S2" s="102"/>
      <c r="T2" s="102"/>
      <c r="U2" s="102"/>
      <c r="V2" s="103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4" t="s">
        <v>0</v>
      </c>
      <c r="C3" s="25" t="s">
        <v>1</v>
      </c>
      <c r="D3" s="25"/>
      <c r="E3" s="25"/>
      <c r="F3" s="25"/>
      <c r="G3" s="25"/>
      <c r="H3" s="26"/>
      <c r="I3" s="7"/>
      <c r="J3" s="104"/>
      <c r="K3" s="105"/>
      <c r="L3" s="105"/>
      <c r="M3" s="105"/>
      <c r="N3" s="105"/>
      <c r="O3" s="106"/>
      <c r="P3" s="7"/>
      <c r="Q3" s="104"/>
      <c r="R3" s="105"/>
      <c r="S3" s="105"/>
      <c r="T3" s="105"/>
      <c r="U3" s="105"/>
      <c r="V3" s="106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7"/>
      <c r="C4" s="28" t="s">
        <v>2</v>
      </c>
      <c r="D4" s="29"/>
      <c r="E4" s="29"/>
      <c r="F4" s="29"/>
      <c r="G4" s="28"/>
      <c r="H4" s="30"/>
      <c r="I4" s="7"/>
      <c r="J4" s="107"/>
      <c r="K4" s="108"/>
      <c r="L4" s="108"/>
      <c r="M4" s="108"/>
      <c r="N4" s="108"/>
      <c r="O4" s="109"/>
      <c r="P4" s="7"/>
      <c r="Q4" s="107"/>
      <c r="R4" s="108"/>
      <c r="S4" s="108"/>
      <c r="T4" s="108"/>
      <c r="U4" s="108"/>
      <c r="V4" s="109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19"/>
      <c r="C5" s="1"/>
      <c r="D5" s="20"/>
      <c r="E5" s="20"/>
      <c r="F5" s="20"/>
      <c r="G5" s="1"/>
      <c r="H5" s="2"/>
      <c r="I5" s="7"/>
      <c r="J5" s="16"/>
      <c r="K5" s="17"/>
      <c r="L5" s="17"/>
      <c r="M5" s="17"/>
      <c r="N5" s="17"/>
      <c r="O5" s="18"/>
      <c r="P5" s="7"/>
      <c r="Q5" s="58"/>
      <c r="R5" s="59"/>
      <c r="S5" s="59"/>
      <c r="T5" s="59"/>
      <c r="U5" s="59"/>
      <c r="V5" s="60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1"/>
      <c r="C6" s="22"/>
      <c r="D6" s="22"/>
      <c r="E6" s="22"/>
      <c r="F6" s="22"/>
      <c r="G6" s="7"/>
      <c r="H6" s="14"/>
      <c r="I6" s="7"/>
      <c r="J6" s="11"/>
      <c r="K6" s="34" t="s">
        <v>21</v>
      </c>
      <c r="L6" s="35" t="s">
        <v>22</v>
      </c>
      <c r="M6" s="35" t="s">
        <v>25</v>
      </c>
      <c r="N6" s="13"/>
      <c r="O6" s="14"/>
      <c r="P6" s="7"/>
      <c r="Q6" s="12"/>
      <c r="R6" s="68"/>
      <c r="S6" s="79"/>
      <c r="T6" s="79"/>
      <c r="U6" s="3"/>
      <c r="V6" s="15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1"/>
      <c r="C7" s="7"/>
      <c r="D7" s="7"/>
      <c r="E7" s="7"/>
      <c r="F7" s="7"/>
      <c r="G7" s="7"/>
      <c r="H7" s="14"/>
      <c r="I7" s="7"/>
      <c r="J7" s="11"/>
      <c r="K7" s="81" t="s">
        <v>74</v>
      </c>
      <c r="L7" s="82">
        <v>0</v>
      </c>
      <c r="M7" s="83">
        <v>0</v>
      </c>
      <c r="N7" s="13"/>
      <c r="O7" s="14"/>
      <c r="P7" s="7"/>
      <c r="Q7" s="11"/>
      <c r="R7" s="13"/>
      <c r="S7" s="61"/>
      <c r="T7" s="62"/>
      <c r="U7" s="13"/>
      <c r="V7" s="14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1"/>
      <c r="C8" s="7"/>
      <c r="D8" s="7"/>
      <c r="E8" s="7"/>
      <c r="F8" s="7"/>
      <c r="G8" s="7"/>
      <c r="H8" s="14"/>
      <c r="I8" s="7"/>
      <c r="J8" s="11"/>
      <c r="K8" s="31" t="s">
        <v>23</v>
      </c>
      <c r="L8" s="32">
        <v>0</v>
      </c>
      <c r="M8" s="33">
        <v>0</v>
      </c>
      <c r="N8" s="13"/>
      <c r="O8" s="14"/>
      <c r="P8" s="7"/>
      <c r="Q8" s="12"/>
      <c r="R8" s="3"/>
      <c r="S8" s="77"/>
      <c r="T8" s="78"/>
      <c r="U8" s="3"/>
      <c r="V8" s="15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1"/>
      <c r="C9" s="7"/>
      <c r="D9" s="7"/>
      <c r="E9" s="7"/>
      <c r="F9" s="7"/>
      <c r="G9" s="7"/>
      <c r="H9" s="14"/>
      <c r="I9" s="7"/>
      <c r="J9" s="11"/>
      <c r="K9" s="31" t="s">
        <v>63</v>
      </c>
      <c r="L9" s="32">
        <v>0</v>
      </c>
      <c r="M9" s="33">
        <v>0</v>
      </c>
      <c r="N9" s="13"/>
      <c r="O9" s="14"/>
      <c r="P9" s="7"/>
      <c r="Q9" s="64"/>
      <c r="R9" s="1"/>
      <c r="S9" s="75"/>
      <c r="T9" s="76"/>
      <c r="U9" s="1"/>
      <c r="V9" s="66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1"/>
      <c r="C10" s="7"/>
      <c r="D10" s="7"/>
      <c r="E10" s="7"/>
      <c r="F10" s="7"/>
      <c r="G10" s="7"/>
      <c r="H10" s="14"/>
      <c r="I10" s="7"/>
      <c r="J10" s="11"/>
      <c r="K10" s="81" t="s">
        <v>16</v>
      </c>
      <c r="L10" s="82">
        <v>24</v>
      </c>
      <c r="M10" s="82">
        <v>1.9</v>
      </c>
      <c r="N10" s="13"/>
      <c r="O10" s="14"/>
      <c r="P10" s="7"/>
      <c r="Q10" s="12"/>
      <c r="R10" s="3"/>
      <c r="S10" s="77"/>
      <c r="T10" s="68"/>
      <c r="U10" s="3"/>
      <c r="V10" s="15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1"/>
      <c r="C11" s="7"/>
      <c r="D11" s="7"/>
      <c r="E11" s="7"/>
      <c r="F11" s="7"/>
      <c r="G11" s="7"/>
      <c r="H11" s="14"/>
      <c r="I11" s="7"/>
      <c r="J11" s="11"/>
      <c r="K11" s="31" t="s">
        <v>75</v>
      </c>
      <c r="L11" s="32">
        <v>46.77</v>
      </c>
      <c r="M11" s="32">
        <v>1.6</v>
      </c>
      <c r="N11" s="13"/>
      <c r="O11" s="14"/>
      <c r="P11" s="7"/>
      <c r="Q11" s="64"/>
      <c r="R11" s="1"/>
      <c r="S11" s="75"/>
      <c r="T11" s="75"/>
      <c r="U11" s="1"/>
      <c r="V11" s="66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1"/>
      <c r="C12" s="7"/>
      <c r="D12" s="7"/>
      <c r="E12" s="7"/>
      <c r="F12" s="7"/>
      <c r="G12" s="7"/>
      <c r="H12" s="14"/>
      <c r="I12" s="7"/>
      <c r="J12" s="11"/>
      <c r="K12" s="31" t="s">
        <v>24</v>
      </c>
      <c r="L12" s="32">
        <v>37.69</v>
      </c>
      <c r="M12" s="32">
        <v>1.46</v>
      </c>
      <c r="N12" s="13"/>
      <c r="O12" s="14"/>
      <c r="P12" s="7"/>
      <c r="Q12" s="11"/>
      <c r="R12" s="13"/>
      <c r="S12" s="61"/>
      <c r="T12" s="61"/>
      <c r="U12" s="13"/>
      <c r="V12" s="14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1"/>
      <c r="C13" s="7"/>
      <c r="D13" s="7"/>
      <c r="E13" s="7"/>
      <c r="F13" s="7"/>
      <c r="G13" s="7"/>
      <c r="H13" s="14"/>
      <c r="I13" s="7"/>
      <c r="J13" s="11"/>
      <c r="K13" s="13"/>
      <c r="L13" s="13"/>
      <c r="M13" s="13"/>
      <c r="N13" s="13"/>
      <c r="O13" s="14"/>
      <c r="P13" s="7"/>
      <c r="Q13" s="12"/>
      <c r="R13" s="3"/>
      <c r="S13" s="3"/>
      <c r="T13" s="3"/>
      <c r="U13" s="3"/>
      <c r="V13" s="15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1"/>
      <c r="C14" s="7"/>
      <c r="D14" s="7"/>
      <c r="E14" s="7"/>
      <c r="F14" s="7"/>
      <c r="G14" s="7"/>
      <c r="H14" s="14"/>
      <c r="I14" s="7"/>
      <c r="J14" s="11"/>
      <c r="K14" s="36" t="s">
        <v>29</v>
      </c>
      <c r="L14" s="35" t="s">
        <v>26</v>
      </c>
      <c r="M14" s="35" t="s">
        <v>27</v>
      </c>
      <c r="N14" s="35" t="s">
        <v>28</v>
      </c>
      <c r="O14" s="14"/>
      <c r="P14" s="7"/>
      <c r="Q14" s="71"/>
      <c r="R14" s="72"/>
      <c r="S14" s="73"/>
      <c r="T14" s="73"/>
      <c r="U14" s="73"/>
      <c r="V14" s="74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1"/>
      <c r="C15" s="7"/>
      <c r="D15" s="7"/>
      <c r="E15" s="7"/>
      <c r="F15" s="7"/>
      <c r="G15" s="7"/>
      <c r="H15" s="14"/>
      <c r="I15" s="7"/>
      <c r="J15" s="11"/>
      <c r="K15" s="31" t="s">
        <v>76</v>
      </c>
      <c r="L15" s="57">
        <f>M15/0.029*(0.018)</f>
        <v>4.619905956112852E-5</v>
      </c>
      <c r="M15" s="57">
        <v>7.4431818181818174E-5</v>
      </c>
      <c r="N15" s="57">
        <f>M15/0.029*(0.953)</f>
        <v>2.4459835423197487E-3</v>
      </c>
      <c r="O15" s="98">
        <f>SUM(L15:N15)</f>
        <v>2.5666144200626952E-3</v>
      </c>
      <c r="P15" s="9"/>
      <c r="Q15" s="64"/>
      <c r="R15" s="1"/>
      <c r="S15" s="69"/>
      <c r="T15" s="69"/>
      <c r="U15" s="69"/>
      <c r="V15" s="66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1"/>
      <c r="C16" s="7"/>
      <c r="D16" s="7"/>
      <c r="E16" s="7"/>
      <c r="F16" s="7"/>
      <c r="G16" s="7"/>
      <c r="H16" s="14"/>
      <c r="I16" s="7"/>
      <c r="J16" s="11"/>
      <c r="K16" s="31" t="s">
        <v>30</v>
      </c>
      <c r="L16" s="57">
        <v>2.5484800000000001E-3</v>
      </c>
      <c r="M16" s="57">
        <v>2.2915000000000001E-4</v>
      </c>
      <c r="N16" s="57">
        <v>9.6669999999999994E-5</v>
      </c>
      <c r="O16" s="98"/>
      <c r="P16" s="9"/>
      <c r="Q16" s="12"/>
      <c r="R16" s="3"/>
      <c r="S16" s="70"/>
      <c r="T16" s="70"/>
      <c r="U16" s="70"/>
      <c r="V16" s="15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1"/>
      <c r="C17" s="7"/>
      <c r="D17" s="7"/>
      <c r="E17" s="7"/>
      <c r="F17" s="7"/>
      <c r="G17" s="7"/>
      <c r="H17" s="14"/>
      <c r="I17" s="7"/>
      <c r="J17" s="99" t="s">
        <v>32</v>
      </c>
      <c r="K17" s="31" t="s">
        <v>79</v>
      </c>
      <c r="L17" s="80">
        <v>3.2908E-3</v>
      </c>
      <c r="M17" s="80">
        <v>4.0128000000000001E-4</v>
      </c>
      <c r="N17" s="80">
        <v>1.0792000000000001E-4</v>
      </c>
      <c r="O17" s="98"/>
      <c r="P17" s="9"/>
      <c r="Q17" s="64"/>
      <c r="R17" s="1"/>
      <c r="S17" s="69"/>
      <c r="T17" s="69"/>
      <c r="U17" s="69"/>
      <c r="V17" s="66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1"/>
      <c r="C18" s="7"/>
      <c r="D18" s="7"/>
      <c r="E18" s="7"/>
      <c r="F18" s="7"/>
      <c r="G18" s="7"/>
      <c r="H18" s="14"/>
      <c r="I18" s="7"/>
      <c r="J18" s="11"/>
      <c r="K18" s="31" t="s">
        <v>31</v>
      </c>
      <c r="L18" s="57">
        <v>2.2457100000000002E-3</v>
      </c>
      <c r="M18" s="57">
        <v>3.0027E-4</v>
      </c>
      <c r="N18" s="57">
        <v>6.6229999999999994E-5</v>
      </c>
      <c r="O18" s="98"/>
      <c r="P18" s="9"/>
      <c r="Q18" s="11"/>
      <c r="R18" s="13"/>
      <c r="S18" s="63"/>
      <c r="T18" s="63"/>
      <c r="U18" s="63"/>
      <c r="V18" s="14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1"/>
      <c r="C19" s="7"/>
      <c r="D19" s="7"/>
      <c r="E19" s="7"/>
      <c r="F19" s="7"/>
      <c r="G19" s="7"/>
      <c r="H19" s="14"/>
      <c r="I19" s="7"/>
      <c r="J19" s="11"/>
      <c r="K19" s="31" t="s">
        <v>32</v>
      </c>
      <c r="L19" s="57">
        <v>3.2730300000000001E-3</v>
      </c>
      <c r="M19" s="57">
        <v>3.9889999999999999E-4</v>
      </c>
      <c r="N19" s="57">
        <v>1.0728E-4</v>
      </c>
      <c r="O19" s="98"/>
      <c r="P19" s="9"/>
      <c r="Q19" s="12"/>
      <c r="R19" s="3"/>
      <c r="S19" s="70"/>
      <c r="T19" s="70"/>
      <c r="U19" s="70"/>
      <c r="V19" s="15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1"/>
      <c r="C20" s="7"/>
      <c r="D20" s="7"/>
      <c r="E20" s="7"/>
      <c r="F20" s="7"/>
      <c r="G20" s="7"/>
      <c r="H20" s="14"/>
      <c r="I20" s="7"/>
      <c r="J20" s="12"/>
      <c r="K20" s="3"/>
      <c r="L20" s="3"/>
      <c r="M20" s="3"/>
      <c r="N20" s="3"/>
      <c r="O20" s="15"/>
      <c r="P20" s="7"/>
      <c r="Q20" s="64"/>
      <c r="R20" s="1"/>
      <c r="S20" s="1"/>
      <c r="T20" s="1"/>
      <c r="U20" s="1"/>
      <c r="V20" s="66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1"/>
      <c r="C21" s="7"/>
      <c r="D21" s="7"/>
      <c r="E21" s="7"/>
      <c r="F21" s="7"/>
      <c r="G21" s="7"/>
      <c r="H21" s="14"/>
      <c r="I21" s="7"/>
      <c r="J21" s="7"/>
      <c r="K21" s="7"/>
      <c r="L21" s="7"/>
      <c r="M21" s="7"/>
      <c r="N21" s="7"/>
      <c r="O21" s="7"/>
      <c r="P21" s="7"/>
      <c r="Q21" s="11"/>
      <c r="R21" s="7"/>
      <c r="S21" s="7"/>
      <c r="T21" s="7"/>
      <c r="U21" s="7"/>
      <c r="V21" s="14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1"/>
      <c r="C22" s="7"/>
      <c r="D22" s="7"/>
      <c r="E22" s="7"/>
      <c r="F22" s="7"/>
      <c r="G22" s="7"/>
      <c r="H22" s="14"/>
      <c r="I22" s="7"/>
      <c r="J22" s="7"/>
      <c r="K22" s="7"/>
      <c r="M22" s="7"/>
      <c r="N22" s="7"/>
      <c r="O22" s="7"/>
      <c r="P22" s="7"/>
      <c r="Q22" s="12"/>
      <c r="R22" s="23"/>
      <c r="S22" s="23"/>
      <c r="T22" s="23"/>
      <c r="U22" s="23"/>
      <c r="V22" s="15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1"/>
      <c r="C23" s="7"/>
      <c r="D23" s="7"/>
      <c r="E23" s="7"/>
      <c r="F23" s="7"/>
      <c r="G23" s="7"/>
      <c r="H23" s="14"/>
      <c r="I23" s="7"/>
      <c r="J23" s="7"/>
      <c r="K23" s="7"/>
      <c r="L23" s="7"/>
      <c r="N23" s="7"/>
      <c r="O23" s="84"/>
      <c r="P23" s="7"/>
      <c r="Q23" s="64"/>
      <c r="R23" s="65"/>
      <c r="S23" s="65"/>
      <c r="T23" s="65"/>
      <c r="U23" s="65"/>
      <c r="V23" s="66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2"/>
      <c r="C24" s="23"/>
      <c r="D24" s="23"/>
      <c r="E24" s="23"/>
      <c r="F24" s="23"/>
      <c r="G24" s="23"/>
      <c r="H24" s="15"/>
      <c r="I24" s="7"/>
      <c r="J24" s="7"/>
      <c r="K24" s="7"/>
      <c r="L24" s="7"/>
      <c r="M24" s="7"/>
      <c r="N24" s="7"/>
      <c r="O24" s="85"/>
      <c r="P24" s="7"/>
      <c r="Q24" s="11"/>
      <c r="R24" s="7"/>
      <c r="S24" s="7"/>
      <c r="T24" s="7"/>
      <c r="U24" s="7"/>
      <c r="V24" s="14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97"/>
      <c r="M25" s="7"/>
      <c r="N25" s="7"/>
      <c r="O25" s="86"/>
      <c r="P25" s="7"/>
      <c r="Q25" s="12"/>
      <c r="R25" s="23"/>
      <c r="S25" s="23"/>
      <c r="T25" s="23"/>
      <c r="U25" s="23"/>
      <c r="V25" s="15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N26" s="7"/>
      <c r="O26" s="7"/>
      <c r="P26" s="7"/>
      <c r="Q26" s="64"/>
      <c r="R26" s="65"/>
      <c r="S26" s="65"/>
      <c r="T26" s="65"/>
      <c r="U26" s="65"/>
      <c r="V26" s="66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2"/>
      <c r="R27" s="23"/>
      <c r="S27" s="23"/>
      <c r="T27" s="23"/>
      <c r="U27" s="23"/>
      <c r="V27" s="15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4"/>
      <c r="R28" s="67"/>
      <c r="S28" s="65"/>
      <c r="T28" s="65"/>
      <c r="U28" s="65"/>
      <c r="V28" s="66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1"/>
      <c r="R29" s="7"/>
      <c r="T29" s="7"/>
      <c r="U29" s="7"/>
      <c r="V29" s="14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1"/>
      <c r="R30" s="7"/>
      <c r="S30" s="7"/>
      <c r="T30" s="7"/>
      <c r="U30" s="7"/>
      <c r="V30" s="14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2"/>
      <c r="R31" s="23"/>
      <c r="S31" s="23"/>
      <c r="T31" s="23"/>
      <c r="U31" s="23"/>
      <c r="V31" s="15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64"/>
      <c r="R32" s="65"/>
      <c r="S32" s="67"/>
      <c r="T32" s="65"/>
      <c r="U32" s="65"/>
      <c r="V32" s="66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Q33" s="11"/>
      <c r="S33" s="7"/>
      <c r="T33" s="7"/>
      <c r="U33" s="7"/>
      <c r="V33" s="14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1"/>
      <c r="R34" s="7"/>
      <c r="S34" s="7"/>
      <c r="U34" s="7"/>
      <c r="V34" s="14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2"/>
      <c r="R35" s="23"/>
      <c r="S35" s="68"/>
      <c r="T35" s="23"/>
      <c r="U35" s="23"/>
      <c r="V35" s="15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P36" s="7"/>
      <c r="Q36" s="64"/>
      <c r="R36" s="65"/>
      <c r="S36" s="65"/>
      <c r="T36" s="65"/>
      <c r="U36" s="65"/>
      <c r="V36" s="66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1"/>
      <c r="S37" s="7"/>
      <c r="T37" s="7"/>
      <c r="U37" s="7"/>
      <c r="V37" s="14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1"/>
      <c r="R38" s="7"/>
      <c r="S38" s="7"/>
      <c r="T38" s="7"/>
      <c r="U38" s="7"/>
      <c r="V38" s="14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2"/>
      <c r="R39" s="23"/>
      <c r="S39" s="23"/>
      <c r="T39" s="23"/>
      <c r="U39" s="23"/>
      <c r="V39" s="15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4"/>
      <c r="R40" s="65"/>
      <c r="S40" s="65"/>
      <c r="T40" s="65"/>
      <c r="U40" s="65"/>
      <c r="V40" s="66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1"/>
      <c r="R41" s="7"/>
      <c r="S41" s="7"/>
      <c r="T41" s="7"/>
      <c r="U41" s="7"/>
      <c r="V41" s="14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2"/>
      <c r="R42" s="23"/>
      <c r="S42" s="23"/>
      <c r="T42" s="23"/>
      <c r="U42" s="23"/>
      <c r="V42" s="15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4"/>
      <c r="R43" s="65"/>
      <c r="S43" s="65"/>
      <c r="T43" s="65"/>
      <c r="U43" s="65"/>
      <c r="V43" s="66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1"/>
      <c r="R44" s="7"/>
      <c r="S44" s="7"/>
      <c r="T44" s="7"/>
      <c r="U44" s="7"/>
      <c r="V44" s="14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1"/>
      <c r="R45" s="7"/>
      <c r="S45" s="7"/>
      <c r="T45" s="7"/>
      <c r="U45" s="7"/>
      <c r="V45" s="14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2"/>
      <c r="R46" s="23"/>
      <c r="S46" s="23"/>
      <c r="T46" s="23"/>
      <c r="U46" s="23"/>
      <c r="V46" s="15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7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A10" zoomScale="38" zoomScaleNormal="70" workbookViewId="0">
      <selection activeCell="B28" sqref="B28:F143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68"/>
      <c r="H1" s="168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68"/>
      <c r="H2" s="168"/>
      <c r="I2" s="113" t="s">
        <v>19</v>
      </c>
      <c r="J2" s="114"/>
      <c r="K2" s="114"/>
      <c r="L2" s="114"/>
      <c r="M2" s="114"/>
      <c r="N2" s="114"/>
      <c r="O2" s="114"/>
      <c r="P2" s="114"/>
      <c r="Q2" s="115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68"/>
      <c r="H3" s="168"/>
      <c r="I3" s="116"/>
      <c r="J3" s="117"/>
      <c r="K3" s="117"/>
      <c r="L3" s="117"/>
      <c r="M3" s="117"/>
      <c r="N3" s="117"/>
      <c r="O3" s="117"/>
      <c r="P3" s="117"/>
      <c r="Q3" s="118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68"/>
      <c r="H4" s="168"/>
      <c r="I4" s="119"/>
      <c r="J4" s="120"/>
      <c r="K4" s="120"/>
      <c r="L4" s="120"/>
      <c r="M4" s="120"/>
      <c r="N4" s="120"/>
      <c r="O4" s="120"/>
      <c r="P4" s="120"/>
      <c r="Q4" s="121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68"/>
      <c r="H5" s="168"/>
      <c r="I5" s="122" t="s">
        <v>38</v>
      </c>
      <c r="J5" s="123"/>
      <c r="K5" s="123"/>
      <c r="L5" s="123"/>
      <c r="M5" s="123"/>
      <c r="N5" s="123"/>
      <c r="O5" s="123"/>
      <c r="P5" s="123"/>
      <c r="Q5" s="124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68"/>
      <c r="H6" s="168"/>
      <c r="I6" s="49" t="s">
        <v>49</v>
      </c>
      <c r="J6" s="49" t="s">
        <v>50</v>
      </c>
      <c r="K6" s="49" t="s">
        <v>46</v>
      </c>
      <c r="L6" s="165" t="s">
        <v>39</v>
      </c>
      <c r="M6" s="166"/>
      <c r="N6" s="166"/>
      <c r="O6" s="166"/>
      <c r="P6" s="166"/>
      <c r="Q6" s="16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68"/>
      <c r="H7" s="168"/>
      <c r="I7" s="50" t="s">
        <v>20</v>
      </c>
      <c r="J7" s="37">
        <f>SUM(J13,J19)</f>
        <v>150.07599999999999</v>
      </c>
      <c r="K7" s="38">
        <f>J7/J7</f>
        <v>1</v>
      </c>
      <c r="L7" s="159" t="s">
        <v>68</v>
      </c>
      <c r="M7" s="160"/>
      <c r="N7" s="160"/>
      <c r="O7" s="160"/>
      <c r="P7" s="160"/>
      <c r="Q7" s="161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40" t="s">
        <v>3</v>
      </c>
      <c r="C8" s="141"/>
      <c r="D8" s="141"/>
      <c r="E8" s="141"/>
      <c r="F8" s="142"/>
      <c r="G8" s="168"/>
      <c r="H8" s="168"/>
      <c r="I8" s="51" t="s">
        <v>6</v>
      </c>
      <c r="J8" s="37">
        <f>SUM(J14,J20)</f>
        <v>149.98811600000002</v>
      </c>
      <c r="K8" s="39">
        <f>J8/J7</f>
        <v>0.99941440336895992</v>
      </c>
      <c r="L8" s="159" t="s">
        <v>69</v>
      </c>
      <c r="M8" s="160"/>
      <c r="N8" s="160"/>
      <c r="O8" s="160"/>
      <c r="P8" s="160"/>
      <c r="Q8" s="161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43"/>
      <c r="C9" s="144"/>
      <c r="D9" s="144"/>
      <c r="E9" s="144"/>
      <c r="F9" s="145"/>
      <c r="G9" s="168"/>
      <c r="H9" s="168"/>
      <c r="I9" s="50" t="s">
        <v>8</v>
      </c>
      <c r="J9" s="40">
        <f t="shared" ref="J9:J10" si="0">SUM(J15,J21)</f>
        <v>8.0025599999999988E-2</v>
      </c>
      <c r="K9" s="39">
        <f>J9/J7</f>
        <v>5.3323382819371514E-4</v>
      </c>
      <c r="L9" s="159" t="s">
        <v>69</v>
      </c>
      <c r="M9" s="160"/>
      <c r="N9" s="160"/>
      <c r="O9" s="160"/>
      <c r="P9" s="160"/>
      <c r="Q9" s="161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46"/>
      <c r="C10" s="147"/>
      <c r="D10" s="147"/>
      <c r="E10" s="147"/>
      <c r="F10" s="148"/>
      <c r="G10" s="168"/>
      <c r="H10" s="168"/>
      <c r="I10" s="51" t="s">
        <v>9</v>
      </c>
      <c r="J10" s="40">
        <f t="shared" si="0"/>
        <v>7.8583999999999998E-3</v>
      </c>
      <c r="K10" s="39">
        <f>J10/J7</f>
        <v>5.2362802846557746E-5</v>
      </c>
      <c r="L10" s="159" t="s">
        <v>69</v>
      </c>
      <c r="M10" s="160"/>
      <c r="N10" s="160"/>
      <c r="O10" s="160"/>
      <c r="P10" s="160"/>
      <c r="Q10" s="161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49" t="s">
        <v>36</v>
      </c>
      <c r="C11" s="150"/>
      <c r="D11" s="150"/>
      <c r="E11" s="150"/>
      <c r="F11" s="151"/>
      <c r="G11" s="168"/>
      <c r="H11" s="168"/>
      <c r="I11" s="184"/>
      <c r="J11" s="184"/>
      <c r="K11" s="184"/>
      <c r="L11" s="184"/>
      <c r="M11" s="184"/>
      <c r="N11" s="184"/>
      <c r="O11" s="184"/>
      <c r="P11" s="184"/>
      <c r="Q11" s="184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52"/>
      <c r="C12" s="153"/>
      <c r="D12" s="153"/>
      <c r="E12" s="153"/>
      <c r="F12" s="154"/>
      <c r="G12" s="168"/>
      <c r="H12" s="168"/>
      <c r="I12" s="49" t="s">
        <v>51</v>
      </c>
      <c r="J12" s="49" t="s">
        <v>50</v>
      </c>
      <c r="K12" s="49" t="s">
        <v>46</v>
      </c>
      <c r="L12" s="165" t="s">
        <v>39</v>
      </c>
      <c r="M12" s="166"/>
      <c r="N12" s="166"/>
      <c r="O12" s="166"/>
      <c r="P12" s="166"/>
      <c r="Q12" s="16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38" t="s">
        <v>4</v>
      </c>
      <c r="C13" s="139"/>
      <c r="D13" s="128" t="s">
        <v>39</v>
      </c>
      <c r="E13" s="128"/>
      <c r="F13" s="128"/>
      <c r="G13" s="168"/>
      <c r="H13" s="168"/>
      <c r="I13" s="50" t="s">
        <v>5</v>
      </c>
      <c r="J13" s="41">
        <f>SUM(J14:J16)</f>
        <v>150</v>
      </c>
      <c r="K13" s="38">
        <f>J13/J13</f>
        <v>1</v>
      </c>
      <c r="L13" s="159" t="s">
        <v>71</v>
      </c>
      <c r="M13" s="160"/>
      <c r="N13" s="160"/>
      <c r="O13" s="160"/>
      <c r="P13" s="160"/>
      <c r="Q13" s="161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33</v>
      </c>
      <c r="C14" s="43">
        <v>150</v>
      </c>
      <c r="D14" s="129" t="s">
        <v>17</v>
      </c>
      <c r="E14" s="129"/>
      <c r="F14" s="129"/>
      <c r="G14" s="168"/>
      <c r="H14" s="168"/>
      <c r="I14" s="51" t="s">
        <v>43</v>
      </c>
      <c r="J14" s="41">
        <f>C14-SUM(J15:J16)</f>
        <v>149.92230000000001</v>
      </c>
      <c r="K14" s="39">
        <f>J14/J13</f>
        <v>0.99948200000000009</v>
      </c>
      <c r="L14" s="162" t="s">
        <v>70</v>
      </c>
      <c r="M14" s="163"/>
      <c r="N14" s="163"/>
      <c r="O14" s="163"/>
      <c r="P14" s="163"/>
      <c r="Q14" s="164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14</v>
      </c>
      <c r="C15" s="43" t="s">
        <v>13</v>
      </c>
      <c r="D15" s="130" t="s">
        <v>60</v>
      </c>
      <c r="E15" s="130"/>
      <c r="F15" s="130"/>
      <c r="G15" s="168"/>
      <c r="H15" s="168"/>
      <c r="I15" s="50" t="s">
        <v>44</v>
      </c>
      <c r="J15" s="42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7.1999999999999995E-2</v>
      </c>
      <c r="K15" s="39">
        <f>J15/J13</f>
        <v>4.7999999999999996E-4</v>
      </c>
      <c r="L15" s="159" t="s">
        <v>69</v>
      </c>
      <c r="M15" s="160"/>
      <c r="N15" s="160"/>
      <c r="O15" s="160"/>
      <c r="P15" s="160"/>
      <c r="Q15" s="161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34</v>
      </c>
      <c r="C16" s="44">
        <v>0.98</v>
      </c>
      <c r="D16" s="131" t="s">
        <v>40</v>
      </c>
      <c r="E16" s="132"/>
      <c r="F16" s="133"/>
      <c r="G16" s="168"/>
      <c r="H16" s="168"/>
      <c r="I16" s="51" t="s">
        <v>45</v>
      </c>
      <c r="J16" s="42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5.6999999999999993E-3</v>
      </c>
      <c r="K16" s="39">
        <f>J16/J13</f>
        <v>3.7999999999999995E-5</v>
      </c>
      <c r="L16" s="159" t="s">
        <v>69</v>
      </c>
      <c r="M16" s="160"/>
      <c r="N16" s="160"/>
      <c r="O16" s="160"/>
      <c r="P16" s="160"/>
      <c r="Q16" s="161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15</v>
      </c>
      <c r="C17" s="43" t="s">
        <v>16</v>
      </c>
      <c r="D17" s="134" t="s">
        <v>61</v>
      </c>
      <c r="E17" s="135"/>
      <c r="F17" s="136"/>
      <c r="G17" s="168"/>
      <c r="H17" s="168"/>
      <c r="I17" s="162"/>
      <c r="J17" s="163"/>
      <c r="K17" s="163"/>
      <c r="L17" s="163"/>
      <c r="M17" s="163"/>
      <c r="N17" s="163"/>
      <c r="O17" s="163"/>
      <c r="P17" s="163"/>
      <c r="Q17" s="164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35</v>
      </c>
      <c r="C18" s="44">
        <v>0.02</v>
      </c>
      <c r="D18" s="131" t="s">
        <v>41</v>
      </c>
      <c r="E18" s="132"/>
      <c r="F18" s="133"/>
      <c r="G18" s="168"/>
      <c r="H18" s="168"/>
      <c r="I18" s="49" t="s">
        <v>29</v>
      </c>
      <c r="J18" s="49" t="s">
        <v>50</v>
      </c>
      <c r="K18" s="49" t="s">
        <v>46</v>
      </c>
      <c r="L18" s="165" t="s">
        <v>39</v>
      </c>
      <c r="M18" s="166"/>
      <c r="N18" s="166"/>
      <c r="O18" s="166"/>
      <c r="P18" s="166"/>
      <c r="Q18" s="16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30"/>
      <c r="C19" s="130"/>
      <c r="D19" s="130"/>
      <c r="E19" s="130"/>
      <c r="F19" s="130"/>
      <c r="G19" s="168"/>
      <c r="H19" s="168"/>
      <c r="I19" s="50" t="s">
        <v>5</v>
      </c>
      <c r="J19" s="41">
        <f>SUM(J20:J22)</f>
        <v>7.5999999999999998E-2</v>
      </c>
      <c r="K19" s="38">
        <f>J19/J19</f>
        <v>1</v>
      </c>
      <c r="L19" s="159" t="s">
        <v>55</v>
      </c>
      <c r="M19" s="160"/>
      <c r="N19" s="160"/>
      <c r="O19" s="160"/>
      <c r="P19" s="160"/>
      <c r="Q19" s="161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38" t="s">
        <v>7</v>
      </c>
      <c r="C20" s="139"/>
      <c r="D20" s="128" t="s">
        <v>39</v>
      </c>
      <c r="E20" s="128"/>
      <c r="F20" s="128"/>
      <c r="G20" s="168"/>
      <c r="H20" s="168"/>
      <c r="I20" s="51" t="s">
        <v>43</v>
      </c>
      <c r="J20" s="42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6.5816E-2</v>
      </c>
      <c r="K20" s="39">
        <f>J20/J19</f>
        <v>0.86599999999999999</v>
      </c>
      <c r="L20" s="159" t="s">
        <v>69</v>
      </c>
      <c r="M20" s="160"/>
      <c r="N20" s="160"/>
      <c r="O20" s="160"/>
      <c r="P20" s="160"/>
      <c r="Q20" s="161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3" t="s">
        <v>79</v>
      </c>
      <c r="D21" s="134" t="s">
        <v>61</v>
      </c>
      <c r="E21" s="135"/>
      <c r="F21" s="136"/>
      <c r="G21" s="168"/>
      <c r="H21" s="168"/>
      <c r="I21" s="50" t="s">
        <v>44</v>
      </c>
      <c r="J21" s="42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8.0255999999999991E-3</v>
      </c>
      <c r="K21" s="39">
        <f>J21/J19</f>
        <v>0.10559999999999999</v>
      </c>
      <c r="L21" s="159" t="s">
        <v>69</v>
      </c>
      <c r="M21" s="160"/>
      <c r="N21" s="160"/>
      <c r="O21" s="160"/>
      <c r="P21" s="160"/>
      <c r="Q21" s="161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18</v>
      </c>
      <c r="C22" s="45">
        <v>20000</v>
      </c>
      <c r="D22" s="137" t="s">
        <v>67</v>
      </c>
      <c r="E22" s="137"/>
      <c r="F22" s="137"/>
      <c r="G22" s="168"/>
      <c r="H22" s="168"/>
      <c r="I22" s="52" t="s">
        <v>45</v>
      </c>
      <c r="J22" s="53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2.1584000000000004E-3</v>
      </c>
      <c r="K22" s="39">
        <f>J22/J19</f>
        <v>2.8400000000000005E-2</v>
      </c>
      <c r="L22" s="159" t="s">
        <v>69</v>
      </c>
      <c r="M22" s="160"/>
      <c r="N22" s="160"/>
      <c r="O22" s="160"/>
      <c r="P22" s="160"/>
      <c r="Q22" s="161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25"/>
      <c r="C23" s="126"/>
      <c r="D23" s="126"/>
      <c r="E23" s="126"/>
      <c r="F23" s="127"/>
      <c r="G23" s="168"/>
      <c r="H23" s="168"/>
      <c r="I23" s="179"/>
      <c r="J23" s="180"/>
      <c r="K23" s="180"/>
      <c r="L23" s="180"/>
      <c r="M23" s="180"/>
      <c r="N23" s="180"/>
      <c r="O23" s="180"/>
      <c r="P23" s="180"/>
      <c r="Q23" s="181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49" t="s">
        <v>37</v>
      </c>
      <c r="C24" s="150"/>
      <c r="D24" s="150"/>
      <c r="E24" s="150"/>
      <c r="F24" s="151"/>
      <c r="G24" s="168"/>
      <c r="H24" s="168"/>
      <c r="I24" s="173" t="s">
        <v>42</v>
      </c>
      <c r="J24" s="174"/>
      <c r="K24" s="174"/>
      <c r="L24" s="174"/>
      <c r="M24" s="174"/>
      <c r="N24" s="174"/>
      <c r="O24" s="174"/>
      <c r="P24" s="174"/>
      <c r="Q24" s="175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52"/>
      <c r="C25" s="153"/>
      <c r="D25" s="153"/>
      <c r="E25" s="153"/>
      <c r="F25" s="154"/>
      <c r="G25" s="168"/>
      <c r="H25" s="168"/>
      <c r="I25" s="176"/>
      <c r="J25" s="177"/>
      <c r="K25" s="177"/>
      <c r="L25" s="177"/>
      <c r="M25" s="177"/>
      <c r="N25" s="177"/>
      <c r="O25" s="177"/>
      <c r="P25" s="177"/>
      <c r="Q25" s="178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71" t="s">
        <v>11</v>
      </c>
      <c r="C26" s="171" t="s">
        <v>12</v>
      </c>
      <c r="D26" s="155" t="s">
        <v>47</v>
      </c>
      <c r="E26" s="155" t="s">
        <v>48</v>
      </c>
      <c r="F26" s="157" t="s">
        <v>66</v>
      </c>
      <c r="G26" s="168"/>
      <c r="H26" s="168"/>
      <c r="I26" s="182" t="s">
        <v>53</v>
      </c>
      <c r="J26" s="182" t="s">
        <v>54</v>
      </c>
      <c r="K26" s="169" t="s">
        <v>73</v>
      </c>
      <c r="L26" s="169" t="s">
        <v>52</v>
      </c>
      <c r="M26" s="169" t="s">
        <v>59</v>
      </c>
      <c r="N26" s="169" t="s">
        <v>62</v>
      </c>
      <c r="O26" s="169" t="s">
        <v>72</v>
      </c>
      <c r="P26" s="169" t="s">
        <v>64</v>
      </c>
      <c r="Q26" s="169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72"/>
      <c r="C27" s="172"/>
      <c r="D27" s="156"/>
      <c r="E27" s="156"/>
      <c r="F27" s="158"/>
      <c r="G27" s="168"/>
      <c r="H27" s="168"/>
      <c r="I27" s="183"/>
      <c r="J27" s="183"/>
      <c r="K27" s="170"/>
      <c r="L27" s="170"/>
      <c r="M27" s="170"/>
      <c r="N27" s="170"/>
      <c r="O27" s="170"/>
      <c r="P27" s="170"/>
      <c r="Q27" s="170"/>
      <c r="R27" s="7" t="s">
        <v>78</v>
      </c>
      <c r="S27" s="7" t="s">
        <v>77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88"/>
      <c r="B28" s="46" t="s">
        <v>88</v>
      </c>
      <c r="C28" s="46" t="s">
        <v>89</v>
      </c>
      <c r="D28" s="47">
        <v>6.5247999999999973E-2</v>
      </c>
      <c r="E28" s="47">
        <v>8.2216000000000289E-2</v>
      </c>
      <c r="F28" s="96">
        <v>9.9999999999999995E-7</v>
      </c>
      <c r="G28" s="168"/>
      <c r="H28" s="168"/>
      <c r="I28" s="92">
        <f t="shared" ref="I28:I47" si="1">IF(D28=0,"",LOG($K$15*10^D28+$K$16*10^E28+$K$14))</f>
        <v>3.7232006014196545E-5</v>
      </c>
      <c r="J28" s="92">
        <f t="shared" ref="J28:J47" si="2">IF(D28=0,"",LOG($K$21*10^D28+$K$22*10^E28+$K$20))</f>
        <v>9.8917692701836375E-3</v>
      </c>
      <c r="K28" s="93">
        <f t="shared" ref="K28:K47" si="3">IF(D28=0,"",1/(1+10^D28*$J$15/$J$14+10^E28*$J$16/$J$14+10^J28*$J$19/$J$14))</f>
        <v>0.99887860460974975</v>
      </c>
      <c r="L28" s="93">
        <f t="shared" ref="L28:L47" si="4">IF(D28=0,"",1/(1+10^I28/10^J28*$J$13/$J$19))</f>
        <v>5.1802633214328075E-4</v>
      </c>
      <c r="M28" s="93">
        <f t="shared" ref="M28:M47" si="5">IF(D28=0,"",1-L28)</f>
        <v>0.99948197366785674</v>
      </c>
      <c r="N28" s="93">
        <f t="shared" ref="N28:N47" si="6">IF(D28=0,"",1/(1/10^E28*$J$20/$J$22+10^D28/10^E28*$J$21/$J$22+10^I28/10^E28*$J$13/$J$22+1))</f>
        <v>1.7377784488584604E-5</v>
      </c>
      <c r="O28" s="40">
        <f t="shared" ref="O28:O47" si="7">IF(D28=0,"",F28*K28*$J$7/$J$14)</f>
        <v>9.9990265267683844E-7</v>
      </c>
      <c r="P28" s="40">
        <f t="shared" ref="P28:P47" si="8">IF(D28=0,"",O28*10^J28)</f>
        <v>1.0229384187201972E-6</v>
      </c>
      <c r="Q28" s="40">
        <f t="shared" ref="Q28:Q47" si="9">IF(D28=0,"",F28*N28*$J$7/$J$22)</f>
        <v>1.2082970649132795E-6</v>
      </c>
      <c r="R28" s="9">
        <f>F28*$C$14</f>
        <v>1.4999999999999999E-4</v>
      </c>
      <c r="S28" s="9">
        <f>$R28*L28</f>
        <v>7.7703949821492104E-8</v>
      </c>
      <c r="T28" s="9">
        <f t="shared" ref="T28:T91" si="10">R28*K28</f>
        <v>1.4983179069146245E-4</v>
      </c>
      <c r="U28" s="9">
        <f t="shared" ref="U28:U91" si="11">$R28*M28</f>
        <v>1.4992229605017849E-4</v>
      </c>
      <c r="V28" s="100">
        <f>K28/M28</f>
        <v>0.99939631821883412</v>
      </c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88"/>
      <c r="B29" s="46" t="s">
        <v>161</v>
      </c>
      <c r="C29" s="46" t="s">
        <v>162</v>
      </c>
      <c r="D29" s="47">
        <v>2.31</v>
      </c>
      <c r="E29" s="47">
        <v>2.58</v>
      </c>
      <c r="F29" s="96">
        <v>9.9999999999999995E-7</v>
      </c>
      <c r="G29" s="168"/>
      <c r="H29" s="168"/>
      <c r="I29" s="92">
        <f t="shared" si="1"/>
        <v>4.6078470391874224E-2</v>
      </c>
      <c r="J29" s="92">
        <f t="shared" si="2"/>
        <v>1.5214536376976955</v>
      </c>
      <c r="K29" s="93">
        <f t="shared" si="3"/>
        <v>0.88546416355720414</v>
      </c>
      <c r="L29" s="93">
        <f t="shared" si="4"/>
        <v>1.4913239170538274E-2</v>
      </c>
      <c r="M29" s="93">
        <f t="shared" si="5"/>
        <v>0.98508676082946167</v>
      </c>
      <c r="N29" s="93">
        <f t="shared" si="6"/>
        <v>4.8465945013138646E-3</v>
      </c>
      <c r="O29" s="40">
        <f t="shared" si="7"/>
        <v>8.8637193939801449E-7</v>
      </c>
      <c r="P29" s="40">
        <f t="shared" si="8"/>
        <v>2.9448937917864498E-5</v>
      </c>
      <c r="Q29" s="40">
        <f t="shared" si="9"/>
        <v>3.3698921255521648E-4</v>
      </c>
      <c r="R29" s="9">
        <f t="shared" ref="R29:R92" si="12">F29*$C$14</f>
        <v>1.4999999999999999E-4</v>
      </c>
      <c r="S29" s="9">
        <f t="shared" ref="S29:S92" si="13">$R29*L29</f>
        <v>2.2369858755807411E-6</v>
      </c>
      <c r="T29" s="9">
        <f t="shared" si="10"/>
        <v>1.3281962453358062E-4</v>
      </c>
      <c r="U29" s="9">
        <f t="shared" si="11"/>
        <v>1.4776301412441925E-4</v>
      </c>
      <c r="V29" s="100">
        <f t="shared" ref="V29:V92" si="14">K29/M29</f>
        <v>0.89886921514570617</v>
      </c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89"/>
      <c r="B30" s="46" t="s">
        <v>163</v>
      </c>
      <c r="C30" s="46" t="s">
        <v>164</v>
      </c>
      <c r="D30" s="90">
        <v>4.4000000000000004</v>
      </c>
      <c r="E30" s="90">
        <v>2.64</v>
      </c>
      <c r="F30" s="96">
        <v>9.9999999999999995E-7</v>
      </c>
      <c r="G30" s="168"/>
      <c r="H30" s="168"/>
      <c r="I30" s="92">
        <f t="shared" si="1"/>
        <v>1.116379396238508</v>
      </c>
      <c r="J30" s="92">
        <f t="shared" si="2"/>
        <v>3.425830027081171</v>
      </c>
      <c r="K30" s="93">
        <f t="shared" si="3"/>
        <v>6.9293924868323128E-2</v>
      </c>
      <c r="L30" s="93">
        <f t="shared" si="4"/>
        <v>9.3642401746735882E-2</v>
      </c>
      <c r="M30" s="93">
        <f t="shared" si="5"/>
        <v>0.90635759825326412</v>
      </c>
      <c r="N30" s="93">
        <f t="shared" si="6"/>
        <v>4.3547262267859869E-4</v>
      </c>
      <c r="O30" s="40">
        <f t="shared" si="7"/>
        <v>6.9364964842044573E-8</v>
      </c>
      <c r="P30" s="40">
        <f t="shared" si="8"/>
        <v>1.8491417216504128E-4</v>
      </c>
      <c r="Q30" s="40">
        <f t="shared" si="9"/>
        <v>3.0278905356334949E-5</v>
      </c>
      <c r="R30" s="9">
        <f t="shared" si="12"/>
        <v>1.4999999999999999E-4</v>
      </c>
      <c r="S30" s="9">
        <f t="shared" si="13"/>
        <v>1.4046360262010381E-5</v>
      </c>
      <c r="T30" s="9">
        <f t="shared" si="10"/>
        <v>1.0394088730248469E-5</v>
      </c>
      <c r="U30" s="9">
        <f t="shared" si="11"/>
        <v>1.359536397379896E-4</v>
      </c>
      <c r="V30" s="100">
        <f t="shared" si="14"/>
        <v>7.6453184705315702E-2</v>
      </c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89"/>
      <c r="B31" s="46" t="s">
        <v>90</v>
      </c>
      <c r="C31" s="46" t="s">
        <v>91</v>
      </c>
      <c r="D31" s="47">
        <v>-0.92190615231165807</v>
      </c>
      <c r="E31" s="47">
        <v>-1.7889087518799642</v>
      </c>
      <c r="F31" s="96">
        <v>9.9999999999999995E-7</v>
      </c>
      <c r="G31" s="168"/>
      <c r="H31" s="168"/>
      <c r="I31" s="92">
        <f t="shared" si="1"/>
        <v>-1.9978935919434454E-4</v>
      </c>
      <c r="J31" s="92">
        <f t="shared" si="2"/>
        <v>-5.5960700264727013E-2</v>
      </c>
      <c r="K31" s="93">
        <f t="shared" si="3"/>
        <v>0.99949650718133387</v>
      </c>
      <c r="L31" s="93">
        <f t="shared" si="4"/>
        <v>4.4541817746582041E-4</v>
      </c>
      <c r="M31" s="93">
        <f t="shared" si="5"/>
        <v>0.9995545818225342</v>
      </c>
      <c r="N31" s="93">
        <f t="shared" si="6"/>
        <v>2.3395817501471755E-7</v>
      </c>
      <c r="O31" s="40">
        <f t="shared" si="7"/>
        <v>1.0005211887207297E-6</v>
      </c>
      <c r="P31" s="40">
        <f t="shared" si="8"/>
        <v>8.7956024212316431E-7</v>
      </c>
      <c r="Q31" s="40">
        <f t="shared" si="9"/>
        <v>1.6267377257926585E-8</v>
      </c>
      <c r="R31" s="9">
        <f t="shared" si="12"/>
        <v>1.4999999999999999E-4</v>
      </c>
      <c r="S31" s="9">
        <f t="shared" si="13"/>
        <v>6.681272661987306E-8</v>
      </c>
      <c r="T31" s="9">
        <f t="shared" si="10"/>
        <v>1.4992447607720008E-4</v>
      </c>
      <c r="U31" s="9">
        <f t="shared" si="11"/>
        <v>1.4993318727338011E-4</v>
      </c>
      <c r="V31" s="100">
        <f t="shared" si="14"/>
        <v>0.99994189947977186</v>
      </c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89"/>
      <c r="B32" s="46" t="s">
        <v>92</v>
      </c>
      <c r="C32" s="46" t="s">
        <v>93</v>
      </c>
      <c r="D32" s="47">
        <v>0.54749180498968375</v>
      </c>
      <c r="E32" s="47">
        <v>0.30136158174588817</v>
      </c>
      <c r="F32" s="96">
        <v>9.9999999999999995E-7</v>
      </c>
      <c r="G32" s="168"/>
      <c r="H32" s="168"/>
      <c r="I32" s="92">
        <f t="shared" si="1"/>
        <v>5.4311668398331027E-4</v>
      </c>
      <c r="J32" s="92">
        <f t="shared" si="2"/>
        <v>0.11239337914175332</v>
      </c>
      <c r="K32" s="93">
        <f t="shared" si="3"/>
        <v>0.99757894380450229</v>
      </c>
      <c r="L32" s="93">
        <f t="shared" si="4"/>
        <v>6.5507044996678172E-4</v>
      </c>
      <c r="M32" s="93">
        <f t="shared" si="5"/>
        <v>0.99934492955003318</v>
      </c>
      <c r="N32" s="93">
        <f t="shared" si="6"/>
        <v>2.8745810060706027E-5</v>
      </c>
      <c r="O32" s="40">
        <f t="shared" si="7"/>
        <v>9.9860165946229813E-7</v>
      </c>
      <c r="P32" s="40">
        <f t="shared" si="8"/>
        <v>1.2935572743317733E-6</v>
      </c>
      <c r="Q32" s="40">
        <f t="shared" si="9"/>
        <v>1.9987287762557991E-6</v>
      </c>
      <c r="R32" s="9">
        <f t="shared" si="12"/>
        <v>1.4999999999999999E-4</v>
      </c>
      <c r="S32" s="9">
        <f t="shared" si="13"/>
        <v>9.8260567495017251E-8</v>
      </c>
      <c r="T32" s="9">
        <f t="shared" si="10"/>
        <v>1.4963684157067532E-4</v>
      </c>
      <c r="U32" s="9">
        <f t="shared" si="11"/>
        <v>1.4990173943250497E-4</v>
      </c>
      <c r="V32" s="100">
        <f t="shared" si="14"/>
        <v>0.99823285665108041</v>
      </c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89"/>
      <c r="B33" s="94" t="s">
        <v>165</v>
      </c>
      <c r="C33" s="94" t="s">
        <v>110</v>
      </c>
      <c r="D33" s="95">
        <v>1.6452318246143236</v>
      </c>
      <c r="E33" s="95">
        <v>1.8629354124795308</v>
      </c>
      <c r="F33" s="96">
        <v>9.9999999999999995E-7</v>
      </c>
      <c r="G33" s="168"/>
      <c r="H33" s="168"/>
      <c r="I33" s="92">
        <f t="shared" si="1"/>
        <v>1.0070969156464394E-2</v>
      </c>
      <c r="J33" s="92">
        <f t="shared" si="2"/>
        <v>0.88097499004072233</v>
      </c>
      <c r="K33" s="93">
        <f t="shared" si="3"/>
        <v>0.97290957951251911</v>
      </c>
      <c r="L33" s="93">
        <f t="shared" si="4"/>
        <v>3.7496853472657782E-3</v>
      </c>
      <c r="M33" s="93">
        <f t="shared" si="5"/>
        <v>0.99625031465273417</v>
      </c>
      <c r="N33" s="93">
        <f t="shared" si="6"/>
        <v>1.0215828373997017E-3</v>
      </c>
      <c r="O33" s="40">
        <f t="shared" si="7"/>
        <v>9.7390700419431137E-7</v>
      </c>
      <c r="P33" s="40">
        <f t="shared" si="8"/>
        <v>7.4044444496876175E-6</v>
      </c>
      <c r="Q33" s="40">
        <f t="shared" si="9"/>
        <v>7.1031813336544468E-5</v>
      </c>
      <c r="R33" s="9">
        <f t="shared" si="12"/>
        <v>1.4999999999999999E-4</v>
      </c>
      <c r="S33" s="9">
        <f t="shared" si="13"/>
        <v>5.6245280208986671E-7</v>
      </c>
      <c r="T33" s="9">
        <f t="shared" si="10"/>
        <v>1.4593643692687786E-4</v>
      </c>
      <c r="U33" s="9">
        <f t="shared" si="11"/>
        <v>1.4943754719791012E-4</v>
      </c>
      <c r="V33" s="100">
        <f t="shared" si="14"/>
        <v>0.9765714150380459</v>
      </c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88"/>
      <c r="B34" s="46" t="s">
        <v>94</v>
      </c>
      <c r="C34" s="46" t="s">
        <v>95</v>
      </c>
      <c r="D34" s="90">
        <v>0.39857726844789648</v>
      </c>
      <c r="E34" s="90">
        <v>8.9525410045599246E-2</v>
      </c>
      <c r="F34" s="96">
        <v>9.9999999999999995E-7</v>
      </c>
      <c r="G34" s="168"/>
      <c r="H34" s="168"/>
      <c r="I34" s="92">
        <f t="shared" si="1"/>
        <v>3.1711948665398576E-4</v>
      </c>
      <c r="J34" s="92">
        <f t="shared" si="2"/>
        <v>6.6433697494800575E-2</v>
      </c>
      <c r="K34" s="93">
        <f t="shared" si="3"/>
        <v>0.99816355129629764</v>
      </c>
      <c r="L34" s="93">
        <f t="shared" si="4"/>
        <v>5.8963432927218689E-4</v>
      </c>
      <c r="M34" s="93">
        <f t="shared" si="5"/>
        <v>0.99941036567072783</v>
      </c>
      <c r="N34" s="93">
        <f t="shared" si="6"/>
        <v>1.7660085968417722E-5</v>
      </c>
      <c r="O34" s="40">
        <f t="shared" si="7"/>
        <v>9.9918686629236052E-7</v>
      </c>
      <c r="P34" s="40">
        <f t="shared" si="8"/>
        <v>1.1643415999980621E-6</v>
      </c>
      <c r="Q34" s="40">
        <f t="shared" si="9"/>
        <v>1.2279258069849229E-6</v>
      </c>
      <c r="R34" s="9">
        <f t="shared" si="12"/>
        <v>1.4999999999999999E-4</v>
      </c>
      <c r="S34" s="9">
        <f t="shared" si="13"/>
        <v>8.8445149390828023E-8</v>
      </c>
      <c r="T34" s="9">
        <f t="shared" si="10"/>
        <v>1.4972453269444463E-4</v>
      </c>
      <c r="U34" s="9">
        <f t="shared" si="11"/>
        <v>1.4991155485060916E-4</v>
      </c>
      <c r="V34" s="100">
        <f t="shared" si="14"/>
        <v>0.99875245002727842</v>
      </c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88"/>
      <c r="B35" s="46" t="s">
        <v>96</v>
      </c>
      <c r="C35" s="46" t="s">
        <v>97</v>
      </c>
      <c r="D35" s="90">
        <v>0.27761205565007074</v>
      </c>
      <c r="E35" s="90">
        <v>-8.2551864497786676E-2</v>
      </c>
      <c r="F35" s="96">
        <v>9.9999999999999995E-7</v>
      </c>
      <c r="G35" s="168"/>
      <c r="H35" s="168"/>
      <c r="I35" s="92">
        <f t="shared" si="1"/>
        <v>1.8367979099029661E-4</v>
      </c>
      <c r="J35" s="92">
        <f t="shared" si="2"/>
        <v>3.7265901461407895E-2</v>
      </c>
      <c r="K35" s="93">
        <f t="shared" si="3"/>
        <v>0.99850836419657096</v>
      </c>
      <c r="L35" s="93">
        <f t="shared" si="4"/>
        <v>5.5152469698183462E-4</v>
      </c>
      <c r="M35" s="93">
        <f t="shared" si="5"/>
        <v>0.99944847530301817</v>
      </c>
      <c r="N35" s="93">
        <f t="shared" si="6"/>
        <v>1.188681596185048E-5</v>
      </c>
      <c r="O35" s="40">
        <f t="shared" si="7"/>
        <v>9.9953203269403261E-7</v>
      </c>
      <c r="P35" s="40">
        <f t="shared" si="8"/>
        <v>1.0890871108453396E-6</v>
      </c>
      <c r="Q35" s="40">
        <f t="shared" si="9"/>
        <v>8.2650379553867319E-7</v>
      </c>
      <c r="R35" s="9">
        <f t="shared" si="12"/>
        <v>1.4999999999999999E-4</v>
      </c>
      <c r="S35" s="9">
        <f t="shared" si="13"/>
        <v>8.2728704547275184E-8</v>
      </c>
      <c r="T35" s="9">
        <f t="shared" si="10"/>
        <v>1.4977625462948564E-4</v>
      </c>
      <c r="U35" s="9">
        <f t="shared" si="11"/>
        <v>1.4991727129545272E-4</v>
      </c>
      <c r="V35" s="100">
        <f t="shared" si="14"/>
        <v>0.99905937011293933</v>
      </c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88"/>
      <c r="B36" s="46" t="s">
        <v>166</v>
      </c>
      <c r="C36" s="46" t="s">
        <v>167</v>
      </c>
      <c r="D36" s="47">
        <v>3.4409280000000009</v>
      </c>
      <c r="E36" s="47">
        <v>4.1160660000000009</v>
      </c>
      <c r="F36" s="96">
        <v>9.9999999999999995E-7</v>
      </c>
      <c r="G36" s="168"/>
      <c r="H36" s="168"/>
      <c r="I36" s="92">
        <f t="shared" si="1"/>
        <v>0.45036614920415591</v>
      </c>
      <c r="J36" s="92">
        <f t="shared" si="2"/>
        <v>2.8217385476655523</v>
      </c>
      <c r="K36" s="93">
        <f t="shared" si="3"/>
        <v>0.31660695870763989</v>
      </c>
      <c r="L36" s="93">
        <f t="shared" si="4"/>
        <v>0.10646487774185547</v>
      </c>
      <c r="M36" s="93">
        <f t="shared" si="5"/>
        <v>0.89353512225814458</v>
      </c>
      <c r="N36" s="93">
        <f t="shared" si="6"/>
        <v>5.9545939535803491E-2</v>
      </c>
      <c r="O36" s="40">
        <f t="shared" si="7"/>
        <v>3.1693154343955341E-7</v>
      </c>
      <c r="P36" s="40">
        <f t="shared" si="8"/>
        <v>2.1023451305245667E-4</v>
      </c>
      <c r="Q36" s="40">
        <f t="shared" si="9"/>
        <v>4.1402967113487957E-3</v>
      </c>
      <c r="R36" s="9">
        <f t="shared" si="12"/>
        <v>1.4999999999999999E-4</v>
      </c>
      <c r="S36" s="9">
        <f t="shared" si="13"/>
        <v>1.5969731661278319E-5</v>
      </c>
      <c r="T36" s="9">
        <f t="shared" si="10"/>
        <v>4.7491043806145977E-5</v>
      </c>
      <c r="U36" s="9">
        <f t="shared" si="11"/>
        <v>1.3403026833872167E-4</v>
      </c>
      <c r="V36" s="100">
        <f t="shared" si="14"/>
        <v>0.35433073733857251</v>
      </c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88"/>
      <c r="B37" s="94" t="s">
        <v>168</v>
      </c>
      <c r="C37" s="94" t="s">
        <v>169</v>
      </c>
      <c r="D37" s="95">
        <v>4.9025336133267672</v>
      </c>
      <c r="E37" s="95">
        <v>6.4965619006479365</v>
      </c>
      <c r="F37" s="96">
        <v>9.9999999999999995E-7</v>
      </c>
      <c r="G37" s="168"/>
      <c r="H37" s="168"/>
      <c r="I37" s="92">
        <f t="shared" si="1"/>
        <v>2.2002191789801899</v>
      </c>
      <c r="J37" s="92">
        <f t="shared" si="2"/>
        <v>4.9891763870147496</v>
      </c>
      <c r="K37" s="93">
        <f t="shared" si="3"/>
        <v>4.8054591074822451E-3</v>
      </c>
      <c r="L37" s="93">
        <f t="shared" si="4"/>
        <v>0.2376066706439765</v>
      </c>
      <c r="M37" s="93">
        <f t="shared" si="5"/>
        <v>0.76239332935602344</v>
      </c>
      <c r="N37" s="93">
        <f t="shared" si="6"/>
        <v>0.21705134565376033</v>
      </c>
      <c r="O37" s="40">
        <f t="shared" si="7"/>
        <v>4.8103856531983917E-9</v>
      </c>
      <c r="P37" s="40">
        <f t="shared" si="8"/>
        <v>4.6919814083638692E-4</v>
      </c>
      <c r="Q37" s="40">
        <f t="shared" si="9"/>
        <v>1.5091826237182044E-2</v>
      </c>
      <c r="R37" s="9">
        <f t="shared" si="12"/>
        <v>1.4999999999999999E-4</v>
      </c>
      <c r="S37" s="9">
        <f t="shared" si="13"/>
        <v>3.5641000596596475E-5</v>
      </c>
      <c r="T37" s="9">
        <f t="shared" si="10"/>
        <v>7.2081886612233674E-7</v>
      </c>
      <c r="U37" s="9">
        <f t="shared" si="11"/>
        <v>1.143589994034035E-4</v>
      </c>
      <c r="V37" s="100">
        <f t="shared" si="14"/>
        <v>6.3031232337005215E-3</v>
      </c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88"/>
      <c r="B38" s="46" t="s">
        <v>170</v>
      </c>
      <c r="C38" s="46" t="s">
        <v>171</v>
      </c>
      <c r="D38" s="90">
        <v>-0.51108880646233978</v>
      </c>
      <c r="E38" s="90">
        <v>-1.2045066120098076</v>
      </c>
      <c r="F38" s="96">
        <v>9.9999999999999995E-7</v>
      </c>
      <c r="G38" s="168"/>
      <c r="H38" s="168"/>
      <c r="I38" s="92">
        <f t="shared" si="1"/>
        <v>-1.5970395933982679E-4</v>
      </c>
      <c r="J38" s="92">
        <f t="shared" si="2"/>
        <v>-4.5600580204728937E-2</v>
      </c>
      <c r="K38" s="93">
        <f t="shared" si="3"/>
        <v>0.99939355323944568</v>
      </c>
      <c r="L38" s="93">
        <f t="shared" si="4"/>
        <v>4.561244151062202E-4</v>
      </c>
      <c r="M38" s="93">
        <f t="shared" si="5"/>
        <v>0.99954387558489377</v>
      </c>
      <c r="N38" s="93">
        <f t="shared" si="6"/>
        <v>8.9845354728970179E-7</v>
      </c>
      <c r="O38" s="40">
        <f t="shared" si="7"/>
        <v>1.0004181292306949E-6</v>
      </c>
      <c r="P38" s="40">
        <f t="shared" si="8"/>
        <v>9.0070168054580364E-7</v>
      </c>
      <c r="Q38" s="40">
        <f t="shared" si="9"/>
        <v>6.2470494145222973E-8</v>
      </c>
      <c r="R38" s="9">
        <f t="shared" si="12"/>
        <v>1.4999999999999999E-4</v>
      </c>
      <c r="S38" s="9">
        <f t="shared" si="13"/>
        <v>6.8418662265933025E-8</v>
      </c>
      <c r="T38" s="9">
        <f t="shared" si="10"/>
        <v>1.4990903298591683E-4</v>
      </c>
      <c r="U38" s="9">
        <f t="shared" si="11"/>
        <v>1.4993158133773404E-4</v>
      </c>
      <c r="V38" s="100">
        <f t="shared" si="14"/>
        <v>0.99984960905757125</v>
      </c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88"/>
      <c r="B39" s="46" t="s">
        <v>98</v>
      </c>
      <c r="C39" s="46" t="s">
        <v>99</v>
      </c>
      <c r="D39" s="90">
        <v>2.3414159999999997</v>
      </c>
      <c r="E39" s="90">
        <v>2.4767320000000002</v>
      </c>
      <c r="F39" s="96">
        <v>9.9999999999999995E-7</v>
      </c>
      <c r="G39" s="168"/>
      <c r="H39" s="168"/>
      <c r="I39" s="92">
        <f t="shared" si="1"/>
        <v>4.7752637245013392E-2</v>
      </c>
      <c r="J39" s="92">
        <f t="shared" si="2"/>
        <v>1.5126387547268108</v>
      </c>
      <c r="K39" s="93">
        <f t="shared" si="3"/>
        <v>0.88237135654198184</v>
      </c>
      <c r="L39" s="93">
        <f t="shared" si="4"/>
        <v>1.4562552779944721E-2</v>
      </c>
      <c r="M39" s="93">
        <f t="shared" si="5"/>
        <v>0.98543744722005533</v>
      </c>
      <c r="N39" s="93">
        <f t="shared" si="6"/>
        <v>3.8075805329543643E-3</v>
      </c>
      <c r="O39" s="40">
        <f t="shared" si="7"/>
        <v>8.8327596164409478E-7</v>
      </c>
      <c r="P39" s="40">
        <f t="shared" si="8"/>
        <v>2.8756443039512951E-5</v>
      </c>
      <c r="Q39" s="40">
        <f t="shared" si="9"/>
        <v>2.647453929131111E-4</v>
      </c>
      <c r="R39" s="9">
        <f t="shared" si="12"/>
        <v>1.4999999999999999E-4</v>
      </c>
      <c r="S39" s="9">
        <f t="shared" si="13"/>
        <v>2.1843829169917079E-6</v>
      </c>
      <c r="T39" s="9">
        <f t="shared" si="10"/>
        <v>1.3235570348129727E-4</v>
      </c>
      <c r="U39" s="9">
        <f t="shared" si="11"/>
        <v>1.4781561708300829E-4</v>
      </c>
      <c r="V39" s="100">
        <f t="shared" si="14"/>
        <v>0.89541082392512528</v>
      </c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88"/>
      <c r="B40" s="46" t="s">
        <v>172</v>
      </c>
      <c r="C40" s="46" t="s">
        <v>173</v>
      </c>
      <c r="D40" s="47">
        <v>2.349974877229557</v>
      </c>
      <c r="E40" s="47">
        <v>2.8654572197209189</v>
      </c>
      <c r="F40" s="96">
        <v>9.9999999999999995E-7</v>
      </c>
      <c r="G40" s="168"/>
      <c r="H40" s="168"/>
      <c r="I40" s="92">
        <f t="shared" si="1"/>
        <v>5.4923561227077443E-2</v>
      </c>
      <c r="J40" s="92">
        <f t="shared" si="2"/>
        <v>1.6564783243480041</v>
      </c>
      <c r="K40" s="93">
        <f t="shared" si="3"/>
        <v>0.86327218535318562</v>
      </c>
      <c r="L40" s="93">
        <f t="shared" si="4"/>
        <v>1.9841450988203467E-2</v>
      </c>
      <c r="M40" s="93">
        <f t="shared" si="5"/>
        <v>0.98015854901179655</v>
      </c>
      <c r="N40" s="93">
        <f t="shared" si="6"/>
        <v>9.1173927640876371E-3</v>
      </c>
      <c r="O40" s="40">
        <f t="shared" si="7"/>
        <v>8.6415721002855922E-7</v>
      </c>
      <c r="P40" s="40">
        <f t="shared" si="8"/>
        <v>3.9180599980337156E-5</v>
      </c>
      <c r="Q40" s="40">
        <f t="shared" si="9"/>
        <v>6.3394265959192738E-4</v>
      </c>
      <c r="R40" s="9">
        <f t="shared" si="12"/>
        <v>1.4999999999999999E-4</v>
      </c>
      <c r="S40" s="9">
        <f t="shared" si="13"/>
        <v>2.9762176482305196E-6</v>
      </c>
      <c r="T40" s="9">
        <f t="shared" si="10"/>
        <v>1.2949082780297784E-4</v>
      </c>
      <c r="U40" s="9">
        <f t="shared" si="11"/>
        <v>1.4702378235176947E-4</v>
      </c>
      <c r="V40" s="100">
        <f t="shared" si="14"/>
        <v>0.8807474935800369</v>
      </c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88"/>
      <c r="B41" s="94" t="s">
        <v>174</v>
      </c>
      <c r="C41" s="94" t="s">
        <v>175</v>
      </c>
      <c r="D41" s="95">
        <v>1.4854320000000003</v>
      </c>
      <c r="E41" s="95">
        <v>1.5057189999999996</v>
      </c>
      <c r="F41" s="96">
        <v>9.9999999999999995E-7</v>
      </c>
      <c r="G41" s="168"/>
      <c r="H41" s="168"/>
      <c r="I41" s="92">
        <f t="shared" si="1"/>
        <v>6.6276677113325539E-3</v>
      </c>
      <c r="J41" s="92">
        <f t="shared" si="2"/>
        <v>0.69942132779385657</v>
      </c>
      <c r="K41" s="93">
        <f t="shared" si="3"/>
        <v>0.98189259560161746</v>
      </c>
      <c r="L41" s="93">
        <f t="shared" si="4"/>
        <v>2.4913380952218157E-3</v>
      </c>
      <c r="M41" s="93">
        <f t="shared" si="5"/>
        <v>0.99750866190477816</v>
      </c>
      <c r="N41" s="93">
        <f t="shared" si="6"/>
        <v>4.5294834916531293E-4</v>
      </c>
      <c r="O41" s="40">
        <f t="shared" si="7"/>
        <v>9.828992296510147E-7</v>
      </c>
      <c r="P41" s="40">
        <f t="shared" si="8"/>
        <v>4.9196059997172266E-6</v>
      </c>
      <c r="Q41" s="40">
        <f t="shared" si="9"/>
        <v>3.1494012439461401E-5</v>
      </c>
      <c r="R41" s="9">
        <f t="shared" si="12"/>
        <v>1.4999999999999999E-4</v>
      </c>
      <c r="S41" s="9">
        <f t="shared" si="13"/>
        <v>3.7370071428327234E-7</v>
      </c>
      <c r="T41" s="9">
        <f t="shared" si="10"/>
        <v>1.472838893402426E-4</v>
      </c>
      <c r="U41" s="9">
        <f t="shared" si="11"/>
        <v>1.4962629928571671E-4</v>
      </c>
      <c r="V41" s="100">
        <f t="shared" si="14"/>
        <v>0.98434493162862235</v>
      </c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89"/>
      <c r="B42" s="46" t="s">
        <v>176</v>
      </c>
      <c r="C42" s="46" t="s">
        <v>177</v>
      </c>
      <c r="D42" s="90">
        <v>2.0758240000000003</v>
      </c>
      <c r="E42" s="90">
        <v>2.477398</v>
      </c>
      <c r="F42" s="96">
        <v>9.9999999999999995E-7</v>
      </c>
      <c r="G42" s="168"/>
      <c r="H42" s="168"/>
      <c r="I42" s="92">
        <f t="shared" si="1"/>
        <v>2.8589842167479149E-2</v>
      </c>
      <c r="J42" s="92">
        <f t="shared" si="2"/>
        <v>1.3417480066989405</v>
      </c>
      <c r="K42" s="93">
        <f t="shared" si="3"/>
        <v>0.92615370680853581</v>
      </c>
      <c r="L42" s="93">
        <f t="shared" si="4"/>
        <v>1.0312843612865137E-2</v>
      </c>
      <c r="M42" s="93">
        <f t="shared" si="5"/>
        <v>0.98968715638713489</v>
      </c>
      <c r="N42" s="93">
        <f t="shared" si="6"/>
        <v>4.0026421588015022E-3</v>
      </c>
      <c r="O42" s="40">
        <f t="shared" si="7"/>
        <v>9.2710319747627809E-7</v>
      </c>
      <c r="P42" s="40">
        <f t="shared" si="8"/>
        <v>2.0364609447951951E-5</v>
      </c>
      <c r="Q42" s="40">
        <f t="shared" si="9"/>
        <v>2.7830824899198204E-4</v>
      </c>
      <c r="R42" s="9">
        <f t="shared" si="12"/>
        <v>1.4999999999999999E-4</v>
      </c>
      <c r="S42" s="9">
        <f t="shared" si="13"/>
        <v>1.5469265419297705E-6</v>
      </c>
      <c r="T42" s="9">
        <f t="shared" si="10"/>
        <v>1.3892305602128036E-4</v>
      </c>
      <c r="U42" s="9">
        <f t="shared" si="11"/>
        <v>1.4845307345807022E-4</v>
      </c>
      <c r="V42" s="100">
        <f t="shared" si="14"/>
        <v>0.93580451239710061</v>
      </c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89"/>
      <c r="B43" s="46" t="s">
        <v>178</v>
      </c>
      <c r="C43" s="46" t="s">
        <v>179</v>
      </c>
      <c r="D43" s="90">
        <v>2.3078000000000003</v>
      </c>
      <c r="E43" s="90">
        <v>2.5099249999999995</v>
      </c>
      <c r="F43" s="96">
        <v>9.9999999999999995E-7</v>
      </c>
      <c r="G43" s="168"/>
      <c r="H43" s="168"/>
      <c r="I43" s="92">
        <f t="shared" si="1"/>
        <v>4.5043006346732313E-2</v>
      </c>
      <c r="J43" s="92">
        <f t="shared" si="2"/>
        <v>1.4983971526308137</v>
      </c>
      <c r="K43" s="93">
        <f t="shared" si="3"/>
        <v>0.8882327645124809</v>
      </c>
      <c r="L43" s="93">
        <f t="shared" si="4"/>
        <v>1.4186370493673188E-2</v>
      </c>
      <c r="M43" s="93">
        <f t="shared" si="5"/>
        <v>0.98581362950632678</v>
      </c>
      <c r="N43" s="93">
        <f t="shared" si="6"/>
        <v>4.1373044964656503E-3</v>
      </c>
      <c r="O43" s="40">
        <f t="shared" si="7"/>
        <v>8.8914337871667575E-7</v>
      </c>
      <c r="P43" s="40">
        <f t="shared" si="8"/>
        <v>2.8013601818532855E-5</v>
      </c>
      <c r="Q43" s="40">
        <f t="shared" si="9"/>
        <v>2.8767147406021998E-4</v>
      </c>
      <c r="R43" s="9">
        <f t="shared" si="12"/>
        <v>1.4999999999999999E-4</v>
      </c>
      <c r="S43" s="9">
        <f t="shared" si="13"/>
        <v>2.127955574050978E-6</v>
      </c>
      <c r="T43" s="9">
        <f t="shared" si="10"/>
        <v>1.3323491467687212E-4</v>
      </c>
      <c r="U43" s="9">
        <f t="shared" si="11"/>
        <v>1.4787204442594901E-4</v>
      </c>
      <c r="V43" s="100">
        <f t="shared" si="14"/>
        <v>0.90101489564238202</v>
      </c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89"/>
      <c r="B44" s="46" t="s">
        <v>180</v>
      </c>
      <c r="C44" s="46" t="s">
        <v>181</v>
      </c>
      <c r="D44" s="90">
        <v>5.676184000000001</v>
      </c>
      <c r="E44" s="90">
        <v>7.0708080000000004</v>
      </c>
      <c r="F44" s="96">
        <v>9.9999999999999995E-7</v>
      </c>
      <c r="G44" s="168"/>
      <c r="H44" s="168"/>
      <c r="I44" s="92">
        <f t="shared" si="1"/>
        <v>2.829962486439805</v>
      </c>
      <c r="J44" s="92">
        <f t="shared" si="2"/>
        <v>5.5847769574151425</v>
      </c>
      <c r="K44" s="93">
        <f t="shared" si="3"/>
        <v>1.1477950673417843E-3</v>
      </c>
      <c r="L44" s="93">
        <f t="shared" si="4"/>
        <v>0.22366017867099378</v>
      </c>
      <c r="M44" s="93">
        <f t="shared" si="5"/>
        <v>0.77633982132900625</v>
      </c>
      <c r="N44" s="93">
        <f t="shared" si="6"/>
        <v>0.1945082605825246</v>
      </c>
      <c r="O44" s="40">
        <f t="shared" si="7"/>
        <v>1.1489717842268002E-9</v>
      </c>
      <c r="P44" s="40">
        <f t="shared" si="8"/>
        <v>4.4165822334510624E-4</v>
      </c>
      <c r="Q44" s="40">
        <f t="shared" si="9"/>
        <v>1.352437996441019E-2</v>
      </c>
      <c r="R44" s="9">
        <f t="shared" si="12"/>
        <v>1.4999999999999999E-4</v>
      </c>
      <c r="S44" s="9">
        <f t="shared" si="13"/>
        <v>3.3549026800649062E-5</v>
      </c>
      <c r="T44" s="9">
        <f t="shared" si="10"/>
        <v>1.7216926010126763E-7</v>
      </c>
      <c r="U44" s="9">
        <f t="shared" si="11"/>
        <v>1.1645097319935093E-4</v>
      </c>
      <c r="V44" s="100">
        <f t="shared" si="14"/>
        <v>1.4784699120249797E-3</v>
      </c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89"/>
      <c r="B45" s="46" t="s">
        <v>182</v>
      </c>
      <c r="C45" s="46" t="s">
        <v>183</v>
      </c>
      <c r="D45" s="90">
        <v>1.2599279999999999</v>
      </c>
      <c r="E45" s="90">
        <v>1.3925860000000003</v>
      </c>
      <c r="F45" s="96">
        <v>9.9999999999999995E-7</v>
      </c>
      <c r="G45" s="168"/>
      <c r="H45" s="168"/>
      <c r="I45" s="92">
        <f t="shared" si="1"/>
        <v>3.957220636313619E-3</v>
      </c>
      <c r="J45" s="92">
        <f t="shared" si="2"/>
        <v>0.54264947929167429</v>
      </c>
      <c r="K45" s="93">
        <f t="shared" si="3"/>
        <v>0.98868454950302076</v>
      </c>
      <c r="L45" s="93">
        <f t="shared" si="4"/>
        <v>1.7484554965745333E-3</v>
      </c>
      <c r="M45" s="93">
        <f t="shared" si="5"/>
        <v>0.99825154450342546</v>
      </c>
      <c r="N45" s="93">
        <f t="shared" si="6"/>
        <v>3.5148714283718006E-4</v>
      </c>
      <c r="O45" s="40">
        <f t="shared" si="7"/>
        <v>9.8969814664806583E-7</v>
      </c>
      <c r="P45" s="40">
        <f t="shared" si="8"/>
        <v>3.4526474618936794E-6</v>
      </c>
      <c r="Q45" s="40">
        <f t="shared" si="9"/>
        <v>2.4439299688858701E-5</v>
      </c>
      <c r="R45" s="9">
        <f t="shared" si="12"/>
        <v>1.4999999999999999E-4</v>
      </c>
      <c r="S45" s="9">
        <f t="shared" si="13"/>
        <v>2.6226832448617996E-7</v>
      </c>
      <c r="T45" s="9">
        <f t="shared" si="10"/>
        <v>1.4830268242545309E-4</v>
      </c>
      <c r="U45" s="9">
        <f t="shared" si="11"/>
        <v>1.4973773167551382E-4</v>
      </c>
      <c r="V45" s="100">
        <f t="shared" si="14"/>
        <v>0.99041624823614594</v>
      </c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88"/>
      <c r="B46" s="46" t="s">
        <v>184</v>
      </c>
      <c r="C46" s="46" t="s">
        <v>185</v>
      </c>
      <c r="D46" s="91">
        <v>1.2889359999999999</v>
      </c>
      <c r="E46" s="91">
        <v>1.371977</v>
      </c>
      <c r="F46" s="96">
        <v>9.9999999999999995E-7</v>
      </c>
      <c r="G46" s="168"/>
      <c r="H46" s="168"/>
      <c r="I46" s="92">
        <f t="shared" si="1"/>
        <v>4.1980440605165602E-3</v>
      </c>
      <c r="J46" s="92">
        <f t="shared" si="2"/>
        <v>0.55494878574960893</v>
      </c>
      <c r="K46" s="93">
        <f t="shared" si="3"/>
        <v>0.98808781874671825</v>
      </c>
      <c r="L46" s="93">
        <f t="shared" si="4"/>
        <v>1.7975943198418882E-3</v>
      </c>
      <c r="M46" s="93">
        <f t="shared" si="5"/>
        <v>0.99820240568015817</v>
      </c>
      <c r="N46" s="93">
        <f t="shared" si="6"/>
        <v>3.3499493552772655E-4</v>
      </c>
      <c r="O46" s="40">
        <f t="shared" si="7"/>
        <v>9.8910080412475306E-7</v>
      </c>
      <c r="P46" s="40">
        <f t="shared" si="8"/>
        <v>3.5496811203235689E-6</v>
      </c>
      <c r="Q46" s="40">
        <f t="shared" si="9"/>
        <v>2.329257780960854E-5</v>
      </c>
      <c r="R46" s="9">
        <f t="shared" si="12"/>
        <v>1.4999999999999999E-4</v>
      </c>
      <c r="S46" s="9">
        <f t="shared" si="13"/>
        <v>2.6963914797628319E-7</v>
      </c>
      <c r="T46" s="9">
        <f t="shared" si="10"/>
        <v>1.4821317281200772E-4</v>
      </c>
      <c r="U46" s="9">
        <f t="shared" si="11"/>
        <v>1.4973036085202371E-4</v>
      </c>
      <c r="V46" s="100">
        <f t="shared" si="14"/>
        <v>0.98986719839995974</v>
      </c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88"/>
      <c r="B47" s="46" t="s">
        <v>186</v>
      </c>
      <c r="C47" s="46" t="s">
        <v>187</v>
      </c>
      <c r="D47" s="90">
        <v>2.5448008164668257</v>
      </c>
      <c r="E47" s="90">
        <v>3.1426039783542175</v>
      </c>
      <c r="F47" s="96">
        <v>9.9999999999999995E-7</v>
      </c>
      <c r="G47" s="168"/>
      <c r="H47" s="168"/>
      <c r="I47" s="92">
        <f t="shared" si="1"/>
        <v>8.655050783580702E-2</v>
      </c>
      <c r="J47" s="92">
        <f t="shared" si="2"/>
        <v>1.8883316635103937</v>
      </c>
      <c r="K47" s="93">
        <f t="shared" si="3"/>
        <v>0.79341926121418171</v>
      </c>
      <c r="L47" s="93">
        <f t="shared" si="4"/>
        <v>3.1101530339450879E-2</v>
      </c>
      <c r="M47" s="93">
        <f t="shared" si="5"/>
        <v>0.96889846966054916</v>
      </c>
      <c r="N47" s="93">
        <f t="shared" si="6"/>
        <v>1.5862528439741536E-2</v>
      </c>
      <c r="O47" s="40">
        <f t="shared" si="7"/>
        <v>7.9423267283105663E-7</v>
      </c>
      <c r="P47" s="40">
        <f t="shared" si="8"/>
        <v>6.1415700884518819E-5</v>
      </c>
      <c r="Q47" s="40">
        <f t="shared" si="9"/>
        <v>1.1029395932740226E-3</v>
      </c>
      <c r="R47" s="9">
        <f t="shared" si="12"/>
        <v>1.4999999999999999E-4</v>
      </c>
      <c r="S47" s="9">
        <f t="shared" si="13"/>
        <v>4.6652295509176311E-6</v>
      </c>
      <c r="T47" s="9">
        <f t="shared" si="10"/>
        <v>1.1901288918212725E-4</v>
      </c>
      <c r="U47" s="9">
        <f t="shared" si="11"/>
        <v>1.4533477044908235E-4</v>
      </c>
      <c r="V47" s="100">
        <f t="shared" si="14"/>
        <v>0.81888792898202623</v>
      </c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88"/>
      <c r="B48" s="46" t="s">
        <v>100</v>
      </c>
      <c r="C48" s="46" t="s">
        <v>101</v>
      </c>
      <c r="D48" s="90">
        <v>0.29376000000000013</v>
      </c>
      <c r="E48" s="90">
        <v>0.18140000000000034</v>
      </c>
      <c r="F48" s="96">
        <v>9.9999999999999995E-7</v>
      </c>
      <c r="G48" s="168"/>
      <c r="H48" s="168"/>
      <c r="I48" s="92">
        <f t="shared" ref="I48:I50" si="15">IF(D48=0,"",LOG($K$15*10^D48+$K$16*10^E48+$K$14))</f>
        <v>2.1004549420906745E-4</v>
      </c>
      <c r="J48" s="92">
        <f t="shared" ref="J48:J50" si="16">IF(D48=0,"",LOG($K$21*10^D48+$K$22*10^E48+$K$20))</f>
        <v>4.7982372015380817E-2</v>
      </c>
      <c r="K48" s="93">
        <f t="shared" ref="K48:K50" si="17">IF(D48=0,"",1/(1+10^D48*$J$15/$J$14+10^E48*$J$16/$J$14+10^J48*$J$19/$J$14))</f>
        <v>0.99843402466687781</v>
      </c>
      <c r="L48" s="93">
        <f t="shared" ref="L48:L50" si="18">IF(D48=0,"",1/(1+10^I48/10^J48*$J$13/$J$19))</f>
        <v>5.652611016176177E-4</v>
      </c>
      <c r="M48" s="93">
        <f t="shared" ref="M48:M92" si="19">IF(D48=0,"",1-L48)</f>
        <v>0.99943473889838241</v>
      </c>
      <c r="N48" s="93">
        <f t="shared" ref="N48:N50" si="20">IF(D48=0,"",1/(1/10^E48*$J$20/$J$22+10^D48/10^E48*$J$21/$J$22+10^I48/10^E48*$J$13/$J$22+1))</f>
        <v>2.1826548690486764E-5</v>
      </c>
      <c r="O48" s="40">
        <f t="shared" ref="O48:O92" si="21">IF(D48=0,"",F48*K48*$J$7/$J$14)</f>
        <v>9.9945761695162321E-7</v>
      </c>
      <c r="P48" s="40">
        <f t="shared" ref="P48:P50" si="22">IF(D48=0,"",O48*10^J48)</f>
        <v>1.1162121721890208E-6</v>
      </c>
      <c r="Q48" s="40">
        <f t="shared" ref="Q48:Q50" si="23">IF(D48=0,"",F48*N48*$J$7/$J$22)</f>
        <v>1.5176246855418323E-6</v>
      </c>
      <c r="R48" s="9">
        <f t="shared" si="12"/>
        <v>1.4999999999999999E-4</v>
      </c>
      <c r="S48" s="9">
        <f t="shared" si="13"/>
        <v>8.4789165242642642E-8</v>
      </c>
      <c r="T48" s="9">
        <f t="shared" si="10"/>
        <v>1.4976510370003166E-4</v>
      </c>
      <c r="U48" s="9">
        <f t="shared" si="11"/>
        <v>1.4991521083475734E-4</v>
      </c>
      <c r="V48" s="100">
        <f t="shared" si="14"/>
        <v>0.99899871978373733</v>
      </c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88"/>
      <c r="B49" s="46" t="s">
        <v>188</v>
      </c>
      <c r="C49" s="46" t="s">
        <v>189</v>
      </c>
      <c r="D49" s="90">
        <v>1.6175039999999998</v>
      </c>
      <c r="E49" s="90">
        <v>1.8999029999999997</v>
      </c>
      <c r="F49" s="96">
        <v>9.9999999999999995E-7</v>
      </c>
      <c r="G49" s="168"/>
      <c r="H49" s="168"/>
      <c r="I49" s="92">
        <f t="shared" si="15"/>
        <v>9.6186457475178466E-3</v>
      </c>
      <c r="J49" s="92">
        <f t="shared" si="16"/>
        <v>0.8749628948462248</v>
      </c>
      <c r="K49" s="93">
        <f t="shared" si="17"/>
        <v>0.97396986087366344</v>
      </c>
      <c r="L49" s="93">
        <f t="shared" si="18"/>
        <v>3.7021649846502784E-3</v>
      </c>
      <c r="M49" s="93">
        <f t="shared" si="19"/>
        <v>0.99629783501534974</v>
      </c>
      <c r="N49" s="93">
        <f t="shared" si="20"/>
        <v>1.1135615173663343E-3</v>
      </c>
      <c r="O49" s="40">
        <f t="shared" si="21"/>
        <v>9.7496837255348862E-7</v>
      </c>
      <c r="P49" s="40">
        <f t="shared" si="22"/>
        <v>7.3106067399523055E-6</v>
      </c>
      <c r="Q49" s="40">
        <f t="shared" si="23"/>
        <v>7.7427195274402309E-5</v>
      </c>
      <c r="R49" s="9">
        <f t="shared" si="12"/>
        <v>1.4999999999999999E-4</v>
      </c>
      <c r="S49" s="9">
        <f t="shared" si="13"/>
        <v>5.5532474769754168E-7</v>
      </c>
      <c r="T49" s="9">
        <f t="shared" si="10"/>
        <v>1.4609547913104951E-4</v>
      </c>
      <c r="U49" s="9">
        <f t="shared" si="11"/>
        <v>1.4944467525230244E-4</v>
      </c>
      <c r="V49" s="100">
        <f t="shared" si="14"/>
        <v>0.97758905684930819</v>
      </c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88"/>
      <c r="B50" s="46" t="s">
        <v>190</v>
      </c>
      <c r="C50" s="46" t="s">
        <v>191</v>
      </c>
      <c r="D50" s="90">
        <v>2.5898400000000001</v>
      </c>
      <c r="E50" s="90">
        <v>2.96393</v>
      </c>
      <c r="F50" s="96">
        <v>9.9999999999999995E-7</v>
      </c>
      <c r="G50" s="168"/>
      <c r="H50" s="168"/>
      <c r="I50" s="92">
        <f t="shared" si="15"/>
        <v>8.6760595853303396E-2</v>
      </c>
      <c r="J50" s="92">
        <f t="shared" si="16"/>
        <v>1.8329595102905285</v>
      </c>
      <c r="K50" s="93">
        <f t="shared" si="17"/>
        <v>0.79600965132386192</v>
      </c>
      <c r="L50" s="93">
        <f t="shared" si="18"/>
        <v>2.7467883691507579E-2</v>
      </c>
      <c r="M50" s="93">
        <f t="shared" si="19"/>
        <v>0.97253211630849246</v>
      </c>
      <c r="N50" s="93">
        <f t="shared" si="20"/>
        <v>1.0546637754046967E-2</v>
      </c>
      <c r="O50" s="40">
        <f t="shared" si="21"/>
        <v>7.9682571860276892E-7</v>
      </c>
      <c r="P50" s="40">
        <f t="shared" si="22"/>
        <v>5.4240396222193309E-5</v>
      </c>
      <c r="Q50" s="40">
        <f t="shared" si="23"/>
        <v>7.333196847555375E-4</v>
      </c>
      <c r="R50" s="9">
        <f t="shared" si="12"/>
        <v>1.4999999999999999E-4</v>
      </c>
      <c r="S50" s="9">
        <f t="shared" si="13"/>
        <v>4.1201825537261364E-6</v>
      </c>
      <c r="T50" s="9">
        <f t="shared" si="10"/>
        <v>1.1940144769857928E-4</v>
      </c>
      <c r="U50" s="9">
        <f t="shared" si="11"/>
        <v>1.4587981744627386E-4</v>
      </c>
      <c r="V50" s="100">
        <f t="shared" si="14"/>
        <v>0.81849189139925882</v>
      </c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88"/>
      <c r="B51" s="46" t="s">
        <v>192</v>
      </c>
      <c r="C51" s="46" t="s">
        <v>193</v>
      </c>
      <c r="D51" s="90">
        <v>5.0487680000000008</v>
      </c>
      <c r="E51" s="90">
        <v>6.0352960000000007</v>
      </c>
      <c r="F51" s="96">
        <v>9.9999999999999995E-7</v>
      </c>
      <c r="G51" s="168"/>
      <c r="H51" s="168"/>
      <c r="I51" s="92">
        <f t="shared" ref="I51:I70" si="24">IF(D51=0,"",LOG($K$15*10^D51+$K$16*10^E51+$K$14))</f>
        <v>1.9819141928346475</v>
      </c>
      <c r="J51" s="92">
        <f t="shared" ref="J51:J70" si="25">IF(D51=0,"",LOG($K$21*10^D51+$K$22*10^E51+$K$20))</f>
        <v>4.6296168009876641</v>
      </c>
      <c r="K51" s="93">
        <f t="shared" ref="K51:K70" si="26">IF(D51=0,"",1/(1+10^D51*$J$15/$J$14+10^E51*$J$16/$J$14+10^J51*$J$19/$J$14))</f>
        <v>8.5051143843901597E-3</v>
      </c>
      <c r="L51" s="93">
        <f t="shared" ref="L51:L70" si="27">IF(D51=0,"",1/(1+10^I51/10^J51*$J$13/$J$19))</f>
        <v>0.18375717932359562</v>
      </c>
      <c r="M51" s="93">
        <f t="shared" ref="M51:M70" si="28">IF(D51=0,"",1-L51)</f>
        <v>0.81624282067640441</v>
      </c>
      <c r="N51" s="93">
        <f t="shared" ref="N51:N70" si="29">IF(D51=0,"",1/(1/10^E51*$J$20/$J$22+10^D51/10^E51*$J$21/$J$22+10^I51/10^E51*$J$13/$J$22+1))</f>
        <v>0.13281338781766291</v>
      </c>
      <c r="O51" s="40">
        <f t="shared" ref="O51:O70" si="30">IF(D51=0,"",F51*K51*$J$7/$J$14)</f>
        <v>8.5138338082575945E-9</v>
      </c>
      <c r="P51" s="40">
        <f t="shared" ref="P51:P70" si="31">IF(D51=0,"",O51*10^J51)</f>
        <v>3.6286240058115715E-4</v>
      </c>
      <c r="Q51" s="40">
        <f t="shared" ref="Q51:Q70" si="32">IF(D51=0,"",F51*N51*$J$7/$J$22)</f>
        <v>9.2346654883819386E-3</v>
      </c>
      <c r="R51" s="9">
        <f t="shared" si="12"/>
        <v>1.4999999999999999E-4</v>
      </c>
      <c r="S51" s="9">
        <f t="shared" si="13"/>
        <v>2.7563576898539339E-5</v>
      </c>
      <c r="T51" s="9">
        <f t="shared" si="10"/>
        <v>1.2757671576585238E-6</v>
      </c>
      <c r="U51" s="9">
        <f t="shared" si="11"/>
        <v>1.2243642310146065E-4</v>
      </c>
      <c r="V51" s="100">
        <f t="shared" si="14"/>
        <v>1.0419833619292527E-2</v>
      </c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6" t="s">
        <v>194</v>
      </c>
      <c r="C52" s="46" t="s">
        <v>195</v>
      </c>
      <c r="D52" s="47">
        <v>2.7330160000000001</v>
      </c>
      <c r="E52" s="47">
        <v>3.3310319999999995</v>
      </c>
      <c r="F52" s="96">
        <v>9.9999999999999995E-7</v>
      </c>
      <c r="G52" s="168"/>
      <c r="H52" s="168"/>
      <c r="I52" s="92">
        <f t="shared" si="24"/>
        <v>0.12726341031571042</v>
      </c>
      <c r="J52" s="92">
        <f t="shared" si="25"/>
        <v>2.0749419502288911</v>
      </c>
      <c r="K52" s="93">
        <f t="shared" si="26"/>
        <v>0.71355950607478991</v>
      </c>
      <c r="L52" s="93">
        <f t="shared" si="27"/>
        <v>4.2985254510604608E-2</v>
      </c>
      <c r="M52" s="93">
        <f t="shared" si="28"/>
        <v>0.95701474548939536</v>
      </c>
      <c r="N52" s="93">
        <f t="shared" si="29"/>
        <v>2.2015466493193712E-2</v>
      </c>
      <c r="O52" s="40">
        <f t="shared" si="30"/>
        <v>7.1429104565284917E-7</v>
      </c>
      <c r="P52" s="40">
        <f t="shared" si="31"/>
        <v>8.4882303367545973E-5</v>
      </c>
      <c r="Q52" s="40">
        <f t="shared" si="32"/>
        <v>1.5307603546296045E-3</v>
      </c>
      <c r="R52" s="9">
        <f t="shared" si="12"/>
        <v>1.4999999999999999E-4</v>
      </c>
      <c r="S52" s="9">
        <f t="shared" si="13"/>
        <v>6.4477881765906909E-6</v>
      </c>
      <c r="T52" s="9">
        <f t="shared" si="10"/>
        <v>1.0703392591121848E-4</v>
      </c>
      <c r="U52" s="9">
        <f t="shared" si="11"/>
        <v>1.4355221182340929E-4</v>
      </c>
      <c r="V52" s="100">
        <f t="shared" si="14"/>
        <v>0.74560973008821507</v>
      </c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6" t="s">
        <v>196</v>
      </c>
      <c r="C53" s="46" t="s">
        <v>197</v>
      </c>
      <c r="D53" s="47">
        <v>3.4406639999999999</v>
      </c>
      <c r="E53" s="47">
        <v>4.222847999999999</v>
      </c>
      <c r="F53" s="96">
        <v>9.9999999999999995E-7</v>
      </c>
      <c r="G53" s="168"/>
      <c r="H53" s="168"/>
      <c r="I53" s="92">
        <f t="shared" si="24"/>
        <v>0.47104615060046062</v>
      </c>
      <c r="J53" s="92">
        <f t="shared" si="25"/>
        <v>2.8845581821937589</v>
      </c>
      <c r="K53" s="93">
        <f t="shared" si="26"/>
        <v>0.29864452898444394</v>
      </c>
      <c r="L53" s="93">
        <f t="shared" si="27"/>
        <v>0.11605399668517651</v>
      </c>
      <c r="M53" s="93">
        <f t="shared" si="28"/>
        <v>0.88394600331482354</v>
      </c>
      <c r="N53" s="93">
        <f t="shared" si="29"/>
        <v>7.182378023306378E-2</v>
      </c>
      <c r="O53" s="40">
        <f t="shared" si="30"/>
        <v>2.9895069867437603E-7</v>
      </c>
      <c r="P53" s="40">
        <f t="shared" si="31"/>
        <v>2.2916999482269152E-4</v>
      </c>
      <c r="Q53" s="40">
        <f t="shared" si="32"/>
        <v>4.9939889002303915E-3</v>
      </c>
      <c r="R53" s="9">
        <f t="shared" si="12"/>
        <v>1.4999999999999999E-4</v>
      </c>
      <c r="S53" s="9">
        <f t="shared" si="13"/>
        <v>1.7408099502776475E-5</v>
      </c>
      <c r="T53" s="9">
        <f t="shared" si="10"/>
        <v>4.4796679347666584E-5</v>
      </c>
      <c r="U53" s="9">
        <f t="shared" si="11"/>
        <v>1.3259190049722352E-4</v>
      </c>
      <c r="V53" s="100">
        <f t="shared" si="14"/>
        <v>0.337853814446265</v>
      </c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6" t="s">
        <v>198</v>
      </c>
      <c r="C54" s="46" t="s">
        <v>199</v>
      </c>
      <c r="D54" s="47">
        <v>2.8976480000000002</v>
      </c>
      <c r="E54" s="47">
        <v>3.5312959999999993</v>
      </c>
      <c r="F54" s="96">
        <v>9.9999999999999995E-7</v>
      </c>
      <c r="G54" s="168"/>
      <c r="H54" s="168"/>
      <c r="I54" s="92">
        <f t="shared" si="24"/>
        <v>0.17835694544431213</v>
      </c>
      <c r="J54" s="92">
        <f t="shared" si="25"/>
        <v>2.2572305062802869</v>
      </c>
      <c r="K54" s="93">
        <f t="shared" si="26"/>
        <v>0.62488794968408967</v>
      </c>
      <c r="L54" s="93">
        <f t="shared" si="27"/>
        <v>5.7276966940173014E-2</v>
      </c>
      <c r="M54" s="93">
        <f t="shared" si="28"/>
        <v>0.94272303305982696</v>
      </c>
      <c r="N54" s="93">
        <f t="shared" si="29"/>
        <v>3.0574815564079885E-2</v>
      </c>
      <c r="O54" s="40">
        <f t="shared" si="30"/>
        <v>6.255285833847895E-7</v>
      </c>
      <c r="P54" s="40">
        <f t="shared" si="31"/>
        <v>1.1310392224359748E-4</v>
      </c>
      <c r="Q54" s="40">
        <f t="shared" si="32"/>
        <v>2.1259016033148867E-3</v>
      </c>
      <c r="R54" s="9">
        <f t="shared" si="12"/>
        <v>1.4999999999999999E-4</v>
      </c>
      <c r="S54" s="9">
        <f t="shared" si="13"/>
        <v>8.5915450410259514E-6</v>
      </c>
      <c r="T54" s="9">
        <f t="shared" si="10"/>
        <v>9.3733192452613448E-5</v>
      </c>
      <c r="U54" s="9">
        <f t="shared" si="11"/>
        <v>1.4140845495897404E-4</v>
      </c>
      <c r="V54" s="100">
        <f t="shared" si="14"/>
        <v>0.6628542294716937</v>
      </c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6" t="s">
        <v>102</v>
      </c>
      <c r="C55" s="46" t="s">
        <v>103</v>
      </c>
      <c r="D55" s="47">
        <v>1.423632</v>
      </c>
      <c r="E55" s="47">
        <v>1.638849</v>
      </c>
      <c r="F55" s="96">
        <v>9.9999999999999995E-7</v>
      </c>
      <c r="G55" s="168"/>
      <c r="H55" s="168"/>
      <c r="I55" s="54">
        <f t="shared" si="24"/>
        <v>5.9812805986470914E-3</v>
      </c>
      <c r="J55" s="54">
        <f t="shared" si="25"/>
        <v>0.69048960682204896</v>
      </c>
      <c r="K55" s="55">
        <f t="shared" si="26"/>
        <v>0.98340139169217455</v>
      </c>
      <c r="L55" s="55">
        <f t="shared" si="27"/>
        <v>2.4443747081061631E-3</v>
      </c>
      <c r="M55" s="55">
        <f t="shared" si="28"/>
        <v>0.99755562529189379</v>
      </c>
      <c r="N55" s="55">
        <f t="shared" si="29"/>
        <v>6.1637570838073347E-4</v>
      </c>
      <c r="O55" s="56">
        <f t="shared" si="30"/>
        <v>9.8440957255588236E-7</v>
      </c>
      <c r="P55" s="56">
        <f t="shared" si="31"/>
        <v>4.8268681407071128E-6</v>
      </c>
      <c r="Q55" s="56">
        <f t="shared" si="32"/>
        <v>4.2857302080683343E-5</v>
      </c>
      <c r="R55" s="9">
        <f t="shared" si="12"/>
        <v>1.4999999999999999E-4</v>
      </c>
      <c r="S55" s="9">
        <f t="shared" si="13"/>
        <v>3.6665620621592445E-7</v>
      </c>
      <c r="T55" s="9">
        <f t="shared" si="10"/>
        <v>1.4751020875382616E-4</v>
      </c>
      <c r="U55" s="9">
        <f t="shared" si="11"/>
        <v>1.4963334379378406E-4</v>
      </c>
      <c r="V55" s="100">
        <f t="shared" si="14"/>
        <v>0.98581108337133827</v>
      </c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6" t="s">
        <v>200</v>
      </c>
      <c r="C56" s="46" t="s">
        <v>201</v>
      </c>
      <c r="D56" s="47">
        <v>2.6912000000000003</v>
      </c>
      <c r="E56" s="47">
        <v>3.3249699999999995</v>
      </c>
      <c r="F56" s="96">
        <v>9.9999999999999995E-7</v>
      </c>
      <c r="G56" s="168"/>
      <c r="H56" s="168"/>
      <c r="I56" s="54">
        <f t="shared" si="24"/>
        <v>0.11910186422699467</v>
      </c>
      <c r="J56" s="54">
        <f t="shared" si="25"/>
        <v>2.0521115161299051</v>
      </c>
      <c r="K56" s="55">
        <f t="shared" si="26"/>
        <v>0.72813549303577163</v>
      </c>
      <c r="L56" s="55">
        <f t="shared" si="27"/>
        <v>4.1617029034849609E-2</v>
      </c>
      <c r="M56" s="55">
        <f t="shared" si="28"/>
        <v>0.95838297096515035</v>
      </c>
      <c r="N56" s="55">
        <f t="shared" si="29"/>
        <v>2.2153782999209122E-2</v>
      </c>
      <c r="O56" s="56">
        <f t="shared" si="30"/>
        <v>7.2888197588241676E-7</v>
      </c>
      <c r="P56" s="56">
        <f t="shared" si="31"/>
        <v>8.2180490124132742E-5</v>
      </c>
      <c r="Q56" s="56">
        <f t="shared" si="32"/>
        <v>1.5403776581677665E-3</v>
      </c>
      <c r="R56" s="9">
        <f t="shared" si="12"/>
        <v>1.4999999999999999E-4</v>
      </c>
      <c r="S56" s="9">
        <f t="shared" si="13"/>
        <v>6.2425543552274409E-6</v>
      </c>
      <c r="T56" s="9">
        <f t="shared" si="10"/>
        <v>1.0922032395536574E-4</v>
      </c>
      <c r="U56" s="9">
        <f t="shared" si="11"/>
        <v>1.4375744564477255E-4</v>
      </c>
      <c r="V56" s="100">
        <f t="shared" si="14"/>
        <v>0.75975420588128206</v>
      </c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87" t="s">
        <v>104</v>
      </c>
      <c r="C57" s="87" t="s">
        <v>105</v>
      </c>
      <c r="D57" s="90">
        <v>2.1493200000000003</v>
      </c>
      <c r="E57" s="90">
        <v>2.6108399999999996</v>
      </c>
      <c r="F57" s="96">
        <v>9.9999999999999995E-7</v>
      </c>
      <c r="G57" s="168"/>
      <c r="H57" s="168"/>
      <c r="I57" s="54">
        <f t="shared" si="24"/>
        <v>3.4503381608646556E-2</v>
      </c>
      <c r="J57" s="54">
        <f t="shared" si="25"/>
        <v>1.4369741370782525</v>
      </c>
      <c r="K57" s="55">
        <f t="shared" si="26"/>
        <v>0.91148204119668264</v>
      </c>
      <c r="L57" s="55">
        <f t="shared" si="27"/>
        <v>1.2637745619485993E-2</v>
      </c>
      <c r="M57" s="55">
        <f t="shared" si="28"/>
        <v>0.98736225438051406</v>
      </c>
      <c r="N57" s="55">
        <f t="shared" si="29"/>
        <v>5.3561633359465177E-3</v>
      </c>
      <c r="O57" s="56">
        <f t="shared" si="30"/>
        <v>9.1241649050630445E-7</v>
      </c>
      <c r="P57" s="56">
        <f t="shared" si="31"/>
        <v>2.4955556731447107E-5</v>
      </c>
      <c r="Q57" s="56">
        <f t="shared" si="32"/>
        <v>3.7242011156667407E-4</v>
      </c>
      <c r="R57" s="9">
        <f t="shared" si="12"/>
        <v>1.4999999999999999E-4</v>
      </c>
      <c r="S57" s="9">
        <f t="shared" si="13"/>
        <v>1.8956618429228987E-6</v>
      </c>
      <c r="T57" s="9">
        <f t="shared" si="10"/>
        <v>1.3672230617950239E-4</v>
      </c>
      <c r="U57" s="9">
        <f t="shared" si="11"/>
        <v>1.481043381570771E-4</v>
      </c>
      <c r="V57" s="100">
        <f t="shared" si="14"/>
        <v>0.92314855783965555</v>
      </c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6" t="s">
        <v>143</v>
      </c>
      <c r="C58" s="46" t="s">
        <v>144</v>
      </c>
      <c r="D58" s="47">
        <v>2.0184960000000003</v>
      </c>
      <c r="E58" s="47">
        <v>2.3512620000000002</v>
      </c>
      <c r="F58" s="96">
        <v>9.9999999999999995E-7</v>
      </c>
      <c r="G58" s="168"/>
      <c r="H58" s="168"/>
      <c r="I58" s="54">
        <f t="shared" si="24"/>
        <v>2.4527660835054643E-2</v>
      </c>
      <c r="J58" s="54">
        <f t="shared" si="25"/>
        <v>1.2615464423900991</v>
      </c>
      <c r="K58" s="55">
        <f t="shared" si="26"/>
        <v>0.93641008718510288</v>
      </c>
      <c r="L58" s="55">
        <f t="shared" si="27"/>
        <v>8.6688179334868058E-3</v>
      </c>
      <c r="M58" s="55">
        <f t="shared" si="28"/>
        <v>0.99133118206651316</v>
      </c>
      <c r="N58" s="55">
        <f t="shared" si="29"/>
        <v>3.0268700728922032E-3</v>
      </c>
      <c r="O58" s="56">
        <f t="shared" si="30"/>
        <v>9.3737009267061319E-7</v>
      </c>
      <c r="P58" s="56">
        <f t="shared" si="31"/>
        <v>1.7118177897183757E-5</v>
      </c>
      <c r="Q58" s="56">
        <f t="shared" si="32"/>
        <v>2.104617091639039E-4</v>
      </c>
      <c r="R58" s="9">
        <f t="shared" si="12"/>
        <v>1.4999999999999999E-4</v>
      </c>
      <c r="S58" s="9">
        <f t="shared" si="13"/>
        <v>1.3003226900230207E-6</v>
      </c>
      <c r="T58" s="9">
        <f t="shared" si="10"/>
        <v>1.4046151307776542E-4</v>
      </c>
      <c r="U58" s="9">
        <f t="shared" si="11"/>
        <v>1.4869967730997695E-4</v>
      </c>
      <c r="V58" s="100">
        <f t="shared" si="14"/>
        <v>0.94459864082261324</v>
      </c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6" t="s">
        <v>145</v>
      </c>
      <c r="C59" s="46" t="s">
        <v>146</v>
      </c>
      <c r="D59" s="47">
        <v>1.4665360000000003</v>
      </c>
      <c r="E59" s="47">
        <v>1.8522119999999997</v>
      </c>
      <c r="F59" s="96">
        <v>9.9999999999999995E-7</v>
      </c>
      <c r="G59" s="168"/>
      <c r="H59" s="168"/>
      <c r="I59" s="54">
        <f t="shared" si="24"/>
        <v>6.9959414880738915E-3</v>
      </c>
      <c r="J59" s="54">
        <f t="shared" si="25"/>
        <v>0.77659593217338263</v>
      </c>
      <c r="K59" s="55">
        <f t="shared" si="26"/>
        <v>0.98058771384146448</v>
      </c>
      <c r="L59" s="55">
        <f t="shared" si="27"/>
        <v>2.9718695058404644E-3</v>
      </c>
      <c r="M59" s="55">
        <f t="shared" si="28"/>
        <v>0.9970281304941595</v>
      </c>
      <c r="N59" s="55">
        <f t="shared" si="29"/>
        <v>1.0045328502046934E-3</v>
      </c>
      <c r="O59" s="56">
        <f t="shared" si="30"/>
        <v>9.8159301012905765E-7</v>
      </c>
      <c r="P59" s="56">
        <f t="shared" si="31"/>
        <v>5.8685037889278107E-6</v>
      </c>
      <c r="Q59" s="56">
        <f t="shared" si="32"/>
        <v>6.9846308389232548E-5</v>
      </c>
      <c r="R59" s="9">
        <f t="shared" si="12"/>
        <v>1.4999999999999999E-4</v>
      </c>
      <c r="S59" s="9">
        <f t="shared" si="13"/>
        <v>4.4578042587606963E-7</v>
      </c>
      <c r="T59" s="9">
        <f t="shared" si="10"/>
        <v>1.4708815707621965E-4</v>
      </c>
      <c r="U59" s="9">
        <f t="shared" si="11"/>
        <v>1.4955421957412392E-4</v>
      </c>
      <c r="V59" s="100">
        <f t="shared" si="14"/>
        <v>0.98351057893968685</v>
      </c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6" t="s">
        <v>147</v>
      </c>
      <c r="C60" s="46" t="s">
        <v>148</v>
      </c>
      <c r="D60" s="47">
        <v>2.7203999877244023</v>
      </c>
      <c r="E60" s="47">
        <v>3.3923999825375306</v>
      </c>
      <c r="F60" s="96">
        <v>9.9999999999999995E-7</v>
      </c>
      <c r="G60" s="168"/>
      <c r="H60" s="168"/>
      <c r="I60" s="54">
        <f t="shared" si="24"/>
        <v>0.12885708410514962</v>
      </c>
      <c r="J60" s="54">
        <f t="shared" si="25"/>
        <v>2.1018734349714285</v>
      </c>
      <c r="K60" s="55">
        <f t="shared" si="26"/>
        <v>0.70911458328720767</v>
      </c>
      <c r="L60" s="55">
        <f t="shared" si="27"/>
        <v>4.5450347490543136E-2</v>
      </c>
      <c r="M60" s="55">
        <f t="shared" si="28"/>
        <v>0.95454965250945689</v>
      </c>
      <c r="N60" s="55">
        <f t="shared" si="29"/>
        <v>2.5198929737329262E-2</v>
      </c>
      <c r="O60" s="56">
        <f t="shared" si="30"/>
        <v>7.0984156594056367E-7</v>
      </c>
      <c r="P60" s="56">
        <f t="shared" si="31"/>
        <v>8.9750083552509881E-5</v>
      </c>
      <c r="Q60" s="56">
        <f t="shared" si="32"/>
        <v>1.7521101645938775E-3</v>
      </c>
      <c r="R60" s="9">
        <f t="shared" si="12"/>
        <v>1.4999999999999999E-4</v>
      </c>
      <c r="S60" s="9">
        <f t="shared" si="13"/>
        <v>6.8175521235814701E-6</v>
      </c>
      <c r="T60" s="9">
        <f t="shared" si="10"/>
        <v>1.0636718749308114E-4</v>
      </c>
      <c r="U60" s="9">
        <f t="shared" si="11"/>
        <v>1.4318244787641851E-4</v>
      </c>
      <c r="V60" s="100">
        <f t="shared" si="14"/>
        <v>0.74287867731446511</v>
      </c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6" t="s">
        <v>149</v>
      </c>
      <c r="C61" s="46" t="s">
        <v>150</v>
      </c>
      <c r="D61" s="47">
        <v>3.4658999877244021</v>
      </c>
      <c r="E61" s="47">
        <v>4.4528999825375299</v>
      </c>
      <c r="F61" s="96">
        <v>9.9999999999999995E-7</v>
      </c>
      <c r="G61" s="168"/>
      <c r="H61" s="168"/>
      <c r="I61" s="54">
        <f t="shared" si="24"/>
        <v>0.54169315053805034</v>
      </c>
      <c r="J61" s="54">
        <f t="shared" si="25"/>
        <v>3.0474184921770631</v>
      </c>
      <c r="K61" s="55">
        <f t="shared" si="26"/>
        <v>0.2470276413575388</v>
      </c>
      <c r="L61" s="55">
        <f t="shared" si="27"/>
        <v>0.13967265864329659</v>
      </c>
      <c r="M61" s="55">
        <f t="shared" si="28"/>
        <v>0.86032734135670341</v>
      </c>
      <c r="N61" s="55">
        <f t="shared" si="29"/>
        <v>0.10090466161936505</v>
      </c>
      <c r="O61" s="56">
        <f t="shared" si="30"/>
        <v>2.4728089353200947E-7</v>
      </c>
      <c r="P61" s="56">
        <f t="shared" si="31"/>
        <v>2.7580939366514981E-4</v>
      </c>
      <c r="Q61" s="56">
        <f t="shared" si="32"/>
        <v>7.0160155657838334E-3</v>
      </c>
      <c r="R61" s="9">
        <f t="shared" si="12"/>
        <v>1.4999999999999999E-4</v>
      </c>
      <c r="S61" s="9">
        <f t="shared" si="13"/>
        <v>2.0950898796494487E-5</v>
      </c>
      <c r="T61" s="9">
        <f t="shared" si="10"/>
        <v>3.7054146203630814E-5</v>
      </c>
      <c r="U61" s="9">
        <f t="shared" si="11"/>
        <v>1.2904910120350551E-4</v>
      </c>
      <c r="V61" s="100">
        <f t="shared" si="14"/>
        <v>0.2871321524758072</v>
      </c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6" t="s">
        <v>151</v>
      </c>
      <c r="C62" s="46" t="s">
        <v>152</v>
      </c>
      <c r="D62" s="47">
        <v>4.1687999877244026</v>
      </c>
      <c r="E62" s="47">
        <v>5.4527999825375302</v>
      </c>
      <c r="F62" s="96">
        <v>9.9999999999999995E-7</v>
      </c>
      <c r="G62" s="168"/>
      <c r="H62" s="168"/>
      <c r="I62" s="54">
        <f t="shared" si="24"/>
        <v>1.2755126419323455</v>
      </c>
      <c r="J62" s="54">
        <f t="shared" si="25"/>
        <v>3.9829255077533601</v>
      </c>
      <c r="K62" s="55">
        <f t="shared" si="26"/>
        <v>4.2118793580896298E-2</v>
      </c>
      <c r="L62" s="55">
        <f t="shared" si="27"/>
        <v>0.2052810152423192</v>
      </c>
      <c r="M62" s="55">
        <f t="shared" si="28"/>
        <v>0.79471898475768077</v>
      </c>
      <c r="N62" s="55">
        <f t="shared" si="29"/>
        <v>0.17200520997329746</v>
      </c>
      <c r="O62" s="56">
        <f t="shared" si="30"/>
        <v>4.2161973672006048E-8</v>
      </c>
      <c r="P62" s="56">
        <f t="shared" si="31"/>
        <v>4.0536517951981972E-4</v>
      </c>
      <c r="Q62" s="56">
        <f t="shared" si="32"/>
        <v>1.1959717333187816E-2</v>
      </c>
      <c r="R62" s="9">
        <f t="shared" si="12"/>
        <v>1.4999999999999999E-4</v>
      </c>
      <c r="S62" s="9">
        <f t="shared" si="13"/>
        <v>3.0792152286347879E-5</v>
      </c>
      <c r="T62" s="9">
        <f t="shared" si="10"/>
        <v>6.3178190371344438E-6</v>
      </c>
      <c r="U62" s="9">
        <f t="shared" si="11"/>
        <v>1.1920784771365211E-4</v>
      </c>
      <c r="V62" s="100">
        <f t="shared" si="14"/>
        <v>5.2998348332824609E-2</v>
      </c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6" t="s">
        <v>153</v>
      </c>
      <c r="C63" s="46" t="s">
        <v>154</v>
      </c>
      <c r="D63" s="47">
        <v>4.999499987724402</v>
      </c>
      <c r="E63" s="47">
        <v>6.6344999825375304</v>
      </c>
      <c r="F63" s="96">
        <v>9.9999999999999995E-7</v>
      </c>
      <c r="G63" s="168"/>
      <c r="H63" s="168"/>
      <c r="I63" s="54">
        <f t="shared" si="24"/>
        <v>2.3278344887119857</v>
      </c>
      <c r="J63" s="54">
        <f t="shared" si="25"/>
        <v>5.1237181209324083</v>
      </c>
      <c r="K63" s="55">
        <f t="shared" si="26"/>
        <v>3.5683198686611707E-3</v>
      </c>
      <c r="L63" s="55">
        <f t="shared" si="27"/>
        <v>0.24050784952400925</v>
      </c>
      <c r="M63" s="55">
        <f t="shared" si="28"/>
        <v>0.75949215047599072</v>
      </c>
      <c r="N63" s="55">
        <f t="shared" si="29"/>
        <v>0.22142642933704104</v>
      </c>
      <c r="O63" s="56">
        <f t="shared" si="30"/>
        <v>3.5719781020514879E-9</v>
      </c>
      <c r="P63" s="56">
        <f t="shared" si="31"/>
        <v>4.7492705296270019E-4</v>
      </c>
      <c r="Q63" s="56">
        <f t="shared" si="32"/>
        <v>1.5396030767784362E-2</v>
      </c>
      <c r="R63" s="9">
        <f t="shared" si="12"/>
        <v>1.4999999999999999E-4</v>
      </c>
      <c r="S63" s="9">
        <f t="shared" si="13"/>
        <v>3.6076177428601384E-5</v>
      </c>
      <c r="T63" s="9">
        <f t="shared" si="10"/>
        <v>5.3524798029917559E-7</v>
      </c>
      <c r="U63" s="9">
        <f t="shared" si="11"/>
        <v>1.139238225713986E-4</v>
      </c>
      <c r="V63" s="100">
        <f t="shared" si="14"/>
        <v>4.6982972324662274E-3</v>
      </c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6" t="s">
        <v>155</v>
      </c>
      <c r="C64" s="46" t="s">
        <v>156</v>
      </c>
      <c r="D64" s="47">
        <v>4.4669999877244022</v>
      </c>
      <c r="E64" s="47">
        <v>5.8769999825375301</v>
      </c>
      <c r="F64" s="96">
        <v>9.9999999999999995E-7</v>
      </c>
      <c r="G64" s="168"/>
      <c r="H64" s="168"/>
      <c r="I64" s="54">
        <f t="shared" si="24"/>
        <v>1.6404345211947191</v>
      </c>
      <c r="J64" s="54">
        <f t="shared" si="25"/>
        <v>4.3890098224367859</v>
      </c>
      <c r="K64" s="55">
        <f t="shared" si="26"/>
        <v>1.7814761475761175E-2</v>
      </c>
      <c r="L64" s="55">
        <f t="shared" si="27"/>
        <v>0.2211755879297328</v>
      </c>
      <c r="M64" s="55">
        <f t="shared" si="28"/>
        <v>0.7788244120702672</v>
      </c>
      <c r="N64" s="55">
        <f t="shared" si="29"/>
        <v>0.19321715830382605</v>
      </c>
      <c r="O64" s="56">
        <f t="shared" si="30"/>
        <v>1.7833025128592171E-8</v>
      </c>
      <c r="P64" s="56">
        <f t="shared" si="31"/>
        <v>4.3675194123871829E-4</v>
      </c>
      <c r="Q64" s="56">
        <f t="shared" si="32"/>
        <v>1.3434608158638338E-2</v>
      </c>
      <c r="R64" s="9">
        <f t="shared" si="12"/>
        <v>1.4999999999999999E-4</v>
      </c>
      <c r="S64" s="9">
        <f t="shared" si="13"/>
        <v>3.3176338189459918E-5</v>
      </c>
      <c r="T64" s="9">
        <f t="shared" si="10"/>
        <v>2.6722142213641761E-6</v>
      </c>
      <c r="U64" s="9">
        <f t="shared" si="11"/>
        <v>1.1682366181054008E-4</v>
      </c>
      <c r="V64" s="100">
        <f t="shared" si="14"/>
        <v>2.2873912527223005E-2</v>
      </c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6" t="s">
        <v>157</v>
      </c>
      <c r="C65" s="46" t="s">
        <v>158</v>
      </c>
      <c r="D65" s="47">
        <v>4.2539999877244021</v>
      </c>
      <c r="E65" s="47">
        <v>5.5739999825375302</v>
      </c>
      <c r="F65" s="96">
        <v>9.9999999999999995E-7</v>
      </c>
      <c r="G65" s="168"/>
      <c r="H65" s="168"/>
      <c r="I65" s="54">
        <f t="shared" si="24"/>
        <v>1.3777282566754774</v>
      </c>
      <c r="J65" s="54">
        <f t="shared" si="25"/>
        <v>4.0984823491035831</v>
      </c>
      <c r="K65" s="55">
        <f t="shared" si="26"/>
        <v>3.3074095474056167E-2</v>
      </c>
      <c r="L65" s="55">
        <f t="shared" si="27"/>
        <v>0.21033797131696186</v>
      </c>
      <c r="M65" s="55">
        <f t="shared" si="28"/>
        <v>0.78966202868303814</v>
      </c>
      <c r="N65" s="55">
        <f t="shared" si="29"/>
        <v>0.17854745096782101</v>
      </c>
      <c r="O65" s="56">
        <f t="shared" si="30"/>
        <v>3.3108002961296972E-8</v>
      </c>
      <c r="P65" s="56">
        <f t="shared" si="31"/>
        <v>4.1535107083374198E-4</v>
      </c>
      <c r="Q65" s="56">
        <f t="shared" si="32"/>
        <v>1.2414606769573157E-2</v>
      </c>
      <c r="R65" s="9">
        <f t="shared" si="12"/>
        <v>1.4999999999999999E-4</v>
      </c>
      <c r="S65" s="9">
        <f t="shared" si="13"/>
        <v>3.1550695697544279E-5</v>
      </c>
      <c r="T65" s="9">
        <f t="shared" si="10"/>
        <v>4.9611143211084249E-6</v>
      </c>
      <c r="U65" s="9">
        <f t="shared" si="11"/>
        <v>1.1844930430245571E-4</v>
      </c>
      <c r="V65" s="100">
        <f t="shared" si="14"/>
        <v>4.1883862048192458E-2</v>
      </c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6" t="s">
        <v>159</v>
      </c>
      <c r="C66" s="46" t="s">
        <v>160</v>
      </c>
      <c r="D66" s="47">
        <v>4.4669999877244022</v>
      </c>
      <c r="E66" s="47">
        <v>5.8769999825375301</v>
      </c>
      <c r="F66" s="96">
        <v>9.9999999999999995E-7</v>
      </c>
      <c r="G66" s="168"/>
      <c r="H66" s="168"/>
      <c r="I66" s="54">
        <f t="shared" si="24"/>
        <v>1.6404345211947191</v>
      </c>
      <c r="J66" s="54">
        <f t="shared" si="25"/>
        <v>4.3890098224367859</v>
      </c>
      <c r="K66" s="55">
        <f t="shared" si="26"/>
        <v>1.7814761475761175E-2</v>
      </c>
      <c r="L66" s="55">
        <f t="shared" si="27"/>
        <v>0.2211755879297328</v>
      </c>
      <c r="M66" s="55">
        <f t="shared" si="28"/>
        <v>0.7788244120702672</v>
      </c>
      <c r="N66" s="55">
        <f t="shared" si="29"/>
        <v>0.19321715830382605</v>
      </c>
      <c r="O66" s="56">
        <f t="shared" si="30"/>
        <v>1.7833025128592171E-8</v>
      </c>
      <c r="P66" s="56">
        <f t="shared" si="31"/>
        <v>4.3675194123871829E-4</v>
      </c>
      <c r="Q66" s="56">
        <f t="shared" si="32"/>
        <v>1.3434608158638338E-2</v>
      </c>
      <c r="R66" s="9">
        <f t="shared" si="12"/>
        <v>1.4999999999999999E-4</v>
      </c>
      <c r="S66" s="9">
        <f t="shared" si="13"/>
        <v>3.3176338189459918E-5</v>
      </c>
      <c r="T66" s="9">
        <f t="shared" si="10"/>
        <v>2.6722142213641761E-6</v>
      </c>
      <c r="U66" s="9">
        <f t="shared" si="11"/>
        <v>1.1682366181054008E-4</v>
      </c>
      <c r="V66" s="100">
        <f t="shared" si="14"/>
        <v>2.2873912527223005E-2</v>
      </c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6" t="s">
        <v>113</v>
      </c>
      <c r="C67" s="46" t="s">
        <v>114</v>
      </c>
      <c r="D67" s="47">
        <v>-0.73745450190951667</v>
      </c>
      <c r="E67" s="47">
        <v>-1.5265197844064957</v>
      </c>
      <c r="F67" s="96">
        <v>9.9999999999999995E-7</v>
      </c>
      <c r="G67" s="168"/>
      <c r="H67" s="168"/>
      <c r="I67" s="54">
        <f t="shared" si="24"/>
        <v>-1.8635683569884906E-4</v>
      </c>
      <c r="J67" s="54">
        <f t="shared" si="25"/>
        <v>-5.2481050936873601E-2</v>
      </c>
      <c r="K67" s="55">
        <f t="shared" si="26"/>
        <v>0.99946202640158777</v>
      </c>
      <c r="L67" s="55">
        <f t="shared" si="27"/>
        <v>4.4898579733462633E-4</v>
      </c>
      <c r="M67" s="55">
        <f t="shared" si="28"/>
        <v>0.99955101420266534</v>
      </c>
      <c r="N67" s="55">
        <f t="shared" si="29"/>
        <v>4.280674542085515E-7</v>
      </c>
      <c r="O67" s="56">
        <f t="shared" si="30"/>
        <v>1.0004866725913668E-6</v>
      </c>
      <c r="P67" s="56">
        <f t="shared" si="31"/>
        <v>8.8660516474725501E-7</v>
      </c>
      <c r="Q67" s="56">
        <f t="shared" si="32"/>
        <v>2.9764015593867014E-8</v>
      </c>
      <c r="R67" s="9">
        <f t="shared" si="12"/>
        <v>1.4999999999999999E-4</v>
      </c>
      <c r="S67" s="9">
        <f t="shared" si="13"/>
        <v>6.7347869600193944E-8</v>
      </c>
      <c r="T67" s="9">
        <f t="shared" si="10"/>
        <v>1.4991930396023815E-4</v>
      </c>
      <c r="U67" s="9">
        <f t="shared" si="11"/>
        <v>1.4993265213039978E-4</v>
      </c>
      <c r="V67" s="100">
        <f t="shared" si="14"/>
        <v>0.99991097222671665</v>
      </c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6" t="s">
        <v>115</v>
      </c>
      <c r="C68" s="46" t="s">
        <v>116</v>
      </c>
      <c r="D68" s="47">
        <v>4.7386560000000006</v>
      </c>
      <c r="E68" s="47">
        <v>5.8355820000000005</v>
      </c>
      <c r="F68" s="96">
        <v>9.9999999999999995E-7</v>
      </c>
      <c r="G68" s="168"/>
      <c r="H68" s="168"/>
      <c r="I68" s="54">
        <f t="shared" si="24"/>
        <v>1.7268855172909561</v>
      </c>
      <c r="J68" s="54">
        <f t="shared" si="25"/>
        <v>4.4020071593837926</v>
      </c>
      <c r="K68" s="55">
        <f t="shared" si="26"/>
        <v>1.5119548912431776E-2</v>
      </c>
      <c r="L68" s="55">
        <f t="shared" si="27"/>
        <v>0.19341642409379134</v>
      </c>
      <c r="M68" s="55">
        <f t="shared" si="28"/>
        <v>0.80658357590620866</v>
      </c>
      <c r="N68" s="55">
        <f t="shared" si="29"/>
        <v>0.14906872276414504</v>
      </c>
      <c r="O68" s="56">
        <f t="shared" si="30"/>
        <v>1.5135049439490399E-8</v>
      </c>
      <c r="P68" s="56">
        <f t="shared" si="31"/>
        <v>3.8193635871447163E-4</v>
      </c>
      <c r="Q68" s="56">
        <f t="shared" si="32"/>
        <v>1.0364917363580349E-2</v>
      </c>
      <c r="R68" s="9">
        <f t="shared" si="12"/>
        <v>1.4999999999999999E-4</v>
      </c>
      <c r="S68" s="9">
        <f t="shared" si="13"/>
        <v>2.9012463614068698E-5</v>
      </c>
      <c r="T68" s="9">
        <f t="shared" si="10"/>
        <v>2.2679323368647663E-6</v>
      </c>
      <c r="U68" s="9">
        <f t="shared" si="11"/>
        <v>1.2098753638593129E-4</v>
      </c>
      <c r="V68" s="100">
        <f t="shared" si="14"/>
        <v>1.8745173301408645E-2</v>
      </c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6" t="s">
        <v>117</v>
      </c>
      <c r="C69" s="46" t="s">
        <v>118</v>
      </c>
      <c r="D69" s="47">
        <v>2.3724999877244022</v>
      </c>
      <c r="E69" s="47">
        <v>2.8974999825375303</v>
      </c>
      <c r="F69" s="96">
        <v>9.9999999999999995E-7</v>
      </c>
      <c r="G69" s="168"/>
      <c r="H69" s="168"/>
      <c r="I69" s="54">
        <f t="shared" si="24"/>
        <v>5.7919228101834593E-2</v>
      </c>
      <c r="J69" s="54">
        <f t="shared" si="25"/>
        <v>1.6829875890469175</v>
      </c>
      <c r="K69" s="55">
        <f t="shared" si="26"/>
        <v>0.85639266895703769</v>
      </c>
      <c r="L69" s="55">
        <f t="shared" si="27"/>
        <v>2.092222585639841E-2</v>
      </c>
      <c r="M69" s="55">
        <f t="shared" si="28"/>
        <v>0.97907777414360164</v>
      </c>
      <c r="N69" s="55">
        <f t="shared" si="29"/>
        <v>9.7373015471213919E-3</v>
      </c>
      <c r="O69" s="56">
        <f t="shared" si="30"/>
        <v>8.5727064076789375E-7</v>
      </c>
      <c r="P69" s="56">
        <f t="shared" si="31"/>
        <v>4.1314789047695357E-5</v>
      </c>
      <c r="Q69" s="56">
        <f t="shared" si="32"/>
        <v>6.770456203603547E-4</v>
      </c>
      <c r="R69" s="9">
        <f t="shared" si="12"/>
        <v>1.4999999999999999E-4</v>
      </c>
      <c r="S69" s="9">
        <f t="shared" si="13"/>
        <v>3.1383338784597614E-6</v>
      </c>
      <c r="T69" s="9">
        <f t="shared" si="10"/>
        <v>1.2845890034355565E-4</v>
      </c>
      <c r="U69" s="9">
        <f t="shared" si="11"/>
        <v>1.4686166612154023E-4</v>
      </c>
      <c r="V69" s="100">
        <f t="shared" si="14"/>
        <v>0.87469319759211517</v>
      </c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6" t="s">
        <v>111</v>
      </c>
      <c r="C70" s="46" t="s">
        <v>112</v>
      </c>
      <c r="D70" s="47">
        <v>3.3511520000000004</v>
      </c>
      <c r="E70" s="47">
        <v>4.2962190000000007</v>
      </c>
      <c r="F70" s="96">
        <v>9.9999999999999995E-7</v>
      </c>
      <c r="G70" s="168"/>
      <c r="H70" s="168"/>
      <c r="I70" s="54">
        <f t="shared" si="24"/>
        <v>0.45156382049297444</v>
      </c>
      <c r="J70" s="54">
        <f t="shared" si="25"/>
        <v>2.9028974715327305</v>
      </c>
      <c r="K70" s="55">
        <f t="shared" si="26"/>
        <v>0.30908276510167704</v>
      </c>
      <c r="L70" s="55">
        <f t="shared" si="27"/>
        <v>0.12529092525233843</v>
      </c>
      <c r="M70" s="55">
        <f t="shared" si="28"/>
        <v>0.87470907474766157</v>
      </c>
      <c r="N70" s="55">
        <f t="shared" si="29"/>
        <v>8.8015565762191578E-2</v>
      </c>
      <c r="O70" s="56">
        <f t="shared" si="30"/>
        <v>3.0939963604746779E-7</v>
      </c>
      <c r="P70" s="56">
        <f t="shared" si="31"/>
        <v>2.4741001181802555E-4</v>
      </c>
      <c r="Q70" s="56">
        <f t="shared" si="32"/>
        <v>6.1198221123640924E-3</v>
      </c>
      <c r="R70" s="9">
        <f t="shared" si="12"/>
        <v>1.4999999999999999E-4</v>
      </c>
      <c r="S70" s="9">
        <f t="shared" si="13"/>
        <v>1.8793638787850762E-5</v>
      </c>
      <c r="T70" s="9">
        <f t="shared" si="10"/>
        <v>4.636241476525155E-5</v>
      </c>
      <c r="U70" s="9">
        <f t="shared" si="11"/>
        <v>1.3120636121214923E-4</v>
      </c>
      <c r="V70" s="100">
        <f t="shared" si="14"/>
        <v>0.35335493139915358</v>
      </c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6" t="s">
        <v>119</v>
      </c>
      <c r="C71" s="46" t="s">
        <v>120</v>
      </c>
      <c r="D71" s="47">
        <v>5.9183200000000005</v>
      </c>
      <c r="E71" s="47">
        <v>7.0401399999999992</v>
      </c>
      <c r="F71" s="96">
        <v>9.9999999999999995E-7</v>
      </c>
      <c r="G71" s="168"/>
      <c r="H71" s="168"/>
      <c r="I71" s="54">
        <f t="shared" ref="I71:I122" si="33">IF(D71=0,"",LOG($K$15*10^D71+$K$16*10^E71+$K$14))</f>
        <v>2.9114243406645759</v>
      </c>
      <c r="J71" s="54">
        <f t="shared" ref="J71:J122" si="34">IF(D71=0,"",LOG($K$21*10^D71+$K$22*10^E71+$K$20))</f>
        <v>5.6009687713569756</v>
      </c>
      <c r="K71" s="55">
        <f t="shared" ref="K71:K122" si="35">IF(D71=0,"",1/(1+10^D71*$J$15/$J$14+10^E71*$J$16/$J$14+10^J71*$J$19/$J$14))</f>
        <v>9.8213862530007042E-4</v>
      </c>
      <c r="L71" s="55">
        <f t="shared" ref="L71:L122" si="36">IF(D71=0,"",1/(1+10^I71/10^J71*$J$13/$J$19))</f>
        <v>0.19865015973653227</v>
      </c>
      <c r="M71" s="55">
        <f t="shared" si="19"/>
        <v>0.80134984026346778</v>
      </c>
      <c r="N71" s="55">
        <f t="shared" ref="N71:N122" si="37">IF(D71=0,"",1/(1/10^E71*$J$20/$J$22+10^D71/10^E71*$J$21/$J$22+10^I71/10^E71*$J$13/$J$22+1))</f>
        <v>0.15508810424162989</v>
      </c>
      <c r="O71" s="56">
        <f t="shared" si="21"/>
        <v>9.8314551157855335E-10</v>
      </c>
      <c r="P71" s="56">
        <f t="shared" ref="P71:P122" si="38">IF(D71=0,"",O71*10^J71)</f>
        <v>3.9227133385026078E-4</v>
      </c>
      <c r="Q71" s="56">
        <f t="shared" ref="Q71:Q122" si="39">IF(D71=0,"",F71*N71*$J$7/$J$22)</f>
        <v>1.0783451784732598E-2</v>
      </c>
      <c r="R71" s="9">
        <f t="shared" si="12"/>
        <v>1.4999999999999999E-4</v>
      </c>
      <c r="S71" s="9">
        <f t="shared" si="13"/>
        <v>2.9797523960479838E-5</v>
      </c>
      <c r="T71" s="9">
        <f t="shared" si="10"/>
        <v>1.4732079379501056E-7</v>
      </c>
      <c r="U71" s="9">
        <f t="shared" si="11"/>
        <v>1.2020247603952015E-4</v>
      </c>
      <c r="V71" s="100">
        <f t="shared" si="14"/>
        <v>1.2256053173694561E-3</v>
      </c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6" t="s">
        <v>121</v>
      </c>
      <c r="C72" s="46" t="s">
        <v>122</v>
      </c>
      <c r="D72" s="47">
        <v>5.5295200000000007</v>
      </c>
      <c r="E72" s="47">
        <v>6.5305900000000001</v>
      </c>
      <c r="F72" s="96">
        <v>9.9999999999999995E-7</v>
      </c>
      <c r="G72" s="168"/>
      <c r="H72" s="168"/>
      <c r="I72" s="54">
        <f t="shared" si="33"/>
        <v>2.4659786116205753</v>
      </c>
      <c r="J72" s="54">
        <f t="shared" si="34"/>
        <v>5.1209220349701772</v>
      </c>
      <c r="K72" s="55">
        <f t="shared" si="35"/>
        <v>2.7814810322222511E-3</v>
      </c>
      <c r="L72" s="55">
        <f t="shared" si="36"/>
        <v>0.18627110620981782</v>
      </c>
      <c r="M72" s="55">
        <f t="shared" si="19"/>
        <v>0.81372889379018221</v>
      </c>
      <c r="N72" s="55">
        <f t="shared" si="37"/>
        <v>0.13587257273216127</v>
      </c>
      <c r="O72" s="56">
        <f t="shared" si="21"/>
        <v>2.7843326002321636E-9</v>
      </c>
      <c r="P72" s="56">
        <f t="shared" si="38"/>
        <v>3.6782661230979789E-4</v>
      </c>
      <c r="Q72" s="56">
        <f t="shared" si="39"/>
        <v>9.4473740851333532E-3</v>
      </c>
      <c r="R72" s="9">
        <f t="shared" si="12"/>
        <v>1.4999999999999999E-4</v>
      </c>
      <c r="S72" s="9">
        <f t="shared" si="13"/>
        <v>2.7940665931472672E-5</v>
      </c>
      <c r="T72" s="9">
        <f t="shared" si="10"/>
        <v>4.1722215483333765E-7</v>
      </c>
      <c r="U72" s="9">
        <f t="shared" si="11"/>
        <v>1.2205933406852732E-4</v>
      </c>
      <c r="V72" s="100">
        <f t="shared" si="14"/>
        <v>3.4181913084918038E-3</v>
      </c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6" t="s">
        <v>123</v>
      </c>
      <c r="C73" s="46" t="s">
        <v>124</v>
      </c>
      <c r="D73" s="47">
        <v>5.4845040000000003</v>
      </c>
      <c r="E73" s="47">
        <v>6.5678879999999999</v>
      </c>
      <c r="F73" s="96">
        <v>9.9999999999999995E-7</v>
      </c>
      <c r="G73" s="168"/>
      <c r="H73" s="168"/>
      <c r="I73" s="54">
        <f t="shared" si="33"/>
        <v>2.4593424067669152</v>
      </c>
      <c r="J73" s="54">
        <f t="shared" si="34"/>
        <v>5.1374431470300399</v>
      </c>
      <c r="K73" s="55">
        <f t="shared" si="35"/>
        <v>2.7957873919977273E-3</v>
      </c>
      <c r="L73" s="55">
        <f t="shared" si="36"/>
        <v>0.1944888216741176</v>
      </c>
      <c r="M73" s="55">
        <f t="shared" si="19"/>
        <v>0.80551117832588237</v>
      </c>
      <c r="N73" s="55">
        <f t="shared" si="37"/>
        <v>0.14881881365767521</v>
      </c>
      <c r="O73" s="56">
        <f t="shared" si="21"/>
        <v>2.7986536268550501E-9</v>
      </c>
      <c r="P73" s="56">
        <f t="shared" si="38"/>
        <v>3.8405400528374837E-4</v>
      </c>
      <c r="Q73" s="56">
        <f t="shared" si="39"/>
        <v>1.0347540899967225E-2</v>
      </c>
      <c r="R73" s="9">
        <f t="shared" si="12"/>
        <v>1.4999999999999999E-4</v>
      </c>
      <c r="S73" s="9">
        <f t="shared" si="13"/>
        <v>2.9173323251117639E-5</v>
      </c>
      <c r="T73" s="9">
        <f t="shared" si="10"/>
        <v>4.1936810879965908E-7</v>
      </c>
      <c r="U73" s="9">
        <f t="shared" si="11"/>
        <v>1.2082667674888234E-4</v>
      </c>
      <c r="V73" s="100">
        <f t="shared" si="14"/>
        <v>3.4708238286752205E-3</v>
      </c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6" t="s">
        <v>125</v>
      </c>
      <c r="C74" s="46" t="s">
        <v>126</v>
      </c>
      <c r="D74" s="47">
        <v>2.7195840000000011</v>
      </c>
      <c r="E74" s="47">
        <v>3.2500779999999994</v>
      </c>
      <c r="F74" s="96">
        <v>9.9999999999999995E-7</v>
      </c>
      <c r="G74" s="168"/>
      <c r="H74" s="168"/>
      <c r="I74" s="54">
        <f t="shared" si="33"/>
        <v>0.12015758400049081</v>
      </c>
      <c r="J74" s="54">
        <f t="shared" si="34"/>
        <v>2.0283467872043253</v>
      </c>
      <c r="K74" s="55">
        <f t="shared" si="35"/>
        <v>0.72805071758722928</v>
      </c>
      <c r="L74" s="55">
        <f t="shared" si="36"/>
        <v>3.9396330988198384E-2</v>
      </c>
      <c r="M74" s="55">
        <f t="shared" si="19"/>
        <v>0.96060366901180161</v>
      </c>
      <c r="N74" s="55">
        <f t="shared" si="37"/>
        <v>1.8642550592437048E-2</v>
      </c>
      <c r="O74" s="56">
        <f t="shared" si="21"/>
        <v>7.2879711352227789E-7</v>
      </c>
      <c r="P74" s="56">
        <f t="shared" si="38"/>
        <v>7.7795312755063963E-5</v>
      </c>
      <c r="Q74" s="56">
        <f t="shared" si="39"/>
        <v>1.2962376865782903E-3</v>
      </c>
      <c r="R74" s="9">
        <f t="shared" si="12"/>
        <v>1.4999999999999999E-4</v>
      </c>
      <c r="S74" s="9">
        <f t="shared" si="13"/>
        <v>5.9094496482297571E-6</v>
      </c>
      <c r="T74" s="9">
        <f t="shared" si="10"/>
        <v>1.0920760763808438E-4</v>
      </c>
      <c r="U74" s="9">
        <f t="shared" si="11"/>
        <v>1.4409055035177022E-4</v>
      </c>
      <c r="V74" s="100">
        <f t="shared" si="14"/>
        <v>0.757909574024628</v>
      </c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6" t="s">
        <v>80</v>
      </c>
      <c r="C75" s="46" t="s">
        <v>81</v>
      </c>
      <c r="D75" s="47">
        <v>3.9841999877244016</v>
      </c>
      <c r="E75" s="47">
        <v>5.1901999825375293</v>
      </c>
      <c r="F75" s="96">
        <v>9.9999999999999995E-7</v>
      </c>
      <c r="G75" s="168"/>
      <c r="H75" s="168"/>
      <c r="I75" s="54">
        <f t="shared" si="33"/>
        <v>1.0613094291357714</v>
      </c>
      <c r="J75" s="54">
        <f t="shared" si="34"/>
        <v>3.733983531409903</v>
      </c>
      <c r="K75" s="55">
        <f t="shared" si="35"/>
        <v>7.0078894495440539E-2</v>
      </c>
      <c r="L75" s="55">
        <f t="shared" si="36"/>
        <v>0.19253874186804995</v>
      </c>
      <c r="M75" s="55">
        <f t="shared" si="19"/>
        <v>0.80746125813195002</v>
      </c>
      <c r="N75" s="55">
        <f t="shared" si="37"/>
        <v>0.15633381310260608</v>
      </c>
      <c r="O75" s="56">
        <f t="shared" si="21"/>
        <v>7.0150739218233258E-8</v>
      </c>
      <c r="P75" s="56">
        <f t="shared" si="38"/>
        <v>3.8020321348144034E-4</v>
      </c>
      <c r="Q75" s="56">
        <f t="shared" si="39"/>
        <v>1.0870067334686205E-2</v>
      </c>
      <c r="R75" s="9">
        <f t="shared" si="12"/>
        <v>1.4999999999999999E-4</v>
      </c>
      <c r="S75" s="9">
        <f t="shared" si="13"/>
        <v>2.8880811280207491E-5</v>
      </c>
      <c r="T75" s="9">
        <f t="shared" si="10"/>
        <v>1.051183417431608E-5</v>
      </c>
      <c r="U75" s="9">
        <f t="shared" si="11"/>
        <v>1.211191887197925E-4</v>
      </c>
      <c r="V75" s="100">
        <f t="shared" si="14"/>
        <v>8.6789172594567629E-2</v>
      </c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6" t="s">
        <v>127</v>
      </c>
      <c r="C76" s="46" t="s">
        <v>128</v>
      </c>
      <c r="D76" s="47">
        <v>4.10616</v>
      </c>
      <c r="E76" s="47">
        <v>5.1108449999999994</v>
      </c>
      <c r="F76" s="96">
        <v>9.9999999999999995E-7</v>
      </c>
      <c r="G76" s="168"/>
      <c r="H76" s="168"/>
      <c r="I76" s="54">
        <f t="shared" si="33"/>
        <v>1.080392983851221</v>
      </c>
      <c r="J76" s="54">
        <f t="shared" si="34"/>
        <v>3.7002740773254659</v>
      </c>
      <c r="K76" s="55">
        <f t="shared" si="35"/>
        <v>6.857754097122809E-2</v>
      </c>
      <c r="L76" s="55">
        <f t="shared" si="36"/>
        <v>0.17434252904886105</v>
      </c>
      <c r="M76" s="55">
        <f t="shared" si="19"/>
        <v>0.82565747095113895</v>
      </c>
      <c r="N76" s="55">
        <f t="shared" si="37"/>
        <v>0.12743613883554342</v>
      </c>
      <c r="O76" s="56">
        <f t="shared" si="21"/>
        <v>6.8647846509812247E-8</v>
      </c>
      <c r="P76" s="56">
        <f t="shared" si="38"/>
        <v>3.4427143933601152E-4</v>
      </c>
      <c r="Q76" s="56">
        <f t="shared" si="39"/>
        <v>8.8607792679220761E-3</v>
      </c>
      <c r="R76" s="9">
        <f t="shared" si="12"/>
        <v>1.4999999999999999E-4</v>
      </c>
      <c r="S76" s="9">
        <f t="shared" si="13"/>
        <v>2.6151379357329154E-5</v>
      </c>
      <c r="T76" s="9">
        <f t="shared" si="10"/>
        <v>1.0286631145684213E-5</v>
      </c>
      <c r="U76" s="9">
        <f t="shared" si="11"/>
        <v>1.2384862064267083E-4</v>
      </c>
      <c r="V76" s="100">
        <f t="shared" si="14"/>
        <v>8.305810022190957E-2</v>
      </c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6" t="s">
        <v>129</v>
      </c>
      <c r="C77" s="46" t="s">
        <v>130</v>
      </c>
      <c r="D77" s="47">
        <v>2.8295519999999996</v>
      </c>
      <c r="E77" s="47">
        <v>3.5791989999999991</v>
      </c>
      <c r="F77" s="96">
        <v>9.9999999999999995E-7</v>
      </c>
      <c r="G77" s="168"/>
      <c r="H77" s="168"/>
      <c r="I77" s="54">
        <f t="shared" si="33"/>
        <v>0.16668848098518507</v>
      </c>
      <c r="J77" s="54">
        <f t="shared" si="34"/>
        <v>2.2551798002203722</v>
      </c>
      <c r="K77" s="55">
        <f t="shared" si="35"/>
        <v>0.64108254171949608</v>
      </c>
      <c r="L77" s="55">
        <f t="shared" si="36"/>
        <v>5.848454377117588E-2</v>
      </c>
      <c r="M77" s="55">
        <f t="shared" si="19"/>
        <v>0.94151545622882415</v>
      </c>
      <c r="N77" s="55">
        <f t="shared" si="37"/>
        <v>3.5025040506476278E-2</v>
      </c>
      <c r="O77" s="56">
        <f t="shared" si="21"/>
        <v>6.417397780790121E-7</v>
      </c>
      <c r="P77" s="56">
        <f t="shared" si="38"/>
        <v>1.1548850514477619E-4</v>
      </c>
      <c r="Q77" s="56">
        <f t="shared" si="39"/>
        <v>2.4353307908867366E-3</v>
      </c>
      <c r="R77" s="9">
        <f t="shared" si="12"/>
        <v>1.4999999999999999E-4</v>
      </c>
      <c r="S77" s="9">
        <f t="shared" si="13"/>
        <v>8.772681565676381E-6</v>
      </c>
      <c r="T77" s="9">
        <f t="shared" si="10"/>
        <v>9.6162381257924406E-5</v>
      </c>
      <c r="U77" s="9">
        <f t="shared" si="11"/>
        <v>1.4122731843432362E-4</v>
      </c>
      <c r="V77" s="100">
        <f t="shared" si="14"/>
        <v>0.68090495751106239</v>
      </c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6" t="s">
        <v>82</v>
      </c>
      <c r="C78" s="46" t="s">
        <v>83</v>
      </c>
      <c r="D78" s="47">
        <v>3.03</v>
      </c>
      <c r="E78" s="47">
        <v>3.96</v>
      </c>
      <c r="F78" s="96">
        <v>9.9999999999999995E-7</v>
      </c>
      <c r="G78" s="7"/>
      <c r="H78" s="7"/>
      <c r="I78" s="54">
        <f t="shared" si="33"/>
        <v>0.26960058474961779</v>
      </c>
      <c r="J78" s="54">
        <f t="shared" si="34"/>
        <v>2.5717431979412697</v>
      </c>
      <c r="K78" s="55">
        <f t="shared" si="35"/>
        <v>0.48770040669955717</v>
      </c>
      <c r="L78" s="55">
        <f t="shared" si="36"/>
        <v>9.2223939893643317E-2</v>
      </c>
      <c r="M78" s="55">
        <f t="shared" si="19"/>
        <v>0.9077760601063567</v>
      </c>
      <c r="N78" s="55">
        <f t="shared" si="37"/>
        <v>6.4035206424118377E-2</v>
      </c>
      <c r="O78" s="56">
        <f t="shared" si="21"/>
        <v>4.8820039604410236E-7</v>
      </c>
      <c r="P78" s="56">
        <f t="shared" si="38"/>
        <v>1.8211315794050548E-4</v>
      </c>
      <c r="Q78" s="56">
        <f t="shared" si="39"/>
        <v>4.4524405297006985E-3</v>
      </c>
      <c r="R78" s="9">
        <f t="shared" si="12"/>
        <v>1.4999999999999999E-4</v>
      </c>
      <c r="S78" s="9">
        <f t="shared" si="13"/>
        <v>1.3833590984046497E-5</v>
      </c>
      <c r="T78" s="9">
        <f t="shared" si="10"/>
        <v>7.3155061004933567E-5</v>
      </c>
      <c r="U78" s="9">
        <f t="shared" si="11"/>
        <v>1.361664090159535E-4</v>
      </c>
      <c r="V78" s="100">
        <f t="shared" si="14"/>
        <v>0.53724748661296184</v>
      </c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6" t="s">
        <v>131</v>
      </c>
      <c r="C79" s="46" t="s">
        <v>132</v>
      </c>
      <c r="D79" s="47">
        <v>3.2352399999999997</v>
      </c>
      <c r="E79" s="47">
        <v>3.7544849999999994</v>
      </c>
      <c r="F79" s="96">
        <v>9.9999999999999995E-7</v>
      </c>
      <c r="G79" s="7"/>
      <c r="H79" s="7"/>
      <c r="I79" s="54">
        <f t="shared" si="33"/>
        <v>0.30972420580945559</v>
      </c>
      <c r="J79" s="54">
        <f t="shared" si="34"/>
        <v>2.5362302933767991</v>
      </c>
      <c r="K79" s="55">
        <f t="shared" si="35"/>
        <v>0.45131420495253488</v>
      </c>
      <c r="L79" s="55">
        <f t="shared" si="36"/>
        <v>7.8642380742181522E-2</v>
      </c>
      <c r="M79" s="55">
        <f t="shared" si="19"/>
        <v>0.92135761925781845</v>
      </c>
      <c r="N79" s="55">
        <f t="shared" si="37"/>
        <v>3.691728030736012E-2</v>
      </c>
      <c r="O79" s="56">
        <f t="shared" si="21"/>
        <v>4.5177689124604289E-7</v>
      </c>
      <c r="P79" s="56">
        <f t="shared" si="38"/>
        <v>1.5529386752978464E-4</v>
      </c>
      <c r="Q79" s="56">
        <f t="shared" si="39"/>
        <v>2.5669003703703559E-3</v>
      </c>
      <c r="R79" s="9">
        <f t="shared" si="12"/>
        <v>1.4999999999999999E-4</v>
      </c>
      <c r="S79" s="9">
        <f t="shared" si="13"/>
        <v>1.1796357111327228E-5</v>
      </c>
      <c r="T79" s="9">
        <f t="shared" si="10"/>
        <v>6.7697130742880226E-5</v>
      </c>
      <c r="U79" s="9">
        <f t="shared" si="11"/>
        <v>1.3820364288867276E-4</v>
      </c>
      <c r="V79" s="100">
        <f t="shared" si="14"/>
        <v>0.48983608049617278</v>
      </c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6" t="s">
        <v>133</v>
      </c>
      <c r="C80" s="46" t="s">
        <v>134</v>
      </c>
      <c r="D80" s="47">
        <v>3.3303280000000011</v>
      </c>
      <c r="E80" s="47">
        <v>3.8215209999999997</v>
      </c>
      <c r="F80" s="96">
        <v>9.9999999999999995E-7</v>
      </c>
      <c r="G80" s="7"/>
      <c r="H80" s="7"/>
      <c r="I80" s="54">
        <f t="shared" si="33"/>
        <v>0.35763444792585858</v>
      </c>
      <c r="J80" s="54">
        <f t="shared" si="34"/>
        <v>2.6181533735404092</v>
      </c>
      <c r="K80" s="55">
        <f t="shared" si="35"/>
        <v>0.4016014320745897</v>
      </c>
      <c r="L80" s="55">
        <f t="shared" si="36"/>
        <v>8.4507641717132348E-2</v>
      </c>
      <c r="M80" s="55">
        <f t="shared" si="19"/>
        <v>0.91549235828286768</v>
      </c>
      <c r="N80" s="55">
        <f t="shared" si="37"/>
        <v>3.833380672853591E-2</v>
      </c>
      <c r="O80" s="56">
        <f t="shared" si="21"/>
        <v>4.0201315294673384E-7</v>
      </c>
      <c r="P80" s="56">
        <f t="shared" si="38"/>
        <v>1.6687590576763622E-4</v>
      </c>
      <c r="Q80" s="56">
        <f t="shared" si="39"/>
        <v>2.6653930590213831E-3</v>
      </c>
      <c r="R80" s="9">
        <f t="shared" si="12"/>
        <v>1.4999999999999999E-4</v>
      </c>
      <c r="S80" s="9">
        <f t="shared" si="13"/>
        <v>1.2676146257569851E-5</v>
      </c>
      <c r="T80" s="9">
        <f t="shared" si="10"/>
        <v>6.0240214811188449E-5</v>
      </c>
      <c r="U80" s="9">
        <f t="shared" si="11"/>
        <v>1.3732385374243014E-4</v>
      </c>
      <c r="V80" s="100">
        <f t="shared" si="14"/>
        <v>0.43867262073912733</v>
      </c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6" t="s">
        <v>135</v>
      </c>
      <c r="C81" s="46" t="s">
        <v>136</v>
      </c>
      <c r="D81" s="47">
        <v>4.4202640000000004</v>
      </c>
      <c r="E81" s="47">
        <v>5.6388380000000007</v>
      </c>
      <c r="F81" s="96">
        <v>9.9999999999999995E-7</v>
      </c>
      <c r="G81" s="7"/>
      <c r="H81" s="7"/>
      <c r="I81" s="54">
        <f t="shared" si="33"/>
        <v>1.4796577057346771</v>
      </c>
      <c r="J81" s="54">
        <f t="shared" si="34"/>
        <v>4.1802418146186522</v>
      </c>
      <c r="K81" s="55">
        <f t="shared" si="35"/>
        <v>2.6407296515155977E-2</v>
      </c>
      <c r="L81" s="55">
        <f t="shared" si="36"/>
        <v>0.20272770906314797</v>
      </c>
      <c r="M81" s="55">
        <f t="shared" si="19"/>
        <v>0.79727229093685203</v>
      </c>
      <c r="N81" s="55">
        <f t="shared" si="37"/>
        <v>0.16551129551350177</v>
      </c>
      <c r="O81" s="56">
        <f t="shared" si="21"/>
        <v>2.6434369215310516E-8</v>
      </c>
      <c r="P81" s="56">
        <f t="shared" si="38"/>
        <v>4.00323206123171E-4</v>
      </c>
      <c r="Q81" s="56">
        <f t="shared" si="39"/>
        <v>1.150818809557278E-2</v>
      </c>
      <c r="R81" s="9">
        <f t="shared" si="12"/>
        <v>1.4999999999999999E-4</v>
      </c>
      <c r="S81" s="9">
        <f t="shared" si="13"/>
        <v>3.0409156359472194E-5</v>
      </c>
      <c r="T81" s="9">
        <f t="shared" si="10"/>
        <v>3.9610944772733962E-6</v>
      </c>
      <c r="U81" s="9">
        <f t="shared" si="11"/>
        <v>1.195908436405278E-4</v>
      </c>
      <c r="V81" s="100">
        <f t="shared" si="14"/>
        <v>3.312205480529809E-2</v>
      </c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6" t="s">
        <v>137</v>
      </c>
      <c r="C82" s="46" t="s">
        <v>138</v>
      </c>
      <c r="D82" s="47">
        <v>4.2752879999999998</v>
      </c>
      <c r="E82" s="47">
        <v>5.3084609999999994</v>
      </c>
      <c r="F82" s="96">
        <v>9.9999999999999995E-7</v>
      </c>
      <c r="G82" s="7"/>
      <c r="H82" s="7"/>
      <c r="I82" s="54">
        <f t="shared" si="33"/>
        <v>1.2498866711591912</v>
      </c>
      <c r="J82" s="54">
        <f t="shared" si="34"/>
        <v>3.8903842917257068</v>
      </c>
      <c r="K82" s="55">
        <f t="shared" si="35"/>
        <v>4.6028064783702173E-2</v>
      </c>
      <c r="L82" s="55">
        <f t="shared" si="36"/>
        <v>0.18128186623776141</v>
      </c>
      <c r="M82" s="55">
        <f t="shared" si="19"/>
        <v>0.81871813376223856</v>
      </c>
      <c r="N82" s="55">
        <f t="shared" si="37"/>
        <v>0.13481847545881878</v>
      </c>
      <c r="O82" s="56">
        <f t="shared" si="21"/>
        <v>4.6075252650732329E-8</v>
      </c>
      <c r="P82" s="56">
        <f t="shared" si="38"/>
        <v>3.5797443891445117E-4</v>
      </c>
      <c r="Q82" s="56">
        <f t="shared" si="39"/>
        <v>9.3740815061886962E-3</v>
      </c>
      <c r="R82" s="9">
        <f t="shared" si="12"/>
        <v>1.4999999999999999E-4</v>
      </c>
      <c r="S82" s="9">
        <f t="shared" si="13"/>
        <v>2.7192279935664208E-5</v>
      </c>
      <c r="T82" s="9">
        <f t="shared" si="10"/>
        <v>6.9042097175553253E-6</v>
      </c>
      <c r="U82" s="9">
        <f t="shared" si="11"/>
        <v>1.2280772006433577E-4</v>
      </c>
      <c r="V82" s="100">
        <f t="shared" si="14"/>
        <v>5.6219671808404141E-2</v>
      </c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6" t="s">
        <v>84</v>
      </c>
      <c r="C83" s="46" t="s">
        <v>85</v>
      </c>
      <c r="D83" s="47">
        <v>2.7665919999999997</v>
      </c>
      <c r="E83" s="47">
        <v>3.5255839999999989</v>
      </c>
      <c r="F83" s="96">
        <v>9.9999999999999995E-7</v>
      </c>
      <c r="G83" s="7"/>
      <c r="H83" s="7"/>
      <c r="I83" s="54">
        <f t="shared" si="33"/>
        <v>0.14841008082679891</v>
      </c>
      <c r="J83" s="54">
        <f t="shared" si="34"/>
        <v>2.1981621448512665</v>
      </c>
      <c r="K83" s="55">
        <f t="shared" si="35"/>
        <v>0.67199387613914918</v>
      </c>
      <c r="L83" s="55">
        <f t="shared" si="36"/>
        <v>5.3761925691517762E-2</v>
      </c>
      <c r="M83" s="55">
        <f t="shared" si="19"/>
        <v>0.94623807430848228</v>
      </c>
      <c r="N83" s="55">
        <f t="shared" si="37"/>
        <v>3.2450023186928148E-2</v>
      </c>
      <c r="O83" s="56">
        <f t="shared" si="21"/>
        <v>6.726828027282062E-7</v>
      </c>
      <c r="P83" s="56">
        <f t="shared" si="38"/>
        <v>1.061628257905292E-4</v>
      </c>
      <c r="Q83" s="56">
        <f t="shared" si="39"/>
        <v>2.2562869161422477E-3</v>
      </c>
      <c r="R83" s="9">
        <f t="shared" si="12"/>
        <v>1.4999999999999999E-4</v>
      </c>
      <c r="S83" s="9">
        <f t="shared" si="13"/>
        <v>8.0642888537276641E-6</v>
      </c>
      <c r="T83" s="9">
        <f t="shared" si="10"/>
        <v>1.0079908142087237E-4</v>
      </c>
      <c r="U83" s="9">
        <f t="shared" si="11"/>
        <v>1.4193571114627234E-4</v>
      </c>
      <c r="V83" s="100">
        <f t="shared" si="14"/>
        <v>0.71017420920231644</v>
      </c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6" t="s">
        <v>139</v>
      </c>
      <c r="C84" s="46" t="s">
        <v>140</v>
      </c>
      <c r="D84" s="47">
        <v>4.4687359999999998</v>
      </c>
      <c r="E84" s="47">
        <v>5.2666120000000003</v>
      </c>
      <c r="F84" s="96">
        <v>9.9999999999999995E-7</v>
      </c>
      <c r="G84" s="7"/>
      <c r="H84" s="7"/>
      <c r="I84" s="54">
        <f t="shared" si="33"/>
        <v>1.3452769109111</v>
      </c>
      <c r="J84" s="54">
        <f t="shared" si="34"/>
        <v>3.9219734110768916</v>
      </c>
      <c r="K84" s="55">
        <f t="shared" si="35"/>
        <v>3.7889987740033271E-2</v>
      </c>
      <c r="L84" s="55">
        <f t="shared" si="36"/>
        <v>0.16048898554768046</v>
      </c>
      <c r="M84" s="55">
        <f t="shared" si="19"/>
        <v>0.83951101445231957</v>
      </c>
      <c r="N84" s="55">
        <f t="shared" si="37"/>
        <v>0.10078645290765724</v>
      </c>
      <c r="O84" s="56">
        <f t="shared" si="21"/>
        <v>3.7928832469040512E-8</v>
      </c>
      <c r="P84" s="56">
        <f t="shared" si="38"/>
        <v>3.1691506572439074E-4</v>
      </c>
      <c r="Q84" s="56">
        <f t="shared" si="39"/>
        <v>7.007796379989605E-3</v>
      </c>
      <c r="R84" s="9">
        <f t="shared" si="12"/>
        <v>1.4999999999999999E-4</v>
      </c>
      <c r="S84" s="9">
        <f t="shared" si="13"/>
        <v>2.4073347832152066E-5</v>
      </c>
      <c r="T84" s="9">
        <f t="shared" si="10"/>
        <v>5.6834981610049902E-6</v>
      </c>
      <c r="U84" s="9">
        <f t="shared" si="11"/>
        <v>1.2592665216784794E-4</v>
      </c>
      <c r="V84" s="100">
        <f t="shared" si="14"/>
        <v>4.5133401572761918E-2</v>
      </c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6" t="s">
        <v>86</v>
      </c>
      <c r="C85" s="46" t="s">
        <v>87</v>
      </c>
      <c r="D85" s="47">
        <v>2.6972559999999999</v>
      </c>
      <c r="E85" s="47">
        <v>3.431432</v>
      </c>
      <c r="F85" s="96">
        <v>9.9999999999999995E-7</v>
      </c>
      <c r="G85" s="7"/>
      <c r="H85" s="7"/>
      <c r="I85" s="54">
        <f t="shared" si="33"/>
        <v>0.12747825886296762</v>
      </c>
      <c r="J85" s="54">
        <f t="shared" si="34"/>
        <v>2.114444428876499</v>
      </c>
      <c r="K85" s="55">
        <f t="shared" si="35"/>
        <v>0.71031568213641871</v>
      </c>
      <c r="L85" s="55">
        <f t="shared" si="36"/>
        <v>4.6864413678487558E-2</v>
      </c>
      <c r="M85" s="55">
        <f t="shared" si="19"/>
        <v>0.95313558632151241</v>
      </c>
      <c r="N85" s="55">
        <f t="shared" si="37"/>
        <v>2.7615257622039837E-2</v>
      </c>
      <c r="O85" s="56">
        <f t="shared" si="21"/>
        <v>7.1104389615357538E-7</v>
      </c>
      <c r="P85" s="56">
        <f t="shared" si="38"/>
        <v>9.2542417726482876E-5</v>
      </c>
      <c r="Q85" s="56">
        <f t="shared" si="39"/>
        <v>1.9201201829527658E-3</v>
      </c>
      <c r="R85" s="9">
        <f t="shared" si="12"/>
        <v>1.4999999999999999E-4</v>
      </c>
      <c r="S85" s="9">
        <f t="shared" si="13"/>
        <v>7.029662051773133E-6</v>
      </c>
      <c r="T85" s="9">
        <f t="shared" si="10"/>
        <v>1.065473523204628E-4</v>
      </c>
      <c r="U85" s="9">
        <f t="shared" si="11"/>
        <v>1.4297033794822685E-4</v>
      </c>
      <c r="V85" s="100">
        <f t="shared" si="14"/>
        <v>0.74524096291250475</v>
      </c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6" t="s">
        <v>141</v>
      </c>
      <c r="C86" s="46" t="s">
        <v>142</v>
      </c>
      <c r="D86" s="47">
        <v>3.859360000000001</v>
      </c>
      <c r="E86" s="47">
        <v>4.2614199999999993</v>
      </c>
      <c r="F86" s="96">
        <v>9.9999999999999995E-7</v>
      </c>
      <c r="G86" s="7"/>
      <c r="H86" s="7"/>
      <c r="I86" s="54">
        <f t="shared" si="33"/>
        <v>0.71310437974280194</v>
      </c>
      <c r="J86" s="54">
        <f t="shared" si="34"/>
        <v>3.1083049817479944</v>
      </c>
      <c r="K86" s="55">
        <f t="shared" si="35"/>
        <v>0.17186295382523084</v>
      </c>
      <c r="L86" s="55">
        <f t="shared" si="36"/>
        <v>0.11179814807930333</v>
      </c>
      <c r="M86" s="55">
        <f t="shared" si="19"/>
        <v>0.88820185192069667</v>
      </c>
      <c r="N86" s="55">
        <f t="shared" si="37"/>
        <v>4.5171859418458582E-2</v>
      </c>
      <c r="O86" s="56">
        <f t="shared" si="21"/>
        <v>1.720391473334877E-7</v>
      </c>
      <c r="P86" s="56">
        <f t="shared" si="38"/>
        <v>2.2076603777828322E-4</v>
      </c>
      <c r="Q86" s="56">
        <f t="shared" si="39"/>
        <v>3.1408506180895979E-3</v>
      </c>
      <c r="R86" s="9">
        <f t="shared" si="12"/>
        <v>1.4999999999999999E-4</v>
      </c>
      <c r="S86" s="9">
        <f t="shared" si="13"/>
        <v>1.6769722211895497E-5</v>
      </c>
      <c r="T86" s="9">
        <f t="shared" si="10"/>
        <v>2.5779443073784623E-5</v>
      </c>
      <c r="U86" s="9">
        <f t="shared" si="11"/>
        <v>1.332302777881045E-4</v>
      </c>
      <c r="V86" s="100">
        <f t="shared" si="14"/>
        <v>0.19349537884162807</v>
      </c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6" t="s">
        <v>279</v>
      </c>
      <c r="C87" s="46" t="s">
        <v>280</v>
      </c>
      <c r="D87" s="47">
        <v>2.5105662711924017</v>
      </c>
      <c r="E87" s="47">
        <v>3.0939041322596146</v>
      </c>
      <c r="F87" s="96">
        <v>9.9999999999999995E-7</v>
      </c>
      <c r="G87" s="7"/>
      <c r="H87" s="7"/>
      <c r="I87" s="54">
        <f t="shared" si="33"/>
        <v>7.9970216478940079E-2</v>
      </c>
      <c r="J87" s="54">
        <f t="shared" si="34"/>
        <v>1.8471851829125021</v>
      </c>
      <c r="K87" s="55">
        <f t="shared" si="35"/>
        <v>0.80745374536735159</v>
      </c>
      <c r="L87" s="55">
        <f t="shared" si="36"/>
        <v>2.8790565301327332E-2</v>
      </c>
      <c r="M87" s="55">
        <f t="shared" si="19"/>
        <v>0.97120943469867271</v>
      </c>
      <c r="N87" s="55">
        <f t="shared" si="37"/>
        <v>1.4430702773791753E-2</v>
      </c>
      <c r="O87" s="56">
        <f t="shared" si="21"/>
        <v>8.0828154510536881E-7</v>
      </c>
      <c r="P87" s="56">
        <f t="shared" si="38"/>
        <v>5.6852274712657906E-5</v>
      </c>
      <c r="Q87" s="56">
        <f t="shared" si="39"/>
        <v>1.0033831307818617E-3</v>
      </c>
      <c r="R87" s="9">
        <f t="shared" si="12"/>
        <v>1.4999999999999999E-4</v>
      </c>
      <c r="S87" s="9">
        <f t="shared" si="13"/>
        <v>4.3185847951990998E-6</v>
      </c>
      <c r="T87" s="9">
        <f t="shared" si="10"/>
        <v>1.2111806180510273E-4</v>
      </c>
      <c r="U87" s="9">
        <f t="shared" si="11"/>
        <v>1.456814152048009E-4</v>
      </c>
      <c r="V87" s="100">
        <f t="shared" si="14"/>
        <v>0.83138993148050711</v>
      </c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6" t="s">
        <v>281</v>
      </c>
      <c r="C88" s="46" t="s">
        <v>282</v>
      </c>
      <c r="D88" s="47">
        <v>1.93</v>
      </c>
      <c r="E88" s="47">
        <v>1.25</v>
      </c>
      <c r="F88" s="96">
        <v>9.9999999999999995E-7</v>
      </c>
      <c r="G88" s="7"/>
      <c r="H88" s="7"/>
      <c r="I88" s="54">
        <f t="shared" si="33"/>
        <v>1.7455890954858774E-2</v>
      </c>
      <c r="J88" s="54">
        <f t="shared" si="34"/>
        <v>1.0153198888618138</v>
      </c>
      <c r="K88" s="55">
        <f t="shared" si="35"/>
        <v>0.955289398359075</v>
      </c>
      <c r="L88" s="55">
        <f t="shared" si="36"/>
        <v>5.0165160139588622E-3</v>
      </c>
      <c r="M88" s="55">
        <f t="shared" si="19"/>
        <v>0.99498348398604108</v>
      </c>
      <c r="N88" s="55">
        <f t="shared" si="37"/>
        <v>2.4456857558544163E-4</v>
      </c>
      <c r="O88" s="56">
        <f t="shared" si="21"/>
        <v>9.5626875887133879E-7</v>
      </c>
      <c r="P88" s="56">
        <f t="shared" si="38"/>
        <v>9.9060349646169778E-6</v>
      </c>
      <c r="Q88" s="56">
        <f t="shared" si="39"/>
        <v>1.7005130443643775E-5</v>
      </c>
      <c r="R88" s="9">
        <f t="shared" si="12"/>
        <v>1.4999999999999999E-4</v>
      </c>
      <c r="S88" s="9">
        <f t="shared" si="13"/>
        <v>7.524774020938293E-7</v>
      </c>
      <c r="T88" s="9">
        <f t="shared" si="10"/>
        <v>1.4329340975386125E-4</v>
      </c>
      <c r="U88" s="9">
        <f t="shared" si="11"/>
        <v>1.4924752259790614E-4</v>
      </c>
      <c r="V88" s="100">
        <f t="shared" si="14"/>
        <v>0.96010578440162031</v>
      </c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6" t="s">
        <v>283</v>
      </c>
      <c r="C89" s="46" t="s">
        <v>284</v>
      </c>
      <c r="D89" s="47">
        <v>1.25894119353766</v>
      </c>
      <c r="E89" s="47">
        <v>1.3134233879901926</v>
      </c>
      <c r="F89" s="96">
        <v>9.9999999999999995E-7</v>
      </c>
      <c r="G89" s="7"/>
      <c r="H89" s="7"/>
      <c r="I89" s="54">
        <f t="shared" si="33"/>
        <v>3.8813937169773554E-3</v>
      </c>
      <c r="J89" s="54">
        <f t="shared" si="34"/>
        <v>0.52729049979946763</v>
      </c>
      <c r="K89" s="55">
        <f t="shared" si="35"/>
        <v>0.98891697621080676</v>
      </c>
      <c r="L89" s="55">
        <f t="shared" si="36"/>
        <v>1.688098127386942E-3</v>
      </c>
      <c r="M89" s="55">
        <f t="shared" si="19"/>
        <v>0.99831190187261309</v>
      </c>
      <c r="N89" s="55">
        <f t="shared" si="37"/>
        <v>2.9298738147453521E-4</v>
      </c>
      <c r="O89" s="56">
        <f t="shared" si="21"/>
        <v>9.899308116391826E-7</v>
      </c>
      <c r="P89" s="56">
        <f t="shared" si="38"/>
        <v>3.3334607179700357E-6</v>
      </c>
      <c r="Q89" s="56">
        <f t="shared" si="39"/>
        <v>2.0371744932437145E-5</v>
      </c>
      <c r="R89" s="9">
        <f t="shared" si="12"/>
        <v>1.4999999999999999E-4</v>
      </c>
      <c r="S89" s="9">
        <f t="shared" si="13"/>
        <v>2.5321471910804127E-7</v>
      </c>
      <c r="T89" s="9">
        <f t="shared" si="10"/>
        <v>1.4833754643162099E-4</v>
      </c>
      <c r="U89" s="9">
        <f t="shared" si="11"/>
        <v>1.4974678528089196E-4</v>
      </c>
      <c r="V89" s="100">
        <f t="shared" si="14"/>
        <v>0.99058918796401851</v>
      </c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6" t="s">
        <v>285</v>
      </c>
      <c r="C90" s="46" t="s">
        <v>286</v>
      </c>
      <c r="D90" s="47">
        <v>0.21626245461153099</v>
      </c>
      <c r="E90" s="47">
        <v>-0.16982383217232916</v>
      </c>
      <c r="F90" s="96">
        <v>9.9999999999999995E-7</v>
      </c>
      <c r="G90" s="7"/>
      <c r="H90" s="7"/>
      <c r="I90" s="54">
        <f t="shared" si="33"/>
        <v>1.2917346823443875E-4</v>
      </c>
      <c r="J90" s="54">
        <f t="shared" si="34"/>
        <v>2.4879215718300821E-2</v>
      </c>
      <c r="K90" s="55">
        <f t="shared" si="35"/>
        <v>0.99864911021126801</v>
      </c>
      <c r="L90" s="55">
        <f t="shared" si="36"/>
        <v>5.3609220340561977E-4</v>
      </c>
      <c r="M90" s="55">
        <f t="shared" si="19"/>
        <v>0.99946390779659433</v>
      </c>
      <c r="N90" s="55">
        <f t="shared" si="37"/>
        <v>9.7242201699326483E-6</v>
      </c>
      <c r="O90" s="56">
        <f t="shared" si="21"/>
        <v>9.9967292300122298E-7</v>
      </c>
      <c r="P90" s="56">
        <f t="shared" si="38"/>
        <v>1.0586128094513395E-6</v>
      </c>
      <c r="Q90" s="56">
        <f t="shared" si="39"/>
        <v>6.7613605736787055E-7</v>
      </c>
      <c r="R90" s="9">
        <f t="shared" si="12"/>
        <v>1.4999999999999999E-4</v>
      </c>
      <c r="S90" s="9">
        <f t="shared" si="13"/>
        <v>8.0413830510842963E-8</v>
      </c>
      <c r="T90" s="9">
        <f t="shared" si="10"/>
        <v>1.4979736653169019E-4</v>
      </c>
      <c r="U90" s="9">
        <f t="shared" si="11"/>
        <v>1.4991958616948913E-4</v>
      </c>
      <c r="V90" s="100">
        <f t="shared" si="14"/>
        <v>0.99918476537374656</v>
      </c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6" t="s">
        <v>287</v>
      </c>
      <c r="C91" s="46" t="s">
        <v>288</v>
      </c>
      <c r="D91" s="47">
        <v>-2.4693681101840836E-2</v>
      </c>
      <c r="E91" s="47">
        <v>-0.51259241959557644</v>
      </c>
      <c r="F91" s="96">
        <v>9.9999999999999995E-7</v>
      </c>
      <c r="G91" s="7"/>
      <c r="H91" s="7"/>
      <c r="I91" s="54">
        <f t="shared" si="33"/>
        <v>-2.2956464274597468E-5</v>
      </c>
      <c r="J91" s="54">
        <f t="shared" si="34"/>
        <v>-1.1223782850909744E-2</v>
      </c>
      <c r="K91" s="55">
        <f t="shared" si="35"/>
        <v>0.99904154011335289</v>
      </c>
      <c r="L91" s="55">
        <f t="shared" si="36"/>
        <v>4.9352268470509225E-4</v>
      </c>
      <c r="M91" s="55">
        <f t="shared" si="19"/>
        <v>0.99950647731529496</v>
      </c>
      <c r="N91" s="55">
        <f t="shared" si="37"/>
        <v>4.4183165032583865E-6</v>
      </c>
      <c r="O91" s="56">
        <f t="shared" si="21"/>
        <v>1.0000657552215484E-6</v>
      </c>
      <c r="P91" s="56">
        <f t="shared" si="38"/>
        <v>9.7455145302370287E-7</v>
      </c>
      <c r="Q91" s="56">
        <f t="shared" si="39"/>
        <v>3.0721055760887949E-7</v>
      </c>
      <c r="R91" s="9">
        <f t="shared" si="12"/>
        <v>1.4999999999999999E-4</v>
      </c>
      <c r="S91" s="9">
        <f t="shared" si="13"/>
        <v>7.4028402705763835E-8</v>
      </c>
      <c r="T91" s="9">
        <f t="shared" si="10"/>
        <v>1.4985623101700291E-4</v>
      </c>
      <c r="U91" s="9">
        <f t="shared" si="11"/>
        <v>1.4992597159729424E-4</v>
      </c>
      <c r="V91" s="100">
        <f t="shared" si="14"/>
        <v>0.99953483322770365</v>
      </c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6" t="s">
        <v>289</v>
      </c>
      <c r="C92" s="46" t="s">
        <v>290</v>
      </c>
      <c r="D92" s="47">
        <v>1.358312346903767</v>
      </c>
      <c r="E92" s="47">
        <v>1.454782352637753</v>
      </c>
      <c r="F92" s="96">
        <v>9.9999999999999995E-7</v>
      </c>
      <c r="G92" s="7"/>
      <c r="H92" s="7"/>
      <c r="I92" s="54">
        <f t="shared" si="33"/>
        <v>4.9737704902702096E-3</v>
      </c>
      <c r="J92" s="54">
        <f t="shared" si="34"/>
        <v>0.61119814622859969</v>
      </c>
      <c r="K92" s="55">
        <f t="shared" si="35"/>
        <v>0.98608298273565131</v>
      </c>
      <c r="L92" s="55">
        <f t="shared" si="36"/>
        <v>2.0420151804808346E-3</v>
      </c>
      <c r="M92" s="55">
        <f t="shared" si="19"/>
        <v>0.99795798481951914</v>
      </c>
      <c r="N92" s="55">
        <f t="shared" si="37"/>
        <v>4.0454003974354792E-4</v>
      </c>
      <c r="O92" s="56">
        <f t="shared" si="21"/>
        <v>9.8709391276038061E-7</v>
      </c>
      <c r="P92" s="56">
        <f t="shared" si="38"/>
        <v>4.0323351345505495E-6</v>
      </c>
      <c r="Q92" s="56">
        <f t="shared" si="39"/>
        <v>2.81281277819462E-5</v>
      </c>
      <c r="R92" s="9">
        <f t="shared" si="12"/>
        <v>1.4999999999999999E-4</v>
      </c>
      <c r="S92" s="9">
        <f t="shared" si="13"/>
        <v>3.0630227707212516E-7</v>
      </c>
      <c r="T92" s="9">
        <f t="shared" ref="T92:T143" si="40">R92*K92</f>
        <v>1.4791244741034769E-4</v>
      </c>
      <c r="U92" s="9">
        <f t="shared" ref="U92:U143" si="41">$R92*M92</f>
        <v>1.4969369772292786E-4</v>
      </c>
      <c r="V92" s="100">
        <f t="shared" si="14"/>
        <v>0.98810069936359557</v>
      </c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6" t="s">
        <v>291</v>
      </c>
      <c r="C93" s="46" t="s">
        <v>292</v>
      </c>
      <c r="D93" s="47">
        <v>-1.2091799453325114E-2</v>
      </c>
      <c r="E93" s="47">
        <v>-0.49466579922233578</v>
      </c>
      <c r="F93" s="96">
        <v>9.9999999999999995E-7</v>
      </c>
      <c r="G93" s="7"/>
      <c r="H93" s="7"/>
      <c r="I93" s="54">
        <f t="shared" si="33"/>
        <v>-1.6944268240451622E-5</v>
      </c>
      <c r="J93" s="54">
        <f t="shared" si="34"/>
        <v>-9.7534084102171136E-3</v>
      </c>
      <c r="K93" s="55">
        <f t="shared" si="35"/>
        <v>0.99902604463048117</v>
      </c>
      <c r="L93" s="55">
        <f t="shared" si="36"/>
        <v>4.9518873691634557E-4</v>
      </c>
      <c r="M93" s="55">
        <f t="shared" ref="M93:M127" si="42">IF(D93=0,"",1-L93)</f>
        <v>0.99950481126308366</v>
      </c>
      <c r="N93" s="55">
        <f t="shared" si="37"/>
        <v>4.6044388255292262E-6</v>
      </c>
      <c r="O93" s="56">
        <f t="shared" ref="O93:O127" si="43">IF(D93=0,"",F93*K93*$J$7/$J$14)</f>
        <v>1.0000502438527428E-6</v>
      </c>
      <c r="P93" s="56">
        <f t="shared" si="38"/>
        <v>9.778413800191772E-7</v>
      </c>
      <c r="Q93" s="56">
        <f t="shared" si="39"/>
        <v>3.2015185377136952E-7</v>
      </c>
      <c r="R93" s="9">
        <f t="shared" ref="R93:R143" si="44">F93*$C$14</f>
        <v>1.4999999999999999E-4</v>
      </c>
      <c r="S93" s="9">
        <f t="shared" ref="S93:S143" si="45">$R93*L93</f>
        <v>7.4278310537451826E-8</v>
      </c>
      <c r="T93" s="9">
        <f t="shared" si="40"/>
        <v>1.4985390669457215E-4</v>
      </c>
      <c r="U93" s="9">
        <f t="shared" si="41"/>
        <v>1.4992572168946253E-4</v>
      </c>
      <c r="V93" s="100">
        <f t="shared" ref="V93:V143" si="46">K93/M93</f>
        <v>0.99952099617009604</v>
      </c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6" t="s">
        <v>293</v>
      </c>
      <c r="C94" s="46" t="s">
        <v>294</v>
      </c>
      <c r="D94" s="47">
        <v>-0.5582197001134892</v>
      </c>
      <c r="E94" s="47">
        <v>-1.2715519677670764</v>
      </c>
      <c r="F94" s="96">
        <v>9.9999999999999995E-7</v>
      </c>
      <c r="G94" s="7"/>
      <c r="H94" s="7"/>
      <c r="I94" s="54">
        <f t="shared" si="33"/>
        <v>-1.664624595209951E-4</v>
      </c>
      <c r="J94" s="54">
        <f t="shared" si="34"/>
        <v>-4.7341276291219724E-2</v>
      </c>
      <c r="K94" s="55">
        <f t="shared" si="35"/>
        <v>0.99941092233794493</v>
      </c>
      <c r="L94" s="55">
        <f t="shared" si="36"/>
        <v>4.5430777691355084E-4</v>
      </c>
      <c r="M94" s="55">
        <f t="shared" si="42"/>
        <v>0.99954569222308642</v>
      </c>
      <c r="N94" s="55">
        <f t="shared" si="37"/>
        <v>7.6994166124728901E-7</v>
      </c>
      <c r="O94" s="56">
        <f t="shared" si="43"/>
        <v>1.0004355161359546E-6</v>
      </c>
      <c r="P94" s="56">
        <f t="shared" si="38"/>
        <v>8.9711439379050098E-7</v>
      </c>
      <c r="Q94" s="56">
        <f t="shared" si="39"/>
        <v>5.3534916953923326E-8</v>
      </c>
      <c r="R94" s="9">
        <f t="shared" si="44"/>
        <v>1.4999999999999999E-4</v>
      </c>
      <c r="S94" s="9">
        <f t="shared" si="45"/>
        <v>6.8146166537032627E-8</v>
      </c>
      <c r="T94" s="9">
        <f t="shared" si="40"/>
        <v>1.4991163835069172E-4</v>
      </c>
      <c r="U94" s="9">
        <f t="shared" si="41"/>
        <v>1.4993185383346296E-4</v>
      </c>
      <c r="V94" s="100">
        <f t="shared" si="46"/>
        <v>0.99986516886002308</v>
      </c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6" t="s">
        <v>295</v>
      </c>
      <c r="C95" s="46" t="s">
        <v>296</v>
      </c>
      <c r="D95" s="47">
        <v>3.8826699877244018</v>
      </c>
      <c r="E95" s="47">
        <v>5.0457699825375304</v>
      </c>
      <c r="F95" s="96">
        <v>9.9999999999999995E-7</v>
      </c>
      <c r="G95" s="7"/>
      <c r="H95" s="7"/>
      <c r="I95" s="54">
        <f t="shared" si="33"/>
        <v>0.94867954725222914</v>
      </c>
      <c r="J95" s="54">
        <f t="shared" si="34"/>
        <v>3.5979703947660986</v>
      </c>
      <c r="K95" s="55">
        <f t="shared" si="35"/>
        <v>9.1753474296174628E-2</v>
      </c>
      <c r="L95" s="55">
        <f t="shared" si="36"/>
        <v>0.18430633744301841</v>
      </c>
      <c r="M95" s="55">
        <f t="shared" si="42"/>
        <v>0.81569366255698161</v>
      </c>
      <c r="N95" s="55">
        <f t="shared" si="37"/>
        <v>0.14677706415901595</v>
      </c>
      <c r="O95" s="56">
        <f t="shared" si="43"/>
        <v>9.1847539748741204E-8</v>
      </c>
      <c r="P95" s="56">
        <f t="shared" si="38"/>
        <v>3.6394681444866376E-4</v>
      </c>
      <c r="Q95" s="56">
        <f t="shared" si="39"/>
        <v>1.020557574162735E-2</v>
      </c>
      <c r="R95" s="9">
        <f t="shared" si="44"/>
        <v>1.4999999999999999E-4</v>
      </c>
      <c r="S95" s="9">
        <f t="shared" si="45"/>
        <v>2.764595061645276E-5</v>
      </c>
      <c r="T95" s="9">
        <f t="shared" si="40"/>
        <v>1.3763021144426193E-5</v>
      </c>
      <c r="U95" s="9">
        <f t="shared" si="41"/>
        <v>1.2235404938354722E-4</v>
      </c>
      <c r="V95" s="100">
        <f t="shared" si="46"/>
        <v>0.11248521167683467</v>
      </c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6" t="s">
        <v>297</v>
      </c>
      <c r="C96" s="46" t="s">
        <v>210</v>
      </c>
      <c r="D96" s="47">
        <v>-5.8280000000154555</v>
      </c>
      <c r="E96" s="47">
        <v>-8.7680000000219867</v>
      </c>
      <c r="F96" s="96">
        <v>9.9999999999999995E-7</v>
      </c>
      <c r="G96" s="7"/>
      <c r="H96" s="7"/>
      <c r="I96" s="54">
        <f t="shared" si="33"/>
        <v>-2.2502251762220258E-4</v>
      </c>
      <c r="J96" s="54">
        <f t="shared" si="34"/>
        <v>-6.2482029266406218E-2</v>
      </c>
      <c r="K96" s="55">
        <f t="shared" si="35"/>
        <v>0.99956119110880692</v>
      </c>
      <c r="L96" s="55">
        <f t="shared" si="36"/>
        <v>4.3880817782271267E-4</v>
      </c>
      <c r="M96" s="55">
        <f t="shared" si="42"/>
        <v>0.99956119182217729</v>
      </c>
      <c r="N96" s="55">
        <f t="shared" si="37"/>
        <v>2.4551333289086078E-14</v>
      </c>
      <c r="O96" s="56">
        <f t="shared" si="43"/>
        <v>1.0005859389620177E-6</v>
      </c>
      <c r="P96" s="56">
        <f t="shared" si="38"/>
        <v>8.6650758019633467E-7</v>
      </c>
      <c r="Q96" s="56">
        <f t="shared" si="39"/>
        <v>1.7070820490608232E-15</v>
      </c>
      <c r="R96" s="9">
        <f t="shared" si="44"/>
        <v>1.4999999999999999E-4</v>
      </c>
      <c r="S96" s="9">
        <f t="shared" si="45"/>
        <v>6.5821226673406893E-8</v>
      </c>
      <c r="T96" s="9">
        <f t="shared" si="40"/>
        <v>1.4993417866632103E-4</v>
      </c>
      <c r="U96" s="9">
        <f t="shared" si="41"/>
        <v>1.4993417877332658E-4</v>
      </c>
      <c r="V96" s="100">
        <f t="shared" si="46"/>
        <v>0.99999999928631644</v>
      </c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6" t="s">
        <v>298</v>
      </c>
      <c r="C97" s="46" t="s">
        <v>211</v>
      </c>
      <c r="D97" s="47" t="s">
        <v>299</v>
      </c>
      <c r="E97" s="47">
        <v>-4.1624004386372073</v>
      </c>
      <c r="F97" s="96">
        <v>9.9999999999999995E-7</v>
      </c>
      <c r="G97" s="7"/>
      <c r="H97" s="7"/>
      <c r="I97" s="54" t="e">
        <f t="shared" si="33"/>
        <v>#VALUE!</v>
      </c>
      <c r="J97" s="54" t="e">
        <f t="shared" si="34"/>
        <v>#VALUE!</v>
      </c>
      <c r="K97" s="55" t="e">
        <f t="shared" si="35"/>
        <v>#VALUE!</v>
      </c>
      <c r="L97" s="55" t="e">
        <f t="shared" si="36"/>
        <v>#VALUE!</v>
      </c>
      <c r="M97" s="55" t="e">
        <f t="shared" si="42"/>
        <v>#VALUE!</v>
      </c>
      <c r="N97" s="55" t="e">
        <f t="shared" si="37"/>
        <v>#VALUE!</v>
      </c>
      <c r="O97" s="56" t="e">
        <f t="shared" si="43"/>
        <v>#VALUE!</v>
      </c>
      <c r="P97" s="56" t="e">
        <f t="shared" si="38"/>
        <v>#VALUE!</v>
      </c>
      <c r="Q97" s="56" t="e">
        <f t="shared" si="39"/>
        <v>#VALUE!</v>
      </c>
      <c r="R97" s="9">
        <f t="shared" si="44"/>
        <v>1.4999999999999999E-4</v>
      </c>
      <c r="S97" s="9"/>
      <c r="T97" s="9"/>
      <c r="U97" s="9"/>
      <c r="V97" s="100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6" t="s">
        <v>300</v>
      </c>
      <c r="C98" s="46" t="s">
        <v>212</v>
      </c>
      <c r="D98" s="47">
        <v>4.54</v>
      </c>
      <c r="E98" s="47">
        <v>4.25</v>
      </c>
      <c r="F98" s="96">
        <v>9.9999999999999995E-7</v>
      </c>
      <c r="G98" s="7"/>
      <c r="H98" s="7"/>
      <c r="I98" s="54">
        <f t="shared" si="33"/>
        <v>1.2628922084387679</v>
      </c>
      <c r="J98" s="54">
        <f t="shared" si="34"/>
        <v>3.6198691988424496</v>
      </c>
      <c r="K98" s="55">
        <f t="shared" si="35"/>
        <v>4.8922033701771256E-2</v>
      </c>
      <c r="L98" s="55">
        <f t="shared" si="36"/>
        <v>0.10335251692112742</v>
      </c>
      <c r="M98" s="55">
        <f t="shared" si="42"/>
        <v>0.89664748307887254</v>
      </c>
      <c r="N98" s="55">
        <f t="shared" si="37"/>
        <v>1.2524782665585311E-2</v>
      </c>
      <c r="O98" s="56">
        <f t="shared" si="43"/>
        <v>4.8972188459135305E-8</v>
      </c>
      <c r="P98" s="56">
        <f t="shared" si="38"/>
        <v>2.0408858328230424E-4</v>
      </c>
      <c r="Q98" s="56">
        <f t="shared" si="39"/>
        <v>8.708623440142609E-4</v>
      </c>
      <c r="R98" s="9">
        <f t="shared" si="44"/>
        <v>1.4999999999999999E-4</v>
      </c>
      <c r="S98" s="9">
        <f t="shared" si="45"/>
        <v>1.5502877538169113E-5</v>
      </c>
      <c r="T98" s="9">
        <f t="shared" si="40"/>
        <v>7.3383050552656879E-6</v>
      </c>
      <c r="U98" s="9">
        <f t="shared" si="41"/>
        <v>1.3449712246183087E-4</v>
      </c>
      <c r="V98" s="100">
        <f t="shared" si="46"/>
        <v>5.456105618429298E-2</v>
      </c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6" t="s">
        <v>301</v>
      </c>
      <c r="C99" s="46" t="s">
        <v>213</v>
      </c>
      <c r="D99" s="47">
        <v>2.83</v>
      </c>
      <c r="E99" s="47">
        <v>2.3199999999999998</v>
      </c>
      <c r="F99" s="96">
        <v>9.9999999999999995E-7</v>
      </c>
      <c r="G99" s="7"/>
      <c r="H99" s="7"/>
      <c r="I99" s="54">
        <f t="shared" si="33"/>
        <v>0.12448503768629132</v>
      </c>
      <c r="J99" s="54">
        <f t="shared" si="34"/>
        <v>1.8931732256368987</v>
      </c>
      <c r="K99" s="55">
        <f t="shared" si="35"/>
        <v>0.72871942656270794</v>
      </c>
      <c r="L99" s="55">
        <f t="shared" si="36"/>
        <v>2.888556914166536E-2</v>
      </c>
      <c r="M99" s="55">
        <f t="shared" si="42"/>
        <v>0.9711144308583346</v>
      </c>
      <c r="N99" s="55">
        <f t="shared" si="37"/>
        <v>2.1919267835733241E-3</v>
      </c>
      <c r="O99" s="56">
        <f t="shared" si="43"/>
        <v>7.2946650805667288E-7</v>
      </c>
      <c r="P99" s="56">
        <f t="shared" si="38"/>
        <v>5.7039877296112777E-5</v>
      </c>
      <c r="Q99" s="56">
        <f t="shared" si="39"/>
        <v>1.5240715528704138E-4</v>
      </c>
      <c r="R99" s="9">
        <f t="shared" si="44"/>
        <v>1.4999999999999999E-4</v>
      </c>
      <c r="S99" s="9">
        <f t="shared" si="45"/>
        <v>4.3328353712498035E-6</v>
      </c>
      <c r="T99" s="9">
        <f t="shared" si="40"/>
        <v>1.0930791398440619E-4</v>
      </c>
      <c r="U99" s="9">
        <f t="shared" si="41"/>
        <v>1.4566716462875018E-4</v>
      </c>
      <c r="V99" s="100">
        <f t="shared" si="46"/>
        <v>0.75039501361195704</v>
      </c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6" t="s">
        <v>302</v>
      </c>
      <c r="C100" s="46" t="s">
        <v>214</v>
      </c>
      <c r="D100" s="47" t="s">
        <v>299</v>
      </c>
      <c r="E100" s="47">
        <v>1.7</v>
      </c>
      <c r="F100" s="96">
        <v>9.9999999999999995E-7</v>
      </c>
      <c r="G100" s="7"/>
      <c r="H100" s="7"/>
      <c r="I100" s="54" t="e">
        <f t="shared" si="33"/>
        <v>#VALUE!</v>
      </c>
      <c r="J100" s="54" t="e">
        <f t="shared" si="34"/>
        <v>#VALUE!</v>
      </c>
      <c r="K100" s="55" t="e">
        <f t="shared" si="35"/>
        <v>#VALUE!</v>
      </c>
      <c r="L100" s="55" t="e">
        <f t="shared" si="36"/>
        <v>#VALUE!</v>
      </c>
      <c r="M100" s="55" t="e">
        <f t="shared" si="42"/>
        <v>#VALUE!</v>
      </c>
      <c r="N100" s="55" t="e">
        <f t="shared" si="37"/>
        <v>#VALUE!</v>
      </c>
      <c r="O100" s="56" t="e">
        <f t="shared" si="43"/>
        <v>#VALUE!</v>
      </c>
      <c r="P100" s="56" t="e">
        <f t="shared" si="38"/>
        <v>#VALUE!</v>
      </c>
      <c r="Q100" s="56" t="e">
        <f t="shared" si="39"/>
        <v>#VALUE!</v>
      </c>
      <c r="R100" s="9">
        <f t="shared" si="44"/>
        <v>1.4999999999999999E-4</v>
      </c>
      <c r="S100" s="9"/>
      <c r="T100" s="9"/>
      <c r="U100" s="9"/>
      <c r="V100" s="100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6" t="s">
        <v>303</v>
      </c>
      <c r="C101" s="46" t="s">
        <v>215</v>
      </c>
      <c r="D101" s="47">
        <v>4.2</v>
      </c>
      <c r="E101" s="47">
        <v>3.52</v>
      </c>
      <c r="F101" s="96">
        <v>9.9999999999999995E-7</v>
      </c>
      <c r="G101" s="7"/>
      <c r="H101" s="7"/>
      <c r="I101" s="54">
        <f t="shared" si="33"/>
        <v>0.94115347171694241</v>
      </c>
      <c r="J101" s="54">
        <f t="shared" si="34"/>
        <v>3.2476184352887936</v>
      </c>
      <c r="K101" s="55">
        <f t="shared" si="35"/>
        <v>0.10380058497140345</v>
      </c>
      <c r="L101" s="55">
        <f t="shared" si="36"/>
        <v>9.3060545157031577E-2</v>
      </c>
      <c r="M101" s="55">
        <f t="shared" si="42"/>
        <v>0.90693945484296845</v>
      </c>
      <c r="N101" s="55">
        <f t="shared" si="37"/>
        <v>4.9484079630329192E-3</v>
      </c>
      <c r="O101" s="56">
        <f t="shared" si="43"/>
        <v>1.0390700109435583E-7</v>
      </c>
      <c r="P101" s="56">
        <f t="shared" si="38"/>
        <v>1.8376518914456144E-4</v>
      </c>
      <c r="Q101" s="56">
        <f t="shared" si="39"/>
        <v>3.4406841802266873E-4</v>
      </c>
      <c r="R101" s="9">
        <f t="shared" si="44"/>
        <v>1.4999999999999999E-4</v>
      </c>
      <c r="S101" s="9">
        <f t="shared" si="45"/>
        <v>1.3959081773554736E-5</v>
      </c>
      <c r="T101" s="9">
        <f t="shared" si="40"/>
        <v>1.5570087745710517E-5</v>
      </c>
      <c r="U101" s="9">
        <f t="shared" si="41"/>
        <v>1.3604091822644524E-4</v>
      </c>
      <c r="V101" s="100">
        <f t="shared" si="46"/>
        <v>0.11445150436130926</v>
      </c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6" t="s">
        <v>304</v>
      </c>
      <c r="C102" s="46" t="s">
        <v>216</v>
      </c>
      <c r="D102" s="47">
        <v>3.44</v>
      </c>
      <c r="E102" s="47">
        <v>-2.9403004386372071</v>
      </c>
      <c r="F102" s="96">
        <v>9.9999999999999995E-7</v>
      </c>
      <c r="G102" s="7"/>
      <c r="H102" s="7"/>
      <c r="I102" s="54">
        <f t="shared" si="33"/>
        <v>0.36577089944725916</v>
      </c>
      <c r="J102" s="54">
        <f t="shared" si="34"/>
        <v>2.4649551637640035</v>
      </c>
      <c r="K102" s="55">
        <f t="shared" si="35"/>
        <v>0.40476118467529004</v>
      </c>
      <c r="L102" s="55">
        <f t="shared" si="36"/>
        <v>5.9855129969918285E-2</v>
      </c>
      <c r="M102" s="55">
        <f t="shared" si="42"/>
        <v>0.94014487003008174</v>
      </c>
      <c r="N102" s="55">
        <f t="shared" si="37"/>
        <v>6.6859652619989024E-9</v>
      </c>
      <c r="O102" s="56">
        <f t="shared" si="43"/>
        <v>4.0517614491859328E-7</v>
      </c>
      <c r="P102" s="56">
        <f t="shared" si="38"/>
        <v>1.1819498007059812E-4</v>
      </c>
      <c r="Q102" s="56">
        <f t="shared" si="39"/>
        <v>4.6488274771115035E-10</v>
      </c>
      <c r="R102" s="9">
        <f t="shared" si="44"/>
        <v>1.4999999999999999E-4</v>
      </c>
      <c r="S102" s="9">
        <f t="shared" si="45"/>
        <v>8.978269495487742E-6</v>
      </c>
      <c r="T102" s="9">
        <f t="shared" si="40"/>
        <v>6.0714177701293501E-5</v>
      </c>
      <c r="U102" s="9">
        <f t="shared" si="41"/>
        <v>1.4102173050451226E-4</v>
      </c>
      <c r="V102" s="100">
        <f t="shared" si="46"/>
        <v>0.43053065285814829</v>
      </c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6" t="s">
        <v>305</v>
      </c>
      <c r="C103" s="46" t="s">
        <v>217</v>
      </c>
      <c r="D103" s="47">
        <v>4.49</v>
      </c>
      <c r="E103" s="47">
        <v>-1.7182004386372074</v>
      </c>
      <c r="F103" s="96">
        <v>9.9999999999999995E-7</v>
      </c>
      <c r="G103" s="7"/>
      <c r="H103" s="7"/>
      <c r="I103" s="54">
        <f t="shared" si="33"/>
        <v>1.199560490818528</v>
      </c>
      <c r="J103" s="54">
        <f t="shared" si="34"/>
        <v>3.5137792245030726</v>
      </c>
      <c r="K103" s="55">
        <f t="shared" si="35"/>
        <v>5.7156462463987694E-2</v>
      </c>
      <c r="L103" s="55">
        <f t="shared" si="36"/>
        <v>9.4578391155514321E-2</v>
      </c>
      <c r="M103" s="55">
        <f t="shared" si="42"/>
        <v>0.90542160884448564</v>
      </c>
      <c r="N103" s="55">
        <f t="shared" si="37"/>
        <v>1.5744562563741728E-8</v>
      </c>
      <c r="O103" s="56">
        <f t="shared" si="43"/>
        <v>5.7215059138936745E-8</v>
      </c>
      <c r="P103" s="56">
        <f t="shared" si="38"/>
        <v>1.867624556717759E-4</v>
      </c>
      <c r="Q103" s="56">
        <f t="shared" si="39"/>
        <v>1.0947372921219898E-9</v>
      </c>
      <c r="R103" s="9">
        <f t="shared" si="44"/>
        <v>1.4999999999999999E-4</v>
      </c>
      <c r="S103" s="9">
        <f t="shared" si="45"/>
        <v>1.4186758673327147E-5</v>
      </c>
      <c r="T103" s="9">
        <f t="shared" si="40"/>
        <v>8.573469369598153E-6</v>
      </c>
      <c r="U103" s="9">
        <f t="shared" si="41"/>
        <v>1.3581324132667285E-4</v>
      </c>
      <c r="V103" s="100">
        <f t="shared" si="46"/>
        <v>6.3126903428924935E-2</v>
      </c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6" t="s">
        <v>306</v>
      </c>
      <c r="C104" s="46" t="s">
        <v>218</v>
      </c>
      <c r="D104" s="47">
        <v>5.17</v>
      </c>
      <c r="E104" s="47">
        <v>4.54</v>
      </c>
      <c r="F104" s="96">
        <v>9.9999999999999995E-7</v>
      </c>
      <c r="G104" s="7"/>
      <c r="H104" s="7"/>
      <c r="I104" s="54">
        <f t="shared" si="33"/>
        <v>1.8651886014657959</v>
      </c>
      <c r="J104" s="54">
        <f t="shared" si="34"/>
        <v>4.2202384414377665</v>
      </c>
      <c r="K104" s="55">
        <f t="shared" si="35"/>
        <v>1.2229448979078463E-2</v>
      </c>
      <c r="L104" s="55">
        <f t="shared" si="36"/>
        <v>0.10294202023298231</v>
      </c>
      <c r="M104" s="55">
        <f t="shared" si="42"/>
        <v>0.89705797976701773</v>
      </c>
      <c r="N104" s="55">
        <f t="shared" si="37"/>
        <v>6.1048160960980816E-3</v>
      </c>
      <c r="O104" s="56">
        <f t="shared" si="43"/>
        <v>1.224198658227748E-8</v>
      </c>
      <c r="P104" s="56">
        <f t="shared" si="38"/>
        <v>2.0327798195375071E-4</v>
      </c>
      <c r="Q104" s="56">
        <f t="shared" si="39"/>
        <v>4.2447478708210499E-4</v>
      </c>
      <c r="R104" s="9">
        <f t="shared" si="44"/>
        <v>1.4999999999999999E-4</v>
      </c>
      <c r="S104" s="9">
        <f t="shared" si="45"/>
        <v>1.5441303034947345E-5</v>
      </c>
      <c r="T104" s="9">
        <f t="shared" si="40"/>
        <v>1.8344173468617692E-6</v>
      </c>
      <c r="U104" s="9">
        <f t="shared" si="41"/>
        <v>1.3455869696505266E-4</v>
      </c>
      <c r="V104" s="100">
        <f t="shared" si="46"/>
        <v>1.3632841193001453E-2</v>
      </c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6" t="s">
        <v>307</v>
      </c>
      <c r="C105" s="46" t="s">
        <v>219</v>
      </c>
      <c r="D105" s="47">
        <v>4.76</v>
      </c>
      <c r="E105" s="47">
        <v>4.8899999999999997</v>
      </c>
      <c r="F105" s="96">
        <v>9.9999999999999995E-7</v>
      </c>
      <c r="G105" s="7"/>
      <c r="H105" s="7"/>
      <c r="I105" s="54">
        <f t="shared" si="33"/>
        <v>1.4992792320699506</v>
      </c>
      <c r="J105" s="54">
        <f t="shared" si="34"/>
        <v>3.9181380342054464</v>
      </c>
      <c r="K105" s="55">
        <f t="shared" si="35"/>
        <v>2.7944579602079352E-2</v>
      </c>
      <c r="L105" s="55">
        <f t="shared" si="36"/>
        <v>0.11732294899355622</v>
      </c>
      <c r="M105" s="55">
        <f t="shared" si="42"/>
        <v>0.88267705100644378</v>
      </c>
      <c r="N105" s="55">
        <f t="shared" si="37"/>
        <v>3.1229373841467251E-2</v>
      </c>
      <c r="O105" s="56">
        <f t="shared" si="43"/>
        <v>2.7973228321348195E-8</v>
      </c>
      <c r="P105" s="56">
        <f t="shared" si="38"/>
        <v>2.316757749099598E-4</v>
      </c>
      <c r="Q105" s="56">
        <f t="shared" si="39"/>
        <v>2.1714137827242574E-3</v>
      </c>
      <c r="R105" s="9">
        <f t="shared" si="44"/>
        <v>1.4999999999999999E-4</v>
      </c>
      <c r="S105" s="9">
        <f t="shared" si="45"/>
        <v>1.759844234903343E-5</v>
      </c>
      <c r="T105" s="9">
        <f t="shared" si="40"/>
        <v>4.1916869403119026E-6</v>
      </c>
      <c r="U105" s="9">
        <f t="shared" si="41"/>
        <v>1.3240155765096656E-4</v>
      </c>
      <c r="V105" s="100">
        <f t="shared" si="46"/>
        <v>3.1658894462268453E-2</v>
      </c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6" t="s">
        <v>308</v>
      </c>
      <c r="C106" s="46" t="s">
        <v>220</v>
      </c>
      <c r="D106" s="47">
        <v>3.93</v>
      </c>
      <c r="E106" s="47">
        <v>2.91</v>
      </c>
      <c r="F106" s="96">
        <v>9.9999999999999995E-7</v>
      </c>
      <c r="G106" s="7"/>
      <c r="H106" s="7"/>
      <c r="I106" s="54">
        <f t="shared" si="33"/>
        <v>0.70891628628139558</v>
      </c>
      <c r="J106" s="54">
        <f t="shared" si="34"/>
        <v>2.9650850681227481</v>
      </c>
      <c r="K106" s="55">
        <f t="shared" si="35"/>
        <v>0.17901084967279574</v>
      </c>
      <c r="L106" s="55">
        <f t="shared" si="36"/>
        <v>8.3735916505489463E-2</v>
      </c>
      <c r="M106" s="55">
        <f t="shared" si="42"/>
        <v>0.9162640834945105</v>
      </c>
      <c r="N106" s="55">
        <f t="shared" si="37"/>
        <v>2.0948119854154162E-3</v>
      </c>
      <c r="O106" s="56">
        <f t="shared" si="43"/>
        <v>1.7919437118757175E-7</v>
      </c>
      <c r="P106" s="56">
        <f t="shared" si="38"/>
        <v>1.6535199217733996E-4</v>
      </c>
      <c r="Q106" s="56">
        <f t="shared" si="39"/>
        <v>1.456546532260952E-4</v>
      </c>
      <c r="R106" s="9">
        <f t="shared" si="44"/>
        <v>1.4999999999999999E-4</v>
      </c>
      <c r="S106" s="9">
        <f t="shared" si="45"/>
        <v>1.2560387475823418E-5</v>
      </c>
      <c r="T106" s="9">
        <f t="shared" si="40"/>
        <v>2.6851627450919358E-5</v>
      </c>
      <c r="U106" s="9">
        <f t="shared" si="41"/>
        <v>1.3743961252417656E-4</v>
      </c>
      <c r="V106" s="100">
        <f t="shared" si="46"/>
        <v>0.19537036635777749</v>
      </c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6" t="s">
        <v>309</v>
      </c>
      <c r="C107" s="46" t="s">
        <v>221</v>
      </c>
      <c r="D107" s="47" t="s">
        <v>299</v>
      </c>
      <c r="E107" s="47" t="s">
        <v>310</v>
      </c>
      <c r="F107" s="96">
        <v>9.9999999999999995E-7</v>
      </c>
      <c r="G107" s="7"/>
      <c r="H107" s="7"/>
      <c r="I107" s="54" t="e">
        <f t="shared" si="33"/>
        <v>#VALUE!</v>
      </c>
      <c r="J107" s="54" t="e">
        <f t="shared" si="34"/>
        <v>#VALUE!</v>
      </c>
      <c r="K107" s="55" t="e">
        <f t="shared" si="35"/>
        <v>#VALUE!</v>
      </c>
      <c r="L107" s="55" t="e">
        <f t="shared" si="36"/>
        <v>#VALUE!</v>
      </c>
      <c r="M107" s="55" t="e">
        <f t="shared" si="42"/>
        <v>#VALUE!</v>
      </c>
      <c r="N107" s="55" t="e">
        <f t="shared" si="37"/>
        <v>#VALUE!</v>
      </c>
      <c r="O107" s="56" t="e">
        <f t="shared" si="43"/>
        <v>#VALUE!</v>
      </c>
      <c r="P107" s="56" t="e">
        <f t="shared" si="38"/>
        <v>#VALUE!</v>
      </c>
      <c r="Q107" s="56" t="e">
        <f t="shared" si="39"/>
        <v>#VALUE!</v>
      </c>
      <c r="R107" s="9">
        <f t="shared" si="44"/>
        <v>1.4999999999999999E-4</v>
      </c>
      <c r="S107" s="9"/>
      <c r="T107" s="9"/>
      <c r="U107" s="9"/>
      <c r="V107" s="100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6" t="s">
        <v>311</v>
      </c>
      <c r="C108" s="46" t="s">
        <v>222</v>
      </c>
      <c r="D108" s="47">
        <v>4.6100000000000003</v>
      </c>
      <c r="E108" s="47">
        <v>4.13</v>
      </c>
      <c r="F108" s="96">
        <v>9.9999999999999995E-7</v>
      </c>
      <c r="G108" s="7"/>
      <c r="H108" s="7"/>
      <c r="I108" s="54">
        <f t="shared" si="33"/>
        <v>1.3235891145541188</v>
      </c>
      <c r="J108" s="54">
        <f t="shared" si="34"/>
        <v>3.6707936828342995</v>
      </c>
      <c r="K108" s="55">
        <f t="shared" si="35"/>
        <v>4.2639045303181057E-2</v>
      </c>
      <c r="L108" s="55">
        <f t="shared" si="36"/>
        <v>0.10128578796067832</v>
      </c>
      <c r="M108" s="55">
        <f t="shared" si="42"/>
        <v>0.89871421203932167</v>
      </c>
      <c r="N108" s="55">
        <f t="shared" si="37"/>
        <v>8.2808166401683574E-3</v>
      </c>
      <c r="O108" s="56">
        <f t="shared" si="43"/>
        <v>4.2682758755169843E-8</v>
      </c>
      <c r="P108" s="56">
        <f t="shared" si="38"/>
        <v>2.0000744623666794E-4</v>
      </c>
      <c r="Q108" s="56">
        <f t="shared" si="39"/>
        <v>5.7577457287338115E-4</v>
      </c>
      <c r="R108" s="9">
        <f t="shared" si="44"/>
        <v>1.4999999999999999E-4</v>
      </c>
      <c r="S108" s="9">
        <f t="shared" si="45"/>
        <v>1.5192868194101746E-5</v>
      </c>
      <c r="T108" s="9">
        <f t="shared" si="40"/>
        <v>6.3958567954771583E-6</v>
      </c>
      <c r="U108" s="9">
        <f t="shared" si="41"/>
        <v>1.3480713180589823E-4</v>
      </c>
      <c r="V108" s="100">
        <f t="shared" si="46"/>
        <v>4.7444498742738768E-2</v>
      </c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6" t="s">
        <v>312</v>
      </c>
      <c r="C109" s="46" t="s">
        <v>223</v>
      </c>
      <c r="D109" s="47">
        <v>4.8099999999999996</v>
      </c>
      <c r="E109" s="47">
        <v>4.82</v>
      </c>
      <c r="F109" s="96">
        <v>9.9999999999999995E-7</v>
      </c>
      <c r="G109" s="7"/>
      <c r="H109" s="7"/>
      <c r="I109" s="54">
        <f t="shared" si="33"/>
        <v>1.537838229995057</v>
      </c>
      <c r="J109" s="54">
        <f t="shared" si="34"/>
        <v>3.9392867705218149</v>
      </c>
      <c r="K109" s="55">
        <f t="shared" si="35"/>
        <v>2.5688895622477611E-2</v>
      </c>
      <c r="L109" s="55">
        <f t="shared" si="36"/>
        <v>0.11323470701290303</v>
      </c>
      <c r="M109" s="55">
        <f t="shared" si="42"/>
        <v>0.88676529298709694</v>
      </c>
      <c r="N109" s="55">
        <f t="shared" si="37"/>
        <v>2.4434931745641982E-2</v>
      </c>
      <c r="O109" s="56">
        <f t="shared" si="43"/>
        <v>2.5715231819675589E-8</v>
      </c>
      <c r="P109" s="56">
        <f t="shared" si="38"/>
        <v>2.2360278802195318E-4</v>
      </c>
      <c r="Q109" s="56">
        <f t="shared" si="39"/>
        <v>1.6989885177256139E-3</v>
      </c>
      <c r="R109" s="9">
        <f t="shared" si="44"/>
        <v>1.4999999999999999E-4</v>
      </c>
      <c r="S109" s="9">
        <f t="shared" si="45"/>
        <v>1.6985206051935454E-5</v>
      </c>
      <c r="T109" s="9">
        <f t="shared" si="40"/>
        <v>3.8533343433716414E-6</v>
      </c>
      <c r="U109" s="9">
        <f t="shared" si="41"/>
        <v>1.3301479394806453E-4</v>
      </c>
      <c r="V109" s="100">
        <f t="shared" si="46"/>
        <v>2.896921634804149E-2</v>
      </c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6" t="s">
        <v>202</v>
      </c>
      <c r="C110" s="46" t="s">
        <v>203</v>
      </c>
      <c r="D110" s="47">
        <v>3.19</v>
      </c>
      <c r="E110" s="47">
        <v>1.4</v>
      </c>
      <c r="F110" s="96">
        <v>9.9999999999999995E-7</v>
      </c>
      <c r="G110" s="7"/>
      <c r="H110" s="7"/>
      <c r="I110" s="54">
        <f t="shared" si="33"/>
        <v>0.24151373144665708</v>
      </c>
      <c r="J110" s="54">
        <f t="shared" si="34"/>
        <v>2.2178375809646442</v>
      </c>
      <c r="K110" s="55">
        <f t="shared" si="35"/>
        <v>0.54690122350804282</v>
      </c>
      <c r="L110" s="55">
        <f t="shared" si="36"/>
        <v>4.5781902062217605E-2</v>
      </c>
      <c r="M110" s="55">
        <f t="shared" si="42"/>
        <v>0.95421809793778234</v>
      </c>
      <c r="N110" s="55">
        <f t="shared" si="37"/>
        <v>1.9777645629931554E-4</v>
      </c>
      <c r="O110" s="56">
        <f t="shared" si="43"/>
        <v>5.474619053949481E-7</v>
      </c>
      <c r="P110" s="56">
        <f t="shared" si="38"/>
        <v>9.0404799130123291E-5</v>
      </c>
      <c r="Q110" s="56">
        <f t="shared" si="39"/>
        <v>1.3751621319299513E-5</v>
      </c>
      <c r="R110" s="9">
        <f t="shared" si="44"/>
        <v>1.4999999999999999E-4</v>
      </c>
      <c r="S110" s="9">
        <f t="shared" si="45"/>
        <v>6.8672853093326403E-6</v>
      </c>
      <c r="T110" s="9">
        <f t="shared" si="40"/>
        <v>8.2035183526206422E-5</v>
      </c>
      <c r="U110" s="9">
        <f t="shared" si="41"/>
        <v>1.4313271469066735E-4</v>
      </c>
      <c r="V110" s="100">
        <f t="shared" si="46"/>
        <v>0.57314069465878259</v>
      </c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6" t="s">
        <v>204</v>
      </c>
      <c r="C111" s="46" t="s">
        <v>205</v>
      </c>
      <c r="D111" s="47">
        <v>2.8380318246143235</v>
      </c>
      <c r="E111" s="47">
        <v>3.5597354124795313</v>
      </c>
      <c r="F111" s="96">
        <v>9.9999999999999995E-7</v>
      </c>
      <c r="G111" s="7"/>
      <c r="H111" s="7"/>
      <c r="I111" s="54">
        <f t="shared" si="33"/>
        <v>0.16670977104284687</v>
      </c>
      <c r="J111" s="54">
        <f t="shared" si="34"/>
        <v>2.247099818745959</v>
      </c>
      <c r="K111" s="55">
        <f t="shared" si="35"/>
        <v>0.64174474538881798</v>
      </c>
      <c r="L111" s="55">
        <f t="shared" si="36"/>
        <v>5.7465805175700525E-2</v>
      </c>
      <c r="M111" s="55">
        <f t="shared" si="42"/>
        <v>0.94253419482429945</v>
      </c>
      <c r="N111" s="55">
        <f t="shared" si="37"/>
        <v>3.3524586504818071E-2</v>
      </c>
      <c r="O111" s="56">
        <f t="shared" si="43"/>
        <v>6.4240266063802534E-7</v>
      </c>
      <c r="P111" s="56">
        <f t="shared" si="38"/>
        <v>1.1347681812563723E-4</v>
      </c>
      <c r="Q111" s="56">
        <f t="shared" si="39"/>
        <v>2.3310025223763318E-3</v>
      </c>
      <c r="R111" s="9">
        <f t="shared" si="44"/>
        <v>1.4999999999999999E-4</v>
      </c>
      <c r="S111" s="9">
        <f t="shared" si="45"/>
        <v>8.619870776355078E-6</v>
      </c>
      <c r="T111" s="9">
        <f t="shared" si="40"/>
        <v>9.6261711808322685E-5</v>
      </c>
      <c r="U111" s="9">
        <f t="shared" si="41"/>
        <v>1.4138012922364492E-4</v>
      </c>
      <c r="V111" s="100">
        <f t="shared" si="46"/>
        <v>0.68087157889104222</v>
      </c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6" t="s">
        <v>206</v>
      </c>
      <c r="C112" s="46" t="s">
        <v>207</v>
      </c>
      <c r="D112" s="47">
        <v>5.4191360000000008</v>
      </c>
      <c r="E112" s="47">
        <v>6.7333169999999996</v>
      </c>
      <c r="F112" s="96">
        <v>9.9999999999999995E-7</v>
      </c>
      <c r="G112" s="7"/>
      <c r="H112" s="7"/>
      <c r="I112" s="54">
        <f t="shared" si="33"/>
        <v>2.5219720041185627</v>
      </c>
      <c r="J112" s="54">
        <f t="shared" si="34"/>
        <v>5.258655618018703</v>
      </c>
      <c r="K112" s="55">
        <f t="shared" si="35"/>
        <v>2.3542077122782057E-3</v>
      </c>
      <c r="L112" s="55">
        <f t="shared" si="36"/>
        <v>0.21649494092380075</v>
      </c>
      <c r="M112" s="55">
        <f t="shared" si="42"/>
        <v>0.78350505907619927</v>
      </c>
      <c r="N112" s="55">
        <f t="shared" si="37"/>
        <v>0.18341188495061389</v>
      </c>
      <c r="O112" s="56">
        <f t="shared" si="43"/>
        <v>2.3566212406550859E-9</v>
      </c>
      <c r="P112" s="56">
        <f t="shared" si="38"/>
        <v>4.2750914150105676E-4</v>
      </c>
      <c r="Q112" s="56">
        <f t="shared" si="39"/>
        <v>1.2752836381508674E-2</v>
      </c>
      <c r="R112" s="9">
        <f t="shared" si="44"/>
        <v>1.4999999999999999E-4</v>
      </c>
      <c r="S112" s="9">
        <f t="shared" si="45"/>
        <v>3.2474241138570111E-5</v>
      </c>
      <c r="T112" s="9">
        <f t="shared" si="40"/>
        <v>3.5313115684173084E-7</v>
      </c>
      <c r="U112" s="9">
        <f t="shared" si="41"/>
        <v>1.1752575886142988E-4</v>
      </c>
      <c r="V112" s="100">
        <f t="shared" si="46"/>
        <v>3.004712841361818E-3</v>
      </c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6" t="s">
        <v>208</v>
      </c>
      <c r="C113" s="46" t="s">
        <v>209</v>
      </c>
      <c r="D113" s="47">
        <v>5.6895360000000004</v>
      </c>
      <c r="E113" s="47">
        <v>7.1197670000000004</v>
      </c>
      <c r="F113" s="96">
        <v>9.9999999999999995E-7</v>
      </c>
      <c r="G113" s="7"/>
      <c r="H113" s="7"/>
      <c r="I113" s="54">
        <f t="shared" si="33"/>
        <v>2.8671793282646911</v>
      </c>
      <c r="J113" s="54">
        <f t="shared" si="34"/>
        <v>5.6292570490791167</v>
      </c>
      <c r="K113" s="55">
        <f t="shared" si="35"/>
        <v>1.0495724777386123E-3</v>
      </c>
      <c r="L113" s="55">
        <f t="shared" si="36"/>
        <v>0.22657753052015464</v>
      </c>
      <c r="M113" s="55">
        <f t="shared" si="42"/>
        <v>0.77342246947984539</v>
      </c>
      <c r="N113" s="55">
        <f t="shared" si="37"/>
        <v>0.19908802121405186</v>
      </c>
      <c r="O113" s="56">
        <f t="shared" si="43"/>
        <v>1.0506484970488043E-9</v>
      </c>
      <c r="P113" s="56">
        <f t="shared" si="38"/>
        <v>4.4741907197819425E-4</v>
      </c>
      <c r="Q113" s="56">
        <f t="shared" si="39"/>
        <v>1.384281591536325E-2</v>
      </c>
      <c r="R113" s="9">
        <f t="shared" si="44"/>
        <v>1.4999999999999999E-4</v>
      </c>
      <c r="S113" s="9">
        <f t="shared" si="45"/>
        <v>3.3986629578023195E-5</v>
      </c>
      <c r="T113" s="9">
        <f t="shared" si="40"/>
        <v>1.5743587166079183E-7</v>
      </c>
      <c r="U113" s="9">
        <f t="shared" si="41"/>
        <v>1.160133704219768E-4</v>
      </c>
      <c r="V113" s="100">
        <f t="shared" si="46"/>
        <v>1.3570493736036499E-3</v>
      </c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6" t="s">
        <v>106</v>
      </c>
      <c r="C114" s="46" t="s">
        <v>107</v>
      </c>
      <c r="D114" s="47">
        <v>6.0065360000000005</v>
      </c>
      <c r="E114" s="47">
        <v>7.5552170000000007</v>
      </c>
      <c r="F114" s="96">
        <v>9.9999999999999995E-7</v>
      </c>
      <c r="G114" s="7"/>
      <c r="H114" s="7"/>
      <c r="I114" s="54">
        <f t="shared" si="33"/>
        <v>3.2678433041260839</v>
      </c>
      <c r="J114" s="54">
        <f t="shared" si="34"/>
        <v>6.0519431364066163</v>
      </c>
      <c r="K114" s="55">
        <f t="shared" si="35"/>
        <v>4.1234429913137948E-4</v>
      </c>
      <c r="L114" s="55">
        <f t="shared" si="36"/>
        <v>0.23558654716775329</v>
      </c>
      <c r="M114" s="55">
        <f t="shared" si="42"/>
        <v>0.76441345283224671</v>
      </c>
      <c r="N114" s="55">
        <f t="shared" si="37"/>
        <v>0.2131781508340102</v>
      </c>
      <c r="O114" s="56">
        <f t="shared" si="43"/>
        <v>4.1276703356632662E-10</v>
      </c>
      <c r="P114" s="56">
        <f t="shared" si="38"/>
        <v>4.6520903490457609E-4</v>
      </c>
      <c r="Q114" s="56">
        <f t="shared" si="39"/>
        <v>1.4822518608490045E-2</v>
      </c>
      <c r="R114" s="9">
        <f t="shared" si="44"/>
        <v>1.4999999999999999E-4</v>
      </c>
      <c r="S114" s="9">
        <f t="shared" si="45"/>
        <v>3.533798207516299E-5</v>
      </c>
      <c r="T114" s="9">
        <f t="shared" si="40"/>
        <v>6.1851644869706917E-8</v>
      </c>
      <c r="U114" s="9">
        <f t="shared" si="41"/>
        <v>1.14662017924837E-4</v>
      </c>
      <c r="V114" s="100">
        <f t="shared" si="46"/>
        <v>5.3942574872746247E-4</v>
      </c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6" t="s">
        <v>108</v>
      </c>
      <c r="C115" s="46" t="s">
        <v>109</v>
      </c>
      <c r="D115" s="47">
        <v>4.6510502998865109</v>
      </c>
      <c r="E115" s="47">
        <v>6.1388180322329244</v>
      </c>
      <c r="F115" s="96">
        <v>9.9999999999999995E-7</v>
      </c>
      <c r="G115" s="7"/>
      <c r="H115" s="7"/>
      <c r="I115" s="54">
        <f t="shared" si="33"/>
        <v>1.873926252180699</v>
      </c>
      <c r="J115" s="54">
        <f t="shared" si="34"/>
        <v>4.6417281713883654</v>
      </c>
      <c r="K115" s="55">
        <f t="shared" si="35"/>
        <v>1.030295750846278E-2</v>
      </c>
      <c r="L115" s="55">
        <f t="shared" si="36"/>
        <v>0.22889559563803061</v>
      </c>
      <c r="M115" s="55">
        <f t="shared" si="42"/>
        <v>0.77110440436196936</v>
      </c>
      <c r="N115" s="55">
        <f t="shared" si="37"/>
        <v>0.204195250824108</v>
      </c>
      <c r="O115" s="56">
        <f t="shared" si="43"/>
        <v>1.0313520077000286E-8</v>
      </c>
      <c r="P115" s="56">
        <f t="shared" si="38"/>
        <v>4.5199651856543525E-4</v>
      </c>
      <c r="Q115" s="56">
        <f t="shared" si="39"/>
        <v>1.4197927382634741E-2</v>
      </c>
      <c r="R115" s="9">
        <f t="shared" si="44"/>
        <v>1.4999999999999999E-4</v>
      </c>
      <c r="S115" s="9">
        <f t="shared" si="45"/>
        <v>3.4334339345704586E-5</v>
      </c>
      <c r="T115" s="9">
        <f t="shared" si="40"/>
        <v>1.545443626269417E-6</v>
      </c>
      <c r="U115" s="9">
        <f t="shared" si="41"/>
        <v>1.156656606542954E-4</v>
      </c>
      <c r="V115" s="100">
        <f t="shared" si="46"/>
        <v>1.336130029887159E-2</v>
      </c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6" t="s">
        <v>224</v>
      </c>
      <c r="C116" s="46" t="s">
        <v>225</v>
      </c>
      <c r="D116" s="47">
        <v>-0.1223633442417989</v>
      </c>
      <c r="E116" s="47">
        <v>-0.65153095448481257</v>
      </c>
      <c r="F116" s="96">
        <v>9.9999999999999995E-7</v>
      </c>
      <c r="G116" s="7"/>
      <c r="H116" s="7"/>
      <c r="I116" s="54">
        <f t="shared" si="33"/>
        <v>-6.4011746653915488E-5</v>
      </c>
      <c r="J116" s="54">
        <f t="shared" si="34"/>
        <v>-2.1360017607378441E-2</v>
      </c>
      <c r="K116" s="55">
        <f t="shared" si="35"/>
        <v>0.99914731721729111</v>
      </c>
      <c r="L116" s="55">
        <f t="shared" si="36"/>
        <v>4.8218851846342506E-4</v>
      </c>
      <c r="M116" s="55">
        <f t="shared" si="42"/>
        <v>0.99951781148153662</v>
      </c>
      <c r="N116" s="55">
        <f t="shared" si="37"/>
        <v>3.2089597385131969E-6</v>
      </c>
      <c r="O116" s="56">
        <f t="shared" si="43"/>
        <v>1.0001716407679324E-6</v>
      </c>
      <c r="P116" s="56">
        <f t="shared" si="38"/>
        <v>9.5217005390680252E-7</v>
      </c>
      <c r="Q116" s="56">
        <f t="shared" si="39"/>
        <v>2.2312261013579798E-7</v>
      </c>
      <c r="R116" s="9">
        <f t="shared" si="44"/>
        <v>1.4999999999999999E-4</v>
      </c>
      <c r="S116" s="9">
        <f t="shared" si="45"/>
        <v>7.2328277769513759E-8</v>
      </c>
      <c r="T116" s="9">
        <f t="shared" si="40"/>
        <v>1.4987209758259365E-4</v>
      </c>
      <c r="U116" s="9">
        <f t="shared" si="41"/>
        <v>1.4992767172223047E-4</v>
      </c>
      <c r="V116" s="100">
        <f t="shared" si="46"/>
        <v>0.99962932700149054</v>
      </c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6" t="s">
        <v>226</v>
      </c>
      <c r="C117" s="46" t="s">
        <v>227</v>
      </c>
      <c r="D117" s="47">
        <v>1.8253520000000001</v>
      </c>
      <c r="E117" s="47">
        <v>2.0793489999999997</v>
      </c>
      <c r="F117" s="96">
        <v>9.9999999999999995E-7</v>
      </c>
      <c r="G117" s="7"/>
      <c r="H117" s="7"/>
      <c r="I117" s="54">
        <f t="shared" si="33"/>
        <v>1.5422749478710035E-2</v>
      </c>
      <c r="J117" s="54">
        <f t="shared" si="34"/>
        <v>1.0545652216525729</v>
      </c>
      <c r="K117" s="55">
        <f t="shared" si="35"/>
        <v>0.95929221375103246</v>
      </c>
      <c r="L117" s="55">
        <f t="shared" si="36"/>
        <v>5.5139585512990275E-3</v>
      </c>
      <c r="M117" s="55">
        <f t="shared" si="42"/>
        <v>0.99448604144870101</v>
      </c>
      <c r="N117" s="55">
        <f t="shared" si="37"/>
        <v>1.657927806642582E-3</v>
      </c>
      <c r="O117" s="56">
        <f t="shared" si="43"/>
        <v>9.6027567794050611E-7</v>
      </c>
      <c r="P117" s="56">
        <f t="shared" si="38"/>
        <v>1.0888326888746748E-5</v>
      </c>
      <c r="Q117" s="56">
        <f t="shared" si="39"/>
        <v>1.152776007735786E-4</v>
      </c>
      <c r="R117" s="9">
        <f t="shared" si="44"/>
        <v>1.4999999999999999E-4</v>
      </c>
      <c r="S117" s="9">
        <f t="shared" si="45"/>
        <v>8.2709378269485404E-7</v>
      </c>
      <c r="T117" s="9">
        <f t="shared" si="40"/>
        <v>1.4389383206265486E-4</v>
      </c>
      <c r="U117" s="9">
        <f t="shared" si="41"/>
        <v>1.4917290621730515E-4</v>
      </c>
      <c r="V117" s="100">
        <f t="shared" si="46"/>
        <v>0.96461103903841572</v>
      </c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6" t="s">
        <v>228</v>
      </c>
      <c r="C118" s="46" t="s">
        <v>229</v>
      </c>
      <c r="D118" s="47">
        <v>2.848199987724402</v>
      </c>
      <c r="E118" s="47">
        <v>3.5741999825375301</v>
      </c>
      <c r="F118" s="96">
        <v>9.9999999999999995E-7</v>
      </c>
      <c r="G118" s="7"/>
      <c r="H118" s="7"/>
      <c r="I118" s="54">
        <f t="shared" si="33"/>
        <v>0.17039252388598855</v>
      </c>
      <c r="J118" s="54">
        <f t="shared" si="34"/>
        <v>2.2597306068384477</v>
      </c>
      <c r="K118" s="55">
        <f t="shared" si="35"/>
        <v>0.63556553586368525</v>
      </c>
      <c r="L118" s="55">
        <f t="shared" si="36"/>
        <v>5.8591997223274579E-2</v>
      </c>
      <c r="M118" s="55">
        <f t="shared" si="42"/>
        <v>0.94140800277672543</v>
      </c>
      <c r="N118" s="55">
        <f t="shared" si="37"/>
        <v>3.4326222860689537E-2</v>
      </c>
      <c r="O118" s="56">
        <f t="shared" si="43"/>
        <v>6.3621711620138175E-7</v>
      </c>
      <c r="P118" s="56">
        <f t="shared" si="38"/>
        <v>1.1570069178000206E-4</v>
      </c>
      <c r="Q118" s="56">
        <f t="shared" si="39"/>
        <v>2.3867412073947563E-3</v>
      </c>
      <c r="R118" s="9">
        <f t="shared" si="44"/>
        <v>1.4999999999999999E-4</v>
      </c>
      <c r="S118" s="9">
        <f t="shared" si="45"/>
        <v>8.7887995834911854E-6</v>
      </c>
      <c r="T118" s="9">
        <f t="shared" si="40"/>
        <v>9.5334830379552776E-5</v>
      </c>
      <c r="U118" s="9">
        <f t="shared" si="41"/>
        <v>1.412112004165088E-4</v>
      </c>
      <c r="V118" s="100">
        <f t="shared" si="46"/>
        <v>0.67512229977762672</v>
      </c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6" t="s">
        <v>230</v>
      </c>
      <c r="C119" s="46" t="s">
        <v>231</v>
      </c>
      <c r="D119" s="47">
        <v>-0.98996462433878363</v>
      </c>
      <c r="E119" s="47">
        <v>-1.885724324763622</v>
      </c>
      <c r="F119" s="96">
        <v>9.9999999999999995E-7</v>
      </c>
      <c r="G119" s="7"/>
      <c r="H119" s="7"/>
      <c r="I119" s="54">
        <f t="shared" si="33"/>
        <v>-2.0346404759841822E-4</v>
      </c>
      <c r="J119" s="54">
        <f t="shared" si="34"/>
        <v>-5.6913092577569033E-2</v>
      </c>
      <c r="K119" s="55">
        <f t="shared" si="35"/>
        <v>0.99950593571481472</v>
      </c>
      <c r="L119" s="55">
        <f t="shared" si="36"/>
        <v>4.4444665408295634E-4</v>
      </c>
      <c r="M119" s="55">
        <f t="shared" si="42"/>
        <v>0.99955555334591706</v>
      </c>
      <c r="N119" s="55">
        <f t="shared" si="37"/>
        <v>1.8720901098255504E-7</v>
      </c>
      <c r="O119" s="56">
        <f t="shared" si="43"/>
        <v>1.0005306269203213E-6</v>
      </c>
      <c r="P119" s="56">
        <f t="shared" si="38"/>
        <v>8.7764179023886461E-7</v>
      </c>
      <c r="Q119" s="56">
        <f t="shared" si="39"/>
        <v>1.3016854861109119E-8</v>
      </c>
      <c r="R119" s="9">
        <f t="shared" si="44"/>
        <v>1.4999999999999999E-4</v>
      </c>
      <c r="S119" s="9">
        <f t="shared" si="45"/>
        <v>6.6666998112443442E-8</v>
      </c>
      <c r="T119" s="9">
        <f t="shared" si="40"/>
        <v>1.4992589035722219E-4</v>
      </c>
      <c r="U119" s="9">
        <f t="shared" si="41"/>
        <v>1.4993333300188756E-4</v>
      </c>
      <c r="V119" s="100">
        <f t="shared" si="46"/>
        <v>0.99995036030670204</v>
      </c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6" t="s">
        <v>232</v>
      </c>
      <c r="C120" s="46" t="s">
        <v>233</v>
      </c>
      <c r="D120" s="47">
        <v>-7.2373500000194575</v>
      </c>
      <c r="E120" s="47">
        <v>-10.772850000027681</v>
      </c>
      <c r="F120" s="96">
        <v>9.9999999999999995E-7</v>
      </c>
      <c r="G120" s="7"/>
      <c r="H120" s="7"/>
      <c r="I120" s="54">
        <f t="shared" si="33"/>
        <v>-2.2502281549544107E-4</v>
      </c>
      <c r="J120" s="54">
        <f t="shared" si="34"/>
        <v>-6.2482104916355273E-2</v>
      </c>
      <c r="K120" s="55">
        <f t="shared" si="35"/>
        <v>0.99956119187048598</v>
      </c>
      <c r="L120" s="55">
        <f t="shared" si="36"/>
        <v>4.3880810172090536E-4</v>
      </c>
      <c r="M120" s="55">
        <f t="shared" si="42"/>
        <v>0.99956119189827908</v>
      </c>
      <c r="N120" s="55">
        <f t="shared" si="37"/>
        <v>2.4278680630302529E-16</v>
      </c>
      <c r="O120" s="56">
        <f t="shared" si="43"/>
        <v>1.0005859397244774E-6</v>
      </c>
      <c r="P120" s="56">
        <f t="shared" si="38"/>
        <v>8.6650742991929697E-7</v>
      </c>
      <c r="Q120" s="56">
        <f t="shared" si="39"/>
        <v>1.6881242004601934E-17</v>
      </c>
      <c r="R120" s="9">
        <f t="shared" si="44"/>
        <v>1.4999999999999999E-4</v>
      </c>
      <c r="S120" s="9">
        <f t="shared" si="45"/>
        <v>6.5821215258135795E-8</v>
      </c>
      <c r="T120" s="9">
        <f t="shared" si="40"/>
        <v>1.4993417878057287E-4</v>
      </c>
      <c r="U120" s="9">
        <f t="shared" si="41"/>
        <v>1.4993417878474184E-4</v>
      </c>
      <c r="V120" s="100">
        <f t="shared" si="46"/>
        <v>0.99999999997219469</v>
      </c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6" t="s">
        <v>234</v>
      </c>
      <c r="C121" s="46" t="s">
        <v>235</v>
      </c>
      <c r="D121" s="47">
        <v>0.89837073464087869</v>
      </c>
      <c r="E121" s="47">
        <v>0.80049921406660218</v>
      </c>
      <c r="F121" s="96">
        <v>9.9999999999999995E-7</v>
      </c>
      <c r="G121" s="7"/>
      <c r="H121" s="7"/>
      <c r="I121" s="54">
        <f t="shared" si="33"/>
        <v>1.5262652347248487E-3</v>
      </c>
      <c r="J121" s="54">
        <f t="shared" si="34"/>
        <v>0.27440442083106092</v>
      </c>
      <c r="K121" s="55">
        <f t="shared" si="35"/>
        <v>0.9950306186313046</v>
      </c>
      <c r="L121" s="55">
        <f t="shared" si="36"/>
        <v>9.4882959371485971E-4</v>
      </c>
      <c r="M121" s="55">
        <f t="shared" si="42"/>
        <v>0.99905117040628511</v>
      </c>
      <c r="N121" s="55">
        <f t="shared" si="37"/>
        <v>9.0490159774942133E-5</v>
      </c>
      <c r="O121" s="56">
        <f t="shared" si="43"/>
        <v>9.9605072175194518E-7</v>
      </c>
      <c r="P121" s="56">
        <f t="shared" si="38"/>
        <v>1.8736388171888327E-6</v>
      </c>
      <c r="Q121" s="56">
        <f t="shared" si="39"/>
        <v>6.2918834406894974E-6</v>
      </c>
      <c r="R121" s="9">
        <f t="shared" si="44"/>
        <v>1.4999999999999999E-4</v>
      </c>
      <c r="S121" s="9">
        <f t="shared" si="45"/>
        <v>1.4232443905722894E-7</v>
      </c>
      <c r="T121" s="9">
        <f t="shared" si="40"/>
        <v>1.4925459279469569E-4</v>
      </c>
      <c r="U121" s="9">
        <f t="shared" si="41"/>
        <v>1.4985767556094276E-4</v>
      </c>
      <c r="V121" s="100">
        <f t="shared" si="46"/>
        <v>0.99597562978346199</v>
      </c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6" t="s">
        <v>236</v>
      </c>
      <c r="C122" s="46" t="s">
        <v>237</v>
      </c>
      <c r="D122" s="47">
        <v>5.1201999877244022</v>
      </c>
      <c r="E122" s="47">
        <v>6.8061999825375299</v>
      </c>
      <c r="F122" s="96">
        <v>9.9999999999999995E-7</v>
      </c>
      <c r="G122" s="7"/>
      <c r="H122" s="7"/>
      <c r="I122" s="54">
        <f t="shared" si="33"/>
        <v>2.4878679358864142</v>
      </c>
      <c r="J122" s="54">
        <f t="shared" si="34"/>
        <v>5.2915829322411865</v>
      </c>
      <c r="K122" s="55">
        <f t="shared" si="35"/>
        <v>2.4577284031468442E-3</v>
      </c>
      <c r="L122" s="55">
        <f t="shared" si="36"/>
        <v>0.2438171086484491</v>
      </c>
      <c r="M122" s="55">
        <f t="shared" si="42"/>
        <v>0.75618289135155092</v>
      </c>
      <c r="N122" s="55">
        <f t="shared" si="37"/>
        <v>0.226464205044168</v>
      </c>
      <c r="O122" s="56">
        <f t="shared" si="43"/>
        <v>2.4602480606998813E-9</v>
      </c>
      <c r="P122" s="56">
        <f t="shared" si="38"/>
        <v>4.8146179470427193E-4</v>
      </c>
      <c r="Q122" s="56">
        <f t="shared" si="39"/>
        <v>1.5746313026412408E-2</v>
      </c>
      <c r="R122" s="9">
        <f t="shared" si="44"/>
        <v>1.4999999999999999E-4</v>
      </c>
      <c r="S122" s="9">
        <f t="shared" si="45"/>
        <v>3.6572566297267361E-5</v>
      </c>
      <c r="T122" s="9">
        <f t="shared" si="40"/>
        <v>3.6865926047202662E-7</v>
      </c>
      <c r="U122" s="9">
        <f t="shared" si="41"/>
        <v>1.1342743370273263E-4</v>
      </c>
      <c r="V122" s="100">
        <f t="shared" si="46"/>
        <v>3.2501772140785469E-3</v>
      </c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6" t="s">
        <v>238</v>
      </c>
      <c r="C123" s="46" t="s">
        <v>239</v>
      </c>
      <c r="D123" s="47">
        <v>1.6430320000000003</v>
      </c>
      <c r="E123" s="47">
        <v>1.9699289999999996</v>
      </c>
      <c r="F123" s="96">
        <v>9.9999999999999995E-7</v>
      </c>
      <c r="G123" s="7"/>
      <c r="H123" s="7"/>
      <c r="I123" s="54">
        <f t="shared" ref="I123:I127" si="47">IF(D123=0,"",LOG($K$15*10^D123+$K$16*10^E123+$K$14))</f>
        <v>1.0353959656071578E-2</v>
      </c>
      <c r="J123" s="54">
        <f t="shared" ref="J123:J127" si="48">IF(D123=0,"",LOG($K$21*10^D123+$K$22*10^E123+$K$20))</f>
        <v>0.91157893214616048</v>
      </c>
      <c r="K123" s="55">
        <f t="shared" ref="K123:K127" si="49">IF(D123=0,"",1/(1+10^D123*$J$15/$J$14+10^E123*$J$16/$J$14+10^J123*$J$19/$J$14))</f>
        <v>0.97201227216795638</v>
      </c>
      <c r="L123" s="55">
        <f t="shared" ref="L123:L127" si="50">IF(D123=0,"",1/(1+10^I123/10^J123*$J$13/$J$19))</f>
        <v>4.0197406745486417E-3</v>
      </c>
      <c r="M123" s="55">
        <f t="shared" si="42"/>
        <v>0.99598025932545131</v>
      </c>
      <c r="N123" s="55">
        <f t="shared" ref="N123:N127" si="51">IF(D123=0,"",1/(1/10^E123*$J$20/$J$22+10^D123/10^E123*$J$21/$J$22+10^I123/10^E123*$J$13/$J$22+1))</f>
        <v>1.3057692716955485E-3</v>
      </c>
      <c r="O123" s="56">
        <f t="shared" si="43"/>
        <v>9.7300877693230556E-7</v>
      </c>
      <c r="P123" s="56">
        <f t="shared" ref="P123:P127" si="52">IF(D123=0,"",O123*10^J123)</f>
        <v>7.9377184404416042E-6</v>
      </c>
      <c r="Q123" s="56">
        <f t="shared" ref="Q123:Q127" si="53">IF(D123=0,"",F123*N123*$J$7/$J$22)</f>
        <v>9.0791618429846685E-5</v>
      </c>
      <c r="R123" s="9">
        <f t="shared" si="44"/>
        <v>1.4999999999999999E-4</v>
      </c>
      <c r="S123" s="9">
        <f t="shared" si="45"/>
        <v>6.0296110118229622E-7</v>
      </c>
      <c r="T123" s="9">
        <f t="shared" si="40"/>
        <v>1.4580184082519344E-4</v>
      </c>
      <c r="U123" s="9">
        <f t="shared" si="41"/>
        <v>1.4939703889881769E-4</v>
      </c>
      <c r="V123" s="100">
        <f t="shared" si="46"/>
        <v>0.97593527890429499</v>
      </c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6" t="s">
        <v>240</v>
      </c>
      <c r="C124" s="46" t="s">
        <v>241</v>
      </c>
      <c r="D124" s="47">
        <v>1.9888079999999992</v>
      </c>
      <c r="E124" s="47">
        <v>1.7269960000000002</v>
      </c>
      <c r="F124" s="96">
        <v>9.9999999999999995E-7</v>
      </c>
      <c r="G124" s="7"/>
      <c r="H124" s="7"/>
      <c r="I124" s="54">
        <f t="shared" si="47"/>
        <v>2.0480395290290027E-2</v>
      </c>
      <c r="J124" s="54">
        <f t="shared" si="48"/>
        <v>1.1028450599696213</v>
      </c>
      <c r="K124" s="55">
        <f t="shared" si="49"/>
        <v>0.94763863332425369</v>
      </c>
      <c r="L124" s="55">
        <f t="shared" si="50"/>
        <v>6.0874467290286116E-3</v>
      </c>
      <c r="M124" s="55">
        <f t="shared" si="42"/>
        <v>0.99391255327097139</v>
      </c>
      <c r="N124" s="55">
        <f t="shared" si="51"/>
        <v>7.276197082642671E-4</v>
      </c>
      <c r="O124" s="56">
        <f t="shared" si="43"/>
        <v>9.4861015028965465E-7</v>
      </c>
      <c r="P124" s="56">
        <f t="shared" si="52"/>
        <v>1.2020784938232871E-5</v>
      </c>
      <c r="Q124" s="56">
        <f t="shared" si="53"/>
        <v>5.0592223562577887E-5</v>
      </c>
      <c r="R124" s="9">
        <f t="shared" si="44"/>
        <v>1.4999999999999999E-4</v>
      </c>
      <c r="S124" s="9">
        <f t="shared" si="45"/>
        <v>9.1311700935429161E-7</v>
      </c>
      <c r="T124" s="9">
        <f t="shared" si="40"/>
        <v>1.4214579499863804E-4</v>
      </c>
      <c r="U124" s="9">
        <f t="shared" si="41"/>
        <v>1.490868829906457E-4</v>
      </c>
      <c r="V124" s="100">
        <f t="shared" si="46"/>
        <v>0.95344266475513362</v>
      </c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6" t="s">
        <v>242</v>
      </c>
      <c r="C125" s="46" t="s">
        <v>243</v>
      </c>
      <c r="D125" s="47">
        <v>0.57692000000000121</v>
      </c>
      <c r="E125" s="47">
        <v>0.1355349999999973</v>
      </c>
      <c r="F125" s="96">
        <v>9.9999999999999995E-7</v>
      </c>
      <c r="G125" s="7"/>
      <c r="H125" s="7"/>
      <c r="I125" s="54">
        <f t="shared" si="47"/>
        <v>5.8413729360461944E-4</v>
      </c>
      <c r="J125" s="54">
        <f t="shared" si="48"/>
        <v>0.11509261890443816</v>
      </c>
      <c r="K125" s="55">
        <f t="shared" si="49"/>
        <v>0.99748071178415343</v>
      </c>
      <c r="L125" s="55">
        <f t="shared" si="50"/>
        <v>6.5908963439114613E-4</v>
      </c>
      <c r="M125" s="55">
        <f t="shared" si="42"/>
        <v>0.9993409103656089</v>
      </c>
      <c r="N125" s="55">
        <f t="shared" si="51"/>
        <v>1.9620280078381906E-5</v>
      </c>
      <c r="O125" s="56">
        <f t="shared" si="43"/>
        <v>9.9850332673470584E-7</v>
      </c>
      <c r="P125" s="56">
        <f t="shared" si="52"/>
        <v>1.3014938943537583E-6</v>
      </c>
      <c r="Q125" s="56">
        <f t="shared" si="53"/>
        <v>1.364220326650872E-6</v>
      </c>
      <c r="R125" s="9">
        <f t="shared" si="44"/>
        <v>1.4999999999999999E-4</v>
      </c>
      <c r="S125" s="9">
        <f t="shared" si="45"/>
        <v>9.8863445158671905E-8</v>
      </c>
      <c r="T125" s="9">
        <f t="shared" si="40"/>
        <v>1.4962210676762301E-4</v>
      </c>
      <c r="U125" s="9">
        <f t="shared" si="41"/>
        <v>1.4990113655484133E-4</v>
      </c>
      <c r="V125" s="100">
        <f t="shared" si="46"/>
        <v>0.99813857457234001</v>
      </c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6" t="s">
        <v>244</v>
      </c>
      <c r="C126" s="46" t="s">
        <v>245</v>
      </c>
      <c r="D126" s="47">
        <v>4.3320999877244022</v>
      </c>
      <c r="E126" s="47">
        <v>5.6850999825375297</v>
      </c>
      <c r="F126" s="96">
        <v>9.9999999999999995E-7</v>
      </c>
      <c r="G126" s="7"/>
      <c r="H126" s="7"/>
      <c r="I126" s="54">
        <f t="shared" si="47"/>
        <v>1.4729644553070216</v>
      </c>
      <c r="J126" s="54">
        <f t="shared" si="48"/>
        <v>4.2047481272996352</v>
      </c>
      <c r="K126" s="55">
        <f t="shared" si="49"/>
        <v>2.6418518575133294E-2</v>
      </c>
      <c r="L126" s="55">
        <f t="shared" si="50"/>
        <v>0.21458726480293064</v>
      </c>
      <c r="M126" s="55">
        <f t="shared" si="42"/>
        <v>0.78541273519706933</v>
      </c>
      <c r="N126" s="55">
        <f t="shared" si="51"/>
        <v>0.18419343176143121</v>
      </c>
      <c r="O126" s="56">
        <f t="shared" si="43"/>
        <v>2.6445602780118122E-8</v>
      </c>
      <c r="P126" s="56">
        <f t="shared" si="52"/>
        <v>4.237420835863766E-4</v>
      </c>
      <c r="Q126" s="56">
        <f t="shared" si="53"/>
        <v>1.2807178217674454E-2</v>
      </c>
      <c r="R126" s="9">
        <f t="shared" si="44"/>
        <v>1.4999999999999999E-4</v>
      </c>
      <c r="S126" s="9">
        <f t="shared" si="45"/>
        <v>3.2188089720439592E-5</v>
      </c>
      <c r="T126" s="9">
        <f t="shared" si="40"/>
        <v>3.9627777862699935E-6</v>
      </c>
      <c r="U126" s="9">
        <f t="shared" si="41"/>
        <v>1.1781191027956039E-4</v>
      </c>
      <c r="V126" s="100">
        <f t="shared" si="46"/>
        <v>3.363647849242548E-2</v>
      </c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6" t="s">
        <v>246</v>
      </c>
      <c r="C127" s="46" t="s">
        <v>247</v>
      </c>
      <c r="D127" s="47">
        <v>2.713299987724402</v>
      </c>
      <c r="E127" s="47">
        <v>3.3822999825375302</v>
      </c>
      <c r="F127" s="96">
        <v>9.9999999999999995E-7</v>
      </c>
      <c r="G127" s="7"/>
      <c r="H127" s="7"/>
      <c r="I127" s="54">
        <f t="shared" si="47"/>
        <v>0.12683662687631939</v>
      </c>
      <c r="J127" s="54">
        <f t="shared" si="48"/>
        <v>2.0931619269228987</v>
      </c>
      <c r="K127" s="55">
        <f t="shared" si="49"/>
        <v>0.71291665212057898</v>
      </c>
      <c r="L127" s="55">
        <f t="shared" si="50"/>
        <v>4.4786594633208172E-2</v>
      </c>
      <c r="M127" s="55">
        <f t="shared" si="42"/>
        <v>0.95521340536679178</v>
      </c>
      <c r="N127" s="55">
        <f t="shared" si="51"/>
        <v>2.4751666091094245E-2</v>
      </c>
      <c r="O127" s="56">
        <f t="shared" si="43"/>
        <v>7.1364753264623075E-7</v>
      </c>
      <c r="P127" s="56">
        <f t="shared" si="52"/>
        <v>8.8439381265438788E-5</v>
      </c>
      <c r="Q127" s="56">
        <f t="shared" si="53"/>
        <v>1.7210114159965987E-3</v>
      </c>
      <c r="R127" s="9">
        <f t="shared" si="44"/>
        <v>1.4999999999999999E-4</v>
      </c>
      <c r="S127" s="9">
        <f t="shared" si="45"/>
        <v>6.7179891949812253E-6</v>
      </c>
      <c r="T127" s="9">
        <f t="shared" si="40"/>
        <v>1.0693749781808684E-4</v>
      </c>
      <c r="U127" s="9">
        <f t="shared" si="41"/>
        <v>1.4328201080501875E-4</v>
      </c>
      <c r="V127" s="100">
        <f t="shared" si="46"/>
        <v>0.74634280477546955</v>
      </c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46" t="s">
        <v>248</v>
      </c>
      <c r="C128" s="46" t="s">
        <v>249</v>
      </c>
      <c r="D128" s="47">
        <v>3.598704000000001</v>
      </c>
      <c r="E128" s="47">
        <v>4.3131730000000008</v>
      </c>
      <c r="F128" s="96">
        <v>9.9999999999999995E-7</v>
      </c>
      <c r="G128" s="7"/>
      <c r="H128" s="7"/>
      <c r="I128" s="54">
        <f t="shared" ref="I128:I134" si="54">IF(D128=0,"",LOG($K$15*10^D128+$K$16*10^E128+$K$14))</f>
        <v>0.56658503951123784</v>
      </c>
      <c r="J128" s="54">
        <f t="shared" ref="J128:J134" si="55">IF(D128=0,"",LOG($K$21*10^D128+$K$22*10^E128+$K$20))</f>
        <v>3.0017856440507846</v>
      </c>
      <c r="K128" s="55">
        <f t="shared" ref="K128:K134" si="56">IF(D128=0,"",1/(1+10^D128*$J$15/$J$14+10^E128*$J$16/$J$14+10^J128*$J$19/$J$14))</f>
        <v>0.2382551833646602</v>
      </c>
      <c r="L128" s="55">
        <f t="shared" ref="L128:L134" si="57">IF(D128=0,"",1/(1+10^I128/10^J128*$J$13/$J$19))</f>
        <v>0.12127613779862001</v>
      </c>
      <c r="M128" s="55">
        <f t="shared" ref="M128:M134" si="58">IF(D128=0,"",1-L128)</f>
        <v>0.87872386220137999</v>
      </c>
      <c r="N128" s="55">
        <f t="shared" ref="N128:N134" si="59">IF(D128=0,"",1/(1/10^E128*$J$20/$J$22+10^D128/10^E128*$J$21/$J$22+10^I128/10^E128*$J$13/$J$22+1))</f>
        <v>7.0547406692787376E-2</v>
      </c>
      <c r="O128" s="56">
        <f t="shared" ref="O128:O134" si="60">IF(D128=0,"",F128*K128*$J$7/$J$14)</f>
        <v>2.3849944203520582E-7</v>
      </c>
      <c r="P128" s="56">
        <f t="shared" ref="P128:P134" si="61">IF(D128=0,"",O128*10^J128)</f>
        <v>2.3948207442454862E-4</v>
      </c>
      <c r="Q128" s="56">
        <f t="shared" ref="Q128:Q134" si="62">IF(D128=0,"",F128*N128*$J$7/$J$22)</f>
        <v>4.9052412003459762E-3</v>
      </c>
      <c r="R128" s="9">
        <f t="shared" si="44"/>
        <v>1.4999999999999999E-4</v>
      </c>
      <c r="S128" s="9">
        <f t="shared" si="45"/>
        <v>1.8191420669792999E-5</v>
      </c>
      <c r="T128" s="9">
        <f t="shared" si="40"/>
        <v>3.5738277504699025E-5</v>
      </c>
      <c r="U128" s="9">
        <f t="shared" si="41"/>
        <v>1.3180857933020698E-4</v>
      </c>
      <c r="V128" s="100">
        <f t="shared" si="46"/>
        <v>0.27113771870014208</v>
      </c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6" t="s">
        <v>250</v>
      </c>
      <c r="C129" s="46" t="s">
        <v>251</v>
      </c>
      <c r="D129" s="47">
        <v>-1.2627122753537208</v>
      </c>
      <c r="E129" s="47">
        <v>-2.2737174621228986</v>
      </c>
      <c r="F129" s="96">
        <v>9.9999999999999995E-7</v>
      </c>
      <c r="G129" s="7"/>
      <c r="H129" s="7"/>
      <c r="I129" s="54">
        <f t="shared" si="54"/>
        <v>-2.135446795447277E-4</v>
      </c>
      <c r="J129" s="54">
        <f t="shared" si="55"/>
        <v>-5.9524237288221454E-2</v>
      </c>
      <c r="K129" s="55">
        <f t="shared" si="56"/>
        <v>0.99953178869822545</v>
      </c>
      <c r="L129" s="55">
        <f t="shared" si="57"/>
        <v>4.4179391468691286E-4</v>
      </c>
      <c r="M129" s="55">
        <f t="shared" si="58"/>
        <v>0.99955820608531309</v>
      </c>
      <c r="N129" s="55">
        <f t="shared" si="59"/>
        <v>7.6620475839556991E-8</v>
      </c>
      <c r="O129" s="56">
        <f t="shared" si="60"/>
        <v>1.0005565064081517E-6</v>
      </c>
      <c r="P129" s="56">
        <f t="shared" si="61"/>
        <v>8.7240346763885679E-7</v>
      </c>
      <c r="Q129" s="56">
        <f t="shared" si="62"/>
        <v>5.3275085860347249E-9</v>
      </c>
      <c r="R129" s="9">
        <f t="shared" si="44"/>
        <v>1.4999999999999999E-4</v>
      </c>
      <c r="S129" s="9">
        <f t="shared" si="45"/>
        <v>6.6269087203036928E-8</v>
      </c>
      <c r="T129" s="9">
        <f t="shared" si="40"/>
        <v>1.4992976830473381E-4</v>
      </c>
      <c r="U129" s="9">
        <f t="shared" si="41"/>
        <v>1.4993373091279696E-4</v>
      </c>
      <c r="V129" s="100">
        <f t="shared" si="46"/>
        <v>0.99997357093671302</v>
      </c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6" t="s">
        <v>252</v>
      </c>
      <c r="C130" s="46" t="s">
        <v>253</v>
      </c>
      <c r="D130" s="47">
        <v>2.1582748772295566</v>
      </c>
      <c r="E130" s="47">
        <v>2.5927572197209185</v>
      </c>
      <c r="F130" s="96">
        <v>9.9999999999999995E-7</v>
      </c>
      <c r="G130" s="7"/>
      <c r="H130" s="7"/>
      <c r="I130" s="54">
        <f t="shared" si="54"/>
        <v>3.4815258927436928E-2</v>
      </c>
      <c r="J130" s="54">
        <f t="shared" si="55"/>
        <v>1.4343865933843176</v>
      </c>
      <c r="K130" s="55">
        <f t="shared" si="56"/>
        <v>0.91090431750864764</v>
      </c>
      <c r="L130" s="55">
        <f t="shared" si="57"/>
        <v>1.2554710709651532E-2</v>
      </c>
      <c r="M130" s="55">
        <f t="shared" si="58"/>
        <v>0.98744528929034847</v>
      </c>
      <c r="N130" s="55">
        <f t="shared" si="59"/>
        <v>5.1344706584391256E-3</v>
      </c>
      <c r="O130" s="56">
        <f t="shared" si="60"/>
        <v>9.1183817453726229E-7</v>
      </c>
      <c r="P130" s="56">
        <f t="shared" si="61"/>
        <v>2.4791589006074515E-5</v>
      </c>
      <c r="Q130" s="56">
        <f t="shared" si="62"/>
        <v>3.5700556826163358E-4</v>
      </c>
      <c r="R130" s="9">
        <f t="shared" si="44"/>
        <v>1.4999999999999999E-4</v>
      </c>
      <c r="S130" s="9">
        <f t="shared" si="45"/>
        <v>1.8832066064477296E-6</v>
      </c>
      <c r="T130" s="9">
        <f t="shared" si="40"/>
        <v>1.3663564762629712E-4</v>
      </c>
      <c r="U130" s="9">
        <f t="shared" si="41"/>
        <v>1.4811679339355225E-4</v>
      </c>
      <c r="V130" s="100">
        <f t="shared" si="46"/>
        <v>0.92248586062250715</v>
      </c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6" t="s">
        <v>254</v>
      </c>
      <c r="C131" s="46" t="s">
        <v>255</v>
      </c>
      <c r="D131" s="47">
        <v>0.51229998772440222</v>
      </c>
      <c r="E131" s="47">
        <v>0.25129998253752994</v>
      </c>
      <c r="F131" s="96">
        <v>9.9999999999999995E-7</v>
      </c>
      <c r="G131" s="7"/>
      <c r="H131" s="7"/>
      <c r="I131" s="54">
        <f t="shared" si="54"/>
        <v>4.8235239734115414E-4</v>
      </c>
      <c r="J131" s="54">
        <f t="shared" si="55"/>
        <v>0.100433937104572</v>
      </c>
      <c r="K131" s="55">
        <f t="shared" si="56"/>
        <v>0.99773619349615217</v>
      </c>
      <c r="L131" s="55">
        <f t="shared" si="57"/>
        <v>6.3737792786868906E-4</v>
      </c>
      <c r="M131" s="55">
        <f t="shared" si="58"/>
        <v>0.99936262207213133</v>
      </c>
      <c r="N131" s="55">
        <f t="shared" si="59"/>
        <v>2.5620134504584657E-5</v>
      </c>
      <c r="O131" s="56">
        <f t="shared" si="60"/>
        <v>9.9875907036597291E-7</v>
      </c>
      <c r="P131" s="56">
        <f t="shared" si="61"/>
        <v>1.2586201303002813E-6</v>
      </c>
      <c r="Q131" s="56">
        <f t="shared" si="62"/>
        <v>1.7813970097804143E-6</v>
      </c>
      <c r="R131" s="9">
        <f t="shared" si="44"/>
        <v>1.4999999999999999E-4</v>
      </c>
      <c r="S131" s="9">
        <f t="shared" si="45"/>
        <v>9.5606689180303351E-8</v>
      </c>
      <c r="T131" s="9">
        <f t="shared" si="40"/>
        <v>1.4966042902442281E-4</v>
      </c>
      <c r="U131" s="9">
        <f t="shared" si="41"/>
        <v>1.499043933108197E-4</v>
      </c>
      <c r="V131" s="100">
        <f t="shared" si="46"/>
        <v>0.99837253411318627</v>
      </c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6" t="s">
        <v>256</v>
      </c>
      <c r="C132" s="46" t="s">
        <v>257</v>
      </c>
      <c r="D132" s="47">
        <v>0.92271245461153151</v>
      </c>
      <c r="E132" s="47">
        <v>0.83512616782767168</v>
      </c>
      <c r="F132" s="96">
        <v>9.9999999999999995E-7</v>
      </c>
      <c r="G132" s="7"/>
      <c r="H132" s="7"/>
      <c r="I132" s="54">
        <f t="shared" si="54"/>
        <v>1.6296434031808995E-3</v>
      </c>
      <c r="J132" s="54">
        <f t="shared" si="55"/>
        <v>0.28872594496696707</v>
      </c>
      <c r="K132" s="55">
        <f t="shared" si="56"/>
        <v>0.99476238075054291</v>
      </c>
      <c r="L132" s="55">
        <f t="shared" si="57"/>
        <v>9.8037596177703813E-4</v>
      </c>
      <c r="M132" s="55">
        <f t="shared" si="58"/>
        <v>0.99901962403822298</v>
      </c>
      <c r="N132" s="55">
        <f t="shared" si="59"/>
        <v>9.7974085175357877E-5</v>
      </c>
      <c r="O132" s="56">
        <f t="shared" si="60"/>
        <v>9.9578220887432001E-7</v>
      </c>
      <c r="P132" s="56">
        <f t="shared" si="61"/>
        <v>1.9359329321006682E-6</v>
      </c>
      <c r="Q132" s="56">
        <f t="shared" si="62"/>
        <v>6.8122492618499836E-6</v>
      </c>
      <c r="R132" s="9">
        <f t="shared" si="44"/>
        <v>1.4999999999999999E-4</v>
      </c>
      <c r="S132" s="9">
        <f t="shared" si="45"/>
        <v>1.470563942665557E-7</v>
      </c>
      <c r="T132" s="9">
        <f t="shared" si="40"/>
        <v>1.4921435711258142E-4</v>
      </c>
      <c r="U132" s="9">
        <f t="shared" si="41"/>
        <v>1.4985294360573344E-4</v>
      </c>
      <c r="V132" s="100">
        <f t="shared" si="46"/>
        <v>0.99573857891752771</v>
      </c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6" t="s">
        <v>258</v>
      </c>
      <c r="C133" s="46" t="s">
        <v>259</v>
      </c>
      <c r="D133" s="47">
        <v>2.8951366557581992</v>
      </c>
      <c r="E133" s="47">
        <v>3.6409690455151855</v>
      </c>
      <c r="F133" s="96">
        <v>9.9999999999999995E-7</v>
      </c>
      <c r="G133" s="7"/>
      <c r="H133" s="7"/>
      <c r="I133" s="54">
        <f t="shared" si="54"/>
        <v>0.18829844715874175</v>
      </c>
      <c r="J133" s="54">
        <f t="shared" si="55"/>
        <v>2.3181894309775961</v>
      </c>
      <c r="K133" s="55">
        <f t="shared" si="56"/>
        <v>0.60641646527672133</v>
      </c>
      <c r="L133" s="55">
        <f t="shared" si="57"/>
        <v>6.3959899353686497E-2</v>
      </c>
      <c r="M133" s="55">
        <f t="shared" si="58"/>
        <v>0.93604010064631349</v>
      </c>
      <c r="N133" s="55">
        <f t="shared" si="59"/>
        <v>3.8194930688541399E-2</v>
      </c>
      <c r="O133" s="56">
        <f t="shared" si="60"/>
        <v>6.0703816205373854E-7</v>
      </c>
      <c r="P133" s="56">
        <f t="shared" si="61"/>
        <v>1.2630060336057706E-4</v>
      </c>
      <c r="Q133" s="56">
        <f t="shared" si="62"/>
        <v>2.6557368504510461E-3</v>
      </c>
      <c r="R133" s="9">
        <f t="shared" si="44"/>
        <v>1.4999999999999999E-4</v>
      </c>
      <c r="S133" s="9">
        <f t="shared" si="45"/>
        <v>9.5939849030529734E-6</v>
      </c>
      <c r="T133" s="9">
        <f t="shared" si="40"/>
        <v>9.0962469791508186E-5</v>
      </c>
      <c r="U133" s="9">
        <f t="shared" si="41"/>
        <v>1.4040601509694701E-4</v>
      </c>
      <c r="V133" s="100">
        <f t="shared" si="46"/>
        <v>0.64785308327923685</v>
      </c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6" t="s">
        <v>260</v>
      </c>
      <c r="C134" s="46" t="s">
        <v>261</v>
      </c>
      <c r="D134" s="47">
        <v>-1.7616394390778063</v>
      </c>
      <c r="E134" s="47">
        <v>-2.9834589203782875</v>
      </c>
      <c r="F134" s="96">
        <v>9.9999999999999995E-7</v>
      </c>
      <c r="G134" s="7"/>
      <c r="H134" s="7"/>
      <c r="I134" s="54">
        <f t="shared" si="54"/>
        <v>-2.2139482595652795E-4</v>
      </c>
      <c r="J134" s="54">
        <f t="shared" si="55"/>
        <v>-6.1551476034624894E-2</v>
      </c>
      <c r="K134" s="55">
        <f t="shared" si="56"/>
        <v>0.99955190460103771</v>
      </c>
      <c r="L134" s="55">
        <f t="shared" si="57"/>
        <v>4.397453249414931E-4</v>
      </c>
      <c r="M134" s="55">
        <f t="shared" si="58"/>
        <v>0.99956025467505849</v>
      </c>
      <c r="N134" s="55">
        <f t="shared" si="59"/>
        <v>1.494899947878044E-8</v>
      </c>
      <c r="O134" s="56">
        <f t="shared" si="60"/>
        <v>1.0005766429337418E-6</v>
      </c>
      <c r="P134" s="56">
        <f t="shared" si="61"/>
        <v>8.6835814981473064E-7</v>
      </c>
      <c r="Q134" s="56">
        <f t="shared" si="62"/>
        <v>1.0394208885180933E-9</v>
      </c>
      <c r="R134" s="9">
        <f t="shared" si="44"/>
        <v>1.4999999999999999E-4</v>
      </c>
      <c r="S134" s="9">
        <f t="shared" si="45"/>
        <v>6.5961798741223961E-8</v>
      </c>
      <c r="T134" s="9">
        <f t="shared" si="40"/>
        <v>1.4993278569015565E-4</v>
      </c>
      <c r="U134" s="9">
        <f t="shared" si="41"/>
        <v>1.4993403820125876E-4</v>
      </c>
      <c r="V134" s="100">
        <f t="shared" si="46"/>
        <v>0.99999164625245784</v>
      </c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6" t="s">
        <v>262</v>
      </c>
      <c r="C135" s="46" t="s">
        <v>263</v>
      </c>
      <c r="D135" s="47">
        <v>1.1365502998865107</v>
      </c>
      <c r="E135" s="47">
        <v>1.1393180322329237</v>
      </c>
      <c r="F135" s="96">
        <v>9.9999999999999995E-7</v>
      </c>
      <c r="G135" s="7"/>
      <c r="H135" s="7"/>
      <c r="I135" s="54">
        <f t="shared" ref="I135:I143" si="63">IF(D135=0,"",LOG($K$15*10^D135+$K$16*10^E135+$K$14))</f>
        <v>2.8479282847897803E-3</v>
      </c>
      <c r="J135" s="54">
        <f t="shared" ref="J135:J143" si="64">IF(D135=0,"",LOG($K$21*10^D135+$K$22*10^E135+$K$20))</f>
        <v>0.43193712596976019</v>
      </c>
      <c r="K135" s="55">
        <f t="shared" ref="K135:K143" si="65">IF(D135=0,"",1/(1+10^D135*$J$15/$J$14+10^E135*$J$16/$J$14+10^J135*$J$19/$J$14))</f>
        <v>0.99159982005543335</v>
      </c>
      <c r="L135" s="55">
        <f t="shared" ref="L135:L143" si="66">IF(D135=0,"",1/(1+10^I135/10^J135*$J$13/$J$19))</f>
        <v>1.3590045829743741E-3</v>
      </c>
      <c r="M135" s="55">
        <f t="shared" ref="M135:M143" si="67">IF(D135=0,"",1-L135)</f>
        <v>0.99864099541702567</v>
      </c>
      <c r="N135" s="55">
        <f t="shared" ref="N135:N143" si="68">IF(D135=0,"",1/(1/10^E135*$J$20/$J$22+10^D135/10^E135*$J$21/$J$22+10^I135/10^E135*$J$13/$J$22+1))</f>
        <v>1.9675245844141218E-4</v>
      </c>
      <c r="O135" s="56">
        <f t="shared" ref="O135:O143" si="69">IF(D135=0,"",F135*K135*$J$7/$J$14)</f>
        <v>9.9261640592919931E-7</v>
      </c>
      <c r="P135" s="56">
        <f t="shared" ref="P135:P143" si="70">IF(D135=0,"",O135*10^J135)</f>
        <v>2.6836048920323969E-6</v>
      </c>
      <c r="Q135" s="56">
        <f t="shared" ref="Q135:Q143" si="71">IF(D135=0,"",F135*N135*$J$7/$J$22)</f>
        <v>1.3680421586848298E-5</v>
      </c>
      <c r="R135" s="9">
        <f t="shared" si="44"/>
        <v>1.4999999999999999E-4</v>
      </c>
      <c r="S135" s="9">
        <f t="shared" si="45"/>
        <v>2.038506874461561E-7</v>
      </c>
      <c r="T135" s="9">
        <f t="shared" si="40"/>
        <v>1.4873997300831498E-4</v>
      </c>
      <c r="U135" s="9">
        <f t="shared" si="41"/>
        <v>1.4979614931255383E-4</v>
      </c>
      <c r="V135" s="100">
        <f t="shared" si="46"/>
        <v>0.99294924262682405</v>
      </c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6" t="s">
        <v>264</v>
      </c>
      <c r="C136" s="46" t="s">
        <v>265</v>
      </c>
      <c r="D136" s="47">
        <v>-0.16497034264114602</v>
      </c>
      <c r="E136" s="47">
        <v>-0.71214090995430623</v>
      </c>
      <c r="F136" s="96">
        <v>9.9999999999999995E-7</v>
      </c>
      <c r="G136" s="7"/>
      <c r="H136" s="7"/>
      <c r="I136" s="54">
        <f t="shared" si="63"/>
        <v>-7.9190837002413863E-5</v>
      </c>
      <c r="J136" s="54">
        <f t="shared" si="64"/>
        <v>-2.5149326185848801E-2</v>
      </c>
      <c r="K136" s="55">
        <f t="shared" si="65"/>
        <v>0.99918640796394165</v>
      </c>
      <c r="L136" s="55">
        <f t="shared" si="66"/>
        <v>4.7801832693492036E-4</v>
      </c>
      <c r="M136" s="55">
        <f t="shared" si="67"/>
        <v>0.99952198167306505</v>
      </c>
      <c r="N136" s="55">
        <f t="shared" si="68"/>
        <v>2.79107369581443E-6</v>
      </c>
      <c r="O136" s="56">
        <f t="shared" si="69"/>
        <v>1.0002107715903269E-6</v>
      </c>
      <c r="P136" s="56">
        <f t="shared" si="70"/>
        <v>9.4393524254059328E-7</v>
      </c>
      <c r="Q136" s="56">
        <f t="shared" si="71"/>
        <v>1.9406651963169305E-7</v>
      </c>
      <c r="R136" s="9">
        <f t="shared" si="44"/>
        <v>1.4999999999999999E-4</v>
      </c>
      <c r="S136" s="9">
        <f t="shared" si="45"/>
        <v>7.1702749040238042E-8</v>
      </c>
      <c r="T136" s="9">
        <f t="shared" si="40"/>
        <v>1.4987796119459123E-4</v>
      </c>
      <c r="U136" s="9">
        <f t="shared" si="41"/>
        <v>1.4992829725095973E-4</v>
      </c>
      <c r="V136" s="100">
        <f t="shared" si="46"/>
        <v>0.99966426580377787</v>
      </c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6" t="s">
        <v>266</v>
      </c>
      <c r="C137" s="46" t="s">
        <v>267</v>
      </c>
      <c r="D137" s="47">
        <v>-2.7256879443499291</v>
      </c>
      <c r="E137" s="47">
        <v>-4.3548518644977863</v>
      </c>
      <c r="F137" s="96">
        <v>9.9999999999999995E-7</v>
      </c>
      <c r="G137" s="7"/>
      <c r="H137" s="7"/>
      <c r="I137" s="54">
        <f t="shared" si="63"/>
        <v>-2.2462984868396082E-4</v>
      </c>
      <c r="J137" s="54">
        <f t="shared" si="64"/>
        <v>-6.2381894312699707E-2</v>
      </c>
      <c r="K137" s="55">
        <f t="shared" si="65"/>
        <v>0.99956018660615464</v>
      </c>
      <c r="L137" s="55">
        <f t="shared" si="66"/>
        <v>4.38908924081635E-4</v>
      </c>
      <c r="M137" s="55">
        <f t="shared" si="67"/>
        <v>0.9995610910759184</v>
      </c>
      <c r="N137" s="55">
        <f t="shared" si="68"/>
        <v>6.3565692264992054E-10</v>
      </c>
      <c r="O137" s="56">
        <f t="shared" si="69"/>
        <v>1.0005849334295515E-6</v>
      </c>
      <c r="P137" s="56">
        <f t="shared" si="70"/>
        <v>8.6670652224309808E-7</v>
      </c>
      <c r="Q137" s="56">
        <f t="shared" si="71"/>
        <v>4.4197946777061458E-11</v>
      </c>
      <c r="R137" s="9">
        <f t="shared" si="44"/>
        <v>1.4999999999999999E-4</v>
      </c>
      <c r="S137" s="9">
        <f t="shared" si="45"/>
        <v>6.5836338612245251E-8</v>
      </c>
      <c r="T137" s="9">
        <f t="shared" si="40"/>
        <v>1.499340279909232E-4</v>
      </c>
      <c r="U137" s="9">
        <f t="shared" si="41"/>
        <v>1.4993416366138775E-4</v>
      </c>
      <c r="V137" s="100">
        <f t="shared" si="46"/>
        <v>0.99999909513308205</v>
      </c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6" t="s">
        <v>268</v>
      </c>
      <c r="C138" s="46" t="s">
        <v>269</v>
      </c>
      <c r="D138" s="47">
        <v>-0.21545001227559774</v>
      </c>
      <c r="E138" s="47">
        <v>-0.78395001746247006</v>
      </c>
      <c r="F138" s="96">
        <v>9.9999999999999995E-7</v>
      </c>
      <c r="G138" s="7"/>
      <c r="H138" s="7"/>
      <c r="I138" s="54">
        <f t="shared" si="63"/>
        <v>-9.5327662881748492E-5</v>
      </c>
      <c r="J138" s="54">
        <f t="shared" si="64"/>
        <v>-2.9201865265541728E-2</v>
      </c>
      <c r="K138" s="55">
        <f t="shared" si="65"/>
        <v>0.99922795362061967</v>
      </c>
      <c r="L138" s="55">
        <f t="shared" si="66"/>
        <v>4.7359822476205254E-4</v>
      </c>
      <c r="M138" s="55">
        <f t="shared" si="67"/>
        <v>0.99952640177523799</v>
      </c>
      <c r="N138" s="55">
        <f t="shared" si="68"/>
        <v>2.3658121271547901E-6</v>
      </c>
      <c r="O138" s="56">
        <f t="shared" si="69"/>
        <v>1.0002523598395173E-6</v>
      </c>
      <c r="P138" s="56">
        <f t="shared" si="70"/>
        <v>9.3520693657091834E-7</v>
      </c>
      <c r="Q138" s="56">
        <f t="shared" si="71"/>
        <v>1.6449760044240279E-7</v>
      </c>
      <c r="R138" s="9">
        <f t="shared" si="44"/>
        <v>1.4999999999999999E-4</v>
      </c>
      <c r="S138" s="9">
        <f t="shared" si="45"/>
        <v>7.1039733714307878E-8</v>
      </c>
      <c r="T138" s="9">
        <f t="shared" si="40"/>
        <v>1.4988419304309293E-4</v>
      </c>
      <c r="U138" s="9">
        <f t="shared" si="41"/>
        <v>1.499289602662857E-4</v>
      </c>
      <c r="V138" s="100">
        <f t="shared" si="46"/>
        <v>0.99970141043389327</v>
      </c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6" t="s">
        <v>270</v>
      </c>
      <c r="C139" s="46" t="s">
        <v>271</v>
      </c>
      <c r="D139" s="47">
        <v>1.0310160000000004</v>
      </c>
      <c r="E139" s="47">
        <v>0.78085199999999966</v>
      </c>
      <c r="F139" s="96">
        <v>9.9999999999999995E-7</v>
      </c>
      <c r="G139" s="7"/>
      <c r="H139" s="7"/>
      <c r="I139" s="54">
        <f t="shared" si="63"/>
        <v>2.1084810301724875E-3</v>
      </c>
      <c r="J139" s="54">
        <f t="shared" si="64"/>
        <v>0.33678734695500601</v>
      </c>
      <c r="K139" s="55">
        <f t="shared" si="65"/>
        <v>0.99355340942015258</v>
      </c>
      <c r="L139" s="55">
        <f t="shared" si="66"/>
        <v>1.0937697825440173E-3</v>
      </c>
      <c r="M139" s="55">
        <f t="shared" si="67"/>
        <v>0.99890623021745595</v>
      </c>
      <c r="N139" s="55">
        <f t="shared" si="68"/>
        <v>8.6359260361810187E-5</v>
      </c>
      <c r="O139" s="56">
        <f t="shared" si="69"/>
        <v>9.9457199810927915E-7</v>
      </c>
      <c r="P139" s="56">
        <f t="shared" si="70"/>
        <v>2.1598499195404731E-6</v>
      </c>
      <c r="Q139" s="56">
        <f t="shared" si="71"/>
        <v>6.004657319337946E-6</v>
      </c>
      <c r="R139" s="9">
        <f t="shared" si="44"/>
        <v>1.4999999999999999E-4</v>
      </c>
      <c r="S139" s="9">
        <f t="shared" si="45"/>
        <v>1.6406546738160259E-7</v>
      </c>
      <c r="T139" s="9">
        <f t="shared" si="40"/>
        <v>1.4903301141302286E-4</v>
      </c>
      <c r="U139" s="9">
        <f t="shared" si="41"/>
        <v>1.4983593453261838E-4</v>
      </c>
      <c r="V139" s="100">
        <f t="shared" si="46"/>
        <v>0.9946413180382927</v>
      </c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6" t="s">
        <v>272</v>
      </c>
      <c r="C140" s="46" t="s">
        <v>273</v>
      </c>
      <c r="D140" s="47">
        <v>-1.8497486811018407</v>
      </c>
      <c r="E140" s="47">
        <v>-3.1087974195955765</v>
      </c>
      <c r="F140" s="96">
        <v>9.9999999999999995E-7</v>
      </c>
      <c r="G140" s="7"/>
      <c r="H140" s="7"/>
      <c r="I140" s="54">
        <f t="shared" si="63"/>
        <v>-2.2206215862113771E-4</v>
      </c>
      <c r="J140" s="54">
        <f t="shared" si="64"/>
        <v>-6.1723202613472264E-2</v>
      </c>
      <c r="K140" s="55">
        <f t="shared" si="65"/>
        <v>0.99955361359873207</v>
      </c>
      <c r="L140" s="55">
        <f t="shared" si="66"/>
        <v>4.3957222895386438E-4</v>
      </c>
      <c r="M140" s="55">
        <f t="shared" si="67"/>
        <v>0.99956042777104614</v>
      </c>
      <c r="N140" s="55">
        <f t="shared" si="68"/>
        <v>1.1201453234758203E-8</v>
      </c>
      <c r="O140" s="56">
        <f t="shared" si="69"/>
        <v>1.0005783536834969E-6</v>
      </c>
      <c r="P140" s="56">
        <f t="shared" si="70"/>
        <v>8.6801633990105488E-7</v>
      </c>
      <c r="Q140" s="56">
        <f t="shared" si="71"/>
        <v>7.788497478037304E-10</v>
      </c>
      <c r="R140" s="9">
        <f t="shared" si="44"/>
        <v>1.4999999999999999E-4</v>
      </c>
      <c r="S140" s="9">
        <f t="shared" si="45"/>
        <v>6.5935834343079653E-8</v>
      </c>
      <c r="T140" s="9">
        <f t="shared" si="40"/>
        <v>1.499330420398098E-4</v>
      </c>
      <c r="U140" s="9">
        <f t="shared" si="41"/>
        <v>1.499340641656569E-4</v>
      </c>
      <c r="V140" s="100">
        <f t="shared" si="46"/>
        <v>0.99999318283104777</v>
      </c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6" t="s">
        <v>274</v>
      </c>
      <c r="C141" s="46" t="s">
        <v>275</v>
      </c>
      <c r="D141" s="47">
        <v>-1.4544244920654867</v>
      </c>
      <c r="E141" s="47">
        <v>-2.5464348408255515</v>
      </c>
      <c r="F141" s="96">
        <v>9.9999999999999995E-7</v>
      </c>
      <c r="G141" s="7"/>
      <c r="H141" s="7"/>
      <c r="I141" s="54">
        <f t="shared" si="63"/>
        <v>-2.1765065893421197E-4</v>
      </c>
      <c r="J141" s="54">
        <f t="shared" si="64"/>
        <v>-6.0585812833321005E-2</v>
      </c>
      <c r="K141" s="55">
        <f t="shared" si="65"/>
        <v>0.99954231261288573</v>
      </c>
      <c r="L141" s="55">
        <f t="shared" si="66"/>
        <v>4.4071996676143285E-4</v>
      </c>
      <c r="M141" s="55">
        <f t="shared" si="67"/>
        <v>0.99955928003323857</v>
      </c>
      <c r="N141" s="55">
        <f t="shared" si="68"/>
        <v>4.0891405546252188E-8</v>
      </c>
      <c r="O141" s="56">
        <f t="shared" si="69"/>
        <v>1.0005670411119053E-6</v>
      </c>
      <c r="P141" s="56">
        <f t="shared" si="70"/>
        <v>8.70282759627484E-7</v>
      </c>
      <c r="Q141" s="56">
        <f t="shared" si="71"/>
        <v>2.8432258055779012E-9</v>
      </c>
      <c r="R141" s="9">
        <f t="shared" si="44"/>
        <v>1.4999999999999999E-4</v>
      </c>
      <c r="S141" s="9">
        <f t="shared" si="45"/>
        <v>6.6107995014214927E-8</v>
      </c>
      <c r="T141" s="9">
        <f t="shared" si="40"/>
        <v>1.4993134689193283E-4</v>
      </c>
      <c r="U141" s="9">
        <f t="shared" si="41"/>
        <v>1.4993389200498576E-4</v>
      </c>
      <c r="V141" s="100">
        <f t="shared" si="46"/>
        <v>0.99998302509846915</v>
      </c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6" t="s">
        <v>276</v>
      </c>
      <c r="C142" s="46" t="s">
        <v>277</v>
      </c>
      <c r="D142" s="47">
        <v>2.3179513188981593</v>
      </c>
      <c r="E142" s="47">
        <v>2.8199025804044244</v>
      </c>
      <c r="F142" s="96">
        <v>9.9999999999999995E-7</v>
      </c>
      <c r="G142" s="7"/>
      <c r="H142" s="7"/>
      <c r="I142" s="54">
        <f t="shared" si="63"/>
        <v>5.0919667310397418E-2</v>
      </c>
      <c r="J142" s="54">
        <f t="shared" si="64"/>
        <v>1.618932745693185</v>
      </c>
      <c r="K142" s="55">
        <f t="shared" si="65"/>
        <v>0.87255453445100661</v>
      </c>
      <c r="L142" s="55">
        <f t="shared" si="66"/>
        <v>1.8393851736145231E-2</v>
      </c>
      <c r="M142" s="55">
        <f t="shared" si="67"/>
        <v>0.98160614826385473</v>
      </c>
      <c r="N142" s="55">
        <f t="shared" si="68"/>
        <v>8.2977597499687226E-3</v>
      </c>
      <c r="O142" s="56">
        <f t="shared" si="69"/>
        <v>8.734490753695031E-7</v>
      </c>
      <c r="P142" s="56">
        <f t="shared" si="70"/>
        <v>3.6322048594128052E-5</v>
      </c>
      <c r="Q142" s="56">
        <f t="shared" si="71"/>
        <v>5.7695264651422609E-4</v>
      </c>
      <c r="R142" s="9">
        <f t="shared" si="44"/>
        <v>1.4999999999999999E-4</v>
      </c>
      <c r="S142" s="9">
        <f t="shared" si="45"/>
        <v>2.7590777604217845E-6</v>
      </c>
      <c r="T142" s="9">
        <f t="shared" si="40"/>
        <v>1.3088318016765097E-4</v>
      </c>
      <c r="U142" s="9">
        <f t="shared" si="41"/>
        <v>1.472409222395782E-4</v>
      </c>
      <c r="V142" s="100">
        <f t="shared" si="46"/>
        <v>0.88890491975246355</v>
      </c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6" t="s">
        <v>96</v>
      </c>
      <c r="C143" s="46" t="s">
        <v>278</v>
      </c>
      <c r="D143" s="47">
        <v>3.46</v>
      </c>
      <c r="E143" s="47">
        <v>2.6247999825375303</v>
      </c>
      <c r="F143" s="96">
        <v>9.9999999999999995E-7</v>
      </c>
      <c r="G143" s="7"/>
      <c r="H143" s="7"/>
      <c r="I143" s="54">
        <f t="shared" si="63"/>
        <v>0.38018124000089604</v>
      </c>
      <c r="J143" s="54">
        <f t="shared" si="64"/>
        <v>2.5015937770548793</v>
      </c>
      <c r="K143" s="55">
        <f t="shared" si="65"/>
        <v>0.39032426059796882</v>
      </c>
      <c r="L143" s="55">
        <f t="shared" si="66"/>
        <v>6.28010172939545E-2</v>
      </c>
      <c r="M143" s="55">
        <f t="shared" si="67"/>
        <v>0.93719898270604551</v>
      </c>
      <c r="N143" s="55">
        <f t="shared" si="68"/>
        <v>2.3685972696683927E-3</v>
      </c>
      <c r="O143" s="56">
        <f t="shared" si="69"/>
        <v>3.9072442013963739E-7</v>
      </c>
      <c r="P143" s="56">
        <f t="shared" si="70"/>
        <v>1.24012177255362E-4</v>
      </c>
      <c r="Q143" s="56">
        <f t="shared" si="71"/>
        <v>1.6469125456020829E-4</v>
      </c>
      <c r="R143" s="9">
        <f t="shared" si="44"/>
        <v>1.4999999999999999E-4</v>
      </c>
      <c r="S143" s="9">
        <f t="shared" si="45"/>
        <v>9.4201525940931734E-6</v>
      </c>
      <c r="T143" s="9">
        <f t="shared" si="40"/>
        <v>5.8548639089695318E-5</v>
      </c>
      <c r="U143" s="9">
        <f t="shared" si="41"/>
        <v>1.4057984740590681E-4</v>
      </c>
      <c r="V143" s="100">
        <f t="shared" si="46"/>
        <v>0.41647960337190726</v>
      </c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8"/>
      <c r="C144" s="48"/>
      <c r="D144" s="48"/>
      <c r="E144" s="48"/>
      <c r="F144" s="48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8"/>
      <c r="C145" s="48"/>
      <c r="D145" s="48"/>
      <c r="E145" s="48"/>
      <c r="F145" s="48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8"/>
      <c r="C146" s="48"/>
      <c r="D146" s="48"/>
      <c r="E146" s="48"/>
      <c r="F146" s="48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8"/>
      <c r="C147" s="48"/>
      <c r="D147" s="48"/>
      <c r="E147" s="48"/>
      <c r="F147" s="48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8"/>
      <c r="C148" s="48"/>
      <c r="D148" s="48"/>
      <c r="E148" s="48"/>
      <c r="F148" s="48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8"/>
      <c r="C149" s="48"/>
      <c r="D149" s="48"/>
      <c r="E149" s="48"/>
      <c r="F149" s="48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8"/>
      <c r="C150" s="48"/>
      <c r="D150" s="48"/>
      <c r="E150" s="48"/>
      <c r="F150" s="48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8"/>
      <c r="C151" s="48"/>
      <c r="D151" s="48"/>
      <c r="E151" s="48"/>
      <c r="F151" s="48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8"/>
      <c r="C152" s="48"/>
      <c r="D152" s="48"/>
      <c r="E152" s="48"/>
      <c r="F152" s="48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8"/>
      <c r="C153" s="48"/>
      <c r="D153" s="48"/>
      <c r="E153" s="48"/>
      <c r="F153" s="48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8"/>
      <c r="C154" s="48"/>
      <c r="D154" s="48"/>
      <c r="E154" s="48"/>
      <c r="F154" s="48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8"/>
      <c r="C155" s="48"/>
      <c r="D155" s="48"/>
      <c r="E155" s="48"/>
      <c r="F155" s="48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8"/>
      <c r="C156" s="48"/>
      <c r="D156" s="48"/>
      <c r="E156" s="48"/>
      <c r="F156" s="48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8"/>
      <c r="C157" s="48"/>
      <c r="D157" s="48"/>
      <c r="E157" s="48"/>
      <c r="F157" s="48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8"/>
      <c r="C158" s="48"/>
      <c r="D158" s="48"/>
      <c r="E158" s="48"/>
      <c r="F158" s="48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8"/>
      <c r="C159" s="48"/>
      <c r="D159" s="48"/>
      <c r="E159" s="48"/>
      <c r="F159" s="48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8"/>
      <c r="C160" s="48"/>
      <c r="D160" s="48"/>
      <c r="E160" s="48"/>
      <c r="F160" s="48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8"/>
      <c r="C161" s="48"/>
      <c r="D161" s="48"/>
      <c r="E161" s="48"/>
      <c r="F161" s="48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8"/>
      <c r="C162" s="48"/>
      <c r="D162" s="48"/>
      <c r="E162" s="48"/>
      <c r="F162" s="48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8"/>
      <c r="C163" s="48"/>
      <c r="D163" s="48"/>
      <c r="E163" s="48"/>
      <c r="F163" s="48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8"/>
      <c r="C164" s="48"/>
      <c r="D164" s="48"/>
      <c r="E164" s="48"/>
      <c r="F164" s="48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8"/>
      <c r="C165" s="48"/>
      <c r="D165" s="48"/>
      <c r="E165" s="48"/>
      <c r="F165" s="48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8"/>
      <c r="C166" s="48"/>
      <c r="D166" s="48"/>
      <c r="E166" s="48"/>
      <c r="F166" s="48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8"/>
      <c r="C167" s="48"/>
      <c r="D167" s="48"/>
      <c r="E167" s="48"/>
      <c r="F167" s="48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8"/>
      <c r="C168" s="48"/>
      <c r="D168" s="48"/>
      <c r="E168" s="48"/>
      <c r="F168" s="48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8"/>
      <c r="C169" s="48"/>
      <c r="D169" s="48"/>
      <c r="E169" s="48"/>
      <c r="F169" s="48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8"/>
      <c r="C170" s="48"/>
      <c r="D170" s="48"/>
      <c r="E170" s="48"/>
      <c r="F170" s="48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8"/>
      <c r="C171" s="48"/>
      <c r="D171" s="48"/>
      <c r="E171" s="48"/>
      <c r="F171" s="48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8"/>
      <c r="C172" s="48"/>
      <c r="D172" s="48"/>
      <c r="E172" s="48"/>
      <c r="F172" s="4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8"/>
      <c r="C173" s="48"/>
      <c r="D173" s="48"/>
      <c r="E173" s="48"/>
      <c r="F173" s="48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8"/>
      <c r="C174" s="48"/>
      <c r="D174" s="48"/>
      <c r="E174" s="48"/>
      <c r="F174" s="48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8"/>
      <c r="C175" s="48"/>
      <c r="D175" s="48"/>
      <c r="E175" s="48"/>
      <c r="F175" s="48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8"/>
      <c r="C176" s="48"/>
      <c r="D176" s="48"/>
      <c r="E176" s="48"/>
      <c r="F176" s="48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8"/>
      <c r="C177" s="48"/>
      <c r="D177" s="48"/>
      <c r="E177" s="48"/>
      <c r="F177" s="48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8"/>
      <c r="C178" s="48"/>
      <c r="D178" s="48"/>
      <c r="E178" s="48"/>
      <c r="F178" s="48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8"/>
      <c r="C179" s="48"/>
      <c r="D179" s="48"/>
      <c r="E179" s="48"/>
      <c r="F179" s="48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8"/>
      <c r="C180" s="48"/>
      <c r="D180" s="48"/>
      <c r="E180" s="48"/>
      <c r="F180" s="48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8"/>
      <c r="C181" s="48"/>
      <c r="D181" s="48"/>
      <c r="E181" s="48"/>
      <c r="F181" s="48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8"/>
      <c r="C182" s="48"/>
      <c r="D182" s="48"/>
      <c r="E182" s="48"/>
      <c r="F182" s="4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8"/>
      <c r="C183" s="48"/>
      <c r="D183" s="48"/>
      <c r="E183" s="48"/>
      <c r="F183" s="48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8"/>
      <c r="C184" s="48"/>
      <c r="D184" s="48"/>
      <c r="E184" s="48"/>
      <c r="F184" s="48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8"/>
      <c r="C185" s="48"/>
      <c r="D185" s="48"/>
      <c r="E185" s="48"/>
      <c r="F185" s="48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8"/>
      <c r="C186" s="48"/>
      <c r="D186" s="48"/>
      <c r="E186" s="48"/>
      <c r="F186" s="48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8"/>
      <c r="C187" s="48"/>
      <c r="D187" s="48"/>
      <c r="E187" s="48"/>
      <c r="F187" s="48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8"/>
      <c r="C188" s="48"/>
      <c r="D188" s="48"/>
      <c r="E188" s="48"/>
      <c r="F188" s="48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8"/>
      <c r="C189" s="48"/>
      <c r="D189" s="48"/>
      <c r="E189" s="48"/>
      <c r="F189" s="48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8"/>
      <c r="C190" s="48"/>
      <c r="D190" s="48"/>
      <c r="E190" s="48"/>
      <c r="F190" s="4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8"/>
      <c r="C191" s="48"/>
      <c r="D191" s="48"/>
      <c r="E191" s="48"/>
      <c r="F191" s="48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8"/>
      <c r="C192" s="48"/>
      <c r="D192" s="48"/>
      <c r="E192" s="48"/>
      <c r="F192" s="4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8"/>
      <c r="C193" s="48"/>
      <c r="D193" s="48"/>
      <c r="E193" s="48"/>
      <c r="F193" s="48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8"/>
      <c r="C194" s="48"/>
      <c r="D194" s="48"/>
      <c r="E194" s="48"/>
      <c r="F194" s="4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8"/>
      <c r="C195" s="48"/>
      <c r="D195" s="48"/>
      <c r="E195" s="48"/>
      <c r="F195" s="48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8"/>
      <c r="C196" s="48"/>
      <c r="D196" s="48"/>
      <c r="E196" s="48"/>
      <c r="F196" s="4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8"/>
      <c r="C197" s="48"/>
      <c r="D197" s="48"/>
      <c r="E197" s="48"/>
      <c r="F197" s="48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8"/>
      <c r="C198" s="48"/>
      <c r="D198" s="48"/>
      <c r="E198" s="48"/>
      <c r="F198" s="48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8"/>
      <c r="C199" s="48"/>
      <c r="D199" s="48"/>
      <c r="E199" s="48"/>
      <c r="F199" s="48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8"/>
      <c r="C200" s="48"/>
      <c r="D200" s="48"/>
      <c r="E200" s="48"/>
      <c r="F200" s="4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8"/>
      <c r="C201" s="48"/>
      <c r="D201" s="48"/>
      <c r="E201" s="48"/>
      <c r="F201" s="48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8"/>
      <c r="C202" s="48"/>
      <c r="D202" s="48"/>
      <c r="E202" s="48"/>
      <c r="F202" s="4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8"/>
      <c r="C203" s="48"/>
      <c r="D203" s="48"/>
      <c r="E203" s="48"/>
      <c r="F203" s="48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8"/>
      <c r="C204" s="48"/>
      <c r="D204" s="48"/>
      <c r="E204" s="48"/>
      <c r="F204" s="4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8"/>
      <c r="C205" s="48"/>
      <c r="D205" s="48"/>
      <c r="E205" s="48"/>
      <c r="F205" s="48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8"/>
      <c r="C206" s="48"/>
      <c r="D206" s="48"/>
      <c r="E206" s="48"/>
      <c r="F206" s="48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8"/>
      <c r="C207" s="48"/>
      <c r="D207" s="48"/>
      <c r="E207" s="48"/>
      <c r="F207" s="48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8"/>
      <c r="C208" s="48"/>
      <c r="D208" s="48"/>
      <c r="E208" s="48"/>
      <c r="F208" s="48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8"/>
      <c r="C209" s="48"/>
      <c r="D209" s="48"/>
      <c r="E209" s="48"/>
      <c r="F209" s="48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8"/>
      <c r="C210" s="48"/>
      <c r="D210" s="48"/>
      <c r="E210" s="48"/>
      <c r="F210" s="48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8"/>
      <c r="C211" s="48"/>
      <c r="D211" s="48"/>
      <c r="E211" s="48"/>
      <c r="F211" s="48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8"/>
      <c r="C212" s="48"/>
      <c r="D212" s="48"/>
      <c r="E212" s="48"/>
      <c r="F212" s="4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8"/>
      <c r="C213" s="48"/>
      <c r="D213" s="48"/>
      <c r="E213" s="48"/>
      <c r="F213" s="48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8"/>
      <c r="C214" s="48"/>
      <c r="D214" s="48"/>
      <c r="E214" s="48"/>
      <c r="F214" s="48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8"/>
      <c r="C215" s="48"/>
      <c r="D215" s="48"/>
      <c r="E215" s="48"/>
      <c r="F215" s="48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8"/>
      <c r="C216" s="48"/>
      <c r="D216" s="48"/>
      <c r="E216" s="48"/>
      <c r="F216" s="48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8"/>
      <c r="C217" s="48"/>
      <c r="D217" s="48"/>
      <c r="E217" s="48"/>
      <c r="F217" s="48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8"/>
      <c r="C218" s="48"/>
      <c r="D218" s="48"/>
      <c r="E218" s="48"/>
      <c r="F218" s="48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8"/>
      <c r="C219" s="48"/>
      <c r="D219" s="48"/>
      <c r="E219" s="48"/>
      <c r="F219" s="48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8"/>
      <c r="C220" s="48"/>
      <c r="D220" s="48"/>
      <c r="E220" s="48"/>
      <c r="F220" s="48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8"/>
      <c r="C221" s="48"/>
      <c r="D221" s="48"/>
      <c r="E221" s="48"/>
      <c r="F221" s="48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8"/>
      <c r="C222" s="48"/>
      <c r="D222" s="48"/>
      <c r="E222" s="48"/>
      <c r="F222" s="48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8"/>
      <c r="C223" s="48"/>
      <c r="D223" s="48"/>
      <c r="E223" s="48"/>
      <c r="F223" s="48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8"/>
      <c r="C224" s="48"/>
      <c r="D224" s="48"/>
      <c r="E224" s="48"/>
      <c r="F224" s="48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8"/>
      <c r="C225" s="48"/>
      <c r="D225" s="48"/>
      <c r="E225" s="48"/>
      <c r="F225" s="48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8"/>
      <c r="C226" s="48"/>
      <c r="D226" s="48"/>
      <c r="E226" s="48"/>
      <c r="F226" s="4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8"/>
      <c r="C227" s="48"/>
      <c r="D227" s="48"/>
      <c r="E227" s="48"/>
      <c r="F227" s="48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8"/>
      <c r="C228" s="48"/>
      <c r="D228" s="48"/>
      <c r="E228" s="48"/>
      <c r="F228" s="4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8"/>
      <c r="C229" s="48"/>
      <c r="D229" s="48"/>
      <c r="E229" s="48"/>
      <c r="F229" s="48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E26:E27"/>
    <mergeCell ref="F26:F27"/>
    <mergeCell ref="L19:Q19"/>
    <mergeCell ref="L20:Q20"/>
    <mergeCell ref="L21:Q21"/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</mergeCells>
  <phoneticPr fontId="17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2025-02-02T14:52:28Z</dcterms:modified>
</cp:coreProperties>
</file>