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Sens_R\Fischer\96well_1um\"/>
    </mc:Choice>
  </mc:AlternateContent>
  <xr:revisionPtr revIDLastSave="0" documentId="13_ncr:1_{0B52A0A7-6E54-4CF2-A8BA-E4FE78F4F47E}" xr6:coauthVersionLast="47" xr6:coauthVersionMax="47" xr10:uidLastSave="{00000000-0000-0000-0000-000000000000}"/>
  <bookViews>
    <workbookView xWindow="43080" yWindow="-120" windowWidth="29040" windowHeight="15720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9" i="4" l="1"/>
  <c r="J139" i="4"/>
  <c r="K139" i="4"/>
  <c r="L139" i="4"/>
  <c r="S139" i="4" s="1"/>
  <c r="M139" i="4"/>
  <c r="V139" i="4" s="1"/>
  <c r="N139" i="4"/>
  <c r="Q139" i="4" s="1"/>
  <c r="O139" i="4"/>
  <c r="P139" i="4"/>
  <c r="I140" i="4"/>
  <c r="L140" i="4" s="1"/>
  <c r="M140" i="4" s="1"/>
  <c r="J140" i="4"/>
  <c r="K140" i="4"/>
  <c r="I141" i="4"/>
  <c r="J141" i="4"/>
  <c r="K141" i="4"/>
  <c r="O141" i="4" s="1"/>
  <c r="P141" i="4" s="1"/>
  <c r="L141" i="4"/>
  <c r="M141" i="4"/>
  <c r="N141" i="4"/>
  <c r="Q141" i="4" s="1"/>
  <c r="I142" i="4"/>
  <c r="J142" i="4"/>
  <c r="K142" i="4" s="1"/>
  <c r="I143" i="4"/>
  <c r="N143" i="4" s="1"/>
  <c r="Q143" i="4" s="1"/>
  <c r="J143" i="4"/>
  <c r="K143" i="4" s="1"/>
  <c r="V143" i="4" s="1"/>
  <c r="L143" i="4"/>
  <c r="S143" i="4" s="1"/>
  <c r="M143" i="4"/>
  <c r="R143" i="4"/>
  <c r="R142" i="4"/>
  <c r="R141" i="4"/>
  <c r="R140" i="4"/>
  <c r="U139" i="4"/>
  <c r="R139" i="4"/>
  <c r="T139" i="4" s="1"/>
  <c r="R138" i="4"/>
  <c r="R137" i="4"/>
  <c r="R136" i="4"/>
  <c r="R135" i="4"/>
  <c r="R134" i="4"/>
  <c r="R133" i="4"/>
  <c r="R132" i="4"/>
  <c r="R131" i="4"/>
  <c r="R130" i="4"/>
  <c r="R129" i="4"/>
  <c r="R128" i="4"/>
  <c r="R127" i="4"/>
  <c r="R126" i="4"/>
  <c r="R125" i="4"/>
  <c r="R124" i="4"/>
  <c r="R123" i="4"/>
  <c r="R122" i="4"/>
  <c r="R121" i="4"/>
  <c r="R120" i="4"/>
  <c r="R119" i="4"/>
  <c r="R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U143" i="4" l="1"/>
  <c r="O142" i="4"/>
  <c r="P142" i="4" s="1"/>
  <c r="L142" i="4"/>
  <c r="M142" i="4" s="1"/>
  <c r="U142" i="4" s="1"/>
  <c r="N142" i="4"/>
  <c r="Q142" i="4" s="1"/>
  <c r="U141" i="4"/>
  <c r="V141" i="4"/>
  <c r="V140" i="4"/>
  <c r="T143" i="4"/>
  <c r="O143" i="4"/>
  <c r="P143" i="4" s="1"/>
  <c r="U140" i="4"/>
  <c r="O140" i="4"/>
  <c r="P140" i="4" s="1"/>
  <c r="N140" i="4"/>
  <c r="Q140" i="4" s="1"/>
  <c r="T141" i="4"/>
  <c r="T142" i="4"/>
  <c r="S140" i="4"/>
  <c r="T140" i="4"/>
  <c r="S141" i="4"/>
  <c r="V142" i="4" l="1"/>
  <c r="S142" i="4"/>
  <c r="I130" i="4"/>
  <c r="I126" i="4"/>
  <c r="N126" i="4" s="1"/>
  <c r="Q126" i="4" s="1"/>
  <c r="J126" i="4"/>
  <c r="K126" i="4"/>
  <c r="L126" i="4"/>
  <c r="S126" i="4" s="1"/>
  <c r="I127" i="4"/>
  <c r="J127" i="4"/>
  <c r="K127" i="4"/>
  <c r="N127" i="4"/>
  <c r="Q127" i="4" s="1"/>
  <c r="I129" i="4"/>
  <c r="L129" i="4" s="1"/>
  <c r="J129" i="4"/>
  <c r="K129" i="4"/>
  <c r="I132" i="4"/>
  <c r="J132" i="4"/>
  <c r="K132" i="4" s="1"/>
  <c r="L132" i="4"/>
  <c r="S132" i="4" s="1"/>
  <c r="M132" i="4"/>
  <c r="U132" i="4" s="1"/>
  <c r="N132" i="4"/>
  <c r="Q132" i="4" s="1"/>
  <c r="I133" i="4"/>
  <c r="N133" i="4" s="1"/>
  <c r="Q133" i="4" s="1"/>
  <c r="J133" i="4"/>
  <c r="K133" i="4"/>
  <c r="L133" i="4"/>
  <c r="S133" i="4" s="1"/>
  <c r="I136" i="4"/>
  <c r="J136" i="4"/>
  <c r="K136" i="4"/>
  <c r="L136" i="4"/>
  <c r="S136" i="4" s="1"/>
  <c r="M136" i="4"/>
  <c r="U136" i="4" s="1"/>
  <c r="N136" i="4"/>
  <c r="Q136" i="4" s="1"/>
  <c r="O136" i="4"/>
  <c r="P136" i="4" s="1"/>
  <c r="I137" i="4"/>
  <c r="J137" i="4"/>
  <c r="K137" i="4" s="1"/>
  <c r="I138" i="4"/>
  <c r="J138" i="4"/>
  <c r="K138" i="4"/>
  <c r="L138" i="4"/>
  <c r="S138" i="4" s="1"/>
  <c r="M138" i="4"/>
  <c r="U138" i="4" s="1"/>
  <c r="N138" i="4"/>
  <c r="Q138" i="4" s="1"/>
  <c r="O137" i="4" l="1"/>
  <c r="P137" i="4" s="1"/>
  <c r="T137" i="4"/>
  <c r="O132" i="4"/>
  <c r="P132" i="4" s="1"/>
  <c r="V132" i="4"/>
  <c r="T132" i="4"/>
  <c r="T127" i="4"/>
  <c r="V126" i="4"/>
  <c r="T126" i="4"/>
  <c r="M129" i="4"/>
  <c r="U129" i="4" s="1"/>
  <c r="S129" i="4"/>
  <c r="T133" i="4"/>
  <c r="V136" i="4"/>
  <c r="T136" i="4"/>
  <c r="L137" i="4"/>
  <c r="O133" i="4"/>
  <c r="P133" i="4" s="1"/>
  <c r="O138" i="4"/>
  <c r="P138" i="4" s="1"/>
  <c r="V138" i="4"/>
  <c r="T138" i="4"/>
  <c r="O129" i="4"/>
  <c r="P129" i="4" s="1"/>
  <c r="V129" i="4"/>
  <c r="T129" i="4"/>
  <c r="M133" i="4"/>
  <c r="U133" i="4" s="1"/>
  <c r="O127" i="4"/>
  <c r="P127" i="4" s="1"/>
  <c r="L127" i="4"/>
  <c r="S127" i="4" s="1"/>
  <c r="M126" i="4"/>
  <c r="U126" i="4" s="1"/>
  <c r="O126" i="4"/>
  <c r="P126" i="4" s="1"/>
  <c r="N137" i="4"/>
  <c r="Q137" i="4" s="1"/>
  <c r="N129" i="4"/>
  <c r="Q129" i="4" s="1"/>
  <c r="O15" i="1"/>
  <c r="L15" i="1"/>
  <c r="N15" i="1"/>
  <c r="J16" i="4"/>
  <c r="J15" i="4"/>
  <c r="J122" i="4"/>
  <c r="K122" i="4" s="1"/>
  <c r="J117" i="4"/>
  <c r="K117" i="4"/>
  <c r="J101" i="4"/>
  <c r="K101" i="4" s="1"/>
  <c r="J103" i="4"/>
  <c r="K103" i="4"/>
  <c r="J104" i="4"/>
  <c r="K104" i="4" s="1"/>
  <c r="J71" i="4"/>
  <c r="K71" i="4"/>
  <c r="J110" i="4"/>
  <c r="K110" i="4" s="1"/>
  <c r="J113" i="4"/>
  <c r="K113" i="4" s="1"/>
  <c r="J116" i="4"/>
  <c r="K116" i="4" s="1"/>
  <c r="J100" i="4"/>
  <c r="K100" i="4" s="1"/>
  <c r="O100" i="4" s="1"/>
  <c r="P100" i="4" s="1"/>
  <c r="J114" i="4"/>
  <c r="L114" i="4" s="1"/>
  <c r="S114" i="4" s="1"/>
  <c r="K114" i="4"/>
  <c r="J115" i="4"/>
  <c r="K115" i="4"/>
  <c r="O115" i="4"/>
  <c r="P115" i="4" s="1"/>
  <c r="J99" i="4"/>
  <c r="K99" i="4"/>
  <c r="J102" i="4"/>
  <c r="K102" i="4" s="1"/>
  <c r="J109" i="4"/>
  <c r="K109" i="4"/>
  <c r="J106" i="4"/>
  <c r="K106" i="4" s="1"/>
  <c r="J121" i="4"/>
  <c r="K121" i="4"/>
  <c r="O121" i="4" s="1"/>
  <c r="P121" i="4" s="1"/>
  <c r="J105" i="4"/>
  <c r="K105" i="4"/>
  <c r="J108" i="4"/>
  <c r="L108" i="4" s="1"/>
  <c r="K108" i="4"/>
  <c r="J98" i="4"/>
  <c r="K98" i="4" s="1"/>
  <c r="J107" i="4"/>
  <c r="K107" i="4" s="1"/>
  <c r="J91" i="4"/>
  <c r="K91" i="4" s="1"/>
  <c r="O109" i="4"/>
  <c r="P109" i="4" s="1"/>
  <c r="O114" i="4"/>
  <c r="P114" i="4"/>
  <c r="I99" i="4"/>
  <c r="N99" i="4" s="1"/>
  <c r="Q99" i="4" s="1"/>
  <c r="I102" i="4"/>
  <c r="I104" i="4"/>
  <c r="I108" i="4"/>
  <c r="I113" i="4"/>
  <c r="I115" i="4"/>
  <c r="I100" i="4"/>
  <c r="L100" i="4" s="1"/>
  <c r="M100" i="4" s="1"/>
  <c r="I103" i="4"/>
  <c r="I107" i="4"/>
  <c r="N107" i="4" s="1"/>
  <c r="Q107" i="4" s="1"/>
  <c r="I109" i="4"/>
  <c r="N109" i="4" s="1"/>
  <c r="Q109" i="4" s="1"/>
  <c r="I110" i="4"/>
  <c r="N110" i="4" s="1"/>
  <c r="Q110" i="4" s="1"/>
  <c r="I117" i="4"/>
  <c r="N117" i="4" s="1"/>
  <c r="Q117" i="4" s="1"/>
  <c r="I106" i="4"/>
  <c r="L106" i="4" s="1"/>
  <c r="I71" i="4"/>
  <c r="N71" i="4" s="1"/>
  <c r="Q71" i="4" s="1"/>
  <c r="I98" i="4"/>
  <c r="N98" i="4" s="1"/>
  <c r="Q98" i="4" s="1"/>
  <c r="I101" i="4"/>
  <c r="I114" i="4"/>
  <c r="I121" i="4"/>
  <c r="N121" i="4" s="1"/>
  <c r="Q121" i="4" s="1"/>
  <c r="I122" i="4"/>
  <c r="N122" i="4" s="1"/>
  <c r="Q122" i="4" s="1"/>
  <c r="I91" i="4"/>
  <c r="N91" i="4" s="1"/>
  <c r="Q91" i="4" s="1"/>
  <c r="I105" i="4"/>
  <c r="N105" i="4" s="1"/>
  <c r="Q105" i="4" s="1"/>
  <c r="I116" i="4"/>
  <c r="L105" i="4"/>
  <c r="N101" i="4"/>
  <c r="Q101" i="4"/>
  <c r="N108" i="4"/>
  <c r="Q108" i="4"/>
  <c r="N114" i="4"/>
  <c r="Q114" i="4" s="1"/>
  <c r="N103" i="4"/>
  <c r="Q103" i="4"/>
  <c r="L103" i="4"/>
  <c r="N115" i="4"/>
  <c r="Q115" i="4" s="1"/>
  <c r="L115" i="4"/>
  <c r="S115" i="4" s="1"/>
  <c r="N113" i="4"/>
  <c r="Q113" i="4" s="1"/>
  <c r="N102" i="4"/>
  <c r="Q102" i="4" s="1"/>
  <c r="L122" i="4"/>
  <c r="T113" i="4" l="1"/>
  <c r="O113" i="4"/>
  <c r="P113" i="4" s="1"/>
  <c r="T91" i="4"/>
  <c r="O91" i="4"/>
  <c r="P91" i="4" s="1"/>
  <c r="O122" i="4"/>
  <c r="P122" i="4" s="1"/>
  <c r="V122" i="4"/>
  <c r="T122" i="4"/>
  <c r="O110" i="4"/>
  <c r="P110" i="4" s="1"/>
  <c r="T110" i="4"/>
  <c r="S108" i="4"/>
  <c r="M108" i="4"/>
  <c r="U108" i="4" s="1"/>
  <c r="O106" i="4"/>
  <c r="P106" i="4" s="1"/>
  <c r="T106" i="4"/>
  <c r="O101" i="4"/>
  <c r="P101" i="4" s="1"/>
  <c r="T101" i="4"/>
  <c r="M106" i="4"/>
  <c r="U106" i="4" s="1"/>
  <c r="S106" i="4"/>
  <c r="M103" i="4"/>
  <c r="U103" i="4" s="1"/>
  <c r="S103" i="4"/>
  <c r="O104" i="4"/>
  <c r="P104" i="4" s="1"/>
  <c r="T104" i="4"/>
  <c r="O117" i="4"/>
  <c r="P117" i="4" s="1"/>
  <c r="T117" i="4"/>
  <c r="M137" i="4"/>
  <c r="S137" i="4"/>
  <c r="T109" i="4"/>
  <c r="T116" i="4"/>
  <c r="L117" i="4"/>
  <c r="V108" i="4"/>
  <c r="T108" i="4"/>
  <c r="T115" i="4"/>
  <c r="M105" i="4"/>
  <c r="U105" i="4" s="1"/>
  <c r="S105" i="4"/>
  <c r="O103" i="4"/>
  <c r="P103" i="4" s="1"/>
  <c r="T103" i="4"/>
  <c r="N100" i="4"/>
  <c r="Q100" i="4" s="1"/>
  <c r="O102" i="4"/>
  <c r="P102" i="4" s="1"/>
  <c r="T102" i="4"/>
  <c r="O99" i="4"/>
  <c r="P99" i="4" s="1"/>
  <c r="T99" i="4"/>
  <c r="L113" i="4"/>
  <c r="T71" i="4"/>
  <c r="O105" i="4"/>
  <c r="P105" i="4" s="1"/>
  <c r="V105" i="4"/>
  <c r="T105" i="4"/>
  <c r="V114" i="4"/>
  <c r="T114" i="4"/>
  <c r="L109" i="4"/>
  <c r="T121" i="4"/>
  <c r="M122" i="4"/>
  <c r="U122" i="4" s="1"/>
  <c r="S122" i="4"/>
  <c r="L104" i="4"/>
  <c r="N104" i="4"/>
  <c r="Q104" i="4" s="1"/>
  <c r="O98" i="4"/>
  <c r="P98" i="4" s="1"/>
  <c r="T98" i="4"/>
  <c r="L99" i="4"/>
  <c r="V133" i="4"/>
  <c r="O116" i="4"/>
  <c r="P116" i="4" s="1"/>
  <c r="L110" i="4"/>
  <c r="L116" i="4"/>
  <c r="S116" i="4" s="1"/>
  <c r="O108" i="4"/>
  <c r="P108" i="4" s="1"/>
  <c r="N106" i="4"/>
  <c r="Q106" i="4" s="1"/>
  <c r="O71" i="4"/>
  <c r="P71" i="4" s="1"/>
  <c r="L98" i="4"/>
  <c r="L101" i="4"/>
  <c r="M127" i="4"/>
  <c r="L102" i="4"/>
  <c r="M115" i="4"/>
  <c r="U115" i="4" s="1"/>
  <c r="M114" i="4"/>
  <c r="U114" i="4" s="1"/>
  <c r="O107" i="4"/>
  <c r="P107" i="4" s="1"/>
  <c r="N116" i="4"/>
  <c r="Q116" i="4" s="1"/>
  <c r="L91" i="4"/>
  <c r="S91" i="4" s="1"/>
  <c r="L121" i="4"/>
  <c r="S121" i="4" s="1"/>
  <c r="L71" i="4"/>
  <c r="S71" i="4" s="1"/>
  <c r="L107" i="4"/>
  <c r="J14" i="4"/>
  <c r="J13" i="4" s="1"/>
  <c r="K16" i="4" s="1"/>
  <c r="M99" i="4" l="1"/>
  <c r="S99" i="4"/>
  <c r="M102" i="4"/>
  <c r="S102" i="4"/>
  <c r="M101" i="4"/>
  <c r="S101" i="4"/>
  <c r="V103" i="4"/>
  <c r="U137" i="4"/>
  <c r="V137" i="4"/>
  <c r="M113" i="4"/>
  <c r="S113" i="4"/>
  <c r="V106" i="4"/>
  <c r="U127" i="4"/>
  <c r="V127" i="4"/>
  <c r="M98" i="4"/>
  <c r="S98" i="4"/>
  <c r="M104" i="4"/>
  <c r="S104" i="4"/>
  <c r="V115" i="4"/>
  <c r="M110" i="4"/>
  <c r="S110" i="4"/>
  <c r="M109" i="4"/>
  <c r="S109" i="4"/>
  <c r="M117" i="4"/>
  <c r="S117" i="4"/>
  <c r="M121" i="4"/>
  <c r="M91" i="4"/>
  <c r="M71" i="4"/>
  <c r="M116" i="4"/>
  <c r="M107" i="4"/>
  <c r="K14" i="4"/>
  <c r="K13" i="4"/>
  <c r="K15" i="4"/>
  <c r="U101" i="4" l="1"/>
  <c r="V101" i="4"/>
  <c r="U117" i="4"/>
  <c r="V117" i="4"/>
  <c r="U113" i="4"/>
  <c r="V113" i="4"/>
  <c r="U110" i="4"/>
  <c r="V110" i="4"/>
  <c r="U104" i="4"/>
  <c r="V104" i="4"/>
  <c r="U91" i="4"/>
  <c r="V91" i="4"/>
  <c r="U98" i="4"/>
  <c r="V98" i="4"/>
  <c r="U102" i="4"/>
  <c r="V102" i="4"/>
  <c r="U71" i="4"/>
  <c r="V71" i="4"/>
  <c r="U121" i="4"/>
  <c r="V121" i="4"/>
  <c r="U109" i="4"/>
  <c r="V109" i="4"/>
  <c r="U116" i="4"/>
  <c r="V116" i="4"/>
  <c r="U99" i="4"/>
  <c r="V99" i="4"/>
  <c r="I134" i="4"/>
  <c r="I135" i="4"/>
  <c r="I128" i="4"/>
  <c r="I131" i="4"/>
  <c r="I76" i="4"/>
  <c r="I124" i="4"/>
  <c r="I120" i="4"/>
  <c r="I89" i="4"/>
  <c r="I123" i="4"/>
  <c r="I73" i="4"/>
  <c r="I95" i="4"/>
  <c r="I118" i="4"/>
  <c r="I90" i="4"/>
  <c r="I125" i="4"/>
  <c r="I74" i="4"/>
  <c r="I97" i="4"/>
  <c r="I119" i="4"/>
  <c r="I72" i="4"/>
  <c r="I96" i="4"/>
  <c r="I79" i="4"/>
  <c r="I75" i="4"/>
  <c r="I78" i="4"/>
  <c r="I92" i="4"/>
  <c r="I80" i="4"/>
  <c r="I82" i="4"/>
  <c r="I87" i="4"/>
  <c r="I83" i="4"/>
  <c r="I85" i="4"/>
  <c r="I86" i="4"/>
  <c r="I93" i="4"/>
  <c r="I84" i="4"/>
  <c r="I88" i="4"/>
  <c r="I112" i="4"/>
  <c r="I81" i="4"/>
  <c r="I111" i="4"/>
  <c r="I94" i="4"/>
  <c r="I77" i="4"/>
  <c r="I63" i="4"/>
  <c r="N63" i="4" s="1"/>
  <c r="Q63" i="4" s="1"/>
  <c r="I69" i="4"/>
  <c r="I70" i="4"/>
  <c r="N70" i="4" s="1"/>
  <c r="Q70" i="4" s="1"/>
  <c r="I66" i="4"/>
  <c r="I64" i="4"/>
  <c r="I67" i="4"/>
  <c r="I68" i="4"/>
  <c r="I65" i="4"/>
  <c r="J63" i="4"/>
  <c r="K63" i="4" s="1"/>
  <c r="J70" i="4"/>
  <c r="J62" i="4"/>
  <c r="K62" i="4" s="1"/>
  <c r="J60" i="4"/>
  <c r="K60" i="4" s="1"/>
  <c r="J56" i="4"/>
  <c r="K56" i="4" s="1"/>
  <c r="J55" i="4"/>
  <c r="K55" i="4" s="1"/>
  <c r="J61" i="4"/>
  <c r="K61" i="4" s="1"/>
  <c r="J59" i="4"/>
  <c r="K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59" i="4" l="1"/>
  <c r="P59" i="4" s="1"/>
  <c r="T59" i="4"/>
  <c r="T61" i="4"/>
  <c r="O55" i="4"/>
  <c r="P55" i="4" s="1"/>
  <c r="T55" i="4"/>
  <c r="O56" i="4"/>
  <c r="P56" i="4" s="1"/>
  <c r="T56" i="4"/>
  <c r="T60" i="4"/>
  <c r="T62" i="4"/>
  <c r="T63" i="4"/>
  <c r="O62" i="4"/>
  <c r="P62" i="4" s="1"/>
  <c r="O60" i="4"/>
  <c r="P60" i="4" s="1"/>
  <c r="O61" i="4"/>
  <c r="P61" i="4" s="1"/>
  <c r="K70" i="4"/>
  <c r="L70" i="4"/>
  <c r="S70" i="4" s="1"/>
  <c r="O63" i="4"/>
  <c r="P63" i="4" s="1"/>
  <c r="L63" i="4"/>
  <c r="S63" i="4" s="1"/>
  <c r="N62" i="4"/>
  <c r="Q62" i="4" s="1"/>
  <c r="L62" i="4"/>
  <c r="S62" i="4" s="1"/>
  <c r="N55" i="4"/>
  <c r="Q55" i="4" s="1"/>
  <c r="L55" i="4"/>
  <c r="L56" i="4"/>
  <c r="N56" i="4"/>
  <c r="Q56" i="4" s="1"/>
  <c r="N59" i="4"/>
  <c r="Q59" i="4" s="1"/>
  <c r="L59" i="4"/>
  <c r="N61" i="4"/>
  <c r="Q61" i="4" s="1"/>
  <c r="L61" i="4"/>
  <c r="S61" i="4" s="1"/>
  <c r="L60" i="4"/>
  <c r="S60" i="4" s="1"/>
  <c r="N60" i="4"/>
  <c r="Q60" i="4" s="1"/>
  <c r="T70" i="4" l="1"/>
  <c r="M55" i="4"/>
  <c r="S55" i="4"/>
  <c r="M59" i="4"/>
  <c r="S59" i="4"/>
  <c r="M56" i="4"/>
  <c r="S56" i="4"/>
  <c r="M62" i="4"/>
  <c r="M63" i="4"/>
  <c r="M60" i="4"/>
  <c r="M61" i="4"/>
  <c r="M70" i="4"/>
  <c r="U70" i="4" s="1"/>
  <c r="O70" i="4"/>
  <c r="P70" i="4" s="1"/>
  <c r="U60" i="4" l="1"/>
  <c r="V60" i="4"/>
  <c r="U63" i="4"/>
  <c r="V63" i="4"/>
  <c r="U61" i="4"/>
  <c r="V61" i="4"/>
  <c r="U62" i="4"/>
  <c r="V62" i="4"/>
  <c r="U56" i="4"/>
  <c r="V56" i="4"/>
  <c r="U59" i="4"/>
  <c r="V59" i="4"/>
  <c r="U55" i="4"/>
  <c r="V55" i="4"/>
  <c r="V70" i="4"/>
  <c r="J21" i="4"/>
  <c r="J9" i="4" s="1"/>
  <c r="J22" i="4"/>
  <c r="J10" i="4" s="1"/>
  <c r="J20" i="4"/>
  <c r="N134" i="4" l="1"/>
  <c r="N130" i="4"/>
  <c r="N89" i="4"/>
  <c r="N81" i="4"/>
  <c r="N92" i="4"/>
  <c r="N77" i="4"/>
  <c r="N80" i="4"/>
  <c r="N94" i="4"/>
  <c r="N87" i="4"/>
  <c r="N73" i="4"/>
  <c r="N72" i="4"/>
  <c r="N86" i="4"/>
  <c r="N90" i="4"/>
  <c r="N93" i="4"/>
  <c r="N124" i="4"/>
  <c r="N76" i="4"/>
  <c r="N125" i="4"/>
  <c r="N84" i="4"/>
  <c r="N118" i="4"/>
  <c r="N112" i="4"/>
  <c r="N83" i="4"/>
  <c r="N82" i="4"/>
  <c r="N96" i="4"/>
  <c r="N64" i="4"/>
  <c r="N88" i="4"/>
  <c r="N131" i="4"/>
  <c r="N128" i="4"/>
  <c r="N58" i="4"/>
  <c r="N65" i="4"/>
  <c r="N95" i="4"/>
  <c r="N78" i="4"/>
  <c r="N79" i="4"/>
  <c r="N97" i="4"/>
  <c r="N74" i="4"/>
  <c r="N57" i="4"/>
  <c r="N68" i="4"/>
  <c r="N119" i="4"/>
  <c r="N66" i="4"/>
  <c r="N111" i="4"/>
  <c r="N135" i="4"/>
  <c r="N75" i="4"/>
  <c r="N69" i="4"/>
  <c r="N67" i="4"/>
  <c r="N85" i="4"/>
  <c r="N123" i="4"/>
  <c r="N120" i="4"/>
  <c r="N36" i="4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K22" i="4"/>
  <c r="K20" i="4"/>
  <c r="Q50" i="4"/>
  <c r="Q52" i="4"/>
  <c r="J52" i="4"/>
  <c r="J53" i="4"/>
  <c r="J54" i="4"/>
  <c r="J50" i="4"/>
  <c r="J51" i="4"/>
  <c r="Q54" i="4"/>
  <c r="Q51" i="4"/>
  <c r="J134" i="4" l="1"/>
  <c r="J130" i="4"/>
  <c r="J135" i="4"/>
  <c r="J128" i="4"/>
  <c r="J131" i="4"/>
  <c r="J85" i="4"/>
  <c r="J83" i="4"/>
  <c r="J112" i="4"/>
  <c r="J88" i="4"/>
  <c r="J96" i="4"/>
  <c r="J87" i="4"/>
  <c r="J72" i="4"/>
  <c r="J73" i="4"/>
  <c r="J89" i="4"/>
  <c r="J74" i="4"/>
  <c r="J124" i="4"/>
  <c r="J75" i="4"/>
  <c r="J78" i="4"/>
  <c r="J125" i="4"/>
  <c r="J111" i="4"/>
  <c r="J119" i="4"/>
  <c r="J118" i="4"/>
  <c r="J97" i="4"/>
  <c r="J95" i="4"/>
  <c r="J82" i="4"/>
  <c r="J79" i="4"/>
  <c r="J92" i="4"/>
  <c r="J120" i="4"/>
  <c r="J81" i="4"/>
  <c r="J93" i="4"/>
  <c r="J94" i="4"/>
  <c r="J76" i="4"/>
  <c r="J84" i="4"/>
  <c r="J90" i="4"/>
  <c r="J86" i="4"/>
  <c r="J80" i="4"/>
  <c r="J77" i="4"/>
  <c r="J123" i="4"/>
  <c r="J58" i="4"/>
  <c r="J66" i="4"/>
  <c r="J69" i="4"/>
  <c r="J57" i="4"/>
  <c r="J65" i="4"/>
  <c r="J67" i="4"/>
  <c r="J64" i="4"/>
  <c r="J68" i="4"/>
  <c r="Q124" i="4"/>
  <c r="Q69" i="4"/>
  <c r="J48" i="4"/>
  <c r="K48" i="4" s="1"/>
  <c r="Q95" i="4"/>
  <c r="Q90" i="4"/>
  <c r="Q76" i="4"/>
  <c r="Q73" i="4"/>
  <c r="Q134" i="4"/>
  <c r="Q81" i="4"/>
  <c r="Q82" i="4"/>
  <c r="Q84" i="4"/>
  <c r="Q83" i="4"/>
  <c r="Q123" i="4"/>
  <c r="Q130" i="4"/>
  <c r="Q74" i="4"/>
  <c r="Q128" i="4"/>
  <c r="J49" i="4"/>
  <c r="L49" i="4" s="1"/>
  <c r="S49" i="4" s="1"/>
  <c r="Q78" i="4"/>
  <c r="Q93" i="4"/>
  <c r="Q125" i="4"/>
  <c r="Q94" i="4"/>
  <c r="Q120" i="4"/>
  <c r="Q87" i="4"/>
  <c r="Q97" i="4"/>
  <c r="J39" i="4"/>
  <c r="K39" i="4" s="1"/>
  <c r="Q118" i="4"/>
  <c r="Q131" i="4"/>
  <c r="Q65" i="4"/>
  <c r="Q112" i="4"/>
  <c r="Q72" i="4"/>
  <c r="Q111" i="4"/>
  <c r="Q80" i="4"/>
  <c r="Q58" i="4"/>
  <c r="Q68" i="4"/>
  <c r="Q92" i="4"/>
  <c r="Q49" i="4"/>
  <c r="Q66" i="4"/>
  <c r="Q75" i="4"/>
  <c r="Q79" i="4"/>
  <c r="Q96" i="4"/>
  <c r="Q86" i="4"/>
  <c r="Q64" i="4"/>
  <c r="Q88" i="4"/>
  <c r="Q119" i="4"/>
  <c r="Q135" i="4"/>
  <c r="Q67" i="4"/>
  <c r="J45" i="4"/>
  <c r="L45" i="4" s="1"/>
  <c r="S45" i="4" s="1"/>
  <c r="Q89" i="4"/>
  <c r="Q77" i="4"/>
  <c r="Q85" i="4"/>
  <c r="Q57" i="4"/>
  <c r="J30" i="4"/>
  <c r="L30" i="4" s="1"/>
  <c r="S30" i="4" s="1"/>
  <c r="J43" i="4"/>
  <c r="L43" i="4" s="1"/>
  <c r="S43" i="4" s="1"/>
  <c r="J31" i="4"/>
  <c r="K31" i="4" s="1"/>
  <c r="J44" i="4"/>
  <c r="L44" i="4" s="1"/>
  <c r="S44" i="4" s="1"/>
  <c r="J36" i="4"/>
  <c r="L36" i="4" s="1"/>
  <c r="S36" i="4" s="1"/>
  <c r="J46" i="4"/>
  <c r="K46" i="4" s="1"/>
  <c r="J35" i="4"/>
  <c r="L35" i="4" s="1"/>
  <c r="S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K47" i="4" s="1"/>
  <c r="Q47" i="4"/>
  <c r="Q46" i="4"/>
  <c r="Q35" i="4"/>
  <c r="J34" i="4"/>
  <c r="L34" i="4" s="1"/>
  <c r="S34" i="4" s="1"/>
  <c r="J41" i="4"/>
  <c r="K41" i="4" s="1"/>
  <c r="J42" i="4"/>
  <c r="L42" i="4" s="1"/>
  <c r="S42" i="4" s="1"/>
  <c r="J32" i="4"/>
  <c r="L32" i="4" s="1"/>
  <c r="S32" i="4" s="1"/>
  <c r="J37" i="4"/>
  <c r="L37" i="4" s="1"/>
  <c r="S37" i="4" s="1"/>
  <c r="J40" i="4"/>
  <c r="L40" i="4" s="1"/>
  <c r="S40" i="4" s="1"/>
  <c r="J38" i="4"/>
  <c r="L38" i="4" s="1"/>
  <c r="S38" i="4" s="1"/>
  <c r="J29" i="4"/>
  <c r="L29" i="4" s="1"/>
  <c r="S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45" i="4"/>
  <c r="L47" i="4"/>
  <c r="S47" i="4" s="1"/>
  <c r="K52" i="4"/>
  <c r="L52" i="4"/>
  <c r="L54" i="4"/>
  <c r="K54" i="4"/>
  <c r="L51" i="4"/>
  <c r="K51" i="4"/>
  <c r="L53" i="4"/>
  <c r="K53" i="4"/>
  <c r="L50" i="4"/>
  <c r="K50" i="4"/>
  <c r="K49" i="4"/>
  <c r="K30" i="4"/>
  <c r="T45" i="4" l="1"/>
  <c r="M50" i="4"/>
  <c r="U50" i="4" s="1"/>
  <c r="S50" i="4"/>
  <c r="T46" i="4"/>
  <c r="M52" i="4"/>
  <c r="U52" i="4" s="1"/>
  <c r="S52" i="4"/>
  <c r="O53" i="4"/>
  <c r="P53" i="4" s="1"/>
  <c r="T53" i="4"/>
  <c r="M53" i="4"/>
  <c r="U53" i="4" s="1"/>
  <c r="S53" i="4"/>
  <c r="T39" i="4"/>
  <c r="T28" i="4"/>
  <c r="O51" i="4"/>
  <c r="P51" i="4" s="1"/>
  <c r="V51" i="4"/>
  <c r="T51" i="4"/>
  <c r="T31" i="4"/>
  <c r="O50" i="4"/>
  <c r="P50" i="4" s="1"/>
  <c r="V50" i="4"/>
  <c r="T50" i="4"/>
  <c r="T30" i="4"/>
  <c r="L39" i="4"/>
  <c r="S39" i="4" s="1"/>
  <c r="M51" i="4"/>
  <c r="U51" i="4" s="1"/>
  <c r="S51" i="4"/>
  <c r="T41" i="4"/>
  <c r="O52" i="4"/>
  <c r="P52" i="4" s="1"/>
  <c r="V52" i="4"/>
  <c r="T52" i="4"/>
  <c r="T49" i="4"/>
  <c r="T47" i="4"/>
  <c r="T33" i="4"/>
  <c r="O54" i="4"/>
  <c r="P54" i="4" s="1"/>
  <c r="T54" i="4"/>
  <c r="M54" i="4"/>
  <c r="U54" i="4" s="1"/>
  <c r="S54" i="4"/>
  <c r="V48" i="4"/>
  <c r="T48" i="4"/>
  <c r="L48" i="4"/>
  <c r="S48" i="4" s="1"/>
  <c r="L31" i="4"/>
  <c r="S31" i="4" s="1"/>
  <c r="K86" i="4"/>
  <c r="L86" i="4"/>
  <c r="S86" i="4" s="1"/>
  <c r="K97" i="4"/>
  <c r="L97" i="4"/>
  <c r="K87" i="4"/>
  <c r="L87" i="4"/>
  <c r="S87" i="4" s="1"/>
  <c r="O48" i="4"/>
  <c r="P48" i="4" s="1"/>
  <c r="L68" i="4"/>
  <c r="S68" i="4" s="1"/>
  <c r="K68" i="4"/>
  <c r="K90" i="4"/>
  <c r="L90" i="4"/>
  <c r="S90" i="4" s="1"/>
  <c r="K118" i="4"/>
  <c r="L118" i="4"/>
  <c r="K96" i="4"/>
  <c r="L96" i="4"/>
  <c r="S96" i="4" s="1"/>
  <c r="K64" i="4"/>
  <c r="L64" i="4"/>
  <c r="S64" i="4" s="1"/>
  <c r="K84" i="4"/>
  <c r="L84" i="4"/>
  <c r="S84" i="4" s="1"/>
  <c r="K119" i="4"/>
  <c r="L119" i="4"/>
  <c r="S119" i="4" s="1"/>
  <c r="K88" i="4"/>
  <c r="L88" i="4"/>
  <c r="S88" i="4" s="1"/>
  <c r="K72" i="4"/>
  <c r="L72" i="4"/>
  <c r="S72" i="4" s="1"/>
  <c r="L67" i="4"/>
  <c r="S67" i="4" s="1"/>
  <c r="K67" i="4"/>
  <c r="K76" i="4"/>
  <c r="L76" i="4"/>
  <c r="S76" i="4" s="1"/>
  <c r="K111" i="4"/>
  <c r="L111" i="4"/>
  <c r="K112" i="4"/>
  <c r="L112" i="4"/>
  <c r="K65" i="4"/>
  <c r="L65" i="4"/>
  <c r="S65" i="4" s="1"/>
  <c r="K94" i="4"/>
  <c r="L94" i="4"/>
  <c r="S94" i="4" s="1"/>
  <c r="K125" i="4"/>
  <c r="L125" i="4"/>
  <c r="K83" i="4"/>
  <c r="L83" i="4"/>
  <c r="S83" i="4" s="1"/>
  <c r="K80" i="4"/>
  <c r="L80" i="4"/>
  <c r="S80" i="4" s="1"/>
  <c r="K57" i="4"/>
  <c r="L57" i="4"/>
  <c r="S57" i="4" s="1"/>
  <c r="K93" i="4"/>
  <c r="L93" i="4"/>
  <c r="S93" i="4" s="1"/>
  <c r="K78" i="4"/>
  <c r="L78" i="4"/>
  <c r="S78" i="4" s="1"/>
  <c r="K85" i="4"/>
  <c r="L85" i="4"/>
  <c r="S85" i="4" s="1"/>
  <c r="L69" i="4"/>
  <c r="S69" i="4" s="1"/>
  <c r="K69" i="4"/>
  <c r="K81" i="4"/>
  <c r="L81" i="4"/>
  <c r="S81" i="4" s="1"/>
  <c r="K75" i="4"/>
  <c r="L75" i="4"/>
  <c r="S75" i="4" s="1"/>
  <c r="K131" i="4"/>
  <c r="L131" i="4"/>
  <c r="S131" i="4" s="1"/>
  <c r="M48" i="4"/>
  <c r="U48" i="4" s="1"/>
  <c r="L66" i="4"/>
  <c r="S66" i="4" s="1"/>
  <c r="K66" i="4"/>
  <c r="K120" i="4"/>
  <c r="L120" i="4"/>
  <c r="S120" i="4" s="1"/>
  <c r="K124" i="4"/>
  <c r="L124" i="4"/>
  <c r="S124" i="4" s="1"/>
  <c r="K128" i="4"/>
  <c r="L128" i="4"/>
  <c r="O49" i="4"/>
  <c r="P49" i="4" s="1"/>
  <c r="M49" i="4"/>
  <c r="U49" i="4" s="1"/>
  <c r="K58" i="4"/>
  <c r="L58" i="4"/>
  <c r="S58" i="4" s="1"/>
  <c r="K92" i="4"/>
  <c r="L92" i="4"/>
  <c r="S92" i="4" s="1"/>
  <c r="K74" i="4"/>
  <c r="L74" i="4"/>
  <c r="S74" i="4" s="1"/>
  <c r="K135" i="4"/>
  <c r="L135" i="4"/>
  <c r="K95" i="4"/>
  <c r="L95" i="4"/>
  <c r="S95" i="4" s="1"/>
  <c r="K123" i="4"/>
  <c r="L123" i="4"/>
  <c r="K79" i="4"/>
  <c r="L79" i="4"/>
  <c r="S79" i="4" s="1"/>
  <c r="K89" i="4"/>
  <c r="L89" i="4"/>
  <c r="S89" i="4" s="1"/>
  <c r="K130" i="4"/>
  <c r="L130" i="4"/>
  <c r="S130" i="4" s="1"/>
  <c r="K77" i="4"/>
  <c r="L77" i="4"/>
  <c r="S77" i="4" s="1"/>
  <c r="K82" i="4"/>
  <c r="L82" i="4"/>
  <c r="S82" i="4" s="1"/>
  <c r="K73" i="4"/>
  <c r="L73" i="4"/>
  <c r="S73" i="4" s="1"/>
  <c r="K134" i="4"/>
  <c r="L134" i="4"/>
  <c r="K35" i="4"/>
  <c r="K44" i="4"/>
  <c r="K43" i="4"/>
  <c r="O30" i="4"/>
  <c r="P30" i="4" s="1"/>
  <c r="M47" i="4"/>
  <c r="U47" i="4" s="1"/>
  <c r="M45" i="4"/>
  <c r="U45" i="4" s="1"/>
  <c r="O33" i="4"/>
  <c r="P33" i="4" s="1"/>
  <c r="M43" i="4"/>
  <c r="U43" i="4" s="1"/>
  <c r="M44" i="4"/>
  <c r="U44" i="4" s="1"/>
  <c r="O45" i="4"/>
  <c r="P45" i="4" s="1"/>
  <c r="O31" i="4"/>
  <c r="P31" i="4" s="1"/>
  <c r="K36" i="4"/>
  <c r="O46" i="4"/>
  <c r="P46" i="4" s="1"/>
  <c r="M39" i="4"/>
  <c r="U39" i="4" s="1"/>
  <c r="O47" i="4"/>
  <c r="P47" i="4" s="1"/>
  <c r="M35" i="4"/>
  <c r="U35" i="4" s="1"/>
  <c r="O28" i="4"/>
  <c r="P28" i="4" s="1"/>
  <c r="O39" i="4"/>
  <c r="P39" i="4" s="1"/>
  <c r="O44" i="4"/>
  <c r="P44" i="4" s="1"/>
  <c r="O41" i="4"/>
  <c r="P41" i="4" s="1"/>
  <c r="L46" i="4"/>
  <c r="S46" i="4" s="1"/>
  <c r="K37" i="4"/>
  <c r="L41" i="4"/>
  <c r="S41" i="4" s="1"/>
  <c r="K42" i="4"/>
  <c r="K34" i="4"/>
  <c r="L33" i="4"/>
  <c r="S33" i="4" s="1"/>
  <c r="K38" i="4"/>
  <c r="K29" i="4"/>
  <c r="M32" i="4"/>
  <c r="U32" i="4" s="1"/>
  <c r="M40" i="4"/>
  <c r="U40" i="4" s="1"/>
  <c r="M34" i="4"/>
  <c r="U34" i="4" s="1"/>
  <c r="M29" i="4"/>
  <c r="U29" i="4" s="1"/>
  <c r="M37" i="4"/>
  <c r="U37" i="4" s="1"/>
  <c r="M42" i="4"/>
  <c r="U42" i="4" s="1"/>
  <c r="M38" i="4"/>
  <c r="U38" i="4" s="1"/>
  <c r="M30" i="4"/>
  <c r="U30" i="4" s="1"/>
  <c r="M36" i="4"/>
  <c r="U36" i="4" s="1"/>
  <c r="K40" i="4"/>
  <c r="K32" i="4"/>
  <c r="L28" i="4"/>
  <c r="S28" i="4" s="1"/>
  <c r="T88" i="4" l="1"/>
  <c r="T73" i="4"/>
  <c r="O123" i="4"/>
  <c r="P123" i="4" s="1"/>
  <c r="T123" i="4"/>
  <c r="M112" i="4"/>
  <c r="U112" i="4" s="1"/>
  <c r="S112" i="4"/>
  <c r="V68" i="4"/>
  <c r="T68" i="4"/>
  <c r="V93" i="4"/>
  <c r="T93" i="4"/>
  <c r="T57" i="4"/>
  <c r="T82" i="4"/>
  <c r="T84" i="4"/>
  <c r="T77" i="4"/>
  <c r="O135" i="4"/>
  <c r="P135" i="4" s="1"/>
  <c r="V135" i="4"/>
  <c r="T135" i="4"/>
  <c r="T124" i="4"/>
  <c r="T69" i="4"/>
  <c r="T87" i="4"/>
  <c r="V54" i="4"/>
  <c r="V29" i="4"/>
  <c r="T29" i="4"/>
  <c r="T83" i="4"/>
  <c r="T76" i="4"/>
  <c r="T64" i="4"/>
  <c r="V37" i="4"/>
  <c r="T37" i="4"/>
  <c r="M123" i="4"/>
  <c r="U123" i="4" s="1"/>
  <c r="S123" i="4"/>
  <c r="V119" i="4"/>
  <c r="T119" i="4"/>
  <c r="T95" i="4"/>
  <c r="M111" i="4"/>
  <c r="U111" i="4" s="1"/>
  <c r="S111" i="4"/>
  <c r="T120" i="4"/>
  <c r="T131" i="4"/>
  <c r="T75" i="4"/>
  <c r="T80" i="4"/>
  <c r="O43" i="4"/>
  <c r="P43" i="4" s="1"/>
  <c r="V43" i="4"/>
  <c r="T43" i="4"/>
  <c r="T67" i="4"/>
  <c r="O125" i="4"/>
  <c r="P125" i="4" s="1"/>
  <c r="V125" i="4"/>
  <c r="T125" i="4"/>
  <c r="V89" i="4"/>
  <c r="T89" i="4"/>
  <c r="V86" i="4"/>
  <c r="T86" i="4"/>
  <c r="V65" i="4"/>
  <c r="T65" i="4"/>
  <c r="O112" i="4"/>
  <c r="P112" i="4" s="1"/>
  <c r="T112" i="4"/>
  <c r="T81" i="4"/>
  <c r="T130" i="4"/>
  <c r="M125" i="4"/>
  <c r="U125" i="4" s="1"/>
  <c r="S125" i="4"/>
  <c r="V66" i="4"/>
  <c r="T66" i="4"/>
  <c r="O118" i="4"/>
  <c r="P118" i="4" s="1"/>
  <c r="V118" i="4"/>
  <c r="T118" i="4"/>
  <c r="V47" i="4"/>
  <c r="V39" i="4"/>
  <c r="V90" i="4"/>
  <c r="T90" i="4"/>
  <c r="V49" i="4"/>
  <c r="M128" i="4"/>
  <c r="U128" i="4" s="1"/>
  <c r="S128" i="4"/>
  <c r="V53" i="4"/>
  <c r="O128" i="4"/>
  <c r="P128" i="4" s="1"/>
  <c r="V128" i="4"/>
  <c r="T128" i="4"/>
  <c r="M135" i="4"/>
  <c r="U135" i="4" s="1"/>
  <c r="S135" i="4"/>
  <c r="O111" i="4"/>
  <c r="P111" i="4" s="1"/>
  <c r="T111" i="4"/>
  <c r="V32" i="4"/>
  <c r="T32" i="4"/>
  <c r="V38" i="4"/>
  <c r="T38" i="4"/>
  <c r="V74" i="4"/>
  <c r="T74" i="4"/>
  <c r="V40" i="4"/>
  <c r="T40" i="4"/>
  <c r="V44" i="4"/>
  <c r="T44" i="4"/>
  <c r="V85" i="4"/>
  <c r="T85" i="4"/>
  <c r="T96" i="4"/>
  <c r="T34" i="4"/>
  <c r="V34" i="4"/>
  <c r="V35" i="4"/>
  <c r="T35" i="4"/>
  <c r="V92" i="4"/>
  <c r="T92" i="4"/>
  <c r="M118" i="4"/>
  <c r="U118" i="4" s="1"/>
  <c r="S118" i="4"/>
  <c r="V42" i="4"/>
  <c r="T42" i="4"/>
  <c r="V36" i="4"/>
  <c r="T36" i="4"/>
  <c r="M134" i="4"/>
  <c r="U134" i="4" s="1"/>
  <c r="S134" i="4"/>
  <c r="T78" i="4"/>
  <c r="V78" i="4"/>
  <c r="V94" i="4"/>
  <c r="T94" i="4"/>
  <c r="V72" i="4"/>
  <c r="T72" i="4"/>
  <c r="V30" i="4"/>
  <c r="O134" i="4"/>
  <c r="P134" i="4" s="1"/>
  <c r="T134" i="4"/>
  <c r="V79" i="4"/>
  <c r="T79" i="4"/>
  <c r="T58" i="4"/>
  <c r="V45" i="4"/>
  <c r="O131" i="4"/>
  <c r="P131" i="4" s="1"/>
  <c r="M119" i="4"/>
  <c r="U119" i="4" s="1"/>
  <c r="O119" i="4"/>
  <c r="P119" i="4" s="1"/>
  <c r="M31" i="4"/>
  <c r="M124" i="4"/>
  <c r="U124" i="4" s="1"/>
  <c r="M131" i="4"/>
  <c r="U131" i="4" s="1"/>
  <c r="O124" i="4"/>
  <c r="P124" i="4" s="1"/>
  <c r="M130" i="4"/>
  <c r="U130" i="4" s="1"/>
  <c r="M120" i="4"/>
  <c r="U120" i="4" s="1"/>
  <c r="O130" i="4"/>
  <c r="P130" i="4" s="1"/>
  <c r="O120" i="4"/>
  <c r="P120" i="4" s="1"/>
  <c r="M76" i="4"/>
  <c r="U76" i="4" s="1"/>
  <c r="O78" i="4"/>
  <c r="P78" i="4" s="1"/>
  <c r="O94" i="4"/>
  <c r="P94" i="4" s="1"/>
  <c r="O76" i="4"/>
  <c r="P76" i="4" s="1"/>
  <c r="O84" i="4"/>
  <c r="P84" i="4" s="1"/>
  <c r="M78" i="4"/>
  <c r="U78" i="4" s="1"/>
  <c r="M79" i="4"/>
  <c r="U79" i="4" s="1"/>
  <c r="M74" i="4"/>
  <c r="U74" i="4" s="1"/>
  <c r="M93" i="4"/>
  <c r="U93" i="4" s="1"/>
  <c r="M65" i="4"/>
  <c r="U65" i="4" s="1"/>
  <c r="O67" i="4"/>
  <c r="P67" i="4" s="1"/>
  <c r="M64" i="4"/>
  <c r="U64" i="4" s="1"/>
  <c r="M87" i="4"/>
  <c r="U87" i="4" s="1"/>
  <c r="M89" i="4"/>
  <c r="U89" i="4" s="1"/>
  <c r="O93" i="4"/>
  <c r="P93" i="4" s="1"/>
  <c r="O65" i="4"/>
  <c r="P65" i="4" s="1"/>
  <c r="M67" i="4"/>
  <c r="U67" i="4" s="1"/>
  <c r="O64" i="4"/>
  <c r="P64" i="4" s="1"/>
  <c r="O87" i="4"/>
  <c r="P87" i="4" s="1"/>
  <c r="O79" i="4"/>
  <c r="P79" i="4" s="1"/>
  <c r="M73" i="4"/>
  <c r="U73" i="4" s="1"/>
  <c r="M92" i="4"/>
  <c r="U92" i="4" s="1"/>
  <c r="M75" i="4"/>
  <c r="U75" i="4" s="1"/>
  <c r="M57" i="4"/>
  <c r="U57" i="4" s="1"/>
  <c r="M96" i="4"/>
  <c r="U96" i="4" s="1"/>
  <c r="M97" i="4"/>
  <c r="O73" i="4"/>
  <c r="P73" i="4" s="1"/>
  <c r="O92" i="4"/>
  <c r="P92" i="4" s="1"/>
  <c r="O75" i="4"/>
  <c r="P75" i="4" s="1"/>
  <c r="O57" i="4"/>
  <c r="P57" i="4" s="1"/>
  <c r="O96" i="4"/>
  <c r="P96" i="4" s="1"/>
  <c r="O97" i="4"/>
  <c r="P97" i="4" s="1"/>
  <c r="M84" i="4"/>
  <c r="U84" i="4" s="1"/>
  <c r="M82" i="4"/>
  <c r="U82" i="4" s="1"/>
  <c r="M58" i="4"/>
  <c r="U58" i="4" s="1"/>
  <c r="M81" i="4"/>
  <c r="U81" i="4" s="1"/>
  <c r="M80" i="4"/>
  <c r="U80" i="4" s="1"/>
  <c r="M72" i="4"/>
  <c r="U72" i="4" s="1"/>
  <c r="M86" i="4"/>
  <c r="U86" i="4" s="1"/>
  <c r="O81" i="4"/>
  <c r="P81" i="4" s="1"/>
  <c r="O80" i="4"/>
  <c r="P80" i="4" s="1"/>
  <c r="O72" i="4"/>
  <c r="P72" i="4" s="1"/>
  <c r="O86" i="4"/>
  <c r="P86" i="4" s="1"/>
  <c r="O58" i="4"/>
  <c r="P58" i="4" s="1"/>
  <c r="M77" i="4"/>
  <c r="U77" i="4" s="1"/>
  <c r="O66" i="4"/>
  <c r="P66" i="4" s="1"/>
  <c r="O69" i="4"/>
  <c r="P69" i="4" s="1"/>
  <c r="M83" i="4"/>
  <c r="U83" i="4" s="1"/>
  <c r="M88" i="4"/>
  <c r="U88" i="4" s="1"/>
  <c r="M90" i="4"/>
  <c r="U90" i="4" s="1"/>
  <c r="O89" i="4"/>
  <c r="P89" i="4" s="1"/>
  <c r="O35" i="4"/>
  <c r="P35" i="4" s="1"/>
  <c r="O77" i="4"/>
  <c r="P77" i="4" s="1"/>
  <c r="M66" i="4"/>
  <c r="U66" i="4" s="1"/>
  <c r="M69" i="4"/>
  <c r="U69" i="4" s="1"/>
  <c r="O83" i="4"/>
  <c r="P83" i="4" s="1"/>
  <c r="O88" i="4"/>
  <c r="P88" i="4" s="1"/>
  <c r="O90" i="4"/>
  <c r="P90" i="4" s="1"/>
  <c r="O74" i="4"/>
  <c r="P74" i="4" s="1"/>
  <c r="O82" i="4"/>
  <c r="P82" i="4" s="1"/>
  <c r="M95" i="4"/>
  <c r="U95" i="4" s="1"/>
  <c r="M85" i="4"/>
  <c r="U85" i="4" s="1"/>
  <c r="O68" i="4"/>
  <c r="P68" i="4" s="1"/>
  <c r="M94" i="4"/>
  <c r="U94" i="4" s="1"/>
  <c r="O95" i="4"/>
  <c r="P95" i="4" s="1"/>
  <c r="O85" i="4"/>
  <c r="P85" i="4" s="1"/>
  <c r="M68" i="4"/>
  <c r="U68" i="4" s="1"/>
  <c r="O36" i="4"/>
  <c r="P36" i="4" s="1"/>
  <c r="M33" i="4"/>
  <c r="O34" i="4"/>
  <c r="P34" i="4" s="1"/>
  <c r="O42" i="4"/>
  <c r="P42" i="4" s="1"/>
  <c r="O37" i="4"/>
  <c r="P37" i="4" s="1"/>
  <c r="O32" i="4"/>
  <c r="P32" i="4" s="1"/>
  <c r="O40" i="4"/>
  <c r="P40" i="4" s="1"/>
  <c r="M41" i="4"/>
  <c r="O29" i="4"/>
  <c r="P29" i="4" s="1"/>
  <c r="O38" i="4"/>
  <c r="P38" i="4" s="1"/>
  <c r="M46" i="4"/>
  <c r="M28" i="4"/>
  <c r="U33" i="4" l="1"/>
  <c r="V33" i="4"/>
  <c r="V80" i="4"/>
  <c r="V77" i="4"/>
  <c r="V83" i="4"/>
  <c r="U28" i="4"/>
  <c r="V28" i="4"/>
  <c r="V134" i="4"/>
  <c r="V96" i="4"/>
  <c r="V75" i="4"/>
  <c r="V84" i="4"/>
  <c r="V123" i="4"/>
  <c r="U46" i="4"/>
  <c r="V46" i="4"/>
  <c r="V130" i="4"/>
  <c r="V87" i="4"/>
  <c r="V95" i="4"/>
  <c r="U31" i="4"/>
  <c r="V31" i="4"/>
  <c r="V111" i="4"/>
  <c r="V131" i="4"/>
  <c r="V82" i="4"/>
  <c r="V76" i="4"/>
  <c r="V120" i="4"/>
  <c r="V64" i="4"/>
  <c r="V57" i="4"/>
  <c r="V58" i="4"/>
  <c r="V81" i="4"/>
  <c r="V69" i="4"/>
  <c r="V73" i="4"/>
  <c r="U41" i="4"/>
  <c r="V41" i="4"/>
  <c r="V112" i="4"/>
  <c r="V67" i="4"/>
  <c r="V124" i="4"/>
  <c r="V8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<sst xmlns="http://schemas.openxmlformats.org/spreadsheetml/2006/main" count="340" uniqueCount="314">
  <si>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</si>
  <si>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</si>
  <si>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</si>
  <si>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</si>
  <si>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</si>
  <si>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</si>
  <si>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</si>
  <si>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</si>
  <si>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</si>
  <si>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</si>
  <si>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</si>
  <si>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</si>
  <si>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</si>
  <si>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</si>
  <si>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</si>
  <si>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</si>
  <si>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</si>
  <si>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</si>
  <si>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</si>
  <si>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</si>
  <si>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</si>
  <si>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</si>
  <si>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</si>
  <si>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</si>
  <si>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</si>
  <si>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</si>
  <si>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</si>
  <si>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</si>
  <si>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</si>
  <si>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</si>
  <si>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</si>
  <si>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</si>
  <si>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</si>
  <si>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</si>
  <si>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</si>
  <si>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</si>
  <si>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</si>
  <si>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</si>
  <si>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</si>
  <si>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</si>
  <si>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</si>
  <si>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</si>
  <si>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</si>
  <si>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</si>
  <si>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</si>
  <si>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</si>
  <si>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</si>
  <si>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</si>
  <si>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</si>
  <si>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</si>
  <si>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</si>
  <si>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</si>
  <si>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</si>
  <si>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</si>
  <si>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</si>
  <si>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</si>
  <si>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</si>
  <si>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</si>
  <si>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</si>
  <si>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</si>
  <si>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</si>
  <si>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</si>
  <si>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</si>
  <si>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</si>
  <si>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</si>
  <si>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</si>
  <si>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</si>
  <si>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</si>
  <si>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</si>
  <si>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</si>
  <si>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</si>
  <si>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</si>
  <si>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</si>
  <si>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</si>
  <si>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</si>
  <si>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</si>
  <si>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</si>
  <si>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</si>
  <si>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</si>
  <si>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</si>
  <si>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</si>
  <si>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</si>
  <si>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</si>
  <si>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</si>
  <si>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</si>
  <si>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</si>
  <si>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</si>
  <si>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</si>
  <si>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</si>
  <si>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</si>
  <si>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</si>
  <si>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</si>
  <si>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</si>
  <si>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</si>
  <si>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</si>
  <si>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</si>
  <si>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</si>
  <si>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</si>
  <si>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</si>
  <si>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</si>
  <si>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</si>
  <si>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</si>
  <si>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</si>
  <si>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</si>
  <si>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</si>
  <si>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</si>
  <si>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</si>
  <si>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</si>
  <si>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</si>
  <si>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</si>
  <si>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</si>
  <si>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Rat cerebellar granule cell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</si>
  <si>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</si>
  <si>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</si>
  <si>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</si>
  <si>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</si>
  <si>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</si>
  <si>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</si>
  <si>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</si>
  <si>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</si>
  <si>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</si>
  <si>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</si>
  <si>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</si>
  <si>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</si>
  <si>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</si>
  <si>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</si>
  <si>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</si>
  <si>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</si>
  <si>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</si>
  <si>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</si>
  <si>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</si>
  <si>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</si>
  <si>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</si>
  <si>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</si>
  <si>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</si>
  <si>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</si>
  <si>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</si>
  <si>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</si>
  <si>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</si>
  <si>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</si>
  <si>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</si>
  <si>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</si>
  <si>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</si>
  <si>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</si>
  <si>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</si>
  <si>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</si>
  <si>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</si>
  <si>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</si>
  <si>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</si>
  <si>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</si>
  <si>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</si>
  <si>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</si>
  <si>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</si>
  <si>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</si>
  <si>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</si>
  <si>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</si>
  <si>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</si>
  <si>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</si>
  <si>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</si>
  <si>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</si>
  <si>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</si>
  <si>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</si>
  <si>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</si>
  <si>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</si>
  <si>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</si>
  <si>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</si>
  <si>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</si>
  <si>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</si>
  <si>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</si>
  <si>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</si>
  <si>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</si>
  <si>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</si>
  <si>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</si>
  <si>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</si>
  <si>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</si>
  <si>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</si>
  <si>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</si>
  <si>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</si>
  <si>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</si>
  <si>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</si>
  <si>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</si>
  <si>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</si>
  <si>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</si>
  <si>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</si>
  <si>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</si>
  <si>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</si>
  <si>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</si>
  <si>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</si>
  <si>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</si>
  <si>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</si>
  <si>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</si>
  <si>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</si>
  <si>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</si>
  <si>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</si>
  <si>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</si>
  <si>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</si>
  <si>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</si>
  <si>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</si>
  <si>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</si>
  <si>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</si>
  <si>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</si>
  <si>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</si>
  <si>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</si>
  <si>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</si>
  <si>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</si>
  <si>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</si>
  <si>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</si>
  <si>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</si>
  <si>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</si>
  <si>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</si>
  <si>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</si>
  <si>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375-73-5</t>
  </si>
  <si>
    <t>757124-72-4</t>
  </si>
  <si>
    <t>375-95-1</t>
  </si>
  <si>
    <t>307-24-4</t>
  </si>
  <si>
    <t>375-22-4</t>
  </si>
  <si>
    <t>335-67-1</t>
  </si>
  <si>
    <t>27619-97-2</t>
  </si>
  <si>
    <t>39108-34-4</t>
  </si>
  <si>
    <t>2058-94-8</t>
  </si>
  <si>
    <t>1763-23-1</t>
  </si>
  <si>
    <t>375-85-9</t>
  </si>
  <si>
    <t>2706-90-3</t>
  </si>
  <si>
    <t>355-46-4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</si>
  <si>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</si>
  <si>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</si>
  <si>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</si>
  <si>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</si>
  <si>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</si>
  <si>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</si>
  <si>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</si>
  <si>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</si>
  <si>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</si>
  <si>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</si>
  <si>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</si>
  <si>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</si>
  <si>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</si>
  <si>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</si>
  <si>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</si>
  <si>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</si>
  <si>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</si>
  <si>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</si>
  <si>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</si>
  <si>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</si>
  <si>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</si>
  <si>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</si>
  <si>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</si>
  <si>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</si>
  <si>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</si>
  <si>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</si>
  <si>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</si>
  <si>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</si>
  <si>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</si>
  <si>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</si>
  <si>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</si>
  <si>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</si>
  <si>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</si>
  <si>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</si>
  <si>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</si>
  <si>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</si>
  <si>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</si>
  <si>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</si>
  <si>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</si>
  <si>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</si>
  <si>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</si>
  <si>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</si>
  <si>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</si>
  <si>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</si>
  <si>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</si>
  <si>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</si>
  <si>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</si>
  <si>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</si>
  <si>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</si>
  <si>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</si>
  <si>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</si>
  <si>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</si>
  <si>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</si>
  <si>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</si>
  <si>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</si>
  <si>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</si>
  <si>
    <t>Cisapride</t>
  </si>
  <si>
    <t>81098-60-4</t>
  </si>
  <si>
    <t>Citalopram hydrobromide</t>
  </si>
  <si>
    <t>59729-33-8</t>
  </si>
  <si>
    <t>Dofetilide</t>
  </si>
  <si>
    <t>115256-11-6</t>
  </si>
  <si>
    <t>Moxifloxacin hydrochloride</t>
  </si>
  <si>
    <t>186826-86-8</t>
  </si>
  <si>
    <t>N-acetylpro-cainamide</t>
  </si>
  <si>
    <t>32795-44-1</t>
  </si>
  <si>
    <t>Quinidine sulfate</t>
  </si>
  <si>
    <t>50-54-4</t>
  </si>
  <si>
    <t>Sematilide</t>
  </si>
  <si>
    <t>101526-83-4</t>
  </si>
  <si>
    <t>Sotalol hydrochloride</t>
  </si>
  <si>
    <t>959-24-0</t>
  </si>
  <si>
    <t>Mifepristone</t>
  </si>
  <si>
    <t>84371-65-3</t>
  </si>
  <si>
    <t>Perfluorobutanesulfonic_acid</t>
  </si>
  <si>
    <t>4_2_Fluorotelomer_sulfonic_acid</t>
  </si>
  <si>
    <t>˂1</t>
  </si>
  <si>
    <t>Perfluorononanoic_acid</t>
  </si>
  <si>
    <t>Perfluorohexanoic_acid</t>
  </si>
  <si>
    <t>Perfluorobutanoic_acid</t>
  </si>
  <si>
    <t>Perfluorooctanoic_acid</t>
  </si>
  <si>
    <t>6_2_Fluorotelomer_sulfonic_acid</t>
  </si>
  <si>
    <t>8_2_Fluorotelomer_sulfonic_acid</t>
  </si>
  <si>
    <t>Perfluoroundecanoic_acid</t>
  </si>
  <si>
    <t>Perfluorooctanesulfonic_acid</t>
  </si>
  <si>
    <t>Perfluoroheptanoic_acid</t>
  </si>
  <si>
    <t>Perfluoropentanoic_acid</t>
  </si>
  <si>
    <t>N/A</t>
  </si>
  <si>
    <t>Perfluorohexanesulfonic_acid</t>
  </si>
  <si>
    <t>Perfluorodecanoic_acid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</si>
</sst>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5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7" zoomScale="90" zoomScaleNormal="90" workbookViewId="0">
      <selection activeCell="J15" sqref="J15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0" t="s">
        <v>57</v>
      </c>
      <c r="C2" s="111"/>
      <c r="D2" s="111"/>
      <c r="E2" s="111"/>
      <c r="F2" s="111"/>
      <c r="G2" s="111"/>
      <c r="H2" s="112"/>
      <c r="I2" s="7"/>
      <c r="J2" s="101" t="s">
        <v>56</v>
      </c>
      <c r="K2" s="102"/>
      <c r="L2" s="102"/>
      <c r="M2" s="102"/>
      <c r="N2" s="102"/>
      <c r="O2" s="103"/>
      <c r="P2" s="7"/>
      <c r="Q2" s="101" t="s">
        <v>58</v>
      </c>
      <c r="R2" s="102"/>
      <c r="S2" s="102"/>
      <c r="T2" s="102"/>
      <c r="U2" s="102"/>
      <c r="V2" s="103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4"/>
      <c r="K3" s="105"/>
      <c r="L3" s="105"/>
      <c r="M3" s="105"/>
      <c r="N3" s="105"/>
      <c r="O3" s="106"/>
      <c r="P3" s="7"/>
      <c r="Q3" s="104"/>
      <c r="R3" s="105"/>
      <c r="S3" s="105"/>
      <c r="T3" s="105"/>
      <c r="U3" s="105"/>
      <c r="V3" s="106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7"/>
      <c r="K4" s="108"/>
      <c r="L4" s="108"/>
      <c r="M4" s="108"/>
      <c r="N4" s="108"/>
      <c r="O4" s="109"/>
      <c r="P4" s="7"/>
      <c r="Q4" s="107"/>
      <c r="R4" s="108"/>
      <c r="S4" s="108"/>
      <c r="T4" s="108"/>
      <c r="U4" s="108"/>
      <c r="V4" s="109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8"/>
      <c r="R5" s="59"/>
      <c r="S5" s="59"/>
      <c r="T5" s="59"/>
      <c r="U5" s="59"/>
      <c r="V5" s="60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8"/>
      <c r="S6" s="79"/>
      <c r="T6" s="79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1" t="s">
        <v>74</v>
      </c>
      <c r="L7" s="82">
        <v>0</v>
      </c>
      <c r="M7" s="83">
        <v>0</v>
      </c>
      <c r="N7" s="13"/>
      <c r="O7" s="14"/>
      <c r="P7" s="7"/>
      <c r="Q7" s="11"/>
      <c r="R7" s="13"/>
      <c r="S7" s="61"/>
      <c r="T7" s="62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7"/>
      <c r="T8" s="78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4"/>
      <c r="R9" s="1"/>
      <c r="S9" s="75"/>
      <c r="T9" s="76"/>
      <c r="U9" s="1"/>
      <c r="V9" s="66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1" t="s">
        <v>16</v>
      </c>
      <c r="L10" s="82">
        <v>24</v>
      </c>
      <c r="M10" s="82">
        <v>1.9</v>
      </c>
      <c r="N10" s="13"/>
      <c r="O10" s="14"/>
      <c r="P10" s="7"/>
      <c r="Q10" s="12"/>
      <c r="R10" s="3"/>
      <c r="S10" s="77"/>
      <c r="T10" s="68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4"/>
      <c r="R11" s="1"/>
      <c r="S11" s="75"/>
      <c r="T11" s="75"/>
      <c r="U11" s="1"/>
      <c r="V11" s="66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1"/>
      <c r="T12" s="61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1"/>
      <c r="R14" s="72"/>
      <c r="S14" s="73"/>
      <c r="T14" s="73"/>
      <c r="U14" s="73"/>
      <c r="V14" s="74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7">
        <f>M15/0.029*(0.018)</f>
        <v>4.619905956112852E-5</v>
      </c>
      <c r="M15" s="57">
        <v>7.4431818181818174E-5</v>
      </c>
      <c r="N15" s="57">
        <f>M15/0.029*(0.953)</f>
        <v>2.4459835423197487E-3</v>
      </c>
      <c r="O15" s="98">
        <f>SUM(L15:N15)</f>
        <v>2.5666144200626952E-3</v>
      </c>
      <c r="P15" s="9"/>
      <c r="Q15" s="64"/>
      <c r="R15" s="1"/>
      <c r="S15" s="69"/>
      <c r="T15" s="69"/>
      <c r="U15" s="69"/>
      <c r="V15" s="66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7">
        <v>2.5484800000000001E-3</v>
      </c>
      <c r="M16" s="57">
        <v>2.2915000000000001E-4</v>
      </c>
      <c r="N16" s="57">
        <v>9.6669999999999994E-5</v>
      </c>
      <c r="O16" s="98"/>
      <c r="P16" s="9"/>
      <c r="Q16" s="12"/>
      <c r="R16" s="3"/>
      <c r="S16" s="70"/>
      <c r="T16" s="70"/>
      <c r="U16" s="70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99" t="s">
        <v>111</v>
      </c>
      <c r="K17" s="31" t="s">
        <v>79</v>
      </c>
      <c r="L17" s="80">
        <v>4.6260000000000035E-5</v>
      </c>
      <c r="M17" s="80">
        <v>7.4529999999999993E-5</v>
      </c>
      <c r="N17" s="80">
        <v>2.4492099999999998E-3</v>
      </c>
      <c r="O17" s="98"/>
      <c r="P17" s="9"/>
      <c r="Q17" s="64"/>
      <c r="R17" s="1"/>
      <c r="S17" s="69"/>
      <c r="T17" s="69"/>
      <c r="U17" s="69"/>
      <c r="V17" s="66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7">
        <v>2.2457100000000002E-3</v>
      </c>
      <c r="M18" s="57">
        <v>3.0027E-4</v>
      </c>
      <c r="N18" s="57">
        <v>6.6229999999999994E-5</v>
      </c>
      <c r="O18" s="98"/>
      <c r="P18" s="9"/>
      <c r="Q18" s="11"/>
      <c r="R18" s="13"/>
      <c r="S18" s="63"/>
      <c r="T18" s="63"/>
      <c r="U18" s="63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7">
        <v>3.2730300000000001E-3</v>
      </c>
      <c r="M19" s="57">
        <v>3.9889999999999999E-4</v>
      </c>
      <c r="N19" s="57">
        <v>1.0728E-4</v>
      </c>
      <c r="O19" s="98"/>
      <c r="P19" s="9"/>
      <c r="Q19" s="12"/>
      <c r="R19" s="3"/>
      <c r="S19" s="70"/>
      <c r="T19" s="70"/>
      <c r="U19" s="70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4"/>
      <c r="R20" s="1"/>
      <c r="S20" s="1"/>
      <c r="T20" s="1"/>
      <c r="U20" s="1"/>
      <c r="V20" s="66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4"/>
      <c r="P23" s="7"/>
      <c r="Q23" s="64"/>
      <c r="R23" s="65"/>
      <c r="S23" s="65"/>
      <c r="T23" s="65"/>
      <c r="U23" s="65"/>
      <c r="V23" s="66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5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7"/>
      <c r="M25" s="7"/>
      <c r="N25" s="7"/>
      <c r="O25" s="86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4"/>
      <c r="R26" s="65"/>
      <c r="S26" s="65"/>
      <c r="T26" s="65"/>
      <c r="U26" s="65"/>
      <c r="V26" s="66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4"/>
      <c r="R28" s="67"/>
      <c r="S28" s="65"/>
      <c r="T28" s="65"/>
      <c r="U28" s="65"/>
      <c r="V28" s="66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4"/>
      <c r="R32" s="65"/>
      <c r="S32" s="67"/>
      <c r="T32" s="65"/>
      <c r="U32" s="65"/>
      <c r="V32" s="66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8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4"/>
      <c r="R36" s="65"/>
      <c r="S36" s="65"/>
      <c r="T36" s="65"/>
      <c r="U36" s="65"/>
      <c r="V36" s="66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4"/>
      <c r="R40" s="65"/>
      <c r="S40" s="65"/>
      <c r="T40" s="65"/>
      <c r="U40" s="65"/>
      <c r="V40" s="66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4"/>
      <c r="R43" s="65"/>
      <c r="S43" s="65"/>
      <c r="T43" s="65"/>
      <c r="U43" s="65"/>
      <c r="V43" s="66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20" zoomScale="70" zoomScaleNormal="70" workbookViewId="0">
      <selection activeCell="B28" sqref="B28:F143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68"/>
      <c r="H1" s="16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68"/>
      <c r="H2" s="168"/>
      <c r="I2" s="113" t="s">
        <v>19</v>
      </c>
      <c r="J2" s="114"/>
      <c r="K2" s="114"/>
      <c r="L2" s="114"/>
      <c r="M2" s="114"/>
      <c r="N2" s="114"/>
      <c r="O2" s="114"/>
      <c r="P2" s="114"/>
      <c r="Q2" s="11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68"/>
      <c r="H3" s="168"/>
      <c r="I3" s="116"/>
      <c r="J3" s="117"/>
      <c r="K3" s="117"/>
      <c r="L3" s="117"/>
      <c r="M3" s="117"/>
      <c r="N3" s="117"/>
      <c r="O3" s="117"/>
      <c r="P3" s="117"/>
      <c r="Q3" s="118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68"/>
      <c r="H4" s="168"/>
      <c r="I4" s="119"/>
      <c r="J4" s="120"/>
      <c r="K4" s="120"/>
      <c r="L4" s="120"/>
      <c r="M4" s="120"/>
      <c r="N4" s="120"/>
      <c r="O4" s="120"/>
      <c r="P4" s="120"/>
      <c r="Q4" s="121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>
        <v>4.8783380228937337E-7</v>
      </c>
      <c r="F5" s="7"/>
      <c r="G5" s="168"/>
      <c r="H5" s="168"/>
      <c r="I5" s="122" t="s">
        <v>38</v>
      </c>
      <c r="J5" s="123"/>
      <c r="K5" s="123"/>
      <c r="L5" s="123"/>
      <c r="M5" s="123"/>
      <c r="N5" s="123"/>
      <c r="O5" s="123"/>
      <c r="P5" s="123"/>
      <c r="Q5" s="124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68"/>
      <c r="H6" s="168"/>
      <c r="I6" s="49" t="s">
        <v>49</v>
      </c>
      <c r="J6" s="49" t="s">
        <v>50</v>
      </c>
      <c r="K6" s="49" t="s">
        <v>46</v>
      </c>
      <c r="L6" s="165" t="s">
        <v>39</v>
      </c>
      <c r="M6" s="166"/>
      <c r="N6" s="166"/>
      <c r="O6" s="166"/>
      <c r="P6" s="166"/>
      <c r="Q6" s="16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68"/>
      <c r="H7" s="168"/>
      <c r="I7" s="50" t="s">
        <v>20</v>
      </c>
      <c r="J7" s="37">
        <f>SUM(J13,J19)</f>
        <v>150.0514</v>
      </c>
      <c r="K7" s="38">
        <f>J7/J7</f>
        <v>1</v>
      </c>
      <c r="L7" s="159" t="s">
        <v>68</v>
      </c>
      <c r="M7" s="160"/>
      <c r="N7" s="160"/>
      <c r="O7" s="160"/>
      <c r="P7" s="160"/>
      <c r="Q7" s="161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0" t="s">
        <v>3</v>
      </c>
      <c r="C8" s="141"/>
      <c r="D8" s="141"/>
      <c r="E8" s="141"/>
      <c r="F8" s="142"/>
      <c r="G8" s="168"/>
      <c r="H8" s="168"/>
      <c r="I8" s="51" t="s">
        <v>6</v>
      </c>
      <c r="J8" s="37">
        <f>SUM(J14,J20)</f>
        <v>149.92322520000002</v>
      </c>
      <c r="K8" s="39">
        <f>J8/J7</f>
        <v>0.99914579404124204</v>
      </c>
      <c r="L8" s="159" t="s">
        <v>69</v>
      </c>
      <c r="M8" s="160"/>
      <c r="N8" s="160"/>
      <c r="O8" s="160"/>
      <c r="P8" s="160"/>
      <c r="Q8" s="161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3"/>
      <c r="C9" s="144"/>
      <c r="D9" s="144"/>
      <c r="E9" s="144"/>
      <c r="F9" s="145"/>
      <c r="G9" s="168"/>
      <c r="H9" s="168"/>
      <c r="I9" s="50" t="s">
        <v>8</v>
      </c>
      <c r="J9" s="40">
        <f t="shared" ref="J9:J10" si="0">SUM(J15,J21)</f>
        <v>7.3490599999999989E-2</v>
      </c>
      <c r="K9" s="39">
        <f>J9/J7</f>
        <v>4.8976950564939739E-4</v>
      </c>
      <c r="L9" s="159" t="s">
        <v>69</v>
      </c>
      <c r="M9" s="160"/>
      <c r="N9" s="160"/>
      <c r="O9" s="160"/>
      <c r="P9" s="160"/>
      <c r="Q9" s="161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46"/>
      <c r="C10" s="147"/>
      <c r="D10" s="147"/>
      <c r="E10" s="147"/>
      <c r="F10" s="148"/>
      <c r="G10" s="168"/>
      <c r="H10" s="168"/>
      <c r="I10" s="51" t="s">
        <v>9</v>
      </c>
      <c r="J10" s="40">
        <f t="shared" si="0"/>
        <v>5.4684199999999995E-2</v>
      </c>
      <c r="K10" s="39">
        <f>J10/J7</f>
        <v>3.6443645310873471E-4</v>
      </c>
      <c r="L10" s="159" t="s">
        <v>69</v>
      </c>
      <c r="M10" s="160"/>
      <c r="N10" s="160"/>
      <c r="O10" s="160"/>
      <c r="P10" s="160"/>
      <c r="Q10" s="161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49" t="s">
        <v>36</v>
      </c>
      <c r="C11" s="150"/>
      <c r="D11" s="150"/>
      <c r="E11" s="150"/>
      <c r="F11" s="151"/>
      <c r="G11" s="168"/>
      <c r="H11" s="168"/>
      <c r="I11" s="184"/>
      <c r="J11" s="184"/>
      <c r="K11" s="184"/>
      <c r="L11" s="184"/>
      <c r="M11" s="184"/>
      <c r="N11" s="184"/>
      <c r="O11" s="184"/>
      <c r="P11" s="184"/>
      <c r="Q11" s="184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2"/>
      <c r="C12" s="153"/>
      <c r="D12" s="153"/>
      <c r="E12" s="153"/>
      <c r="F12" s="154"/>
      <c r="G12" s="168"/>
      <c r="H12" s="168"/>
      <c r="I12" s="49" t="s">
        <v>51</v>
      </c>
      <c r="J12" s="49" t="s">
        <v>50</v>
      </c>
      <c r="K12" s="49" t="s">
        <v>46</v>
      </c>
      <c r="L12" s="165" t="s">
        <v>39</v>
      </c>
      <c r="M12" s="166"/>
      <c r="N12" s="166"/>
      <c r="O12" s="166"/>
      <c r="P12" s="166"/>
      <c r="Q12" s="16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38" t="s">
        <v>4</v>
      </c>
      <c r="C13" s="139"/>
      <c r="D13" s="128" t="s">
        <v>39</v>
      </c>
      <c r="E13" s="128"/>
      <c r="F13" s="128"/>
      <c r="G13" s="168"/>
      <c r="H13" s="168"/>
      <c r="I13" s="50" t="s">
        <v>5</v>
      </c>
      <c r="J13" s="41">
        <f>SUM(J14:J16)</f>
        <v>150</v>
      </c>
      <c r="K13" s="38">
        <f>J13/J13</f>
        <v>1</v>
      </c>
      <c r="L13" s="159" t="s">
        <v>71</v>
      </c>
      <c r="M13" s="160"/>
      <c r="N13" s="160"/>
      <c r="O13" s="160"/>
      <c r="P13" s="160"/>
      <c r="Q13" s="161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150</v>
      </c>
      <c r="D14" s="129" t="s">
        <v>17</v>
      </c>
      <c r="E14" s="129"/>
      <c r="F14" s="129"/>
      <c r="G14" s="168"/>
      <c r="H14" s="168"/>
      <c r="I14" s="51" t="s">
        <v>43</v>
      </c>
      <c r="J14" s="41">
        <f>C14-SUM(J15:J16)</f>
        <v>149.92230000000001</v>
      </c>
      <c r="K14" s="39">
        <f>J14/J13</f>
        <v>0.99948200000000009</v>
      </c>
      <c r="L14" s="162" t="s">
        <v>70</v>
      </c>
      <c r="M14" s="163"/>
      <c r="N14" s="163"/>
      <c r="O14" s="163"/>
      <c r="P14" s="163"/>
      <c r="Q14" s="164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30" t="s">
        <v>60</v>
      </c>
      <c r="E15" s="130"/>
      <c r="F15" s="130"/>
      <c r="G15" s="168"/>
      <c r="H15" s="168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7.1999999999999995E-2</v>
      </c>
      <c r="K15" s="39">
        <f>J15/J13</f>
        <v>4.7999999999999996E-4</v>
      </c>
      <c r="L15" s="159" t="s">
        <v>69</v>
      </c>
      <c r="M15" s="160"/>
      <c r="N15" s="160"/>
      <c r="O15" s="160"/>
      <c r="P15" s="160"/>
      <c r="Q15" s="161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0.98</v>
      </c>
      <c r="D16" s="131" t="s">
        <v>40</v>
      </c>
      <c r="E16" s="132"/>
      <c r="F16" s="133"/>
      <c r="G16" s="168"/>
      <c r="H16" s="168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5.6999999999999993E-3</v>
      </c>
      <c r="K16" s="39">
        <f>J16/J13</f>
        <v>3.7999999999999995E-5</v>
      </c>
      <c r="L16" s="159" t="s">
        <v>69</v>
      </c>
      <c r="M16" s="160"/>
      <c r="N16" s="160"/>
      <c r="O16" s="160"/>
      <c r="P16" s="160"/>
      <c r="Q16" s="161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16</v>
      </c>
      <c r="D17" s="134" t="s">
        <v>61</v>
      </c>
      <c r="E17" s="135"/>
      <c r="F17" s="136"/>
      <c r="G17" s="168"/>
      <c r="H17" s="168"/>
      <c r="I17" s="162"/>
      <c r="J17" s="163"/>
      <c r="K17" s="163"/>
      <c r="L17" s="163"/>
      <c r="M17" s="163"/>
      <c r="N17" s="163"/>
      <c r="O17" s="163"/>
      <c r="P17" s="163"/>
      <c r="Q17" s="164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0.02</v>
      </c>
      <c r="D18" s="131" t="s">
        <v>41</v>
      </c>
      <c r="E18" s="132"/>
      <c r="F18" s="133"/>
      <c r="G18" s="168"/>
      <c r="H18" s="168"/>
      <c r="I18" s="49" t="s">
        <v>29</v>
      </c>
      <c r="J18" s="49" t="s">
        <v>50</v>
      </c>
      <c r="K18" s="49" t="s">
        <v>46</v>
      </c>
      <c r="L18" s="165" t="s">
        <v>39</v>
      </c>
      <c r="M18" s="166"/>
      <c r="N18" s="166"/>
      <c r="O18" s="166"/>
      <c r="P18" s="166"/>
      <c r="Q18" s="16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0"/>
      <c r="C19" s="130"/>
      <c r="D19" s="130"/>
      <c r="E19" s="130"/>
      <c r="F19" s="130"/>
      <c r="G19" s="168"/>
      <c r="H19" s="168"/>
      <c r="I19" s="50" t="s">
        <v>5</v>
      </c>
      <c r="J19" s="41">
        <f>SUM(J20:J22)</f>
        <v>5.1400000000000001E-2</v>
      </c>
      <c r="K19" s="38">
        <f>J19/J19</f>
        <v>1</v>
      </c>
      <c r="L19" s="159" t="s">
        <v>55</v>
      </c>
      <c r="M19" s="160"/>
      <c r="N19" s="160"/>
      <c r="O19" s="160"/>
      <c r="P19" s="160"/>
      <c r="Q19" s="161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38" t="s">
        <v>7</v>
      </c>
      <c r="C20" s="139"/>
      <c r="D20" s="128" t="s">
        <v>39</v>
      </c>
      <c r="E20" s="128"/>
      <c r="F20" s="128"/>
      <c r="G20" s="168"/>
      <c r="H20" s="168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9.252000000000007E-4</v>
      </c>
      <c r="K20" s="39">
        <f>J20/J19</f>
        <v>1.8000000000000013E-2</v>
      </c>
      <c r="L20" s="159" t="s">
        <v>69</v>
      </c>
      <c r="M20" s="160"/>
      <c r="N20" s="160"/>
      <c r="O20" s="160"/>
      <c r="P20" s="160"/>
      <c r="Q20" s="161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79</v>
      </c>
      <c r="D21" s="134" t="s">
        <v>61</v>
      </c>
      <c r="E21" s="135"/>
      <c r="F21" s="136"/>
      <c r="G21" s="168"/>
      <c r="H21" s="168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1.4905999999999999E-3</v>
      </c>
      <c r="K21" s="39">
        <f>J21/J19</f>
        <v>2.8999999999999998E-2</v>
      </c>
      <c r="L21" s="159" t="s">
        <v>69</v>
      </c>
      <c r="M21" s="160"/>
      <c r="N21" s="160"/>
      <c r="O21" s="160"/>
      <c r="P21" s="160"/>
      <c r="Q21" s="161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20000</v>
      </c>
      <c r="D22" s="137" t="s">
        <v>67</v>
      </c>
      <c r="E22" s="137"/>
      <c r="F22" s="137"/>
      <c r="G22" s="168"/>
      <c r="H22" s="168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4.8984199999999999E-2</v>
      </c>
      <c r="K22" s="39">
        <f>J22/J19</f>
        <v>0.95299999999999996</v>
      </c>
      <c r="L22" s="159" t="s">
        <v>69</v>
      </c>
      <c r="M22" s="160"/>
      <c r="N22" s="160"/>
      <c r="O22" s="160"/>
      <c r="P22" s="160"/>
      <c r="Q22" s="161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25"/>
      <c r="C23" s="126"/>
      <c r="D23" s="126"/>
      <c r="E23" s="126"/>
      <c r="F23" s="127"/>
      <c r="G23" s="168"/>
      <c r="H23" s="168"/>
      <c r="I23" s="179"/>
      <c r="J23" s="180"/>
      <c r="K23" s="180"/>
      <c r="L23" s="180"/>
      <c r="M23" s="180"/>
      <c r="N23" s="180"/>
      <c r="O23" s="180"/>
      <c r="P23" s="180"/>
      <c r="Q23" s="181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49" t="s">
        <v>37</v>
      </c>
      <c r="C24" s="150"/>
      <c r="D24" s="150"/>
      <c r="E24" s="150"/>
      <c r="F24" s="151"/>
      <c r="G24" s="168"/>
      <c r="H24" s="168"/>
      <c r="I24" s="173" t="s">
        <v>42</v>
      </c>
      <c r="J24" s="174"/>
      <c r="K24" s="174"/>
      <c r="L24" s="174"/>
      <c r="M24" s="174"/>
      <c r="N24" s="174"/>
      <c r="O24" s="174"/>
      <c r="P24" s="174"/>
      <c r="Q24" s="175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2"/>
      <c r="C25" s="153"/>
      <c r="D25" s="153"/>
      <c r="E25" s="153"/>
      <c r="F25" s="154"/>
      <c r="G25" s="168"/>
      <c r="H25" s="168"/>
      <c r="I25" s="176"/>
      <c r="J25" s="177"/>
      <c r="K25" s="177"/>
      <c r="L25" s="177"/>
      <c r="M25" s="177"/>
      <c r="N25" s="177"/>
      <c r="O25" s="177"/>
      <c r="P25" s="177"/>
      <c r="Q25" s="178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1" t="s">
        <v>11</v>
      </c>
      <c r="C26" s="171" t="s">
        <v>12</v>
      </c>
      <c r="D26" s="155" t="s">
        <v>47</v>
      </c>
      <c r="E26" s="155" t="s">
        <v>48</v>
      </c>
      <c r="F26" s="157" t="s">
        <v>66</v>
      </c>
      <c r="G26" s="168"/>
      <c r="H26" s="168"/>
      <c r="I26" s="182" t="s">
        <v>53</v>
      </c>
      <c r="J26" s="182" t="s">
        <v>54</v>
      </c>
      <c r="K26" s="169" t="s">
        <v>73</v>
      </c>
      <c r="L26" s="169" t="s">
        <v>52</v>
      </c>
      <c r="M26" s="169" t="s">
        <v>59</v>
      </c>
      <c r="N26" s="169" t="s">
        <v>62</v>
      </c>
      <c r="O26" s="169" t="s">
        <v>72</v>
      </c>
      <c r="P26" s="169" t="s">
        <v>64</v>
      </c>
      <c r="Q26" s="169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2"/>
      <c r="C27" s="172"/>
      <c r="D27" s="156"/>
      <c r="E27" s="156"/>
      <c r="F27" s="158"/>
      <c r="G27" s="168"/>
      <c r="H27" s="168"/>
      <c r="I27" s="183"/>
      <c r="J27" s="183"/>
      <c r="K27" s="170"/>
      <c r="L27" s="170"/>
      <c r="M27" s="170"/>
      <c r="N27" s="170"/>
      <c r="O27" s="170"/>
      <c r="P27" s="170"/>
      <c r="Q27" s="170"/>
      <c r="R27" s="7" t="s">
        <v>78</v>
      </c>
      <c r="S27" s="7" t="s">
        <v>77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8"/>
      <c r="B28" s="46" t="s">
        <v>88</v>
      </c>
      <c r="C28" s="46" t="s">
        <v>89</v>
      </c>
      <c r="D28" s="47">
        <v>6.5247999999999973E-2</v>
      </c>
      <c r="E28" s="47">
        <v>8.2216000000000289E-2</v>
      </c>
      <c r="F28" s="96">
        <v>9.9999999999999995E-7</v>
      </c>
      <c r="G28" s="168"/>
      <c r="H28" s="168"/>
      <c r="I28" s="92">
        <f t="shared" ref="I28:I47" si="1">IF(D28=0,"",LOG($K$15*10^D28+$K$16*10^E28+$K$14))</f>
        <v>3.7232006014196545E-5</v>
      </c>
      <c r="J28" s="92">
        <f t="shared" ref="J28:J47" si="2">IF(D28=0,"",LOG($K$21*10^D28+$K$22*10^E28+$K$20))</f>
        <v>8.0381300697110955E-2</v>
      </c>
      <c r="K28" s="93">
        <f t="shared" ref="K28:K47" si="3">IF(D28=0,"",1/(1+10^D28*$J$15/$J$14+10^E28*$J$16/$J$14+10^J28*$J$19/$J$14))</f>
        <v>0.99898443447652596</v>
      </c>
      <c r="L28" s="93">
        <f t="shared" ref="L28:L47" si="4">IF(D28=0,"",1/(1+10^I28/10^J28*$J$13/$J$19))</f>
        <v>4.1213253921357906E-4</v>
      </c>
      <c r="M28" s="93">
        <f t="shared" ref="M28:M47" si="5">IF(D28=0,"",1-L28)</f>
        <v>0.99958786746078643</v>
      </c>
      <c r="N28" s="93">
        <f t="shared" ref="N28:N47" si="6">IF(D28=0,"",1/(1/10^E28*$J$20/$J$22+10^D28/10^E28*$J$21/$J$22+10^I28/10^E28*$J$13/$J$22+1))</f>
        <v>3.9442506410587963E-4</v>
      </c>
      <c r="O28" s="40">
        <f t="shared" ref="O28:O47" si="7">IF(D28=0,"",F28*K28*$J$7/$J$14)</f>
        <v>9.9984467268318966E-7</v>
      </c>
      <c r="P28" s="40">
        <f t="shared" ref="P28:P47" si="8">IF(D28=0,"",O28*10^J28)</f>
        <v>1.2031335504776738E-6</v>
      </c>
      <c r="Q28" s="40">
        <f t="shared" ref="Q28:Q47" si="9">IF(D28=0,"",F28*N28*$J$7/$J$22)</f>
        <v>1.2082270010365994E-6</v>
      </c>
      <c r="R28" s="9">
        <f>F28*$C$14</f>
        <v>1.4999999999999999E-4</v>
      </c>
      <c r="S28" s="9">
        <f>$R28*L28</f>
        <v>6.1819880882036857E-8</v>
      </c>
      <c r="T28" s="9">
        <f t="shared" ref="T28:T91" si="10">R28*K28</f>
        <v>1.4984766517147887E-4</v>
      </c>
      <c r="U28" s="9">
        <f t="shared" ref="U28:U91" si="11">$R28*M28</f>
        <v>1.4993818011911796E-4</v>
      </c>
      <c r="V28" s="100">
        <f>K28/M28</f>
        <v>0.99939631821883423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8"/>
      <c r="B29" s="46" t="s">
        <v>162</v>
      </c>
      <c r="C29" s="46" t="s">
        <v>163</v>
      </c>
      <c r="D29" s="47">
        <v>2.31</v>
      </c>
      <c r="E29" s="47">
        <v>2.58</v>
      </c>
      <c r="F29" s="96">
        <v>9.9999999999999995E-7</v>
      </c>
      <c r="G29" s="168"/>
      <c r="H29" s="168"/>
      <c r="I29" s="92">
        <f t="shared" si="1"/>
        <v>4.6078470391874224E-2</v>
      </c>
      <c r="J29" s="92">
        <f t="shared" si="2"/>
        <v>2.5661540001265828</v>
      </c>
      <c r="K29" s="93">
        <f t="shared" si="3"/>
        <v>0.80725589648054596</v>
      </c>
      <c r="L29" s="93">
        <f t="shared" si="4"/>
        <v>0.10192063219153602</v>
      </c>
      <c r="M29" s="93">
        <f t="shared" si="5"/>
        <v>0.89807936780846398</v>
      </c>
      <c r="N29" s="93">
        <f t="shared" si="6"/>
        <v>0.10027692535342322</v>
      </c>
      <c r="O29" s="40">
        <f t="shared" si="7"/>
        <v>8.0795103480376817E-7</v>
      </c>
      <c r="P29" s="40">
        <f t="shared" si="8"/>
        <v>2.9753567216391147E-4</v>
      </c>
      <c r="Q29" s="40">
        <f t="shared" si="9"/>
        <v>3.0717441617861778E-4</v>
      </c>
      <c r="R29" s="9">
        <f t="shared" ref="R29:R92" si="12">F29*$C$14</f>
        <v>1.4999999999999999E-4</v>
      </c>
      <c r="S29" s="9">
        <f t="shared" ref="S29:S92" si="13">$R29*L29</f>
        <v>1.5288094828730402E-5</v>
      </c>
      <c r="T29" s="9">
        <f t="shared" si="10"/>
        <v>1.2108838447208189E-4</v>
      </c>
      <c r="U29" s="9">
        <f t="shared" si="11"/>
        <v>1.3471190517126959E-4</v>
      </c>
      <c r="V29" s="100">
        <f t="shared" ref="V29:V92" si="14">K29/M29</f>
        <v>0.89886921514570617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89"/>
      <c r="B30" s="46" t="s">
        <v>164</v>
      </c>
      <c r="C30" s="46" t="s">
        <v>165</v>
      </c>
      <c r="D30" s="90">
        <v>4.4000000000000004</v>
      </c>
      <c r="E30" s="90">
        <v>2.64</v>
      </c>
      <c r="F30" s="96">
        <v>9.9999999999999995E-7</v>
      </c>
      <c r="G30" s="168"/>
      <c r="H30" s="168"/>
      <c r="I30" s="92">
        <f t="shared" si="1"/>
        <v>1.116379396238508</v>
      </c>
      <c r="J30" s="92">
        <f t="shared" si="2"/>
        <v>3.0586023840529086</v>
      </c>
      <c r="K30" s="93">
        <f t="shared" si="3"/>
        <v>7.4226524368857044E-2</v>
      </c>
      <c r="L30" s="93">
        <f t="shared" si="4"/>
        <v>2.9124494225337985E-2</v>
      </c>
      <c r="M30" s="93">
        <f t="shared" si="5"/>
        <v>0.97087550577466197</v>
      </c>
      <c r="N30" s="93">
        <f t="shared" si="6"/>
        <v>1.0586414851298494E-2</v>
      </c>
      <c r="O30" s="40">
        <f t="shared" si="7"/>
        <v>7.429044177337938E-8</v>
      </c>
      <c r="P30" s="40">
        <f t="shared" si="8"/>
        <v>8.5022784684900431E-5</v>
      </c>
      <c r="Q30" s="40">
        <f t="shared" si="9"/>
        <v>3.2428954018196292E-5</v>
      </c>
      <c r="R30" s="9">
        <f t="shared" si="12"/>
        <v>1.4999999999999999E-4</v>
      </c>
      <c r="S30" s="9">
        <f t="shared" si="13"/>
        <v>4.3686741338006971E-6</v>
      </c>
      <c r="T30" s="9">
        <f t="shared" si="10"/>
        <v>1.1133978655328556E-5</v>
      </c>
      <c r="U30" s="9">
        <f t="shared" si="11"/>
        <v>1.4563132586619927E-4</v>
      </c>
      <c r="V30" s="100">
        <f t="shared" si="14"/>
        <v>7.6453184705315716E-2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89"/>
      <c r="B31" s="46" t="s">
        <v>90</v>
      </c>
      <c r="C31" s="46" t="s">
        <v>91</v>
      </c>
      <c r="D31" s="47">
        <v>-0.92190615231165807</v>
      </c>
      <c r="E31" s="47">
        <v>-1.7889087518799642</v>
      </c>
      <c r="F31" s="96">
        <v>9.9999999999999995E-7</v>
      </c>
      <c r="G31" s="168"/>
      <c r="H31" s="168"/>
      <c r="I31" s="92">
        <f t="shared" si="1"/>
        <v>-1.9978935919434454E-4</v>
      </c>
      <c r="J31" s="92">
        <f t="shared" si="2"/>
        <v>-1.432197159864895</v>
      </c>
      <c r="K31" s="93">
        <f t="shared" si="3"/>
        <v>0.99992922752097146</v>
      </c>
      <c r="L31" s="93">
        <f t="shared" si="4"/>
        <v>1.2672695090509783E-5</v>
      </c>
      <c r="M31" s="93">
        <f t="shared" si="5"/>
        <v>0.99998732730490947</v>
      </c>
      <c r="N31" s="93">
        <f t="shared" si="6"/>
        <v>5.3119049387029448E-6</v>
      </c>
      <c r="O31" s="40">
        <f t="shared" si="7"/>
        <v>1.0007902793009464E-6</v>
      </c>
      <c r="P31" s="40">
        <f t="shared" si="8"/>
        <v>3.6995245916422558E-8</v>
      </c>
      <c r="Q31" s="40">
        <f t="shared" si="9"/>
        <v>1.6271752375649516E-8</v>
      </c>
      <c r="R31" s="9">
        <f t="shared" si="12"/>
        <v>1.4999999999999999E-4</v>
      </c>
      <c r="S31" s="9">
        <f t="shared" si="13"/>
        <v>1.9009042635764675E-9</v>
      </c>
      <c r="T31" s="9">
        <f t="shared" si="10"/>
        <v>1.4998938412814572E-4</v>
      </c>
      <c r="U31" s="9">
        <f t="shared" si="11"/>
        <v>1.499980990957364E-4</v>
      </c>
      <c r="V31" s="100">
        <f t="shared" si="14"/>
        <v>0.99994189947977186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89"/>
      <c r="B32" s="46" t="s">
        <v>92</v>
      </c>
      <c r="C32" s="46" t="s">
        <v>93</v>
      </c>
      <c r="D32" s="47">
        <v>0.54749180498968375</v>
      </c>
      <c r="E32" s="47">
        <v>0.30136158174588817</v>
      </c>
      <c r="F32" s="96">
        <v>9.9999999999999995E-7</v>
      </c>
      <c r="G32" s="168"/>
      <c r="H32" s="168"/>
      <c r="I32" s="92">
        <f t="shared" si="1"/>
        <v>5.4311668398331027E-4</v>
      </c>
      <c r="J32" s="92">
        <f t="shared" si="2"/>
        <v>0.3070163663915419</v>
      </c>
      <c r="K32" s="93">
        <f t="shared" si="3"/>
        <v>0.99754058637580256</v>
      </c>
      <c r="L32" s="93">
        <f t="shared" si="4"/>
        <v>6.9349578173597849E-4</v>
      </c>
      <c r="M32" s="93">
        <f t="shared" si="5"/>
        <v>0.99930650421826406</v>
      </c>
      <c r="N32" s="93">
        <f t="shared" si="6"/>
        <v>6.5235191223311643E-4</v>
      </c>
      <c r="O32" s="40">
        <f t="shared" si="7"/>
        <v>9.9839958126649659E-7</v>
      </c>
      <c r="P32" s="40">
        <f t="shared" si="8"/>
        <v>2.0245138704976263E-6</v>
      </c>
      <c r="Q32" s="40">
        <f t="shared" si="9"/>
        <v>1.9983243111708722E-6</v>
      </c>
      <c r="R32" s="9">
        <f t="shared" si="12"/>
        <v>1.4999999999999999E-4</v>
      </c>
      <c r="S32" s="9">
        <f t="shared" si="13"/>
        <v>1.0402436726039676E-7</v>
      </c>
      <c r="T32" s="9">
        <f t="shared" si="10"/>
        <v>1.4963108795637038E-4</v>
      </c>
      <c r="U32" s="9">
        <f t="shared" si="11"/>
        <v>1.498959756327396E-4</v>
      </c>
      <c r="V32" s="100">
        <f t="shared" si="14"/>
        <v>0.9982328566510803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89"/>
      <c r="B33" s="94" t="s">
        <v>166</v>
      </c>
      <c r="C33" s="94" t="s">
        <v>110</v>
      </c>
      <c r="D33" s="95">
        <v>1.6452318246143236</v>
      </c>
      <c r="E33" s="95">
        <v>1.8629354124795308</v>
      </c>
      <c r="F33" s="96">
        <v>9.9999999999999995E-7</v>
      </c>
      <c r="G33" s="168"/>
      <c r="H33" s="168"/>
      <c r="I33" s="92">
        <f t="shared" si="1"/>
        <v>1.0070969156464394E-2</v>
      </c>
      <c r="J33" s="92">
        <f t="shared" si="2"/>
        <v>1.8500712938307124</v>
      </c>
      <c r="K33" s="93">
        <f t="shared" si="3"/>
        <v>0.95395620519160862</v>
      </c>
      <c r="L33" s="93">
        <f t="shared" si="4"/>
        <v>2.3157763475553039E-2</v>
      </c>
      <c r="M33" s="93">
        <f t="shared" si="5"/>
        <v>0.97684223652444691</v>
      </c>
      <c r="N33" s="93">
        <f t="shared" si="6"/>
        <v>2.273283675079428E-2</v>
      </c>
      <c r="O33" s="40">
        <f t="shared" si="7"/>
        <v>9.5477766901713838E-7</v>
      </c>
      <c r="P33" s="40">
        <f t="shared" si="8"/>
        <v>6.7604179579291824E-5</v>
      </c>
      <c r="Q33" s="40">
        <f t="shared" si="9"/>
        <v>6.963661712201348E-5</v>
      </c>
      <c r="R33" s="9">
        <f t="shared" si="12"/>
        <v>1.4999999999999999E-4</v>
      </c>
      <c r="S33" s="9">
        <f t="shared" si="13"/>
        <v>3.4736645213329558E-6</v>
      </c>
      <c r="T33" s="9">
        <f t="shared" si="10"/>
        <v>1.4309343077874127E-4</v>
      </c>
      <c r="U33" s="9">
        <f t="shared" si="11"/>
        <v>1.4652633547866702E-4</v>
      </c>
      <c r="V33" s="100">
        <f t="shared" si="14"/>
        <v>0.9765714150380459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8"/>
      <c r="B34" s="46" t="s">
        <v>94</v>
      </c>
      <c r="C34" s="46" t="s">
        <v>95</v>
      </c>
      <c r="D34" s="90">
        <v>0.39857726844789648</v>
      </c>
      <c r="E34" s="90">
        <v>8.9525410045599246E-2</v>
      </c>
      <c r="F34" s="96">
        <v>9.9999999999999995E-7</v>
      </c>
      <c r="G34" s="168"/>
      <c r="H34" s="168"/>
      <c r="I34" s="92">
        <f t="shared" si="1"/>
        <v>3.1711948665398576E-4</v>
      </c>
      <c r="J34" s="92">
        <f t="shared" si="2"/>
        <v>0.1009809094502437</v>
      </c>
      <c r="K34" s="93">
        <f t="shared" si="3"/>
        <v>0.99832112375654225</v>
      </c>
      <c r="L34" s="93">
        <f t="shared" si="4"/>
        <v>4.3186504396002E-4</v>
      </c>
      <c r="M34" s="93">
        <f t="shared" si="5"/>
        <v>0.99956813495604002</v>
      </c>
      <c r="N34" s="93">
        <f t="shared" si="6"/>
        <v>4.0085329148028425E-4</v>
      </c>
      <c r="O34" s="40">
        <f t="shared" si="7"/>
        <v>9.9918079077790562E-7</v>
      </c>
      <c r="P34" s="40">
        <f t="shared" si="8"/>
        <v>1.260738413565419E-6</v>
      </c>
      <c r="Q34" s="40">
        <f t="shared" si="9"/>
        <v>1.2279183406327901E-6</v>
      </c>
      <c r="R34" s="9">
        <f t="shared" si="12"/>
        <v>1.4999999999999999E-4</v>
      </c>
      <c r="S34" s="9">
        <f t="shared" si="13"/>
        <v>6.4779756594002994E-8</v>
      </c>
      <c r="T34" s="9">
        <f t="shared" si="10"/>
        <v>1.4974816856348132E-4</v>
      </c>
      <c r="U34" s="9">
        <f t="shared" si="11"/>
        <v>1.49935220243406E-4</v>
      </c>
      <c r="V34" s="100">
        <f t="shared" si="14"/>
        <v>0.99875245002727842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8"/>
      <c r="B35" s="46" t="s">
        <v>96</v>
      </c>
      <c r="C35" s="46" t="s">
        <v>97</v>
      </c>
      <c r="D35" s="90">
        <v>0.27761205565007074</v>
      </c>
      <c r="E35" s="90">
        <v>-8.2551864497786676E-2</v>
      </c>
      <c r="F35" s="96">
        <v>9.9999999999999995E-7</v>
      </c>
      <c r="G35" s="168"/>
      <c r="H35" s="168"/>
      <c r="I35" s="92">
        <f t="shared" si="1"/>
        <v>1.8367979099029661E-4</v>
      </c>
      <c r="J35" s="92">
        <f t="shared" si="2"/>
        <v>-6.5005803120437564E-2</v>
      </c>
      <c r="K35" s="93">
        <f t="shared" si="3"/>
        <v>0.99876482920745346</v>
      </c>
      <c r="L35" s="93">
        <f t="shared" si="4"/>
        <v>2.948182203150883E-4</v>
      </c>
      <c r="M35" s="93">
        <f t="shared" si="5"/>
        <v>0.99970518177968493</v>
      </c>
      <c r="N35" s="93">
        <f t="shared" si="6"/>
        <v>2.6983678855554353E-4</v>
      </c>
      <c r="O35" s="40">
        <f t="shared" si="7"/>
        <v>9.9962487830922607E-7</v>
      </c>
      <c r="P35" s="40">
        <f t="shared" si="8"/>
        <v>8.6065927439275175E-7</v>
      </c>
      <c r="Q35" s="40">
        <f t="shared" si="9"/>
        <v>8.2658056871936833E-7</v>
      </c>
      <c r="R35" s="9">
        <f t="shared" si="12"/>
        <v>1.4999999999999999E-4</v>
      </c>
      <c r="S35" s="9">
        <f t="shared" si="13"/>
        <v>4.4222733047263243E-8</v>
      </c>
      <c r="T35" s="9">
        <f t="shared" si="10"/>
        <v>1.4981472438111801E-4</v>
      </c>
      <c r="U35" s="9">
        <f t="shared" si="11"/>
        <v>1.4995577726695272E-4</v>
      </c>
      <c r="V35" s="100">
        <f t="shared" si="14"/>
        <v>0.99905937011293922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8"/>
      <c r="B36" s="46" t="s">
        <v>167</v>
      </c>
      <c r="C36" s="46" t="s">
        <v>168</v>
      </c>
      <c r="D36" s="47">
        <v>3.4409280000000009</v>
      </c>
      <c r="E36" s="47">
        <v>4.1160660000000009</v>
      </c>
      <c r="F36" s="96">
        <v>9.9999999999999995E-7</v>
      </c>
      <c r="G36" s="168"/>
      <c r="H36" s="168"/>
      <c r="I36" s="92">
        <f t="shared" si="1"/>
        <v>0.45036614920415591</v>
      </c>
      <c r="J36" s="92">
        <f t="shared" si="2"/>
        <v>4.0979428181217807</v>
      </c>
      <c r="K36" s="93">
        <f t="shared" si="3"/>
        <v>0.14048931706695394</v>
      </c>
      <c r="L36" s="93">
        <f t="shared" si="4"/>
        <v>0.60350795947822988</v>
      </c>
      <c r="M36" s="93">
        <f t="shared" si="5"/>
        <v>0.39649204052177012</v>
      </c>
      <c r="N36" s="93">
        <f t="shared" si="6"/>
        <v>0.59965172144014023</v>
      </c>
      <c r="O36" s="40">
        <f t="shared" si="7"/>
        <v>1.4061029420533394E-7</v>
      </c>
      <c r="P36" s="40">
        <f t="shared" si="8"/>
        <v>1.7618135064368032E-3</v>
      </c>
      <c r="Q36" s="40">
        <f t="shared" si="9"/>
        <v>1.8368898607000431E-3</v>
      </c>
      <c r="R36" s="9">
        <f t="shared" si="12"/>
        <v>1.4999999999999999E-4</v>
      </c>
      <c r="S36" s="9">
        <f t="shared" si="13"/>
        <v>9.0526193921734472E-5</v>
      </c>
      <c r="T36" s="9">
        <f t="shared" si="10"/>
        <v>2.107339756004309E-5</v>
      </c>
      <c r="U36" s="9">
        <f t="shared" si="11"/>
        <v>5.9473806078265515E-5</v>
      </c>
      <c r="V36" s="100">
        <f t="shared" si="14"/>
        <v>0.35433073733857245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8"/>
      <c r="B37" s="94" t="s">
        <v>169</v>
      </c>
      <c r="C37" s="94" t="s">
        <v>170</v>
      </c>
      <c r="D37" s="95">
        <v>4.9025336133267672</v>
      </c>
      <c r="E37" s="95">
        <v>6.4965619006479365</v>
      </c>
      <c r="F37" s="96">
        <v>9.9999999999999995E-7</v>
      </c>
      <c r="G37" s="168"/>
      <c r="H37" s="168"/>
      <c r="I37" s="92">
        <f t="shared" si="1"/>
        <v>2.2002191789801899</v>
      </c>
      <c r="J37" s="92">
        <f t="shared" si="2"/>
        <v>6.4759912324893314</v>
      </c>
      <c r="K37" s="93">
        <f t="shared" si="3"/>
        <v>8.4422984176929972E-4</v>
      </c>
      <c r="L37" s="93">
        <f t="shared" si="4"/>
        <v>0.86606166332660173</v>
      </c>
      <c r="M37" s="93">
        <f t="shared" si="5"/>
        <v>0.13393833667339827</v>
      </c>
      <c r="N37" s="93">
        <f t="shared" si="6"/>
        <v>0.86539101851766342</v>
      </c>
      <c r="O37" s="40">
        <f t="shared" si="7"/>
        <v>8.4495681882723175E-10</v>
      </c>
      <c r="P37" s="40">
        <f t="shared" si="8"/>
        <v>2.5282833670911523E-3</v>
      </c>
      <c r="Q37" s="40">
        <f t="shared" si="9"/>
        <v>2.6509187426966519E-3</v>
      </c>
      <c r="R37" s="9">
        <f t="shared" si="12"/>
        <v>1.4999999999999999E-4</v>
      </c>
      <c r="S37" s="9">
        <f t="shared" si="13"/>
        <v>1.2990924949899025E-4</v>
      </c>
      <c r="T37" s="9">
        <f t="shared" si="10"/>
        <v>1.2663447626539496E-7</v>
      </c>
      <c r="U37" s="9">
        <f t="shared" si="11"/>
        <v>2.009075050100974E-5</v>
      </c>
      <c r="V37" s="100">
        <f t="shared" si="14"/>
        <v>6.303123233700525E-3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8"/>
      <c r="B38" s="46" t="s">
        <v>171</v>
      </c>
      <c r="C38" s="46" t="s">
        <v>172</v>
      </c>
      <c r="D38" s="90">
        <v>-0.51108880646233978</v>
      </c>
      <c r="E38" s="90">
        <v>-1.2045066120098076</v>
      </c>
      <c r="F38" s="96">
        <v>9.9999999999999995E-7</v>
      </c>
      <c r="G38" s="168"/>
      <c r="H38" s="168"/>
      <c r="I38" s="92">
        <f t="shared" si="1"/>
        <v>-1.5970395933982679E-4</v>
      </c>
      <c r="J38" s="92">
        <f t="shared" si="2"/>
        <v>-1.0632404522957326</v>
      </c>
      <c r="K38" s="93">
        <f t="shared" si="3"/>
        <v>0.99981998033530417</v>
      </c>
      <c r="L38" s="93">
        <f t="shared" si="4"/>
        <v>2.9633178828766705E-5</v>
      </c>
      <c r="M38" s="93">
        <f t="shared" si="5"/>
        <v>0.99997036682117124</v>
      </c>
      <c r="N38" s="93">
        <f t="shared" si="6"/>
        <v>2.0398817044022523E-5</v>
      </c>
      <c r="O38" s="40">
        <f t="shared" si="7"/>
        <v>1.0006809380411377E-6</v>
      </c>
      <c r="P38" s="40">
        <f t="shared" si="8"/>
        <v>8.6507781511805533E-8</v>
      </c>
      <c r="Q38" s="40">
        <f t="shared" si="9"/>
        <v>6.2486905079585689E-8</v>
      </c>
      <c r="R38" s="9">
        <f t="shared" si="12"/>
        <v>1.4999999999999999E-4</v>
      </c>
      <c r="S38" s="9">
        <f t="shared" si="13"/>
        <v>4.444976824315005E-9</v>
      </c>
      <c r="T38" s="9">
        <f t="shared" si="10"/>
        <v>1.499729970502956E-4</v>
      </c>
      <c r="U38" s="9">
        <f t="shared" si="11"/>
        <v>1.4999555502317568E-4</v>
      </c>
      <c r="V38" s="100">
        <f t="shared" si="14"/>
        <v>0.99984960905757125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8"/>
      <c r="B39" s="46" t="s">
        <v>98</v>
      </c>
      <c r="C39" s="46" t="s">
        <v>99</v>
      </c>
      <c r="D39" s="90">
        <v>2.3414159999999997</v>
      </c>
      <c r="E39" s="90">
        <v>2.4767320000000002</v>
      </c>
      <c r="F39" s="96">
        <v>9.9999999999999995E-7</v>
      </c>
      <c r="G39" s="168"/>
      <c r="H39" s="168"/>
      <c r="I39" s="92">
        <f t="shared" si="1"/>
        <v>4.7752637245013392E-2</v>
      </c>
      <c r="J39" s="92">
        <f t="shared" si="2"/>
        <v>2.4654231458254099</v>
      </c>
      <c r="K39" s="93">
        <f t="shared" si="3"/>
        <v>0.82174291588359982</v>
      </c>
      <c r="L39" s="93">
        <f t="shared" si="4"/>
        <v>8.227274684774824E-2</v>
      </c>
      <c r="M39" s="93">
        <f t="shared" si="5"/>
        <v>0.91772725315225179</v>
      </c>
      <c r="N39" s="93">
        <f t="shared" si="6"/>
        <v>8.0474400894697928E-2</v>
      </c>
      <c r="O39" s="40">
        <f t="shared" si="7"/>
        <v>8.2245052916354933E-7</v>
      </c>
      <c r="P39" s="40">
        <f t="shared" si="8"/>
        <v>2.4017783747763057E-4</v>
      </c>
      <c r="Q39" s="40">
        <f t="shared" si="9"/>
        <v>2.4651411104827017E-4</v>
      </c>
      <c r="R39" s="9">
        <f t="shared" si="12"/>
        <v>1.4999999999999999E-4</v>
      </c>
      <c r="S39" s="9">
        <f t="shared" si="13"/>
        <v>1.2340912027162234E-5</v>
      </c>
      <c r="T39" s="9">
        <f t="shared" si="10"/>
        <v>1.2326143738253996E-4</v>
      </c>
      <c r="U39" s="9">
        <f t="shared" si="11"/>
        <v>1.3765908797283775E-4</v>
      </c>
      <c r="V39" s="100">
        <f t="shared" si="14"/>
        <v>0.89541082392512528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8"/>
      <c r="B40" s="46" t="s">
        <v>173</v>
      </c>
      <c r="C40" s="46" t="s">
        <v>174</v>
      </c>
      <c r="D40" s="47">
        <v>2.349974877229557</v>
      </c>
      <c r="E40" s="47">
        <v>2.8654572197209189</v>
      </c>
      <c r="F40" s="96">
        <v>9.9999999999999995E-7</v>
      </c>
      <c r="G40" s="168"/>
      <c r="H40" s="168"/>
      <c r="I40" s="92">
        <f t="shared" si="1"/>
        <v>5.4923561227077443E-2</v>
      </c>
      <c r="J40" s="92">
        <f t="shared" si="2"/>
        <v>2.8485753936162044</v>
      </c>
      <c r="K40" s="93">
        <f t="shared" si="3"/>
        <v>0.72604796072327882</v>
      </c>
      <c r="L40" s="93">
        <f t="shared" si="4"/>
        <v>0.17564572591395061</v>
      </c>
      <c r="M40" s="93">
        <f t="shared" si="5"/>
        <v>0.82435427408604944</v>
      </c>
      <c r="N40" s="93">
        <f t="shared" si="6"/>
        <v>0.17402526872875965</v>
      </c>
      <c r="O40" s="40">
        <f t="shared" si="7"/>
        <v>7.266731698598073E-7</v>
      </c>
      <c r="P40" s="40">
        <f t="shared" si="8"/>
        <v>5.1276044897674263E-4</v>
      </c>
      <c r="Q40" s="40">
        <f t="shared" si="9"/>
        <v>5.3308485609904015E-4</v>
      </c>
      <c r="R40" s="9">
        <f t="shared" si="12"/>
        <v>1.4999999999999999E-4</v>
      </c>
      <c r="S40" s="9">
        <f t="shared" si="13"/>
        <v>2.634685888709259E-5</v>
      </c>
      <c r="T40" s="9">
        <f t="shared" si="10"/>
        <v>1.0890719410849182E-4</v>
      </c>
      <c r="U40" s="9">
        <f t="shared" si="11"/>
        <v>1.236531411129074E-4</v>
      </c>
      <c r="V40" s="100">
        <f t="shared" si="14"/>
        <v>0.8807474935800369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8"/>
      <c r="B41" s="94" t="s">
        <v>175</v>
      </c>
      <c r="C41" s="94" t="s">
        <v>176</v>
      </c>
      <c r="D41" s="95">
        <v>1.4854320000000003</v>
      </c>
      <c r="E41" s="95">
        <v>1.5057189999999996</v>
      </c>
      <c r="F41" s="96">
        <v>9.9999999999999995E-7</v>
      </c>
      <c r="G41" s="168"/>
      <c r="H41" s="168"/>
      <c r="I41" s="92">
        <f t="shared" si="1"/>
        <v>6.6276677113325539E-3</v>
      </c>
      <c r="J41" s="92">
        <f t="shared" si="2"/>
        <v>1.4974934704256861</v>
      </c>
      <c r="K41" s="93">
        <f t="shared" si="3"/>
        <v>0.97401015375001831</v>
      </c>
      <c r="L41" s="93">
        <f t="shared" si="4"/>
        <v>1.0499142675022282E-2</v>
      </c>
      <c r="M41" s="93">
        <f t="shared" si="5"/>
        <v>0.98950085732497772</v>
      </c>
      <c r="N41" s="93">
        <f t="shared" si="6"/>
        <v>1.0196996440246575E-2</v>
      </c>
      <c r="O41" s="40">
        <f t="shared" si="7"/>
        <v>9.7484888628579935E-7</v>
      </c>
      <c r="P41" s="40">
        <f t="shared" si="8"/>
        <v>3.065002056783733E-5</v>
      </c>
      <c r="Q41" s="40">
        <f t="shared" si="9"/>
        <v>3.1236063703276056E-5</v>
      </c>
      <c r="R41" s="9">
        <f t="shared" si="12"/>
        <v>1.4999999999999999E-4</v>
      </c>
      <c r="S41" s="9">
        <f t="shared" si="13"/>
        <v>1.5748714012533421E-6</v>
      </c>
      <c r="T41" s="9">
        <f t="shared" si="10"/>
        <v>1.4610152306250272E-4</v>
      </c>
      <c r="U41" s="9">
        <f t="shared" si="11"/>
        <v>1.4842512859874666E-4</v>
      </c>
      <c r="V41" s="100">
        <f t="shared" si="14"/>
        <v>0.98434493162862224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89"/>
      <c r="B42" s="46" t="s">
        <v>177</v>
      </c>
      <c r="C42" s="46" t="s">
        <v>178</v>
      </c>
      <c r="D42" s="90">
        <v>2.0758240000000003</v>
      </c>
      <c r="E42" s="90">
        <v>2.477398</v>
      </c>
      <c r="F42" s="96">
        <v>9.9999999999999995E-7</v>
      </c>
      <c r="G42" s="168"/>
      <c r="H42" s="168"/>
      <c r="I42" s="92">
        <f t="shared" si="1"/>
        <v>2.8589842167479149E-2</v>
      </c>
      <c r="J42" s="92">
        <f t="shared" si="2"/>
        <v>2.4617287350279575</v>
      </c>
      <c r="K42" s="93">
        <f t="shared" si="3"/>
        <v>0.85625896339689467</v>
      </c>
      <c r="L42" s="93">
        <f t="shared" si="4"/>
        <v>8.5002313994454626E-2</v>
      </c>
      <c r="M42" s="93">
        <f t="shared" si="5"/>
        <v>0.91499768600554532</v>
      </c>
      <c r="N42" s="93">
        <f t="shared" si="6"/>
        <v>8.3983295854964835E-2</v>
      </c>
      <c r="O42" s="40">
        <f t="shared" si="7"/>
        <v>8.5699629888450741E-7</v>
      </c>
      <c r="P42" s="40">
        <f t="shared" si="8"/>
        <v>2.4814622992427057E-4</v>
      </c>
      <c r="Q42" s="40">
        <f t="shared" si="9"/>
        <v>2.5726277288700582E-4</v>
      </c>
      <c r="R42" s="9">
        <f t="shared" si="12"/>
        <v>1.4999999999999999E-4</v>
      </c>
      <c r="S42" s="9">
        <f t="shared" si="13"/>
        <v>1.2750347099168192E-5</v>
      </c>
      <c r="T42" s="9">
        <f t="shared" si="10"/>
        <v>1.284388445095342E-4</v>
      </c>
      <c r="U42" s="9">
        <f t="shared" si="11"/>
        <v>1.3724965290083177E-4</v>
      </c>
      <c r="V42" s="100">
        <f t="shared" si="14"/>
        <v>0.93580451239710061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89"/>
      <c r="B43" s="46" t="s">
        <v>179</v>
      </c>
      <c r="C43" s="46" t="s">
        <v>180</v>
      </c>
      <c r="D43" s="90">
        <v>2.3078000000000003</v>
      </c>
      <c r="E43" s="90">
        <v>2.5099249999999995</v>
      </c>
      <c r="F43" s="96">
        <v>9.9999999999999995E-7</v>
      </c>
      <c r="G43" s="168"/>
      <c r="H43" s="168"/>
      <c r="I43" s="92">
        <f t="shared" si="1"/>
        <v>4.5043006346732313E-2</v>
      </c>
      <c r="J43" s="92">
        <f t="shared" si="2"/>
        <v>2.4972623302127044</v>
      </c>
      <c r="K43" s="93">
        <f t="shared" si="3"/>
        <v>0.82129104425555455</v>
      </c>
      <c r="L43" s="93">
        <f t="shared" si="4"/>
        <v>8.8482279008259918E-2</v>
      </c>
      <c r="M43" s="93">
        <f t="shared" si="5"/>
        <v>0.91151772099174011</v>
      </c>
      <c r="N43" s="93">
        <f t="shared" si="6"/>
        <v>8.6818418523795141E-2</v>
      </c>
      <c r="O43" s="40">
        <f t="shared" si="7"/>
        <v>8.2199826842309581E-7</v>
      </c>
      <c r="P43" s="40">
        <f t="shared" si="8"/>
        <v>2.5830524981284062E-4</v>
      </c>
      <c r="Q43" s="40">
        <f t="shared" si="9"/>
        <v>2.6594749419774939E-4</v>
      </c>
      <c r="R43" s="9">
        <f t="shared" si="12"/>
        <v>1.4999999999999999E-4</v>
      </c>
      <c r="S43" s="9">
        <f t="shared" si="13"/>
        <v>1.3272341851238986E-5</v>
      </c>
      <c r="T43" s="9">
        <f t="shared" si="10"/>
        <v>1.2319365663833318E-4</v>
      </c>
      <c r="U43" s="9">
        <f t="shared" si="11"/>
        <v>1.36727658148761E-4</v>
      </c>
      <c r="V43" s="100">
        <f t="shared" si="14"/>
        <v>0.90101489564238191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89"/>
      <c r="B44" s="46" t="s">
        <v>181</v>
      </c>
      <c r="C44" s="46" t="s">
        <v>182</v>
      </c>
      <c r="D44" s="90">
        <v>5.676184000000001</v>
      </c>
      <c r="E44" s="90">
        <v>7.0708080000000004</v>
      </c>
      <c r="F44" s="96">
        <v>9.9999999999999995E-7</v>
      </c>
      <c r="G44" s="168"/>
      <c r="H44" s="168"/>
      <c r="I44" s="92">
        <f t="shared" si="1"/>
        <v>2.829962486439805</v>
      </c>
      <c r="J44" s="92">
        <f t="shared" si="2"/>
        <v>7.0504332537206764</v>
      </c>
      <c r="K44" s="93">
        <f t="shared" si="3"/>
        <v>2.2089731546377263E-4</v>
      </c>
      <c r="L44" s="93">
        <f t="shared" si="4"/>
        <v>0.85059059121384373</v>
      </c>
      <c r="M44" s="93">
        <f t="shared" si="5"/>
        <v>0.14940940878615627</v>
      </c>
      <c r="N44" s="93">
        <f t="shared" si="6"/>
        <v>0.84954858601252869</v>
      </c>
      <c r="O44" s="40">
        <f t="shared" si="7"/>
        <v>2.2108753295260767E-10</v>
      </c>
      <c r="P44" s="40">
        <f t="shared" si="8"/>
        <v>2.483118852888423E-3</v>
      </c>
      <c r="Q44" s="40">
        <f t="shared" si="9"/>
        <v>2.6023892336549405E-3</v>
      </c>
      <c r="R44" s="9">
        <f t="shared" si="12"/>
        <v>1.4999999999999999E-4</v>
      </c>
      <c r="S44" s="9">
        <f t="shared" si="13"/>
        <v>1.2758858868207654E-4</v>
      </c>
      <c r="T44" s="9">
        <f t="shared" si="10"/>
        <v>3.313459731956589E-8</v>
      </c>
      <c r="U44" s="9">
        <f t="shared" si="11"/>
        <v>2.2411411317923439E-5</v>
      </c>
      <c r="V44" s="100">
        <f t="shared" si="14"/>
        <v>1.4784699120249792E-3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89"/>
      <c r="B45" s="46" t="s">
        <v>183</v>
      </c>
      <c r="C45" s="46" t="s">
        <v>184</v>
      </c>
      <c r="D45" s="90">
        <v>1.2599279999999999</v>
      </c>
      <c r="E45" s="90">
        <v>1.3925860000000003</v>
      </c>
      <c r="F45" s="96">
        <v>9.9999999999999995E-7</v>
      </c>
      <c r="G45" s="168"/>
      <c r="H45" s="168"/>
      <c r="I45" s="92">
        <f t="shared" si="1"/>
        <v>3.957220636313619E-3</v>
      </c>
      <c r="J45" s="92">
        <f t="shared" si="2"/>
        <v>1.3816332663919468</v>
      </c>
      <c r="K45" s="93">
        <f t="shared" si="3"/>
        <v>0.98238414557714726</v>
      </c>
      <c r="L45" s="93">
        <f t="shared" si="4"/>
        <v>8.1098252106660169E-3</v>
      </c>
      <c r="M45" s="93">
        <f t="shared" si="5"/>
        <v>0.99189017478933394</v>
      </c>
      <c r="N45" s="93">
        <f t="shared" si="6"/>
        <v>7.9260558516277366E-3</v>
      </c>
      <c r="O45" s="40">
        <f t="shared" si="7"/>
        <v>9.832300890638332E-7</v>
      </c>
      <c r="P45" s="40">
        <f t="shared" si="8"/>
        <v>2.3674914914702932E-5</v>
      </c>
      <c r="Q45" s="40">
        <f t="shared" si="9"/>
        <v>2.4279579476952445E-5</v>
      </c>
      <c r="R45" s="9">
        <f t="shared" si="12"/>
        <v>1.4999999999999999E-4</v>
      </c>
      <c r="S45" s="9">
        <f t="shared" si="13"/>
        <v>1.2164737815999024E-6</v>
      </c>
      <c r="T45" s="9">
        <f t="shared" si="10"/>
        <v>1.4735762183657207E-4</v>
      </c>
      <c r="U45" s="9">
        <f t="shared" si="11"/>
        <v>1.4878352621840009E-4</v>
      </c>
      <c r="V45" s="100">
        <f t="shared" si="14"/>
        <v>0.99041624823614605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8"/>
      <c r="B46" s="46" t="s">
        <v>185</v>
      </c>
      <c r="C46" s="46" t="s">
        <v>186</v>
      </c>
      <c r="D46" s="91">
        <v>1.2889359999999999</v>
      </c>
      <c r="E46" s="91">
        <v>1.371977</v>
      </c>
      <c r="F46" s="96">
        <v>9.9999999999999995E-7</v>
      </c>
      <c r="G46" s="168"/>
      <c r="H46" s="168"/>
      <c r="I46" s="92">
        <f t="shared" si="1"/>
        <v>4.1980440605165602E-3</v>
      </c>
      <c r="J46" s="92">
        <f t="shared" si="2"/>
        <v>1.3621902530651464</v>
      </c>
      <c r="K46" s="93">
        <f t="shared" si="3"/>
        <v>0.98219251113632666</v>
      </c>
      <c r="L46" s="93">
        <f t="shared" si="4"/>
        <v>7.7532494015749307E-3</v>
      </c>
      <c r="M46" s="93">
        <f t="shared" si="5"/>
        <v>0.99224675059842504</v>
      </c>
      <c r="N46" s="93">
        <f t="shared" si="6"/>
        <v>7.5572432588339108E-3</v>
      </c>
      <c r="O46" s="40">
        <f t="shared" si="7"/>
        <v>9.8303828960415772E-7</v>
      </c>
      <c r="P46" s="40">
        <f t="shared" si="8"/>
        <v>2.2633967456332312E-5</v>
      </c>
      <c r="Q46" s="40">
        <f t="shared" si="9"/>
        <v>2.3149810165902286E-5</v>
      </c>
      <c r="R46" s="9">
        <f t="shared" si="12"/>
        <v>1.4999999999999999E-4</v>
      </c>
      <c r="S46" s="9">
        <f t="shared" si="13"/>
        <v>1.1629874102362396E-6</v>
      </c>
      <c r="T46" s="9">
        <f t="shared" si="10"/>
        <v>1.47328876670449E-4</v>
      </c>
      <c r="U46" s="9">
        <f t="shared" si="11"/>
        <v>1.4883701258976376E-4</v>
      </c>
      <c r="V46" s="100">
        <f t="shared" si="14"/>
        <v>0.98986719839995985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8"/>
      <c r="B47" s="46" t="s">
        <v>187</v>
      </c>
      <c r="C47" s="46" t="s">
        <v>188</v>
      </c>
      <c r="D47" s="90">
        <v>2.5448008164668257</v>
      </c>
      <c r="E47" s="90">
        <v>3.1426039783542175</v>
      </c>
      <c r="F47" s="96">
        <v>9.9999999999999995E-7</v>
      </c>
      <c r="G47" s="168"/>
      <c r="H47" s="168"/>
      <c r="I47" s="92">
        <f t="shared" si="1"/>
        <v>8.655050783580702E-2</v>
      </c>
      <c r="J47" s="92">
        <f t="shared" si="2"/>
        <v>3.1250264524098048</v>
      </c>
      <c r="K47" s="93">
        <f t="shared" si="3"/>
        <v>0.5958103779597379</v>
      </c>
      <c r="L47" s="93">
        <f t="shared" si="4"/>
        <v>0.27241523916416727</v>
      </c>
      <c r="M47" s="93">
        <f t="shared" si="5"/>
        <v>0.72758476083583279</v>
      </c>
      <c r="N47" s="93">
        <f t="shared" si="6"/>
        <v>0.27033471885328247</v>
      </c>
      <c r="O47" s="40">
        <f t="shared" si="7"/>
        <v>5.9632343785672852E-7</v>
      </c>
      <c r="P47" s="40">
        <f t="shared" si="8"/>
        <v>7.9525852174938E-4</v>
      </c>
      <c r="Q47" s="40">
        <f t="shared" si="9"/>
        <v>8.2810585928812599E-4</v>
      </c>
      <c r="R47" s="9">
        <f t="shared" si="12"/>
        <v>1.4999999999999999E-4</v>
      </c>
      <c r="S47" s="9">
        <f t="shared" si="13"/>
        <v>4.0862285874625089E-5</v>
      </c>
      <c r="T47" s="9">
        <f t="shared" si="10"/>
        <v>8.9371556693960673E-5</v>
      </c>
      <c r="U47" s="9">
        <f t="shared" si="11"/>
        <v>1.0913771412537491E-4</v>
      </c>
      <c r="V47" s="100">
        <f t="shared" si="14"/>
        <v>0.81888792898202611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8"/>
      <c r="B48" s="46" t="s">
        <v>100</v>
      </c>
      <c r="C48" s="46" t="s">
        <v>101</v>
      </c>
      <c r="D48" s="90">
        <v>0.29376000000000013</v>
      </c>
      <c r="E48" s="90">
        <v>0.18140000000000034</v>
      </c>
      <c r="F48" s="96">
        <v>9.9999999999999995E-7</v>
      </c>
      <c r="G48" s="168"/>
      <c r="H48" s="168"/>
      <c r="I48" s="92">
        <f t="shared" ref="I48:I50" si="15">IF(D48=0,"",LOG($K$15*10^D48+$K$16*10^E48+$K$14))</f>
        <v>2.1004549420906745E-4</v>
      </c>
      <c r="J48" s="92">
        <f t="shared" ref="J48:J50" si="16">IF(D48=0,"",LOG($K$21*10^D48+$K$22*10^E48+$K$20))</f>
        <v>0.18244842776560238</v>
      </c>
      <c r="K48" s="93">
        <f t="shared" ref="K48:K50" si="17">IF(D48=0,"",1/(1+10^D48*$J$15/$J$14+10^E48*$J$16/$J$14+10^J48*$J$19/$J$14))</f>
        <v>0.99847818611740413</v>
      </c>
      <c r="L48" s="93">
        <f t="shared" ref="L48:L50" si="18">IF(D48=0,"",1/(1+10^I48/10^J48*$J$13/$J$19))</f>
        <v>5.2105538878569134E-4</v>
      </c>
      <c r="M48" s="93">
        <f t="shared" ref="M48:M50" si="19">IF(D48=0,"",1-L48)</f>
        <v>0.99947894461121434</v>
      </c>
      <c r="N48" s="93">
        <f t="shared" ref="N48:N50" si="20">IF(D48=0,"",1/(1/10^E48*$J$20/$J$22+10^D48/10^E48*$J$21/$J$22+10^I48/10^E48*$J$13/$J$22+1))</f>
        <v>4.9536847474969891E-4</v>
      </c>
      <c r="O48" s="40">
        <f t="shared" ref="O48:O50" si="21">IF(D48=0,"",F48*K48*$J$7/$J$14)</f>
        <v>9.9933798838716484E-7</v>
      </c>
      <c r="P48" s="40">
        <f t="shared" ref="P48:P50" si="22">IF(D48=0,"",O48*10^J48)</f>
        <v>1.5211107113781571E-6</v>
      </c>
      <c r="Q48" s="40">
        <f t="shared" ref="Q48:Q50" si="23">IF(D48=0,"",F48*N48*$J$7/$J$22)</f>
        <v>1.5174430357555494E-6</v>
      </c>
      <c r="R48" s="9">
        <f t="shared" si="12"/>
        <v>1.4999999999999999E-4</v>
      </c>
      <c r="S48" s="9">
        <f t="shared" si="13"/>
        <v>7.8158308317853689E-8</v>
      </c>
      <c r="T48" s="9">
        <f t="shared" si="10"/>
        <v>1.4977172791761061E-4</v>
      </c>
      <c r="U48" s="9">
        <f t="shared" si="11"/>
        <v>1.4992184169168213E-4</v>
      </c>
      <c r="V48" s="100">
        <f t="shared" si="14"/>
        <v>0.99899871978373744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8"/>
      <c r="B49" s="46" t="s">
        <v>189</v>
      </c>
      <c r="C49" s="46" t="s">
        <v>190</v>
      </c>
      <c r="D49" s="90">
        <v>1.6175039999999998</v>
      </c>
      <c r="E49" s="90">
        <v>1.8999029999999997</v>
      </c>
      <c r="F49" s="96">
        <v>9.9999999999999995E-7</v>
      </c>
      <c r="G49" s="168"/>
      <c r="H49" s="168"/>
      <c r="I49" s="92">
        <f t="shared" si="15"/>
        <v>9.6186457475178466E-3</v>
      </c>
      <c r="J49" s="92">
        <f t="shared" si="16"/>
        <v>1.885940844009744</v>
      </c>
      <c r="K49" s="93">
        <f t="shared" si="17"/>
        <v>0.95302509606935448</v>
      </c>
      <c r="L49" s="93">
        <f t="shared" si="18"/>
        <v>2.5127082395052142E-2</v>
      </c>
      <c r="M49" s="93">
        <f t="shared" si="19"/>
        <v>0.97487291760494788</v>
      </c>
      <c r="N49" s="93">
        <f t="shared" si="20"/>
        <v>2.4728462824245533E-2</v>
      </c>
      <c r="O49" s="40">
        <f t="shared" si="21"/>
        <v>9.5384575810497263E-7</v>
      </c>
      <c r="P49" s="40">
        <f t="shared" si="22"/>
        <v>7.3353188546555024E-5</v>
      </c>
      <c r="Q49" s="40">
        <f t="shared" si="23"/>
        <v>7.5749741072141542E-5</v>
      </c>
      <c r="R49" s="9">
        <f t="shared" si="12"/>
        <v>1.4999999999999999E-4</v>
      </c>
      <c r="S49" s="9">
        <f t="shared" si="13"/>
        <v>3.7690623592578211E-6</v>
      </c>
      <c r="T49" s="9">
        <f t="shared" si="10"/>
        <v>1.4295376441040317E-4</v>
      </c>
      <c r="U49" s="9">
        <f t="shared" si="11"/>
        <v>1.4623093764074216E-4</v>
      </c>
      <c r="V49" s="100">
        <f t="shared" si="14"/>
        <v>0.9775890568493083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8"/>
      <c r="B50" s="46" t="s">
        <v>191</v>
      </c>
      <c r="C50" s="46" t="s">
        <v>192</v>
      </c>
      <c r="D50" s="90">
        <v>2.5898400000000001</v>
      </c>
      <c r="E50" s="90">
        <v>2.96393</v>
      </c>
      <c r="F50" s="96">
        <v>9.9999999999999995E-7</v>
      </c>
      <c r="G50" s="168"/>
      <c r="H50" s="168"/>
      <c r="I50" s="92">
        <f t="shared" si="15"/>
        <v>8.6760595853303396E-2</v>
      </c>
      <c r="J50" s="92">
        <f t="shared" si="16"/>
        <v>2.9485807923787242</v>
      </c>
      <c r="K50" s="93">
        <f t="shared" si="17"/>
        <v>0.65516950068558744</v>
      </c>
      <c r="L50" s="93">
        <f t="shared" si="18"/>
        <v>0.199540633731218</v>
      </c>
      <c r="M50" s="93">
        <f t="shared" si="19"/>
        <v>0.800459366268782</v>
      </c>
      <c r="N50" s="93">
        <f t="shared" si="20"/>
        <v>0.1970032792958368</v>
      </c>
      <c r="O50" s="40">
        <f t="shared" si="21"/>
        <v>6.5573367547838674E-7</v>
      </c>
      <c r="P50" s="40">
        <f t="shared" si="22"/>
        <v>5.8251656514117674E-4</v>
      </c>
      <c r="Q50" s="40">
        <f t="shared" si="23"/>
        <v>6.034725046633676E-4</v>
      </c>
      <c r="R50" s="9">
        <f t="shared" si="12"/>
        <v>1.4999999999999999E-4</v>
      </c>
      <c r="S50" s="9">
        <f t="shared" si="13"/>
        <v>2.9931095059682695E-5</v>
      </c>
      <c r="T50" s="9">
        <f t="shared" si="10"/>
        <v>9.8275425102838107E-5</v>
      </c>
      <c r="U50" s="9">
        <f t="shared" si="11"/>
        <v>1.2006890494031729E-4</v>
      </c>
      <c r="V50" s="100">
        <f t="shared" si="14"/>
        <v>0.81849189139925882</v>
      </c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8"/>
      <c r="B51" s="46" t="s">
        <v>193</v>
      </c>
      <c r="C51" s="46" t="s">
        <v>194</v>
      </c>
      <c r="D51" s="90">
        <v>5.0487680000000008</v>
      </c>
      <c r="E51" s="90">
        <v>6.0352960000000007</v>
      </c>
      <c r="F51" s="96">
        <v>9.9999999999999995E-7</v>
      </c>
      <c r="G51" s="168"/>
      <c r="H51" s="168"/>
      <c r="I51" s="92">
        <f t="shared" ref="I51:I58" si="24">IF(D51=0,"",LOG($K$15*10^D51+$K$16*10^E51+$K$14))</f>
        <v>1.9819141928346475</v>
      </c>
      <c r="J51" s="92">
        <f t="shared" ref="J51:J58" si="25">IF(D51=0,"",LOG($K$21*10^D51+$K$22*10^E51+$K$20))</f>
        <v>6.0157499789101383</v>
      </c>
      <c r="K51" s="93">
        <f t="shared" ref="K51:K58" si="26">IF(D51=0,"",1/(1+10^D51*$J$15/$J$14+10^E51*$J$16/$J$14+10^J51*$J$19/$J$14))</f>
        <v>2.2149534227546945E-3</v>
      </c>
      <c r="L51" s="93">
        <f t="shared" ref="L51:L58" si="27">IF(D51=0,"",1/(1+10^I51/10^J51*$J$13/$J$19))</f>
        <v>0.78742909880502643</v>
      </c>
      <c r="M51" s="93">
        <f t="shared" ref="M51:M58" si="28">IF(D51=0,"",1-L51)</f>
        <v>0.21257090119497357</v>
      </c>
      <c r="N51" s="93">
        <f t="shared" ref="N51:N58" si="29">IF(D51=0,"",1/(1/10^E51*$J$20/$J$22+10^D51/10^E51*$J$21/$J$22+10^I51/10^E51*$J$13/$J$22+1))</f>
        <v>0.78496516016652096</v>
      </c>
      <c r="O51" s="40">
        <f t="shared" ref="O51:O58" si="30">IF(D51=0,"",F51*K51*$J$7/$J$14)</f>
        <v>2.2168607473280072E-9</v>
      </c>
      <c r="P51" s="40">
        <f t="shared" ref="P51:P58" si="31">IF(D51=0,"",O51*10^J51)</f>
        <v>2.298732269969505E-3</v>
      </c>
      <c r="Q51" s="40">
        <f t="shared" ref="Q51:Q58" si="32">IF(D51=0,"",F51*N51*$J$7/$J$22)</f>
        <v>2.4045533301393245E-3</v>
      </c>
      <c r="R51" s="9">
        <f t="shared" si="12"/>
        <v>1.4999999999999999E-4</v>
      </c>
      <c r="S51" s="9">
        <f t="shared" si="13"/>
        <v>1.1811436482075396E-4</v>
      </c>
      <c r="T51" s="9">
        <f t="shared" si="10"/>
        <v>3.3224301341320415E-7</v>
      </c>
      <c r="U51" s="9">
        <f t="shared" si="11"/>
        <v>3.188563517924603E-5</v>
      </c>
      <c r="V51" s="100">
        <f t="shared" si="14"/>
        <v>1.0419833619292522E-2</v>
      </c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195</v>
      </c>
      <c r="C52" s="46" t="s">
        <v>196</v>
      </c>
      <c r="D52" s="47">
        <v>2.7330160000000001</v>
      </c>
      <c r="E52" s="47">
        <v>3.3310319999999995</v>
      </c>
      <c r="F52" s="96">
        <v>9.9999999999999995E-7</v>
      </c>
      <c r="G52" s="168"/>
      <c r="H52" s="168"/>
      <c r="I52" s="92">
        <f t="shared" si="24"/>
        <v>0.12726341031571042</v>
      </c>
      <c r="J52" s="92">
        <f t="shared" si="25"/>
        <v>3.3134507884219753</v>
      </c>
      <c r="K52" s="93">
        <f t="shared" si="26"/>
        <v>0.48857551566956076</v>
      </c>
      <c r="L52" s="93">
        <f t="shared" si="27"/>
        <v>0.34473023090544153</v>
      </c>
      <c r="M52" s="93">
        <f t="shared" si="28"/>
        <v>0.65526976909455847</v>
      </c>
      <c r="N52" s="93">
        <f t="shared" si="29"/>
        <v>0.34210032162122583</v>
      </c>
      <c r="O52" s="40">
        <f t="shared" si="30"/>
        <v>4.8899623426227814E-7</v>
      </c>
      <c r="P52" s="40">
        <f t="shared" si="31"/>
        <v>1.0063668048576804E-3</v>
      </c>
      <c r="Q52" s="40">
        <f t="shared" si="32"/>
        <v>1.0479426468068317E-3</v>
      </c>
      <c r="R52" s="9">
        <f t="shared" si="12"/>
        <v>1.4999999999999999E-4</v>
      </c>
      <c r="S52" s="9">
        <f t="shared" si="13"/>
        <v>5.1709534635816225E-5</v>
      </c>
      <c r="T52" s="9">
        <f t="shared" si="10"/>
        <v>7.3286327350434102E-5</v>
      </c>
      <c r="U52" s="9">
        <f t="shared" si="11"/>
        <v>9.8290465364183762E-5</v>
      </c>
      <c r="V52" s="100">
        <f t="shared" si="14"/>
        <v>0.74560973008821507</v>
      </c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197</v>
      </c>
      <c r="C53" s="46" t="s">
        <v>198</v>
      </c>
      <c r="D53" s="47">
        <v>3.4406639999999999</v>
      </c>
      <c r="E53" s="47">
        <v>4.222847999999999</v>
      </c>
      <c r="F53" s="96">
        <v>9.9999999999999995E-7</v>
      </c>
      <c r="G53" s="168"/>
      <c r="H53" s="168"/>
      <c r="I53" s="92">
        <f t="shared" si="24"/>
        <v>0.47104615060046062</v>
      </c>
      <c r="J53" s="92">
        <f t="shared" si="25"/>
        <v>4.2041181793483684</v>
      </c>
      <c r="K53" s="93">
        <f t="shared" si="26"/>
        <v>0.11840841926743087</v>
      </c>
      <c r="L53" s="93">
        <f t="shared" si="27"/>
        <v>0.6495276530723807</v>
      </c>
      <c r="M53" s="93">
        <f t="shared" si="28"/>
        <v>0.3504723469276193</v>
      </c>
      <c r="N53" s="93">
        <f t="shared" si="29"/>
        <v>0.64627947989581813</v>
      </c>
      <c r="O53" s="40">
        <f t="shared" si="30"/>
        <v>1.1851038226377913E-7</v>
      </c>
      <c r="P53" s="40">
        <f t="shared" si="31"/>
        <v>1.8961582428448445E-3</v>
      </c>
      <c r="Q53" s="40">
        <f t="shared" si="32"/>
        <v>1.979722864712282E-3</v>
      </c>
      <c r="R53" s="9">
        <f t="shared" si="12"/>
        <v>1.4999999999999999E-4</v>
      </c>
      <c r="S53" s="9">
        <f t="shared" si="13"/>
        <v>9.74291479608571E-5</v>
      </c>
      <c r="T53" s="9">
        <f t="shared" si="10"/>
        <v>1.776126289011463E-5</v>
      </c>
      <c r="U53" s="9">
        <f t="shared" si="11"/>
        <v>5.2570852039142894E-5</v>
      </c>
      <c r="V53" s="100">
        <f t="shared" si="14"/>
        <v>0.33785381444626489</v>
      </c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199</v>
      </c>
      <c r="C54" s="46" t="s">
        <v>200</v>
      </c>
      <c r="D54" s="47">
        <v>2.8976480000000002</v>
      </c>
      <c r="E54" s="47">
        <v>3.5312959999999993</v>
      </c>
      <c r="F54" s="96">
        <v>9.9999999999999995E-7</v>
      </c>
      <c r="G54" s="168"/>
      <c r="H54" s="168"/>
      <c r="I54" s="92">
        <f t="shared" si="24"/>
        <v>0.17835694544431213</v>
      </c>
      <c r="J54" s="92">
        <f t="shared" si="25"/>
        <v>3.5134526251640912</v>
      </c>
      <c r="K54" s="93">
        <f t="shared" si="26"/>
        <v>0.38067617434638784</v>
      </c>
      <c r="L54" s="93">
        <f t="shared" si="27"/>
        <v>0.4257015231692895</v>
      </c>
      <c r="M54" s="93">
        <f t="shared" si="28"/>
        <v>0.57429847683071045</v>
      </c>
      <c r="N54" s="93">
        <f t="shared" si="29"/>
        <v>0.4227089853733505</v>
      </c>
      <c r="O54" s="40">
        <f t="shared" si="30"/>
        <v>3.8100397944348222E-7</v>
      </c>
      <c r="P54" s="40">
        <f t="shared" si="31"/>
        <v>1.2427453216670103E-3</v>
      </c>
      <c r="Q54" s="40">
        <f t="shared" si="32"/>
        <v>1.294868040058851E-3</v>
      </c>
      <c r="R54" s="9">
        <f t="shared" si="12"/>
        <v>1.4999999999999999E-4</v>
      </c>
      <c r="S54" s="9">
        <f t="shared" si="13"/>
        <v>6.3855228475393421E-5</v>
      </c>
      <c r="T54" s="9">
        <f t="shared" si="10"/>
        <v>5.7101426151958171E-5</v>
      </c>
      <c r="U54" s="9">
        <f t="shared" si="11"/>
        <v>8.6144771524606566E-5</v>
      </c>
      <c r="V54" s="100">
        <f t="shared" si="14"/>
        <v>0.66285422947169359</v>
      </c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102</v>
      </c>
      <c r="C55" s="46" t="s">
        <v>103</v>
      </c>
      <c r="D55" s="47">
        <v>1.423632</v>
      </c>
      <c r="E55" s="47">
        <v>1.638849</v>
      </c>
      <c r="F55" s="96">
        <v>9.9999999999999995E-7</v>
      </c>
      <c r="G55" s="168"/>
      <c r="H55" s="168"/>
      <c r="I55" s="54">
        <f t="shared" si="24"/>
        <v>5.9812805986470914E-3</v>
      </c>
      <c r="J55" s="54">
        <f t="shared" si="25"/>
        <v>1.6261045420364111</v>
      </c>
      <c r="K55" s="55">
        <f t="shared" si="26"/>
        <v>0.97192348344154056</v>
      </c>
      <c r="L55" s="55">
        <f t="shared" si="27"/>
        <v>1.4087486095514386E-2</v>
      </c>
      <c r="M55" s="55">
        <f t="shared" si="28"/>
        <v>0.98591251390448564</v>
      </c>
      <c r="N55" s="55">
        <f t="shared" si="29"/>
        <v>1.38251820563414E-2</v>
      </c>
      <c r="O55" s="56">
        <f t="shared" si="30"/>
        <v>9.7276041911897014E-7</v>
      </c>
      <c r="P55" s="56">
        <f t="shared" si="31"/>
        <v>4.1125428231760067E-5</v>
      </c>
      <c r="Q55" s="56">
        <f t="shared" si="32"/>
        <v>4.2350143981302263E-5</v>
      </c>
      <c r="R55" s="9">
        <f t="shared" si="12"/>
        <v>1.4999999999999999E-4</v>
      </c>
      <c r="S55" s="9">
        <f t="shared" si="13"/>
        <v>2.1131229143271576E-6</v>
      </c>
      <c r="T55" s="9">
        <f t="shared" si="10"/>
        <v>1.4578852251623107E-4</v>
      </c>
      <c r="U55" s="9">
        <f t="shared" si="11"/>
        <v>1.4788687708567282E-4</v>
      </c>
      <c r="V55" s="100">
        <f t="shared" si="14"/>
        <v>0.98581108337133827</v>
      </c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201</v>
      </c>
      <c r="C56" s="46" t="s">
        <v>202</v>
      </c>
      <c r="D56" s="47">
        <v>2.6912000000000003</v>
      </c>
      <c r="E56" s="47">
        <v>3.3249699999999995</v>
      </c>
      <c r="F56" s="96">
        <v>9.9999999999999995E-7</v>
      </c>
      <c r="G56" s="168"/>
      <c r="H56" s="168"/>
      <c r="I56" s="54">
        <f t="shared" si="24"/>
        <v>0.11910186422699467</v>
      </c>
      <c r="J56" s="54">
        <f t="shared" si="25"/>
        <v>3.3071272258548747</v>
      </c>
      <c r="K56" s="55">
        <f t="shared" si="26"/>
        <v>0.49711716334537642</v>
      </c>
      <c r="L56" s="55">
        <f t="shared" si="27"/>
        <v>0.34568685569994051</v>
      </c>
      <c r="M56" s="55">
        <f t="shared" si="28"/>
        <v>0.65431314430005949</v>
      </c>
      <c r="N56" s="55">
        <f t="shared" si="29"/>
        <v>0.3432563191942492</v>
      </c>
      <c r="O56" s="56">
        <f t="shared" si="30"/>
        <v>4.9754523725958318E-7</v>
      </c>
      <c r="P56" s="56">
        <f t="shared" si="31"/>
        <v>1.009159468081207E-3</v>
      </c>
      <c r="Q56" s="56">
        <f t="shared" si="32"/>
        <v>1.0514837693367241E-3</v>
      </c>
      <c r="R56" s="9">
        <f t="shared" si="12"/>
        <v>1.4999999999999999E-4</v>
      </c>
      <c r="S56" s="9">
        <f t="shared" si="13"/>
        <v>5.1853028354991071E-5</v>
      </c>
      <c r="T56" s="9">
        <f t="shared" si="10"/>
        <v>7.4567574501806458E-5</v>
      </c>
      <c r="U56" s="9">
        <f t="shared" si="11"/>
        <v>9.8146971645008909E-5</v>
      </c>
      <c r="V56" s="100">
        <f t="shared" si="14"/>
        <v>0.75975420588128206</v>
      </c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7" t="s">
        <v>104</v>
      </c>
      <c r="C57" s="87" t="s">
        <v>105</v>
      </c>
      <c r="D57" s="90">
        <v>2.1493200000000003</v>
      </c>
      <c r="E57" s="90">
        <v>2.6108399999999996</v>
      </c>
      <c r="F57" s="96">
        <v>9.9999999999999995E-7</v>
      </c>
      <c r="G57" s="168"/>
      <c r="H57" s="168"/>
      <c r="I57" s="54">
        <f t="shared" si="24"/>
        <v>3.4503381608646556E-2</v>
      </c>
      <c r="J57" s="54">
        <f t="shared" si="25"/>
        <v>2.5944953006708373</v>
      </c>
      <c r="K57" s="55">
        <f t="shared" si="26"/>
        <v>0.82100529283829193</v>
      </c>
      <c r="L57" s="55">
        <f t="shared" si="27"/>
        <v>0.11064661709530087</v>
      </c>
      <c r="M57" s="55">
        <f t="shared" si="28"/>
        <v>0.88935338290469912</v>
      </c>
      <c r="N57" s="55">
        <f t="shared" si="29"/>
        <v>0.10949032385228905</v>
      </c>
      <c r="O57" s="56">
        <f t="shared" si="30"/>
        <v>8.2171227094165219E-7</v>
      </c>
      <c r="P57" s="56">
        <f t="shared" si="31"/>
        <v>3.2300933463840132E-4</v>
      </c>
      <c r="Q57" s="56">
        <f t="shared" si="32"/>
        <v>3.3539746245706502E-4</v>
      </c>
      <c r="R57" s="9">
        <f t="shared" si="12"/>
        <v>1.4999999999999999E-4</v>
      </c>
      <c r="S57" s="9">
        <f t="shared" si="13"/>
        <v>1.659699256429513E-5</v>
      </c>
      <c r="T57" s="9">
        <f t="shared" si="10"/>
        <v>1.2315079392574379E-4</v>
      </c>
      <c r="U57" s="9">
        <f t="shared" si="11"/>
        <v>1.3340300743570487E-4</v>
      </c>
      <c r="V57" s="100">
        <f t="shared" si="14"/>
        <v>0.92314855783965555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144</v>
      </c>
      <c r="C58" s="46" t="s">
        <v>145</v>
      </c>
      <c r="D58" s="47">
        <v>2.0184960000000003</v>
      </c>
      <c r="E58" s="47">
        <v>2.3512620000000002</v>
      </c>
      <c r="F58" s="96">
        <v>9.9999999999999995E-7</v>
      </c>
      <c r="G58" s="168"/>
      <c r="H58" s="168"/>
      <c r="I58" s="54">
        <f t="shared" si="24"/>
        <v>2.4527660835054643E-2</v>
      </c>
      <c r="J58" s="54">
        <f t="shared" si="25"/>
        <v>2.3364900872934777</v>
      </c>
      <c r="K58" s="55">
        <f t="shared" si="26"/>
        <v>0.88257117667303664</v>
      </c>
      <c r="L58" s="55">
        <f t="shared" si="27"/>
        <v>6.5665417531788214E-2</v>
      </c>
      <c r="M58" s="55">
        <f t="shared" si="28"/>
        <v>0.93433458246821177</v>
      </c>
      <c r="N58" s="55">
        <f t="shared" si="29"/>
        <v>6.4744297564244366E-2</v>
      </c>
      <c r="O58" s="56">
        <f t="shared" si="30"/>
        <v>8.8333116994227319E-7</v>
      </c>
      <c r="P58" s="56">
        <f t="shared" si="31"/>
        <v>1.9169626132741955E-4</v>
      </c>
      <c r="Q58" s="56">
        <f t="shared" si="32"/>
        <v>1.9832869561065521E-4</v>
      </c>
      <c r="R58" s="9">
        <f t="shared" si="12"/>
        <v>1.4999999999999999E-4</v>
      </c>
      <c r="S58" s="9">
        <f t="shared" si="13"/>
        <v>9.8498126297682319E-6</v>
      </c>
      <c r="T58" s="9">
        <f t="shared" si="10"/>
        <v>1.3238567650095549E-4</v>
      </c>
      <c r="U58" s="9">
        <f t="shared" si="11"/>
        <v>1.4015018737023176E-4</v>
      </c>
      <c r="V58" s="100">
        <f t="shared" si="14"/>
        <v>0.94459864082261324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146</v>
      </c>
      <c r="C59" s="46" t="s">
        <v>147</v>
      </c>
      <c r="D59" s="47">
        <v>1.4665360000000003</v>
      </c>
      <c r="E59" s="47">
        <v>1.8522119999999997</v>
      </c>
      <c r="F59" s="96">
        <v>9.9999999999999995E-7</v>
      </c>
      <c r="G59" s="168"/>
      <c r="H59" s="168"/>
      <c r="I59" s="54">
        <f t="shared" ref="I59:I90" si="33">IF(D59=0,"",LOG($K$15*10^D59+$K$16*10^E59+$K$14))</f>
        <v>6.9959414880738915E-3</v>
      </c>
      <c r="J59" s="54">
        <f t="shared" ref="J59:J90" si="34">IF(D59=0,"",LOG($K$21*10^D59+$K$22*10^E59+$K$20))</f>
        <v>1.8368226563727335</v>
      </c>
      <c r="K59" s="55">
        <f t="shared" ref="K59:K90" si="35">IF(D59=0,"",1/(1+10^D59*$J$15/$J$14+10^E59*$J$16/$J$14+10^J59*$J$19/$J$14))</f>
        <v>0.96125007651664474</v>
      </c>
      <c r="L59" s="55">
        <f t="shared" ref="L59:L90" si="36">IF(D59=0,"",1/(1+10^I59/10^J59*$J$13/$J$19))</f>
        <v>2.2633719351591558E-2</v>
      </c>
      <c r="M59" s="55">
        <f t="shared" ref="M59:M90" si="37">IF(D59=0,"",1-L59)</f>
        <v>0.97736628064840847</v>
      </c>
      <c r="N59" s="55">
        <f t="shared" ref="N59:N90" si="38">IF(D59=0,"",1/(1/10^E59*$J$20/$J$22+10^D59/10^E59*$J$21/$J$22+10^I59/10^E59*$J$13/$J$22+1))</f>
        <v>2.234797468759607E-2</v>
      </c>
      <c r="O59" s="56">
        <f t="shared" ref="O59:O90" si="39">IF(D59=0,"",F59*K59*$J$7/$J$14)</f>
        <v>9.6207782118757289E-7</v>
      </c>
      <c r="P59" s="56">
        <f t="shared" ref="P59:P90" si="40">IF(D59=0,"",O59*10^J59)</f>
        <v>6.6074343889365882E-5</v>
      </c>
      <c r="Q59" s="56">
        <f t="shared" ref="Q59:Q90" si="41">IF(D59=0,"",F59*N59*$J$7/$J$22)</f>
        <v>6.8457684090754826E-5</v>
      </c>
      <c r="R59" s="9">
        <f t="shared" si="12"/>
        <v>1.4999999999999999E-4</v>
      </c>
      <c r="S59" s="9">
        <f t="shared" si="13"/>
        <v>3.3950579027387333E-6</v>
      </c>
      <c r="T59" s="9">
        <f t="shared" si="10"/>
        <v>1.4418751147749669E-4</v>
      </c>
      <c r="U59" s="9">
        <f t="shared" si="11"/>
        <v>1.4660494209726125E-4</v>
      </c>
      <c r="V59" s="100">
        <f t="shared" si="14"/>
        <v>0.98351057893968696</v>
      </c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148</v>
      </c>
      <c r="C60" s="46" t="s">
        <v>149</v>
      </c>
      <c r="D60" s="47">
        <v>2.7203999877244023</v>
      </c>
      <c r="E60" s="47">
        <v>3.3923999825375306</v>
      </c>
      <c r="F60" s="96">
        <v>9.9999999999999995E-7</v>
      </c>
      <c r="G60" s="168"/>
      <c r="H60" s="168"/>
      <c r="I60" s="54">
        <f t="shared" si="33"/>
        <v>0.12885708410514962</v>
      </c>
      <c r="J60" s="54">
        <f t="shared" si="34"/>
        <v>3.3742995972030507</v>
      </c>
      <c r="K60" s="55">
        <f t="shared" si="35"/>
        <v>0.46343142139092913</v>
      </c>
      <c r="L60" s="55">
        <f t="shared" si="36"/>
        <v>0.37616809373739007</v>
      </c>
      <c r="M60" s="55">
        <f t="shared" si="37"/>
        <v>0.62383190626260987</v>
      </c>
      <c r="N60" s="55">
        <f t="shared" si="38"/>
        <v>0.3737448717057828</v>
      </c>
      <c r="O60" s="56">
        <f t="shared" si="39"/>
        <v>4.6383048808415327E-7</v>
      </c>
      <c r="P60" s="56">
        <f t="shared" si="40"/>
        <v>1.0981429786114125E-3</v>
      </c>
      <c r="Q60" s="56">
        <f t="shared" si="41"/>
        <v>1.1448781697419393E-3</v>
      </c>
      <c r="R60" s="9">
        <f t="shared" si="12"/>
        <v>1.4999999999999999E-4</v>
      </c>
      <c r="S60" s="9">
        <f t="shared" si="13"/>
        <v>5.6425214060608509E-5</v>
      </c>
      <c r="T60" s="9">
        <f t="shared" si="10"/>
        <v>6.9514713208639363E-5</v>
      </c>
      <c r="U60" s="9">
        <f t="shared" si="11"/>
        <v>9.3574785939391471E-5</v>
      </c>
      <c r="V60" s="100">
        <f t="shared" si="14"/>
        <v>0.74287867731446533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150</v>
      </c>
      <c r="C61" s="46" t="s">
        <v>151</v>
      </c>
      <c r="D61" s="47">
        <v>3.4658999877244021</v>
      </c>
      <c r="E61" s="47">
        <v>4.4528999825375299</v>
      </c>
      <c r="F61" s="96">
        <v>9.9999999999999995E-7</v>
      </c>
      <c r="G61" s="168"/>
      <c r="H61" s="168"/>
      <c r="I61" s="54">
        <f t="shared" si="33"/>
        <v>0.54169315053805034</v>
      </c>
      <c r="J61" s="54">
        <f t="shared" si="34"/>
        <v>4.4333527660079728</v>
      </c>
      <c r="K61" s="55">
        <f t="shared" si="35"/>
        <v>7.8234994462146559E-2</v>
      </c>
      <c r="L61" s="55">
        <f t="shared" si="36"/>
        <v>0.72752966260461416</v>
      </c>
      <c r="M61" s="55">
        <f t="shared" si="37"/>
        <v>0.27247033739538584</v>
      </c>
      <c r="N61" s="55">
        <f t="shared" si="38"/>
        <v>0.72525515118993111</v>
      </c>
      <c r="O61" s="56">
        <f t="shared" si="39"/>
        <v>7.8302363611266225E-8</v>
      </c>
      <c r="P61" s="56">
        <f t="shared" si="40"/>
        <v>2.1238685683920237E-3</v>
      </c>
      <c r="Q61" s="56">
        <f t="shared" si="41"/>
        <v>2.2216459755035464E-3</v>
      </c>
      <c r="R61" s="9">
        <f t="shared" si="12"/>
        <v>1.4999999999999999E-4</v>
      </c>
      <c r="S61" s="9">
        <f t="shared" si="13"/>
        <v>1.0912944939069212E-4</v>
      </c>
      <c r="T61" s="9">
        <f t="shared" si="10"/>
        <v>1.1735249169321982E-5</v>
      </c>
      <c r="U61" s="9">
        <f t="shared" si="11"/>
        <v>4.087055060930787E-5</v>
      </c>
      <c r="V61" s="100">
        <f t="shared" si="14"/>
        <v>0.2871321524758072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152</v>
      </c>
      <c r="C62" s="46" t="s">
        <v>153</v>
      </c>
      <c r="D62" s="47">
        <v>4.1687999877244026</v>
      </c>
      <c r="E62" s="47">
        <v>5.4527999825375302</v>
      </c>
      <c r="F62" s="96">
        <v>9.9999999999999995E-7</v>
      </c>
      <c r="G62" s="168"/>
      <c r="H62" s="168"/>
      <c r="I62" s="54">
        <f t="shared" si="33"/>
        <v>1.2755126419323455</v>
      </c>
      <c r="J62" s="54">
        <f t="shared" si="34"/>
        <v>5.4325795788243934</v>
      </c>
      <c r="K62" s="55">
        <f t="shared" si="35"/>
        <v>8.9528743785300766E-3</v>
      </c>
      <c r="L62" s="55">
        <f t="shared" si="36"/>
        <v>0.83107257753945707</v>
      </c>
      <c r="M62" s="55">
        <f t="shared" si="37"/>
        <v>0.16892742246054293</v>
      </c>
      <c r="N62" s="55">
        <f t="shared" si="38"/>
        <v>0.82975954456171064</v>
      </c>
      <c r="O62" s="56">
        <f t="shared" si="39"/>
        <v>8.9605838125653612E-9</v>
      </c>
      <c r="P62" s="56">
        <f t="shared" si="40"/>
        <v>2.4261401510000794E-3</v>
      </c>
      <c r="Q62" s="56">
        <f t="shared" si="41"/>
        <v>2.5417702304997747E-3</v>
      </c>
      <c r="R62" s="9">
        <f t="shared" si="12"/>
        <v>1.4999999999999999E-4</v>
      </c>
      <c r="S62" s="9">
        <f t="shared" si="13"/>
        <v>1.2466088663091855E-4</v>
      </c>
      <c r="T62" s="9">
        <f t="shared" si="10"/>
        <v>1.3429311567795113E-6</v>
      </c>
      <c r="U62" s="9">
        <f t="shared" si="11"/>
        <v>2.5339113369081439E-5</v>
      </c>
      <c r="V62" s="100">
        <f t="shared" si="14"/>
        <v>5.2998348332824623E-2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154</v>
      </c>
      <c r="C63" s="46" t="s">
        <v>155</v>
      </c>
      <c r="D63" s="47">
        <v>4.999499987724402</v>
      </c>
      <c r="E63" s="47">
        <v>6.6344999825375304</v>
      </c>
      <c r="F63" s="96">
        <v>9.9999999999999995E-7</v>
      </c>
      <c r="G63" s="168"/>
      <c r="H63" s="168"/>
      <c r="I63" s="54">
        <f t="shared" si="33"/>
        <v>2.3278344887119857</v>
      </c>
      <c r="J63" s="54">
        <f t="shared" si="34"/>
        <v>6.6138990365335042</v>
      </c>
      <c r="K63" s="55">
        <f t="shared" si="35"/>
        <v>6.1647772517638296E-4</v>
      </c>
      <c r="L63" s="55">
        <f t="shared" si="36"/>
        <v>0.86878698926998665</v>
      </c>
      <c r="M63" s="55">
        <f t="shared" si="37"/>
        <v>0.13121301073001335</v>
      </c>
      <c r="N63" s="55">
        <f t="shared" si="38"/>
        <v>0.86817475877730776</v>
      </c>
      <c r="O63" s="56">
        <f t="shared" si="39"/>
        <v>6.1700858198901369E-10</v>
      </c>
      <c r="P63" s="56">
        <f t="shared" si="40"/>
        <v>2.5362393782440945E-3</v>
      </c>
      <c r="Q63" s="56">
        <f t="shared" si="41"/>
        <v>2.6594460662662106E-3</v>
      </c>
      <c r="R63" s="9">
        <f t="shared" si="12"/>
        <v>1.4999999999999999E-4</v>
      </c>
      <c r="S63" s="9">
        <f t="shared" si="13"/>
        <v>1.30318048390498E-4</v>
      </c>
      <c r="T63" s="9">
        <f t="shared" si="10"/>
        <v>9.2471658776457433E-8</v>
      </c>
      <c r="U63" s="9">
        <f t="shared" si="11"/>
        <v>1.9681951609502E-5</v>
      </c>
      <c r="V63" s="100">
        <f t="shared" si="14"/>
        <v>4.6982972324662265E-3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156</v>
      </c>
      <c r="C64" s="46" t="s">
        <v>157</v>
      </c>
      <c r="D64" s="47">
        <v>4.4669999877244022</v>
      </c>
      <c r="E64" s="47">
        <v>5.8769999825375301</v>
      </c>
      <c r="F64" s="96">
        <v>9.9999999999999995E-7</v>
      </c>
      <c r="G64" s="168"/>
      <c r="H64" s="168"/>
      <c r="I64" s="54">
        <f t="shared" si="33"/>
        <v>1.6404345211947191</v>
      </c>
      <c r="J64" s="54">
        <f t="shared" si="34"/>
        <v>5.8566067394427304</v>
      </c>
      <c r="K64" s="55">
        <f t="shared" si="35"/>
        <v>3.4464501313242507E-3</v>
      </c>
      <c r="L64" s="55">
        <f t="shared" si="36"/>
        <v>0.8493283504856235</v>
      </c>
      <c r="M64" s="55">
        <f t="shared" si="37"/>
        <v>0.1506716495143765</v>
      </c>
      <c r="N64" s="55">
        <f t="shared" si="38"/>
        <v>0.84832402134397411</v>
      </c>
      <c r="O64" s="56">
        <f t="shared" si="39"/>
        <v>3.4494179133817156E-9</v>
      </c>
      <c r="P64" s="56">
        <f t="shared" si="40"/>
        <v>2.479434008756002E-3</v>
      </c>
      <c r="Q64" s="56">
        <f t="shared" si="41"/>
        <v>2.5986380722006932E-3</v>
      </c>
      <c r="R64" s="9">
        <f t="shared" si="12"/>
        <v>1.4999999999999999E-4</v>
      </c>
      <c r="S64" s="9">
        <f t="shared" si="13"/>
        <v>1.2739925257284352E-4</v>
      </c>
      <c r="T64" s="9">
        <f t="shared" si="10"/>
        <v>5.1696751969863754E-7</v>
      </c>
      <c r="U64" s="9">
        <f t="shared" si="11"/>
        <v>2.2600747427156473E-5</v>
      </c>
      <c r="V64" s="100">
        <f t="shared" si="14"/>
        <v>2.2873912527223005E-2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158</v>
      </c>
      <c r="C65" s="46" t="s">
        <v>159</v>
      </c>
      <c r="D65" s="47">
        <v>4.2539999877244021</v>
      </c>
      <c r="E65" s="47">
        <v>5.5739999825375302</v>
      </c>
      <c r="F65" s="96">
        <v>9.9999999999999995E-7</v>
      </c>
      <c r="G65" s="168"/>
      <c r="H65" s="168"/>
      <c r="I65" s="54">
        <f t="shared" si="33"/>
        <v>1.3777282566754774</v>
      </c>
      <c r="J65" s="54">
        <f t="shared" si="34"/>
        <v>5.5537249868910639</v>
      </c>
      <c r="K65" s="55">
        <f t="shared" si="35"/>
        <v>6.8227189432682684E-3</v>
      </c>
      <c r="L65" s="55">
        <f t="shared" si="36"/>
        <v>0.83710387224038929</v>
      </c>
      <c r="M65" s="55">
        <f t="shared" si="37"/>
        <v>0.16289612775961071</v>
      </c>
      <c r="N65" s="55">
        <f t="shared" si="38"/>
        <v>0.83588637672840449</v>
      </c>
      <c r="O65" s="56">
        <f t="shared" si="39"/>
        <v>6.8285940733561592E-9</v>
      </c>
      <c r="P65" s="56">
        <f t="shared" si="40"/>
        <v>2.443747236869485E-3</v>
      </c>
      <c r="Q65" s="56">
        <f t="shared" si="41"/>
        <v>2.5605383178458467E-3</v>
      </c>
      <c r="R65" s="9">
        <f t="shared" si="12"/>
        <v>1.4999999999999999E-4</v>
      </c>
      <c r="S65" s="9">
        <f t="shared" si="13"/>
        <v>1.2556558083605838E-4</v>
      </c>
      <c r="T65" s="9">
        <f t="shared" si="10"/>
        <v>1.0234078414902402E-6</v>
      </c>
      <c r="U65" s="9">
        <f t="shared" si="11"/>
        <v>2.4434419163941604E-5</v>
      </c>
      <c r="V65" s="100">
        <f t="shared" si="14"/>
        <v>4.1883862048192458E-2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160</v>
      </c>
      <c r="C66" s="46" t="s">
        <v>161</v>
      </c>
      <c r="D66" s="47">
        <v>4.4669999877244022</v>
      </c>
      <c r="E66" s="47">
        <v>5.8769999825375301</v>
      </c>
      <c r="F66" s="96">
        <v>9.9999999999999995E-7</v>
      </c>
      <c r="G66" s="168"/>
      <c r="H66" s="168"/>
      <c r="I66" s="54">
        <f t="shared" si="33"/>
        <v>1.6404345211947191</v>
      </c>
      <c r="J66" s="54">
        <f t="shared" si="34"/>
        <v>5.8566067394427304</v>
      </c>
      <c r="K66" s="55">
        <f t="shared" si="35"/>
        <v>3.4464501313242507E-3</v>
      </c>
      <c r="L66" s="55">
        <f t="shared" si="36"/>
        <v>0.8493283504856235</v>
      </c>
      <c r="M66" s="55">
        <f t="shared" si="37"/>
        <v>0.1506716495143765</v>
      </c>
      <c r="N66" s="55">
        <f t="shared" si="38"/>
        <v>0.84832402134397411</v>
      </c>
      <c r="O66" s="56">
        <f t="shared" si="39"/>
        <v>3.4494179133817156E-9</v>
      </c>
      <c r="P66" s="56">
        <f t="shared" si="40"/>
        <v>2.479434008756002E-3</v>
      </c>
      <c r="Q66" s="56">
        <f t="shared" si="41"/>
        <v>2.5986380722006932E-3</v>
      </c>
      <c r="R66" s="9">
        <f t="shared" si="12"/>
        <v>1.4999999999999999E-4</v>
      </c>
      <c r="S66" s="9">
        <f t="shared" si="13"/>
        <v>1.2739925257284352E-4</v>
      </c>
      <c r="T66" s="9">
        <f t="shared" si="10"/>
        <v>5.1696751969863754E-7</v>
      </c>
      <c r="U66" s="9">
        <f t="shared" si="11"/>
        <v>2.2600747427156473E-5</v>
      </c>
      <c r="V66" s="100">
        <f t="shared" si="14"/>
        <v>2.2873912527223005E-2</v>
      </c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114</v>
      </c>
      <c r="C67" s="46" t="s">
        <v>115</v>
      </c>
      <c r="D67" s="47">
        <v>-0.73745450190951667</v>
      </c>
      <c r="E67" s="47">
        <v>-1.5265197844064957</v>
      </c>
      <c r="F67" s="96">
        <v>9.9999999999999995E-7</v>
      </c>
      <c r="G67" s="168"/>
      <c r="H67" s="168"/>
      <c r="I67" s="54">
        <f t="shared" si="33"/>
        <v>-1.8635683569884906E-4</v>
      </c>
      <c r="J67" s="54">
        <f t="shared" si="34"/>
        <v>-1.2868501140216462</v>
      </c>
      <c r="K67" s="55">
        <f t="shared" si="35"/>
        <v>0.9998932645434333</v>
      </c>
      <c r="L67" s="55">
        <f t="shared" si="36"/>
        <v>1.7709259899395773E-5</v>
      </c>
      <c r="M67" s="55">
        <f t="shared" si="37"/>
        <v>0.99998229074010059</v>
      </c>
      <c r="N67" s="55">
        <f t="shared" si="38"/>
        <v>9.7190460955574346E-6</v>
      </c>
      <c r="O67" s="56">
        <f t="shared" si="39"/>
        <v>1.0007542853552307E-6</v>
      </c>
      <c r="P67" s="56">
        <f t="shared" si="40"/>
        <v>5.1698428810665272E-8</v>
      </c>
      <c r="Q67" s="56">
        <f t="shared" si="41"/>
        <v>2.9771976949770062E-8</v>
      </c>
      <c r="R67" s="9">
        <f t="shared" si="12"/>
        <v>1.4999999999999999E-4</v>
      </c>
      <c r="S67" s="9">
        <f t="shared" si="13"/>
        <v>2.6563889849093659E-9</v>
      </c>
      <c r="T67" s="9">
        <f t="shared" si="10"/>
        <v>1.4998398968151498E-4</v>
      </c>
      <c r="U67" s="9">
        <f t="shared" si="11"/>
        <v>1.4999734361101507E-4</v>
      </c>
      <c r="V67" s="100">
        <f t="shared" si="14"/>
        <v>0.99991097222671677</v>
      </c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116</v>
      </c>
      <c r="C68" s="46" t="s">
        <v>117</v>
      </c>
      <c r="D68" s="47">
        <v>4.7386560000000006</v>
      </c>
      <c r="E68" s="47">
        <v>5.8355820000000005</v>
      </c>
      <c r="F68" s="96">
        <v>9.9999999999999995E-7</v>
      </c>
      <c r="G68" s="168"/>
      <c r="H68" s="168"/>
      <c r="I68" s="54">
        <f t="shared" si="33"/>
        <v>1.7268855172909561</v>
      </c>
      <c r="J68" s="54">
        <f t="shared" si="34"/>
        <v>5.8157308430918091</v>
      </c>
      <c r="K68" s="55">
        <f t="shared" si="35"/>
        <v>3.6017051896650217E-3</v>
      </c>
      <c r="L68" s="55">
        <f t="shared" si="36"/>
        <v>0.80785959501402083</v>
      </c>
      <c r="M68" s="55">
        <f t="shared" si="37"/>
        <v>0.19214040498597917</v>
      </c>
      <c r="N68" s="55">
        <f t="shared" si="38"/>
        <v>0.80589775330840274</v>
      </c>
      <c r="O68" s="56">
        <f t="shared" si="39"/>
        <v>3.6048066638285431E-9</v>
      </c>
      <c r="P68" s="56">
        <f t="shared" si="40"/>
        <v>2.3583747711145298E-3</v>
      </c>
      <c r="Q68" s="56">
        <f t="shared" si="41"/>
        <v>2.4686753308368913E-3</v>
      </c>
      <c r="R68" s="9">
        <f t="shared" si="12"/>
        <v>1.4999999999999999E-4</v>
      </c>
      <c r="S68" s="9">
        <f t="shared" si="13"/>
        <v>1.2117893925210311E-4</v>
      </c>
      <c r="T68" s="9">
        <f t="shared" si="10"/>
        <v>5.4025577844975325E-7</v>
      </c>
      <c r="U68" s="9">
        <f t="shared" si="11"/>
        <v>2.8821060747896873E-5</v>
      </c>
      <c r="V68" s="100">
        <f t="shared" si="14"/>
        <v>1.8745173301408648E-2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118</v>
      </c>
      <c r="C69" s="46" t="s">
        <v>119</v>
      </c>
      <c r="D69" s="47">
        <v>2.3724999877244022</v>
      </c>
      <c r="E69" s="47">
        <v>2.8974999825375303</v>
      </c>
      <c r="F69" s="96">
        <v>9.9999999999999995E-7</v>
      </c>
      <c r="G69" s="168"/>
      <c r="H69" s="168"/>
      <c r="I69" s="54">
        <f t="shared" si="33"/>
        <v>5.7919228101834593E-2</v>
      </c>
      <c r="J69" s="54">
        <f t="shared" si="34"/>
        <v>2.8805307478536943</v>
      </c>
      <c r="K69" s="55">
        <f t="shared" si="35"/>
        <v>0.7124283114376373</v>
      </c>
      <c r="L69" s="55">
        <f t="shared" si="36"/>
        <v>0.18551063001423385</v>
      </c>
      <c r="M69" s="55">
        <f t="shared" si="37"/>
        <v>0.81448936998576615</v>
      </c>
      <c r="N69" s="55">
        <f t="shared" si="38"/>
        <v>0.1838361582361531</v>
      </c>
      <c r="O69" s="56">
        <f t="shared" si="39"/>
        <v>7.1304179252088235E-7</v>
      </c>
      <c r="P69" s="56">
        <f t="shared" si="40"/>
        <v>5.415589445236928E-4</v>
      </c>
      <c r="Q69" s="56">
        <f t="shared" si="41"/>
        <v>5.6313817341012624E-4</v>
      </c>
      <c r="R69" s="9">
        <f t="shared" si="12"/>
        <v>1.4999999999999999E-4</v>
      </c>
      <c r="S69" s="9">
        <f t="shared" si="13"/>
        <v>2.7826594502135076E-5</v>
      </c>
      <c r="T69" s="9">
        <f t="shared" si="10"/>
        <v>1.0686424671564558E-4</v>
      </c>
      <c r="U69" s="9">
        <f t="shared" si="11"/>
        <v>1.2217340549786491E-4</v>
      </c>
      <c r="V69" s="100">
        <f t="shared" si="14"/>
        <v>0.87469319759211539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112</v>
      </c>
      <c r="C70" s="46" t="s">
        <v>113</v>
      </c>
      <c r="D70" s="47">
        <v>3.3511520000000004</v>
      </c>
      <c r="E70" s="47">
        <v>4.2962190000000007</v>
      </c>
      <c r="F70" s="96">
        <v>9.9999999999999995E-7</v>
      </c>
      <c r="G70" s="168"/>
      <c r="H70" s="168"/>
      <c r="I70" s="54">
        <f t="shared" si="33"/>
        <v>0.45156382049297444</v>
      </c>
      <c r="J70" s="54">
        <f t="shared" si="34"/>
        <v>4.2768094924983595</v>
      </c>
      <c r="K70" s="55">
        <f t="shared" si="35"/>
        <v>0.10735417013404783</v>
      </c>
      <c r="L70" s="55">
        <f t="shared" si="36"/>
        <v>0.69618601413325287</v>
      </c>
      <c r="M70" s="55">
        <f t="shared" si="37"/>
        <v>0.30381398586674713</v>
      </c>
      <c r="N70" s="55">
        <f t="shared" si="38"/>
        <v>0.69378946756052029</v>
      </c>
      <c r="O70" s="56">
        <f t="shared" si="39"/>
        <v>1.0744661417582351E-7</v>
      </c>
      <c r="P70" s="56">
        <f t="shared" si="40"/>
        <v>2.0323674334847158E-3</v>
      </c>
      <c r="Q70" s="56">
        <f t="shared" si="41"/>
        <v>2.1252583672431245E-3</v>
      </c>
      <c r="R70" s="9">
        <f t="shared" si="12"/>
        <v>1.4999999999999999E-4</v>
      </c>
      <c r="S70" s="9">
        <f t="shared" si="13"/>
        <v>1.0442790211998792E-4</v>
      </c>
      <c r="T70" s="9">
        <f t="shared" si="10"/>
        <v>1.6103125520107171E-5</v>
      </c>
      <c r="U70" s="9">
        <f t="shared" si="11"/>
        <v>4.5572097880012062E-5</v>
      </c>
      <c r="V70" s="100">
        <f t="shared" si="14"/>
        <v>0.35335493139915353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120</v>
      </c>
      <c r="C71" s="46" t="s">
        <v>121</v>
      </c>
      <c r="D71" s="47">
        <v>5.9183200000000005</v>
      </c>
      <c r="E71" s="47">
        <v>7.0401399999999992</v>
      </c>
      <c r="F71" s="96">
        <v>9.9999999999999995E-7</v>
      </c>
      <c r="G71" s="168"/>
      <c r="H71" s="168"/>
      <c r="I71" s="54">
        <f t="shared" si="33"/>
        <v>2.9114243406645759</v>
      </c>
      <c r="J71" s="54">
        <f t="shared" si="34"/>
        <v>7.0202300748795512</v>
      </c>
      <c r="K71" s="55">
        <f t="shared" si="35"/>
        <v>2.2686818763763083E-4</v>
      </c>
      <c r="L71" s="55">
        <f t="shared" si="36"/>
        <v>0.81489294765417375</v>
      </c>
      <c r="M71" s="55">
        <f t="shared" si="37"/>
        <v>0.18510705234582625</v>
      </c>
      <c r="N71" s="55">
        <f t="shared" si="38"/>
        <v>0.81302403584747363</v>
      </c>
      <c r="O71" s="56">
        <f t="shared" si="39"/>
        <v>2.2706354672046251E-10</v>
      </c>
      <c r="P71" s="56">
        <f t="shared" si="40"/>
        <v>2.378907152638823E-3</v>
      </c>
      <c r="Q71" s="56">
        <f t="shared" si="41"/>
        <v>2.490504995744824E-3</v>
      </c>
      <c r="R71" s="9">
        <f t="shared" si="12"/>
        <v>1.4999999999999999E-4</v>
      </c>
      <c r="S71" s="9">
        <f t="shared" si="13"/>
        <v>1.2223394214812606E-4</v>
      </c>
      <c r="T71" s="9">
        <f t="shared" si="10"/>
        <v>3.4030228145644623E-8</v>
      </c>
      <c r="U71" s="9">
        <f t="shared" si="11"/>
        <v>2.7766057851873934E-5</v>
      </c>
      <c r="V71" s="100">
        <f t="shared" si="14"/>
        <v>1.2256053173694556E-3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122</v>
      </c>
      <c r="C72" s="46" t="s">
        <v>123</v>
      </c>
      <c r="D72" s="47">
        <v>5.5295200000000007</v>
      </c>
      <c r="E72" s="47">
        <v>6.5305900000000001</v>
      </c>
      <c r="F72" s="96">
        <v>9.9999999999999995E-7</v>
      </c>
      <c r="G72" s="168"/>
      <c r="H72" s="168"/>
      <c r="I72" s="54">
        <f t="shared" si="33"/>
        <v>2.4659786116205753</v>
      </c>
      <c r="J72" s="54">
        <f t="shared" si="34"/>
        <v>6.5109992218451609</v>
      </c>
      <c r="K72" s="55">
        <f t="shared" si="35"/>
        <v>7.1198186921543453E-4</v>
      </c>
      <c r="L72" s="55">
        <f t="shared" si="36"/>
        <v>0.79170801018460846</v>
      </c>
      <c r="M72" s="55">
        <f t="shared" si="37"/>
        <v>0.20829198981539154</v>
      </c>
      <c r="N72" s="55">
        <f t="shared" si="38"/>
        <v>0.7893120223344916</v>
      </c>
      <c r="O72" s="56">
        <f t="shared" si="39"/>
        <v>7.1259496586160198E-10</v>
      </c>
      <c r="P72" s="56">
        <f t="shared" si="40"/>
        <v>2.3112236443465911E-3</v>
      </c>
      <c r="Q72" s="56">
        <f t="shared" si="41"/>
        <v>2.4178689044247275E-3</v>
      </c>
      <c r="R72" s="9">
        <f t="shared" si="12"/>
        <v>1.4999999999999999E-4</v>
      </c>
      <c r="S72" s="9">
        <f t="shared" si="13"/>
        <v>1.1875620152769126E-4</v>
      </c>
      <c r="T72" s="9">
        <f t="shared" si="10"/>
        <v>1.0679728038231517E-7</v>
      </c>
      <c r="U72" s="9">
        <f t="shared" si="11"/>
        <v>3.1243798472308731E-5</v>
      </c>
      <c r="V72" s="100">
        <f t="shared" si="14"/>
        <v>3.418191308491803E-3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124</v>
      </c>
      <c r="C73" s="46" t="s">
        <v>125</v>
      </c>
      <c r="D73" s="47">
        <v>5.4845040000000003</v>
      </c>
      <c r="E73" s="47">
        <v>6.5678879999999999</v>
      </c>
      <c r="F73" s="96">
        <v>9.9999999999999995E-7</v>
      </c>
      <c r="G73" s="168"/>
      <c r="H73" s="168"/>
      <c r="I73" s="54">
        <f t="shared" si="33"/>
        <v>2.4593424067669152</v>
      </c>
      <c r="J73" s="54">
        <f t="shared" si="34"/>
        <v>6.5480702357711023</v>
      </c>
      <c r="K73" s="55">
        <f t="shared" si="35"/>
        <v>6.670312650336142E-4</v>
      </c>
      <c r="L73" s="55">
        <f t="shared" si="36"/>
        <v>0.80781759664009978</v>
      </c>
      <c r="M73" s="55">
        <f t="shared" si="37"/>
        <v>0.19218240335990022</v>
      </c>
      <c r="N73" s="55">
        <f t="shared" si="38"/>
        <v>0.80579389746495167</v>
      </c>
      <c r="O73" s="56">
        <f t="shared" si="39"/>
        <v>6.6760565414261159E-10</v>
      </c>
      <c r="P73" s="56">
        <f t="shared" si="40"/>
        <v>2.3582521657681383E-3</v>
      </c>
      <c r="Q73" s="56">
        <f t="shared" si="41"/>
        <v>2.4683571932597134E-3</v>
      </c>
      <c r="R73" s="9">
        <f t="shared" si="12"/>
        <v>1.4999999999999999E-4</v>
      </c>
      <c r="S73" s="9">
        <f t="shared" si="13"/>
        <v>1.2117263949601495E-4</v>
      </c>
      <c r="T73" s="9">
        <f t="shared" si="10"/>
        <v>1.0005468975504213E-7</v>
      </c>
      <c r="U73" s="9">
        <f t="shared" si="11"/>
        <v>2.8827360503985032E-5</v>
      </c>
      <c r="V73" s="100">
        <f t="shared" si="14"/>
        <v>3.4708238286752192E-3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126</v>
      </c>
      <c r="C74" s="46" t="s">
        <v>127</v>
      </c>
      <c r="D74" s="47">
        <v>2.7195840000000011</v>
      </c>
      <c r="E74" s="47">
        <v>3.2500779999999994</v>
      </c>
      <c r="F74" s="96">
        <v>9.9999999999999995E-7</v>
      </c>
      <c r="G74" s="168"/>
      <c r="H74" s="168"/>
      <c r="I74" s="54">
        <f t="shared" si="33"/>
        <v>0.12015758400049081</v>
      </c>
      <c r="J74" s="54">
        <f t="shared" si="34"/>
        <v>3.2330538908434048</v>
      </c>
      <c r="K74" s="55">
        <f t="shared" si="35"/>
        <v>0.52472496057264373</v>
      </c>
      <c r="L74" s="55">
        <f t="shared" si="36"/>
        <v>0.30766811958019541</v>
      </c>
      <c r="M74" s="55">
        <f t="shared" si="37"/>
        <v>0.69233188041980465</v>
      </c>
      <c r="N74" s="55">
        <f t="shared" si="38"/>
        <v>0.30492954588454946</v>
      </c>
      <c r="O74" s="56">
        <f t="shared" si="39"/>
        <v>5.2517680791229843E-7</v>
      </c>
      <c r="P74" s="56">
        <f t="shared" si="40"/>
        <v>8.9817183031859385E-4</v>
      </c>
      <c r="Q74" s="56">
        <f t="shared" si="41"/>
        <v>9.3407885116712904E-4</v>
      </c>
      <c r="R74" s="9">
        <f t="shared" si="12"/>
        <v>1.4999999999999999E-4</v>
      </c>
      <c r="S74" s="9">
        <f t="shared" si="13"/>
        <v>4.6150217937029307E-5</v>
      </c>
      <c r="T74" s="9">
        <f t="shared" si="10"/>
        <v>7.8708744085896555E-5</v>
      </c>
      <c r="U74" s="9">
        <f t="shared" si="11"/>
        <v>1.0384978206297069E-4</v>
      </c>
      <c r="V74" s="100">
        <f t="shared" si="14"/>
        <v>0.75790957402462789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80</v>
      </c>
      <c r="C75" s="46" t="s">
        <v>81</v>
      </c>
      <c r="D75" s="47">
        <v>3.9841999877244016</v>
      </c>
      <c r="E75" s="47">
        <v>5.1901999825375293</v>
      </c>
      <c r="F75" s="96">
        <v>9.9999999999999995E-7</v>
      </c>
      <c r="G75" s="168"/>
      <c r="H75" s="168"/>
      <c r="I75" s="54">
        <f t="shared" si="33"/>
        <v>1.0613094291357714</v>
      </c>
      <c r="J75" s="54">
        <f t="shared" si="34"/>
        <v>5.1701145702581215</v>
      </c>
      <c r="K75" s="55">
        <f t="shared" si="35"/>
        <v>1.6065305792865081E-2</v>
      </c>
      <c r="L75" s="55">
        <f t="shared" si="36"/>
        <v>0.81489274165668624</v>
      </c>
      <c r="M75" s="55">
        <f t="shared" si="37"/>
        <v>0.18510725834331376</v>
      </c>
      <c r="N75" s="55">
        <f t="shared" si="38"/>
        <v>0.81335241859068019</v>
      </c>
      <c r="O75" s="56">
        <f t="shared" si="39"/>
        <v>1.6079139832083123E-8</v>
      </c>
      <c r="P75" s="56">
        <f t="shared" si="40"/>
        <v>2.3789065512728426E-3</v>
      </c>
      <c r="Q75" s="56">
        <f t="shared" si="41"/>
        <v>2.4915109178657116E-3</v>
      </c>
      <c r="R75" s="9">
        <f t="shared" si="12"/>
        <v>1.4999999999999999E-4</v>
      </c>
      <c r="S75" s="9">
        <f t="shared" si="13"/>
        <v>1.2223391124850292E-4</v>
      </c>
      <c r="T75" s="9">
        <f t="shared" si="10"/>
        <v>2.4097958689297618E-6</v>
      </c>
      <c r="U75" s="9">
        <f t="shared" si="11"/>
        <v>2.7766088751497062E-5</v>
      </c>
      <c r="V75" s="100">
        <f t="shared" si="14"/>
        <v>8.6789172594567657E-2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128</v>
      </c>
      <c r="C76" s="46" t="s">
        <v>129</v>
      </c>
      <c r="D76" s="47">
        <v>4.10616</v>
      </c>
      <c r="E76" s="47">
        <v>5.1108449999999994</v>
      </c>
      <c r="F76" s="96">
        <v>9.9999999999999995E-7</v>
      </c>
      <c r="G76" s="168"/>
      <c r="H76" s="168"/>
      <c r="I76" s="54">
        <f t="shared" si="33"/>
        <v>1.080392983851221</v>
      </c>
      <c r="J76" s="54">
        <f t="shared" si="34"/>
        <v>5.0912433878185999</v>
      </c>
      <c r="K76" s="55">
        <f t="shared" si="35"/>
        <v>1.8402732791778034E-2</v>
      </c>
      <c r="L76" s="55">
        <f t="shared" si="36"/>
        <v>0.77843542360575624</v>
      </c>
      <c r="M76" s="55">
        <f t="shared" si="37"/>
        <v>0.22156457639424376</v>
      </c>
      <c r="N76" s="55">
        <f t="shared" si="38"/>
        <v>0.77609896381811883</v>
      </c>
      <c r="O76" s="56">
        <f t="shared" si="39"/>
        <v>1.8418579619124054E-8</v>
      </c>
      <c r="P76" s="56">
        <f t="shared" si="40"/>
        <v>2.2724771424442953E-3</v>
      </c>
      <c r="Q76" s="56">
        <f t="shared" si="41"/>
        <v>2.377393854742102E-3</v>
      </c>
      <c r="R76" s="9">
        <f t="shared" si="12"/>
        <v>1.4999999999999999E-4</v>
      </c>
      <c r="S76" s="9">
        <f t="shared" si="13"/>
        <v>1.1676531354086342E-4</v>
      </c>
      <c r="T76" s="9">
        <f t="shared" si="10"/>
        <v>2.7604099187667046E-6</v>
      </c>
      <c r="U76" s="9">
        <f t="shared" si="11"/>
        <v>3.3234686459136564E-5</v>
      </c>
      <c r="V76" s="100">
        <f t="shared" si="14"/>
        <v>8.3058100221909556E-2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130</v>
      </c>
      <c r="C77" s="46" t="s">
        <v>131</v>
      </c>
      <c r="D77" s="47">
        <v>2.8295519999999996</v>
      </c>
      <c r="E77" s="47">
        <v>3.5791989999999991</v>
      </c>
      <c r="F77" s="96">
        <v>9.9999999999999995E-7</v>
      </c>
      <c r="G77" s="168"/>
      <c r="H77" s="168"/>
      <c r="I77" s="54">
        <f t="shared" si="33"/>
        <v>0.16668848098518507</v>
      </c>
      <c r="J77" s="54">
        <f t="shared" si="34"/>
        <v>3.5606397320231116</v>
      </c>
      <c r="K77" s="55">
        <f t="shared" si="35"/>
        <v>0.36828872133660995</v>
      </c>
      <c r="L77" s="55">
        <f t="shared" si="36"/>
        <v>0.45911875471897046</v>
      </c>
      <c r="M77" s="55">
        <f t="shared" si="37"/>
        <v>0.54088124528102954</v>
      </c>
      <c r="N77" s="55">
        <f t="shared" si="38"/>
        <v>0.45664341825499766</v>
      </c>
      <c r="O77" s="56">
        <f t="shared" si="39"/>
        <v>3.6860585944031137E-7</v>
      </c>
      <c r="P77" s="56">
        <f t="shared" si="40"/>
        <v>1.3402998426427649E-3</v>
      </c>
      <c r="Q77" s="56">
        <f t="shared" si="41"/>
        <v>1.3988180721528156E-3</v>
      </c>
      <c r="R77" s="9">
        <f t="shared" si="12"/>
        <v>1.4999999999999999E-4</v>
      </c>
      <c r="S77" s="9">
        <f t="shared" si="13"/>
        <v>6.8867813207845562E-5</v>
      </c>
      <c r="T77" s="9">
        <f t="shared" si="10"/>
        <v>5.5243308200491488E-5</v>
      </c>
      <c r="U77" s="9">
        <f t="shared" si="11"/>
        <v>8.1132186792154425E-5</v>
      </c>
      <c r="V77" s="100">
        <f t="shared" si="14"/>
        <v>0.68090495751106239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82</v>
      </c>
      <c r="C78" s="46" t="s">
        <v>83</v>
      </c>
      <c r="D78" s="47">
        <v>3.03</v>
      </c>
      <c r="E78" s="47">
        <v>3.96</v>
      </c>
      <c r="F78" s="96">
        <v>9.9999999999999995E-7</v>
      </c>
      <c r="G78" s="7"/>
      <c r="H78" s="7"/>
      <c r="I78" s="54">
        <f t="shared" si="33"/>
        <v>0.26960058474961779</v>
      </c>
      <c r="J78" s="54">
        <f t="shared" si="34"/>
        <v>3.9406437344393757</v>
      </c>
      <c r="K78" s="55">
        <f t="shared" si="35"/>
        <v>0.20610832540216936</v>
      </c>
      <c r="L78" s="55">
        <f t="shared" si="36"/>
        <v>0.61636242041528289</v>
      </c>
      <c r="M78" s="55">
        <f t="shared" si="37"/>
        <v>0.38363757958471711</v>
      </c>
      <c r="N78" s="55">
        <f t="shared" si="38"/>
        <v>0.61416536043945524</v>
      </c>
      <c r="O78" s="56">
        <f t="shared" si="39"/>
        <v>2.0628580790350121E-7</v>
      </c>
      <c r="P78" s="56">
        <f t="shared" si="40"/>
        <v>1.799339379196533E-3</v>
      </c>
      <c r="Q78" s="56">
        <f t="shared" si="41"/>
        <v>1.8813489281328444E-3</v>
      </c>
      <c r="R78" s="9">
        <f t="shared" si="12"/>
        <v>1.4999999999999999E-4</v>
      </c>
      <c r="S78" s="9">
        <f t="shared" si="13"/>
        <v>9.2454363062292422E-5</v>
      </c>
      <c r="T78" s="9">
        <f t="shared" si="10"/>
        <v>3.0916248810325404E-5</v>
      </c>
      <c r="U78" s="9">
        <f t="shared" si="11"/>
        <v>5.7545636937707565E-5</v>
      </c>
      <c r="V78" s="100">
        <f t="shared" si="14"/>
        <v>0.53724748661296173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132</v>
      </c>
      <c r="C79" s="46" t="s">
        <v>133</v>
      </c>
      <c r="D79" s="47">
        <v>3.2352399999999997</v>
      </c>
      <c r="E79" s="47">
        <v>3.7544849999999994</v>
      </c>
      <c r="F79" s="96">
        <v>9.9999999999999995E-7</v>
      </c>
      <c r="G79" s="7"/>
      <c r="H79" s="7"/>
      <c r="I79" s="54">
        <f t="shared" si="33"/>
        <v>0.30972420580945559</v>
      </c>
      <c r="J79" s="54">
        <f t="shared" si="34"/>
        <v>3.737559055838291</v>
      </c>
      <c r="K79" s="55">
        <f t="shared" si="35"/>
        <v>0.25542725857678689</v>
      </c>
      <c r="L79" s="55">
        <f t="shared" si="36"/>
        <v>0.47854543846983405</v>
      </c>
      <c r="M79" s="55">
        <f t="shared" si="37"/>
        <v>0.52145456153016601</v>
      </c>
      <c r="N79" s="55">
        <f t="shared" si="38"/>
        <v>0.47417868251775386</v>
      </c>
      <c r="O79" s="56">
        <f t="shared" si="39"/>
        <v>2.5564721023896296E-7</v>
      </c>
      <c r="P79" s="56">
        <f t="shared" si="40"/>
        <v>1.3970119261870126E-3</v>
      </c>
      <c r="Q79" s="56">
        <f t="shared" si="41"/>
        <v>1.452533167060899E-3</v>
      </c>
      <c r="R79" s="9">
        <f t="shared" si="12"/>
        <v>1.4999999999999999E-4</v>
      </c>
      <c r="S79" s="9">
        <f t="shared" si="13"/>
        <v>7.1781815770475106E-5</v>
      </c>
      <c r="T79" s="9">
        <f t="shared" si="10"/>
        <v>3.8314088786518027E-5</v>
      </c>
      <c r="U79" s="9">
        <f t="shared" si="11"/>
        <v>7.8218184229524894E-5</v>
      </c>
      <c r="V79" s="100">
        <f t="shared" si="14"/>
        <v>0.48983608049617278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134</v>
      </c>
      <c r="C80" s="46" t="s">
        <v>135</v>
      </c>
      <c r="D80" s="47">
        <v>3.3303280000000011</v>
      </c>
      <c r="E80" s="47">
        <v>3.8215209999999997</v>
      </c>
      <c r="F80" s="96">
        <v>9.9999999999999995E-7</v>
      </c>
      <c r="G80" s="7"/>
      <c r="H80" s="7"/>
      <c r="I80" s="54">
        <f t="shared" si="33"/>
        <v>0.35763444792585858</v>
      </c>
      <c r="J80" s="54">
        <f t="shared" si="34"/>
        <v>3.8048590996090375</v>
      </c>
      <c r="K80" s="55">
        <f t="shared" si="35"/>
        <v>0.22385666374145979</v>
      </c>
      <c r="L80" s="55">
        <f t="shared" si="36"/>
        <v>0.48969538293892229</v>
      </c>
      <c r="M80" s="55">
        <f t="shared" si="37"/>
        <v>0.51030461706107766</v>
      </c>
      <c r="N80" s="55">
        <f t="shared" si="38"/>
        <v>0.48493196291670643</v>
      </c>
      <c r="O80" s="56">
        <f t="shared" si="39"/>
        <v>2.2404942956274867E-7</v>
      </c>
      <c r="P80" s="56">
        <f t="shared" si="40"/>
        <v>1.429561824582128E-3</v>
      </c>
      <c r="Q80" s="56">
        <f t="shared" si="41"/>
        <v>1.4854732738393173E-3</v>
      </c>
      <c r="R80" s="9">
        <f t="shared" si="12"/>
        <v>1.4999999999999999E-4</v>
      </c>
      <c r="S80" s="9">
        <f t="shared" si="13"/>
        <v>7.3454307440838336E-5</v>
      </c>
      <c r="T80" s="9">
        <f t="shared" si="10"/>
        <v>3.3578499561218967E-5</v>
      </c>
      <c r="U80" s="9">
        <f t="shared" si="11"/>
        <v>7.6545692559161637E-5</v>
      </c>
      <c r="V80" s="100">
        <f t="shared" si="14"/>
        <v>0.43867262073912744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136</v>
      </c>
      <c r="C81" s="46" t="s">
        <v>137</v>
      </c>
      <c r="D81" s="47">
        <v>4.4202640000000004</v>
      </c>
      <c r="E81" s="47">
        <v>5.6388380000000007</v>
      </c>
      <c r="F81" s="96">
        <v>9.9999999999999995E-7</v>
      </c>
      <c r="G81" s="7"/>
      <c r="H81" s="7"/>
      <c r="I81" s="54">
        <f t="shared" si="33"/>
        <v>1.4796577057346771</v>
      </c>
      <c r="J81" s="54">
        <f t="shared" si="34"/>
        <v>5.6187291277528306</v>
      </c>
      <c r="K81" s="55">
        <f t="shared" si="35"/>
        <v>5.7905549024258231E-3</v>
      </c>
      <c r="L81" s="55">
        <f t="shared" si="36"/>
        <v>0.82517525146116288</v>
      </c>
      <c r="M81" s="55">
        <f t="shared" si="37"/>
        <v>0.17482474853883712</v>
      </c>
      <c r="N81" s="55">
        <f t="shared" si="38"/>
        <v>0.82365998396802875</v>
      </c>
      <c r="O81" s="56">
        <f t="shared" si="39"/>
        <v>5.7955412229258628E-9</v>
      </c>
      <c r="P81" s="56">
        <f t="shared" si="40"/>
        <v>2.4089241581147767E-3</v>
      </c>
      <c r="Q81" s="56">
        <f t="shared" si="41"/>
        <v>2.5230856831055782E-3</v>
      </c>
      <c r="R81" s="9">
        <f t="shared" si="12"/>
        <v>1.4999999999999999E-4</v>
      </c>
      <c r="S81" s="9">
        <f t="shared" si="13"/>
        <v>1.2377628771917442E-4</v>
      </c>
      <c r="T81" s="9">
        <f t="shared" si="10"/>
        <v>8.6858323536387338E-7</v>
      </c>
      <c r="U81" s="9">
        <f t="shared" si="11"/>
        <v>2.6223712280825565E-5</v>
      </c>
      <c r="V81" s="100">
        <f t="shared" si="14"/>
        <v>3.3122054805298104E-2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138</v>
      </c>
      <c r="C82" s="46" t="s">
        <v>139</v>
      </c>
      <c r="D82" s="47">
        <v>4.2752879999999998</v>
      </c>
      <c r="E82" s="47">
        <v>5.3084609999999994</v>
      </c>
      <c r="F82" s="96">
        <v>9.9999999999999995E-7</v>
      </c>
      <c r="G82" s="7"/>
      <c r="H82" s="7"/>
      <c r="I82" s="54">
        <f t="shared" si="33"/>
        <v>1.2498866711591912</v>
      </c>
      <c r="J82" s="54">
        <f t="shared" si="34"/>
        <v>5.2887765986811166</v>
      </c>
      <c r="K82" s="55">
        <f t="shared" si="35"/>
        <v>1.1841519379416698E-2</v>
      </c>
      <c r="L82" s="55">
        <f t="shared" si="36"/>
        <v>0.78937053528571932</v>
      </c>
      <c r="M82" s="55">
        <f t="shared" si="37"/>
        <v>0.21062946471428068</v>
      </c>
      <c r="N82" s="55">
        <f t="shared" si="38"/>
        <v>0.78715129354811741</v>
      </c>
      <c r="O82" s="56">
        <f t="shared" si="39"/>
        <v>1.1851716262414642E-8</v>
      </c>
      <c r="P82" s="56">
        <f t="shared" si="40"/>
        <v>2.304399882069486E-3</v>
      </c>
      <c r="Q82" s="56">
        <f t="shared" si="41"/>
        <v>2.4112500277376375E-3</v>
      </c>
      <c r="R82" s="9">
        <f t="shared" si="12"/>
        <v>1.4999999999999999E-4</v>
      </c>
      <c r="S82" s="9">
        <f t="shared" si="13"/>
        <v>1.1840558029285789E-4</v>
      </c>
      <c r="T82" s="9">
        <f t="shared" si="10"/>
        <v>1.7762279069125044E-6</v>
      </c>
      <c r="U82" s="9">
        <f t="shared" si="11"/>
        <v>3.1594419707142097E-5</v>
      </c>
      <c r="V82" s="100">
        <f t="shared" si="14"/>
        <v>5.6219671808404127E-2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84</v>
      </c>
      <c r="C83" s="46" t="s">
        <v>85</v>
      </c>
      <c r="D83" s="47">
        <v>2.7665919999999997</v>
      </c>
      <c r="E83" s="47">
        <v>3.5255839999999989</v>
      </c>
      <c r="F83" s="96">
        <v>9.9999999999999995E-7</v>
      </c>
      <c r="G83" s="7"/>
      <c r="H83" s="7"/>
      <c r="I83" s="54">
        <f t="shared" si="33"/>
        <v>0.14841008082679891</v>
      </c>
      <c r="J83" s="54">
        <f t="shared" si="34"/>
        <v>3.5069752121358908</v>
      </c>
      <c r="K83" s="55">
        <f t="shared" si="35"/>
        <v>0.39843377440299571</v>
      </c>
      <c r="L83" s="55">
        <f t="shared" si="36"/>
        <v>0.43896332865913928</v>
      </c>
      <c r="M83" s="55">
        <f t="shared" si="37"/>
        <v>0.56103667134086077</v>
      </c>
      <c r="N83" s="55">
        <f t="shared" si="38"/>
        <v>0.43664644530221886</v>
      </c>
      <c r="O83" s="56">
        <f t="shared" si="39"/>
        <v>3.9877687079542985E-7</v>
      </c>
      <c r="P83" s="56">
        <f t="shared" si="40"/>
        <v>1.2814603504662249E-3</v>
      </c>
      <c r="Q83" s="56">
        <f t="shared" si="41"/>
        <v>1.3375621204923496E-3</v>
      </c>
      <c r="R83" s="9">
        <f t="shared" si="12"/>
        <v>1.4999999999999999E-4</v>
      </c>
      <c r="S83" s="9">
        <f t="shared" si="13"/>
        <v>6.5844499298870886E-5</v>
      </c>
      <c r="T83" s="9">
        <f t="shared" si="10"/>
        <v>5.9765066160449353E-5</v>
      </c>
      <c r="U83" s="9">
        <f t="shared" si="11"/>
        <v>8.4155500701129114E-5</v>
      </c>
      <c r="V83" s="100">
        <f t="shared" si="14"/>
        <v>0.71017420920231644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140</v>
      </c>
      <c r="C84" s="46" t="s">
        <v>141</v>
      </c>
      <c r="D84" s="47">
        <v>4.4687359999999998</v>
      </c>
      <c r="E84" s="47">
        <v>5.2666120000000003</v>
      </c>
      <c r="F84" s="96">
        <v>9.9999999999999995E-7</v>
      </c>
      <c r="G84" s="7"/>
      <c r="H84" s="7"/>
      <c r="I84" s="54">
        <f t="shared" si="33"/>
        <v>1.3452769109111</v>
      </c>
      <c r="J84" s="54">
        <f t="shared" si="34"/>
        <v>5.2478046732163026</v>
      </c>
      <c r="K84" s="55">
        <f t="shared" si="35"/>
        <v>1.2074899991994837E-2</v>
      </c>
      <c r="L84" s="55">
        <f t="shared" si="36"/>
        <v>0.73246199995521588</v>
      </c>
      <c r="M84" s="55">
        <f t="shared" si="37"/>
        <v>0.26753800004478412</v>
      </c>
      <c r="N84" s="55">
        <f t="shared" si="38"/>
        <v>0.72892916308985423</v>
      </c>
      <c r="O84" s="56">
        <f t="shared" si="39"/>
        <v>1.2085297842007586E-8</v>
      </c>
      <c r="P84" s="56">
        <f t="shared" si="40"/>
        <v>2.1382674813245151E-3</v>
      </c>
      <c r="Q84" s="56">
        <f t="shared" si="41"/>
        <v>2.2329004336594442E-3</v>
      </c>
      <c r="R84" s="9">
        <f t="shared" si="12"/>
        <v>1.4999999999999999E-4</v>
      </c>
      <c r="S84" s="9">
        <f t="shared" si="13"/>
        <v>1.0986929999328237E-4</v>
      </c>
      <c r="T84" s="9">
        <f t="shared" si="10"/>
        <v>1.8112349987992254E-6</v>
      </c>
      <c r="U84" s="9">
        <f t="shared" si="11"/>
        <v>4.0130700006717613E-5</v>
      </c>
      <c r="V84" s="100">
        <f t="shared" si="14"/>
        <v>4.5133401572761918E-2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86</v>
      </c>
      <c r="C85" s="46" t="s">
        <v>87</v>
      </c>
      <c r="D85" s="47">
        <v>2.6972559999999999</v>
      </c>
      <c r="E85" s="47">
        <v>3.431432</v>
      </c>
      <c r="F85" s="96">
        <v>9.9999999999999995E-7</v>
      </c>
      <c r="G85" s="7"/>
      <c r="H85" s="7"/>
      <c r="I85" s="54">
        <f t="shared" si="33"/>
        <v>0.12747825886296762</v>
      </c>
      <c r="J85" s="54">
        <f t="shared" si="34"/>
        <v>3.4129584322588506</v>
      </c>
      <c r="K85" s="55">
        <f t="shared" si="35"/>
        <v>0.44860814897205931</v>
      </c>
      <c r="L85" s="55">
        <f t="shared" si="36"/>
        <v>0.39803611006722373</v>
      </c>
      <c r="M85" s="55">
        <f t="shared" si="37"/>
        <v>0.60196388993277627</v>
      </c>
      <c r="N85" s="55">
        <f t="shared" si="38"/>
        <v>0.39581198626402875</v>
      </c>
      <c r="O85" s="56">
        <f t="shared" si="39"/>
        <v>4.4899445115680628E-7</v>
      </c>
      <c r="P85" s="56">
        <f t="shared" si="40"/>
        <v>1.161982014905467E-3</v>
      </c>
      <c r="Q85" s="56">
        <f t="shared" si="41"/>
        <v>1.2124755058916608E-3</v>
      </c>
      <c r="R85" s="9">
        <f t="shared" si="12"/>
        <v>1.4999999999999999E-4</v>
      </c>
      <c r="S85" s="9">
        <f t="shared" si="13"/>
        <v>5.9705416510083556E-5</v>
      </c>
      <c r="T85" s="9">
        <f t="shared" si="10"/>
        <v>6.7291222345808896E-5</v>
      </c>
      <c r="U85" s="9">
        <f t="shared" si="11"/>
        <v>9.0294583489916431E-5</v>
      </c>
      <c r="V85" s="100">
        <f t="shared" si="14"/>
        <v>0.74524096291250486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142</v>
      </c>
      <c r="C86" s="46" t="s">
        <v>143</v>
      </c>
      <c r="D86" s="47">
        <v>3.859360000000001</v>
      </c>
      <c r="E86" s="47">
        <v>4.2614199999999993</v>
      </c>
      <c r="F86" s="96">
        <v>9.9999999999999995E-7</v>
      </c>
      <c r="G86" s="7"/>
      <c r="H86" s="7"/>
      <c r="I86" s="54">
        <f t="shared" si="33"/>
        <v>0.71310437974280194</v>
      </c>
      <c r="J86" s="54">
        <f t="shared" si="34"/>
        <v>4.2457183871894006</v>
      </c>
      <c r="K86" s="55">
        <f t="shared" si="35"/>
        <v>8.9245872500607074E-2</v>
      </c>
      <c r="L86" s="55">
        <f t="shared" si="36"/>
        <v>0.53877000559453692</v>
      </c>
      <c r="M86" s="55">
        <f t="shared" si="37"/>
        <v>0.46122999440546308</v>
      </c>
      <c r="N86" s="55">
        <f t="shared" si="38"/>
        <v>0.5323508148090178</v>
      </c>
      <c r="O86" s="56">
        <f t="shared" si="39"/>
        <v>8.9322723256897681E-8</v>
      </c>
      <c r="P86" s="56">
        <f t="shared" si="40"/>
        <v>1.572824778549963E-3</v>
      </c>
      <c r="Q86" s="56">
        <f t="shared" si="41"/>
        <v>1.6307296036933102E-3</v>
      </c>
      <c r="R86" s="9">
        <f t="shared" si="12"/>
        <v>1.4999999999999999E-4</v>
      </c>
      <c r="S86" s="9">
        <f t="shared" si="13"/>
        <v>8.0815500839180531E-5</v>
      </c>
      <c r="T86" s="9">
        <f t="shared" si="10"/>
        <v>1.338688087509106E-5</v>
      </c>
      <c r="U86" s="9">
        <f t="shared" si="11"/>
        <v>6.9184499160819456E-5</v>
      </c>
      <c r="V86" s="100">
        <f t="shared" si="14"/>
        <v>0.19349537884162807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280</v>
      </c>
      <c r="C87" s="46" t="s">
        <v>281</v>
      </c>
      <c r="D87" s="47">
        <v>2.5105662711924017</v>
      </c>
      <c r="E87" s="47">
        <v>3.0939041322596146</v>
      </c>
      <c r="F87" s="96">
        <v>9.9999999999999995E-7</v>
      </c>
      <c r="G87" s="7"/>
      <c r="H87" s="7"/>
      <c r="I87" s="54">
        <f t="shared" si="33"/>
        <v>7.9970216478940079E-2</v>
      </c>
      <c r="J87" s="54">
        <f t="shared" si="34"/>
        <v>3.0764394251822496</v>
      </c>
      <c r="K87" s="55">
        <f t="shared" si="35"/>
        <v>0.62049021141349725</v>
      </c>
      <c r="L87" s="55">
        <f t="shared" si="36"/>
        <v>0.25367124628445753</v>
      </c>
      <c r="M87" s="55">
        <f t="shared" si="37"/>
        <v>0.74632875371554253</v>
      </c>
      <c r="N87" s="55">
        <f t="shared" si="38"/>
        <v>0.25166849401877894</v>
      </c>
      <c r="O87" s="56">
        <f t="shared" si="39"/>
        <v>6.2102452342907786E-7</v>
      </c>
      <c r="P87" s="56">
        <f t="shared" si="40"/>
        <v>7.4053940943049918E-4</v>
      </c>
      <c r="Q87" s="56">
        <f t="shared" si="41"/>
        <v>7.709263367250953E-4</v>
      </c>
      <c r="R87" s="9">
        <f t="shared" si="12"/>
        <v>1.4999999999999999E-4</v>
      </c>
      <c r="S87" s="9">
        <f t="shared" si="13"/>
        <v>3.8050686942668625E-5</v>
      </c>
      <c r="T87" s="9">
        <f t="shared" si="10"/>
        <v>9.3073531712024583E-5</v>
      </c>
      <c r="U87" s="9">
        <f t="shared" si="11"/>
        <v>1.1194931305733137E-4</v>
      </c>
      <c r="V87" s="100">
        <f t="shared" si="14"/>
        <v>0.83138993148050722</v>
      </c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282</v>
      </c>
      <c r="C88" s="46" t="s">
        <v>283</v>
      </c>
      <c r="D88" s="47">
        <v>1.93</v>
      </c>
      <c r="E88" s="47">
        <v>1.25</v>
      </c>
      <c r="F88" s="96">
        <v>9.9999999999999995E-7</v>
      </c>
      <c r="G88" s="7"/>
      <c r="H88" s="7"/>
      <c r="I88" s="54">
        <f t="shared" si="33"/>
        <v>1.7455890954858774E-2</v>
      </c>
      <c r="J88" s="54">
        <f t="shared" si="34"/>
        <v>1.2885466241289183</v>
      </c>
      <c r="K88" s="55">
        <f t="shared" si="35"/>
        <v>0.95400321912930242</v>
      </c>
      <c r="L88" s="55">
        <f t="shared" si="36"/>
        <v>6.3561384291849548E-3</v>
      </c>
      <c r="M88" s="55">
        <f t="shared" si="37"/>
        <v>0.99364386157081508</v>
      </c>
      <c r="N88" s="55">
        <f t="shared" si="38"/>
        <v>5.5429329293297455E-3</v>
      </c>
      <c r="O88" s="56">
        <f t="shared" si="39"/>
        <v>9.5482472343913211E-7</v>
      </c>
      <c r="P88" s="56">
        <f t="shared" si="40"/>
        <v>1.8555398246945595E-5</v>
      </c>
      <c r="Q88" s="56">
        <f t="shared" si="41"/>
        <v>1.6979451458879179E-5</v>
      </c>
      <c r="R88" s="9">
        <f t="shared" si="12"/>
        <v>1.4999999999999999E-4</v>
      </c>
      <c r="S88" s="9">
        <f t="shared" si="13"/>
        <v>9.5342076437774312E-7</v>
      </c>
      <c r="T88" s="9">
        <f t="shared" si="10"/>
        <v>1.4310048286939536E-4</v>
      </c>
      <c r="U88" s="9">
        <f t="shared" si="11"/>
        <v>1.4904657923562226E-4</v>
      </c>
      <c r="V88" s="100">
        <f t="shared" si="14"/>
        <v>0.96010578440162031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284</v>
      </c>
      <c r="C89" s="46" t="s">
        <v>285</v>
      </c>
      <c r="D89" s="47">
        <v>1.25894119353766</v>
      </c>
      <c r="E89" s="47">
        <v>1.3134233879901926</v>
      </c>
      <c r="F89" s="96">
        <v>9.9999999999999995E-7</v>
      </c>
      <c r="G89" s="7"/>
      <c r="H89" s="7"/>
      <c r="I89" s="54">
        <f t="shared" si="33"/>
        <v>3.8813937169773554E-3</v>
      </c>
      <c r="J89" s="54">
        <f t="shared" si="34"/>
        <v>1.3044081322612702</v>
      </c>
      <c r="K89" s="55">
        <f t="shared" si="35"/>
        <v>0.98385431523277322</v>
      </c>
      <c r="L89" s="55">
        <f t="shared" si="36"/>
        <v>6.7988554822486849E-3</v>
      </c>
      <c r="M89" s="55">
        <f t="shared" si="37"/>
        <v>0.99320114451775132</v>
      </c>
      <c r="N89" s="55">
        <f t="shared" si="38"/>
        <v>6.6152150382141591E-3</v>
      </c>
      <c r="O89" s="56">
        <f t="shared" si="39"/>
        <v>9.8470152470125465E-7</v>
      </c>
      <c r="P89" s="56">
        <f t="shared" si="40"/>
        <v>1.9847816799787744E-5</v>
      </c>
      <c r="Q89" s="56">
        <f t="shared" si="41"/>
        <v>2.0264131654392396E-5</v>
      </c>
      <c r="R89" s="9">
        <f t="shared" si="12"/>
        <v>1.4999999999999999E-4</v>
      </c>
      <c r="S89" s="9">
        <f t="shared" si="13"/>
        <v>1.0198283223373027E-6</v>
      </c>
      <c r="T89" s="9">
        <f t="shared" si="10"/>
        <v>1.4757814728491597E-4</v>
      </c>
      <c r="U89" s="9">
        <f t="shared" si="11"/>
        <v>1.4898017167766267E-4</v>
      </c>
      <c r="V89" s="100">
        <f t="shared" si="14"/>
        <v>0.99058918796401862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286</v>
      </c>
      <c r="C90" s="46" t="s">
        <v>287</v>
      </c>
      <c r="D90" s="47">
        <v>0.21626245461153099</v>
      </c>
      <c r="E90" s="47">
        <v>-0.16982383217232916</v>
      </c>
      <c r="F90" s="96">
        <v>9.9999999999999995E-7</v>
      </c>
      <c r="G90" s="7"/>
      <c r="H90" s="7"/>
      <c r="I90" s="54">
        <f t="shared" si="33"/>
        <v>1.2917346823443875E-4</v>
      </c>
      <c r="J90" s="54">
        <f t="shared" si="34"/>
        <v>-0.14856791126729224</v>
      </c>
      <c r="K90" s="55">
        <f t="shared" si="35"/>
        <v>0.99894170457543752</v>
      </c>
      <c r="L90" s="55">
        <f t="shared" si="36"/>
        <v>2.432591115599476E-4</v>
      </c>
      <c r="M90" s="55">
        <f t="shared" si="37"/>
        <v>0.99975674088844002</v>
      </c>
      <c r="N90" s="55">
        <f t="shared" si="38"/>
        <v>2.2075273655176395E-4</v>
      </c>
      <c r="O90" s="56">
        <f t="shared" si="39"/>
        <v>9.9980190598683994E-7</v>
      </c>
      <c r="P90" s="56">
        <f t="shared" si="40"/>
        <v>7.1014339012308018E-7</v>
      </c>
      <c r="Q90" s="56">
        <f t="shared" si="41"/>
        <v>6.7622329594896626E-7</v>
      </c>
      <c r="R90" s="9">
        <f t="shared" si="12"/>
        <v>1.4999999999999999E-4</v>
      </c>
      <c r="S90" s="9">
        <f t="shared" si="13"/>
        <v>3.6488866733992139E-8</v>
      </c>
      <c r="T90" s="9">
        <f t="shared" si="10"/>
        <v>1.498412556863156E-4</v>
      </c>
      <c r="U90" s="9">
        <f t="shared" si="11"/>
        <v>1.49963511133266E-4</v>
      </c>
      <c r="V90" s="100">
        <f t="shared" si="14"/>
        <v>0.99918476537374656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288</v>
      </c>
      <c r="C91" s="46" t="s">
        <v>289</v>
      </c>
      <c r="D91" s="47">
        <v>-2.4693681101840836E-2</v>
      </c>
      <c r="E91" s="47">
        <v>-0.51259241959557644</v>
      </c>
      <c r="F91" s="96">
        <v>9.9999999999999995E-7</v>
      </c>
      <c r="G91" s="7"/>
      <c r="H91" s="7"/>
      <c r="I91" s="54">
        <f t="shared" ref="I91:I122" si="42">IF(D91=0,"",LOG($K$15*10^D91+$K$16*10^E91+$K$14))</f>
        <v>-2.2956464274597468E-5</v>
      </c>
      <c r="J91" s="54">
        <f t="shared" ref="J91:J122" si="43">IF(D91=0,"",LOG($K$21*10^D91+$K$22*10^E91+$K$20))</f>
        <v>-0.4708912582913774</v>
      </c>
      <c r="K91" s="55">
        <f t="shared" ref="K91:K122" si="44">IF(D91=0,"",1/(1+10^D91*$J$15/$J$14+10^E91*$J$16/$J$14+10^J91*$J$19/$J$14))</f>
        <v>0.99941902186569676</v>
      </c>
      <c r="L91" s="55">
        <f t="shared" ref="L91:L122" si="45">IF(D91=0,"",1/(1+10^I91/10^J91*$J$13/$J$19))</f>
        <v>1.1586525867528263E-4</v>
      </c>
      <c r="M91" s="55">
        <f t="shared" ref="M91:M122" si="46">IF(D91=0,"",1-L91)</f>
        <v>0.99988413474132476</v>
      </c>
      <c r="N91" s="55">
        <f t="shared" ref="N91:N122" si="47">IF(D91=0,"",1/(1/10^E91*$J$20/$J$22+10^D91/10^E91*$J$21/$J$22+10^I91/10^E91*$J$13/$J$22+1))</f>
        <v>1.0031017195375644E-4</v>
      </c>
      <c r="O91" s="56">
        <f t="shared" ref="O91:O122" si="48">IF(D91=0,"",F91*K91*$J$7/$J$14)</f>
        <v>1.0002796343010906E-6</v>
      </c>
      <c r="P91" s="56">
        <f t="shared" ref="P91:P122" si="49">IF(D91=0,"",O91*10^J91)</f>
        <v>3.3824405205424708E-7</v>
      </c>
      <c r="Q91" s="56">
        <f t="shared" ref="Q91:Q122" si="50">IF(D91=0,"",F91*N91*$J$7/$J$22)</f>
        <v>3.0727625919994384E-7</v>
      </c>
      <c r="R91" s="9">
        <f t="shared" si="12"/>
        <v>1.4999999999999999E-4</v>
      </c>
      <c r="S91" s="9">
        <f t="shared" si="13"/>
        <v>1.7379788801292393E-8</v>
      </c>
      <c r="T91" s="9">
        <f t="shared" si="10"/>
        <v>1.499128532798545E-4</v>
      </c>
      <c r="U91" s="9">
        <f t="shared" si="11"/>
        <v>1.499826202111987E-4</v>
      </c>
      <c r="V91" s="100">
        <f t="shared" si="14"/>
        <v>0.99953483322770365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290</v>
      </c>
      <c r="C92" s="46" t="s">
        <v>291</v>
      </c>
      <c r="D92" s="47">
        <v>1.358312346903767</v>
      </c>
      <c r="E92" s="47">
        <v>1.454782352637753</v>
      </c>
      <c r="F92" s="96">
        <v>9.9999999999999995E-7</v>
      </c>
      <c r="G92" s="7"/>
      <c r="H92" s="7"/>
      <c r="I92" s="54">
        <f t="shared" si="42"/>
        <v>4.9737704902702096E-3</v>
      </c>
      <c r="J92" s="54">
        <f t="shared" si="43"/>
        <v>1.4446125395169127</v>
      </c>
      <c r="K92" s="55">
        <f t="shared" si="44"/>
        <v>0.97886997808027154</v>
      </c>
      <c r="L92" s="55">
        <f t="shared" si="45"/>
        <v>9.3418831595496812E-3</v>
      </c>
      <c r="M92" s="55">
        <f t="shared" si="46"/>
        <v>0.99065811684045035</v>
      </c>
      <c r="N92" s="55">
        <f t="shared" si="47"/>
        <v>9.1137507074076449E-3</v>
      </c>
      <c r="O92" s="56">
        <f t="shared" si="48"/>
        <v>9.7971289547261495E-7</v>
      </c>
      <c r="P92" s="56">
        <f t="shared" si="49"/>
        <v>2.7271646823479621E-5</v>
      </c>
      <c r="Q92" s="56">
        <f t="shared" si="50"/>
        <v>2.7917799063728865E-5</v>
      </c>
      <c r="R92" s="9">
        <f t="shared" si="12"/>
        <v>1.4999999999999999E-4</v>
      </c>
      <c r="S92" s="9">
        <f t="shared" si="13"/>
        <v>1.4012824739324521E-6</v>
      </c>
      <c r="T92" s="9">
        <f t="shared" ref="T92:T143" si="51">R92*K92</f>
        <v>1.4683049671204072E-4</v>
      </c>
      <c r="U92" s="9">
        <f t="shared" ref="U92:U143" si="52">$R92*M92</f>
        <v>1.4859871752606754E-4</v>
      </c>
      <c r="V92" s="100">
        <f t="shared" si="14"/>
        <v>0.98810069936359557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292</v>
      </c>
      <c r="C93" s="46" t="s">
        <v>293</v>
      </c>
      <c r="D93" s="47">
        <v>-1.2091799453325114E-2</v>
      </c>
      <c r="E93" s="47">
        <v>-0.49466579922233578</v>
      </c>
      <c r="F93" s="96">
        <v>9.9999999999999995E-7</v>
      </c>
      <c r="G93" s="7"/>
      <c r="H93" s="7"/>
      <c r="I93" s="54">
        <f t="shared" si="42"/>
        <v>-1.6944268240451622E-5</v>
      </c>
      <c r="J93" s="54">
        <f t="shared" si="43"/>
        <v>-0.45433038653479663</v>
      </c>
      <c r="K93" s="55">
        <f t="shared" si="44"/>
        <v>0.99940068718549413</v>
      </c>
      <c r="L93" s="55">
        <f t="shared" si="45"/>
        <v>1.2036664068390981E-4</v>
      </c>
      <c r="M93" s="55">
        <f t="shared" si="46"/>
        <v>0.99987963335931607</v>
      </c>
      <c r="N93" s="55">
        <f t="shared" si="47"/>
        <v>1.0453545837561394E-4</v>
      </c>
      <c r="O93" s="56">
        <f t="shared" si="48"/>
        <v>1.0002612838326616E-6</v>
      </c>
      <c r="P93" s="56">
        <f t="shared" si="49"/>
        <v>3.5138488225520673E-7</v>
      </c>
      <c r="Q93" s="56">
        <f t="shared" si="50"/>
        <v>3.2021941521761302E-7</v>
      </c>
      <c r="R93" s="9">
        <f t="shared" ref="R93:R143" si="53">F93*$C$14</f>
        <v>1.4999999999999999E-4</v>
      </c>
      <c r="S93" s="9">
        <f t="shared" ref="S93:S143" si="54">$R93*L93</f>
        <v>1.805499610258647E-8</v>
      </c>
      <c r="T93" s="9">
        <f t="shared" si="51"/>
        <v>1.4991010307782411E-4</v>
      </c>
      <c r="U93" s="9">
        <f t="shared" si="52"/>
        <v>1.4998194500389739E-4</v>
      </c>
      <c r="V93" s="100">
        <f t="shared" ref="V93:V143" si="55">K93/M93</f>
        <v>0.99952099617009615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294</v>
      </c>
      <c r="C94" s="46" t="s">
        <v>295</v>
      </c>
      <c r="D94" s="47">
        <v>-0.5582197001134892</v>
      </c>
      <c r="E94" s="47">
        <v>-1.2715519677670764</v>
      </c>
      <c r="F94" s="96">
        <v>9.9999999999999995E-7</v>
      </c>
      <c r="G94" s="7"/>
      <c r="H94" s="7"/>
      <c r="I94" s="54">
        <f t="shared" si="42"/>
        <v>-1.664624595209951E-4</v>
      </c>
      <c r="J94" s="54">
        <f t="shared" si="43"/>
        <v>-1.1134154401597203</v>
      </c>
      <c r="K94" s="55">
        <f t="shared" si="44"/>
        <v>0.99983877196434023</v>
      </c>
      <c r="L94" s="55">
        <f t="shared" si="45"/>
        <v>2.6400455286382611E-5</v>
      </c>
      <c r="M94" s="55">
        <f t="shared" si="46"/>
        <v>0.99997359954471365</v>
      </c>
      <c r="N94" s="55">
        <f t="shared" si="47"/>
        <v>1.7481061051036911E-5</v>
      </c>
      <c r="O94" s="56">
        <f t="shared" si="48"/>
        <v>1.0006997458518846E-6</v>
      </c>
      <c r="P94" s="56">
        <f t="shared" si="49"/>
        <v>7.7070530668465238E-8</v>
      </c>
      <c r="Q94" s="56">
        <f t="shared" si="50"/>
        <v>5.3549056311903839E-8</v>
      </c>
      <c r="R94" s="9">
        <f t="shared" si="53"/>
        <v>1.4999999999999999E-4</v>
      </c>
      <c r="S94" s="9">
        <f t="shared" si="54"/>
        <v>3.9600682929573915E-9</v>
      </c>
      <c r="T94" s="9">
        <f t="shared" si="51"/>
        <v>1.4997581579465102E-4</v>
      </c>
      <c r="U94" s="9">
        <f t="shared" si="52"/>
        <v>1.4999603993170703E-4</v>
      </c>
      <c r="V94" s="100">
        <f t="shared" si="55"/>
        <v>0.99986516886002308</v>
      </c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296</v>
      </c>
      <c r="C95" s="46" t="s">
        <v>297</v>
      </c>
      <c r="D95" s="47">
        <v>3.8826699877244018</v>
      </c>
      <c r="E95" s="47">
        <v>5.0457699825375304</v>
      </c>
      <c r="F95" s="96">
        <v>9.9999999999999995E-7</v>
      </c>
      <c r="G95" s="7"/>
      <c r="H95" s="7"/>
      <c r="I95" s="54">
        <f t="shared" si="42"/>
        <v>0.94867954725222914</v>
      </c>
      <c r="J95" s="54">
        <f t="shared" si="43"/>
        <v>5.0257698077891471</v>
      </c>
      <c r="K95" s="55">
        <f t="shared" si="44"/>
        <v>2.2089492730423908E-2</v>
      </c>
      <c r="L95" s="55">
        <f t="shared" si="45"/>
        <v>0.80362313942310826</v>
      </c>
      <c r="M95" s="55">
        <f t="shared" si="46"/>
        <v>0.19637686057689174</v>
      </c>
      <c r="N95" s="55">
        <f t="shared" si="47"/>
        <v>0.80194670748116181</v>
      </c>
      <c r="O95" s="56">
        <f t="shared" si="48"/>
        <v>2.2108514273659954E-8</v>
      </c>
      <c r="P95" s="56">
        <f t="shared" si="49"/>
        <v>2.346007337409195E-3</v>
      </c>
      <c r="Q95" s="56">
        <f t="shared" si="50"/>
        <v>2.456572245396246E-3</v>
      </c>
      <c r="R95" s="9">
        <f t="shared" si="53"/>
        <v>1.4999999999999999E-4</v>
      </c>
      <c r="S95" s="9">
        <f t="shared" si="54"/>
        <v>1.2054347091346622E-4</v>
      </c>
      <c r="T95" s="9">
        <f t="shared" si="51"/>
        <v>3.3134239095635858E-6</v>
      </c>
      <c r="U95" s="9">
        <f t="shared" si="52"/>
        <v>2.9456529086533758E-5</v>
      </c>
      <c r="V95" s="100">
        <f t="shared" si="55"/>
        <v>0.11248521167683462</v>
      </c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298</v>
      </c>
      <c r="C96" s="46" t="s">
        <v>211</v>
      </c>
      <c r="D96" s="47">
        <v>-5.8280000000154555</v>
      </c>
      <c r="E96" s="47">
        <v>-8.7680000000219867</v>
      </c>
      <c r="F96" s="96">
        <v>9.9999999999999995E-7</v>
      </c>
      <c r="G96" s="7"/>
      <c r="H96" s="7"/>
      <c r="I96" s="54">
        <f t="shared" si="42"/>
        <v>-2.2502251762220258E-4</v>
      </c>
      <c r="J96" s="54">
        <f t="shared" si="43"/>
        <v>-1.7447264159650488</v>
      </c>
      <c r="K96" s="55">
        <f t="shared" si="44"/>
        <v>0.99999382811239768</v>
      </c>
      <c r="L96" s="55">
        <f t="shared" si="45"/>
        <v>6.171173923173224E-6</v>
      </c>
      <c r="M96" s="55">
        <f t="shared" si="46"/>
        <v>0.99999382882607679</v>
      </c>
      <c r="N96" s="55">
        <f t="shared" si="47"/>
        <v>5.5742584768148E-13</v>
      </c>
      <c r="O96" s="56">
        <f t="shared" si="48"/>
        <v>1.000854935520764E-6</v>
      </c>
      <c r="P96" s="56">
        <f t="shared" si="49"/>
        <v>1.801543359563492E-8</v>
      </c>
      <c r="Q96" s="56">
        <f t="shared" si="50"/>
        <v>1.7075409793523795E-15</v>
      </c>
      <c r="R96" s="9">
        <f t="shared" si="53"/>
        <v>1.4999999999999999E-4</v>
      </c>
      <c r="S96" s="9">
        <f t="shared" si="54"/>
        <v>9.2567608847598352E-10</v>
      </c>
      <c r="T96" s="9">
        <f t="shared" si="51"/>
        <v>1.4999907421685963E-4</v>
      </c>
      <c r="U96" s="9">
        <f t="shared" si="52"/>
        <v>1.499990743239115E-4</v>
      </c>
      <c r="V96" s="100">
        <f t="shared" si="55"/>
        <v>0.99999999928631644</v>
      </c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299</v>
      </c>
      <c r="C97" s="46" t="s">
        <v>212</v>
      </c>
      <c r="D97" s="47" t="s">
        <v>300</v>
      </c>
      <c r="E97" s="47">
        <v>-4.1624004386372073</v>
      </c>
      <c r="F97" s="96">
        <v>9.9999999999999995E-7</v>
      </c>
      <c r="G97" s="7"/>
      <c r="H97" s="7"/>
      <c r="I97" s="54" t="e">
        <f t="shared" si="42"/>
        <v>#VALUE!</v>
      </c>
      <c r="J97" s="54" t="e">
        <f t="shared" si="43"/>
        <v>#VALUE!</v>
      </c>
      <c r="K97" s="55" t="e">
        <f t="shared" si="44"/>
        <v>#VALUE!</v>
      </c>
      <c r="L97" s="55" t="e">
        <f t="shared" si="45"/>
        <v>#VALUE!</v>
      </c>
      <c r="M97" s="55" t="e">
        <f t="shared" si="46"/>
        <v>#VALUE!</v>
      </c>
      <c r="N97" s="55" t="e">
        <f t="shared" si="47"/>
        <v>#VALUE!</v>
      </c>
      <c r="O97" s="56" t="e">
        <f t="shared" si="48"/>
        <v>#VALUE!</v>
      </c>
      <c r="P97" s="56" t="e">
        <f t="shared" si="49"/>
        <v>#VALUE!</v>
      </c>
      <c r="Q97" s="56" t="e">
        <f t="shared" si="50"/>
        <v>#VALUE!</v>
      </c>
      <c r="R97" s="9">
        <f t="shared" si="53"/>
        <v>1.4999999999999999E-4</v>
      </c>
      <c r="S97" s="9"/>
      <c r="T97" s="9"/>
      <c r="U97" s="9"/>
      <c r="V97" s="100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301</v>
      </c>
      <c r="C98" s="46" t="s">
        <v>213</v>
      </c>
      <c r="D98" s="47">
        <v>4.54</v>
      </c>
      <c r="E98" s="47">
        <v>4.25</v>
      </c>
      <c r="F98" s="96">
        <v>9.9999999999999995E-7</v>
      </c>
      <c r="G98" s="7"/>
      <c r="H98" s="7"/>
      <c r="I98" s="54">
        <f t="shared" si="42"/>
        <v>1.2628922084387679</v>
      </c>
      <c r="J98" s="54">
        <f t="shared" si="43"/>
        <v>4.2541263298804033</v>
      </c>
      <c r="K98" s="55">
        <f t="shared" si="44"/>
        <v>4.08446305440704E-2</v>
      </c>
      <c r="L98" s="55">
        <f t="shared" si="45"/>
        <v>0.25139589662436285</v>
      </c>
      <c r="M98" s="55">
        <f t="shared" si="46"/>
        <v>0.74860410337563721</v>
      </c>
      <c r="N98" s="55">
        <f t="shared" si="47"/>
        <v>0.2373147627695269</v>
      </c>
      <c r="O98" s="56">
        <f t="shared" si="48"/>
        <v>4.087980237510047E-8</v>
      </c>
      <c r="P98" s="56">
        <f t="shared" si="49"/>
        <v>7.33897008613637E-4</v>
      </c>
      <c r="Q98" s="56">
        <f t="shared" si="50"/>
        <v>7.2695710850101424E-4</v>
      </c>
      <c r="R98" s="9">
        <f t="shared" si="53"/>
        <v>1.4999999999999999E-4</v>
      </c>
      <c r="S98" s="9">
        <f t="shared" si="54"/>
        <v>3.7709384493654425E-5</v>
      </c>
      <c r="T98" s="9">
        <f t="shared" si="51"/>
        <v>6.126694581610559E-6</v>
      </c>
      <c r="U98" s="9">
        <f t="shared" si="52"/>
        <v>1.1229061550634557E-4</v>
      </c>
      <c r="V98" s="100">
        <f t="shared" si="55"/>
        <v>5.4561056184292966E-2</v>
      </c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302</v>
      </c>
      <c r="C99" s="46" t="s">
        <v>214</v>
      </c>
      <c r="D99" s="47">
        <v>2.83</v>
      </c>
      <c r="E99" s="47">
        <v>2.3199999999999998</v>
      </c>
      <c r="F99" s="96">
        <v>9.9999999999999995E-7</v>
      </c>
      <c r="G99" s="7"/>
      <c r="H99" s="7"/>
      <c r="I99" s="54">
        <f t="shared" si="42"/>
        <v>0.12448503768629132</v>
      </c>
      <c r="J99" s="54">
        <f t="shared" si="43"/>
        <v>2.3399169453539823</v>
      </c>
      <c r="K99" s="55">
        <f t="shared" si="44"/>
        <v>0.71041735717906351</v>
      </c>
      <c r="L99" s="55">
        <f t="shared" si="45"/>
        <v>5.3275482522817885E-2</v>
      </c>
      <c r="M99" s="55">
        <f t="shared" si="46"/>
        <v>0.94672451747718211</v>
      </c>
      <c r="N99" s="55">
        <f t="shared" si="47"/>
        <v>4.8495712809448289E-2</v>
      </c>
      <c r="O99" s="56">
        <f t="shared" si="48"/>
        <v>7.1102910660401101E-7</v>
      </c>
      <c r="P99" s="56">
        <f t="shared" si="49"/>
        <v>1.5552647350631043E-4</v>
      </c>
      <c r="Q99" s="56">
        <f t="shared" si="50"/>
        <v>1.4855503613523646E-4</v>
      </c>
      <c r="R99" s="9">
        <f t="shared" si="53"/>
        <v>1.4999999999999999E-4</v>
      </c>
      <c r="S99" s="9">
        <f t="shared" si="54"/>
        <v>7.9913223784226818E-6</v>
      </c>
      <c r="T99" s="9">
        <f t="shared" si="51"/>
        <v>1.0656260357685951E-4</v>
      </c>
      <c r="U99" s="9">
        <f t="shared" si="52"/>
        <v>1.4200867762157731E-4</v>
      </c>
      <c r="V99" s="100">
        <f t="shared" si="55"/>
        <v>0.75039501361195704</v>
      </c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303</v>
      </c>
      <c r="C100" s="46" t="s">
        <v>215</v>
      </c>
      <c r="D100" s="47" t="s">
        <v>300</v>
      </c>
      <c r="E100" s="47">
        <v>1.7</v>
      </c>
      <c r="F100" s="96">
        <v>9.9999999999999995E-7</v>
      </c>
      <c r="G100" s="7"/>
      <c r="H100" s="7"/>
      <c r="I100" s="54" t="e">
        <f t="shared" si="42"/>
        <v>#VALUE!</v>
      </c>
      <c r="J100" s="54" t="e">
        <f t="shared" si="43"/>
        <v>#VALUE!</v>
      </c>
      <c r="K100" s="55" t="e">
        <f t="shared" si="44"/>
        <v>#VALUE!</v>
      </c>
      <c r="L100" s="55" t="e">
        <f t="shared" si="45"/>
        <v>#VALUE!</v>
      </c>
      <c r="M100" s="55" t="e">
        <f t="shared" si="46"/>
        <v>#VALUE!</v>
      </c>
      <c r="N100" s="55" t="e">
        <f t="shared" si="47"/>
        <v>#VALUE!</v>
      </c>
      <c r="O100" s="56" t="e">
        <f t="shared" si="48"/>
        <v>#VALUE!</v>
      </c>
      <c r="P100" s="56" t="e">
        <f t="shared" si="49"/>
        <v>#VALUE!</v>
      </c>
      <c r="Q100" s="56" t="e">
        <f t="shared" si="50"/>
        <v>#VALUE!</v>
      </c>
      <c r="R100" s="9">
        <f t="shared" si="53"/>
        <v>1.4999999999999999E-4</v>
      </c>
      <c r="S100" s="9"/>
      <c r="T100" s="9"/>
      <c r="U100" s="9"/>
      <c r="V100" s="100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304</v>
      </c>
      <c r="C101" s="46" t="s">
        <v>216</v>
      </c>
      <c r="D101" s="47">
        <v>4.2</v>
      </c>
      <c r="E101" s="47">
        <v>3.52</v>
      </c>
      <c r="F101" s="96">
        <v>9.9999999999999995E-7</v>
      </c>
      <c r="G101" s="7"/>
      <c r="H101" s="7"/>
      <c r="I101" s="54">
        <f t="shared" si="42"/>
        <v>0.94115347171694241</v>
      </c>
      <c r="J101" s="54">
        <f t="shared" si="43"/>
        <v>3.5581463368984303</v>
      </c>
      <c r="K101" s="55">
        <f t="shared" si="44"/>
        <v>0.1002323824301239</v>
      </c>
      <c r="L101" s="55">
        <f t="shared" si="45"/>
        <v>0.12423709072706766</v>
      </c>
      <c r="M101" s="55">
        <f t="shared" si="46"/>
        <v>0.87576290927293232</v>
      </c>
      <c r="N101" s="55">
        <f t="shared" si="47"/>
        <v>0.10844207939565889</v>
      </c>
      <c r="O101" s="56">
        <f t="shared" si="48"/>
        <v>1.0031869380989681E-7</v>
      </c>
      <c r="P101" s="56">
        <f t="shared" si="49"/>
        <v>3.6268384037983499E-4</v>
      </c>
      <c r="Q101" s="56">
        <f t="shared" si="50"/>
        <v>3.321864158693981E-4</v>
      </c>
      <c r="R101" s="9">
        <f t="shared" si="53"/>
        <v>1.4999999999999999E-4</v>
      </c>
      <c r="S101" s="9">
        <f t="shared" si="54"/>
        <v>1.8635563609060149E-5</v>
      </c>
      <c r="T101" s="9">
        <f t="shared" si="51"/>
        <v>1.5034857364518584E-5</v>
      </c>
      <c r="U101" s="9">
        <f t="shared" si="52"/>
        <v>1.3136443639093985E-4</v>
      </c>
      <c r="V101" s="100">
        <f t="shared" si="55"/>
        <v>0.11445150436130927</v>
      </c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305</v>
      </c>
      <c r="C102" s="46" t="s">
        <v>217</v>
      </c>
      <c r="D102" s="47">
        <v>3.44</v>
      </c>
      <c r="E102" s="47">
        <v>-2.9403004386372071</v>
      </c>
      <c r="F102" s="96">
        <v>9.9999999999999995E-7</v>
      </c>
      <c r="G102" s="7"/>
      <c r="H102" s="7"/>
      <c r="I102" s="54">
        <f t="shared" si="42"/>
        <v>0.36577089944725916</v>
      </c>
      <c r="J102" s="54">
        <f t="shared" si="43"/>
        <v>1.902501802940779</v>
      </c>
      <c r="K102" s="55">
        <f t="shared" si="44"/>
        <v>0.42551282888913217</v>
      </c>
      <c r="L102" s="55">
        <f t="shared" si="45"/>
        <v>1.1654974937799472E-2</v>
      </c>
      <c r="M102" s="55">
        <f t="shared" si="46"/>
        <v>0.98834502506220057</v>
      </c>
      <c r="N102" s="55">
        <f t="shared" si="47"/>
        <v>1.5951517440055228E-7</v>
      </c>
      <c r="O102" s="56">
        <f t="shared" si="48"/>
        <v>4.2587924339991269E-7</v>
      </c>
      <c r="P102" s="56">
        <f t="shared" si="49"/>
        <v>3.4024227750617205E-5</v>
      </c>
      <c r="Q102" s="56">
        <f t="shared" si="50"/>
        <v>4.8863664691976256E-10</v>
      </c>
      <c r="R102" s="9">
        <f t="shared" si="53"/>
        <v>1.4999999999999999E-4</v>
      </c>
      <c r="S102" s="9">
        <f t="shared" si="54"/>
        <v>1.7482462406699205E-6</v>
      </c>
      <c r="T102" s="9">
        <f t="shared" si="51"/>
        <v>6.3826924333369823E-5</v>
      </c>
      <c r="U102" s="9">
        <f t="shared" si="52"/>
        <v>1.4825175375933006E-4</v>
      </c>
      <c r="V102" s="100">
        <f t="shared" si="55"/>
        <v>0.43053065285814829</v>
      </c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306</v>
      </c>
      <c r="C103" s="46" t="s">
        <v>218</v>
      </c>
      <c r="D103" s="47">
        <v>4.49</v>
      </c>
      <c r="E103" s="47">
        <v>-1.7182004386372074</v>
      </c>
      <c r="F103" s="96">
        <v>9.9999999999999995E-7</v>
      </c>
      <c r="G103" s="7"/>
      <c r="H103" s="7"/>
      <c r="I103" s="54">
        <f t="shared" si="42"/>
        <v>1.199560490818528</v>
      </c>
      <c r="J103" s="54">
        <f t="shared" si="43"/>
        <v>2.952415556871657</v>
      </c>
      <c r="K103" s="55">
        <f t="shared" si="44"/>
        <v>6.1925750771235792E-2</v>
      </c>
      <c r="L103" s="55">
        <f t="shared" si="45"/>
        <v>1.9027587168781952E-2</v>
      </c>
      <c r="M103" s="55">
        <f t="shared" si="46"/>
        <v>0.98097241283121805</v>
      </c>
      <c r="N103" s="55">
        <f t="shared" si="47"/>
        <v>3.8713338534744995E-7</v>
      </c>
      <c r="O103" s="56">
        <f t="shared" si="48"/>
        <v>6.1979075823109768E-8</v>
      </c>
      <c r="P103" s="56">
        <f t="shared" si="49"/>
        <v>5.5547005706182267E-5</v>
      </c>
      <c r="Q103" s="56">
        <f t="shared" si="50"/>
        <v>1.1858906843048237E-9</v>
      </c>
      <c r="R103" s="9">
        <f t="shared" si="53"/>
        <v>1.4999999999999999E-4</v>
      </c>
      <c r="S103" s="9">
        <f t="shared" si="54"/>
        <v>2.8541380753172927E-6</v>
      </c>
      <c r="T103" s="9">
        <f t="shared" si="51"/>
        <v>9.2888626156853688E-6</v>
      </c>
      <c r="U103" s="9">
        <f t="shared" si="52"/>
        <v>1.471458619246827E-4</v>
      </c>
      <c r="V103" s="100">
        <f t="shared" si="55"/>
        <v>6.3126903428924935E-2</v>
      </c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307</v>
      </c>
      <c r="C104" s="46" t="s">
        <v>219</v>
      </c>
      <c r="D104" s="47">
        <v>5.17</v>
      </c>
      <c r="E104" s="47">
        <v>4.54</v>
      </c>
      <c r="F104" s="96">
        <v>9.9999999999999995E-7</v>
      </c>
      <c r="G104" s="7"/>
      <c r="H104" s="7"/>
      <c r="I104" s="54">
        <f t="shared" si="42"/>
        <v>1.8651886014657959</v>
      </c>
      <c r="J104" s="54">
        <f t="shared" si="43"/>
        <v>4.5720981736720114</v>
      </c>
      <c r="K104" s="55">
        <f t="shared" si="44"/>
        <v>1.1607412926504704E-2</v>
      </c>
      <c r="L104" s="55">
        <f t="shared" si="45"/>
        <v>0.14856978364396428</v>
      </c>
      <c r="M104" s="55">
        <f t="shared" si="46"/>
        <v>0.85143021635603566</v>
      </c>
      <c r="N104" s="55">
        <f t="shared" si="47"/>
        <v>0.13149983802318502</v>
      </c>
      <c r="O104" s="56">
        <f t="shared" si="48"/>
        <v>1.1617408217457495E-8</v>
      </c>
      <c r="P104" s="56">
        <f t="shared" si="49"/>
        <v>4.3371797730494061E-4</v>
      </c>
      <c r="Q104" s="56">
        <f t="shared" si="50"/>
        <v>4.0281835357425754E-4</v>
      </c>
      <c r="R104" s="9">
        <f t="shared" si="53"/>
        <v>1.4999999999999999E-4</v>
      </c>
      <c r="S104" s="9">
        <f t="shared" si="54"/>
        <v>2.2285467546594642E-5</v>
      </c>
      <c r="T104" s="9">
        <f t="shared" si="51"/>
        <v>1.7411119389757053E-6</v>
      </c>
      <c r="U104" s="9">
        <f t="shared" si="52"/>
        <v>1.2771453245340533E-4</v>
      </c>
      <c r="V104" s="100">
        <f t="shared" si="55"/>
        <v>1.3632841193001455E-2</v>
      </c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308</v>
      </c>
      <c r="C105" s="46" t="s">
        <v>220</v>
      </c>
      <c r="D105" s="47">
        <v>4.76</v>
      </c>
      <c r="E105" s="47">
        <v>4.8899999999999997</v>
      </c>
      <c r="F105" s="96">
        <v>9.9999999999999995E-7</v>
      </c>
      <c r="G105" s="7"/>
      <c r="H105" s="7"/>
      <c r="I105" s="54">
        <f t="shared" si="42"/>
        <v>1.4992792320699506</v>
      </c>
      <c r="J105" s="54">
        <f t="shared" si="43"/>
        <v>4.8787810541389218</v>
      </c>
      <c r="K105" s="55">
        <f t="shared" si="44"/>
        <v>1.7384893593021776E-2</v>
      </c>
      <c r="L105" s="55">
        <f t="shared" si="45"/>
        <v>0.4508685824850468</v>
      </c>
      <c r="M105" s="55">
        <f t="shared" si="46"/>
        <v>0.5491314175149532</v>
      </c>
      <c r="N105" s="55">
        <f t="shared" si="47"/>
        <v>0.44092205236834114</v>
      </c>
      <c r="O105" s="56">
        <f t="shared" si="48"/>
        <v>1.7399863946083722E-8</v>
      </c>
      <c r="P105" s="56">
        <f t="shared" si="49"/>
        <v>1.316215214355968E-3</v>
      </c>
      <c r="Q105" s="56">
        <f t="shared" si="50"/>
        <v>1.350659421787901E-3</v>
      </c>
      <c r="R105" s="9">
        <f t="shared" si="53"/>
        <v>1.4999999999999999E-4</v>
      </c>
      <c r="S105" s="9">
        <f t="shared" si="54"/>
        <v>6.7630287372757008E-5</v>
      </c>
      <c r="T105" s="9">
        <f t="shared" si="51"/>
        <v>2.6077340389532662E-6</v>
      </c>
      <c r="U105" s="9">
        <f t="shared" si="52"/>
        <v>8.2369712627242979E-5</v>
      </c>
      <c r="V105" s="100">
        <f t="shared" si="55"/>
        <v>3.1658894462268453E-2</v>
      </c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309</v>
      </c>
      <c r="C106" s="46" t="s">
        <v>221</v>
      </c>
      <c r="D106" s="47">
        <v>3.93</v>
      </c>
      <c r="E106" s="47">
        <v>2.91</v>
      </c>
      <c r="F106" s="96">
        <v>9.9999999999999995E-7</v>
      </c>
      <c r="G106" s="7"/>
      <c r="H106" s="7"/>
      <c r="I106" s="54">
        <f t="shared" si="42"/>
        <v>0.70891628628139558</v>
      </c>
      <c r="J106" s="54">
        <f t="shared" si="43"/>
        <v>3.0092279600983791</v>
      </c>
      <c r="K106" s="55">
        <f t="shared" si="44"/>
        <v>0.18285913123439401</v>
      </c>
      <c r="L106" s="55">
        <f t="shared" si="45"/>
        <v>6.4038550761950919E-2</v>
      </c>
      <c r="M106" s="55">
        <f t="shared" si="46"/>
        <v>0.93596144923804903</v>
      </c>
      <c r="N106" s="55">
        <f t="shared" si="47"/>
        <v>4.8563103756318934E-2</v>
      </c>
      <c r="O106" s="56">
        <f t="shared" si="48"/>
        <v>1.8301659355882714E-7</v>
      </c>
      <c r="P106" s="56">
        <f t="shared" si="49"/>
        <v>1.8694696878991839E-4</v>
      </c>
      <c r="Q106" s="56">
        <f t="shared" si="50"/>
        <v>1.4876147220901667E-4</v>
      </c>
      <c r="R106" s="9">
        <f t="shared" si="53"/>
        <v>1.4999999999999999E-4</v>
      </c>
      <c r="S106" s="9">
        <f t="shared" si="54"/>
        <v>9.6057826142926366E-6</v>
      </c>
      <c r="T106" s="9">
        <f t="shared" si="51"/>
        <v>2.7428869685159099E-5</v>
      </c>
      <c r="U106" s="9">
        <f t="shared" si="52"/>
        <v>1.4039421738570735E-4</v>
      </c>
      <c r="V106" s="100">
        <f t="shared" si="55"/>
        <v>0.19537036635777752</v>
      </c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310</v>
      </c>
      <c r="C107" s="46" t="s">
        <v>222</v>
      </c>
      <c r="D107" s="47" t="s">
        <v>300</v>
      </c>
      <c r="E107" s="47" t="s">
        <v>311</v>
      </c>
      <c r="F107" s="96">
        <v>9.9999999999999995E-7</v>
      </c>
      <c r="G107" s="7"/>
      <c r="H107" s="7"/>
      <c r="I107" s="54" t="e">
        <f t="shared" si="42"/>
        <v>#VALUE!</v>
      </c>
      <c r="J107" s="54" t="e">
        <f t="shared" si="43"/>
        <v>#VALUE!</v>
      </c>
      <c r="K107" s="55" t="e">
        <f t="shared" si="44"/>
        <v>#VALUE!</v>
      </c>
      <c r="L107" s="55" t="e">
        <f t="shared" si="45"/>
        <v>#VALUE!</v>
      </c>
      <c r="M107" s="55" t="e">
        <f t="shared" si="46"/>
        <v>#VALUE!</v>
      </c>
      <c r="N107" s="55" t="e">
        <f t="shared" si="47"/>
        <v>#VALUE!</v>
      </c>
      <c r="O107" s="56" t="e">
        <f t="shared" si="48"/>
        <v>#VALUE!</v>
      </c>
      <c r="P107" s="56" t="e">
        <f t="shared" si="49"/>
        <v>#VALUE!</v>
      </c>
      <c r="Q107" s="56" t="e">
        <f t="shared" si="50"/>
        <v>#VALUE!</v>
      </c>
      <c r="R107" s="9">
        <f t="shared" si="53"/>
        <v>1.4999999999999999E-4</v>
      </c>
      <c r="S107" s="9"/>
      <c r="T107" s="9"/>
      <c r="U107" s="9"/>
      <c r="V107" s="100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312</v>
      </c>
      <c r="C108" s="46" t="s">
        <v>223</v>
      </c>
      <c r="D108" s="47">
        <v>4.6100000000000003</v>
      </c>
      <c r="E108" s="47">
        <v>4.13</v>
      </c>
      <c r="F108" s="96">
        <v>9.9999999999999995E-7</v>
      </c>
      <c r="G108" s="7"/>
      <c r="H108" s="7"/>
      <c r="I108" s="54">
        <f t="shared" si="42"/>
        <v>1.3235891145541188</v>
      </c>
      <c r="J108" s="54">
        <f t="shared" si="43"/>
        <v>4.1472754470371651</v>
      </c>
      <c r="K108" s="55">
        <f t="shared" si="44"/>
        <v>3.8625284652137312E-2</v>
      </c>
      <c r="L108" s="55">
        <f t="shared" si="45"/>
        <v>0.18588486177127558</v>
      </c>
      <c r="M108" s="55">
        <f t="shared" si="46"/>
        <v>0.81411513822872439</v>
      </c>
      <c r="N108" s="55">
        <f t="shared" si="47"/>
        <v>0.17023994739595832</v>
      </c>
      <c r="O108" s="56">
        <f t="shared" si="48"/>
        <v>3.8658545376182968E-8</v>
      </c>
      <c r="P108" s="56">
        <f t="shared" si="49"/>
        <v>5.4265143477794521E-4</v>
      </c>
      <c r="Q108" s="56">
        <f t="shared" si="50"/>
        <v>5.2148942807456081E-4</v>
      </c>
      <c r="R108" s="9">
        <f t="shared" si="53"/>
        <v>1.4999999999999999E-4</v>
      </c>
      <c r="S108" s="9">
        <f t="shared" si="54"/>
        <v>2.7882729265691334E-5</v>
      </c>
      <c r="T108" s="9">
        <f t="shared" si="51"/>
        <v>5.7937926978205966E-6</v>
      </c>
      <c r="U108" s="9">
        <f t="shared" si="52"/>
        <v>1.2211727073430865E-4</v>
      </c>
      <c r="V108" s="100">
        <f t="shared" si="55"/>
        <v>4.7444498742738768E-2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313</v>
      </c>
      <c r="C109" s="46" t="s">
        <v>224</v>
      </c>
      <c r="D109" s="47">
        <v>4.8099999999999996</v>
      </c>
      <c r="E109" s="47">
        <v>4.82</v>
      </c>
      <c r="F109" s="96">
        <v>9.9999999999999995E-7</v>
      </c>
      <c r="G109" s="7"/>
      <c r="H109" s="7"/>
      <c r="I109" s="54">
        <f t="shared" si="42"/>
        <v>1.537838229995057</v>
      </c>
      <c r="J109" s="54">
        <f t="shared" si="43"/>
        <v>4.8118195685069374</v>
      </c>
      <c r="K109" s="55">
        <f t="shared" si="44"/>
        <v>1.7621697064431043E-2</v>
      </c>
      <c r="L109" s="55">
        <f t="shared" si="45"/>
        <v>0.39170957016162472</v>
      </c>
      <c r="M109" s="55">
        <f t="shared" si="46"/>
        <v>0.60829042983837533</v>
      </c>
      <c r="N109" s="55">
        <f t="shared" si="47"/>
        <v>0.38039737766845749</v>
      </c>
      <c r="O109" s="56">
        <f t="shared" si="48"/>
        <v>1.7636871331975082E-8</v>
      </c>
      <c r="P109" s="56">
        <f t="shared" si="49"/>
        <v>1.1435130232714012E-3</v>
      </c>
      <c r="Q109" s="56">
        <f t="shared" si="50"/>
        <v>1.1652565332388972E-3</v>
      </c>
      <c r="R109" s="9">
        <f t="shared" si="53"/>
        <v>1.4999999999999999E-4</v>
      </c>
      <c r="S109" s="9">
        <f t="shared" si="54"/>
        <v>5.8756435524243702E-5</v>
      </c>
      <c r="T109" s="9">
        <f t="shared" si="51"/>
        <v>2.6432545596646564E-6</v>
      </c>
      <c r="U109" s="9">
        <f t="shared" si="52"/>
        <v>9.1243564475756292E-5</v>
      </c>
      <c r="V109" s="100">
        <f t="shared" si="55"/>
        <v>2.896921634804148E-2</v>
      </c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203</v>
      </c>
      <c r="C110" s="46" t="s">
        <v>204</v>
      </c>
      <c r="D110" s="47">
        <v>3.19</v>
      </c>
      <c r="E110" s="47">
        <v>1.4</v>
      </c>
      <c r="F110" s="96">
        <v>9.9999999999999995E-7</v>
      </c>
      <c r="G110" s="7"/>
      <c r="H110" s="7"/>
      <c r="I110" s="54">
        <f t="shared" si="42"/>
        <v>0.24151373144665708</v>
      </c>
      <c r="J110" s="54">
        <f t="shared" si="43"/>
        <v>1.838042440311523</v>
      </c>
      <c r="K110" s="55">
        <f t="shared" si="44"/>
        <v>0.56548783349932896</v>
      </c>
      <c r="L110" s="55">
        <f t="shared" si="45"/>
        <v>1.3352500059361012E-2</v>
      </c>
      <c r="M110" s="55">
        <f t="shared" si="46"/>
        <v>0.98664749994063894</v>
      </c>
      <c r="N110" s="55">
        <f t="shared" si="47"/>
        <v>4.641015820873195E-3</v>
      </c>
      <c r="O110" s="56">
        <f t="shared" si="48"/>
        <v>5.6597478226748926E-7</v>
      </c>
      <c r="P110" s="56">
        <f t="shared" si="49"/>
        <v>3.8979792362007842E-5</v>
      </c>
      <c r="Q110" s="56">
        <f t="shared" si="50"/>
        <v>1.421664376154295E-5</v>
      </c>
      <c r="R110" s="9">
        <f t="shared" si="53"/>
        <v>1.4999999999999999E-4</v>
      </c>
      <c r="S110" s="9">
        <f t="shared" si="54"/>
        <v>2.0028750089041517E-6</v>
      </c>
      <c r="T110" s="9">
        <f t="shared" si="51"/>
        <v>8.4823175024899343E-5</v>
      </c>
      <c r="U110" s="9">
        <f t="shared" si="52"/>
        <v>1.4799712499109581E-4</v>
      </c>
      <c r="V110" s="100">
        <f t="shared" si="55"/>
        <v>0.57314069465878259</v>
      </c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205</v>
      </c>
      <c r="C111" s="46" t="s">
        <v>206</v>
      </c>
      <c r="D111" s="47">
        <v>2.8380318246143235</v>
      </c>
      <c r="E111" s="47">
        <v>3.5597354124795313</v>
      </c>
      <c r="F111" s="96">
        <v>9.9999999999999995E-7</v>
      </c>
      <c r="G111" s="7"/>
      <c r="H111" s="7"/>
      <c r="I111" s="54">
        <f t="shared" si="42"/>
        <v>0.16670977104284687</v>
      </c>
      <c r="J111" s="54">
        <f t="shared" si="43"/>
        <v>3.5413316815104214</v>
      </c>
      <c r="K111" s="55">
        <f t="shared" si="44"/>
        <v>0.37578108093810325</v>
      </c>
      <c r="L111" s="55">
        <f t="shared" si="45"/>
        <v>0.44808816730146073</v>
      </c>
      <c r="M111" s="55">
        <f t="shared" si="46"/>
        <v>0.55191183269853927</v>
      </c>
      <c r="N111" s="55">
        <f t="shared" si="47"/>
        <v>0.44551271894386774</v>
      </c>
      <c r="O111" s="56">
        <f t="shared" si="48"/>
        <v>3.7610467080798318E-7</v>
      </c>
      <c r="P111" s="56">
        <f t="shared" si="49"/>
        <v>1.3080983818486069E-3</v>
      </c>
      <c r="Q111" s="56">
        <f t="shared" si="50"/>
        <v>1.3647218326589773E-3</v>
      </c>
      <c r="R111" s="9">
        <f t="shared" si="53"/>
        <v>1.4999999999999999E-4</v>
      </c>
      <c r="S111" s="9">
        <f t="shared" si="54"/>
        <v>6.7213225095219098E-5</v>
      </c>
      <c r="T111" s="9">
        <f t="shared" si="51"/>
        <v>5.6367162140715484E-5</v>
      </c>
      <c r="U111" s="9">
        <f t="shared" si="52"/>
        <v>8.2786774904780889E-5</v>
      </c>
      <c r="V111" s="100">
        <f t="shared" si="55"/>
        <v>0.68087157889104233</v>
      </c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207</v>
      </c>
      <c r="C112" s="46" t="s">
        <v>208</v>
      </c>
      <c r="D112" s="47">
        <v>5.4191360000000008</v>
      </c>
      <c r="E112" s="47">
        <v>6.7333169999999996</v>
      </c>
      <c r="F112" s="96">
        <v>9.9999999999999995E-7</v>
      </c>
      <c r="G112" s="7"/>
      <c r="H112" s="7"/>
      <c r="I112" s="54">
        <f t="shared" si="42"/>
        <v>2.5219720041185627</v>
      </c>
      <c r="J112" s="54">
        <f t="shared" si="43"/>
        <v>6.7130505038246406</v>
      </c>
      <c r="K112" s="55">
        <f t="shared" si="44"/>
        <v>4.7539356081937987E-4</v>
      </c>
      <c r="L112" s="55">
        <f t="shared" si="45"/>
        <v>0.84178402865149726</v>
      </c>
      <c r="M112" s="55">
        <f t="shared" si="46"/>
        <v>0.15821597134850274</v>
      </c>
      <c r="N112" s="55">
        <f t="shared" si="47"/>
        <v>0.84054327602706169</v>
      </c>
      <c r="O112" s="56">
        <f t="shared" si="48"/>
        <v>4.7580292826306089E-10</v>
      </c>
      <c r="P112" s="56">
        <f t="shared" si="49"/>
        <v>2.4574099610271843E-3</v>
      </c>
      <c r="Q112" s="56">
        <f t="shared" si="50"/>
        <v>2.5748036168488416E-3</v>
      </c>
      <c r="R112" s="9">
        <f t="shared" si="53"/>
        <v>1.4999999999999999E-4</v>
      </c>
      <c r="S112" s="9">
        <f t="shared" si="54"/>
        <v>1.2626760429772457E-4</v>
      </c>
      <c r="T112" s="9">
        <f t="shared" si="51"/>
        <v>7.130903412290698E-8</v>
      </c>
      <c r="U112" s="9">
        <f t="shared" si="52"/>
        <v>2.3732395702275409E-5</v>
      </c>
      <c r="V112" s="100">
        <f t="shared" si="55"/>
        <v>3.0047128413618193E-3</v>
      </c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209</v>
      </c>
      <c r="C113" s="46" t="s">
        <v>210</v>
      </c>
      <c r="D113" s="47">
        <v>5.6895360000000004</v>
      </c>
      <c r="E113" s="47">
        <v>7.1197670000000004</v>
      </c>
      <c r="F113" s="96">
        <v>9.9999999999999995E-7</v>
      </c>
      <c r="G113" s="7"/>
      <c r="H113" s="7"/>
      <c r="I113" s="54">
        <f t="shared" si="42"/>
        <v>2.8671793282646911</v>
      </c>
      <c r="J113" s="54">
        <f t="shared" si="43"/>
        <v>7.099350372052486</v>
      </c>
      <c r="K113" s="55">
        <f t="shared" si="44"/>
        <v>1.9815340845952227E-4</v>
      </c>
      <c r="L113" s="55">
        <f t="shared" si="45"/>
        <v>0.85398216725650511</v>
      </c>
      <c r="M113" s="55">
        <f t="shared" si="46"/>
        <v>0.14601783274349489</v>
      </c>
      <c r="N113" s="55">
        <f t="shared" si="47"/>
        <v>0.85301826504049916</v>
      </c>
      <c r="O113" s="56">
        <f t="shared" si="48"/>
        <v>1.9832404088066391E-10</v>
      </c>
      <c r="P113" s="56">
        <f t="shared" si="49"/>
        <v>2.4930198399197032E-3</v>
      </c>
      <c r="Q113" s="56">
        <f t="shared" si="50"/>
        <v>2.6130177668492686E-3</v>
      </c>
      <c r="R113" s="9">
        <f t="shared" si="53"/>
        <v>1.4999999999999999E-4</v>
      </c>
      <c r="S113" s="9">
        <f t="shared" si="54"/>
        <v>1.2809732508847576E-4</v>
      </c>
      <c r="T113" s="9">
        <f t="shared" si="51"/>
        <v>2.9723011268928336E-8</v>
      </c>
      <c r="U113" s="9">
        <f t="shared" si="52"/>
        <v>2.1902674911524232E-5</v>
      </c>
      <c r="V113" s="100">
        <f t="shared" si="55"/>
        <v>1.3570493736036499E-3</v>
      </c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106</v>
      </c>
      <c r="C114" s="46" t="s">
        <v>107</v>
      </c>
      <c r="D114" s="47">
        <v>6.0065360000000005</v>
      </c>
      <c r="E114" s="47">
        <v>7.5552170000000007</v>
      </c>
      <c r="F114" s="96">
        <v>9.9999999999999995E-7</v>
      </c>
      <c r="G114" s="7"/>
      <c r="H114" s="7"/>
      <c r="I114" s="54">
        <f t="shared" si="42"/>
        <v>3.2678433041260839</v>
      </c>
      <c r="J114" s="54">
        <f t="shared" si="43"/>
        <v>7.534683341589246</v>
      </c>
      <c r="K114" s="55">
        <f t="shared" si="44"/>
        <v>7.3546420891562871E-5</v>
      </c>
      <c r="L114" s="55">
        <f t="shared" si="45"/>
        <v>0.86365793426609072</v>
      </c>
      <c r="M114" s="55">
        <f t="shared" si="46"/>
        <v>0.13634206573390928</v>
      </c>
      <c r="N114" s="55">
        <f t="shared" si="47"/>
        <v>0.86291561165555841</v>
      </c>
      <c r="O114" s="56">
        <f t="shared" si="48"/>
        <v>7.3609752650327915E-11</v>
      </c>
      <c r="P114" s="56">
        <f t="shared" si="49"/>
        <v>2.5212661898392007E-3</v>
      </c>
      <c r="Q114" s="56">
        <f t="shared" si="50"/>
        <v>2.643335924865015E-3</v>
      </c>
      <c r="R114" s="9">
        <f t="shared" si="53"/>
        <v>1.4999999999999999E-4</v>
      </c>
      <c r="S114" s="9">
        <f t="shared" si="54"/>
        <v>1.2954869013991359E-4</v>
      </c>
      <c r="T114" s="9">
        <f t="shared" si="51"/>
        <v>1.1031963133734429E-8</v>
      </c>
      <c r="U114" s="9">
        <f t="shared" si="52"/>
        <v>2.0451309860086389E-5</v>
      </c>
      <c r="V114" s="100">
        <f t="shared" si="55"/>
        <v>5.3942574872746214E-4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108</v>
      </c>
      <c r="C115" s="46" t="s">
        <v>109</v>
      </c>
      <c r="D115" s="47">
        <v>4.6510502998865109</v>
      </c>
      <c r="E115" s="47">
        <v>6.1388180322329244</v>
      </c>
      <c r="F115" s="96">
        <v>9.9999999999999995E-7</v>
      </c>
      <c r="G115" s="7"/>
      <c r="H115" s="7"/>
      <c r="I115" s="54">
        <f t="shared" si="42"/>
        <v>1.873926252180699</v>
      </c>
      <c r="J115" s="54">
        <f t="shared" si="43"/>
        <v>6.1183405809307043</v>
      </c>
      <c r="K115" s="55">
        <f t="shared" si="44"/>
        <v>1.9044856261981598E-3</v>
      </c>
      <c r="L115" s="55">
        <f t="shared" si="45"/>
        <v>0.85746255352415068</v>
      </c>
      <c r="M115" s="55">
        <f t="shared" si="46"/>
        <v>0.14253744647584932</v>
      </c>
      <c r="N115" s="55">
        <f t="shared" si="47"/>
        <v>0.85661468424468445</v>
      </c>
      <c r="O115" s="56">
        <f t="shared" si="48"/>
        <v>1.9061256030017584E-9</v>
      </c>
      <c r="P115" s="56">
        <f t="shared" si="49"/>
        <v>2.5031800895695274E-3</v>
      </c>
      <c r="Q115" s="56">
        <f t="shared" si="50"/>
        <v>2.6240345383097582E-3</v>
      </c>
      <c r="R115" s="9">
        <f t="shared" si="53"/>
        <v>1.4999999999999999E-4</v>
      </c>
      <c r="S115" s="9">
        <f t="shared" si="54"/>
        <v>1.2861938302862258E-4</v>
      </c>
      <c r="T115" s="9">
        <f t="shared" si="51"/>
        <v>2.8567284392972394E-7</v>
      </c>
      <c r="U115" s="9">
        <f t="shared" si="52"/>
        <v>2.1380616971377394E-5</v>
      </c>
      <c r="V115" s="100">
        <f t="shared" si="55"/>
        <v>1.3361300298871597E-2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225</v>
      </c>
      <c r="C116" s="46" t="s">
        <v>226</v>
      </c>
      <c r="D116" s="47">
        <v>-0.1223633442417989</v>
      </c>
      <c r="E116" s="47">
        <v>-0.65153095448481257</v>
      </c>
      <c r="F116" s="96">
        <v>9.9999999999999995E-7</v>
      </c>
      <c r="G116" s="7"/>
      <c r="H116" s="7"/>
      <c r="I116" s="54">
        <f t="shared" si="42"/>
        <v>-6.4011746653915488E-5</v>
      </c>
      <c r="J116" s="54">
        <f t="shared" si="43"/>
        <v>-0.59777522240342218</v>
      </c>
      <c r="K116" s="55">
        <f t="shared" si="44"/>
        <v>0.99954283776548014</v>
      </c>
      <c r="L116" s="55">
        <f t="shared" si="45"/>
        <v>8.6521307122725371E-5</v>
      </c>
      <c r="M116" s="55">
        <f t="shared" si="46"/>
        <v>0.99991347869287728</v>
      </c>
      <c r="N116" s="55">
        <f t="shared" si="47"/>
        <v>7.2855147282042945E-5</v>
      </c>
      <c r="O116" s="56">
        <f t="shared" si="48"/>
        <v>1.0004035568203207E-6</v>
      </c>
      <c r="P116" s="56">
        <f t="shared" si="49"/>
        <v>2.5258060824114619E-7</v>
      </c>
      <c r="Q116" s="56">
        <f t="shared" si="50"/>
        <v>2.2317434697058924E-7</v>
      </c>
      <c r="R116" s="9">
        <f t="shared" si="53"/>
        <v>1.4999999999999999E-4</v>
      </c>
      <c r="S116" s="9">
        <f t="shared" si="54"/>
        <v>1.2978196068408805E-8</v>
      </c>
      <c r="T116" s="9">
        <f t="shared" si="51"/>
        <v>1.4993142566482201E-4</v>
      </c>
      <c r="U116" s="9">
        <f t="shared" si="52"/>
        <v>1.4998702180393157E-4</v>
      </c>
      <c r="V116" s="100">
        <f t="shared" si="55"/>
        <v>0.99962932700149054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227</v>
      </c>
      <c r="C117" s="46" t="s">
        <v>228</v>
      </c>
      <c r="D117" s="47">
        <v>1.8253520000000001</v>
      </c>
      <c r="E117" s="47">
        <v>2.0793489999999997</v>
      </c>
      <c r="F117" s="96">
        <v>9.9999999999999995E-7</v>
      </c>
      <c r="G117" s="7"/>
      <c r="H117" s="7"/>
      <c r="I117" s="54">
        <f t="shared" si="42"/>
        <v>1.5422749478710035E-2</v>
      </c>
      <c r="J117" s="54">
        <f t="shared" si="43"/>
        <v>2.0658109944425873</v>
      </c>
      <c r="K117" s="55">
        <f t="shared" si="44"/>
        <v>0.9288662064181159</v>
      </c>
      <c r="L117" s="55">
        <f t="shared" si="45"/>
        <v>3.7056213513721153E-2</v>
      </c>
      <c r="M117" s="55">
        <f t="shared" si="46"/>
        <v>0.96294378648627887</v>
      </c>
      <c r="N117" s="55">
        <f t="shared" si="47"/>
        <v>3.643274937716328E-2</v>
      </c>
      <c r="O117" s="56">
        <f t="shared" si="48"/>
        <v>9.2966606492648019E-7</v>
      </c>
      <c r="P117" s="56">
        <f t="shared" si="49"/>
        <v>1.0817775712904237E-4</v>
      </c>
      <c r="Q117" s="56">
        <f t="shared" si="50"/>
        <v>1.1160302811707609E-4</v>
      </c>
      <c r="R117" s="9">
        <f t="shared" si="53"/>
        <v>1.4999999999999999E-4</v>
      </c>
      <c r="S117" s="9">
        <f t="shared" si="54"/>
        <v>5.5584320270581728E-6</v>
      </c>
      <c r="T117" s="9">
        <f t="shared" si="51"/>
        <v>1.3932993096271736E-4</v>
      </c>
      <c r="U117" s="9">
        <f t="shared" si="52"/>
        <v>1.4444156797294183E-4</v>
      </c>
      <c r="V117" s="100">
        <f t="shared" si="55"/>
        <v>0.96461103903841583</v>
      </c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229</v>
      </c>
      <c r="C118" s="46" t="s">
        <v>230</v>
      </c>
      <c r="D118" s="47">
        <v>2.848199987724402</v>
      </c>
      <c r="E118" s="47">
        <v>3.5741999825375301</v>
      </c>
      <c r="F118" s="96">
        <v>9.9999999999999995E-7</v>
      </c>
      <c r="G118" s="7"/>
      <c r="H118" s="7"/>
      <c r="I118" s="54">
        <f t="shared" si="42"/>
        <v>0.17039252388598855</v>
      </c>
      <c r="J118" s="54">
        <f t="shared" si="43"/>
        <v>3.5557716269260013</v>
      </c>
      <c r="K118" s="55">
        <f t="shared" si="44"/>
        <v>0.36846735200175224</v>
      </c>
      <c r="L118" s="55">
        <f t="shared" si="45"/>
        <v>0.4542213283087837</v>
      </c>
      <c r="M118" s="55">
        <f t="shared" si="46"/>
        <v>0.5457786716912163</v>
      </c>
      <c r="N118" s="55">
        <f t="shared" si="47"/>
        <v>0.45163623596463787</v>
      </c>
      <c r="O118" s="56">
        <f t="shared" si="48"/>
        <v>3.6878464392659211E-7</v>
      </c>
      <c r="P118" s="56">
        <f t="shared" si="49"/>
        <v>1.3260028447975218E-3</v>
      </c>
      <c r="Q118" s="56">
        <f t="shared" si="50"/>
        <v>1.3834797648471194E-3</v>
      </c>
      <c r="R118" s="9">
        <f t="shared" si="53"/>
        <v>1.4999999999999999E-4</v>
      </c>
      <c r="S118" s="9">
        <f t="shared" si="54"/>
        <v>6.8133199246317544E-5</v>
      </c>
      <c r="T118" s="9">
        <f t="shared" si="51"/>
        <v>5.5270102800262827E-5</v>
      </c>
      <c r="U118" s="9">
        <f t="shared" si="52"/>
        <v>8.1866800753682443E-5</v>
      </c>
      <c r="V118" s="100">
        <f t="shared" si="55"/>
        <v>0.67512229977762672</v>
      </c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231</v>
      </c>
      <c r="C119" s="46" t="s">
        <v>232</v>
      </c>
      <c r="D119" s="47">
        <v>-0.98996462433878363</v>
      </c>
      <c r="E119" s="47">
        <v>-1.885724324763622</v>
      </c>
      <c r="F119" s="96">
        <v>9.9999999999999995E-7</v>
      </c>
      <c r="G119" s="7"/>
      <c r="H119" s="7"/>
      <c r="I119" s="54">
        <f t="shared" si="42"/>
        <v>-2.0346404759841822E-4</v>
      </c>
      <c r="J119" s="54">
        <f t="shared" si="43"/>
        <v>-1.4766922735183099</v>
      </c>
      <c r="K119" s="55">
        <f t="shared" si="44"/>
        <v>0.99993892213731017</v>
      </c>
      <c r="L119" s="55">
        <f t="shared" si="45"/>
        <v>1.1438737207333912E-5</v>
      </c>
      <c r="M119" s="55">
        <f t="shared" si="46"/>
        <v>0.99998856126279267</v>
      </c>
      <c r="N119" s="55">
        <f t="shared" si="47"/>
        <v>4.2504893471005604E-6</v>
      </c>
      <c r="O119" s="56">
        <f t="shared" si="48"/>
        <v>1.0007999822654425E-6</v>
      </c>
      <c r="P119" s="56">
        <f t="shared" si="49"/>
        <v>3.3392967552384105E-8</v>
      </c>
      <c r="Q119" s="56">
        <f t="shared" si="50"/>
        <v>1.3020359161066733E-8</v>
      </c>
      <c r="R119" s="9">
        <f t="shared" si="53"/>
        <v>1.4999999999999999E-4</v>
      </c>
      <c r="S119" s="9">
        <f t="shared" si="54"/>
        <v>1.7158105811000865E-9</v>
      </c>
      <c r="T119" s="9">
        <f t="shared" si="51"/>
        <v>1.499908383205965E-4</v>
      </c>
      <c r="U119" s="9">
        <f t="shared" si="52"/>
        <v>1.4999828418941889E-4</v>
      </c>
      <c r="V119" s="100">
        <f t="shared" si="55"/>
        <v>0.99995036030670204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233</v>
      </c>
      <c r="C120" s="46" t="s">
        <v>234</v>
      </c>
      <c r="D120" s="47">
        <v>-7.2373500000194575</v>
      </c>
      <c r="E120" s="47">
        <v>-10.772850000027681</v>
      </c>
      <c r="F120" s="96">
        <v>9.9999999999999995E-7</v>
      </c>
      <c r="G120" s="7"/>
      <c r="H120" s="7"/>
      <c r="I120" s="54">
        <f t="shared" si="42"/>
        <v>-2.2502281549544107E-4</v>
      </c>
      <c r="J120" s="54">
        <f t="shared" si="43"/>
        <v>-1.7447274539989919</v>
      </c>
      <c r="K120" s="55">
        <f t="shared" si="44"/>
        <v>0.99999382881301746</v>
      </c>
      <c r="L120" s="55">
        <f t="shared" si="45"/>
        <v>6.1711591774123025E-6</v>
      </c>
      <c r="M120" s="55">
        <f t="shared" si="46"/>
        <v>0.99999382884082255</v>
      </c>
      <c r="N120" s="55">
        <f t="shared" si="47"/>
        <v>5.5123540423442664E-15</v>
      </c>
      <c r="O120" s="56">
        <f t="shared" si="48"/>
        <v>1.0008549362219868E-6</v>
      </c>
      <c r="P120" s="56">
        <f t="shared" si="49"/>
        <v>1.8015390548512915E-8</v>
      </c>
      <c r="Q120" s="56">
        <f t="shared" si="50"/>
        <v>1.6885780340383562E-17</v>
      </c>
      <c r="R120" s="9">
        <f t="shared" si="53"/>
        <v>1.4999999999999999E-4</v>
      </c>
      <c r="S120" s="9">
        <f t="shared" si="54"/>
        <v>9.2567387661184535E-10</v>
      </c>
      <c r="T120" s="9">
        <f t="shared" si="51"/>
        <v>1.4999907432195262E-4</v>
      </c>
      <c r="U120" s="9">
        <f t="shared" si="52"/>
        <v>1.4999907432612338E-4</v>
      </c>
      <c r="V120" s="100">
        <f t="shared" si="55"/>
        <v>0.99999999997219469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235</v>
      </c>
      <c r="C121" s="46" t="s">
        <v>236</v>
      </c>
      <c r="D121" s="47">
        <v>0.89837073464087869</v>
      </c>
      <c r="E121" s="47">
        <v>0.80049921406660218</v>
      </c>
      <c r="F121" s="96">
        <v>9.9999999999999995E-7</v>
      </c>
      <c r="G121" s="7"/>
      <c r="H121" s="7"/>
      <c r="I121" s="54">
        <f t="shared" si="42"/>
        <v>1.5262652347248487E-3</v>
      </c>
      <c r="J121" s="54">
        <f t="shared" si="43"/>
        <v>0.79708962782648318</v>
      </c>
      <c r="K121" s="55">
        <f t="shared" si="44"/>
        <v>0.99384868854598751</v>
      </c>
      <c r="L121" s="55">
        <f t="shared" si="45"/>
        <v>2.1355354226256142E-3</v>
      </c>
      <c r="M121" s="55">
        <f t="shared" si="46"/>
        <v>0.99786446457737443</v>
      </c>
      <c r="N121" s="55">
        <f t="shared" si="47"/>
        <v>2.0512059444857123E-3</v>
      </c>
      <c r="O121" s="56">
        <f t="shared" si="48"/>
        <v>9.9470450429648801E-7</v>
      </c>
      <c r="P121" s="56">
        <f t="shared" si="49"/>
        <v>6.2342427998942621E-6</v>
      </c>
      <c r="Q121" s="56">
        <f t="shared" si="50"/>
        <v>6.2833796133937758E-6</v>
      </c>
      <c r="R121" s="9">
        <f t="shared" si="53"/>
        <v>1.4999999999999999E-4</v>
      </c>
      <c r="S121" s="9">
        <f t="shared" si="54"/>
        <v>3.2033031339384208E-7</v>
      </c>
      <c r="T121" s="9">
        <f t="shared" si="51"/>
        <v>1.4907730328189811E-4</v>
      </c>
      <c r="U121" s="9">
        <f t="shared" si="52"/>
        <v>1.4967966968660614E-4</v>
      </c>
      <c r="V121" s="100">
        <f t="shared" si="55"/>
        <v>0.99597562978346188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237</v>
      </c>
      <c r="C122" s="46" t="s">
        <v>238</v>
      </c>
      <c r="D122" s="47">
        <v>5.1201999877244022</v>
      </c>
      <c r="E122" s="47">
        <v>6.8061999825375299</v>
      </c>
      <c r="F122" s="96">
        <v>9.9999999999999995E-7</v>
      </c>
      <c r="G122" s="7"/>
      <c r="H122" s="7"/>
      <c r="I122" s="54">
        <f t="shared" si="42"/>
        <v>2.4878679358864142</v>
      </c>
      <c r="J122" s="54">
        <f t="shared" si="43"/>
        <v>6.785565125303024</v>
      </c>
      <c r="K122" s="55">
        <f t="shared" si="44"/>
        <v>4.1663908742507359E-4</v>
      </c>
      <c r="L122" s="55">
        <f t="shared" si="45"/>
        <v>0.87181034756494202</v>
      </c>
      <c r="M122" s="55">
        <f t="shared" si="46"/>
        <v>0.12818965243505798</v>
      </c>
      <c r="N122" s="55">
        <f t="shared" si="47"/>
        <v>0.87126401520687058</v>
      </c>
      <c r="O122" s="56">
        <f t="shared" si="48"/>
        <v>4.1699786064417821E-10</v>
      </c>
      <c r="P122" s="56">
        <f t="shared" si="49"/>
        <v>2.5450654316460345E-3</v>
      </c>
      <c r="Q122" s="56">
        <f t="shared" si="50"/>
        <v>2.668909265669588E-3</v>
      </c>
      <c r="R122" s="9">
        <f t="shared" si="53"/>
        <v>1.4999999999999999E-4</v>
      </c>
      <c r="S122" s="9">
        <f t="shared" si="54"/>
        <v>1.3077155213474129E-4</v>
      </c>
      <c r="T122" s="9">
        <f t="shared" si="51"/>
        <v>6.2495863113761037E-8</v>
      </c>
      <c r="U122" s="9">
        <f t="shared" si="52"/>
        <v>1.9228447865258696E-5</v>
      </c>
      <c r="V122" s="100">
        <f t="shared" si="55"/>
        <v>3.2501772140785439E-3</v>
      </c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239</v>
      </c>
      <c r="C123" s="46" t="s">
        <v>240</v>
      </c>
      <c r="D123" s="47">
        <v>1.6430320000000003</v>
      </c>
      <c r="E123" s="47">
        <v>1.9699289999999996</v>
      </c>
      <c r="F123" s="96">
        <v>9.9999999999999995E-7</v>
      </c>
      <c r="G123" s="7"/>
      <c r="H123" s="7"/>
      <c r="I123" s="54">
        <f t="shared" ref="I123:I138" si="56">IF(D123=0,"",LOG($K$15*10^D123+$K$16*10^E123+$K$14))</f>
        <v>1.0353959656071578E-2</v>
      </c>
      <c r="J123" s="54">
        <f t="shared" ref="J123:J138" si="57">IF(D123=0,"",LOG($K$21*10^D123+$K$22*10^E123+$K$20))</f>
        <v>1.9552901171232637</v>
      </c>
      <c r="K123" s="55">
        <f t="shared" ref="K123:K138" si="58">IF(D123=0,"",1/(1+10^D123*$J$15/$J$14+10^E123*$J$16/$J$14+10^J123*$J$19/$J$14))</f>
        <v>0.9473387500918472</v>
      </c>
      <c r="L123" s="55">
        <f t="shared" ref="L123:L138" si="59">IF(D123=0,"",1/(1+10^I123/10^J123*$J$13/$J$19))</f>
        <v>2.9301665213448982E-2</v>
      </c>
      <c r="M123" s="55">
        <f t="shared" ref="M123:M138" si="60">IF(D123=0,"",1-L123)</f>
        <v>0.97069833478655099</v>
      </c>
      <c r="N123" s="55">
        <f t="shared" ref="N123:N138" si="61">IF(D123=0,"",1/(1/10^E123*$J$20/$J$22+10^D123/10^E123*$J$21/$J$22+10^I123/10^E123*$J$13/$J$22+1))</f>
        <v>2.8881788644877639E-2</v>
      </c>
      <c r="O123" s="56">
        <f t="shared" ref="O123:O138" si="62">IF(D123=0,"",F123*K123*$J$7/$J$14)</f>
        <v>9.4815451554259623E-7</v>
      </c>
      <c r="P123" s="56">
        <f t="shared" ref="P123:P138" si="63">IF(D123=0,"",O123*10^J123)</f>
        <v>8.5539997813410858E-5</v>
      </c>
      <c r="Q123" s="56">
        <f t="shared" ref="Q123:Q138" si="64">IF(D123=0,"",F123*N123*$J$7/$J$22)</f>
        <v>8.8472462971080326E-5</v>
      </c>
      <c r="R123" s="9">
        <f t="shared" si="53"/>
        <v>1.4999999999999999E-4</v>
      </c>
      <c r="S123" s="9">
        <f t="shared" si="54"/>
        <v>4.3952497820173466E-6</v>
      </c>
      <c r="T123" s="9">
        <f t="shared" si="51"/>
        <v>1.4210081251377706E-4</v>
      </c>
      <c r="U123" s="9">
        <f t="shared" si="52"/>
        <v>1.4560475021798262E-4</v>
      </c>
      <c r="V123" s="100">
        <f t="shared" si="55"/>
        <v>0.97593527890429488</v>
      </c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241</v>
      </c>
      <c r="C124" s="46" t="s">
        <v>242</v>
      </c>
      <c r="D124" s="47">
        <v>1.9888079999999992</v>
      </c>
      <c r="E124" s="47">
        <v>1.7269960000000002</v>
      </c>
      <c r="F124" s="96">
        <v>9.9999999999999995E-7</v>
      </c>
      <c r="G124" s="7"/>
      <c r="H124" s="7"/>
      <c r="I124" s="54">
        <f t="shared" si="56"/>
        <v>2.0480395290290027E-2</v>
      </c>
      <c r="J124" s="54">
        <f t="shared" si="57"/>
        <v>1.7297361884216989</v>
      </c>
      <c r="K124" s="55">
        <f t="shared" si="58"/>
        <v>0.93700390479887163</v>
      </c>
      <c r="L124" s="55">
        <f t="shared" si="59"/>
        <v>1.7241477189909187E-2</v>
      </c>
      <c r="M124" s="55">
        <f t="shared" si="60"/>
        <v>0.9827585228100908</v>
      </c>
      <c r="N124" s="55">
        <f t="shared" si="61"/>
        <v>1.6327781656701401E-2</v>
      </c>
      <c r="O124" s="56">
        <f t="shared" si="62"/>
        <v>9.3781077078284812E-7</v>
      </c>
      <c r="P124" s="56">
        <f t="shared" si="63"/>
        <v>5.0332836389376247E-5</v>
      </c>
      <c r="Q124" s="56">
        <f t="shared" si="64"/>
        <v>5.0016260273360891E-5</v>
      </c>
      <c r="R124" s="9">
        <f t="shared" si="53"/>
        <v>1.4999999999999999E-4</v>
      </c>
      <c r="S124" s="9">
        <f t="shared" si="54"/>
        <v>2.5862215784863778E-6</v>
      </c>
      <c r="T124" s="9">
        <f t="shared" si="51"/>
        <v>1.4055058571983074E-4</v>
      </c>
      <c r="U124" s="9">
        <f t="shared" si="52"/>
        <v>1.474137784215136E-4</v>
      </c>
      <c r="V124" s="100">
        <f t="shared" si="55"/>
        <v>0.95344266475513351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243</v>
      </c>
      <c r="C125" s="46" t="s">
        <v>244</v>
      </c>
      <c r="D125" s="47">
        <v>0.57692000000000121</v>
      </c>
      <c r="E125" s="47">
        <v>0.1355349999999973</v>
      </c>
      <c r="F125" s="96">
        <v>9.9999999999999995E-7</v>
      </c>
      <c r="G125" s="7"/>
      <c r="H125" s="7"/>
      <c r="I125" s="54">
        <f t="shared" si="56"/>
        <v>5.8413729360461944E-4</v>
      </c>
      <c r="J125" s="54">
        <f t="shared" si="57"/>
        <v>0.15519220542192749</v>
      </c>
      <c r="K125" s="55">
        <f t="shared" si="58"/>
        <v>0.997650531259759</v>
      </c>
      <c r="L125" s="55">
        <f t="shared" si="59"/>
        <v>4.8895346298982593E-4</v>
      </c>
      <c r="M125" s="55">
        <f t="shared" si="60"/>
        <v>0.99951104653701017</v>
      </c>
      <c r="N125" s="55">
        <f t="shared" si="61"/>
        <v>4.4535180984190206E-4</v>
      </c>
      <c r="O125" s="56">
        <f t="shared" si="62"/>
        <v>9.9850962082539148E-7</v>
      </c>
      <c r="P125" s="56">
        <f t="shared" si="63"/>
        <v>1.42739594662396E-6</v>
      </c>
      <c r="Q125" s="56">
        <f t="shared" si="64"/>
        <v>1.3642289260478109E-6</v>
      </c>
      <c r="R125" s="9">
        <f t="shared" si="53"/>
        <v>1.4999999999999999E-4</v>
      </c>
      <c r="S125" s="9">
        <f t="shared" si="54"/>
        <v>7.3343019448473889E-8</v>
      </c>
      <c r="T125" s="9">
        <f t="shared" si="51"/>
        <v>1.4964757968896384E-4</v>
      </c>
      <c r="U125" s="9">
        <f t="shared" si="52"/>
        <v>1.4992665698055152E-4</v>
      </c>
      <c r="V125" s="100">
        <f t="shared" si="55"/>
        <v>0.9981385745723399</v>
      </c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245</v>
      </c>
      <c r="C126" s="46" t="s">
        <v>246</v>
      </c>
      <c r="D126" s="47">
        <v>4.3320999877244022</v>
      </c>
      <c r="E126" s="47">
        <v>5.6850999825375297</v>
      </c>
      <c r="F126" s="96">
        <v>9.9999999999999995E-7</v>
      </c>
      <c r="G126" s="7"/>
      <c r="H126" s="7"/>
      <c r="I126" s="54">
        <f t="shared" si="56"/>
        <v>1.4729644553070216</v>
      </c>
      <c r="J126" s="54">
        <f t="shared" si="57"/>
        <v>5.6647787636009141</v>
      </c>
      <c r="K126" s="55">
        <f t="shared" si="58"/>
        <v>5.314242506774096E-3</v>
      </c>
      <c r="L126" s="55">
        <f t="shared" si="59"/>
        <v>0.84200954603583733</v>
      </c>
      <c r="M126" s="55">
        <f t="shared" si="60"/>
        <v>0.15799045396416267</v>
      </c>
      <c r="N126" s="55">
        <f t="shared" si="61"/>
        <v>0.84087440771644772</v>
      </c>
      <c r="O126" s="56">
        <f t="shared" si="62"/>
        <v>5.3188186686100902E-9</v>
      </c>
      <c r="P126" s="56">
        <f t="shared" si="63"/>
        <v>2.4580683112070396E-3</v>
      </c>
      <c r="Q126" s="56">
        <f t="shared" si="64"/>
        <v>2.5758179597099428E-3</v>
      </c>
      <c r="R126" s="9">
        <f t="shared" si="53"/>
        <v>1.4999999999999999E-4</v>
      </c>
      <c r="S126" s="9">
        <f t="shared" si="54"/>
        <v>1.2630143190537558E-4</v>
      </c>
      <c r="T126" s="9">
        <f t="shared" si="51"/>
        <v>7.9713637601611436E-7</v>
      </c>
      <c r="U126" s="9">
        <f t="shared" si="52"/>
        <v>2.3698568094624398E-5</v>
      </c>
      <c r="V126" s="100">
        <f t="shared" si="55"/>
        <v>3.363647849242548E-2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247</v>
      </c>
      <c r="C127" s="46" t="s">
        <v>248</v>
      </c>
      <c r="D127" s="47">
        <v>2.713299987724402</v>
      </c>
      <c r="E127" s="47">
        <v>3.3822999825375302</v>
      </c>
      <c r="F127" s="96">
        <v>9.9999999999999995E-7</v>
      </c>
      <c r="G127" s="7"/>
      <c r="H127" s="7"/>
      <c r="I127" s="54">
        <f t="shared" si="56"/>
        <v>0.12683662687631939</v>
      </c>
      <c r="J127" s="54">
        <f t="shared" si="57"/>
        <v>3.3642190440491762</v>
      </c>
      <c r="K127" s="55">
        <f t="shared" si="58"/>
        <v>0.46883536092754852</v>
      </c>
      <c r="L127" s="55">
        <f t="shared" si="59"/>
        <v>0.37182303101509312</v>
      </c>
      <c r="M127" s="55">
        <f t="shared" si="60"/>
        <v>0.62817696898490682</v>
      </c>
      <c r="N127" s="55">
        <f t="shared" si="61"/>
        <v>0.36941125739304692</v>
      </c>
      <c r="O127" s="56">
        <f t="shared" si="62"/>
        <v>4.6923908102186222E-7</v>
      </c>
      <c r="P127" s="56">
        <f t="shared" si="63"/>
        <v>1.0854584894174732E-3</v>
      </c>
      <c r="Q127" s="56">
        <f t="shared" si="64"/>
        <v>1.131603177097657E-3</v>
      </c>
      <c r="R127" s="9">
        <f t="shared" si="53"/>
        <v>1.4999999999999999E-4</v>
      </c>
      <c r="S127" s="9">
        <f t="shared" si="54"/>
        <v>5.577345465226396E-5</v>
      </c>
      <c r="T127" s="9">
        <f t="shared" si="51"/>
        <v>7.032530413913227E-5</v>
      </c>
      <c r="U127" s="9">
        <f t="shared" si="52"/>
        <v>9.422654534773602E-5</v>
      </c>
      <c r="V127" s="100">
        <f t="shared" si="55"/>
        <v>0.74634280477546955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249</v>
      </c>
      <c r="C128" s="46" t="s">
        <v>250</v>
      </c>
      <c r="D128" s="47">
        <v>3.598704000000001</v>
      </c>
      <c r="E128" s="47">
        <v>4.3131730000000008</v>
      </c>
      <c r="F128" s="96">
        <v>9.9999999999999995E-7</v>
      </c>
      <c r="G128" s="7"/>
      <c r="H128" s="7"/>
      <c r="I128" s="54">
        <f t="shared" si="56"/>
        <v>0.56658503951123784</v>
      </c>
      <c r="J128" s="54">
        <f t="shared" si="57"/>
        <v>4.2948093083985448</v>
      </c>
      <c r="K128" s="55">
        <f t="shared" si="58"/>
        <v>9.5716383836072283E-2</v>
      </c>
      <c r="L128" s="55">
        <f t="shared" si="59"/>
        <v>0.64698241065483264</v>
      </c>
      <c r="M128" s="55">
        <f t="shared" si="60"/>
        <v>0.35301758934516736</v>
      </c>
      <c r="N128" s="55">
        <f t="shared" si="61"/>
        <v>0.64320448792283103</v>
      </c>
      <c r="O128" s="56">
        <f t="shared" si="62"/>
        <v>9.579880643199855E-8</v>
      </c>
      <c r="P128" s="56">
        <f t="shared" si="63"/>
        <v>1.8887279473566642E-3</v>
      </c>
      <c r="Q128" s="56">
        <f t="shared" si="64"/>
        <v>1.970303361065484E-3</v>
      </c>
      <c r="R128" s="9">
        <f t="shared" si="53"/>
        <v>1.4999999999999999E-4</v>
      </c>
      <c r="S128" s="9">
        <f t="shared" si="54"/>
        <v>9.7047361598224881E-5</v>
      </c>
      <c r="T128" s="9">
        <f t="shared" si="51"/>
        <v>1.4357457575410842E-5</v>
      </c>
      <c r="U128" s="9">
        <f t="shared" si="52"/>
        <v>5.2952638401775099E-5</v>
      </c>
      <c r="V128" s="100">
        <f t="shared" si="55"/>
        <v>0.27113771870014214</v>
      </c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251</v>
      </c>
      <c r="C129" s="46" t="s">
        <v>252</v>
      </c>
      <c r="D129" s="47">
        <v>-1.2627122753537208</v>
      </c>
      <c r="E129" s="47">
        <v>-2.2737174621228986</v>
      </c>
      <c r="F129" s="96">
        <v>9.9999999999999995E-7</v>
      </c>
      <c r="G129" s="7"/>
      <c r="H129" s="7"/>
      <c r="I129" s="54">
        <f t="shared" si="56"/>
        <v>-2.135446795447277E-4</v>
      </c>
      <c r="J129" s="54">
        <f t="shared" si="57"/>
        <v>-1.6080414735763353</v>
      </c>
      <c r="K129" s="55">
        <f t="shared" si="58"/>
        <v>0.99996511758805995</v>
      </c>
      <c r="L129" s="55">
        <f t="shared" si="59"/>
        <v>8.4535720728791772E-6</v>
      </c>
      <c r="M129" s="55">
        <f t="shared" si="60"/>
        <v>0.99999154642792709</v>
      </c>
      <c r="N129" s="55">
        <f t="shared" si="61"/>
        <v>1.7396311347718472E-6</v>
      </c>
      <c r="O129" s="56">
        <f t="shared" si="62"/>
        <v>1.0008262002734286E-6</v>
      </c>
      <c r="P129" s="56">
        <f t="shared" si="63"/>
        <v>2.4678410983198879E-8</v>
      </c>
      <c r="Q129" s="56">
        <f t="shared" si="64"/>
        <v>5.3289445832759216E-9</v>
      </c>
      <c r="R129" s="9">
        <f t="shared" si="53"/>
        <v>1.4999999999999999E-4</v>
      </c>
      <c r="S129" s="9">
        <f t="shared" si="54"/>
        <v>1.2680358109318765E-9</v>
      </c>
      <c r="T129" s="9">
        <f t="shared" si="51"/>
        <v>1.4999476763820897E-4</v>
      </c>
      <c r="U129" s="9">
        <f t="shared" si="52"/>
        <v>1.4999873196418906E-4</v>
      </c>
      <c r="V129" s="100">
        <f t="shared" si="55"/>
        <v>0.99997357093671291</v>
      </c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253</v>
      </c>
      <c r="C130" s="46" t="s">
        <v>254</v>
      </c>
      <c r="D130" s="47">
        <v>2.1582748772295566</v>
      </c>
      <c r="E130" s="47">
        <v>2.5927572197209185</v>
      </c>
      <c r="F130" s="96">
        <v>9.9999999999999995E-7</v>
      </c>
      <c r="G130" s="7"/>
      <c r="H130" s="7"/>
      <c r="I130" s="54">
        <f t="shared" si="56"/>
        <v>3.4815258927436928E-2</v>
      </c>
      <c r="J130" s="54">
        <f t="shared" si="57"/>
        <v>2.5767035240547713</v>
      </c>
      <c r="K130" s="55">
        <f t="shared" si="58"/>
        <v>0.82413898173683797</v>
      </c>
      <c r="L130" s="55">
        <f t="shared" si="59"/>
        <v>0.1066107168507746</v>
      </c>
      <c r="M130" s="55">
        <f t="shared" si="60"/>
        <v>0.89338928314922539</v>
      </c>
      <c r="N130" s="55">
        <f t="shared" si="61"/>
        <v>0.10542593463426915</v>
      </c>
      <c r="O130" s="56">
        <f t="shared" si="62"/>
        <v>8.2484865829957896E-7</v>
      </c>
      <c r="P130" s="56">
        <f t="shared" si="63"/>
        <v>3.1122737973662097E-4</v>
      </c>
      <c r="Q130" s="56">
        <f t="shared" si="64"/>
        <v>3.2294717660348793E-4</v>
      </c>
      <c r="R130" s="9">
        <f t="shared" si="53"/>
        <v>1.4999999999999999E-4</v>
      </c>
      <c r="S130" s="9">
        <f t="shared" si="54"/>
        <v>1.599160752761619E-5</v>
      </c>
      <c r="T130" s="9">
        <f t="shared" si="51"/>
        <v>1.2362084726052569E-4</v>
      </c>
      <c r="U130" s="9">
        <f t="shared" si="52"/>
        <v>1.340083924723838E-4</v>
      </c>
      <c r="V130" s="100">
        <f t="shared" si="55"/>
        <v>0.92248586062250726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255</v>
      </c>
      <c r="C131" s="46" t="s">
        <v>256</v>
      </c>
      <c r="D131" s="47">
        <v>0.51229998772440222</v>
      </c>
      <c r="E131" s="47">
        <v>0.25129998253752994</v>
      </c>
      <c r="F131" s="96">
        <v>9.9999999999999995E-7</v>
      </c>
      <c r="G131" s="7"/>
      <c r="H131" s="7"/>
      <c r="I131" s="54">
        <f t="shared" si="56"/>
        <v>4.8235239734115414E-4</v>
      </c>
      <c r="J131" s="54">
        <f t="shared" si="57"/>
        <v>0.25818722147322465</v>
      </c>
      <c r="K131" s="55">
        <f t="shared" si="58"/>
        <v>0.99775366321630854</v>
      </c>
      <c r="L131" s="55">
        <f t="shared" si="59"/>
        <v>6.1987972999217851E-4</v>
      </c>
      <c r="M131" s="55">
        <f t="shared" si="60"/>
        <v>0.99938012027000778</v>
      </c>
      <c r="N131" s="55">
        <f t="shared" si="61"/>
        <v>5.8145096669982811E-4</v>
      </c>
      <c r="O131" s="56">
        <f t="shared" si="62"/>
        <v>9.9861284159018095E-7</v>
      </c>
      <c r="P131" s="56">
        <f t="shared" si="63"/>
        <v>1.8096074186176725E-6</v>
      </c>
      <c r="Q131" s="56">
        <f t="shared" si="64"/>
        <v>1.781136194623217E-6</v>
      </c>
      <c r="R131" s="9">
        <f t="shared" si="53"/>
        <v>1.4999999999999999E-4</v>
      </c>
      <c r="S131" s="9">
        <f t="shared" si="54"/>
        <v>9.298195949882677E-8</v>
      </c>
      <c r="T131" s="9">
        <f t="shared" si="51"/>
        <v>1.4966304948244626E-4</v>
      </c>
      <c r="U131" s="9">
        <f t="shared" si="52"/>
        <v>1.4990701804050115E-4</v>
      </c>
      <c r="V131" s="100">
        <f t="shared" si="55"/>
        <v>0.99837253411318627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257</v>
      </c>
      <c r="C132" s="46" t="s">
        <v>258</v>
      </c>
      <c r="D132" s="47">
        <v>0.92271245461153151</v>
      </c>
      <c r="E132" s="47">
        <v>0.83512616782767168</v>
      </c>
      <c r="F132" s="96">
        <v>9.9999999999999995E-7</v>
      </c>
      <c r="G132" s="7"/>
      <c r="H132" s="7"/>
      <c r="I132" s="54">
        <f t="shared" si="56"/>
        <v>1.6296434031808995E-3</v>
      </c>
      <c r="J132" s="54">
        <f t="shared" si="57"/>
        <v>0.83124855585318191</v>
      </c>
      <c r="K132" s="55">
        <f t="shared" si="58"/>
        <v>0.99343908632199096</v>
      </c>
      <c r="L132" s="55">
        <f t="shared" si="59"/>
        <v>2.3093336385908722E-3</v>
      </c>
      <c r="M132" s="55">
        <f t="shared" si="60"/>
        <v>0.99769066636140913</v>
      </c>
      <c r="N132" s="55">
        <f t="shared" si="61"/>
        <v>2.2205328086343863E-3</v>
      </c>
      <c r="O132" s="56">
        <f t="shared" si="62"/>
        <v>9.9429454935880504E-7</v>
      </c>
      <c r="P132" s="56">
        <f t="shared" si="63"/>
        <v>6.7416098353629267E-6</v>
      </c>
      <c r="Q132" s="56">
        <f t="shared" si="64"/>
        <v>6.80207202897101E-6</v>
      </c>
      <c r="R132" s="9">
        <f t="shared" si="53"/>
        <v>1.4999999999999999E-4</v>
      </c>
      <c r="S132" s="9">
        <f t="shared" si="54"/>
        <v>3.464000457886308E-7</v>
      </c>
      <c r="T132" s="9">
        <f t="shared" si="51"/>
        <v>1.4901586294829863E-4</v>
      </c>
      <c r="U132" s="9">
        <f t="shared" si="52"/>
        <v>1.4965359995421136E-4</v>
      </c>
      <c r="V132" s="100">
        <f t="shared" si="55"/>
        <v>0.99573857891752793</v>
      </c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259</v>
      </c>
      <c r="C133" s="46" t="s">
        <v>260</v>
      </c>
      <c r="D133" s="47">
        <v>2.8951366557581992</v>
      </c>
      <c r="E133" s="47">
        <v>3.6409690455151855</v>
      </c>
      <c r="F133" s="96">
        <v>9.9999999999999995E-7</v>
      </c>
      <c r="G133" s="7"/>
      <c r="H133" s="7"/>
      <c r="I133" s="54">
        <f t="shared" si="56"/>
        <v>0.18829844715874175</v>
      </c>
      <c r="J133" s="54">
        <f t="shared" si="57"/>
        <v>3.6224301301033548</v>
      </c>
      <c r="K133" s="55">
        <f t="shared" si="58"/>
        <v>0.33548127645036008</v>
      </c>
      <c r="L133" s="55">
        <f t="shared" si="59"/>
        <v>0.48216457541229074</v>
      </c>
      <c r="M133" s="55">
        <f t="shared" si="60"/>
        <v>0.51783542458770926</v>
      </c>
      <c r="N133" s="55">
        <f t="shared" si="61"/>
        <v>0.47954251394822361</v>
      </c>
      <c r="O133" s="56">
        <f t="shared" si="62"/>
        <v>3.3577016364585892E-7</v>
      </c>
      <c r="P133" s="56">
        <f t="shared" si="63"/>
        <v>1.4075772290081676E-3</v>
      </c>
      <c r="Q133" s="56">
        <f t="shared" si="64"/>
        <v>1.4689639838448005E-3</v>
      </c>
      <c r="R133" s="9">
        <f t="shared" si="53"/>
        <v>1.4999999999999999E-4</v>
      </c>
      <c r="S133" s="9">
        <f t="shared" si="54"/>
        <v>7.23246863118436E-5</v>
      </c>
      <c r="T133" s="9">
        <f t="shared" si="51"/>
        <v>5.0322191467554007E-5</v>
      </c>
      <c r="U133" s="9">
        <f t="shared" si="52"/>
        <v>7.7675313688156387E-5</v>
      </c>
      <c r="V133" s="100">
        <f t="shared" si="55"/>
        <v>0.64785308327923663</v>
      </c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261</v>
      </c>
      <c r="C134" s="46" t="s">
        <v>262</v>
      </c>
      <c r="D134" s="47">
        <v>-1.7616394390778063</v>
      </c>
      <c r="E134" s="47">
        <v>-2.9834589203782875</v>
      </c>
      <c r="F134" s="96">
        <v>9.9999999999999995E-7</v>
      </c>
      <c r="G134" s="7"/>
      <c r="H134" s="7"/>
      <c r="I134" s="54">
        <f t="shared" si="56"/>
        <v>-2.2139482595652795E-4</v>
      </c>
      <c r="J134" s="54">
        <f t="shared" si="57"/>
        <v>-1.710142246478803</v>
      </c>
      <c r="K134" s="55">
        <f t="shared" si="58"/>
        <v>0.99998496366766543</v>
      </c>
      <c r="L134" s="55">
        <f t="shared" si="59"/>
        <v>6.6826406175686543E-6</v>
      </c>
      <c r="M134" s="55">
        <f t="shared" si="60"/>
        <v>0.99999331735938246</v>
      </c>
      <c r="N134" s="55">
        <f t="shared" si="61"/>
        <v>3.3940976479416521E-7</v>
      </c>
      <c r="O134" s="56">
        <f t="shared" si="62"/>
        <v>1.0008460634427453E-6</v>
      </c>
      <c r="P134" s="56">
        <f t="shared" si="63"/>
        <v>1.9508552147140878E-8</v>
      </c>
      <c r="Q134" s="56">
        <f t="shared" si="64"/>
        <v>1.039700768432172E-9</v>
      </c>
      <c r="R134" s="9">
        <f t="shared" si="53"/>
        <v>1.4999999999999999E-4</v>
      </c>
      <c r="S134" s="9">
        <f t="shared" si="54"/>
        <v>1.0023960926352981E-9</v>
      </c>
      <c r="T134" s="9">
        <f t="shared" si="51"/>
        <v>1.499977445501498E-4</v>
      </c>
      <c r="U134" s="9">
        <f t="shared" si="52"/>
        <v>1.4999899760390737E-4</v>
      </c>
      <c r="V134" s="100">
        <f t="shared" si="55"/>
        <v>0.99999164625245784</v>
      </c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6" t="s">
        <v>263</v>
      </c>
      <c r="C135" s="46" t="s">
        <v>264</v>
      </c>
      <c r="D135" s="47">
        <v>1.1365502998865107</v>
      </c>
      <c r="E135" s="47">
        <v>1.1393180322329237</v>
      </c>
      <c r="F135" s="96">
        <v>9.9999999999999995E-7</v>
      </c>
      <c r="G135" s="7"/>
      <c r="H135" s="7"/>
      <c r="I135" s="54">
        <f t="shared" si="56"/>
        <v>2.8479282847897803E-3</v>
      </c>
      <c r="J135" s="54">
        <f t="shared" si="57"/>
        <v>1.13192536142415</v>
      </c>
      <c r="K135" s="55">
        <f t="shared" si="58"/>
        <v>0.9883901574614149</v>
      </c>
      <c r="L135" s="55">
        <f t="shared" si="59"/>
        <v>4.5914584247510925E-3</v>
      </c>
      <c r="M135" s="55">
        <f t="shared" si="60"/>
        <v>0.99540854157524894</v>
      </c>
      <c r="N135" s="55">
        <f t="shared" si="61"/>
        <v>4.4507810226012828E-3</v>
      </c>
      <c r="O135" s="56">
        <f t="shared" si="62"/>
        <v>9.8924127280134928E-7</v>
      </c>
      <c r="P135" s="56">
        <f t="shared" si="63"/>
        <v>1.340378919602521E-5</v>
      </c>
      <c r="Q135" s="56">
        <f t="shared" si="64"/>
        <v>1.3633904882283556E-5</v>
      </c>
      <c r="R135" s="9">
        <f t="shared" si="53"/>
        <v>1.4999999999999999E-4</v>
      </c>
      <c r="S135" s="9">
        <f t="shared" si="54"/>
        <v>6.8871876371266382E-7</v>
      </c>
      <c r="T135" s="9">
        <f t="shared" si="51"/>
        <v>1.4825852361921221E-4</v>
      </c>
      <c r="U135" s="9">
        <f t="shared" si="52"/>
        <v>1.4931128123628733E-4</v>
      </c>
      <c r="V135" s="100">
        <f t="shared" si="55"/>
        <v>0.99294924262682405</v>
      </c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6" t="s">
        <v>265</v>
      </c>
      <c r="C136" s="46" t="s">
        <v>266</v>
      </c>
      <c r="D136" s="47">
        <v>-0.16497034264114602</v>
      </c>
      <c r="E136" s="47">
        <v>-0.71214090995430623</v>
      </c>
      <c r="F136" s="96">
        <v>9.9999999999999995E-7</v>
      </c>
      <c r="G136" s="7"/>
      <c r="H136" s="7"/>
      <c r="I136" s="54">
        <f t="shared" si="56"/>
        <v>-7.9190837002413863E-5</v>
      </c>
      <c r="J136" s="54">
        <f t="shared" si="57"/>
        <v>-0.6521994207584626</v>
      </c>
      <c r="K136" s="55">
        <f t="shared" si="58"/>
        <v>0.999587957351464</v>
      </c>
      <c r="L136" s="55">
        <f t="shared" si="59"/>
        <v>7.6334080274684338E-5</v>
      </c>
      <c r="M136" s="55">
        <f t="shared" si="60"/>
        <v>0.99992366591972537</v>
      </c>
      <c r="N136" s="55">
        <f t="shared" si="61"/>
        <v>6.3367983722790745E-5</v>
      </c>
      <c r="O136" s="56">
        <f t="shared" si="62"/>
        <v>1.0004487152593541E-6</v>
      </c>
      <c r="P136" s="56">
        <f t="shared" si="63"/>
        <v>2.2284115978460638E-7</v>
      </c>
      <c r="Q136" s="56">
        <f t="shared" si="64"/>
        <v>1.9411268680068194E-7</v>
      </c>
      <c r="R136" s="9">
        <f t="shared" si="53"/>
        <v>1.4999999999999999E-4</v>
      </c>
      <c r="S136" s="9">
        <f t="shared" si="54"/>
        <v>1.145011204120265E-8</v>
      </c>
      <c r="T136" s="9">
        <f t="shared" si="51"/>
        <v>1.4993819360271959E-4</v>
      </c>
      <c r="U136" s="9">
        <f t="shared" si="52"/>
        <v>1.499885498879588E-4</v>
      </c>
      <c r="V136" s="100">
        <f t="shared" si="55"/>
        <v>0.99966426580377754</v>
      </c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6" t="s">
        <v>267</v>
      </c>
      <c r="C137" s="46" t="s">
        <v>268</v>
      </c>
      <c r="D137" s="47">
        <v>-2.7256879443499291</v>
      </c>
      <c r="E137" s="47">
        <v>-4.3548518644977863</v>
      </c>
      <c r="F137" s="96">
        <v>9.9999999999999995E-7</v>
      </c>
      <c r="G137" s="7"/>
      <c r="H137" s="7"/>
      <c r="I137" s="54">
        <f t="shared" si="56"/>
        <v>-2.2462984868396082E-4</v>
      </c>
      <c r="J137" s="54">
        <f t="shared" si="57"/>
        <v>-1.742402163853854</v>
      </c>
      <c r="K137" s="55">
        <f t="shared" si="58"/>
        <v>0.99999289085523768</v>
      </c>
      <c r="L137" s="55">
        <f t="shared" si="59"/>
        <v>6.2042834584292221E-6</v>
      </c>
      <c r="M137" s="55">
        <f t="shared" si="60"/>
        <v>0.99999379571654157</v>
      </c>
      <c r="N137" s="55">
        <f t="shared" si="61"/>
        <v>1.4432276192579543E-8</v>
      </c>
      <c r="O137" s="56">
        <f t="shared" si="62"/>
        <v>1.00085399745652E-6</v>
      </c>
      <c r="P137" s="56">
        <f t="shared" si="63"/>
        <v>1.8112089862532038E-8</v>
      </c>
      <c r="Q137" s="56">
        <f t="shared" si="64"/>
        <v>4.4209831902597785E-11</v>
      </c>
      <c r="R137" s="9">
        <f t="shared" si="53"/>
        <v>1.4999999999999999E-4</v>
      </c>
      <c r="S137" s="9">
        <f t="shared" si="54"/>
        <v>9.306425187643832E-10</v>
      </c>
      <c r="T137" s="9">
        <f t="shared" si="51"/>
        <v>1.4999893362828564E-4</v>
      </c>
      <c r="U137" s="9">
        <f t="shared" si="52"/>
        <v>1.4999906935748121E-4</v>
      </c>
      <c r="V137" s="100">
        <f t="shared" si="55"/>
        <v>0.99999909513308205</v>
      </c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6" t="s">
        <v>269</v>
      </c>
      <c r="C138" s="46" t="s">
        <v>270</v>
      </c>
      <c r="D138" s="47">
        <v>-0.21545001227559774</v>
      </c>
      <c r="E138" s="47">
        <v>-0.78395001746247006</v>
      </c>
      <c r="F138" s="96">
        <v>9.9999999999999995E-7</v>
      </c>
      <c r="G138" s="7"/>
      <c r="H138" s="7"/>
      <c r="I138" s="54">
        <f t="shared" si="56"/>
        <v>-9.5327662881748492E-5</v>
      </c>
      <c r="J138" s="54">
        <f t="shared" si="57"/>
        <v>-0.71582896186790201</v>
      </c>
      <c r="K138" s="55">
        <f t="shared" si="58"/>
        <v>0.99963549609586688</v>
      </c>
      <c r="L138" s="55">
        <f t="shared" si="59"/>
        <v>6.5934025238237453E-5</v>
      </c>
      <c r="M138" s="55">
        <f t="shared" si="60"/>
        <v>0.99993406597476175</v>
      </c>
      <c r="N138" s="55">
        <f t="shared" si="61"/>
        <v>5.3713250525331219E-5</v>
      </c>
      <c r="O138" s="56">
        <f t="shared" si="62"/>
        <v>1.0004962949399748E-6</v>
      </c>
      <c r="P138" s="56">
        <f t="shared" si="63"/>
        <v>1.9248040456484175E-7</v>
      </c>
      <c r="Q138" s="56">
        <f t="shared" si="64"/>
        <v>1.6453771705726919E-7</v>
      </c>
      <c r="R138" s="9">
        <f t="shared" si="53"/>
        <v>1.4999999999999999E-4</v>
      </c>
      <c r="S138" s="9">
        <f t="shared" si="54"/>
        <v>9.8901037857356173E-9</v>
      </c>
      <c r="T138" s="9">
        <f t="shared" si="51"/>
        <v>1.4994532441438003E-4</v>
      </c>
      <c r="U138" s="9">
        <f t="shared" si="52"/>
        <v>1.4999010989621425E-4</v>
      </c>
      <c r="V138" s="100">
        <f t="shared" si="55"/>
        <v>0.99970141043389316</v>
      </c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6" t="s">
        <v>271</v>
      </c>
      <c r="C139" s="46" t="s">
        <v>272</v>
      </c>
      <c r="D139" s="47">
        <v>1.0310160000000004</v>
      </c>
      <c r="E139" s="47">
        <v>0.78085199999999966</v>
      </c>
      <c r="F139" s="96">
        <v>9.9999999999999995E-7</v>
      </c>
      <c r="G139" s="7"/>
      <c r="H139" s="7"/>
      <c r="I139" s="54">
        <f t="shared" ref="I139:I143" si="65">IF(D139=0,"",LOG($K$15*10^D139+$K$16*10^E139+$K$14))</f>
        <v>2.1084810301724875E-3</v>
      </c>
      <c r="J139" s="54">
        <f t="shared" ref="J139:J143" si="66">IF(D139=0,"",LOG($K$21*10^D139+$K$22*10^E139+$K$20))</f>
        <v>0.78412765153631614</v>
      </c>
      <c r="K139" s="55">
        <f t="shared" ref="K139:K143" si="67">IF(D139=0,"",1/(1+10^D139*$J$15/$J$14+10^E139*$J$16/$J$14+10^J139*$J$19/$J$14))</f>
        <v>0.99258231227476379</v>
      </c>
      <c r="L139" s="55">
        <f t="shared" ref="L139:L143" si="68">IF(D139=0,"",1/(1+10^I139/10^J139*$J$13/$J$19))</f>
        <v>2.070098764436801E-3</v>
      </c>
      <c r="M139" s="55">
        <f t="shared" ref="M139:M143" si="69">IF(D139=0,"",1-L139)</f>
        <v>0.99792990123556324</v>
      </c>
      <c r="N139" s="55">
        <f t="shared" ref="N139:N143" si="70">IF(D139=0,"",1/(1/10^E139*$J$20/$J$22+10^D139/10^E139*$J$21/$J$22+10^I139/10^E139*$J$13/$J$22+1))</f>
        <v>1.9579802881178319E-3</v>
      </c>
      <c r="O139" s="56">
        <f t="shared" ref="O139:O143" si="71">IF(D139=0,"",F139*K139*$J$7/$J$14)</f>
        <v>9.9343703753254495E-7</v>
      </c>
      <c r="P139" s="56">
        <f t="shared" ref="P139:P143" si="72">IF(D139=0,"",O139*10^J139)</f>
        <v>6.0432143529574356E-6</v>
      </c>
      <c r="Q139" s="56">
        <f t="shared" ref="Q139:Q143" si="73">IF(D139=0,"",F139*N139*$J$7/$J$22)</f>
        <v>5.9978050760139809E-6</v>
      </c>
      <c r="R139" s="9">
        <f t="shared" si="53"/>
        <v>1.4999999999999999E-4</v>
      </c>
      <c r="S139" s="9">
        <f t="shared" si="54"/>
        <v>3.1051481466552012E-7</v>
      </c>
      <c r="T139" s="9">
        <f t="shared" si="51"/>
        <v>1.4888734684121455E-4</v>
      </c>
      <c r="U139" s="9">
        <f t="shared" si="52"/>
        <v>1.4968948518533448E-4</v>
      </c>
      <c r="V139" s="100">
        <f t="shared" si="55"/>
        <v>0.99464131803829259</v>
      </c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6" t="s">
        <v>273</v>
      </c>
      <c r="C140" s="46" t="s">
        <v>274</v>
      </c>
      <c r="D140" s="47">
        <v>-1.8497486811018407</v>
      </c>
      <c r="E140" s="47">
        <v>-3.1087974195955765</v>
      </c>
      <c r="F140" s="96">
        <v>9.9999999999999995E-7</v>
      </c>
      <c r="G140" s="7"/>
      <c r="H140" s="7"/>
      <c r="I140" s="54">
        <f t="shared" si="65"/>
        <v>-2.2206215862113771E-4</v>
      </c>
      <c r="J140" s="54">
        <f t="shared" si="66"/>
        <v>-1.7177929468599609</v>
      </c>
      <c r="K140" s="55">
        <f t="shared" si="67"/>
        <v>0.99998661691745683</v>
      </c>
      <c r="L140" s="55">
        <f t="shared" si="68"/>
        <v>6.5659583520846423E-6</v>
      </c>
      <c r="M140" s="55">
        <f t="shared" si="69"/>
        <v>0.99999343404164787</v>
      </c>
      <c r="N140" s="55">
        <f t="shared" si="70"/>
        <v>2.5432353505623502E-7</v>
      </c>
      <c r="O140" s="56">
        <f t="shared" si="71"/>
        <v>1.0008477181161715E-6</v>
      </c>
      <c r="P140" s="56">
        <f t="shared" si="72"/>
        <v>1.9167923016964858E-8</v>
      </c>
      <c r="Q140" s="56">
        <f t="shared" si="73"/>
        <v>7.7905942095894479E-10</v>
      </c>
      <c r="R140" s="9">
        <f t="shared" si="53"/>
        <v>1.4999999999999999E-4</v>
      </c>
      <c r="S140" s="9">
        <f t="shared" si="54"/>
        <v>9.8489375281269621E-10</v>
      </c>
      <c r="T140" s="9">
        <f t="shared" si="51"/>
        <v>1.4999799253761852E-4</v>
      </c>
      <c r="U140" s="9">
        <f t="shared" si="52"/>
        <v>1.4999901510624717E-4</v>
      </c>
      <c r="V140" s="100">
        <f t="shared" si="55"/>
        <v>0.99999318283104777</v>
      </c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6" t="s">
        <v>275</v>
      </c>
      <c r="C141" s="46" t="s">
        <v>276</v>
      </c>
      <c r="D141" s="47">
        <v>-1.4544244920654867</v>
      </c>
      <c r="E141" s="47">
        <v>-2.5464348408255515</v>
      </c>
      <c r="F141" s="96">
        <v>9.9999999999999995E-7</v>
      </c>
      <c r="G141" s="7"/>
      <c r="H141" s="7"/>
      <c r="I141" s="54">
        <f t="shared" si="65"/>
        <v>-2.1765065893421197E-4</v>
      </c>
      <c r="J141" s="54">
        <f t="shared" si="66"/>
        <v>-1.6630084738032638</v>
      </c>
      <c r="K141" s="55">
        <f t="shared" si="67"/>
        <v>0.99997557657089742</v>
      </c>
      <c r="L141" s="55">
        <f t="shared" si="68"/>
        <v>7.4486540119050603E-6</v>
      </c>
      <c r="M141" s="55">
        <f t="shared" si="69"/>
        <v>0.99999255134598808</v>
      </c>
      <c r="N141" s="55">
        <f t="shared" si="70"/>
        <v>9.2841967515496E-7</v>
      </c>
      <c r="O141" s="56">
        <f t="shared" si="71"/>
        <v>1.000836668262629E-6</v>
      </c>
      <c r="P141" s="56">
        <f t="shared" si="72"/>
        <v>2.1744765809376872E-8</v>
      </c>
      <c r="Q141" s="56">
        <f t="shared" si="73"/>
        <v>2.8439919819971944E-9</v>
      </c>
      <c r="R141" s="9">
        <f t="shared" si="53"/>
        <v>1.4999999999999999E-4</v>
      </c>
      <c r="S141" s="9">
        <f t="shared" si="54"/>
        <v>1.1172981017857589E-9</v>
      </c>
      <c r="T141" s="9">
        <f t="shared" si="51"/>
        <v>1.4999633648563461E-4</v>
      </c>
      <c r="U141" s="9">
        <f t="shared" si="52"/>
        <v>1.4999888270189821E-4</v>
      </c>
      <c r="V141" s="100">
        <f t="shared" si="55"/>
        <v>0.99998302509846915</v>
      </c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6" t="s">
        <v>277</v>
      </c>
      <c r="C142" s="46" t="s">
        <v>278</v>
      </c>
      <c r="D142" s="47">
        <v>2.3179513188981593</v>
      </c>
      <c r="E142" s="47">
        <v>2.8199025804044244</v>
      </c>
      <c r="F142" s="96">
        <v>9.9999999999999995E-7</v>
      </c>
      <c r="G142" s="7"/>
      <c r="H142" s="7"/>
      <c r="I142" s="54">
        <f t="shared" si="65"/>
        <v>5.0919667310397418E-2</v>
      </c>
      <c r="J142" s="54">
        <f t="shared" si="66"/>
        <v>2.8031484090593466</v>
      </c>
      <c r="K142" s="55">
        <f t="shared" si="67"/>
        <v>0.74467165750700337</v>
      </c>
      <c r="L142" s="55">
        <f t="shared" si="68"/>
        <v>0.16225949372135912</v>
      </c>
      <c r="M142" s="55">
        <f t="shared" si="69"/>
        <v>0.83774050627864094</v>
      </c>
      <c r="N142" s="55">
        <f t="shared" si="70"/>
        <v>0.16071528713879721</v>
      </c>
      <c r="O142" s="56">
        <f t="shared" si="71"/>
        <v>7.4531290374578275E-7</v>
      </c>
      <c r="P142" s="56">
        <f t="shared" si="72"/>
        <v>4.7368218280508071E-4</v>
      </c>
      <c r="Q142" s="56">
        <f t="shared" si="73"/>
        <v>4.9231290572426453E-4</v>
      </c>
      <c r="R142" s="9">
        <f t="shared" si="53"/>
        <v>1.4999999999999999E-4</v>
      </c>
      <c r="S142" s="9">
        <f t="shared" si="54"/>
        <v>2.4338924058203866E-5</v>
      </c>
      <c r="T142" s="9">
        <f t="shared" si="51"/>
        <v>1.1170074862605049E-4</v>
      </c>
      <c r="U142" s="9">
        <f t="shared" si="52"/>
        <v>1.2566107594179612E-4</v>
      </c>
      <c r="V142" s="100">
        <f t="shared" si="55"/>
        <v>0.88890491975246333</v>
      </c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6" t="s">
        <v>96</v>
      </c>
      <c r="C143" s="46" t="s">
        <v>279</v>
      </c>
      <c r="D143" s="47">
        <v>3.46</v>
      </c>
      <c r="E143" s="47">
        <v>2.6247999825375303</v>
      </c>
      <c r="F143" s="96">
        <v>9.9999999999999995E-7</v>
      </c>
      <c r="G143" s="7"/>
      <c r="H143" s="7"/>
      <c r="I143" s="54">
        <f t="shared" si="65"/>
        <v>0.38018124000089604</v>
      </c>
      <c r="J143" s="54">
        <f t="shared" si="66"/>
        <v>2.6860520244668198</v>
      </c>
      <c r="K143" s="55">
        <f t="shared" si="67"/>
        <v>0.38948753254004809</v>
      </c>
      <c r="L143" s="55">
        <f t="shared" si="68"/>
        <v>6.4810066599482088E-2</v>
      </c>
      <c r="M143" s="55">
        <f t="shared" si="69"/>
        <v>0.93518993340051793</v>
      </c>
      <c r="N143" s="55">
        <f t="shared" si="70"/>
        <v>5.36393277688006E-2</v>
      </c>
      <c r="O143" s="56">
        <f t="shared" si="71"/>
        <v>3.8982292520979042E-7</v>
      </c>
      <c r="P143" s="56">
        <f t="shared" si="72"/>
        <v>1.8919924566820087E-4</v>
      </c>
      <c r="Q143" s="56">
        <f t="shared" si="73"/>
        <v>1.6431127234429481E-4</v>
      </c>
      <c r="R143" s="9">
        <f t="shared" si="53"/>
        <v>1.4999999999999999E-4</v>
      </c>
      <c r="S143" s="9">
        <f t="shared" si="54"/>
        <v>9.7215099899223127E-6</v>
      </c>
      <c r="T143" s="9">
        <f t="shared" si="51"/>
        <v>5.8423129881007207E-5</v>
      </c>
      <c r="U143" s="9">
        <f t="shared" si="52"/>
        <v>1.4027849001007768E-4</v>
      </c>
      <c r="V143" s="100">
        <f t="shared" si="55"/>
        <v>0.41647960337190726</v>
      </c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2025-02-02T14:52:25Z</dcterms:modified>
</cp:coreProperties>
</file>