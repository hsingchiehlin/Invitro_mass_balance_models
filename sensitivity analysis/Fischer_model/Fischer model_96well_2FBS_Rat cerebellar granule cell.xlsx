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F4E35711-3DF7-4FC4-8A9B-6B4DF17CFA83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S131" i="4"/>
  <c r="R131" i="4"/>
  <c r="U131" i="4" s="1"/>
  <c r="V130" i="4"/>
  <c r="R130" i="4"/>
  <c r="U130" i="4" s="1"/>
  <c r="V127" i="4"/>
  <c r="U127" i="4"/>
  <c r="T127" i="4"/>
  <c r="R127" i="4"/>
  <c r="S127" i="4" s="1"/>
  <c r="V126" i="4"/>
  <c r="R126" i="4"/>
  <c r="U126" i="4" s="1"/>
  <c r="V124" i="4"/>
  <c r="U124" i="4"/>
  <c r="T124" i="4"/>
  <c r="S124" i="4"/>
  <c r="R124" i="4"/>
  <c r="V121" i="4"/>
  <c r="T121" i="4"/>
  <c r="R121" i="4"/>
  <c r="U121" i="4" s="1"/>
  <c r="V120" i="4"/>
  <c r="R120" i="4"/>
  <c r="T120" i="4" s="1"/>
  <c r="V119" i="4"/>
  <c r="R119" i="4"/>
  <c r="U119" i="4" s="1"/>
  <c r="V116" i="4"/>
  <c r="R116" i="4"/>
  <c r="S116" i="4" s="1"/>
  <c r="V115" i="4"/>
  <c r="U115" i="4"/>
  <c r="T115" i="4"/>
  <c r="S115" i="4"/>
  <c r="R115" i="4"/>
  <c r="V114" i="4"/>
  <c r="R114" i="4"/>
  <c r="U114" i="4" s="1"/>
  <c r="V108" i="4"/>
  <c r="R108" i="4"/>
  <c r="U108" i="4" s="1"/>
  <c r="V107" i="4"/>
  <c r="S107" i="4"/>
  <c r="R107" i="4"/>
  <c r="U107" i="4" s="1"/>
  <c r="V93" i="4"/>
  <c r="R93" i="4"/>
  <c r="U93" i="4" s="1"/>
  <c r="V92" i="4"/>
  <c r="U92" i="4"/>
  <c r="T92" i="4"/>
  <c r="R92" i="4"/>
  <c r="S92" i="4" s="1"/>
  <c r="V91" i="4"/>
  <c r="R91" i="4"/>
  <c r="U91" i="4" s="1"/>
  <c r="V90" i="4"/>
  <c r="U90" i="4"/>
  <c r="T90" i="4"/>
  <c r="S90" i="4"/>
  <c r="R90" i="4"/>
  <c r="V89" i="4"/>
  <c r="R89" i="4"/>
  <c r="T89" i="4" s="1"/>
  <c r="V88" i="4"/>
  <c r="R88" i="4"/>
  <c r="T88" i="4" s="1"/>
  <c r="V86" i="4"/>
  <c r="R86" i="4"/>
  <c r="U86" i="4" s="1"/>
  <c r="V85" i="4"/>
  <c r="R85" i="4"/>
  <c r="S85" i="4" s="1"/>
  <c r="V84" i="4"/>
  <c r="U84" i="4"/>
  <c r="T84" i="4"/>
  <c r="S84" i="4"/>
  <c r="R84" i="4"/>
  <c r="V83" i="4"/>
  <c r="R83" i="4"/>
  <c r="U83" i="4" s="1"/>
  <c r="V82" i="4"/>
  <c r="R82" i="4"/>
  <c r="S82" i="4" s="1"/>
  <c r="V81" i="4"/>
  <c r="U81" i="4"/>
  <c r="S81" i="4"/>
  <c r="R81" i="4"/>
  <c r="T81" i="4" s="1"/>
  <c r="V80" i="4"/>
  <c r="R80" i="4"/>
  <c r="U80" i="4" s="1"/>
  <c r="V79" i="4"/>
  <c r="U79" i="4"/>
  <c r="T79" i="4"/>
  <c r="S79" i="4"/>
  <c r="R79" i="4"/>
  <c r="V78" i="4"/>
  <c r="R78" i="4"/>
  <c r="U78" i="4" s="1"/>
  <c r="V77" i="4"/>
  <c r="U77" i="4"/>
  <c r="T77" i="4"/>
  <c r="S77" i="4"/>
  <c r="R77" i="4"/>
  <c r="V76" i="4"/>
  <c r="R76" i="4"/>
  <c r="U76" i="4" s="1"/>
  <c r="V75" i="4"/>
  <c r="R75" i="4"/>
  <c r="U75" i="4" s="1"/>
  <c r="V74" i="4"/>
  <c r="R74" i="4"/>
  <c r="U74" i="4" s="1"/>
  <c r="V73" i="4"/>
  <c r="R73" i="4"/>
  <c r="U73" i="4" s="1"/>
  <c r="V72" i="4"/>
  <c r="U72" i="4"/>
  <c r="T72" i="4"/>
  <c r="S72" i="4"/>
  <c r="R72" i="4"/>
  <c r="V71" i="4"/>
  <c r="R71" i="4"/>
  <c r="U71" i="4" s="1"/>
  <c r="V70" i="4"/>
  <c r="R70" i="4"/>
  <c r="T70" i="4" s="1"/>
  <c r="V69" i="4"/>
  <c r="U69" i="4"/>
  <c r="S69" i="4"/>
  <c r="R69" i="4"/>
  <c r="T69" i="4" s="1"/>
  <c r="V68" i="4"/>
  <c r="R68" i="4"/>
  <c r="T68" i="4" s="1"/>
  <c r="V65" i="4"/>
  <c r="U65" i="4"/>
  <c r="T65" i="4"/>
  <c r="S65" i="4"/>
  <c r="R65" i="4"/>
  <c r="V64" i="4"/>
  <c r="R64" i="4"/>
  <c r="S64" i="4" s="1"/>
  <c r="V63" i="4"/>
  <c r="U63" i="4"/>
  <c r="T63" i="4"/>
  <c r="S63" i="4"/>
  <c r="R63" i="4"/>
  <c r="V62" i="4"/>
  <c r="R62" i="4"/>
  <c r="T62" i="4" s="1"/>
  <c r="V61" i="4"/>
  <c r="R61" i="4"/>
  <c r="U61" i="4" s="1"/>
  <c r="V60" i="4"/>
  <c r="R60" i="4"/>
  <c r="U60" i="4" s="1"/>
  <c r="V58" i="4"/>
  <c r="R58" i="4"/>
  <c r="T58" i="4" s="1"/>
  <c r="V57" i="4"/>
  <c r="U57" i="4"/>
  <c r="T57" i="4"/>
  <c r="S57" i="4"/>
  <c r="R57" i="4"/>
  <c r="V49" i="4"/>
  <c r="R49" i="4"/>
  <c r="U49" i="4" s="1"/>
  <c r="V48" i="4"/>
  <c r="R48" i="4"/>
  <c r="T48" i="4" s="1"/>
  <c r="V47" i="4"/>
  <c r="U47" i="4"/>
  <c r="S47" i="4"/>
  <c r="R47" i="4"/>
  <c r="T47" i="4" s="1"/>
  <c r="V46" i="4"/>
  <c r="R46" i="4"/>
  <c r="U46" i="4" s="1"/>
  <c r="V45" i="4"/>
  <c r="U45" i="4"/>
  <c r="T45" i="4"/>
  <c r="S45" i="4"/>
  <c r="R45" i="4"/>
  <c r="V44" i="4"/>
  <c r="R44" i="4"/>
  <c r="S44" i="4" s="1"/>
  <c r="V43" i="4"/>
  <c r="U43" i="4"/>
  <c r="T43" i="4"/>
  <c r="S43" i="4"/>
  <c r="R43" i="4"/>
  <c r="V42" i="4"/>
  <c r="R42" i="4"/>
  <c r="T42" i="4" s="1"/>
  <c r="V41" i="4"/>
  <c r="R41" i="4"/>
  <c r="U41" i="4" s="1"/>
  <c r="V40" i="4"/>
  <c r="R40" i="4"/>
  <c r="U40" i="4" s="1"/>
  <c r="V39" i="4"/>
  <c r="R39" i="4"/>
  <c r="T39" i="4" s="1"/>
  <c r="V38" i="4"/>
  <c r="U38" i="4"/>
  <c r="T38" i="4"/>
  <c r="S38" i="4"/>
  <c r="R38" i="4"/>
  <c r="V37" i="4"/>
  <c r="R37" i="4"/>
  <c r="U37" i="4" s="1"/>
  <c r="V36" i="4"/>
  <c r="R36" i="4"/>
  <c r="T36" i="4" s="1"/>
  <c r="V35" i="4"/>
  <c r="U35" i="4"/>
  <c r="S35" i="4"/>
  <c r="R35" i="4"/>
  <c r="T35" i="4" s="1"/>
  <c r="V34" i="4"/>
  <c r="R34" i="4"/>
  <c r="T34" i="4" s="1"/>
  <c r="V33" i="4"/>
  <c r="U33" i="4"/>
  <c r="T33" i="4"/>
  <c r="S33" i="4"/>
  <c r="R33" i="4"/>
  <c r="V32" i="4"/>
  <c r="R32" i="4"/>
  <c r="S32" i="4" s="1"/>
  <c r="V31" i="4"/>
  <c r="U31" i="4"/>
  <c r="T31" i="4"/>
  <c r="S31" i="4"/>
  <c r="R31" i="4"/>
  <c r="V30" i="4"/>
  <c r="R30" i="4"/>
  <c r="T30" i="4" s="1"/>
  <c r="V29" i="4"/>
  <c r="R29" i="4"/>
  <c r="U29" i="4" s="1"/>
  <c r="V28" i="4"/>
  <c r="R28" i="4"/>
  <c r="U28" i="4" s="1"/>
  <c r="S70" i="4" l="1"/>
  <c r="T82" i="4"/>
  <c r="S88" i="4"/>
  <c r="S34" i="4"/>
  <c r="T41" i="4"/>
  <c r="U48" i="4"/>
  <c r="T61" i="4"/>
  <c r="U70" i="4"/>
  <c r="T75" i="4"/>
  <c r="U82" i="4"/>
  <c r="S130" i="4"/>
  <c r="S39" i="4"/>
  <c r="S73" i="4"/>
  <c r="U88" i="4"/>
  <c r="U34" i="4"/>
  <c r="U68" i="4"/>
  <c r="T73" i="4"/>
  <c r="S78" i="4"/>
  <c r="T85" i="4"/>
  <c r="S91" i="4"/>
  <c r="S126" i="4"/>
  <c r="T32" i="4"/>
  <c r="S37" i="4"/>
  <c r="U39" i="4"/>
  <c r="T44" i="4"/>
  <c r="S49" i="4"/>
  <c r="U58" i="4"/>
  <c r="T64" i="4"/>
  <c r="S71" i="4"/>
  <c r="T78" i="4"/>
  <c r="S83" i="4"/>
  <c r="U85" i="4"/>
  <c r="T91" i="4"/>
  <c r="S114" i="4"/>
  <c r="U116" i="4"/>
  <c r="T126" i="4"/>
  <c r="S30" i="4"/>
  <c r="U32" i="4"/>
  <c r="T37" i="4"/>
  <c r="S42" i="4"/>
  <c r="U44" i="4"/>
  <c r="T49" i="4"/>
  <c r="S62" i="4"/>
  <c r="U64" i="4"/>
  <c r="T71" i="4"/>
  <c r="S76" i="4"/>
  <c r="T83" i="4"/>
  <c r="S89" i="4"/>
  <c r="T114" i="4"/>
  <c r="S121" i="4"/>
  <c r="S48" i="4"/>
  <c r="S108" i="4"/>
  <c r="T108" i="4"/>
  <c r="T29" i="4"/>
  <c r="U36" i="4"/>
  <c r="S46" i="4"/>
  <c r="S68" i="4"/>
  <c r="S93" i="4"/>
  <c r="S58" i="4"/>
  <c r="U120" i="4"/>
  <c r="T116" i="4"/>
  <c r="T76" i="4"/>
  <c r="S28" i="4"/>
  <c r="U30" i="4"/>
  <c r="S40" i="4"/>
  <c r="U42" i="4"/>
  <c r="S60" i="4"/>
  <c r="U62" i="4"/>
  <c r="S74" i="4"/>
  <c r="S86" i="4"/>
  <c r="U89" i="4"/>
  <c r="T107" i="4"/>
  <c r="S119" i="4"/>
  <c r="T131" i="4"/>
  <c r="S36" i="4"/>
  <c r="S29" i="4"/>
  <c r="S41" i="4"/>
  <c r="S61" i="4"/>
  <c r="S75" i="4"/>
  <c r="S120" i="4"/>
  <c r="S80" i="4"/>
  <c r="T46" i="4"/>
  <c r="T80" i="4"/>
  <c r="T93" i="4"/>
  <c r="T130" i="4"/>
  <c r="T28" i="4"/>
  <c r="T40" i="4"/>
  <c r="T60" i="4"/>
  <c r="T74" i="4"/>
  <c r="T86" i="4"/>
  <c r="T119" i="4"/>
  <c r="I130" i="4" l="1"/>
  <c r="I126" i="4"/>
  <c r="N126" i="4" s="1"/>
  <c r="Q126" i="4" s="1"/>
  <c r="J126" i="4"/>
  <c r="K126" i="4"/>
  <c r="O126" i="4" s="1"/>
  <c r="P126" i="4" s="1"/>
  <c r="L126" i="4"/>
  <c r="M126" i="4" s="1"/>
  <c r="I127" i="4"/>
  <c r="L127" i="4" s="1"/>
  <c r="M127" i="4" s="1"/>
  <c r="J127" i="4"/>
  <c r="K127" i="4"/>
  <c r="O127" i="4" s="1"/>
  <c r="P127" i="4" s="1"/>
  <c r="N127" i="4"/>
  <c r="Q127" i="4" s="1"/>
  <c r="I129" i="4"/>
  <c r="J129" i="4"/>
  <c r="K129" i="4"/>
  <c r="L129" i="4"/>
  <c r="M129" i="4"/>
  <c r="N129" i="4"/>
  <c r="O129" i="4"/>
  <c r="P129" i="4"/>
  <c r="Q129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6" i="4"/>
  <c r="J136" i="4"/>
  <c r="K136" i="4"/>
  <c r="L136" i="4"/>
  <c r="M136" i="4"/>
  <c r="N136" i="4"/>
  <c r="O136" i="4"/>
  <c r="P136" i="4"/>
  <c r="Q136" i="4"/>
  <c r="I137" i="4"/>
  <c r="J137" i="4"/>
  <c r="K137" i="4"/>
  <c r="L137" i="4"/>
  <c r="M137" i="4"/>
  <c r="N137" i="4"/>
  <c r="O137" i="4"/>
  <c r="P137" i="4"/>
  <c r="Q137" i="4"/>
  <c r="I138" i="4"/>
  <c r="J138" i="4"/>
  <c r="K138" i="4"/>
  <c r="L138" i="4"/>
  <c r="M138" i="4"/>
  <c r="N138" i="4"/>
  <c r="O138" i="4"/>
  <c r="P138" i="4"/>
  <c r="Q138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8" i="4"/>
  <c r="M109" i="4"/>
  <c r="M110" i="4"/>
  <c r="M113" i="4"/>
  <c r="M117" i="4"/>
  <c r="M122" i="4"/>
  <c r="J16" i="4"/>
  <c r="J15" i="4"/>
  <c r="J122" i="4"/>
  <c r="K122" i="4"/>
  <c r="J117" i="4"/>
  <c r="K117" i="4"/>
  <c r="J101" i="4"/>
  <c r="K101" i="4"/>
  <c r="J103" i="4"/>
  <c r="K103" i="4"/>
  <c r="J104" i="4"/>
  <c r="K104" i="4"/>
  <c r="J71" i="4"/>
  <c r="K71" i="4"/>
  <c r="O71" i="4" s="1"/>
  <c r="P71" i="4" s="1"/>
  <c r="J110" i="4"/>
  <c r="K110" i="4"/>
  <c r="J113" i="4"/>
  <c r="K113" i="4"/>
  <c r="J116" i="4"/>
  <c r="K116" i="4"/>
  <c r="O116" i="4" s="1"/>
  <c r="P116" i="4" s="1"/>
  <c r="J100" i="4"/>
  <c r="K100" i="4"/>
  <c r="O100" i="4"/>
  <c r="J114" i="4"/>
  <c r="K114" i="4"/>
  <c r="J115" i="4"/>
  <c r="K115" i="4"/>
  <c r="O115" i="4"/>
  <c r="P115" i="4" s="1"/>
  <c r="J99" i="4"/>
  <c r="K99" i="4"/>
  <c r="J102" i="4"/>
  <c r="K102" i="4"/>
  <c r="J109" i="4"/>
  <c r="K109" i="4"/>
  <c r="J106" i="4"/>
  <c r="K106" i="4"/>
  <c r="J121" i="4"/>
  <c r="K121" i="4"/>
  <c r="J105" i="4"/>
  <c r="K105" i="4"/>
  <c r="J108" i="4"/>
  <c r="K108" i="4"/>
  <c r="O108" i="4" s="1"/>
  <c r="P108" i="4" s="1"/>
  <c r="J98" i="4"/>
  <c r="K98" i="4"/>
  <c r="J107" i="4"/>
  <c r="K107" i="4" s="1"/>
  <c r="O107" i="4" s="1"/>
  <c r="P107" i="4" s="1"/>
  <c r="J91" i="4"/>
  <c r="K91" i="4"/>
  <c r="P100" i="4"/>
  <c r="O98" i="4"/>
  <c r="P98" i="4"/>
  <c r="O105" i="4"/>
  <c r="P105" i="4"/>
  <c r="O104" i="4"/>
  <c r="P104" i="4"/>
  <c r="O91" i="4"/>
  <c r="P91" i="4"/>
  <c r="O121" i="4"/>
  <c r="P121" i="4"/>
  <c r="O102" i="4"/>
  <c r="P102" i="4"/>
  <c r="O110" i="4"/>
  <c r="P110" i="4"/>
  <c r="O117" i="4"/>
  <c r="P117" i="4"/>
  <c r="O106" i="4"/>
  <c r="P106" i="4"/>
  <c r="O109" i="4"/>
  <c r="P109" i="4"/>
  <c r="O114" i="4"/>
  <c r="P114" i="4"/>
  <c r="O113" i="4"/>
  <c r="P113" i="4"/>
  <c r="O103" i="4"/>
  <c r="P103" i="4"/>
  <c r="O122" i="4"/>
  <c r="P122" i="4"/>
  <c r="O99" i="4"/>
  <c r="P99" i="4"/>
  <c r="O101" i="4"/>
  <c r="P101" i="4"/>
  <c r="I99" i="4"/>
  <c r="I102" i="4"/>
  <c r="I104" i="4"/>
  <c r="I108" i="4"/>
  <c r="I113" i="4"/>
  <c r="I115" i="4"/>
  <c r="I100" i="4"/>
  <c r="I103" i="4"/>
  <c r="I107" i="4"/>
  <c r="N107" i="4" s="1"/>
  <c r="Q107" i="4" s="1"/>
  <c r="I109" i="4"/>
  <c r="I110" i="4"/>
  <c r="I117" i="4"/>
  <c r="I106" i="4"/>
  <c r="I71" i="4"/>
  <c r="N71" i="4" s="1"/>
  <c r="Q71" i="4" s="1"/>
  <c r="I98" i="4"/>
  <c r="I101" i="4"/>
  <c r="I114" i="4"/>
  <c r="I121" i="4"/>
  <c r="N121" i="4" s="1"/>
  <c r="Q121" i="4" s="1"/>
  <c r="I122" i="4"/>
  <c r="I91" i="4"/>
  <c r="N91" i="4" s="1"/>
  <c r="Q91" i="4" s="1"/>
  <c r="I105" i="4"/>
  <c r="I116" i="4"/>
  <c r="L116" i="4" s="1"/>
  <c r="M116" i="4" s="1"/>
  <c r="L105" i="4"/>
  <c r="N105" i="4"/>
  <c r="Q105" i="4"/>
  <c r="N101" i="4"/>
  <c r="Q101" i="4"/>
  <c r="L101" i="4"/>
  <c r="L106" i="4"/>
  <c r="N106" i="4"/>
  <c r="Q106" i="4"/>
  <c r="N108" i="4"/>
  <c r="Q108" i="4"/>
  <c r="L108" i="4"/>
  <c r="N114" i="4"/>
  <c r="Q114" i="4"/>
  <c r="L114" i="4"/>
  <c r="M114" i="4" s="1"/>
  <c r="N98" i="4"/>
  <c r="Q98" i="4"/>
  <c r="L98" i="4"/>
  <c r="N117" i="4"/>
  <c r="Q117" i="4"/>
  <c r="L117" i="4"/>
  <c r="N103" i="4"/>
  <c r="Q103" i="4"/>
  <c r="L103" i="4"/>
  <c r="N115" i="4"/>
  <c r="Q115" i="4"/>
  <c r="L115" i="4"/>
  <c r="M115" i="4" s="1"/>
  <c r="L104" i="4"/>
  <c r="N104" i="4"/>
  <c r="Q104" i="4"/>
  <c r="N110" i="4"/>
  <c r="Q110" i="4"/>
  <c r="L110" i="4"/>
  <c r="L100" i="4"/>
  <c r="N100" i="4"/>
  <c r="Q100" i="4"/>
  <c r="N113" i="4"/>
  <c r="Q113" i="4"/>
  <c r="L113" i="4"/>
  <c r="L102" i="4"/>
  <c r="N102" i="4"/>
  <c r="Q102" i="4"/>
  <c r="N122" i="4"/>
  <c r="Q122" i="4"/>
  <c r="L122" i="4"/>
  <c r="N109" i="4"/>
  <c r="Q109" i="4"/>
  <c r="L109" i="4"/>
  <c r="N99" i="4"/>
  <c r="Q99" i="4"/>
  <c r="L99" i="4"/>
  <c r="N116" i="4" l="1"/>
  <c r="Q116" i="4" s="1"/>
  <c r="L91" i="4"/>
  <c r="M91" i="4" s="1"/>
  <c r="L121" i="4"/>
  <c r="M121" i="4" s="1"/>
  <c r="L71" i="4"/>
  <c r="M71" i="4" s="1"/>
  <c r="L107" i="4"/>
  <c r="M107" i="4" s="1"/>
  <c r="J14" i="4"/>
  <c r="J13" i="4" s="1"/>
  <c r="K16" i="4" s="1"/>
  <c r="K14" i="4" l="1"/>
  <c r="K13" i="4"/>
  <c r="K15" i="4"/>
  <c r="I134" i="4" l="1"/>
  <c r="I135" i="4"/>
  <c r="I128" i="4"/>
  <c r="I131" i="4"/>
  <c r="I76" i="4"/>
  <c r="I124" i="4"/>
  <c r="I120" i="4"/>
  <c r="I89" i="4"/>
  <c r="I123" i="4"/>
  <c r="I73" i="4"/>
  <c r="I95" i="4"/>
  <c r="I118" i="4"/>
  <c r="I90" i="4"/>
  <c r="I125" i="4"/>
  <c r="I74" i="4"/>
  <c r="I97" i="4"/>
  <c r="I119" i="4"/>
  <c r="I72" i="4"/>
  <c r="I96" i="4"/>
  <c r="I79" i="4"/>
  <c r="I75" i="4"/>
  <c r="I78" i="4"/>
  <c r="I92" i="4"/>
  <c r="I80" i="4"/>
  <c r="I82" i="4"/>
  <c r="I87" i="4"/>
  <c r="I83" i="4"/>
  <c r="I85" i="4"/>
  <c r="I86" i="4"/>
  <c r="I93" i="4"/>
  <c r="I84" i="4"/>
  <c r="I88" i="4"/>
  <c r="I112" i="4"/>
  <c r="I81" i="4"/>
  <c r="I111" i="4"/>
  <c r="I94" i="4"/>
  <c r="I77" i="4"/>
  <c r="I63" i="4"/>
  <c r="N63" i="4" s="1"/>
  <c r="Q63" i="4" s="1"/>
  <c r="I69" i="4"/>
  <c r="I70" i="4"/>
  <c r="N70" i="4" s="1"/>
  <c r="Q70" i="4" s="1"/>
  <c r="I66" i="4"/>
  <c r="I64" i="4"/>
  <c r="I67" i="4"/>
  <c r="I68" i="4"/>
  <c r="I65" i="4"/>
  <c r="J63" i="4"/>
  <c r="K63" i="4" s="1"/>
  <c r="J70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5" i="4"/>
  <c r="K55" i="4" s="1"/>
  <c r="O55" i="4" s="1"/>
  <c r="P55" i="4" s="1"/>
  <c r="J61" i="4"/>
  <c r="K61" i="4" s="1"/>
  <c r="O61" i="4" s="1"/>
  <c r="P61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K70" i="4" l="1"/>
  <c r="L70" i="4"/>
  <c r="M70" i="4" s="1"/>
  <c r="O63" i="4"/>
  <c r="P63" i="4" s="1"/>
  <c r="L63" i="4"/>
  <c r="M63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134" i="4" l="1"/>
  <c r="N130" i="4"/>
  <c r="N89" i="4"/>
  <c r="N81" i="4"/>
  <c r="N92" i="4"/>
  <c r="N77" i="4"/>
  <c r="N80" i="4"/>
  <c r="N94" i="4"/>
  <c r="N87" i="4"/>
  <c r="N73" i="4"/>
  <c r="N72" i="4"/>
  <c r="N86" i="4"/>
  <c r="N90" i="4"/>
  <c r="N93" i="4"/>
  <c r="N124" i="4"/>
  <c r="N76" i="4"/>
  <c r="N125" i="4"/>
  <c r="N84" i="4"/>
  <c r="N118" i="4"/>
  <c r="N112" i="4"/>
  <c r="N83" i="4"/>
  <c r="N82" i="4"/>
  <c r="N96" i="4"/>
  <c r="N64" i="4"/>
  <c r="N88" i="4"/>
  <c r="N131" i="4"/>
  <c r="N128" i="4"/>
  <c r="N58" i="4"/>
  <c r="N65" i="4"/>
  <c r="N95" i="4"/>
  <c r="N78" i="4"/>
  <c r="N79" i="4"/>
  <c r="N97" i="4"/>
  <c r="N74" i="4"/>
  <c r="N57" i="4"/>
  <c r="N68" i="4"/>
  <c r="N119" i="4"/>
  <c r="N66" i="4"/>
  <c r="N111" i="4"/>
  <c r="N135" i="4"/>
  <c r="N75" i="4"/>
  <c r="N69" i="4"/>
  <c r="N67" i="4"/>
  <c r="N85" i="4"/>
  <c r="N123" i="4"/>
  <c r="N120" i="4"/>
  <c r="N36" i="4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53" i="4"/>
  <c r="J54" i="4"/>
  <c r="J50" i="4"/>
  <c r="J51" i="4"/>
  <c r="Q54" i="4"/>
  <c r="Q51" i="4"/>
  <c r="J134" i="4" l="1"/>
  <c r="J130" i="4"/>
  <c r="J135" i="4"/>
  <c r="J128" i="4"/>
  <c r="J131" i="4"/>
  <c r="J85" i="4"/>
  <c r="J83" i="4"/>
  <c r="J112" i="4"/>
  <c r="J88" i="4"/>
  <c r="J96" i="4"/>
  <c r="J87" i="4"/>
  <c r="J72" i="4"/>
  <c r="J73" i="4"/>
  <c r="J89" i="4"/>
  <c r="J74" i="4"/>
  <c r="J124" i="4"/>
  <c r="J75" i="4"/>
  <c r="J78" i="4"/>
  <c r="J125" i="4"/>
  <c r="J111" i="4"/>
  <c r="J119" i="4"/>
  <c r="J118" i="4"/>
  <c r="J97" i="4"/>
  <c r="J95" i="4"/>
  <c r="J82" i="4"/>
  <c r="J79" i="4"/>
  <c r="J92" i="4"/>
  <c r="J120" i="4"/>
  <c r="J81" i="4"/>
  <c r="J93" i="4"/>
  <c r="J94" i="4"/>
  <c r="J76" i="4"/>
  <c r="J84" i="4"/>
  <c r="J90" i="4"/>
  <c r="J86" i="4"/>
  <c r="J80" i="4"/>
  <c r="J77" i="4"/>
  <c r="J123" i="4"/>
  <c r="J58" i="4"/>
  <c r="J66" i="4"/>
  <c r="J69" i="4"/>
  <c r="J57" i="4"/>
  <c r="J65" i="4"/>
  <c r="J67" i="4"/>
  <c r="J64" i="4"/>
  <c r="J68" i="4"/>
  <c r="Q124" i="4"/>
  <c r="Q69" i="4"/>
  <c r="J48" i="4"/>
  <c r="Q95" i="4"/>
  <c r="Q90" i="4"/>
  <c r="Q76" i="4"/>
  <c r="Q73" i="4"/>
  <c r="Q134" i="4"/>
  <c r="Q81" i="4"/>
  <c r="Q82" i="4"/>
  <c r="Q84" i="4"/>
  <c r="Q83" i="4"/>
  <c r="Q123" i="4"/>
  <c r="Q130" i="4"/>
  <c r="Q74" i="4"/>
  <c r="Q128" i="4"/>
  <c r="J49" i="4"/>
  <c r="Q78" i="4"/>
  <c r="Q93" i="4"/>
  <c r="Q125" i="4"/>
  <c r="Q94" i="4"/>
  <c r="Q120" i="4"/>
  <c r="Q87" i="4"/>
  <c r="Q97" i="4"/>
  <c r="J39" i="4"/>
  <c r="K39" i="4" s="1"/>
  <c r="Q118" i="4"/>
  <c r="Q131" i="4"/>
  <c r="Q65" i="4"/>
  <c r="Q112" i="4"/>
  <c r="Q72" i="4"/>
  <c r="Q111" i="4"/>
  <c r="Q80" i="4"/>
  <c r="Q58" i="4"/>
  <c r="Q68" i="4"/>
  <c r="Q92" i="4"/>
  <c r="Q49" i="4"/>
  <c r="Q66" i="4"/>
  <c r="Q75" i="4"/>
  <c r="Q79" i="4"/>
  <c r="Q96" i="4"/>
  <c r="Q86" i="4"/>
  <c r="Q64" i="4"/>
  <c r="Q88" i="4"/>
  <c r="Q119" i="4"/>
  <c r="Q135" i="4"/>
  <c r="Q67" i="4"/>
  <c r="J45" i="4"/>
  <c r="Q89" i="4"/>
  <c r="Q77" i="4"/>
  <c r="Q85" i="4"/>
  <c r="Q57" i="4"/>
  <c r="J30" i="4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L50" i="4"/>
  <c r="M50" i="4" s="1"/>
  <c r="K50" i="4"/>
  <c r="O50" i="4" s="1"/>
  <c r="P50" i="4" s="1"/>
  <c r="L49" i="4"/>
  <c r="K49" i="4"/>
  <c r="K30" i="4"/>
  <c r="L30" i="4"/>
  <c r="K86" i="4" l="1"/>
  <c r="L86" i="4"/>
  <c r="K97" i="4"/>
  <c r="L97" i="4"/>
  <c r="K87" i="4"/>
  <c r="L87" i="4"/>
  <c r="O48" i="4"/>
  <c r="P48" i="4" s="1"/>
  <c r="L68" i="4"/>
  <c r="K68" i="4"/>
  <c r="K90" i="4"/>
  <c r="L90" i="4"/>
  <c r="K118" i="4"/>
  <c r="O118" i="4" s="1"/>
  <c r="P118" i="4" s="1"/>
  <c r="L118" i="4"/>
  <c r="M118" i="4" s="1"/>
  <c r="K96" i="4"/>
  <c r="L96" i="4"/>
  <c r="K64" i="4"/>
  <c r="L64" i="4"/>
  <c r="K84" i="4"/>
  <c r="L84" i="4"/>
  <c r="K119" i="4"/>
  <c r="O119" i="4" s="1"/>
  <c r="P119" i="4" s="1"/>
  <c r="L119" i="4"/>
  <c r="M119" i="4" s="1"/>
  <c r="K88" i="4"/>
  <c r="L88" i="4"/>
  <c r="K72" i="4"/>
  <c r="L72" i="4"/>
  <c r="L67" i="4"/>
  <c r="K67" i="4"/>
  <c r="K76" i="4"/>
  <c r="L76" i="4"/>
  <c r="K111" i="4"/>
  <c r="O111" i="4" s="1"/>
  <c r="P111" i="4" s="1"/>
  <c r="L111" i="4"/>
  <c r="M111" i="4" s="1"/>
  <c r="K112" i="4"/>
  <c r="O112" i="4" s="1"/>
  <c r="P112" i="4" s="1"/>
  <c r="L112" i="4"/>
  <c r="M112" i="4" s="1"/>
  <c r="K65" i="4"/>
  <c r="L65" i="4"/>
  <c r="K94" i="4"/>
  <c r="L94" i="4"/>
  <c r="K125" i="4"/>
  <c r="O125" i="4" s="1"/>
  <c r="P125" i="4" s="1"/>
  <c r="L125" i="4"/>
  <c r="M125" i="4" s="1"/>
  <c r="K83" i="4"/>
  <c r="L83" i="4"/>
  <c r="K80" i="4"/>
  <c r="L80" i="4"/>
  <c r="K57" i="4"/>
  <c r="L57" i="4"/>
  <c r="K93" i="4"/>
  <c r="L93" i="4"/>
  <c r="K78" i="4"/>
  <c r="L78" i="4"/>
  <c r="K85" i="4"/>
  <c r="L85" i="4"/>
  <c r="L69" i="4"/>
  <c r="K69" i="4"/>
  <c r="K81" i="4"/>
  <c r="L81" i="4"/>
  <c r="K75" i="4"/>
  <c r="L75" i="4"/>
  <c r="K131" i="4"/>
  <c r="O131" i="4" s="1"/>
  <c r="P131" i="4" s="1"/>
  <c r="L131" i="4"/>
  <c r="M131" i="4" s="1"/>
  <c r="M48" i="4"/>
  <c r="L66" i="4"/>
  <c r="K66" i="4"/>
  <c r="K120" i="4"/>
  <c r="O120" i="4" s="1"/>
  <c r="P120" i="4" s="1"/>
  <c r="L120" i="4"/>
  <c r="M120" i="4" s="1"/>
  <c r="K124" i="4"/>
  <c r="O124" i="4" s="1"/>
  <c r="P124" i="4" s="1"/>
  <c r="L124" i="4"/>
  <c r="M124" i="4" s="1"/>
  <c r="K128" i="4"/>
  <c r="O128" i="4" s="1"/>
  <c r="P128" i="4" s="1"/>
  <c r="L128" i="4"/>
  <c r="M128" i="4" s="1"/>
  <c r="O49" i="4"/>
  <c r="P49" i="4" s="1"/>
  <c r="M49" i="4"/>
  <c r="K58" i="4"/>
  <c r="L58" i="4"/>
  <c r="K92" i="4"/>
  <c r="L92" i="4"/>
  <c r="K74" i="4"/>
  <c r="L74" i="4"/>
  <c r="K135" i="4"/>
  <c r="O135" i="4" s="1"/>
  <c r="P135" i="4" s="1"/>
  <c r="L135" i="4"/>
  <c r="M135" i="4" s="1"/>
  <c r="K95" i="4"/>
  <c r="L95" i="4"/>
  <c r="K123" i="4"/>
  <c r="O123" i="4" s="1"/>
  <c r="P123" i="4" s="1"/>
  <c r="L123" i="4"/>
  <c r="M123" i="4" s="1"/>
  <c r="K79" i="4"/>
  <c r="L79" i="4"/>
  <c r="K89" i="4"/>
  <c r="L89" i="4"/>
  <c r="K130" i="4"/>
  <c r="O130" i="4" s="1"/>
  <c r="P130" i="4" s="1"/>
  <c r="L130" i="4"/>
  <c r="M130" i="4" s="1"/>
  <c r="K77" i="4"/>
  <c r="L77" i="4"/>
  <c r="K82" i="4"/>
  <c r="L82" i="4"/>
  <c r="K73" i="4"/>
  <c r="L73" i="4"/>
  <c r="K134" i="4"/>
  <c r="O134" i="4" s="1"/>
  <c r="P134" i="4" s="1"/>
  <c r="L134" i="4"/>
  <c r="M134" i="4" s="1"/>
  <c r="K35" i="4"/>
  <c r="K44" i="4"/>
  <c r="K43" i="4"/>
  <c r="O30" i="4"/>
  <c r="P30" i="4" s="1"/>
  <c r="M47" i="4"/>
  <c r="M45" i="4"/>
  <c r="M31" i="4"/>
  <c r="O33" i="4"/>
  <c r="P33" i="4" s="1"/>
  <c r="M43" i="4"/>
  <c r="M44" i="4"/>
  <c r="O45" i="4"/>
  <c r="P45" i="4" s="1"/>
  <c r="O31" i="4"/>
  <c r="P31" i="4" s="1"/>
  <c r="K36" i="4"/>
  <c r="O46" i="4"/>
  <c r="P46" i="4" s="1"/>
  <c r="M39" i="4"/>
  <c r="O47" i="4"/>
  <c r="P47" i="4" s="1"/>
  <c r="M35" i="4"/>
  <c r="O43" i="4"/>
  <c r="P43" i="4" s="1"/>
  <c r="O28" i="4"/>
  <c r="P28" i="4" s="1"/>
  <c r="O39" i="4"/>
  <c r="P39" i="4" s="1"/>
  <c r="O44" i="4"/>
  <c r="P44" i="4" s="1"/>
  <c r="O41" i="4"/>
  <c r="P41" i="4" s="1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76" i="4" l="1"/>
  <c r="O78" i="4"/>
  <c r="P78" i="4" s="1"/>
  <c r="O94" i="4"/>
  <c r="P94" i="4" s="1"/>
  <c r="O76" i="4"/>
  <c r="P76" i="4" s="1"/>
  <c r="O84" i="4"/>
  <c r="P84" i="4" s="1"/>
  <c r="M78" i="4"/>
  <c r="M79" i="4"/>
  <c r="M74" i="4"/>
  <c r="M93" i="4"/>
  <c r="M65" i="4"/>
  <c r="O67" i="4"/>
  <c r="P67" i="4" s="1"/>
  <c r="M64" i="4"/>
  <c r="M87" i="4"/>
  <c r="M89" i="4"/>
  <c r="O93" i="4"/>
  <c r="P93" i="4" s="1"/>
  <c r="O65" i="4"/>
  <c r="P65" i="4" s="1"/>
  <c r="M67" i="4"/>
  <c r="O64" i="4"/>
  <c r="P64" i="4" s="1"/>
  <c r="O87" i="4"/>
  <c r="P87" i="4" s="1"/>
  <c r="O79" i="4"/>
  <c r="P79" i="4" s="1"/>
  <c r="M73" i="4"/>
  <c r="M92" i="4"/>
  <c r="M75" i="4"/>
  <c r="M57" i="4"/>
  <c r="M96" i="4"/>
  <c r="M97" i="4"/>
  <c r="O73" i="4"/>
  <c r="P73" i="4" s="1"/>
  <c r="O92" i="4"/>
  <c r="P92" i="4" s="1"/>
  <c r="O75" i="4"/>
  <c r="P75" i="4" s="1"/>
  <c r="O57" i="4"/>
  <c r="P57" i="4" s="1"/>
  <c r="O96" i="4"/>
  <c r="P96" i="4" s="1"/>
  <c r="O97" i="4"/>
  <c r="P97" i="4" s="1"/>
  <c r="M84" i="4"/>
  <c r="M82" i="4"/>
  <c r="M58" i="4"/>
  <c r="M81" i="4"/>
  <c r="M80" i="4"/>
  <c r="M72" i="4"/>
  <c r="M86" i="4"/>
  <c r="O81" i="4"/>
  <c r="P81" i="4" s="1"/>
  <c r="O80" i="4"/>
  <c r="P80" i="4" s="1"/>
  <c r="O72" i="4"/>
  <c r="P72" i="4" s="1"/>
  <c r="O86" i="4"/>
  <c r="P86" i="4" s="1"/>
  <c r="O58" i="4"/>
  <c r="P58" i="4" s="1"/>
  <c r="M77" i="4"/>
  <c r="O66" i="4"/>
  <c r="P66" i="4" s="1"/>
  <c r="O69" i="4"/>
  <c r="P69" i="4" s="1"/>
  <c r="M83" i="4"/>
  <c r="M88" i="4"/>
  <c r="M90" i="4"/>
  <c r="O89" i="4"/>
  <c r="P89" i="4" s="1"/>
  <c r="O35" i="4"/>
  <c r="P35" i="4" s="1"/>
  <c r="O77" i="4"/>
  <c r="P77" i="4" s="1"/>
  <c r="M66" i="4"/>
  <c r="M69" i="4"/>
  <c r="O83" i="4"/>
  <c r="P83" i="4" s="1"/>
  <c r="O88" i="4"/>
  <c r="P88" i="4" s="1"/>
  <c r="O90" i="4"/>
  <c r="P90" i="4" s="1"/>
  <c r="O74" i="4"/>
  <c r="P74" i="4" s="1"/>
  <c r="O82" i="4"/>
  <c r="P82" i="4" s="1"/>
  <c r="M95" i="4"/>
  <c r="M85" i="4"/>
  <c r="O68" i="4"/>
  <c r="P68" i="4" s="1"/>
  <c r="M94" i="4"/>
  <c r="O95" i="4"/>
  <c r="P95" i="4" s="1"/>
  <c r="O85" i="4"/>
  <c r="P85" i="4" s="1"/>
  <c r="M68" i="4"/>
  <c r="O36" i="4"/>
  <c r="P36" i="4" s="1"/>
  <c r="M33" i="4"/>
  <c r="O34" i="4"/>
  <c r="P34" i="4" s="1"/>
  <c r="O42" i="4"/>
  <c r="P42" i="4" s="1"/>
  <c r="O37" i="4"/>
  <c r="P37" i="4" s="1"/>
  <c r="O32" i="4"/>
  <c r="P32" i="4" s="1"/>
  <c r="O40" i="4"/>
  <c r="P40" i="4" s="1"/>
  <c r="M41" i="4"/>
  <c r="O29" i="4"/>
  <c r="P29" i="4" s="1"/>
  <c r="O38" i="4"/>
  <c r="P38" i="4" s="1"/>
  <c r="M46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<sst xmlns="http://schemas.openxmlformats.org/spreadsheetml/2006/main" count="318" uniqueCount="294">
  <si>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</si>
  <si>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</si>
  <si>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</si>
  <si>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</si>
  <si>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</si>
  <si>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</si>
  <si>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</si>
  <si>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</si>
  <si>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</si>
  <si>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</si>
  <si>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</si>
  <si>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</si>
  <si>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</si>
  <si>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</si>
  <si>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</si>
  <si>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</si>
  <si>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</si>
  <si>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</si>
  <si>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</si>
  <si>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</si>
  <si>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</si>
  <si>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</si>
  <si>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</si>
  <si>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</si>
  <si>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</si>
  <si>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</si>
  <si>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</si>
  <si>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</si>
  <si>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</si>
  <si>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</si>
  <si>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</si>
  <si>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</si>
  <si>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</si>
  <si>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</si>
  <si>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</si>
  <si>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</si>
  <si>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</si>
  <si>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</si>
  <si>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</si>
  <si>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</si>
  <si>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</si>
  <si>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</si>
  <si>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</si>
  <si>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</si>
  <si>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</si>
  <si>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</si>
  <si>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</si>
  <si>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</si>
  <si>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</si>
  <si>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</si>
  <si>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</si>
  <si>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</si>
  <si>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</si>
  <si>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</si>
  <si>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</si>
  <si>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</si>
  <si>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</si>
  <si>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</si>
  <si>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</si>
  <si>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</si>
  <si>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</si>
  <si>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</si>
  <si>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</si>
  <si>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</si>
  <si>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</si>
  <si>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</si>
  <si>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</si>
  <si>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</si>
  <si>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</si>
  <si>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</si>
  <si>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</si>
  <si>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</si>
  <si>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</si>
  <si>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</si>
  <si>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</si>
  <si>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</si>
  <si>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</si>
  <si>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</si>
  <si>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</si>
  <si>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</si>
  <si>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</si>
  <si>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</si>
  <si>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</si>
  <si>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</si>
  <si>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</si>
  <si>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</si>
  <si>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</si>
  <si>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</si>
  <si>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</si>
  <si>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</si>
  <si>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</si>
  <si>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</si>
  <si>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</si>
  <si>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</si>
  <si>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</si>
  <si>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</si>
  <si>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</si>
  <si>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</si>
  <si>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</si>
  <si>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</si>
  <si>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</si>
  <si>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</si>
  <si>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</si>
  <si>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</si>
  <si>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</si>
  <si>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</si>
  <si>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</si>
  <si>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</si>
  <si>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</si>
  <si>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</si>
  <si>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</si>
  <si>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Rat cerebellar granule cell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</si>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</sst>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7" zoomScale="90" zoomScaleNormal="90" workbookViewId="0">
      <selection activeCell="J15" sqref="J1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111</v>
      </c>
      <c r="K17" s="31" t="s">
        <v>79</v>
      </c>
      <c r="L17" s="81">
        <v>4.6260000000000035E-5</v>
      </c>
      <c r="M17" s="81">
        <v>7.4529999999999993E-5</v>
      </c>
      <c r="N17" s="81">
        <v>2.4492099999999998E-3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J107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>
        <v>4.8783380228937337E-7</v>
      </c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150.0514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149.92322520000002</v>
      </c>
      <c r="K8" s="39">
        <f>J8/J7</f>
        <v>0.99914579404124204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7.3490599999999989E-2</v>
      </c>
      <c r="K9" s="39">
        <f>J9/J7</f>
        <v>4.8976950564939739E-4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5.4684199999999995E-2</v>
      </c>
      <c r="K10" s="39">
        <f>J10/J7</f>
        <v>3.6443645310873471E-4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150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5.1400000000000001E-2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9.252000000000007E-4</v>
      </c>
      <c r="K20" s="39">
        <f>J20/J19</f>
        <v>1.8000000000000013E-2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1.4905999999999999E-3</v>
      </c>
      <c r="K21" s="39">
        <f>J21/J19</f>
        <v>2.8999999999999998E-2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4.8984199999999999E-2</v>
      </c>
      <c r="K22" s="39">
        <f>J22/J19</f>
        <v>0.95299999999999996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1.8888623824539965</v>
      </c>
      <c r="K28" s="95">
        <f t="shared" ref="K28:K47" si="3">IF(D28=0,"",1/(1+10^D28*$J$15/$J$14+10^E28*$J$16/$J$14+10^J28*$J$19/$J$14))</f>
        <v>0.95172418633147216</v>
      </c>
      <c r="L28" s="95">
        <f t="shared" ref="L28:L47" si="4">IF(D28=0,"",1/(1+10^I28/10^J28*$J$13/$J$19))</f>
        <v>2.5262153602758273E-2</v>
      </c>
      <c r="M28" s="95">
        <f t="shared" ref="M28:M47" si="5">IF(D28=0,"",1-L28)</f>
        <v>0.9747378463972417</v>
      </c>
      <c r="N28" s="95">
        <f t="shared" ref="N28:N47" si="6">IF(D28=0,"",1/(1/10^E28*$J$20/$J$22+10^D28/10^E28*$J$21/$J$22+10^I28/10^E28*$J$13/$J$22+1))</f>
        <v>2.483967387810913E-2</v>
      </c>
      <c r="O28" s="40">
        <f t="shared" ref="O28:O47" si="7">IF(D28=0,"",F28*K28*$J$7/$J$14)</f>
        <v>9.5254372813716354E-7</v>
      </c>
      <c r="P28" s="40">
        <f t="shared" ref="P28:P47" si="8">IF(D28=0,"",O28*10^J28)</f>
        <v>7.3747500293947963E-5</v>
      </c>
      <c r="Q28" s="40">
        <f t="shared" ref="Q28:Q47" si="9">IF(D28=0,"",F28*N28*$J$7/$J$22)</f>
        <v>7.609040958010346E-5</v>
      </c>
      <c r="R28" s="9">
        <f>F28*$C$14</f>
        <v>1.4999999999999999E-4</v>
      </c>
      <c r="S28" s="9">
        <f>$R28*L28</f>
        <v>3.7893230404137405E-6</v>
      </c>
      <c r="T28" s="9">
        <f t="shared" ref="T28:T49" si="10">R28*K28</f>
        <v>1.427586279497208E-4</v>
      </c>
      <c r="U28" s="9">
        <f t="shared" ref="U28:U49" si="11">$R28*M28</f>
        <v>1.4621067695958623E-4</v>
      </c>
      <c r="V28" s="102">
        <f>K28/M28</f>
        <v>0.97638989790862118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5.8157308430918091</v>
      </c>
      <c r="K29" s="95">
        <f t="shared" si="3"/>
        <v>3.6017051896650217E-3</v>
      </c>
      <c r="L29" s="95">
        <f t="shared" si="4"/>
        <v>0.80785959501402083</v>
      </c>
      <c r="M29" s="95">
        <f t="shared" si="5"/>
        <v>0.19214040498597917</v>
      </c>
      <c r="N29" s="95">
        <f t="shared" si="6"/>
        <v>0.80589775330840274</v>
      </c>
      <c r="O29" s="40">
        <f t="shared" si="7"/>
        <v>3.6048066638285431E-9</v>
      </c>
      <c r="P29" s="40">
        <f t="shared" si="8"/>
        <v>2.3583747711145298E-3</v>
      </c>
      <c r="Q29" s="40">
        <f t="shared" si="9"/>
        <v>2.4686753308368913E-3</v>
      </c>
      <c r="R29" s="9">
        <f>F29*$C$14</f>
        <v>1.4999999999999999E-4</v>
      </c>
      <c r="S29" s="9">
        <f t="shared" ref="S29:S49" si="12">$R29*L29</f>
        <v>1.2117893925210311E-4</v>
      </c>
      <c r="T29" s="9">
        <f t="shared" si="10"/>
        <v>5.4025577844975325E-7</v>
      </c>
      <c r="U29" s="9">
        <f t="shared" si="11"/>
        <v>2.8821060747896873E-5</v>
      </c>
      <c r="V29" s="102">
        <f t="shared" ref="V29:V49" si="13">K29/M29</f>
        <v>1.8745173301408648E-2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9.279109970691108</v>
      </c>
      <c r="K30" s="95">
        <f t="shared" si="3"/>
        <v>1.3615422536265866E-6</v>
      </c>
      <c r="L30" s="95">
        <f t="shared" si="4"/>
        <v>0.88764227347153957</v>
      </c>
      <c r="M30" s="95">
        <f t="shared" si="5"/>
        <v>0.11235772652846043</v>
      </c>
      <c r="N30" s="95">
        <f t="shared" si="6"/>
        <v>0.88745411402641083</v>
      </c>
      <c r="O30" s="40">
        <f t="shared" si="7"/>
        <v>1.3627146949841644E-12</v>
      </c>
      <c r="P30" s="40">
        <f t="shared" si="8"/>
        <v>2.5912833819764082E-3</v>
      </c>
      <c r="Q30" s="40">
        <f t="shared" si="9"/>
        <v>2.7185037674479235E-3</v>
      </c>
      <c r="R30" s="9">
        <f t="shared" ref="R30:R49" si="14">F30*$C$14</f>
        <v>1.4999999999999999E-4</v>
      </c>
      <c r="S30" s="9">
        <f t="shared" si="12"/>
        <v>1.3314634102073092E-4</v>
      </c>
      <c r="T30" s="9">
        <f t="shared" si="10"/>
        <v>2.0423133804398798E-10</v>
      </c>
      <c r="U30" s="9">
        <f t="shared" si="11"/>
        <v>1.6853658979269064E-5</v>
      </c>
      <c r="V30" s="102">
        <f t="shared" si="13"/>
        <v>1.2117922778383249E-5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4.2768094924983595</v>
      </c>
      <c r="K31" s="95">
        <f t="shared" si="3"/>
        <v>0.10735417013404783</v>
      </c>
      <c r="L31" s="95">
        <f t="shared" si="4"/>
        <v>0.69618601413325287</v>
      </c>
      <c r="M31" s="95">
        <f t="shared" si="5"/>
        <v>0.30381398586674713</v>
      </c>
      <c r="N31" s="95">
        <f t="shared" si="6"/>
        <v>0.69378946756052029</v>
      </c>
      <c r="O31" s="40">
        <f t="shared" si="7"/>
        <v>1.0744661417582351E-7</v>
      </c>
      <c r="P31" s="40">
        <f t="shared" si="8"/>
        <v>2.0323674334847158E-3</v>
      </c>
      <c r="Q31" s="40">
        <f t="shared" si="9"/>
        <v>2.1252583672431245E-3</v>
      </c>
      <c r="R31" s="9">
        <f t="shared" si="14"/>
        <v>1.4999999999999999E-4</v>
      </c>
      <c r="S31" s="9">
        <f t="shared" si="12"/>
        <v>1.0442790211998792E-4</v>
      </c>
      <c r="T31" s="9">
        <f t="shared" si="10"/>
        <v>1.6103125520107171E-5</v>
      </c>
      <c r="U31" s="9">
        <f t="shared" si="11"/>
        <v>4.5572097880012062E-5</v>
      </c>
      <c r="V31" s="102">
        <f t="shared" si="13"/>
        <v>0.35335493139915353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2.9114243406645759</v>
      </c>
      <c r="J32" s="94">
        <f t="shared" si="2"/>
        <v>7.0202300748795512</v>
      </c>
      <c r="K32" s="95">
        <f t="shared" si="3"/>
        <v>2.2686818763763083E-4</v>
      </c>
      <c r="L32" s="95">
        <f t="shared" si="4"/>
        <v>0.81489294765417375</v>
      </c>
      <c r="M32" s="95">
        <f t="shared" si="5"/>
        <v>0.18510705234582625</v>
      </c>
      <c r="N32" s="95">
        <f t="shared" si="6"/>
        <v>0.81302403584747363</v>
      </c>
      <c r="O32" s="40">
        <f t="shared" si="7"/>
        <v>2.2706354672046251E-10</v>
      </c>
      <c r="P32" s="40">
        <f t="shared" si="8"/>
        <v>2.378907152638823E-3</v>
      </c>
      <c r="Q32" s="40">
        <f t="shared" si="9"/>
        <v>2.490504995744824E-3</v>
      </c>
      <c r="R32" s="9">
        <f t="shared" si="14"/>
        <v>1.4999999999999999E-4</v>
      </c>
      <c r="S32" s="9">
        <f t="shared" si="12"/>
        <v>1.2223394214812606E-4</v>
      </c>
      <c r="T32" s="9">
        <f t="shared" si="10"/>
        <v>3.4030228145644623E-8</v>
      </c>
      <c r="U32" s="9">
        <f t="shared" si="11"/>
        <v>2.7766057851873934E-5</v>
      </c>
      <c r="V32" s="102">
        <f t="shared" si="13"/>
        <v>1.2256053173694556E-3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6.5109992218451609</v>
      </c>
      <c r="K33" s="95">
        <f t="shared" si="3"/>
        <v>7.1198186921543453E-4</v>
      </c>
      <c r="L33" s="95">
        <f t="shared" si="4"/>
        <v>0.79170801018460846</v>
      </c>
      <c r="M33" s="95">
        <f t="shared" si="5"/>
        <v>0.20829198981539154</v>
      </c>
      <c r="N33" s="95">
        <f t="shared" si="6"/>
        <v>0.7893120223344916</v>
      </c>
      <c r="O33" s="40">
        <f t="shared" si="7"/>
        <v>7.1259496586160198E-10</v>
      </c>
      <c r="P33" s="40">
        <f t="shared" si="8"/>
        <v>2.3112236443465911E-3</v>
      </c>
      <c r="Q33" s="40">
        <f t="shared" si="9"/>
        <v>2.4178689044247275E-3</v>
      </c>
      <c r="R33" s="9">
        <f t="shared" si="14"/>
        <v>1.4999999999999999E-4</v>
      </c>
      <c r="S33" s="9">
        <f t="shared" si="12"/>
        <v>1.1875620152769126E-4</v>
      </c>
      <c r="T33" s="9">
        <f t="shared" si="10"/>
        <v>1.0679728038231517E-7</v>
      </c>
      <c r="U33" s="9">
        <f t="shared" si="11"/>
        <v>3.1243798472308731E-5</v>
      </c>
      <c r="V33" s="102">
        <f t="shared" si="13"/>
        <v>3.418191308491803E-3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6.5480702357711023</v>
      </c>
      <c r="K34" s="95">
        <f t="shared" si="3"/>
        <v>6.670312650336142E-4</v>
      </c>
      <c r="L34" s="95">
        <f t="shared" si="4"/>
        <v>0.80781759664009978</v>
      </c>
      <c r="M34" s="95">
        <f t="shared" si="5"/>
        <v>0.19218240335990022</v>
      </c>
      <c r="N34" s="95">
        <f t="shared" si="6"/>
        <v>0.80579389746495167</v>
      </c>
      <c r="O34" s="40">
        <f t="shared" si="7"/>
        <v>6.6760565414261159E-10</v>
      </c>
      <c r="P34" s="40">
        <f t="shared" si="8"/>
        <v>2.3582521657681383E-3</v>
      </c>
      <c r="Q34" s="40">
        <f t="shared" si="9"/>
        <v>2.4683571932597134E-3</v>
      </c>
      <c r="R34" s="9">
        <f t="shared" si="14"/>
        <v>1.4999999999999999E-4</v>
      </c>
      <c r="S34" s="9">
        <f t="shared" si="12"/>
        <v>1.2117263949601495E-4</v>
      </c>
      <c r="T34" s="9">
        <f t="shared" si="10"/>
        <v>1.0005468975504213E-7</v>
      </c>
      <c r="U34" s="9">
        <f t="shared" si="11"/>
        <v>2.8827360503985032E-5</v>
      </c>
      <c r="V34" s="102">
        <f t="shared" si="13"/>
        <v>3.4708238286752192E-3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3.2330538908434048</v>
      </c>
      <c r="K35" s="95">
        <f t="shared" si="3"/>
        <v>0.52472496057264373</v>
      </c>
      <c r="L35" s="95">
        <f t="shared" si="4"/>
        <v>0.30766811958019541</v>
      </c>
      <c r="M35" s="95">
        <f t="shared" si="5"/>
        <v>0.69233188041980465</v>
      </c>
      <c r="N35" s="95">
        <f t="shared" si="6"/>
        <v>0.30492954588454946</v>
      </c>
      <c r="O35" s="40">
        <f t="shared" si="7"/>
        <v>5.2517680791229843E-7</v>
      </c>
      <c r="P35" s="40">
        <f t="shared" si="8"/>
        <v>8.9817183031859385E-4</v>
      </c>
      <c r="Q35" s="40">
        <f t="shared" si="9"/>
        <v>9.3407885116712904E-4</v>
      </c>
      <c r="R35" s="9">
        <f t="shared" si="14"/>
        <v>1.4999999999999999E-4</v>
      </c>
      <c r="S35" s="9">
        <f t="shared" si="12"/>
        <v>4.6150217937029307E-5</v>
      </c>
      <c r="T35" s="9">
        <f t="shared" si="10"/>
        <v>7.8708744085896555E-5</v>
      </c>
      <c r="U35" s="9">
        <f t="shared" si="11"/>
        <v>1.0384978206297069E-4</v>
      </c>
      <c r="V35" s="102">
        <f t="shared" si="13"/>
        <v>0.75790957402462789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9.7251689720970358</v>
      </c>
      <c r="K36" s="95">
        <f t="shared" si="3"/>
        <v>4.8783380228937337E-7</v>
      </c>
      <c r="L36" s="95">
        <f t="shared" si="4"/>
        <v>0.88825517095505568</v>
      </c>
      <c r="M36" s="95">
        <f t="shared" si="5"/>
        <v>0.11174482904494432</v>
      </c>
      <c r="N36" s="95">
        <f t="shared" si="6"/>
        <v>0.88808119277730713</v>
      </c>
      <c r="O36" s="40">
        <f t="shared" si="7"/>
        <v>4.8825388218326207E-13</v>
      </c>
      <c r="P36" s="40">
        <f t="shared" si="8"/>
        <v>2.5930726062071102E-3</v>
      </c>
      <c r="Q36" s="40">
        <f t="shared" si="9"/>
        <v>2.7204246734641949E-3</v>
      </c>
      <c r="R36" s="9">
        <f t="shared" si="14"/>
        <v>1.4999999999999999E-4</v>
      </c>
      <c r="S36" s="9">
        <f t="shared" si="12"/>
        <v>1.3323827564325834E-4</v>
      </c>
      <c r="T36" s="9">
        <f t="shared" si="10"/>
        <v>7.3175070343405993E-11</v>
      </c>
      <c r="U36" s="9">
        <f t="shared" si="11"/>
        <v>1.6761724356741646E-5</v>
      </c>
      <c r="V36" s="102">
        <f t="shared" si="13"/>
        <v>4.3656051600666389E-6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5.0912433878185999</v>
      </c>
      <c r="K37" s="95">
        <f t="shared" si="3"/>
        <v>1.8402732791778034E-2</v>
      </c>
      <c r="L37" s="95">
        <f t="shared" si="4"/>
        <v>0.77843542360575624</v>
      </c>
      <c r="M37" s="95">
        <f t="shared" si="5"/>
        <v>0.22156457639424376</v>
      </c>
      <c r="N37" s="95">
        <f t="shared" si="6"/>
        <v>0.77609896381811883</v>
      </c>
      <c r="O37" s="40">
        <f t="shared" si="7"/>
        <v>1.8418579619124054E-8</v>
      </c>
      <c r="P37" s="40">
        <f t="shared" si="8"/>
        <v>2.2724771424442953E-3</v>
      </c>
      <c r="Q37" s="40">
        <f t="shared" si="9"/>
        <v>2.377393854742102E-3</v>
      </c>
      <c r="R37" s="9">
        <f t="shared" si="14"/>
        <v>1.4999999999999999E-4</v>
      </c>
      <c r="S37" s="9">
        <f t="shared" si="12"/>
        <v>1.1676531354086342E-4</v>
      </c>
      <c r="T37" s="9">
        <f t="shared" si="10"/>
        <v>2.7604099187667046E-6</v>
      </c>
      <c r="U37" s="9">
        <f t="shared" si="11"/>
        <v>3.3234686459136564E-5</v>
      </c>
      <c r="V37" s="102">
        <f t="shared" si="13"/>
        <v>8.3058100221909556E-2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3.5606397320231116</v>
      </c>
      <c r="K38" s="95">
        <f t="shared" si="3"/>
        <v>0.36828872133660995</v>
      </c>
      <c r="L38" s="95">
        <f t="shared" si="4"/>
        <v>0.45911875471897046</v>
      </c>
      <c r="M38" s="95">
        <f t="shared" si="5"/>
        <v>0.54088124528102954</v>
      </c>
      <c r="N38" s="95">
        <f t="shared" si="6"/>
        <v>0.45664341825499766</v>
      </c>
      <c r="O38" s="40">
        <f t="shared" si="7"/>
        <v>3.6860585944031137E-7</v>
      </c>
      <c r="P38" s="40">
        <f t="shared" si="8"/>
        <v>1.3402998426427649E-3</v>
      </c>
      <c r="Q38" s="40">
        <f t="shared" si="9"/>
        <v>1.3988180721528156E-3</v>
      </c>
      <c r="R38" s="9">
        <f t="shared" si="14"/>
        <v>1.4999999999999999E-4</v>
      </c>
      <c r="S38" s="9">
        <f t="shared" si="12"/>
        <v>6.8867813207845562E-5</v>
      </c>
      <c r="T38" s="9">
        <f t="shared" si="10"/>
        <v>5.5243308200491488E-5</v>
      </c>
      <c r="U38" s="9">
        <f t="shared" si="11"/>
        <v>8.1132186792154425E-5</v>
      </c>
      <c r="V38" s="102">
        <f t="shared" si="13"/>
        <v>0.68090495751106239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-1.0314794301942178</v>
      </c>
      <c r="K39" s="95">
        <f t="shared" si="3"/>
        <v>0.99948882483354262</v>
      </c>
      <c r="L39" s="95">
        <f t="shared" si="4"/>
        <v>3.1870978346568504E-5</v>
      </c>
      <c r="M39" s="95">
        <f t="shared" si="5"/>
        <v>0.99996812902165344</v>
      </c>
      <c r="N39" s="95">
        <f t="shared" si="6"/>
        <v>1.5818114908607755E-5</v>
      </c>
      <c r="O39" s="40">
        <f t="shared" si="7"/>
        <v>1.0003494973771601E-6</v>
      </c>
      <c r="P39" s="40">
        <f t="shared" si="8"/>
        <v>9.3040562651211839E-8</v>
      </c>
      <c r="Q39" s="40">
        <f t="shared" si="9"/>
        <v>4.8455017891431637E-8</v>
      </c>
      <c r="R39" s="9">
        <f t="shared" si="14"/>
        <v>1.4999999999999999E-4</v>
      </c>
      <c r="S39" s="9">
        <f t="shared" si="12"/>
        <v>4.7806467519852755E-9</v>
      </c>
      <c r="T39" s="9">
        <f t="shared" si="10"/>
        <v>1.4992332372503137E-4</v>
      </c>
      <c r="U39" s="9">
        <f t="shared" si="11"/>
        <v>1.4999521935324801E-4</v>
      </c>
      <c r="V39" s="102">
        <f t="shared" si="13"/>
        <v>0.99952068053550891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3.737559055838291</v>
      </c>
      <c r="K40" s="95">
        <f t="shared" si="3"/>
        <v>0.25542725857678689</v>
      </c>
      <c r="L40" s="95">
        <f t="shared" si="4"/>
        <v>0.47854543846983405</v>
      </c>
      <c r="M40" s="95">
        <f t="shared" si="5"/>
        <v>0.52145456153016601</v>
      </c>
      <c r="N40" s="95">
        <f t="shared" si="6"/>
        <v>0.47417868251775386</v>
      </c>
      <c r="O40" s="40">
        <f t="shared" si="7"/>
        <v>2.5564721023896296E-7</v>
      </c>
      <c r="P40" s="40">
        <f t="shared" si="8"/>
        <v>1.3970119261870126E-3</v>
      </c>
      <c r="Q40" s="40">
        <f t="shared" si="9"/>
        <v>1.452533167060899E-3</v>
      </c>
      <c r="R40" s="9">
        <f t="shared" si="14"/>
        <v>1.4999999999999999E-4</v>
      </c>
      <c r="S40" s="9">
        <f t="shared" si="12"/>
        <v>7.1781815770475106E-5</v>
      </c>
      <c r="T40" s="9">
        <f t="shared" si="10"/>
        <v>3.8314088786518027E-5</v>
      </c>
      <c r="U40" s="9">
        <f t="shared" si="11"/>
        <v>7.8218184229524894E-5</v>
      </c>
      <c r="V40" s="102">
        <f t="shared" si="13"/>
        <v>0.48983608049617278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3.8048590996090375</v>
      </c>
      <c r="K41" s="95">
        <f t="shared" si="3"/>
        <v>0.22385666374145979</v>
      </c>
      <c r="L41" s="95">
        <f t="shared" si="4"/>
        <v>0.48969538293892229</v>
      </c>
      <c r="M41" s="95">
        <f t="shared" si="5"/>
        <v>0.51030461706107766</v>
      </c>
      <c r="N41" s="95">
        <f t="shared" si="6"/>
        <v>0.48493196291670643</v>
      </c>
      <c r="O41" s="40">
        <f t="shared" si="7"/>
        <v>2.2404942956274867E-7</v>
      </c>
      <c r="P41" s="40">
        <f t="shared" si="8"/>
        <v>1.429561824582128E-3</v>
      </c>
      <c r="Q41" s="40">
        <f t="shared" si="9"/>
        <v>1.4854732738393173E-3</v>
      </c>
      <c r="R41" s="9">
        <f t="shared" si="14"/>
        <v>1.4999999999999999E-4</v>
      </c>
      <c r="S41" s="9">
        <f t="shared" si="12"/>
        <v>7.3454307440838336E-5</v>
      </c>
      <c r="T41" s="9">
        <f t="shared" si="10"/>
        <v>3.3578499561218967E-5</v>
      </c>
      <c r="U41" s="9">
        <f t="shared" si="11"/>
        <v>7.6545692559161637E-5</v>
      </c>
      <c r="V41" s="102">
        <f t="shared" si="13"/>
        <v>0.43867262073912744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1.4796577057346771</v>
      </c>
      <c r="J42" s="94">
        <f t="shared" si="2"/>
        <v>5.6187291277528306</v>
      </c>
      <c r="K42" s="95">
        <f t="shared" si="3"/>
        <v>5.7905549024258231E-3</v>
      </c>
      <c r="L42" s="95">
        <f t="shared" si="4"/>
        <v>0.82517525146116288</v>
      </c>
      <c r="M42" s="95">
        <f t="shared" si="5"/>
        <v>0.17482474853883712</v>
      </c>
      <c r="N42" s="95">
        <f t="shared" si="6"/>
        <v>0.82365998396802875</v>
      </c>
      <c r="O42" s="40">
        <f t="shared" si="7"/>
        <v>5.7955412229258628E-9</v>
      </c>
      <c r="P42" s="40">
        <f t="shared" si="8"/>
        <v>2.4089241581147767E-3</v>
      </c>
      <c r="Q42" s="40">
        <f t="shared" si="9"/>
        <v>2.5230856831055782E-3</v>
      </c>
      <c r="R42" s="9">
        <f t="shared" si="14"/>
        <v>1.4999999999999999E-4</v>
      </c>
      <c r="S42" s="9">
        <f t="shared" si="12"/>
        <v>1.2377628771917442E-4</v>
      </c>
      <c r="T42" s="9">
        <f t="shared" si="10"/>
        <v>8.6858323536387338E-7</v>
      </c>
      <c r="U42" s="9">
        <f t="shared" si="11"/>
        <v>2.6223712280825565E-5</v>
      </c>
      <c r="V42" s="102">
        <f t="shared" si="13"/>
        <v>3.3122054805298104E-2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5.2887765986811166</v>
      </c>
      <c r="K43" s="95">
        <f t="shared" si="3"/>
        <v>1.1841519379416698E-2</v>
      </c>
      <c r="L43" s="95">
        <f t="shared" si="4"/>
        <v>0.78937053528571932</v>
      </c>
      <c r="M43" s="95">
        <f t="shared" si="5"/>
        <v>0.21062946471428068</v>
      </c>
      <c r="N43" s="95">
        <f t="shared" si="6"/>
        <v>0.78715129354811741</v>
      </c>
      <c r="O43" s="40">
        <f t="shared" si="7"/>
        <v>1.1851716262414642E-8</v>
      </c>
      <c r="P43" s="40">
        <f t="shared" si="8"/>
        <v>2.304399882069486E-3</v>
      </c>
      <c r="Q43" s="40">
        <f t="shared" si="9"/>
        <v>2.4112500277376375E-3</v>
      </c>
      <c r="R43" s="9">
        <f t="shared" si="14"/>
        <v>1.4999999999999999E-4</v>
      </c>
      <c r="S43" s="9">
        <f t="shared" si="12"/>
        <v>1.1840558029285789E-4</v>
      </c>
      <c r="T43" s="9">
        <f t="shared" si="10"/>
        <v>1.7762279069125044E-6</v>
      </c>
      <c r="U43" s="9">
        <f t="shared" si="11"/>
        <v>3.1594419707142097E-5</v>
      </c>
      <c r="V43" s="102">
        <f t="shared" si="13"/>
        <v>5.6219671808404127E-2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0.14841008082679891</v>
      </c>
      <c r="J44" s="94">
        <f t="shared" si="2"/>
        <v>3.5069752121358908</v>
      </c>
      <c r="K44" s="95">
        <f t="shared" si="3"/>
        <v>0.39843377440299571</v>
      </c>
      <c r="L44" s="95">
        <f t="shared" si="4"/>
        <v>0.43896332865913928</v>
      </c>
      <c r="M44" s="95">
        <f t="shared" si="5"/>
        <v>0.56103667134086077</v>
      </c>
      <c r="N44" s="95">
        <f t="shared" si="6"/>
        <v>0.43664644530221886</v>
      </c>
      <c r="O44" s="40">
        <f t="shared" si="7"/>
        <v>3.9877687079542985E-7</v>
      </c>
      <c r="P44" s="40">
        <f t="shared" si="8"/>
        <v>1.2814603504662249E-3</v>
      </c>
      <c r="Q44" s="40">
        <f t="shared" si="9"/>
        <v>1.3375621204923496E-3</v>
      </c>
      <c r="R44" s="9">
        <f t="shared" si="14"/>
        <v>1.4999999999999999E-4</v>
      </c>
      <c r="S44" s="9">
        <f t="shared" si="12"/>
        <v>6.5844499298870886E-5</v>
      </c>
      <c r="T44" s="9">
        <f t="shared" si="10"/>
        <v>5.9765066160449353E-5</v>
      </c>
      <c r="U44" s="9">
        <f t="shared" si="11"/>
        <v>8.4155500701129114E-5</v>
      </c>
      <c r="V44" s="102">
        <f t="shared" si="13"/>
        <v>0.71017420920231644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5.2478046732163026</v>
      </c>
      <c r="K45" s="95">
        <f t="shared" si="3"/>
        <v>1.2074899991994837E-2</v>
      </c>
      <c r="L45" s="95">
        <f t="shared" si="4"/>
        <v>0.73246199995521588</v>
      </c>
      <c r="M45" s="95">
        <f t="shared" si="5"/>
        <v>0.26753800004478412</v>
      </c>
      <c r="N45" s="95">
        <f t="shared" si="6"/>
        <v>0.72892916308985423</v>
      </c>
      <c r="O45" s="40">
        <f t="shared" si="7"/>
        <v>1.2085297842007586E-8</v>
      </c>
      <c r="P45" s="40">
        <f t="shared" si="8"/>
        <v>2.1382674813245151E-3</v>
      </c>
      <c r="Q45" s="40">
        <f t="shared" si="9"/>
        <v>2.2329004336594442E-3</v>
      </c>
      <c r="R45" s="9">
        <f t="shared" si="14"/>
        <v>1.4999999999999999E-4</v>
      </c>
      <c r="S45" s="9">
        <f t="shared" si="12"/>
        <v>1.0986929999328237E-4</v>
      </c>
      <c r="T45" s="9">
        <f t="shared" si="10"/>
        <v>1.8112349987992254E-6</v>
      </c>
      <c r="U45" s="9">
        <f t="shared" si="11"/>
        <v>4.0130700006717613E-5</v>
      </c>
      <c r="V45" s="102">
        <f t="shared" si="13"/>
        <v>4.5133401572761918E-2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0.12747825886296762</v>
      </c>
      <c r="J46" s="94">
        <f t="shared" si="2"/>
        <v>3.4129584322588506</v>
      </c>
      <c r="K46" s="95">
        <f t="shared" si="3"/>
        <v>0.44860814897205931</v>
      </c>
      <c r="L46" s="95">
        <f t="shared" si="4"/>
        <v>0.39803611006722373</v>
      </c>
      <c r="M46" s="95">
        <f t="shared" si="5"/>
        <v>0.60196388993277627</v>
      </c>
      <c r="N46" s="95">
        <f t="shared" si="6"/>
        <v>0.39581198626402875</v>
      </c>
      <c r="O46" s="40">
        <f t="shared" si="7"/>
        <v>4.4899445115680628E-7</v>
      </c>
      <c r="P46" s="40">
        <f t="shared" si="8"/>
        <v>1.161982014905467E-3</v>
      </c>
      <c r="Q46" s="40">
        <f t="shared" si="9"/>
        <v>1.2124755058916608E-3</v>
      </c>
      <c r="R46" s="9">
        <f t="shared" si="14"/>
        <v>1.4999999999999999E-4</v>
      </c>
      <c r="S46" s="9">
        <f t="shared" si="12"/>
        <v>5.9705416510083556E-5</v>
      </c>
      <c r="T46" s="9">
        <f t="shared" si="10"/>
        <v>6.7291222345808896E-5</v>
      </c>
      <c r="U46" s="9">
        <f t="shared" si="11"/>
        <v>9.0294583489916431E-5</v>
      </c>
      <c r="V46" s="102">
        <f t="shared" si="13"/>
        <v>0.74524096291250486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4.2457183871894006</v>
      </c>
      <c r="K47" s="95">
        <f t="shared" si="3"/>
        <v>8.9245872500607074E-2</v>
      </c>
      <c r="L47" s="95">
        <f t="shared" si="4"/>
        <v>0.53877000559453692</v>
      </c>
      <c r="M47" s="95">
        <f t="shared" si="5"/>
        <v>0.46122999440546308</v>
      </c>
      <c r="N47" s="95">
        <f t="shared" si="6"/>
        <v>0.5323508148090178</v>
      </c>
      <c r="O47" s="40">
        <f t="shared" si="7"/>
        <v>8.9322723256897681E-8</v>
      </c>
      <c r="P47" s="40">
        <f t="shared" si="8"/>
        <v>1.572824778549963E-3</v>
      </c>
      <c r="Q47" s="40">
        <f t="shared" si="9"/>
        <v>1.6307296036933102E-3</v>
      </c>
      <c r="R47" s="9">
        <f t="shared" si="14"/>
        <v>1.4999999999999999E-4</v>
      </c>
      <c r="S47" s="9">
        <f t="shared" si="12"/>
        <v>8.0815500839180531E-5</v>
      </c>
      <c r="T47" s="9">
        <f t="shared" si="10"/>
        <v>1.338688087509106E-5</v>
      </c>
      <c r="U47" s="9">
        <f t="shared" si="11"/>
        <v>6.9184499160819456E-5</v>
      </c>
      <c r="V47" s="102">
        <f t="shared" si="13"/>
        <v>0.19349537884162807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2.3364900872934777</v>
      </c>
      <c r="K48" s="95">
        <f t="shared" ref="K48:K50" si="17">IF(D48=0,"",1/(1+10^D48*$J$15/$J$14+10^E48*$J$16/$J$14+10^J48*$J$19/$J$14))</f>
        <v>0.88257117667303664</v>
      </c>
      <c r="L48" s="95">
        <f t="shared" ref="L48:L50" si="18">IF(D48=0,"",1/(1+10^I48/10^J48*$J$13/$J$19))</f>
        <v>6.5665417531788214E-2</v>
      </c>
      <c r="M48" s="95">
        <f t="shared" ref="M48:M50" si="19">IF(D48=0,"",1-L48)</f>
        <v>0.93433458246821177</v>
      </c>
      <c r="N48" s="95">
        <f t="shared" ref="N48:N50" si="20">IF(D48=0,"",1/(1/10^E48*$J$20/$J$22+10^D48/10^E48*$J$21/$J$22+10^I48/10^E48*$J$13/$J$22+1))</f>
        <v>6.4744297564244366E-2</v>
      </c>
      <c r="O48" s="40">
        <f t="shared" ref="O48:O50" si="21">IF(D48=0,"",F48*K48*$J$7/$J$14)</f>
        <v>8.8333116994227319E-7</v>
      </c>
      <c r="P48" s="40">
        <f t="shared" ref="P48:P50" si="22">IF(D48=0,"",O48*10^J48)</f>
        <v>1.9169626132741955E-4</v>
      </c>
      <c r="Q48" s="40">
        <f t="shared" ref="Q48:Q50" si="23">IF(D48=0,"",F48*N48*$J$7/$J$22)</f>
        <v>1.9832869561065521E-4</v>
      </c>
      <c r="R48" s="9">
        <f t="shared" si="14"/>
        <v>1.4999999999999999E-4</v>
      </c>
      <c r="S48" s="9">
        <f t="shared" si="12"/>
        <v>9.8498126297682319E-6</v>
      </c>
      <c r="T48" s="9">
        <f t="shared" si="10"/>
        <v>1.3238567650095549E-4</v>
      </c>
      <c r="U48" s="9">
        <f t="shared" si="11"/>
        <v>1.4015018737023176E-4</v>
      </c>
      <c r="V48" s="102">
        <f t="shared" si="13"/>
        <v>0.94459864082261324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1.8368226563727335</v>
      </c>
      <c r="K49" s="95">
        <f t="shared" si="17"/>
        <v>0.96125007651664474</v>
      </c>
      <c r="L49" s="95">
        <f t="shared" si="18"/>
        <v>2.2633719351591558E-2</v>
      </c>
      <c r="M49" s="95">
        <f t="shared" si="19"/>
        <v>0.97736628064840847</v>
      </c>
      <c r="N49" s="95">
        <f t="shared" si="20"/>
        <v>2.234797468759607E-2</v>
      </c>
      <c r="O49" s="40">
        <f t="shared" si="21"/>
        <v>9.6207782118757289E-7</v>
      </c>
      <c r="P49" s="40">
        <f t="shared" si="22"/>
        <v>6.6074343889365882E-5</v>
      </c>
      <c r="Q49" s="40">
        <f t="shared" si="23"/>
        <v>6.8457684090754826E-5</v>
      </c>
      <c r="R49" s="9">
        <f t="shared" si="14"/>
        <v>1.4999999999999999E-4</v>
      </c>
      <c r="S49" s="9">
        <f t="shared" si="12"/>
        <v>3.3950579027387333E-6</v>
      </c>
      <c r="T49" s="9">
        <f t="shared" si="10"/>
        <v>1.4418751147749669E-4</v>
      </c>
      <c r="U49" s="9">
        <f t="shared" si="11"/>
        <v>1.4660494209726125E-4</v>
      </c>
      <c r="V49" s="102">
        <f t="shared" si="13"/>
        <v>0.98351057893968696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70"/>
      <c r="H51" s="170"/>
      <c r="I51" s="94" t="str">
        <f t="shared" ref="I51:I58" si="24">IF(D51=0,"",LOG($K$15*10^D51+$K$16*10^E51+$K$14))</f>
        <v/>
      </c>
      <c r="J51" s="94" t="str">
        <f t="shared" ref="J51:J58" si="25">IF(D51=0,"",LOG($K$21*10^D51+$K$22*10^E51+$K$20))</f>
        <v/>
      </c>
      <c r="K51" s="95" t="str">
        <f t="shared" ref="K51:K58" si="26">IF(D51=0,"",1/(1+10^D51*$J$15/$J$14+10^E51*$J$16/$J$14+10^J51*$J$19/$J$14))</f>
        <v/>
      </c>
      <c r="L51" s="95" t="str">
        <f t="shared" ref="L51:L58" si="27">IF(D51=0,"",1/(1+10^I51/10^J51*$J$13/$J$19))</f>
        <v/>
      </c>
      <c r="M51" s="95" t="str">
        <f t="shared" ref="M51:M58" si="28">IF(D51=0,"",1-L51)</f>
        <v/>
      </c>
      <c r="N51" s="95" t="str">
        <f t="shared" ref="N51:N58" si="29">IF(D51=0,"",1/(1/10^E51*$J$20/$J$22+10^D51/10^E51*$J$21/$J$22+10^I51/10^E51*$J$13/$J$22+1))</f>
        <v/>
      </c>
      <c r="O51" s="40" t="str">
        <f t="shared" ref="O51:O58" si="30">IF(D51=0,"",F51*K51*$J$7/$J$14)</f>
        <v/>
      </c>
      <c r="P51" s="40" t="str">
        <f t="shared" ref="P51:P58" si="31">IF(D51=0,"",O51*10^J51)</f>
        <v/>
      </c>
      <c r="Q51" s="40" t="str">
        <f t="shared" ref="Q51:Q58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8.0381300697110955E-2</v>
      </c>
      <c r="K57" s="55">
        <f t="shared" si="26"/>
        <v>0.99898443447652596</v>
      </c>
      <c r="L57" s="55">
        <f t="shared" si="27"/>
        <v>4.1213253921357906E-4</v>
      </c>
      <c r="M57" s="55">
        <f t="shared" si="28"/>
        <v>0.99958786746078643</v>
      </c>
      <c r="N57" s="55">
        <f t="shared" si="29"/>
        <v>3.9442506410587963E-4</v>
      </c>
      <c r="O57" s="56">
        <f t="shared" si="30"/>
        <v>9.9984467268318966E-7</v>
      </c>
      <c r="P57" s="56">
        <f t="shared" si="31"/>
        <v>1.2031335504776738E-6</v>
      </c>
      <c r="Q57" s="56">
        <f t="shared" si="32"/>
        <v>1.2082270010365994E-6</v>
      </c>
      <c r="R57" s="9">
        <f t="shared" ref="R57:R58" si="33">F57*$C$14</f>
        <v>1.4999999999999999E-4</v>
      </c>
      <c r="S57" s="9">
        <f t="shared" ref="S57:S58" si="34">$R57*L57</f>
        <v>6.1819880882036857E-8</v>
      </c>
      <c r="T57" s="9">
        <f t="shared" ref="T57:T58" si="35">R57*K57</f>
        <v>1.4984766517147887E-4</v>
      </c>
      <c r="U57" s="9">
        <f t="shared" ref="U57:U58" si="36">$R57*M57</f>
        <v>1.4993818011911796E-4</v>
      </c>
      <c r="V57" s="102">
        <f t="shared" ref="V57:V58" si="37">K57/M57</f>
        <v>0.99939631821883423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2.5725421120660119</v>
      </c>
      <c r="K58" s="55">
        <f t="shared" si="26"/>
        <v>0.82240739896687975</v>
      </c>
      <c r="L58" s="55">
        <f t="shared" si="27"/>
        <v>0.10537218937752224</v>
      </c>
      <c r="M58" s="55">
        <f t="shared" si="28"/>
        <v>0.89462781062247776</v>
      </c>
      <c r="N58" s="55">
        <f t="shared" si="29"/>
        <v>0.10412278895965281</v>
      </c>
      <c r="O58" s="56">
        <f t="shared" si="30"/>
        <v>8.2311558444166648E-7</v>
      </c>
      <c r="P58" s="56">
        <f t="shared" si="31"/>
        <v>3.076117614233919E-4</v>
      </c>
      <c r="Q58" s="56">
        <f t="shared" si="32"/>
        <v>3.1895530100114827E-4</v>
      </c>
      <c r="R58" s="9">
        <f t="shared" si="33"/>
        <v>1.4999999999999999E-4</v>
      </c>
      <c r="S58" s="9">
        <f t="shared" si="34"/>
        <v>1.5805828406628334E-5</v>
      </c>
      <c r="T58" s="9">
        <f t="shared" si="35"/>
        <v>1.2336110984503194E-4</v>
      </c>
      <c r="U58" s="9">
        <f t="shared" si="36"/>
        <v>1.3419417159337164E-4</v>
      </c>
      <c r="V58" s="102">
        <f t="shared" si="37"/>
        <v>0.91927323206580469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70"/>
      <c r="H59" s="170"/>
      <c r="I59" s="54" t="str">
        <f t="shared" ref="I59:I90" si="38">IF(D59=0,"",LOG($K$15*10^D59+$K$16*10^E59+$K$14))</f>
        <v/>
      </c>
      <c r="J59" s="54" t="str">
        <f t="shared" ref="J59:J90" si="39">IF(D59=0,"",LOG($K$21*10^D59+$K$22*10^E59+$K$20))</f>
        <v/>
      </c>
      <c r="K59" s="55" t="str">
        <f t="shared" ref="K59:K90" si="40">IF(D59=0,"",1/(1+10^D59*$J$15/$J$14+10^E59*$J$16/$J$14+10^J59*$J$19/$J$14))</f>
        <v/>
      </c>
      <c r="L59" s="55" t="str">
        <f t="shared" ref="L59:L90" si="41">IF(D59=0,"",1/(1+10^I59/10^J59*$J$13/$J$19))</f>
        <v/>
      </c>
      <c r="M59" s="55" t="str">
        <f t="shared" ref="M59:M90" si="42">IF(D59=0,"",1-L59)</f>
        <v/>
      </c>
      <c r="N59" s="55" t="str">
        <f t="shared" ref="N59:N90" si="43">IF(D59=0,"",1/(1/10^E59*$J$20/$J$22+10^D59/10^E59*$J$21/$J$22+10^I59/10^E59*$J$13/$J$22+1))</f>
        <v/>
      </c>
      <c r="O59" s="56" t="str">
        <f t="shared" ref="O59:O90" si="44">IF(D59=0,"",F59*K59*$J$7/$J$14)</f>
        <v/>
      </c>
      <c r="P59" s="56" t="str">
        <f t="shared" ref="P59:P90" si="45">IF(D59=0,"",O59*10^J59)</f>
        <v/>
      </c>
      <c r="Q59" s="56" t="str">
        <f t="shared" ref="Q59:Q90" si="46">IF(D59=0,"",F59*N59*$J$7/$J$22)</f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38"/>
        <v>5.084171441621077E-2</v>
      </c>
      <c r="J60" s="54">
        <f t="shared" si="39"/>
        <v>2.5546913678115204</v>
      </c>
      <c r="K60" s="55">
        <f t="shared" si="40"/>
        <v>0.80144599412061801</v>
      </c>
      <c r="L60" s="55">
        <f t="shared" si="41"/>
        <v>9.8551335310822011E-2</v>
      </c>
      <c r="M60" s="55">
        <f t="shared" si="42"/>
        <v>0.90144866468917795</v>
      </c>
      <c r="N60" s="55">
        <f t="shared" si="43"/>
        <v>9.670903414387487E-2</v>
      </c>
      <c r="O60" s="56">
        <f t="shared" si="44"/>
        <v>8.0213612946299847E-7</v>
      </c>
      <c r="P60" s="56">
        <f t="shared" si="45"/>
        <v>2.8769972442136728E-4</v>
      </c>
      <c r="Q60" s="56">
        <f t="shared" si="46"/>
        <v>2.9624503341763719E-4</v>
      </c>
      <c r="R60" s="9">
        <f>F60*$C$14</f>
        <v>1.4999999999999999E-4</v>
      </c>
      <c r="S60" s="9">
        <f t="shared" ref="S60:S93" si="47">$R60*L60</f>
        <v>1.47827002966233E-5</v>
      </c>
      <c r="T60" s="9">
        <f t="shared" ref="T60:T93" si="48">R60*K60</f>
        <v>1.2021689911809268E-4</v>
      </c>
      <c r="U60" s="9">
        <f t="shared" ref="U60:U93" si="49">$R60*M60</f>
        <v>1.3521729970337668E-4</v>
      </c>
      <c r="V60" s="102">
        <f t="shared" ref="V60:V93" si="50">K60/M60</f>
        <v>0.88906448643635061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38"/>
        <v>0.31132307136990117</v>
      </c>
      <c r="J61" s="54">
        <f t="shared" si="39"/>
        <v>3.6102131398703299</v>
      </c>
      <c r="K61" s="55">
        <f t="shared" si="40"/>
        <v>0.29015831159607275</v>
      </c>
      <c r="L61" s="55">
        <f t="shared" si="41"/>
        <v>0.40545721978381333</v>
      </c>
      <c r="M61" s="55">
        <f t="shared" si="42"/>
        <v>0.59454278021618667</v>
      </c>
      <c r="N61" s="55">
        <f t="shared" si="43"/>
        <v>0.40011773241593507</v>
      </c>
      <c r="O61" s="56">
        <f t="shared" si="44"/>
        <v>2.9040817060988887E-7</v>
      </c>
      <c r="P61" s="56">
        <f t="shared" si="45"/>
        <v>1.1836463709857757E-3</v>
      </c>
      <c r="Q61" s="56">
        <f t="shared" si="46"/>
        <v>1.2256651310797448E-3</v>
      </c>
      <c r="R61" s="9">
        <f>F61*$C$14</f>
        <v>1.4999999999999999E-4</v>
      </c>
      <c r="S61" s="9">
        <f t="shared" si="47"/>
        <v>6.0818582967571995E-5</v>
      </c>
      <c r="T61" s="9">
        <f t="shared" si="48"/>
        <v>4.352374673941091E-5</v>
      </c>
      <c r="U61" s="9">
        <f t="shared" si="49"/>
        <v>8.9181417032427999E-5</v>
      </c>
      <c r="V61" s="102">
        <f t="shared" si="50"/>
        <v>0.4880360526631336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38"/>
        <v>0.17220522092565899</v>
      </c>
      <c r="J62" s="54">
        <f t="shared" si="39"/>
        <v>3.3934881626861433</v>
      </c>
      <c r="K62" s="55">
        <f t="shared" si="40"/>
        <v>0.42812288811783739</v>
      </c>
      <c r="L62" s="55">
        <f t="shared" si="41"/>
        <v>0.36320639951604838</v>
      </c>
      <c r="M62" s="55">
        <f t="shared" si="42"/>
        <v>0.63679360048395162</v>
      </c>
      <c r="N62" s="55">
        <f t="shared" si="43"/>
        <v>0.35975035396677324</v>
      </c>
      <c r="O62" s="56">
        <f t="shared" si="44"/>
        <v>4.284915501838276E-7</v>
      </c>
      <c r="P62" s="56">
        <f t="shared" si="45"/>
        <v>1.060304061018334E-3</v>
      </c>
      <c r="Q62" s="56">
        <f t="shared" si="46"/>
        <v>1.102009306331631E-3</v>
      </c>
      <c r="R62" s="9">
        <f>F62*$C$14</f>
        <v>1.4999999999999999E-4</v>
      </c>
      <c r="S62" s="9">
        <f t="shared" si="47"/>
        <v>5.448095992740725E-5</v>
      </c>
      <c r="T62" s="9">
        <f t="shared" si="48"/>
        <v>6.4218433217675601E-5</v>
      </c>
      <c r="U62" s="9">
        <f t="shared" si="49"/>
        <v>9.5519040072592737E-5</v>
      </c>
      <c r="V62" s="102">
        <f t="shared" si="50"/>
        <v>0.67231028671216508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38"/>
        <v>0.15417954710270029</v>
      </c>
      <c r="J63" s="54">
        <f t="shared" si="39"/>
        <v>3.3124645098789665</v>
      </c>
      <c r="K63" s="55">
        <f t="shared" si="40"/>
        <v>0.46928131803260553</v>
      </c>
      <c r="L63" s="55">
        <f t="shared" si="41"/>
        <v>0.33036547742086858</v>
      </c>
      <c r="M63" s="55">
        <f t="shared" si="42"/>
        <v>0.66963452257913136</v>
      </c>
      <c r="N63" s="55">
        <f t="shared" si="43"/>
        <v>0.32700248183112823</v>
      </c>
      <c r="O63" s="56">
        <f t="shared" si="44"/>
        <v>4.6968542214625642E-7</v>
      </c>
      <c r="P63" s="56">
        <f t="shared" si="45"/>
        <v>9.6443195328151207E-4</v>
      </c>
      <c r="Q63" s="56">
        <f t="shared" si="46"/>
        <v>1.0016940197499469E-3</v>
      </c>
      <c r="R63" s="9">
        <f>F63*$C$14</f>
        <v>1.4999999999999999E-4</v>
      </c>
      <c r="S63" s="9">
        <f t="shared" si="47"/>
        <v>4.955482161313028E-5</v>
      </c>
      <c r="T63" s="9">
        <f t="shared" si="48"/>
        <v>7.0392197704890829E-5</v>
      </c>
      <c r="U63" s="9">
        <f t="shared" si="49"/>
        <v>1.0044517838686969E-4</v>
      </c>
      <c r="V63" s="102">
        <f t="shared" si="50"/>
        <v>0.70080215730984818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38"/>
        <v>2.9920298270100572E-2</v>
      </c>
      <c r="J64" s="54">
        <f t="shared" si="39"/>
        <v>2.5603074590057777</v>
      </c>
      <c r="K64" s="55">
        <f t="shared" si="40"/>
        <v>0.835809213255299</v>
      </c>
      <c r="L64" s="55">
        <f t="shared" si="41"/>
        <v>0.10411456666907673</v>
      </c>
      <c r="M64" s="55">
        <f t="shared" si="42"/>
        <v>0.8958854333309233</v>
      </c>
      <c r="N64" s="55">
        <f t="shared" si="43"/>
        <v>0.10311407198673185</v>
      </c>
      <c r="O64" s="56">
        <f t="shared" si="44"/>
        <v>8.3652893920288165E-7</v>
      </c>
      <c r="P64" s="56">
        <f t="shared" si="45"/>
        <v>3.0394039862039499E-4</v>
      </c>
      <c r="Q64" s="56">
        <f t="shared" si="46"/>
        <v>3.1586533742124792E-4</v>
      </c>
      <c r="R64" s="9">
        <f>F64*$C$14</f>
        <v>1.4999999999999999E-4</v>
      </c>
      <c r="S64" s="9">
        <f t="shared" si="47"/>
        <v>1.5617185000361509E-5</v>
      </c>
      <c r="T64" s="9">
        <f t="shared" si="48"/>
        <v>1.2537138198829483E-4</v>
      </c>
      <c r="U64" s="9">
        <f t="shared" si="49"/>
        <v>1.3438281499963847E-4</v>
      </c>
      <c r="V64" s="102">
        <f t="shared" si="50"/>
        <v>0.93294207290293862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38"/>
        <v>0.45036614920415591</v>
      </c>
      <c r="J65" s="54">
        <f t="shared" si="39"/>
        <v>4.0979428181217807</v>
      </c>
      <c r="K65" s="55">
        <f t="shared" si="40"/>
        <v>0.14048931706695394</v>
      </c>
      <c r="L65" s="55">
        <f t="shared" si="41"/>
        <v>0.60350795947822988</v>
      </c>
      <c r="M65" s="55">
        <f t="shared" si="42"/>
        <v>0.39649204052177012</v>
      </c>
      <c r="N65" s="55">
        <f t="shared" si="43"/>
        <v>0.59965172144014023</v>
      </c>
      <c r="O65" s="56">
        <f t="shared" si="44"/>
        <v>1.4061029420533394E-7</v>
      </c>
      <c r="P65" s="56">
        <f t="shared" si="45"/>
        <v>1.7618135064368032E-3</v>
      </c>
      <c r="Q65" s="56">
        <f t="shared" si="46"/>
        <v>1.8368898607000431E-3</v>
      </c>
      <c r="R65" s="9">
        <f>F65*$C$14</f>
        <v>1.4999999999999999E-4</v>
      </c>
      <c r="S65" s="9">
        <f t="shared" si="47"/>
        <v>9.0526193921734472E-5</v>
      </c>
      <c r="T65" s="9">
        <f t="shared" si="48"/>
        <v>2.107339756004309E-5</v>
      </c>
      <c r="U65" s="9">
        <f t="shared" si="49"/>
        <v>5.9473806078265515E-5</v>
      </c>
      <c r="V65" s="102">
        <f t="shared" si="50"/>
        <v>0.35433073733857245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70"/>
      <c r="H66" s="170"/>
      <c r="I66" s="54" t="str">
        <f t="shared" si="38"/>
        <v/>
      </c>
      <c r="J66" s="54" t="str">
        <f t="shared" si="39"/>
        <v/>
      </c>
      <c r="K66" s="55" t="str">
        <f t="shared" si="40"/>
        <v/>
      </c>
      <c r="L66" s="55" t="str">
        <f t="shared" si="41"/>
        <v/>
      </c>
      <c r="M66" s="55" t="str">
        <f t="shared" si="42"/>
        <v/>
      </c>
      <c r="N66" s="55" t="str">
        <f t="shared" si="43"/>
        <v/>
      </c>
      <c r="O66" s="56" t="str">
        <f t="shared" si="44"/>
        <v/>
      </c>
      <c r="P66" s="56" t="str">
        <f t="shared" si="45"/>
        <v/>
      </c>
      <c r="Q66" s="56" t="str">
        <f t="shared" si="46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70"/>
      <c r="H67" s="170"/>
      <c r="I67" s="54" t="str">
        <f t="shared" si="38"/>
        <v/>
      </c>
      <c r="J67" s="54" t="str">
        <f t="shared" si="39"/>
        <v/>
      </c>
      <c r="K67" s="55" t="str">
        <f t="shared" si="40"/>
        <v/>
      </c>
      <c r="L67" s="55" t="str">
        <f t="shared" si="41"/>
        <v/>
      </c>
      <c r="M67" s="55" t="str">
        <f t="shared" si="42"/>
        <v/>
      </c>
      <c r="N67" s="55" t="str">
        <f t="shared" si="43"/>
        <v/>
      </c>
      <c r="O67" s="56" t="str">
        <f t="shared" si="44"/>
        <v/>
      </c>
      <c r="P67" s="56" t="str">
        <f t="shared" si="45"/>
        <v/>
      </c>
      <c r="Q67" s="56" t="str">
        <f t="shared" si="46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38"/>
        <v>4.7752637245013392E-2</v>
      </c>
      <c r="J68" s="54">
        <f t="shared" si="39"/>
        <v>2.4654231458254099</v>
      </c>
      <c r="K68" s="55">
        <f t="shared" si="40"/>
        <v>0.82174291588359982</v>
      </c>
      <c r="L68" s="55">
        <f t="shared" si="41"/>
        <v>8.227274684774824E-2</v>
      </c>
      <c r="M68" s="55">
        <f t="shared" si="42"/>
        <v>0.91772725315225179</v>
      </c>
      <c r="N68" s="55">
        <f t="shared" si="43"/>
        <v>8.0474400894697928E-2</v>
      </c>
      <c r="O68" s="56">
        <f t="shared" si="44"/>
        <v>8.2245052916354933E-7</v>
      </c>
      <c r="P68" s="56">
        <f t="shared" si="45"/>
        <v>2.4017783747763057E-4</v>
      </c>
      <c r="Q68" s="56">
        <f t="shared" si="46"/>
        <v>2.4651411104827017E-4</v>
      </c>
      <c r="R68" s="9">
        <f>F68*$C$14</f>
        <v>1.4999999999999999E-4</v>
      </c>
      <c r="S68" s="9">
        <f t="shared" si="47"/>
        <v>1.2340912027162234E-5</v>
      </c>
      <c r="T68" s="9">
        <f t="shared" si="48"/>
        <v>1.2326143738253996E-4</v>
      </c>
      <c r="U68" s="9">
        <f t="shared" si="49"/>
        <v>1.3765908797283775E-4</v>
      </c>
      <c r="V68" s="102">
        <f t="shared" si="50"/>
        <v>0.89541082392512528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38"/>
        <v>1.1979474472139457</v>
      </c>
      <c r="J69" s="54">
        <f t="shared" si="39"/>
        <v>5.0555035272524416</v>
      </c>
      <c r="K69" s="55">
        <f t="shared" si="40"/>
        <v>1.8267937871299697E-2</v>
      </c>
      <c r="L69" s="55">
        <f t="shared" si="41"/>
        <v>0.71168847985881034</v>
      </c>
      <c r="M69" s="55">
        <f t="shared" si="42"/>
        <v>0.28831152014118966</v>
      </c>
      <c r="N69" s="55">
        <f t="shared" si="43"/>
        <v>0.70780285376378416</v>
      </c>
      <c r="O69" s="56">
        <f t="shared" si="44"/>
        <v>1.8283668625024689E-8</v>
      </c>
      <c r="P69" s="56">
        <f t="shared" si="45"/>
        <v>2.0776235946826128E-3</v>
      </c>
      <c r="Q69" s="56">
        <f t="shared" si="46"/>
        <v>2.1681850296881664E-3</v>
      </c>
      <c r="R69" s="9">
        <f>F69*$C$14</f>
        <v>1.4999999999999999E-4</v>
      </c>
      <c r="S69" s="9">
        <f t="shared" si="47"/>
        <v>1.0675327197882154E-4</v>
      </c>
      <c r="T69" s="9">
        <f t="shared" si="48"/>
        <v>2.7401906806949542E-6</v>
      </c>
      <c r="U69" s="9">
        <f t="shared" si="49"/>
        <v>4.3246728021178443E-5</v>
      </c>
      <c r="V69" s="102">
        <f t="shared" si="50"/>
        <v>6.3361803449108328E-2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38"/>
        <v>6.6276677113325539E-3</v>
      </c>
      <c r="J70" s="54">
        <f t="shared" si="39"/>
        <v>1.4974934704256861</v>
      </c>
      <c r="K70" s="55">
        <f t="shared" si="40"/>
        <v>0.97401015375001831</v>
      </c>
      <c r="L70" s="55">
        <f t="shared" si="41"/>
        <v>1.0499142675022282E-2</v>
      </c>
      <c r="M70" s="55">
        <f t="shared" si="42"/>
        <v>0.98950085732497772</v>
      </c>
      <c r="N70" s="55">
        <f t="shared" si="43"/>
        <v>1.0196996440246575E-2</v>
      </c>
      <c r="O70" s="56">
        <f t="shared" si="44"/>
        <v>9.7484888628579935E-7</v>
      </c>
      <c r="P70" s="56">
        <f t="shared" si="45"/>
        <v>3.065002056783733E-5</v>
      </c>
      <c r="Q70" s="56">
        <f t="shared" si="46"/>
        <v>3.1236063703276056E-5</v>
      </c>
      <c r="R70" s="9">
        <f t="shared" ref="R70:R86" si="51">F70*$C$14</f>
        <v>1.4999999999999999E-4</v>
      </c>
      <c r="S70" s="9">
        <f t="shared" si="47"/>
        <v>1.5748714012533421E-6</v>
      </c>
      <c r="T70" s="9">
        <f t="shared" si="48"/>
        <v>1.4610152306250272E-4</v>
      </c>
      <c r="U70" s="9">
        <f t="shared" si="49"/>
        <v>1.4842512859874666E-4</v>
      </c>
      <c r="V70" s="102">
        <f t="shared" si="50"/>
        <v>0.98434493162862224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si="38"/>
        <v>2.8589842167479149E-2</v>
      </c>
      <c r="J71" s="54">
        <f t="shared" si="39"/>
        <v>2.4617287350279575</v>
      </c>
      <c r="K71" s="55">
        <f t="shared" si="40"/>
        <v>0.85625896339689467</v>
      </c>
      <c r="L71" s="55">
        <f t="shared" si="41"/>
        <v>8.5002313994454626E-2</v>
      </c>
      <c r="M71" s="55">
        <f t="shared" si="42"/>
        <v>0.91499768600554532</v>
      </c>
      <c r="N71" s="55">
        <f t="shared" si="43"/>
        <v>8.3983295854964835E-2</v>
      </c>
      <c r="O71" s="56">
        <f t="shared" si="44"/>
        <v>8.5699629888450741E-7</v>
      </c>
      <c r="P71" s="56">
        <f t="shared" si="45"/>
        <v>2.4814622992427057E-4</v>
      </c>
      <c r="Q71" s="56">
        <f t="shared" si="46"/>
        <v>2.5726277288700582E-4</v>
      </c>
      <c r="R71" s="9">
        <f t="shared" si="51"/>
        <v>1.4999999999999999E-4</v>
      </c>
      <c r="S71" s="9">
        <f t="shared" si="47"/>
        <v>1.2750347099168192E-5</v>
      </c>
      <c r="T71" s="9">
        <f t="shared" si="48"/>
        <v>1.284388445095342E-4</v>
      </c>
      <c r="U71" s="9">
        <f t="shared" si="49"/>
        <v>1.3724965290083177E-4</v>
      </c>
      <c r="V71" s="102">
        <f t="shared" si="50"/>
        <v>0.93580451239710061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38"/>
        <v>4.5043006346732313E-2</v>
      </c>
      <c r="J72" s="54">
        <f t="shared" si="39"/>
        <v>2.4972623302127044</v>
      </c>
      <c r="K72" s="55">
        <f t="shared" si="40"/>
        <v>0.82129104425555455</v>
      </c>
      <c r="L72" s="55">
        <f t="shared" si="41"/>
        <v>8.8482279008259918E-2</v>
      </c>
      <c r="M72" s="55">
        <f t="shared" si="42"/>
        <v>0.91151772099174011</v>
      </c>
      <c r="N72" s="55">
        <f t="shared" si="43"/>
        <v>8.6818418523795141E-2</v>
      </c>
      <c r="O72" s="56">
        <f t="shared" si="44"/>
        <v>8.2199826842309581E-7</v>
      </c>
      <c r="P72" s="56">
        <f t="shared" si="45"/>
        <v>2.5830524981284062E-4</v>
      </c>
      <c r="Q72" s="56">
        <f t="shared" si="46"/>
        <v>2.6594749419774939E-4</v>
      </c>
      <c r="R72" s="9">
        <f t="shared" si="51"/>
        <v>1.4999999999999999E-4</v>
      </c>
      <c r="S72" s="9">
        <f t="shared" si="47"/>
        <v>1.3272341851238986E-5</v>
      </c>
      <c r="T72" s="9">
        <f t="shared" si="48"/>
        <v>1.2319365663833318E-4</v>
      </c>
      <c r="U72" s="9">
        <f t="shared" si="49"/>
        <v>1.36727658148761E-4</v>
      </c>
      <c r="V72" s="102">
        <f t="shared" si="50"/>
        <v>0.90101489564238191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38"/>
        <v>2.829962486439805</v>
      </c>
      <c r="J73" s="54">
        <f t="shared" si="39"/>
        <v>7.0504332537206764</v>
      </c>
      <c r="K73" s="55">
        <f t="shared" si="40"/>
        <v>2.2089731546377263E-4</v>
      </c>
      <c r="L73" s="55">
        <f t="shared" si="41"/>
        <v>0.85059059121384373</v>
      </c>
      <c r="M73" s="55">
        <f t="shared" si="42"/>
        <v>0.14940940878615627</v>
      </c>
      <c r="N73" s="55">
        <f t="shared" si="43"/>
        <v>0.84954858601252869</v>
      </c>
      <c r="O73" s="56">
        <f t="shared" si="44"/>
        <v>2.2108753295260767E-10</v>
      </c>
      <c r="P73" s="56">
        <f t="shared" si="45"/>
        <v>2.483118852888423E-3</v>
      </c>
      <c r="Q73" s="56">
        <f t="shared" si="46"/>
        <v>2.6023892336549405E-3</v>
      </c>
      <c r="R73" s="9">
        <f t="shared" si="51"/>
        <v>1.4999999999999999E-4</v>
      </c>
      <c r="S73" s="9">
        <f t="shared" si="47"/>
        <v>1.2758858868207654E-4</v>
      </c>
      <c r="T73" s="9">
        <f t="shared" si="48"/>
        <v>3.313459731956589E-8</v>
      </c>
      <c r="U73" s="9">
        <f t="shared" si="49"/>
        <v>2.2411411317923439E-5</v>
      </c>
      <c r="V73" s="102">
        <f t="shared" si="50"/>
        <v>1.4784699120249792E-3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38"/>
        <v>3.957220636313619E-3</v>
      </c>
      <c r="J74" s="54">
        <f t="shared" si="39"/>
        <v>1.3816332663919468</v>
      </c>
      <c r="K74" s="55">
        <f t="shared" si="40"/>
        <v>0.98238414557714726</v>
      </c>
      <c r="L74" s="55">
        <f t="shared" si="41"/>
        <v>8.1098252106660169E-3</v>
      </c>
      <c r="M74" s="55">
        <f t="shared" si="42"/>
        <v>0.99189017478933394</v>
      </c>
      <c r="N74" s="55">
        <f t="shared" si="43"/>
        <v>7.9260558516277366E-3</v>
      </c>
      <c r="O74" s="56">
        <f t="shared" si="44"/>
        <v>9.832300890638332E-7</v>
      </c>
      <c r="P74" s="56">
        <f t="shared" si="45"/>
        <v>2.3674914914702932E-5</v>
      </c>
      <c r="Q74" s="56">
        <f t="shared" si="46"/>
        <v>2.4279579476952445E-5</v>
      </c>
      <c r="R74" s="9">
        <f t="shared" si="51"/>
        <v>1.4999999999999999E-4</v>
      </c>
      <c r="S74" s="9">
        <f t="shared" si="47"/>
        <v>1.2164737815999024E-6</v>
      </c>
      <c r="T74" s="9">
        <f t="shared" si="48"/>
        <v>1.4735762183657207E-4</v>
      </c>
      <c r="U74" s="9">
        <f t="shared" si="49"/>
        <v>1.4878352621840009E-4</v>
      </c>
      <c r="V74" s="102">
        <f t="shared" si="50"/>
        <v>0.99041624823614605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38"/>
        <v>4.1980440605165602E-3</v>
      </c>
      <c r="J75" s="54">
        <f t="shared" si="39"/>
        <v>1.3621902530651464</v>
      </c>
      <c r="K75" s="55">
        <f t="shared" si="40"/>
        <v>0.98219251113632666</v>
      </c>
      <c r="L75" s="55">
        <f t="shared" si="41"/>
        <v>7.7532494015749307E-3</v>
      </c>
      <c r="M75" s="55">
        <f t="shared" si="42"/>
        <v>0.99224675059842504</v>
      </c>
      <c r="N75" s="55">
        <f t="shared" si="43"/>
        <v>7.5572432588339108E-3</v>
      </c>
      <c r="O75" s="56">
        <f t="shared" si="44"/>
        <v>9.8303828960415772E-7</v>
      </c>
      <c r="P75" s="56">
        <f t="shared" si="45"/>
        <v>2.2633967456332312E-5</v>
      </c>
      <c r="Q75" s="56">
        <f t="shared" si="46"/>
        <v>2.3149810165902286E-5</v>
      </c>
      <c r="R75" s="9">
        <f t="shared" si="51"/>
        <v>1.4999999999999999E-4</v>
      </c>
      <c r="S75" s="9">
        <f t="shared" si="47"/>
        <v>1.1629874102362396E-6</v>
      </c>
      <c r="T75" s="9">
        <f t="shared" si="48"/>
        <v>1.47328876670449E-4</v>
      </c>
      <c r="U75" s="9">
        <f t="shared" si="49"/>
        <v>1.4883701258976376E-4</v>
      </c>
      <c r="V75" s="102">
        <f t="shared" si="50"/>
        <v>0.98986719839995985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38"/>
        <v>0.35626551305621779</v>
      </c>
      <c r="J76" s="54">
        <f t="shared" si="39"/>
        <v>3.8527349289281725</v>
      </c>
      <c r="K76" s="55">
        <f t="shared" si="40"/>
        <v>0.21209291947427567</v>
      </c>
      <c r="L76" s="55">
        <f t="shared" si="41"/>
        <v>0.51803366280209362</v>
      </c>
      <c r="M76" s="55">
        <f t="shared" si="42"/>
        <v>0.48196633719790638</v>
      </c>
      <c r="N76" s="55">
        <f t="shared" si="43"/>
        <v>0.51368271656852049</v>
      </c>
      <c r="O76" s="56">
        <f t="shared" si="44"/>
        <v>2.1227555538570528E-7</v>
      </c>
      <c r="P76" s="56">
        <f t="shared" si="45"/>
        <v>1.5122894231630753E-3</v>
      </c>
      <c r="Q76" s="56">
        <f t="shared" si="46"/>
        <v>1.5735443423983591E-3</v>
      </c>
      <c r="R76" s="9">
        <f t="shared" si="51"/>
        <v>1.4999999999999999E-4</v>
      </c>
      <c r="S76" s="9">
        <f t="shared" si="47"/>
        <v>7.7705049420314035E-5</v>
      </c>
      <c r="T76" s="9">
        <f t="shared" si="48"/>
        <v>3.1813937921141349E-5</v>
      </c>
      <c r="U76" s="9">
        <f t="shared" si="49"/>
        <v>7.2294950579685952E-5</v>
      </c>
      <c r="V76" s="102">
        <f t="shared" si="50"/>
        <v>0.4400575374358261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38"/>
        <v>2.1004549420906745E-4</v>
      </c>
      <c r="J77" s="54">
        <f t="shared" si="39"/>
        <v>0.18244842776560238</v>
      </c>
      <c r="K77" s="55">
        <f t="shared" si="40"/>
        <v>0.99847818611740413</v>
      </c>
      <c r="L77" s="55">
        <f t="shared" si="41"/>
        <v>5.2105538878569134E-4</v>
      </c>
      <c r="M77" s="55">
        <f t="shared" si="42"/>
        <v>0.99947894461121434</v>
      </c>
      <c r="N77" s="55">
        <f t="shared" si="43"/>
        <v>4.9536847474969891E-4</v>
      </c>
      <c r="O77" s="56">
        <f t="shared" si="44"/>
        <v>9.9933798838716484E-7</v>
      </c>
      <c r="P77" s="56">
        <f t="shared" si="45"/>
        <v>1.5211107113781571E-6</v>
      </c>
      <c r="Q77" s="56">
        <f t="shared" si="46"/>
        <v>1.5174430357555494E-6</v>
      </c>
      <c r="R77" s="9">
        <f t="shared" si="51"/>
        <v>1.4999999999999999E-4</v>
      </c>
      <c r="S77" s="9">
        <f t="shared" si="47"/>
        <v>7.8158308317853689E-8</v>
      </c>
      <c r="T77" s="9">
        <f t="shared" si="48"/>
        <v>1.4977172791761061E-4</v>
      </c>
      <c r="U77" s="9">
        <f t="shared" si="49"/>
        <v>1.4992184169168213E-4</v>
      </c>
      <c r="V77" s="102">
        <f t="shared" si="50"/>
        <v>0.99899871978373744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38"/>
        <v>9.6186457475178466E-3</v>
      </c>
      <c r="J78" s="54">
        <f t="shared" si="39"/>
        <v>1.885940844009744</v>
      </c>
      <c r="K78" s="55">
        <f t="shared" si="40"/>
        <v>0.95302509606935448</v>
      </c>
      <c r="L78" s="55">
        <f t="shared" si="41"/>
        <v>2.5127082395052142E-2</v>
      </c>
      <c r="M78" s="55">
        <f t="shared" si="42"/>
        <v>0.97487291760494788</v>
      </c>
      <c r="N78" s="55">
        <f t="shared" si="43"/>
        <v>2.4728462824245533E-2</v>
      </c>
      <c r="O78" s="56">
        <f t="shared" si="44"/>
        <v>9.5384575810497263E-7</v>
      </c>
      <c r="P78" s="56">
        <f t="shared" si="45"/>
        <v>7.3353188546555024E-5</v>
      </c>
      <c r="Q78" s="56">
        <f t="shared" si="46"/>
        <v>7.5749741072141542E-5</v>
      </c>
      <c r="R78" s="9">
        <f t="shared" si="51"/>
        <v>1.4999999999999999E-4</v>
      </c>
      <c r="S78" s="9">
        <f t="shared" si="47"/>
        <v>3.7690623592578211E-6</v>
      </c>
      <c r="T78" s="9">
        <f t="shared" si="48"/>
        <v>1.4295376441040317E-4</v>
      </c>
      <c r="U78" s="9">
        <f t="shared" si="49"/>
        <v>1.4623093764074216E-4</v>
      </c>
      <c r="V78" s="102">
        <f t="shared" si="50"/>
        <v>0.9775890568493083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38"/>
        <v>8.6760595853303396E-2</v>
      </c>
      <c r="J79" s="54">
        <f t="shared" si="39"/>
        <v>2.9485807923787242</v>
      </c>
      <c r="K79" s="55">
        <f t="shared" si="40"/>
        <v>0.65516950068558744</v>
      </c>
      <c r="L79" s="55">
        <f t="shared" si="41"/>
        <v>0.199540633731218</v>
      </c>
      <c r="M79" s="55">
        <f t="shared" si="42"/>
        <v>0.800459366268782</v>
      </c>
      <c r="N79" s="55">
        <f t="shared" si="43"/>
        <v>0.1970032792958368</v>
      </c>
      <c r="O79" s="56">
        <f t="shared" si="44"/>
        <v>6.5573367547838674E-7</v>
      </c>
      <c r="P79" s="56">
        <f t="shared" si="45"/>
        <v>5.8251656514117674E-4</v>
      </c>
      <c r="Q79" s="56">
        <f t="shared" si="46"/>
        <v>6.034725046633676E-4</v>
      </c>
      <c r="R79" s="9">
        <f t="shared" si="51"/>
        <v>1.4999999999999999E-4</v>
      </c>
      <c r="S79" s="9">
        <f t="shared" si="47"/>
        <v>2.9931095059682695E-5</v>
      </c>
      <c r="T79" s="9">
        <f t="shared" si="48"/>
        <v>9.8275425102838107E-5</v>
      </c>
      <c r="U79" s="9">
        <f t="shared" si="49"/>
        <v>1.2006890494031729E-4</v>
      </c>
      <c r="V79" s="102">
        <f t="shared" si="50"/>
        <v>0.81849189139925882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38"/>
        <v>1.9819141928346475</v>
      </c>
      <c r="J80" s="54">
        <f t="shared" si="39"/>
        <v>6.0157499789101383</v>
      </c>
      <c r="K80" s="55">
        <f t="shared" si="40"/>
        <v>2.2149534227546945E-3</v>
      </c>
      <c r="L80" s="55">
        <f t="shared" si="41"/>
        <v>0.78742909880502643</v>
      </c>
      <c r="M80" s="55">
        <f t="shared" si="42"/>
        <v>0.21257090119497357</v>
      </c>
      <c r="N80" s="55">
        <f t="shared" si="43"/>
        <v>0.78496516016652096</v>
      </c>
      <c r="O80" s="56">
        <f t="shared" si="44"/>
        <v>2.2168607473280072E-9</v>
      </c>
      <c r="P80" s="56">
        <f t="shared" si="45"/>
        <v>2.298732269969505E-3</v>
      </c>
      <c r="Q80" s="56">
        <f t="shared" si="46"/>
        <v>2.4045533301393245E-3</v>
      </c>
      <c r="R80" s="9">
        <f t="shared" si="51"/>
        <v>1.4999999999999999E-4</v>
      </c>
      <c r="S80" s="9">
        <f t="shared" si="47"/>
        <v>1.1811436482075396E-4</v>
      </c>
      <c r="T80" s="9">
        <f t="shared" si="48"/>
        <v>3.3224301341320415E-7</v>
      </c>
      <c r="U80" s="9">
        <f t="shared" si="49"/>
        <v>3.188563517924603E-5</v>
      </c>
      <c r="V80" s="102">
        <f t="shared" si="50"/>
        <v>1.0419833619292522E-2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38"/>
        <v>0.12726341031571042</v>
      </c>
      <c r="J81" s="54">
        <f t="shared" si="39"/>
        <v>3.3134507884219753</v>
      </c>
      <c r="K81" s="55">
        <f t="shared" si="40"/>
        <v>0.48857551566956076</v>
      </c>
      <c r="L81" s="55">
        <f t="shared" si="41"/>
        <v>0.34473023090544153</v>
      </c>
      <c r="M81" s="55">
        <f t="shared" si="42"/>
        <v>0.65526976909455847</v>
      </c>
      <c r="N81" s="55">
        <f t="shared" si="43"/>
        <v>0.34210032162122583</v>
      </c>
      <c r="O81" s="56">
        <f t="shared" si="44"/>
        <v>4.8899623426227814E-7</v>
      </c>
      <c r="P81" s="56">
        <f t="shared" si="45"/>
        <v>1.0063668048576804E-3</v>
      </c>
      <c r="Q81" s="56">
        <f t="shared" si="46"/>
        <v>1.0479426468068317E-3</v>
      </c>
      <c r="R81" s="9">
        <f t="shared" si="51"/>
        <v>1.4999999999999999E-4</v>
      </c>
      <c r="S81" s="9">
        <f t="shared" si="47"/>
        <v>5.1709534635816225E-5</v>
      </c>
      <c r="T81" s="9">
        <f t="shared" si="48"/>
        <v>7.3286327350434102E-5</v>
      </c>
      <c r="U81" s="9">
        <f t="shared" si="49"/>
        <v>9.8290465364183762E-5</v>
      </c>
      <c r="V81" s="102">
        <f t="shared" si="50"/>
        <v>0.74560973008821507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38"/>
        <v>0.47104615060046062</v>
      </c>
      <c r="J82" s="54">
        <f t="shared" si="39"/>
        <v>4.2041181793483684</v>
      </c>
      <c r="K82" s="55">
        <f t="shared" si="40"/>
        <v>0.11840841926743087</v>
      </c>
      <c r="L82" s="55">
        <f t="shared" si="41"/>
        <v>0.6495276530723807</v>
      </c>
      <c r="M82" s="55">
        <f t="shared" si="42"/>
        <v>0.3504723469276193</v>
      </c>
      <c r="N82" s="55">
        <f t="shared" si="43"/>
        <v>0.64627947989581813</v>
      </c>
      <c r="O82" s="56">
        <f t="shared" si="44"/>
        <v>1.1851038226377913E-7</v>
      </c>
      <c r="P82" s="56">
        <f t="shared" si="45"/>
        <v>1.8961582428448445E-3</v>
      </c>
      <c r="Q82" s="56">
        <f t="shared" si="46"/>
        <v>1.979722864712282E-3</v>
      </c>
      <c r="R82" s="9">
        <f t="shared" si="51"/>
        <v>1.4999999999999999E-4</v>
      </c>
      <c r="S82" s="9">
        <f t="shared" si="47"/>
        <v>9.74291479608571E-5</v>
      </c>
      <c r="T82" s="9">
        <f t="shared" si="48"/>
        <v>1.776126289011463E-5</v>
      </c>
      <c r="U82" s="9">
        <f t="shared" si="49"/>
        <v>5.2570852039142894E-5</v>
      </c>
      <c r="V82" s="102">
        <f t="shared" si="50"/>
        <v>0.33785381444626489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38"/>
        <v>0.17835694544431213</v>
      </c>
      <c r="J83" s="54">
        <f t="shared" si="39"/>
        <v>3.5134526251640912</v>
      </c>
      <c r="K83" s="55">
        <f t="shared" si="40"/>
        <v>0.38067617434638784</v>
      </c>
      <c r="L83" s="55">
        <f t="shared" si="41"/>
        <v>0.4257015231692895</v>
      </c>
      <c r="M83" s="55">
        <f t="shared" si="42"/>
        <v>0.57429847683071045</v>
      </c>
      <c r="N83" s="55">
        <f t="shared" si="43"/>
        <v>0.4227089853733505</v>
      </c>
      <c r="O83" s="56">
        <f t="shared" si="44"/>
        <v>3.8100397944348222E-7</v>
      </c>
      <c r="P83" s="56">
        <f t="shared" si="45"/>
        <v>1.2427453216670103E-3</v>
      </c>
      <c r="Q83" s="56">
        <f t="shared" si="46"/>
        <v>1.294868040058851E-3</v>
      </c>
      <c r="R83" s="9">
        <f t="shared" si="51"/>
        <v>1.4999999999999999E-4</v>
      </c>
      <c r="S83" s="9">
        <f t="shared" si="47"/>
        <v>6.3855228475393421E-5</v>
      </c>
      <c r="T83" s="9">
        <f t="shared" si="48"/>
        <v>5.7101426151958171E-5</v>
      </c>
      <c r="U83" s="9">
        <f t="shared" si="49"/>
        <v>8.6144771524606566E-5</v>
      </c>
      <c r="V83" s="102">
        <f t="shared" si="50"/>
        <v>0.66285422947169359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38"/>
        <v>5.9812805986470914E-3</v>
      </c>
      <c r="J84" s="54">
        <f t="shared" si="39"/>
        <v>1.6261045420364111</v>
      </c>
      <c r="K84" s="55">
        <f t="shared" si="40"/>
        <v>0.97192348344154056</v>
      </c>
      <c r="L84" s="55">
        <f t="shared" si="41"/>
        <v>1.4087486095514386E-2</v>
      </c>
      <c r="M84" s="55">
        <f t="shared" si="42"/>
        <v>0.98591251390448564</v>
      </c>
      <c r="N84" s="55">
        <f t="shared" si="43"/>
        <v>1.38251820563414E-2</v>
      </c>
      <c r="O84" s="56">
        <f t="shared" si="44"/>
        <v>9.7276041911897014E-7</v>
      </c>
      <c r="P84" s="56">
        <f t="shared" si="45"/>
        <v>4.1125428231760067E-5</v>
      </c>
      <c r="Q84" s="56">
        <f t="shared" si="46"/>
        <v>4.2350143981302263E-5</v>
      </c>
      <c r="R84" s="9">
        <f t="shared" si="51"/>
        <v>1.4999999999999999E-4</v>
      </c>
      <c r="S84" s="9">
        <f t="shared" si="47"/>
        <v>2.1131229143271576E-6</v>
      </c>
      <c r="T84" s="9">
        <f t="shared" si="48"/>
        <v>1.4578852251623107E-4</v>
      </c>
      <c r="U84" s="9">
        <f t="shared" si="49"/>
        <v>1.4788687708567282E-4</v>
      </c>
      <c r="V84" s="102">
        <f t="shared" si="50"/>
        <v>0.98581108337133827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38"/>
        <v>0.11910186422699467</v>
      </c>
      <c r="J85" s="54">
        <f t="shared" si="39"/>
        <v>3.3071272258548747</v>
      </c>
      <c r="K85" s="55">
        <f t="shared" si="40"/>
        <v>0.49711716334537642</v>
      </c>
      <c r="L85" s="55">
        <f t="shared" si="41"/>
        <v>0.34568685569994051</v>
      </c>
      <c r="M85" s="55">
        <f t="shared" si="42"/>
        <v>0.65431314430005949</v>
      </c>
      <c r="N85" s="55">
        <f t="shared" si="43"/>
        <v>0.3432563191942492</v>
      </c>
      <c r="O85" s="56">
        <f t="shared" si="44"/>
        <v>4.9754523725958318E-7</v>
      </c>
      <c r="P85" s="56">
        <f t="shared" si="45"/>
        <v>1.009159468081207E-3</v>
      </c>
      <c r="Q85" s="56">
        <f t="shared" si="46"/>
        <v>1.0514837693367241E-3</v>
      </c>
      <c r="R85" s="9">
        <f t="shared" si="51"/>
        <v>1.4999999999999999E-4</v>
      </c>
      <c r="S85" s="9">
        <f t="shared" si="47"/>
        <v>5.1853028354991071E-5</v>
      </c>
      <c r="T85" s="9">
        <f t="shared" si="48"/>
        <v>7.4567574501806458E-5</v>
      </c>
      <c r="U85" s="9">
        <f t="shared" si="49"/>
        <v>9.8146971645008909E-5</v>
      </c>
      <c r="V85" s="102">
        <f t="shared" si="50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38"/>
        <v>3.4503381608646556E-2</v>
      </c>
      <c r="J86" s="54">
        <f t="shared" si="39"/>
        <v>2.5944953006708373</v>
      </c>
      <c r="K86" s="55">
        <f t="shared" si="40"/>
        <v>0.82100529283829193</v>
      </c>
      <c r="L86" s="55">
        <f t="shared" si="41"/>
        <v>0.11064661709530087</v>
      </c>
      <c r="M86" s="55">
        <f t="shared" si="42"/>
        <v>0.88935338290469912</v>
      </c>
      <c r="N86" s="55">
        <f t="shared" si="43"/>
        <v>0.10949032385228905</v>
      </c>
      <c r="O86" s="56">
        <f t="shared" si="44"/>
        <v>8.2171227094165219E-7</v>
      </c>
      <c r="P86" s="56">
        <f t="shared" si="45"/>
        <v>3.2300933463840132E-4</v>
      </c>
      <c r="Q86" s="56">
        <f t="shared" si="46"/>
        <v>3.3539746245706502E-4</v>
      </c>
      <c r="R86" s="9">
        <f t="shared" si="51"/>
        <v>1.4999999999999999E-4</v>
      </c>
      <c r="S86" s="9">
        <f t="shared" si="47"/>
        <v>1.659699256429513E-5</v>
      </c>
      <c r="T86" s="9">
        <f t="shared" si="48"/>
        <v>1.2315079392574379E-4</v>
      </c>
      <c r="U86" s="9">
        <f t="shared" si="49"/>
        <v>1.3340300743570487E-4</v>
      </c>
      <c r="V86" s="102">
        <f t="shared" si="50"/>
        <v>0.92314855783965555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38"/>
        <v/>
      </c>
      <c r="J87" s="54" t="str">
        <f t="shared" si="39"/>
        <v/>
      </c>
      <c r="K87" s="55" t="str">
        <f t="shared" si="40"/>
        <v/>
      </c>
      <c r="L87" s="55" t="str">
        <f t="shared" si="41"/>
        <v/>
      </c>
      <c r="M87" s="55" t="str">
        <f t="shared" si="42"/>
        <v/>
      </c>
      <c r="N87" s="55" t="str">
        <f t="shared" si="43"/>
        <v/>
      </c>
      <c r="O87" s="56" t="str">
        <f t="shared" si="44"/>
        <v/>
      </c>
      <c r="P87" s="56" t="str">
        <f t="shared" si="45"/>
        <v/>
      </c>
      <c r="Q87" s="56" t="str">
        <f t="shared" si="46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38"/>
        <v>1.1640116161103842</v>
      </c>
      <c r="J88" s="54">
        <f t="shared" si="39"/>
        <v>5.2258583214073822</v>
      </c>
      <c r="K88" s="55">
        <f t="shared" si="40"/>
        <v>1.3837614551081331E-2</v>
      </c>
      <c r="L88" s="55">
        <f t="shared" si="41"/>
        <v>0.79802488316180376</v>
      </c>
      <c r="M88" s="55">
        <f t="shared" si="42"/>
        <v>0.20197511683819624</v>
      </c>
      <c r="N88" s="55">
        <f t="shared" si="43"/>
        <v>0.79604755448001507</v>
      </c>
      <c r="O88" s="56">
        <f t="shared" si="44"/>
        <v>1.3849530297028027E-8</v>
      </c>
      <c r="P88" s="56">
        <f t="shared" si="45"/>
        <v>2.3296644154331731E-3</v>
      </c>
      <c r="Q88" s="56">
        <f t="shared" si="46"/>
        <v>2.4385015988074221E-3</v>
      </c>
      <c r="R88" s="9">
        <f>F88*$C$14</f>
        <v>1.4999999999999999E-4</v>
      </c>
      <c r="S88" s="9">
        <f t="shared" si="47"/>
        <v>1.1970373247427056E-4</v>
      </c>
      <c r="T88" s="9">
        <f t="shared" si="48"/>
        <v>2.0756421826621993E-6</v>
      </c>
      <c r="U88" s="9">
        <f t="shared" si="49"/>
        <v>3.0296267525729433E-5</v>
      </c>
      <c r="V88" s="102">
        <f t="shared" si="50"/>
        <v>6.8511481848364253E-2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38"/>
        <v>2.5219720041185627</v>
      </c>
      <c r="J89" s="54">
        <f t="shared" si="39"/>
        <v>6.7130505038246406</v>
      </c>
      <c r="K89" s="55">
        <f t="shared" si="40"/>
        <v>4.7539356081937987E-4</v>
      </c>
      <c r="L89" s="55">
        <f t="shared" si="41"/>
        <v>0.84178402865149726</v>
      </c>
      <c r="M89" s="55">
        <f t="shared" si="42"/>
        <v>0.15821597134850274</v>
      </c>
      <c r="N89" s="55">
        <f t="shared" si="43"/>
        <v>0.84054327602706169</v>
      </c>
      <c r="O89" s="56">
        <f t="shared" si="44"/>
        <v>4.7580292826306089E-10</v>
      </c>
      <c r="P89" s="56">
        <f t="shared" si="45"/>
        <v>2.4574099610271843E-3</v>
      </c>
      <c r="Q89" s="56">
        <f t="shared" si="46"/>
        <v>2.5748036168488416E-3</v>
      </c>
      <c r="R89" s="9">
        <f>F89*$C$14</f>
        <v>1.4999999999999999E-4</v>
      </c>
      <c r="S89" s="9">
        <f t="shared" si="47"/>
        <v>1.2626760429772457E-4</v>
      </c>
      <c r="T89" s="9">
        <f t="shared" si="48"/>
        <v>7.130903412290698E-8</v>
      </c>
      <c r="U89" s="9">
        <f t="shared" si="49"/>
        <v>2.3732395702275409E-5</v>
      </c>
      <c r="V89" s="102">
        <f t="shared" si="50"/>
        <v>3.0047128413618193E-3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38"/>
        <v>2.8671793282646911</v>
      </c>
      <c r="J90" s="54">
        <f t="shared" si="39"/>
        <v>7.099350372052486</v>
      </c>
      <c r="K90" s="55">
        <f t="shared" si="40"/>
        <v>1.9815340845952227E-4</v>
      </c>
      <c r="L90" s="55">
        <f t="shared" si="41"/>
        <v>0.85398216725650511</v>
      </c>
      <c r="M90" s="55">
        <f t="shared" si="42"/>
        <v>0.14601783274349489</v>
      </c>
      <c r="N90" s="55">
        <f t="shared" si="43"/>
        <v>0.85301826504049916</v>
      </c>
      <c r="O90" s="56">
        <f t="shared" si="44"/>
        <v>1.9832404088066391E-10</v>
      </c>
      <c r="P90" s="56">
        <f t="shared" si="45"/>
        <v>2.4930198399197032E-3</v>
      </c>
      <c r="Q90" s="56">
        <f t="shared" si="46"/>
        <v>2.6130177668492686E-3</v>
      </c>
      <c r="R90" s="9">
        <f>F90*$C$14</f>
        <v>1.4999999999999999E-4</v>
      </c>
      <c r="S90" s="9">
        <f t="shared" si="47"/>
        <v>1.2809732508847576E-4</v>
      </c>
      <c r="T90" s="9">
        <f t="shared" si="48"/>
        <v>2.9723011268928336E-8</v>
      </c>
      <c r="U90" s="9">
        <f t="shared" si="49"/>
        <v>2.1902674911524232E-5</v>
      </c>
      <c r="V90" s="102">
        <f t="shared" si="50"/>
        <v>1.3570493736036499E-3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ref="I91:I122" si="52">IF(D91=0,"",LOG($K$15*10^D91+$K$16*10^E91+$K$14))</f>
        <v>3.2678433041260839</v>
      </c>
      <c r="J91" s="54">
        <f t="shared" ref="J91:J122" si="53">IF(D91=0,"",LOG($K$21*10^D91+$K$22*10^E91+$K$20))</f>
        <v>7.534683341589246</v>
      </c>
      <c r="K91" s="55">
        <f t="shared" ref="K91:K122" si="54">IF(D91=0,"",1/(1+10^D91*$J$15/$J$14+10^E91*$J$16/$J$14+10^J91*$J$19/$J$14))</f>
        <v>7.3546420891562871E-5</v>
      </c>
      <c r="L91" s="55">
        <f t="shared" ref="L91:L122" si="55">IF(D91=0,"",1/(1+10^I91/10^J91*$J$13/$J$19))</f>
        <v>0.86365793426609072</v>
      </c>
      <c r="M91" s="55">
        <f t="shared" ref="M91:M122" si="56">IF(D91=0,"",1-L91)</f>
        <v>0.13634206573390928</v>
      </c>
      <c r="N91" s="55">
        <f t="shared" ref="N91:N122" si="57">IF(D91=0,"",1/(1/10^E91*$J$20/$J$22+10^D91/10^E91*$J$21/$J$22+10^I91/10^E91*$J$13/$J$22+1))</f>
        <v>0.86291561165555841</v>
      </c>
      <c r="O91" s="56">
        <f t="shared" ref="O91:O122" si="58">IF(D91=0,"",F91*K91*$J$7/$J$14)</f>
        <v>7.3609752650327915E-11</v>
      </c>
      <c r="P91" s="56">
        <f t="shared" ref="P91:P122" si="59">IF(D91=0,"",O91*10^J91)</f>
        <v>2.5212661898392007E-3</v>
      </c>
      <c r="Q91" s="56">
        <f t="shared" ref="Q91:Q122" si="60">IF(D91=0,"",F91*N91*$J$7/$J$22)</f>
        <v>2.643335924865015E-3</v>
      </c>
      <c r="R91" s="9">
        <f t="shared" ref="R91:R92" si="61">F91*$C$14</f>
        <v>1.4999999999999999E-4</v>
      </c>
      <c r="S91" s="9">
        <f t="shared" si="47"/>
        <v>1.2954869013991359E-4</v>
      </c>
      <c r="T91" s="9">
        <f t="shared" si="48"/>
        <v>1.1031963133734429E-8</v>
      </c>
      <c r="U91" s="9">
        <f t="shared" si="49"/>
        <v>2.0451309860086389E-5</v>
      </c>
      <c r="V91" s="102">
        <f t="shared" si="50"/>
        <v>5.3942574872746214E-4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52"/>
        <v>4.4880081925943038</v>
      </c>
      <c r="J92" s="54">
        <f t="shared" si="53"/>
        <v>8.8054385095234817</v>
      </c>
      <c r="K92" s="55">
        <f t="shared" si="54"/>
        <v>4.0028256084113537E-6</v>
      </c>
      <c r="L92" s="55">
        <f t="shared" si="55"/>
        <v>0.8768030701713132</v>
      </c>
      <c r="M92" s="55">
        <f t="shared" si="56"/>
        <v>0.1231969298286868</v>
      </c>
      <c r="N92" s="55">
        <f t="shared" si="57"/>
        <v>0.87636384666493716</v>
      </c>
      <c r="O92" s="56">
        <f t="shared" si="58"/>
        <v>4.0062724924709353E-12</v>
      </c>
      <c r="P92" s="56">
        <f t="shared" si="59"/>
        <v>2.5596406265273111E-3</v>
      </c>
      <c r="Q92" s="56">
        <f t="shared" si="60"/>
        <v>2.6845313815773075E-3</v>
      </c>
      <c r="R92" s="9">
        <f t="shared" si="61"/>
        <v>1.4999999999999999E-4</v>
      </c>
      <c r="S92" s="9">
        <f t="shared" si="47"/>
        <v>1.3152046052569696E-4</v>
      </c>
      <c r="T92" s="9">
        <f t="shared" si="48"/>
        <v>6.0042384126170296E-10</v>
      </c>
      <c r="U92" s="9">
        <f t="shared" si="49"/>
        <v>1.8479539474303019E-5</v>
      </c>
      <c r="V92" s="102">
        <f t="shared" si="50"/>
        <v>3.2491277290574845E-5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52"/>
        <v>3.2311126461878961E-2</v>
      </c>
      <c r="J93" s="54">
        <f t="shared" si="53"/>
        <v>2.239993400384916</v>
      </c>
      <c r="K93" s="55">
        <f t="shared" si="54"/>
        <v>0.87921860902535098</v>
      </c>
      <c r="L93" s="55">
        <f t="shared" si="55"/>
        <v>5.2382612537014338E-2</v>
      </c>
      <c r="M93" s="55">
        <f t="shared" si="56"/>
        <v>0.94761738746298563</v>
      </c>
      <c r="N93" s="55">
        <f t="shared" si="57"/>
        <v>5.1084206869804971E-2</v>
      </c>
      <c r="O93" s="56">
        <f t="shared" si="58"/>
        <v>8.7997571535593123E-7</v>
      </c>
      <c r="P93" s="56">
        <f t="shared" si="59"/>
        <v>1.5291992892678115E-4</v>
      </c>
      <c r="Q93" s="56">
        <f t="shared" si="60"/>
        <v>1.5648426959517258E-4</v>
      </c>
      <c r="R93" s="9">
        <f>F93*$C$14</f>
        <v>1.4999999999999999E-4</v>
      </c>
      <c r="S93" s="9">
        <f t="shared" si="47"/>
        <v>7.8573918805521491E-6</v>
      </c>
      <c r="T93" s="9">
        <f t="shared" si="48"/>
        <v>1.3188279135380263E-4</v>
      </c>
      <c r="U93" s="9">
        <f t="shared" si="49"/>
        <v>1.4214260811944783E-4</v>
      </c>
      <c r="V93" s="102">
        <f t="shared" si="50"/>
        <v>0.92782025810991531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52"/>
        <v/>
      </c>
      <c r="J94" s="54" t="str">
        <f t="shared" si="53"/>
        <v/>
      </c>
      <c r="K94" s="55" t="str">
        <f t="shared" si="54"/>
        <v/>
      </c>
      <c r="L94" s="55" t="str">
        <f t="shared" si="55"/>
        <v/>
      </c>
      <c r="M94" s="55" t="str">
        <f t="shared" si="56"/>
        <v/>
      </c>
      <c r="N94" s="55" t="str">
        <f t="shared" si="57"/>
        <v/>
      </c>
      <c r="O94" s="56" t="str">
        <f t="shared" si="58"/>
        <v/>
      </c>
      <c r="P94" s="56" t="str">
        <f t="shared" si="59"/>
        <v/>
      </c>
      <c r="Q94" s="56" t="str">
        <f t="shared" si="6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52"/>
        <v/>
      </c>
      <c r="J95" s="54" t="str">
        <f t="shared" si="53"/>
        <v/>
      </c>
      <c r="K95" s="55" t="str">
        <f t="shared" si="54"/>
        <v/>
      </c>
      <c r="L95" s="55" t="str">
        <f t="shared" si="55"/>
        <v/>
      </c>
      <c r="M95" s="55" t="str">
        <f t="shared" si="56"/>
        <v/>
      </c>
      <c r="N95" s="55" t="str">
        <f t="shared" si="57"/>
        <v/>
      </c>
      <c r="O95" s="56" t="str">
        <f t="shared" si="58"/>
        <v/>
      </c>
      <c r="P95" s="56" t="str">
        <f t="shared" si="59"/>
        <v/>
      </c>
      <c r="Q95" s="56" t="str">
        <f t="shared" si="6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52"/>
        <v/>
      </c>
      <c r="J96" s="54" t="str">
        <f t="shared" si="53"/>
        <v/>
      </c>
      <c r="K96" s="55" t="str">
        <f t="shared" si="54"/>
        <v/>
      </c>
      <c r="L96" s="55" t="str">
        <f t="shared" si="55"/>
        <v/>
      </c>
      <c r="M96" s="55" t="str">
        <f t="shared" si="56"/>
        <v/>
      </c>
      <c r="N96" s="55" t="str">
        <f t="shared" si="57"/>
        <v/>
      </c>
      <c r="O96" s="56" t="str">
        <f t="shared" si="58"/>
        <v/>
      </c>
      <c r="P96" s="56" t="str">
        <f t="shared" si="59"/>
        <v/>
      </c>
      <c r="Q96" s="56" t="str">
        <f t="shared" si="6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52"/>
        <v/>
      </c>
      <c r="J97" s="54" t="str">
        <f t="shared" si="53"/>
        <v/>
      </c>
      <c r="K97" s="55" t="str">
        <f t="shared" si="54"/>
        <v/>
      </c>
      <c r="L97" s="55" t="str">
        <f t="shared" si="55"/>
        <v/>
      </c>
      <c r="M97" s="55" t="str">
        <f t="shared" si="56"/>
        <v/>
      </c>
      <c r="N97" s="55" t="str">
        <f t="shared" si="57"/>
        <v/>
      </c>
      <c r="O97" s="56" t="str">
        <f t="shared" si="58"/>
        <v/>
      </c>
      <c r="P97" s="56" t="str">
        <f t="shared" si="59"/>
        <v/>
      </c>
      <c r="Q97" s="56" t="str">
        <f t="shared" si="6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52"/>
        <v/>
      </c>
      <c r="J98" s="54" t="str">
        <f t="shared" si="53"/>
        <v/>
      </c>
      <c r="K98" s="55" t="str">
        <f t="shared" si="54"/>
        <v/>
      </c>
      <c r="L98" s="55" t="str">
        <f t="shared" si="55"/>
        <v/>
      </c>
      <c r="M98" s="55" t="str">
        <f t="shared" si="56"/>
        <v/>
      </c>
      <c r="N98" s="55" t="str">
        <f t="shared" si="57"/>
        <v/>
      </c>
      <c r="O98" s="56" t="str">
        <f t="shared" si="58"/>
        <v/>
      </c>
      <c r="P98" s="56" t="str">
        <f t="shared" si="59"/>
        <v/>
      </c>
      <c r="Q98" s="56" t="str">
        <f t="shared" si="6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52"/>
        <v/>
      </c>
      <c r="J99" s="54" t="str">
        <f t="shared" si="53"/>
        <v/>
      </c>
      <c r="K99" s="55" t="str">
        <f t="shared" si="54"/>
        <v/>
      </c>
      <c r="L99" s="55" t="str">
        <f t="shared" si="55"/>
        <v/>
      </c>
      <c r="M99" s="55" t="str">
        <f t="shared" si="56"/>
        <v/>
      </c>
      <c r="N99" s="55" t="str">
        <f t="shared" si="57"/>
        <v/>
      </c>
      <c r="O99" s="56" t="str">
        <f t="shared" si="58"/>
        <v/>
      </c>
      <c r="P99" s="56" t="str">
        <f t="shared" si="59"/>
        <v/>
      </c>
      <c r="Q99" s="56" t="str">
        <f t="shared" si="6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52"/>
        <v/>
      </c>
      <c r="J100" s="54" t="str">
        <f t="shared" si="53"/>
        <v/>
      </c>
      <c r="K100" s="55" t="str">
        <f t="shared" si="54"/>
        <v/>
      </c>
      <c r="L100" s="55" t="str">
        <f t="shared" si="55"/>
        <v/>
      </c>
      <c r="M100" s="55" t="str">
        <f t="shared" si="56"/>
        <v/>
      </c>
      <c r="N100" s="55" t="str">
        <f t="shared" si="57"/>
        <v/>
      </c>
      <c r="O100" s="56" t="str">
        <f t="shared" si="58"/>
        <v/>
      </c>
      <c r="P100" s="56" t="str">
        <f t="shared" si="59"/>
        <v/>
      </c>
      <c r="Q100" s="56" t="str">
        <f t="shared" si="6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52"/>
        <v/>
      </c>
      <c r="J101" s="54" t="str">
        <f t="shared" si="53"/>
        <v/>
      </c>
      <c r="K101" s="55" t="str">
        <f t="shared" si="54"/>
        <v/>
      </c>
      <c r="L101" s="55" t="str">
        <f t="shared" si="55"/>
        <v/>
      </c>
      <c r="M101" s="55" t="str">
        <f t="shared" si="56"/>
        <v/>
      </c>
      <c r="N101" s="55" t="str">
        <f t="shared" si="57"/>
        <v/>
      </c>
      <c r="O101" s="56" t="str">
        <f t="shared" si="58"/>
        <v/>
      </c>
      <c r="P101" s="56" t="str">
        <f t="shared" si="59"/>
        <v/>
      </c>
      <c r="Q101" s="56" t="str">
        <f t="shared" si="6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52"/>
        <v/>
      </c>
      <c r="J102" s="54" t="str">
        <f t="shared" si="53"/>
        <v/>
      </c>
      <c r="K102" s="55" t="str">
        <f t="shared" si="54"/>
        <v/>
      </c>
      <c r="L102" s="55" t="str">
        <f t="shared" si="55"/>
        <v/>
      </c>
      <c r="M102" s="55" t="str">
        <f t="shared" si="56"/>
        <v/>
      </c>
      <c r="N102" s="55" t="str">
        <f t="shared" si="57"/>
        <v/>
      </c>
      <c r="O102" s="56" t="str">
        <f t="shared" si="58"/>
        <v/>
      </c>
      <c r="P102" s="56" t="str">
        <f t="shared" si="59"/>
        <v/>
      </c>
      <c r="Q102" s="56" t="str">
        <f t="shared" si="6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52"/>
        <v/>
      </c>
      <c r="J103" s="54" t="str">
        <f t="shared" si="53"/>
        <v/>
      </c>
      <c r="K103" s="55" t="str">
        <f t="shared" si="54"/>
        <v/>
      </c>
      <c r="L103" s="55" t="str">
        <f t="shared" si="55"/>
        <v/>
      </c>
      <c r="M103" s="55" t="str">
        <f t="shared" si="56"/>
        <v/>
      </c>
      <c r="N103" s="55" t="str">
        <f t="shared" si="57"/>
        <v/>
      </c>
      <c r="O103" s="56" t="str">
        <f t="shared" si="58"/>
        <v/>
      </c>
      <c r="P103" s="56" t="str">
        <f t="shared" si="59"/>
        <v/>
      </c>
      <c r="Q103" s="56" t="str">
        <f t="shared" si="6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52"/>
        <v/>
      </c>
      <c r="J104" s="54" t="str">
        <f t="shared" si="53"/>
        <v/>
      </c>
      <c r="K104" s="55" t="str">
        <f t="shared" si="54"/>
        <v/>
      </c>
      <c r="L104" s="55" t="str">
        <f t="shared" si="55"/>
        <v/>
      </c>
      <c r="M104" s="55" t="str">
        <f t="shared" si="56"/>
        <v/>
      </c>
      <c r="N104" s="55" t="str">
        <f t="shared" si="57"/>
        <v/>
      </c>
      <c r="O104" s="56" t="str">
        <f t="shared" si="58"/>
        <v/>
      </c>
      <c r="P104" s="56" t="str">
        <f t="shared" si="59"/>
        <v/>
      </c>
      <c r="Q104" s="56" t="str">
        <f t="shared" si="6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52"/>
        <v/>
      </c>
      <c r="J105" s="54" t="str">
        <f t="shared" si="53"/>
        <v/>
      </c>
      <c r="K105" s="55" t="str">
        <f t="shared" si="54"/>
        <v/>
      </c>
      <c r="L105" s="55" t="str">
        <f t="shared" si="55"/>
        <v/>
      </c>
      <c r="M105" s="55" t="str">
        <f t="shared" si="56"/>
        <v/>
      </c>
      <c r="N105" s="55" t="str">
        <f t="shared" si="57"/>
        <v/>
      </c>
      <c r="O105" s="56" t="str">
        <f t="shared" si="58"/>
        <v/>
      </c>
      <c r="P105" s="56" t="str">
        <f t="shared" si="59"/>
        <v/>
      </c>
      <c r="Q105" s="56" t="str">
        <f t="shared" si="6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52"/>
        <v/>
      </c>
      <c r="J106" s="54" t="str">
        <f t="shared" si="53"/>
        <v/>
      </c>
      <c r="K106" s="55" t="str">
        <f t="shared" si="54"/>
        <v/>
      </c>
      <c r="L106" s="55" t="str">
        <f t="shared" si="55"/>
        <v/>
      </c>
      <c r="M106" s="55" t="str">
        <f t="shared" si="56"/>
        <v/>
      </c>
      <c r="N106" s="55" t="str">
        <f t="shared" si="57"/>
        <v/>
      </c>
      <c r="O106" s="56" t="str">
        <f t="shared" si="58"/>
        <v/>
      </c>
      <c r="P106" s="56" t="str">
        <f t="shared" si="59"/>
        <v/>
      </c>
      <c r="Q106" s="56" t="str">
        <f t="shared" si="6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52"/>
        <v>1.9446765022663539E-3</v>
      </c>
      <c r="J107" s="54">
        <f t="shared" si="53"/>
        <v>1.0580076914030012</v>
      </c>
      <c r="K107" s="55">
        <f t="shared" si="54"/>
        <v>0.99115220244137447</v>
      </c>
      <c r="L107" s="55">
        <f t="shared" si="55"/>
        <v>3.8836932883598539E-3</v>
      </c>
      <c r="M107" s="55">
        <f t="shared" si="56"/>
        <v>0.9961163067116402</v>
      </c>
      <c r="N107" s="55">
        <f t="shared" si="57"/>
        <v>3.7839216365017736E-3</v>
      </c>
      <c r="O107" s="56">
        <f t="shared" si="58"/>
        <v>9.9200569621338274E-7</v>
      </c>
      <c r="P107" s="56">
        <f t="shared" si="59"/>
        <v>1.1337618970603108E-5</v>
      </c>
      <c r="Q107" s="56">
        <f t="shared" si="60"/>
        <v>1.1591140389092446E-5</v>
      </c>
      <c r="R107" s="9">
        <f>F107*$C$14</f>
        <v>1.4999999999999999E-4</v>
      </c>
      <c r="S107" s="9">
        <f t="shared" ref="S107:S108" si="62">$R107*L107</f>
        <v>5.8255399325397808E-7</v>
      </c>
      <c r="T107" s="9">
        <f t="shared" ref="T107:T108" si="63">R107*K107</f>
        <v>1.4867283036620616E-4</v>
      </c>
      <c r="U107" s="9">
        <f t="shared" ref="U107:U108" si="64">$R107*M107</f>
        <v>1.4941744600674602E-4</v>
      </c>
      <c r="V107" s="102">
        <f t="shared" ref="V107:V108" si="65">K107/M107</f>
        <v>0.99501654150542607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52"/>
        <v>1.5422749478710035E-2</v>
      </c>
      <c r="J108" s="54">
        <f t="shared" si="53"/>
        <v>2.0658109944425873</v>
      </c>
      <c r="K108" s="55">
        <f t="shared" si="54"/>
        <v>0.9288662064181159</v>
      </c>
      <c r="L108" s="55">
        <f t="shared" si="55"/>
        <v>3.7056213513721153E-2</v>
      </c>
      <c r="M108" s="55">
        <f t="shared" si="56"/>
        <v>0.96294378648627887</v>
      </c>
      <c r="N108" s="55">
        <f t="shared" si="57"/>
        <v>3.643274937716328E-2</v>
      </c>
      <c r="O108" s="56">
        <f t="shared" si="58"/>
        <v>9.2966606492648019E-7</v>
      </c>
      <c r="P108" s="56">
        <f t="shared" si="59"/>
        <v>1.0817775712904237E-4</v>
      </c>
      <c r="Q108" s="56">
        <f t="shared" si="60"/>
        <v>1.1160302811707609E-4</v>
      </c>
      <c r="R108" s="9">
        <f>F108*$C$14</f>
        <v>1.4999999999999999E-4</v>
      </c>
      <c r="S108" s="9">
        <f t="shared" si="62"/>
        <v>5.5584320270581728E-6</v>
      </c>
      <c r="T108" s="9">
        <f t="shared" si="63"/>
        <v>1.3932993096271736E-4</v>
      </c>
      <c r="U108" s="9">
        <f t="shared" si="64"/>
        <v>1.4444156797294183E-4</v>
      </c>
      <c r="V108" s="102">
        <f t="shared" si="65"/>
        <v>0.96461103903841583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52"/>
        <v/>
      </c>
      <c r="J109" s="54" t="str">
        <f t="shared" si="53"/>
        <v/>
      </c>
      <c r="K109" s="55" t="str">
        <f t="shared" si="54"/>
        <v/>
      </c>
      <c r="L109" s="55" t="str">
        <f t="shared" si="55"/>
        <v/>
      </c>
      <c r="M109" s="55" t="str">
        <f t="shared" si="56"/>
        <v/>
      </c>
      <c r="N109" s="55" t="str">
        <f t="shared" si="57"/>
        <v/>
      </c>
      <c r="O109" s="56" t="str">
        <f t="shared" si="58"/>
        <v/>
      </c>
      <c r="P109" s="56" t="str">
        <f t="shared" si="59"/>
        <v/>
      </c>
      <c r="Q109" s="56" t="str">
        <f t="shared" si="6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52"/>
        <v/>
      </c>
      <c r="J110" s="54" t="str">
        <f t="shared" si="53"/>
        <v/>
      </c>
      <c r="K110" s="55" t="str">
        <f t="shared" si="54"/>
        <v/>
      </c>
      <c r="L110" s="55" t="str">
        <f t="shared" si="55"/>
        <v/>
      </c>
      <c r="M110" s="55" t="str">
        <f t="shared" si="56"/>
        <v/>
      </c>
      <c r="N110" s="55" t="str">
        <f t="shared" si="57"/>
        <v/>
      </c>
      <c r="O110" s="56" t="str">
        <f t="shared" si="58"/>
        <v/>
      </c>
      <c r="P110" s="56" t="str">
        <f t="shared" si="59"/>
        <v/>
      </c>
      <c r="Q110" s="56" t="str">
        <f t="shared" si="6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52"/>
        <v/>
      </c>
      <c r="J111" s="54" t="str">
        <f t="shared" si="53"/>
        <v/>
      </c>
      <c r="K111" s="55" t="str">
        <f t="shared" si="54"/>
        <v/>
      </c>
      <c r="L111" s="55" t="str">
        <f t="shared" si="55"/>
        <v/>
      </c>
      <c r="M111" s="55" t="str">
        <f t="shared" si="56"/>
        <v/>
      </c>
      <c r="N111" s="55" t="str">
        <f t="shared" si="57"/>
        <v/>
      </c>
      <c r="O111" s="56" t="str">
        <f t="shared" si="58"/>
        <v/>
      </c>
      <c r="P111" s="56" t="str">
        <f t="shared" si="59"/>
        <v/>
      </c>
      <c r="Q111" s="56" t="str">
        <f t="shared" si="6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52"/>
        <v/>
      </c>
      <c r="J112" s="54" t="str">
        <f t="shared" si="53"/>
        <v/>
      </c>
      <c r="K112" s="55" t="str">
        <f t="shared" si="54"/>
        <v/>
      </c>
      <c r="L112" s="55" t="str">
        <f t="shared" si="55"/>
        <v/>
      </c>
      <c r="M112" s="55" t="str">
        <f t="shared" si="56"/>
        <v/>
      </c>
      <c r="N112" s="55" t="str">
        <f t="shared" si="57"/>
        <v/>
      </c>
      <c r="O112" s="56" t="str">
        <f t="shared" si="58"/>
        <v/>
      </c>
      <c r="P112" s="56" t="str">
        <f t="shared" si="59"/>
        <v/>
      </c>
      <c r="Q112" s="56" t="str">
        <f t="shared" si="6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52"/>
        <v/>
      </c>
      <c r="J113" s="54" t="str">
        <f t="shared" si="53"/>
        <v/>
      </c>
      <c r="K113" s="55" t="str">
        <f t="shared" si="54"/>
        <v/>
      </c>
      <c r="L113" s="55" t="str">
        <f t="shared" si="55"/>
        <v/>
      </c>
      <c r="M113" s="55" t="str">
        <f t="shared" si="56"/>
        <v/>
      </c>
      <c r="N113" s="55" t="str">
        <f t="shared" si="57"/>
        <v/>
      </c>
      <c r="O113" s="56" t="str">
        <f t="shared" si="58"/>
        <v/>
      </c>
      <c r="P113" s="56" t="str">
        <f t="shared" si="59"/>
        <v/>
      </c>
      <c r="Q113" s="56" t="str">
        <f t="shared" si="6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52"/>
        <v>1.0353959656071578E-2</v>
      </c>
      <c r="J114" s="54">
        <f t="shared" si="53"/>
        <v>1.9552901171232637</v>
      </c>
      <c r="K114" s="55">
        <f t="shared" si="54"/>
        <v>0.9473387500918472</v>
      </c>
      <c r="L114" s="55">
        <f t="shared" si="55"/>
        <v>2.9301665213448982E-2</v>
      </c>
      <c r="M114" s="55">
        <f t="shared" si="56"/>
        <v>0.97069833478655099</v>
      </c>
      <c r="N114" s="55">
        <f t="shared" si="57"/>
        <v>2.8881788644877639E-2</v>
      </c>
      <c r="O114" s="56">
        <f t="shared" si="58"/>
        <v>9.4815451554259623E-7</v>
      </c>
      <c r="P114" s="56">
        <f t="shared" si="59"/>
        <v>8.5539997813410858E-5</v>
      </c>
      <c r="Q114" s="56">
        <f t="shared" si="60"/>
        <v>8.8472462971080326E-5</v>
      </c>
      <c r="R114" s="9">
        <f>F114*$C$14</f>
        <v>1.4999999999999999E-4</v>
      </c>
      <c r="S114" s="9">
        <f t="shared" ref="S114:S116" si="66">$R114*L114</f>
        <v>4.3952497820173466E-6</v>
      </c>
      <c r="T114" s="9">
        <f t="shared" ref="T114:T116" si="67">R114*K114</f>
        <v>1.4210081251377706E-4</v>
      </c>
      <c r="U114" s="9">
        <f t="shared" ref="U114:U116" si="68">$R114*M114</f>
        <v>1.4560475021798262E-4</v>
      </c>
      <c r="V114" s="102">
        <f t="shared" ref="V114:V116" si="69">K114/M114</f>
        <v>0.97593527890429488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52"/>
        <v>2.0480395290290027E-2</v>
      </c>
      <c r="J115" s="54">
        <f t="shared" si="53"/>
        <v>1.7297361884216989</v>
      </c>
      <c r="K115" s="55">
        <f t="shared" si="54"/>
        <v>0.93700390479887163</v>
      </c>
      <c r="L115" s="55">
        <f t="shared" si="55"/>
        <v>1.7241477189909187E-2</v>
      </c>
      <c r="M115" s="55">
        <f t="shared" si="56"/>
        <v>0.9827585228100908</v>
      </c>
      <c r="N115" s="55">
        <f t="shared" si="57"/>
        <v>1.6327781656701401E-2</v>
      </c>
      <c r="O115" s="56">
        <f t="shared" si="58"/>
        <v>9.3781077078284812E-7</v>
      </c>
      <c r="P115" s="56">
        <f t="shared" si="59"/>
        <v>5.0332836389376247E-5</v>
      </c>
      <c r="Q115" s="56">
        <f t="shared" si="60"/>
        <v>5.0016260273360891E-5</v>
      </c>
      <c r="R115" s="9">
        <f>F115*$C$14</f>
        <v>1.4999999999999999E-4</v>
      </c>
      <c r="S115" s="9">
        <f t="shared" si="66"/>
        <v>2.5862215784863778E-6</v>
      </c>
      <c r="T115" s="9">
        <f t="shared" si="67"/>
        <v>1.4055058571983074E-4</v>
      </c>
      <c r="U115" s="9">
        <f t="shared" si="68"/>
        <v>1.474137784215136E-4</v>
      </c>
      <c r="V115" s="102">
        <f t="shared" si="69"/>
        <v>0.95344266475513351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52"/>
        <v>5.8413729360461944E-4</v>
      </c>
      <c r="J116" s="54">
        <f t="shared" si="53"/>
        <v>0.15519220542192749</v>
      </c>
      <c r="K116" s="55">
        <f t="shared" si="54"/>
        <v>0.997650531259759</v>
      </c>
      <c r="L116" s="55">
        <f t="shared" si="55"/>
        <v>4.8895346298982593E-4</v>
      </c>
      <c r="M116" s="55">
        <f t="shared" si="56"/>
        <v>0.99951104653701017</v>
      </c>
      <c r="N116" s="55">
        <f t="shared" si="57"/>
        <v>4.4535180984190206E-4</v>
      </c>
      <c r="O116" s="56">
        <f t="shared" si="58"/>
        <v>9.9850962082539148E-7</v>
      </c>
      <c r="P116" s="56">
        <f t="shared" si="59"/>
        <v>1.42739594662396E-6</v>
      </c>
      <c r="Q116" s="56">
        <f t="shared" si="60"/>
        <v>1.3642289260478109E-6</v>
      </c>
      <c r="R116" s="9">
        <f>F116*$C$14</f>
        <v>1.4999999999999999E-4</v>
      </c>
      <c r="S116" s="9">
        <f t="shared" si="66"/>
        <v>7.3343019448473889E-8</v>
      </c>
      <c r="T116" s="9">
        <f t="shared" si="67"/>
        <v>1.4964757968896384E-4</v>
      </c>
      <c r="U116" s="9">
        <f t="shared" si="68"/>
        <v>1.4992665698055152E-4</v>
      </c>
      <c r="V116" s="102">
        <f t="shared" si="69"/>
        <v>0.9981385745723399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52"/>
        <v/>
      </c>
      <c r="J117" s="54" t="str">
        <f t="shared" si="53"/>
        <v/>
      </c>
      <c r="K117" s="55" t="str">
        <f t="shared" si="54"/>
        <v/>
      </c>
      <c r="L117" s="55" t="str">
        <f t="shared" si="55"/>
        <v/>
      </c>
      <c r="M117" s="55" t="str">
        <f t="shared" si="56"/>
        <v/>
      </c>
      <c r="N117" s="55" t="str">
        <f t="shared" si="57"/>
        <v/>
      </c>
      <c r="O117" s="56" t="str">
        <f t="shared" si="58"/>
        <v/>
      </c>
      <c r="P117" s="56" t="str">
        <f t="shared" si="59"/>
        <v/>
      </c>
      <c r="Q117" s="56" t="str">
        <f t="shared" si="6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52"/>
        <v/>
      </c>
      <c r="J118" s="54" t="str">
        <f t="shared" si="53"/>
        <v/>
      </c>
      <c r="K118" s="55" t="str">
        <f t="shared" si="54"/>
        <v/>
      </c>
      <c r="L118" s="55" t="str">
        <f t="shared" si="55"/>
        <v/>
      </c>
      <c r="M118" s="55" t="str">
        <f t="shared" si="56"/>
        <v/>
      </c>
      <c r="N118" s="55" t="str">
        <f t="shared" si="57"/>
        <v/>
      </c>
      <c r="O118" s="56" t="str">
        <f t="shared" si="58"/>
        <v/>
      </c>
      <c r="P118" s="56" t="str">
        <f t="shared" si="59"/>
        <v/>
      </c>
      <c r="Q118" s="56" t="str">
        <f t="shared" si="6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52"/>
        <v>0.56658503951123784</v>
      </c>
      <c r="J119" s="54">
        <f t="shared" si="53"/>
        <v>4.2948093083985448</v>
      </c>
      <c r="K119" s="55">
        <f t="shared" si="54"/>
        <v>9.5716383836072283E-2</v>
      </c>
      <c r="L119" s="55">
        <f t="shared" si="55"/>
        <v>0.64698241065483264</v>
      </c>
      <c r="M119" s="55">
        <f t="shared" si="56"/>
        <v>0.35301758934516736</v>
      </c>
      <c r="N119" s="55">
        <f t="shared" si="57"/>
        <v>0.64320448792283103</v>
      </c>
      <c r="O119" s="56">
        <f t="shared" si="58"/>
        <v>9.579880643199855E-8</v>
      </c>
      <c r="P119" s="56">
        <f t="shared" si="59"/>
        <v>1.8887279473566642E-3</v>
      </c>
      <c r="Q119" s="56">
        <f t="shared" si="60"/>
        <v>1.970303361065484E-3</v>
      </c>
      <c r="R119" s="9">
        <f>F119*$C$14</f>
        <v>1.4999999999999999E-4</v>
      </c>
      <c r="S119" s="9">
        <f t="shared" ref="S119:S121" si="70">$R119*L119</f>
        <v>9.7047361598224881E-5</v>
      </c>
      <c r="T119" s="9">
        <f t="shared" ref="T119:T121" si="71">R119*K119</f>
        <v>1.4357457575410842E-5</v>
      </c>
      <c r="U119" s="9">
        <f t="shared" ref="U119:U121" si="72">$R119*M119</f>
        <v>5.2952638401775099E-5</v>
      </c>
      <c r="V119" s="102">
        <f t="shared" ref="V119:V121" si="73">K119/M119</f>
        <v>0.27113771870014214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52"/>
        <v>2.3514137427377815E-2</v>
      </c>
      <c r="J120" s="54">
        <f t="shared" si="53"/>
        <v>2.2035514919584065</v>
      </c>
      <c r="K120" s="55">
        <f t="shared" si="54"/>
        <v>0.90011731834205799</v>
      </c>
      <c r="L120" s="55">
        <f t="shared" si="55"/>
        <v>4.9311418123015947E-2</v>
      </c>
      <c r="M120" s="55">
        <f t="shared" si="56"/>
        <v>0.95068858187698402</v>
      </c>
      <c r="N120" s="55">
        <f t="shared" si="57"/>
        <v>4.8375436978333672E-2</v>
      </c>
      <c r="O120" s="56">
        <f t="shared" si="58"/>
        <v>9.0089242081712639E-7</v>
      </c>
      <c r="P120" s="56">
        <f t="shared" si="59"/>
        <v>1.4395422811953141E-4</v>
      </c>
      <c r="Q120" s="56">
        <f t="shared" si="60"/>
        <v>1.481865998467003E-4</v>
      </c>
      <c r="R120" s="9">
        <f>F120*$C$14</f>
        <v>1.4999999999999999E-4</v>
      </c>
      <c r="S120" s="9">
        <f t="shared" si="70"/>
        <v>7.3967127184523914E-6</v>
      </c>
      <c r="T120" s="9">
        <f t="shared" si="71"/>
        <v>1.3501759775130868E-4</v>
      </c>
      <c r="U120" s="9">
        <f t="shared" si="72"/>
        <v>1.4260328728154758E-4</v>
      </c>
      <c r="V120" s="102">
        <f t="shared" si="73"/>
        <v>0.94680564750753493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52"/>
        <v>1.0322461970770105</v>
      </c>
      <c r="J121" s="54">
        <f t="shared" si="53"/>
        <v>4.6885883202793597</v>
      </c>
      <c r="K121" s="55">
        <f t="shared" si="54"/>
        <v>3.634562113427374E-2</v>
      </c>
      <c r="L121" s="55">
        <f t="shared" si="55"/>
        <v>0.60832728801773828</v>
      </c>
      <c r="M121" s="55">
        <f t="shared" si="56"/>
        <v>0.39167271198226172</v>
      </c>
      <c r="N121" s="55">
        <f t="shared" si="57"/>
        <v>0.60242207631346978</v>
      </c>
      <c r="O121" s="56">
        <f t="shared" si="58"/>
        <v>3.6376918811059877E-8</v>
      </c>
      <c r="P121" s="56">
        <f t="shared" si="59"/>
        <v>1.7758825141102109E-3</v>
      </c>
      <c r="Q121" s="56">
        <f t="shared" si="60"/>
        <v>1.8453761813348585E-3</v>
      </c>
      <c r="R121" s="9">
        <f>F121*$C$14</f>
        <v>1.4999999999999999E-4</v>
      </c>
      <c r="S121" s="9">
        <f t="shared" si="70"/>
        <v>9.1249093202660738E-5</v>
      </c>
      <c r="T121" s="9">
        <f t="shared" si="71"/>
        <v>5.4518431701410604E-6</v>
      </c>
      <c r="U121" s="9">
        <f t="shared" si="72"/>
        <v>5.8750906797339256E-5</v>
      </c>
      <c r="V121" s="102">
        <f t="shared" si="73"/>
        <v>9.2795898264977361E-2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52"/>
        <v/>
      </c>
      <c r="J122" s="54" t="str">
        <f t="shared" si="53"/>
        <v/>
      </c>
      <c r="K122" s="55" t="str">
        <f t="shared" si="54"/>
        <v/>
      </c>
      <c r="L122" s="55" t="str">
        <f t="shared" si="55"/>
        <v/>
      </c>
      <c r="M122" s="55" t="str">
        <f t="shared" si="56"/>
        <v/>
      </c>
      <c r="N122" s="55" t="str">
        <f t="shared" si="57"/>
        <v/>
      </c>
      <c r="O122" s="56" t="str">
        <f t="shared" si="58"/>
        <v/>
      </c>
      <c r="P122" s="56" t="str">
        <f t="shared" si="59"/>
        <v/>
      </c>
      <c r="Q122" s="56" t="str">
        <f t="shared" si="6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38" si="74">IF(D123=0,"",LOG($K$15*10^D123+$K$16*10^E123+$K$14))</f>
        <v/>
      </c>
      <c r="J123" s="54" t="str">
        <f t="shared" ref="J123:J138" si="75">IF(D123=0,"",LOG($K$21*10^D123+$K$22*10^E123+$K$20))</f>
        <v/>
      </c>
      <c r="K123" s="55" t="str">
        <f t="shared" ref="K123:K154" si="76">IF(D123=0,"",1/(1+10^D123*$J$15/$J$14+10^E123*$J$16/$J$14+10^J123*$J$19/$J$14))</f>
        <v/>
      </c>
      <c r="L123" s="55" t="str">
        <f t="shared" ref="L123:L138" si="77">IF(D123=0,"",1/(1+10^I123/10^J123*$J$13/$J$19))</f>
        <v/>
      </c>
      <c r="M123" s="55" t="str">
        <f t="shared" ref="M123:M154" si="78">IF(D123=0,"",1-L123)</f>
        <v/>
      </c>
      <c r="N123" s="55" t="str">
        <f t="shared" ref="N123:N138" si="79">IF(D123=0,"",1/(1/10^E123*$J$20/$J$22+10^D123/10^E123*$J$21/$J$22+10^I123/10^E123*$J$13/$J$22+1))</f>
        <v/>
      </c>
      <c r="O123" s="56" t="str">
        <f t="shared" ref="O123:O138" si="80">IF(D123=0,"",F123*K123*$J$7/$J$14)</f>
        <v/>
      </c>
      <c r="P123" s="56" t="str">
        <f t="shared" ref="P123:P154" si="81">IF(D123=0,"",O123*10^J123)</f>
        <v/>
      </c>
      <c r="Q123" s="56" t="str">
        <f t="shared" ref="Q123:Q138" si="8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74"/>
        <v>0.13981203375224763</v>
      </c>
      <c r="J124" s="54">
        <f t="shared" si="75"/>
        <v>3.4342194910128088</v>
      </c>
      <c r="K124" s="55">
        <f t="shared" si="76"/>
        <v>0.43247199245157464</v>
      </c>
      <c r="L124" s="55">
        <f t="shared" si="77"/>
        <v>0.40297152690298266</v>
      </c>
      <c r="M124" s="55">
        <f t="shared" si="78"/>
        <v>0.59702847309701734</v>
      </c>
      <c r="N124" s="55">
        <f t="shared" si="79"/>
        <v>0.40052697494097678</v>
      </c>
      <c r="O124" s="56">
        <f t="shared" si="80"/>
        <v>4.3284439958664054E-7</v>
      </c>
      <c r="P124" s="56">
        <f t="shared" si="81"/>
        <v>1.1763899177418325E-3</v>
      </c>
      <c r="Q124" s="56">
        <f t="shared" si="82"/>
        <v>1.2269187478341685E-3</v>
      </c>
      <c r="R124" s="9">
        <f>F124*$C$14</f>
        <v>1.4999999999999999E-4</v>
      </c>
      <c r="S124" s="9">
        <f t="shared" ref="S124:S127" si="83">$R124*L124</f>
        <v>6.0445729035447396E-5</v>
      </c>
      <c r="T124" s="9">
        <f t="shared" ref="T124:T127" si="84">R124*K124</f>
        <v>6.4870798867736184E-5</v>
      </c>
      <c r="U124" s="9">
        <f t="shared" ref="U124:U127" si="85">$R124*M124</f>
        <v>8.9554270964552598E-5</v>
      </c>
      <c r="V124" s="102">
        <f t="shared" ref="V124:V127" si="86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74"/>
        <v/>
      </c>
      <c r="J125" s="54" t="str">
        <f t="shared" si="75"/>
        <v/>
      </c>
      <c r="K125" s="55" t="str">
        <f t="shared" si="76"/>
        <v/>
      </c>
      <c r="L125" s="55" t="str">
        <f t="shared" si="77"/>
        <v/>
      </c>
      <c r="M125" s="55" t="str">
        <f t="shared" si="78"/>
        <v/>
      </c>
      <c r="N125" s="55" t="str">
        <f t="shared" si="79"/>
        <v/>
      </c>
      <c r="O125" s="56" t="str">
        <f t="shared" si="80"/>
        <v/>
      </c>
      <c r="P125" s="56" t="str">
        <f t="shared" si="81"/>
        <v/>
      </c>
      <c r="Q125" s="56" t="str">
        <f t="shared" si="8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74"/>
        <v>4.9312922410980113E-2</v>
      </c>
      <c r="J126" s="54">
        <f t="shared" si="75"/>
        <v>2.6237206895598435</v>
      </c>
      <c r="K126" s="55">
        <f t="shared" si="76"/>
        <v>0.79052863104372695</v>
      </c>
      <c r="L126" s="55">
        <f t="shared" si="77"/>
        <v>0.11395546981761887</v>
      </c>
      <c r="M126" s="55">
        <f t="shared" si="78"/>
        <v>0.88604453018238116</v>
      </c>
      <c r="N126" s="55">
        <f t="shared" si="79"/>
        <v>0.11224354821839461</v>
      </c>
      <c r="O126" s="56">
        <f t="shared" si="80"/>
        <v>7.912093653058596E-7</v>
      </c>
      <c r="P126" s="56">
        <f t="shared" si="81"/>
        <v>3.3266882847843293E-4</v>
      </c>
      <c r="Q126" s="56">
        <f t="shared" si="82"/>
        <v>3.4383130787351055E-4</v>
      </c>
      <c r="R126" s="9">
        <f>F126*$C$14</f>
        <v>1.4999999999999999E-4</v>
      </c>
      <c r="S126" s="9">
        <f t="shared" si="83"/>
        <v>1.7093320472642829E-5</v>
      </c>
      <c r="T126" s="9">
        <f t="shared" si="84"/>
        <v>1.1857929465655903E-4</v>
      </c>
      <c r="U126" s="9">
        <f t="shared" si="85"/>
        <v>1.3290667952735717E-4</v>
      </c>
      <c r="V126" s="102">
        <f t="shared" si="86"/>
        <v>0.89219966278783591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74"/>
        <v>5.4598878066109929E-5</v>
      </c>
      <c r="J127" s="54">
        <f t="shared" si="75"/>
        <v>7.4340635464284932E-2</v>
      </c>
      <c r="K127" s="55">
        <f t="shared" si="76"/>
        <v>0.99895019017429199</v>
      </c>
      <c r="L127" s="55">
        <f t="shared" si="77"/>
        <v>4.0642587755251359E-4</v>
      </c>
      <c r="M127" s="55">
        <f t="shared" si="78"/>
        <v>0.99959357412244754</v>
      </c>
      <c r="N127" s="55">
        <f t="shared" si="79"/>
        <v>3.8787574013703248E-4</v>
      </c>
      <c r="O127" s="56">
        <f t="shared" si="80"/>
        <v>9.998103988927513E-7</v>
      </c>
      <c r="P127" s="56">
        <f t="shared" si="81"/>
        <v>1.1864741619257434E-6</v>
      </c>
      <c r="Q127" s="56">
        <f t="shared" si="82"/>
        <v>1.1881647109394032E-6</v>
      </c>
      <c r="R127" s="9">
        <f>F127*$C$14</f>
        <v>1.4999999999999999E-4</v>
      </c>
      <c r="S127" s="9">
        <f t="shared" si="83"/>
        <v>6.0963881632877032E-8</v>
      </c>
      <c r="T127" s="9">
        <f t="shared" si="84"/>
        <v>1.498425285261438E-4</v>
      </c>
      <c r="U127" s="9">
        <f t="shared" si="85"/>
        <v>1.4993903611836712E-4</v>
      </c>
      <c r="V127" s="102">
        <f t="shared" si="86"/>
        <v>0.99935635445764004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si="74"/>
        <v/>
      </c>
      <c r="J128" s="54" t="str">
        <f t="shared" si="75"/>
        <v/>
      </c>
      <c r="K128" s="55" t="str">
        <f t="shared" si="76"/>
        <v/>
      </c>
      <c r="L128" s="55" t="str">
        <f t="shared" si="77"/>
        <v/>
      </c>
      <c r="M128" s="55" t="str">
        <f t="shared" si="78"/>
        <v/>
      </c>
      <c r="N128" s="55" t="str">
        <f t="shared" si="79"/>
        <v/>
      </c>
      <c r="O128" s="56" t="str">
        <f t="shared" si="80"/>
        <v/>
      </c>
      <c r="P128" s="56" t="str">
        <f t="shared" si="81"/>
        <v/>
      </c>
      <c r="Q128" s="56" t="str">
        <f t="shared" si="82"/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4"/>
        <v/>
      </c>
      <c r="J129" s="54" t="str">
        <f t="shared" si="75"/>
        <v/>
      </c>
      <c r="K129" s="55" t="str">
        <f t="shared" si="76"/>
        <v/>
      </c>
      <c r="L129" s="55" t="str">
        <f t="shared" si="77"/>
        <v/>
      </c>
      <c r="M129" s="55" t="str">
        <f t="shared" si="78"/>
        <v/>
      </c>
      <c r="N129" s="55" t="str">
        <f t="shared" si="79"/>
        <v/>
      </c>
      <c r="O129" s="56" t="str">
        <f t="shared" si="80"/>
        <v/>
      </c>
      <c r="P129" s="56" t="str">
        <f t="shared" si="81"/>
        <v/>
      </c>
      <c r="Q129" s="56" t="str">
        <f t="shared" si="82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4"/>
        <v>2.1084810301724875E-3</v>
      </c>
      <c r="J130" s="54">
        <f t="shared" si="75"/>
        <v>0.78412765153631614</v>
      </c>
      <c r="K130" s="55">
        <f t="shared" si="76"/>
        <v>0.99258231227476379</v>
      </c>
      <c r="L130" s="55">
        <f t="shared" si="77"/>
        <v>2.070098764436801E-3</v>
      </c>
      <c r="M130" s="55">
        <f t="shared" si="78"/>
        <v>0.99792990123556324</v>
      </c>
      <c r="N130" s="55">
        <f t="shared" si="79"/>
        <v>1.9579802881178319E-3</v>
      </c>
      <c r="O130" s="56">
        <f t="shared" si="80"/>
        <v>9.9343703753254495E-7</v>
      </c>
      <c r="P130" s="56">
        <f t="shared" si="81"/>
        <v>6.0432143529574356E-6</v>
      </c>
      <c r="Q130" s="56">
        <f t="shared" si="82"/>
        <v>5.9978050760139809E-6</v>
      </c>
      <c r="R130" s="9">
        <f>F130*$C$14</f>
        <v>1.4999999999999999E-4</v>
      </c>
      <c r="S130" s="9">
        <f t="shared" ref="S130:S131" si="87">$R130*L130</f>
        <v>3.1051481466552012E-7</v>
      </c>
      <c r="T130" s="9">
        <f t="shared" ref="T130:T131" si="88">R130*K130</f>
        <v>1.4888734684121455E-4</v>
      </c>
      <c r="U130" s="9">
        <f t="shared" ref="U130:U131" si="89">$R130*M130</f>
        <v>1.4968948518533448E-4</v>
      </c>
      <c r="V130" s="102">
        <f t="shared" ref="V130:V131" si="90">K130/M130</f>
        <v>0.99464131803829259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4"/>
        <v>-5.830329626681688E-5</v>
      </c>
      <c r="J131" s="54">
        <f t="shared" si="75"/>
        <v>-0.23382974924437347</v>
      </c>
      <c r="K131" s="55">
        <f t="shared" si="76"/>
        <v>0.99941627210031847</v>
      </c>
      <c r="L131" s="55">
        <f t="shared" si="77"/>
        <v>1.9999242649610698E-4</v>
      </c>
      <c r="M131" s="55">
        <f t="shared" si="78"/>
        <v>0.99980000757350385</v>
      </c>
      <c r="N131" s="55">
        <f t="shared" si="79"/>
        <v>1.8632932023576523E-4</v>
      </c>
      <c r="O131" s="56">
        <f t="shared" si="80"/>
        <v>1.0002768821678544E-6</v>
      </c>
      <c r="P131" s="56">
        <f t="shared" si="81"/>
        <v>5.8383547831007661E-7</v>
      </c>
      <c r="Q131" s="56">
        <f t="shared" si="82"/>
        <v>5.7077537986585269E-7</v>
      </c>
      <c r="R131" s="9">
        <f>F131*$C$14</f>
        <v>1.4999999999999999E-4</v>
      </c>
      <c r="S131" s="9">
        <f t="shared" si="87"/>
        <v>2.9998863974416044E-8</v>
      </c>
      <c r="T131" s="9">
        <f t="shared" si="88"/>
        <v>1.4991244081504775E-4</v>
      </c>
      <c r="U131" s="9">
        <f t="shared" si="89"/>
        <v>1.4997000113602558E-4</v>
      </c>
      <c r="V131" s="102">
        <f t="shared" si="90"/>
        <v>0.9996161877672749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4"/>
        <v/>
      </c>
      <c r="J132" s="54" t="str">
        <f t="shared" si="75"/>
        <v/>
      </c>
      <c r="K132" s="55" t="str">
        <f t="shared" si="76"/>
        <v/>
      </c>
      <c r="L132" s="55" t="str">
        <f t="shared" si="77"/>
        <v/>
      </c>
      <c r="M132" s="55" t="str">
        <f t="shared" si="78"/>
        <v/>
      </c>
      <c r="N132" s="55" t="str">
        <f t="shared" si="79"/>
        <v/>
      </c>
      <c r="O132" s="56" t="str">
        <f t="shared" si="80"/>
        <v/>
      </c>
      <c r="P132" s="56" t="str">
        <f t="shared" si="81"/>
        <v/>
      </c>
      <c r="Q132" s="56" t="str">
        <f t="shared" si="82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4"/>
        <v/>
      </c>
      <c r="J133" s="54" t="str">
        <f t="shared" si="75"/>
        <v/>
      </c>
      <c r="K133" s="55" t="str">
        <f t="shared" si="76"/>
        <v/>
      </c>
      <c r="L133" s="55" t="str">
        <f t="shared" si="77"/>
        <v/>
      </c>
      <c r="M133" s="55" t="str">
        <f t="shared" si="78"/>
        <v/>
      </c>
      <c r="N133" s="55" t="str">
        <f t="shared" si="79"/>
        <v/>
      </c>
      <c r="O133" s="56" t="str">
        <f t="shared" si="80"/>
        <v/>
      </c>
      <c r="P133" s="56" t="str">
        <f t="shared" si="81"/>
        <v/>
      </c>
      <c r="Q133" s="56" t="str">
        <f t="shared" si="82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293</v>
      </c>
      <c r="D134" s="46"/>
      <c r="E134" s="46"/>
      <c r="F134" s="46"/>
      <c r="G134" s="7"/>
      <c r="H134" s="7"/>
      <c r="I134" s="54" t="str">
        <f t="shared" si="74"/>
        <v/>
      </c>
      <c r="J134" s="54" t="str">
        <f t="shared" si="75"/>
        <v/>
      </c>
      <c r="K134" s="55" t="str">
        <f t="shared" si="76"/>
        <v/>
      </c>
      <c r="L134" s="55" t="str">
        <f t="shared" si="77"/>
        <v/>
      </c>
      <c r="M134" s="55" t="str">
        <f t="shared" si="78"/>
        <v/>
      </c>
      <c r="N134" s="55" t="str">
        <f t="shared" si="79"/>
        <v/>
      </c>
      <c r="O134" s="56" t="str">
        <f t="shared" si="80"/>
        <v/>
      </c>
      <c r="P134" s="56" t="str">
        <f t="shared" si="81"/>
        <v/>
      </c>
      <c r="Q134" s="56" t="str">
        <f t="shared" si="82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/>
      <c r="C135" s="46"/>
      <c r="D135" s="46"/>
      <c r="E135" s="46"/>
      <c r="F135" s="46"/>
      <c r="G135" s="7"/>
      <c r="H135" s="7"/>
      <c r="I135" s="54" t="str">
        <f t="shared" si="74"/>
        <v/>
      </c>
      <c r="J135" s="54" t="str">
        <f t="shared" si="75"/>
        <v/>
      </c>
      <c r="K135" s="55" t="str">
        <f t="shared" si="76"/>
        <v/>
      </c>
      <c r="L135" s="55" t="str">
        <f t="shared" si="77"/>
        <v/>
      </c>
      <c r="M135" s="55" t="str">
        <f t="shared" si="78"/>
        <v/>
      </c>
      <c r="N135" s="55" t="str">
        <f t="shared" si="79"/>
        <v/>
      </c>
      <c r="O135" s="56" t="str">
        <f t="shared" si="80"/>
        <v/>
      </c>
      <c r="P135" s="56" t="str">
        <f t="shared" si="81"/>
        <v/>
      </c>
      <c r="Q135" s="56" t="str">
        <f t="shared" si="82"/>
        <v/>
      </c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/>
      <c r="C136" s="46"/>
      <c r="D136" s="46"/>
      <c r="E136" s="46"/>
      <c r="F136" s="46"/>
      <c r="G136" s="7"/>
      <c r="H136" s="7"/>
      <c r="I136" s="54" t="str">
        <f t="shared" si="74"/>
        <v/>
      </c>
      <c r="J136" s="54" t="str">
        <f t="shared" si="75"/>
        <v/>
      </c>
      <c r="K136" s="55" t="str">
        <f t="shared" si="76"/>
        <v/>
      </c>
      <c r="L136" s="55" t="str">
        <f t="shared" si="77"/>
        <v/>
      </c>
      <c r="M136" s="55" t="str">
        <f t="shared" si="78"/>
        <v/>
      </c>
      <c r="N136" s="55" t="str">
        <f t="shared" si="79"/>
        <v/>
      </c>
      <c r="O136" s="56" t="str">
        <f t="shared" si="80"/>
        <v/>
      </c>
      <c r="P136" s="56" t="str">
        <f t="shared" si="81"/>
        <v/>
      </c>
      <c r="Q136" s="56" t="str">
        <f t="shared" si="82"/>
        <v/>
      </c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54" t="str">
        <f t="shared" si="74"/>
        <v/>
      </c>
      <c r="J137" s="54" t="str">
        <f t="shared" si="75"/>
        <v/>
      </c>
      <c r="K137" s="55" t="str">
        <f t="shared" si="76"/>
        <v/>
      </c>
      <c r="L137" s="55" t="str">
        <f t="shared" si="77"/>
        <v/>
      </c>
      <c r="M137" s="55" t="str">
        <f t="shared" si="78"/>
        <v/>
      </c>
      <c r="N137" s="55" t="str">
        <f t="shared" si="79"/>
        <v/>
      </c>
      <c r="O137" s="56" t="str">
        <f t="shared" si="80"/>
        <v/>
      </c>
      <c r="P137" s="56" t="str">
        <f t="shared" si="81"/>
        <v/>
      </c>
      <c r="Q137" s="56" t="str">
        <f t="shared" si="82"/>
        <v/>
      </c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54" t="str">
        <f t="shared" si="74"/>
        <v/>
      </c>
      <c r="J138" s="54" t="str">
        <f t="shared" si="75"/>
        <v/>
      </c>
      <c r="K138" s="55" t="str">
        <f t="shared" si="76"/>
        <v/>
      </c>
      <c r="L138" s="55" t="str">
        <f t="shared" si="77"/>
        <v/>
      </c>
      <c r="M138" s="55" t="str">
        <f t="shared" si="78"/>
        <v/>
      </c>
      <c r="N138" s="55" t="str">
        <f t="shared" si="79"/>
        <v/>
      </c>
      <c r="O138" s="56" t="str">
        <f t="shared" si="80"/>
        <v/>
      </c>
      <c r="P138" s="56" t="str">
        <f t="shared" si="81"/>
        <v/>
      </c>
      <c r="Q138" s="56" t="str">
        <f t="shared" si="82"/>
        <v/>
      </c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2024-10-28T20:59:03Z</dcterms:modified>
</cp:coreProperties>
</file>