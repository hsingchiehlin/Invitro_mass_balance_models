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8EADF7E7-CFCE-4CBD-993F-9870CFDE3D8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R131" i="4"/>
  <c r="S131" i="4" s="1"/>
  <c r="V130" i="4"/>
  <c r="R130" i="4"/>
  <c r="T130" i="4" s="1"/>
  <c r="V127" i="4"/>
  <c r="U127" i="4"/>
  <c r="R127" i="4"/>
  <c r="T127" i="4" s="1"/>
  <c r="V126" i="4"/>
  <c r="R126" i="4"/>
  <c r="S126" i="4" s="1"/>
  <c r="V124" i="4"/>
  <c r="U124" i="4"/>
  <c r="T124" i="4"/>
  <c r="S124" i="4"/>
  <c r="R124" i="4"/>
  <c r="V121" i="4"/>
  <c r="U121" i="4"/>
  <c r="S121" i="4"/>
  <c r="R121" i="4"/>
  <c r="T121" i="4" s="1"/>
  <c r="V120" i="4"/>
  <c r="R120" i="4"/>
  <c r="U120" i="4" s="1"/>
  <c r="V119" i="4"/>
  <c r="U119" i="4"/>
  <c r="T119" i="4"/>
  <c r="S119" i="4"/>
  <c r="R119" i="4"/>
  <c r="V116" i="4"/>
  <c r="R116" i="4"/>
  <c r="S116" i="4" s="1"/>
  <c r="V115" i="4"/>
  <c r="U115" i="4"/>
  <c r="T115" i="4"/>
  <c r="R115" i="4"/>
  <c r="S115" i="4" s="1"/>
  <c r="V114" i="4"/>
  <c r="R114" i="4"/>
  <c r="U114" i="4" s="1"/>
  <c r="V108" i="4"/>
  <c r="R108" i="4"/>
  <c r="T108" i="4" s="1"/>
  <c r="V107" i="4"/>
  <c r="U107" i="4"/>
  <c r="T107" i="4"/>
  <c r="R107" i="4"/>
  <c r="S107" i="4" s="1"/>
  <c r="V93" i="4"/>
  <c r="R93" i="4"/>
  <c r="T93" i="4" s="1"/>
  <c r="V92" i="4"/>
  <c r="U92" i="4"/>
  <c r="S92" i="4"/>
  <c r="R92" i="4"/>
  <c r="T92" i="4" s="1"/>
  <c r="V91" i="4"/>
  <c r="R91" i="4"/>
  <c r="U91" i="4" s="1"/>
  <c r="V90" i="4"/>
  <c r="U90" i="4"/>
  <c r="T90" i="4"/>
  <c r="S90" i="4"/>
  <c r="R90" i="4"/>
  <c r="V89" i="4"/>
  <c r="U89" i="4"/>
  <c r="S89" i="4"/>
  <c r="R89" i="4"/>
  <c r="T89" i="4" s="1"/>
  <c r="V88" i="4"/>
  <c r="R88" i="4"/>
  <c r="U88" i="4" s="1"/>
  <c r="V86" i="4"/>
  <c r="U86" i="4"/>
  <c r="T86" i="4"/>
  <c r="S86" i="4"/>
  <c r="R86" i="4"/>
  <c r="V85" i="4"/>
  <c r="R85" i="4"/>
  <c r="S85" i="4" s="1"/>
  <c r="V84" i="4"/>
  <c r="U84" i="4"/>
  <c r="T84" i="4"/>
  <c r="R84" i="4"/>
  <c r="S84" i="4" s="1"/>
  <c r="V83" i="4"/>
  <c r="R83" i="4"/>
  <c r="U83" i="4" s="1"/>
  <c r="V82" i="4"/>
  <c r="R82" i="4"/>
  <c r="T82" i="4" s="1"/>
  <c r="V81" i="4"/>
  <c r="U81" i="4"/>
  <c r="T81" i="4"/>
  <c r="R81" i="4"/>
  <c r="S81" i="4" s="1"/>
  <c r="V80" i="4"/>
  <c r="R80" i="4"/>
  <c r="T80" i="4" s="1"/>
  <c r="V79" i="4"/>
  <c r="U79" i="4"/>
  <c r="S79" i="4"/>
  <c r="R79" i="4"/>
  <c r="T79" i="4" s="1"/>
  <c r="V78" i="4"/>
  <c r="R78" i="4"/>
  <c r="U78" i="4" s="1"/>
  <c r="V77" i="4"/>
  <c r="U77" i="4"/>
  <c r="T77" i="4"/>
  <c r="S77" i="4"/>
  <c r="R77" i="4"/>
  <c r="V76" i="4"/>
  <c r="U76" i="4"/>
  <c r="S76" i="4"/>
  <c r="R76" i="4"/>
  <c r="T76" i="4" s="1"/>
  <c r="V75" i="4"/>
  <c r="R75" i="4"/>
  <c r="T75" i="4" s="1"/>
  <c r="V74" i="4"/>
  <c r="U74" i="4"/>
  <c r="T74" i="4"/>
  <c r="S74" i="4"/>
  <c r="R74" i="4"/>
  <c r="V73" i="4"/>
  <c r="R73" i="4"/>
  <c r="S73" i="4" s="1"/>
  <c r="V72" i="4"/>
  <c r="U72" i="4"/>
  <c r="T72" i="4"/>
  <c r="R72" i="4"/>
  <c r="S72" i="4" s="1"/>
  <c r="V71" i="4"/>
  <c r="R71" i="4"/>
  <c r="U71" i="4" s="1"/>
  <c r="V70" i="4"/>
  <c r="R70" i="4"/>
  <c r="U70" i="4" s="1"/>
  <c r="V69" i="4"/>
  <c r="U69" i="4"/>
  <c r="T69" i="4"/>
  <c r="R69" i="4"/>
  <c r="S69" i="4" s="1"/>
  <c r="V68" i="4"/>
  <c r="R68" i="4"/>
  <c r="T68" i="4" s="1"/>
  <c r="V65" i="4"/>
  <c r="U65" i="4"/>
  <c r="S65" i="4"/>
  <c r="R65" i="4"/>
  <c r="T65" i="4" s="1"/>
  <c r="V64" i="4"/>
  <c r="R64" i="4"/>
  <c r="U64" i="4" s="1"/>
  <c r="V63" i="4"/>
  <c r="U63" i="4"/>
  <c r="T63" i="4"/>
  <c r="S63" i="4"/>
  <c r="R63" i="4"/>
  <c r="V62" i="4"/>
  <c r="U62" i="4"/>
  <c r="S62" i="4"/>
  <c r="R62" i="4"/>
  <c r="T62" i="4" s="1"/>
  <c r="V61" i="4"/>
  <c r="R61" i="4"/>
  <c r="U61" i="4" s="1"/>
  <c r="V60" i="4"/>
  <c r="U60" i="4"/>
  <c r="T60" i="4"/>
  <c r="S60" i="4"/>
  <c r="R60" i="4"/>
  <c r="V58" i="4"/>
  <c r="R58" i="4"/>
  <c r="U58" i="4" s="1"/>
  <c r="V57" i="4"/>
  <c r="U57" i="4"/>
  <c r="T57" i="4"/>
  <c r="R57" i="4"/>
  <c r="S57" i="4" s="1"/>
  <c r="V49" i="4"/>
  <c r="R49" i="4"/>
  <c r="U49" i="4" s="1"/>
  <c r="V48" i="4"/>
  <c r="R48" i="4"/>
  <c r="T48" i="4" s="1"/>
  <c r="V47" i="4"/>
  <c r="U47" i="4"/>
  <c r="T47" i="4"/>
  <c r="R47" i="4"/>
  <c r="S47" i="4" s="1"/>
  <c r="V46" i="4"/>
  <c r="R46" i="4"/>
  <c r="S46" i="4" s="1"/>
  <c r="V45" i="4"/>
  <c r="U45" i="4"/>
  <c r="S45" i="4"/>
  <c r="R45" i="4"/>
  <c r="T45" i="4" s="1"/>
  <c r="V44" i="4"/>
  <c r="R44" i="4"/>
  <c r="S44" i="4" s="1"/>
  <c r="V43" i="4"/>
  <c r="U43" i="4"/>
  <c r="T43" i="4"/>
  <c r="S43" i="4"/>
  <c r="R43" i="4"/>
  <c r="V42" i="4"/>
  <c r="U42" i="4"/>
  <c r="S42" i="4"/>
  <c r="R42" i="4"/>
  <c r="T42" i="4" s="1"/>
  <c r="V41" i="4"/>
  <c r="R41" i="4"/>
  <c r="U41" i="4" s="1"/>
  <c r="V40" i="4"/>
  <c r="U40" i="4"/>
  <c r="T40" i="4"/>
  <c r="S40" i="4"/>
  <c r="R40" i="4"/>
  <c r="V39" i="4"/>
  <c r="R39" i="4"/>
  <c r="T39" i="4" s="1"/>
  <c r="V38" i="4"/>
  <c r="U38" i="4"/>
  <c r="T38" i="4"/>
  <c r="R38" i="4"/>
  <c r="S38" i="4" s="1"/>
  <c r="V37" i="4"/>
  <c r="R37" i="4"/>
  <c r="U37" i="4" s="1"/>
  <c r="V36" i="4"/>
  <c r="R36" i="4"/>
  <c r="U36" i="4" s="1"/>
  <c r="V35" i="4"/>
  <c r="U35" i="4"/>
  <c r="T35" i="4"/>
  <c r="R35" i="4"/>
  <c r="S35" i="4" s="1"/>
  <c r="V34" i="4"/>
  <c r="R34" i="4"/>
  <c r="S34" i="4" s="1"/>
  <c r="V33" i="4"/>
  <c r="U33" i="4"/>
  <c r="S33" i="4"/>
  <c r="R33" i="4"/>
  <c r="T33" i="4" s="1"/>
  <c r="V32" i="4"/>
  <c r="R32" i="4"/>
  <c r="S32" i="4" s="1"/>
  <c r="V31" i="4"/>
  <c r="U31" i="4"/>
  <c r="T31" i="4"/>
  <c r="S31" i="4"/>
  <c r="R31" i="4"/>
  <c r="V30" i="4"/>
  <c r="U30" i="4"/>
  <c r="T30" i="4"/>
  <c r="S30" i="4"/>
  <c r="R30" i="4"/>
  <c r="V29" i="4"/>
  <c r="R29" i="4"/>
  <c r="U29" i="4" s="1"/>
  <c r="V28" i="4"/>
  <c r="U28" i="4"/>
  <c r="T28" i="4"/>
  <c r="S28" i="4"/>
  <c r="R28" i="4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 s="1"/>
  <c r="N130" i="4"/>
  <c r="Q130" i="4"/>
  <c r="I131" i="4"/>
  <c r="N131" i="4" s="1"/>
  <c r="Q131" i="4" s="1"/>
  <c r="J131" i="4"/>
  <c r="K131" i="4" s="1"/>
  <c r="O131" i="4" s="1"/>
  <c r="P131" i="4" s="1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36" i="4" l="1"/>
  <c r="S48" i="4"/>
  <c r="S70" i="4"/>
  <c r="S82" i="4"/>
  <c r="S108" i="4"/>
  <c r="S29" i="4"/>
  <c r="T36" i="4"/>
  <c r="T70" i="4"/>
  <c r="S75" i="4"/>
  <c r="U48" i="4"/>
  <c r="T88" i="4"/>
  <c r="S93" i="4"/>
  <c r="T34" i="4"/>
  <c r="S39" i="4"/>
  <c r="T46" i="4"/>
  <c r="S58" i="4"/>
  <c r="U75" i="4"/>
  <c r="U34" i="4"/>
  <c r="U46" i="4"/>
  <c r="T58" i="4"/>
  <c r="S64" i="4"/>
  <c r="U68" i="4"/>
  <c r="T73" i="4"/>
  <c r="S78" i="4"/>
  <c r="U80" i="4"/>
  <c r="T85" i="4"/>
  <c r="S91" i="4"/>
  <c r="U93" i="4"/>
  <c r="U130" i="4"/>
  <c r="T32" i="4"/>
  <c r="S37" i="4"/>
  <c r="U39" i="4"/>
  <c r="T44" i="4"/>
  <c r="S49" i="4"/>
  <c r="T64" i="4"/>
  <c r="S71" i="4"/>
  <c r="U73" i="4"/>
  <c r="T78" i="4"/>
  <c r="S83" i="4"/>
  <c r="U85" i="4"/>
  <c r="T91" i="4"/>
  <c r="S114" i="4"/>
  <c r="U116" i="4"/>
  <c r="T126" i="4"/>
  <c r="U82" i="4"/>
  <c r="U32" i="4"/>
  <c r="T37" i="4"/>
  <c r="U44" i="4"/>
  <c r="T49" i="4"/>
  <c r="T71" i="4"/>
  <c r="T83" i="4"/>
  <c r="T114" i="4"/>
  <c r="U126" i="4"/>
  <c r="S41" i="4"/>
  <c r="S61" i="4"/>
  <c r="S88" i="4"/>
  <c r="T29" i="4"/>
  <c r="T41" i="4"/>
  <c r="T61" i="4"/>
  <c r="S68" i="4"/>
  <c r="S80" i="4"/>
  <c r="U108" i="4"/>
  <c r="T120" i="4"/>
  <c r="S130" i="4"/>
  <c r="S120" i="4"/>
  <c r="T116" i="4"/>
  <c r="S127" i="4"/>
  <c r="L131" i="4"/>
  <c r="M131" i="4" s="1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4" i="4"/>
  <c r="M125" i="4"/>
  <c r="J16" i="4"/>
  <c r="J15" i="4"/>
  <c r="J87" i="4"/>
  <c r="K87" i="4" s="1"/>
  <c r="O87" i="4" s="1"/>
  <c r="P87" i="4" s="1"/>
  <c r="J122" i="4"/>
  <c r="K122" i="4"/>
  <c r="J117" i="4"/>
  <c r="K117" i="4"/>
  <c r="J120" i="4"/>
  <c r="K120" i="4"/>
  <c r="O120" i="4" s="1"/>
  <c r="P120" i="4" s="1"/>
  <c r="J101" i="4"/>
  <c r="K101" i="4"/>
  <c r="J86" i="4"/>
  <c r="K86" i="4" s="1"/>
  <c r="O86" i="4" s="1"/>
  <c r="P86" i="4" s="1"/>
  <c r="J85" i="4"/>
  <c r="K85" i="4" s="1"/>
  <c r="O85" i="4" s="1"/>
  <c r="P85" i="4" s="1"/>
  <c r="J88" i="4"/>
  <c r="K88" i="4" s="1"/>
  <c r="O88" i="4" s="1"/>
  <c r="P88" i="4" s="1"/>
  <c r="J119" i="4"/>
  <c r="K119" i="4" s="1"/>
  <c r="O119" i="4" s="1"/>
  <c r="P119" i="4" s="1"/>
  <c r="J72" i="4"/>
  <c r="K72" i="4" s="1"/>
  <c r="O72" i="4" s="1"/>
  <c r="P72" i="4" s="1"/>
  <c r="J103" i="4"/>
  <c r="K103" i="4"/>
  <c r="J118" i="4"/>
  <c r="K118" i="4"/>
  <c r="J104" i="4"/>
  <c r="K104" i="4"/>
  <c r="J90" i="4"/>
  <c r="K90" i="4" s="1"/>
  <c r="O90" i="4" s="1"/>
  <c r="P90" i="4" s="1"/>
  <c r="J71" i="4"/>
  <c r="K71" i="4" s="1"/>
  <c r="O71" i="4" s="1"/>
  <c r="P71" i="4" s="1"/>
  <c r="J110" i="4"/>
  <c r="K110" i="4"/>
  <c r="J82" i="4"/>
  <c r="K82" i="4" s="1"/>
  <c r="O82" i="4" s="1"/>
  <c r="P82" i="4" s="1"/>
  <c r="J113" i="4"/>
  <c r="K113" i="4"/>
  <c r="J97" i="4"/>
  <c r="K97" i="4" s="1"/>
  <c r="O97" i="4" s="1"/>
  <c r="P97" i="4" s="1"/>
  <c r="J81" i="4"/>
  <c r="K81" i="4" s="1"/>
  <c r="O81" i="4" s="1"/>
  <c r="P81" i="4" s="1"/>
  <c r="J116" i="4"/>
  <c r="K116" i="4" s="1"/>
  <c r="O116" i="4" s="1"/>
  <c r="P116" i="4" s="1"/>
  <c r="J100" i="4"/>
  <c r="K100" i="4"/>
  <c r="O100" i="4"/>
  <c r="J84" i="4"/>
  <c r="K84" i="4" s="1"/>
  <c r="J114" i="4"/>
  <c r="K114" i="4" s="1"/>
  <c r="O114" i="4" s="1"/>
  <c r="P114" i="4" s="1"/>
  <c r="J78" i="4"/>
  <c r="K78" i="4" s="1"/>
  <c r="O78" i="4" s="1"/>
  <c r="P78" i="4" s="1"/>
  <c r="J115" i="4"/>
  <c r="K115" i="4"/>
  <c r="O115" i="4" s="1"/>
  <c r="P115" i="4" s="1"/>
  <c r="J99" i="4"/>
  <c r="K99" i="4"/>
  <c r="J83" i="4"/>
  <c r="K83" i="4" s="1"/>
  <c r="O83" i="4" s="1"/>
  <c r="P83" i="4" s="1"/>
  <c r="J102" i="4"/>
  <c r="K102" i="4"/>
  <c r="J74" i="4"/>
  <c r="K74" i="4"/>
  <c r="O74" i="4" s="1"/>
  <c r="P74" i="4" s="1"/>
  <c r="J125" i="4"/>
  <c r="K125" i="4"/>
  <c r="J109" i="4"/>
  <c r="K109" i="4"/>
  <c r="J93" i="4"/>
  <c r="K93" i="4" s="1"/>
  <c r="O93" i="4" s="1"/>
  <c r="P93" i="4" s="1"/>
  <c r="J77" i="4"/>
  <c r="K77" i="4" s="1"/>
  <c r="O77" i="4" s="1"/>
  <c r="P77" i="4" s="1"/>
  <c r="J112" i="4"/>
  <c r="K112" i="4"/>
  <c r="J96" i="4"/>
  <c r="K96" i="4"/>
  <c r="O96" i="4" s="1"/>
  <c r="P96" i="4" s="1"/>
  <c r="J80" i="4"/>
  <c r="K80" i="4" s="1"/>
  <c r="O80" i="4" s="1"/>
  <c r="P80" i="4" s="1"/>
  <c r="J106" i="4"/>
  <c r="K106" i="4"/>
  <c r="J127" i="4"/>
  <c r="K127" i="4"/>
  <c r="O127" i="4" s="1"/>
  <c r="P127" i="4" s="1"/>
  <c r="J111" i="4"/>
  <c r="K111" i="4"/>
  <c r="J95" i="4"/>
  <c r="K95" i="4" s="1"/>
  <c r="O95" i="4" s="1"/>
  <c r="P95" i="4" s="1"/>
  <c r="J79" i="4"/>
  <c r="K79" i="4"/>
  <c r="O79" i="4" s="1"/>
  <c r="P79" i="4" s="1"/>
  <c r="J126" i="4"/>
  <c r="K126" i="4" s="1"/>
  <c r="O126" i="4" s="1"/>
  <c r="P126" i="4" s="1"/>
  <c r="J94" i="4"/>
  <c r="K94" i="4" s="1"/>
  <c r="O94" i="4" s="1"/>
  <c r="P94" i="4" s="1"/>
  <c r="J121" i="4"/>
  <c r="K121" i="4" s="1"/>
  <c r="O121" i="4" s="1"/>
  <c r="P121" i="4" s="1"/>
  <c r="J105" i="4"/>
  <c r="K105" i="4"/>
  <c r="J89" i="4"/>
  <c r="K89" i="4" s="1"/>
  <c r="O89" i="4" s="1"/>
  <c r="P89" i="4" s="1"/>
  <c r="J73" i="4"/>
  <c r="K73" i="4" s="1"/>
  <c r="J124" i="4"/>
  <c r="K124" i="4"/>
  <c r="O124" i="4" s="1"/>
  <c r="P124" i="4" s="1"/>
  <c r="J108" i="4"/>
  <c r="K108" i="4" s="1"/>
  <c r="O108" i="4" s="1"/>
  <c r="P108" i="4" s="1"/>
  <c r="J92" i="4"/>
  <c r="K92" i="4" s="1"/>
  <c r="O92" i="4" s="1"/>
  <c r="P92" i="4" s="1"/>
  <c r="J76" i="4"/>
  <c r="K76" i="4" s="1"/>
  <c r="O76" i="4" s="1"/>
  <c r="P76" i="4" s="1"/>
  <c r="J98" i="4"/>
  <c r="K98" i="4"/>
  <c r="J123" i="4"/>
  <c r="K123" i="4"/>
  <c r="J107" i="4"/>
  <c r="K107" i="4"/>
  <c r="J91" i="4"/>
  <c r="K91" i="4"/>
  <c r="O91" i="4" s="1"/>
  <c r="P91" i="4" s="1"/>
  <c r="J75" i="4"/>
  <c r="K75" i="4" s="1"/>
  <c r="O75" i="4" s="1"/>
  <c r="P75" i="4" s="1"/>
  <c r="P100" i="4"/>
  <c r="O107" i="4"/>
  <c r="P107" i="4" s="1"/>
  <c r="O112" i="4"/>
  <c r="P112" i="4"/>
  <c r="O98" i="4"/>
  <c r="P98" i="4"/>
  <c r="O105" i="4"/>
  <c r="P105" i="4"/>
  <c r="O111" i="4"/>
  <c r="P111" i="4"/>
  <c r="O104" i="4"/>
  <c r="P10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I77" i="4"/>
  <c r="L77" i="4" s="1"/>
  <c r="M77" i="4" s="1"/>
  <c r="I81" i="4"/>
  <c r="I89" i="4"/>
  <c r="N89" i="4" s="1"/>
  <c r="Q89" i="4" s="1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L92" i="4" s="1"/>
  <c r="M92" i="4" s="1"/>
  <c r="I100" i="4"/>
  <c r="I103" i="4"/>
  <c r="I107" i="4"/>
  <c r="I109" i="4"/>
  <c r="I110" i="4"/>
  <c r="I117" i="4"/>
  <c r="I124" i="4"/>
  <c r="I72" i="4"/>
  <c r="L72" i="4" s="1"/>
  <c r="M72" i="4" s="1"/>
  <c r="I106" i="4"/>
  <c r="I71" i="4"/>
  <c r="I75" i="4"/>
  <c r="I80" i="4"/>
  <c r="L80" i="4" s="1"/>
  <c r="M80" i="4" s="1"/>
  <c r="I83" i="4"/>
  <c r="I86" i="4"/>
  <c r="N86" i="4" s="1"/>
  <c r="Q86" i="4" s="1"/>
  <c r="I88" i="4"/>
  <c r="I94" i="4"/>
  <c r="I95" i="4"/>
  <c r="I98" i="4"/>
  <c r="I101" i="4"/>
  <c r="I118" i="4"/>
  <c r="I127" i="4"/>
  <c r="L127" i="4" s="1"/>
  <c r="M127" i="4" s="1"/>
  <c r="I73" i="4"/>
  <c r="L73" i="4" s="1"/>
  <c r="M73" i="4" s="1"/>
  <c r="I74" i="4"/>
  <c r="I78" i="4"/>
  <c r="L78" i="4" s="1"/>
  <c r="M78" i="4" s="1"/>
  <c r="I82" i="4"/>
  <c r="L82" i="4" s="1"/>
  <c r="M82" i="4" s="1"/>
  <c r="I85" i="4"/>
  <c r="N85" i="4" s="1"/>
  <c r="Q85" i="4" s="1"/>
  <c r="I93" i="4"/>
  <c r="I112" i="4"/>
  <c r="I114" i="4"/>
  <c r="N114" i="4" s="1"/>
  <c r="Q114" i="4" s="1"/>
  <c r="I121" i="4"/>
  <c r="I122" i="4"/>
  <c r="I84" i="4"/>
  <c r="L84" i="4" s="1"/>
  <c r="M84" i="4" s="1"/>
  <c r="I87" i="4"/>
  <c r="I91" i="4"/>
  <c r="I97" i="4"/>
  <c r="N97" i="4" s="1"/>
  <c r="Q97" i="4" s="1"/>
  <c r="I105" i="4"/>
  <c r="I116" i="4"/>
  <c r="I126" i="4"/>
  <c r="L105" i="4"/>
  <c r="N105" i="4"/>
  <c r="Q105" i="4"/>
  <c r="N121" i="4"/>
  <c r="Q121" i="4"/>
  <c r="L121" i="4"/>
  <c r="M121" i="4" s="1"/>
  <c r="N73" i="4"/>
  <c r="Q73" i="4" s="1"/>
  <c r="N101" i="4"/>
  <c r="Q101" i="4"/>
  <c r="L101" i="4"/>
  <c r="N88" i="4"/>
  <c r="Q88" i="4" s="1"/>
  <c r="L88" i="4"/>
  <c r="M88" i="4" s="1"/>
  <c r="N75" i="4"/>
  <c r="Q75" i="4" s="1"/>
  <c r="L106" i="4"/>
  <c r="N106" i="4"/>
  <c r="Q106" i="4"/>
  <c r="L124" i="4"/>
  <c r="N124" i="4"/>
  <c r="Q124" i="4"/>
  <c r="N107" i="4"/>
  <c r="Q107" i="4" s="1"/>
  <c r="L107" i="4"/>
  <c r="M107" i="4" s="1"/>
  <c r="N79" i="4"/>
  <c r="Q79" i="4" s="1"/>
  <c r="L79" i="4"/>
  <c r="M79" i="4" s="1"/>
  <c r="N119" i="4"/>
  <c r="Q119" i="4"/>
  <c r="L119" i="4"/>
  <c r="M119" i="4" s="1"/>
  <c r="N108" i="4"/>
  <c r="Q108" i="4" s="1"/>
  <c r="L108" i="4"/>
  <c r="M108" i="4" s="1"/>
  <c r="L96" i="4"/>
  <c r="M96" i="4" s="1"/>
  <c r="N96" i="4"/>
  <c r="Q96" i="4" s="1"/>
  <c r="N77" i="4"/>
  <c r="Q77" i="4" s="1"/>
  <c r="L114" i="4"/>
  <c r="M114" i="4" s="1"/>
  <c r="N98" i="4"/>
  <c r="Q98" i="4"/>
  <c r="L98" i="4"/>
  <c r="N71" i="4"/>
  <c r="Q71" i="4"/>
  <c r="L71" i="4"/>
  <c r="M71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M115" i="4" s="1"/>
  <c r="L104" i="4"/>
  <c r="N104" i="4"/>
  <c r="Q104" i="4"/>
  <c r="N90" i="4"/>
  <c r="Q90" i="4" s="1"/>
  <c r="L90" i="4"/>
  <c r="M90" i="4" s="1"/>
  <c r="N76" i="4"/>
  <c r="Q76" i="4"/>
  <c r="L76" i="4"/>
  <c r="M76" i="4" s="1"/>
  <c r="N126" i="4"/>
  <c r="Q126" i="4"/>
  <c r="L126" i="4"/>
  <c r="M126" i="4" s="1"/>
  <c r="N91" i="4"/>
  <c r="Q91" i="4" s="1"/>
  <c r="L91" i="4"/>
  <c r="M91" i="4" s="1"/>
  <c r="L112" i="4"/>
  <c r="N112" i="4"/>
  <c r="Q112" i="4"/>
  <c r="N127" i="4"/>
  <c r="Q127" i="4" s="1"/>
  <c r="N95" i="4"/>
  <c r="Q95" i="4" s="1"/>
  <c r="L95" i="4"/>
  <c r="M95" i="4" s="1"/>
  <c r="N83" i="4"/>
  <c r="Q83" i="4" s="1"/>
  <c r="L83" i="4"/>
  <c r="M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L89" i="4"/>
  <c r="M89" i="4" s="1"/>
  <c r="N116" i="4"/>
  <c r="Q116" i="4"/>
  <c r="L116" i="4"/>
  <c r="M116" i="4" s="1"/>
  <c r="N87" i="4"/>
  <c r="Q87" i="4" s="1"/>
  <c r="L87" i="4"/>
  <c r="M87" i="4" s="1"/>
  <c r="N122" i="4"/>
  <c r="Q122" i="4"/>
  <c r="L122" i="4"/>
  <c r="N93" i="4"/>
  <c r="Q93" i="4"/>
  <c r="N74" i="4"/>
  <c r="Q74" i="4" s="1"/>
  <c r="L74" i="4"/>
  <c r="M74" i="4" s="1"/>
  <c r="N118" i="4"/>
  <c r="Q118" i="4"/>
  <c r="L118" i="4"/>
  <c r="L94" i="4"/>
  <c r="M94" i="4" s="1"/>
  <c r="N94" i="4"/>
  <c r="Q94" i="4" s="1"/>
  <c r="N109" i="4"/>
  <c r="Q109" i="4"/>
  <c r="L109" i="4"/>
  <c r="N120" i="4"/>
  <c r="Q120" i="4"/>
  <c r="L120" i="4"/>
  <c r="M120" i="4" s="1"/>
  <c r="N111" i="4"/>
  <c r="Q111" i="4"/>
  <c r="L111" i="4"/>
  <c r="N99" i="4"/>
  <c r="Q99" i="4"/>
  <c r="L99" i="4"/>
  <c r="N81" i="4"/>
  <c r="Q81" i="4" s="1"/>
  <c r="O73" i="4" l="1"/>
  <c r="P73" i="4" s="1"/>
  <c r="O84" i="4"/>
  <c r="P84" i="4" s="1"/>
  <c r="L81" i="4"/>
  <c r="M81" i="4" s="1"/>
  <c r="N82" i="4"/>
  <c r="Q82" i="4" s="1"/>
  <c r="N84" i="4"/>
  <c r="Q84" i="4" s="1"/>
  <c r="L85" i="4"/>
  <c r="M85" i="4" s="1"/>
  <c r="L97" i="4"/>
  <c r="M97" i="4" s="1"/>
  <c r="L93" i="4"/>
  <c r="M93" i="4" s="1"/>
  <c r="N72" i="4"/>
  <c r="Q72" i="4" s="1"/>
  <c r="N80" i="4"/>
  <c r="Q80" i="4" s="1"/>
  <c r="N78" i="4"/>
  <c r="Q78" i="4" s="1"/>
  <c r="L86" i="4"/>
  <c r="M86" i="4" s="1"/>
  <c r="N92" i="4"/>
  <c r="Q92" i="4" s="1"/>
  <c r="L75" i="4"/>
  <c r="M75" i="4" s="1"/>
  <c r="J14" i="4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M66" i="4"/>
  <c r="M57" i="4"/>
  <c r="M68" i="4"/>
  <c r="M64" i="4"/>
  <c r="O69" i="4"/>
  <c r="P69" i="4" s="1"/>
  <c r="O66" i="4"/>
  <c r="P66" i="4" s="1"/>
  <c r="O67" i="4"/>
  <c r="P67" i="4" s="1"/>
  <c r="M67" i="4"/>
  <c r="O68" i="4"/>
  <c r="P68" i="4" s="1"/>
  <c r="M69" i="4"/>
  <c r="O65" i="4"/>
  <c r="P65" i="4" s="1"/>
  <c r="M58" i="4"/>
  <c r="M65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K45" i="4" s="1"/>
  <c r="J30" i="4"/>
  <c r="J43" i="4"/>
  <c r="J31" i="4"/>
  <c r="L31" i="4" s="1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47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0" i="4"/>
  <c r="O48" i="4" l="1"/>
  <c r="P48" i="4" s="1"/>
  <c r="M48" i="4"/>
  <c r="O49" i="4"/>
  <c r="P49" i="4" s="1"/>
  <c r="M49" i="4"/>
  <c r="L45" i="4"/>
  <c r="O35" i="4"/>
  <c r="P35" i="4" s="1"/>
  <c r="L35" i="4"/>
  <c r="M44" i="4"/>
  <c r="M47" i="4"/>
  <c r="O45" i="4"/>
  <c r="P45" i="4" s="1"/>
  <c r="O30" i="4"/>
  <c r="P30" i="4" s="1"/>
  <c r="M31" i="4"/>
  <c r="O47" i="4"/>
  <c r="P47" i="4" s="1"/>
  <c r="O31" i="4"/>
  <c r="P31" i="4" s="1"/>
  <c r="O33" i="4"/>
  <c r="P33" i="4" s="1"/>
  <c r="O28" i="4"/>
  <c r="P28" i="4" s="1"/>
  <c r="O46" i="4"/>
  <c r="P46" i="4" s="1"/>
  <c r="O43" i="4"/>
  <c r="P43" i="4" s="1"/>
  <c r="M43" i="4"/>
  <c r="O39" i="4"/>
  <c r="P39" i="4" s="1"/>
  <c r="O41" i="4"/>
  <c r="P41" i="4" s="1"/>
  <c r="M39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M45" i="4" l="1"/>
  <c r="O37" i="4"/>
  <c r="P37" i="4" s="1"/>
  <c r="O44" i="4"/>
  <c r="P44" i="4" s="1"/>
  <c r="O29" i="4"/>
  <c r="P29" i="4" s="1"/>
  <c r="O38" i="4"/>
  <c r="P38" i="4" s="1"/>
  <c r="O40" i="4"/>
  <c r="P40" i="4" s="1"/>
  <c r="O34" i="4"/>
  <c r="P34" i="4" s="1"/>
  <c r="O42" i="4"/>
  <c r="P42" i="4" s="1"/>
  <c r="M35" i="4"/>
  <c r="O36" i="4"/>
  <c r="P36" i="4" s="1"/>
  <c r="O32" i="4"/>
  <c r="P32" i="4" s="1"/>
  <c r="M33" i="4"/>
  <c r="M41" i="4"/>
  <c r="M46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<sst xmlns="http://schemas.openxmlformats.org/spreadsheetml/2006/main" count="318" uniqueCount="294">
  <si>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</si>
  <si>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</si>
  <si>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</si>
  <si>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</si>
  <si>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</si>
  <si>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</si>
  <si>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</si>
  <si>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</si>
  <si>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</si>
  <si>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</si>
  <si>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</si>
  <si>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</si>
  <si>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</si>
  <si>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</si>
  <si>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</si>
  <si>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</si>
  <si>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</si>
  <si>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</si>
  <si>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</si>
  <si>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</si>
  <si>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</si>
  <si>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</si>
  <si>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</si>
  <si>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</si>
  <si>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</si>
  <si>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</si>
  <si>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</si>
  <si>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</si>
  <si>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</si>
  <si>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</si>
  <si>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</si>
  <si>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</si>
  <si>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</si>
  <si>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</si>
  <si>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</si>
  <si>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</si>
  <si>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</si>
  <si>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</si>
  <si>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</si>
  <si>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</si>
  <si>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</si>
  <si>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</si>
  <si>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</si>
  <si>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</si>
  <si>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</si>
  <si>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</si>
  <si>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</si>
  <si>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</si>
  <si>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</si>
  <si>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</si>
  <si>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</si>
  <si>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</si>
  <si>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</si>
  <si>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</si>
  <si>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</si>
  <si>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</si>
  <si>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</si>
  <si>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</si>
  <si>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</si>
  <si>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</si>
  <si>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</si>
  <si>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</si>
  <si>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</si>
  <si>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</si>
  <si>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</si>
  <si>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</si>
  <si>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</si>
  <si>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</si>
  <si>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</si>
  <si>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</si>
  <si>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</si>
  <si>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</si>
  <si>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</si>
  <si>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</si>
  <si>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</si>
  <si>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</si>
  <si>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</si>
  <si>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</si>
  <si>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</si>
  <si>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</si>
  <si>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</si>
  <si>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</si>
  <si>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</si>
  <si>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</si>
  <si>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</si>
  <si>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</si>
  <si>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</si>
  <si>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</si>
  <si>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</si>
  <si>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</si>
  <si>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</si>
  <si>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</si>
  <si>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</si>
  <si>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</si>
  <si>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</si>
  <si>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</si>
  <si>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</si>
  <si>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</si>
  <si>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</si>
  <si>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</si>
  <si>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</si>
  <si>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</si>
  <si>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</si>
  <si>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</si>
  <si>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</si>
  <si>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</si>
  <si>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</si>
  <si>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</si>
  <si>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</si>
  <si>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</si>
  <si>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</si>
  <si>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SH-SY5Y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</si>
  <si>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</si>
  <si>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</si>
  <si>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</si>
  <si>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</si>
  <si>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</si>
  <si>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</si>
  <si>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</si>
  <si>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</si>
  <si>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</si>
  <si>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</si>
  <si>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</si>
  <si>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</si>
  <si>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</si>
  <si>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</si>
  <si>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</si>
  <si>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</si>
  <si>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</si>
  <si>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</si>
  <si>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</si>
  <si>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</si>
  <si>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</si>
  <si>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</si>
  <si>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</si>
  <si>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</si>
  <si>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</si>
  <si>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</si>
  <si>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</si>
  <si>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</si>
  <si>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</si>
  <si>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</si>
  <si>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</si>
  <si>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</si>
  <si>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</si>
  <si>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</si>
  <si>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</si>
  <si>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</si>
  <si>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</si>
  <si>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</si>
  <si>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</si>
  <si>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</si>
  <si>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</si>
  <si>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</si>
  <si>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</si>
  <si>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</si>
  <si>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</si>
  <si>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</si>
  <si>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</si>
  <si>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</si>
  <si>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</si>
  <si>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</si>
  <si>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</si>
  <si>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</si>
  <si>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</si>
  <si>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</si>
  <si>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</si>
  <si>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</si>
  <si>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</si>
  <si>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</si>
  <si>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</si>
  <si>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</si>
  <si>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</si>
  <si>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</si>
  <si>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</si>
  <si>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</si>
  <si>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</si>
  <si>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</si>
  <si>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</si>
  <si>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</si>
  <si>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</si>
  <si>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</si>
  <si>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</si>
  <si>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</si>
  <si>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</si>
  <si>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</si>
  <si>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</si>
  <si>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</si>
  <si>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</si>
  <si>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</si>
  <si>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</si>
  <si>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</si>
  <si>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</si>
  <si>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</si>
  <si>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</si>
  <si>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</si>
  <si>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</si>
  <si>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</si>
  <si>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</si>
  <si>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</si>
  <si>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</si>
  <si>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</si>
  <si>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</si>
  <si>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</si>
  <si>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</si>
  <si>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</si>
  <si>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</si>
  <si>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</si>
  <si>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</si>
  <si>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</si>
  <si>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</si>
  <si>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</si>
  <si>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4:2 FTS</t>
  </si>
  <si>
    <t>PFNA</t>
  </si>
  <si>
    <t>PFHxA</t>
  </si>
  <si>
    <t>PFBA</t>
  </si>
  <si>
    <t>PFOA</t>
  </si>
  <si>
    <t>6:2 FTS</t>
  </si>
  <si>
    <t>8:2 FTS</t>
  </si>
  <si>
    <t>PFUnDA</t>
  </si>
  <si>
    <t>PFOS</t>
  </si>
  <si>
    <t>PFHpA</t>
  </si>
  <si>
    <t>PFPeA</t>
  </si>
  <si>
    <t>PFHxS</t>
  </si>
  <si>
    <t>PFDA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</si>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</sst>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X9" sqref="X9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1.8482799999999999E-3</v>
      </c>
      <c r="M17" s="81">
        <v>9.2119999999999992E-5</v>
      </c>
      <c r="N17" s="81">
        <v>1.9599999999999999E-5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4" zoomScale="51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0"/>
      <c r="H1" s="14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0"/>
      <c r="H2" s="140"/>
      <c r="I2" s="153" t="s">
        <v>19</v>
      </c>
      <c r="J2" s="154"/>
      <c r="K2" s="154"/>
      <c r="L2" s="154"/>
      <c r="M2" s="154"/>
      <c r="N2" s="154"/>
      <c r="O2" s="154"/>
      <c r="P2" s="154"/>
      <c r="Q2" s="15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0"/>
      <c r="H3" s="140"/>
      <c r="I3" s="156"/>
      <c r="J3" s="157"/>
      <c r="K3" s="157"/>
      <c r="L3" s="157"/>
      <c r="M3" s="157"/>
      <c r="N3" s="157"/>
      <c r="O3" s="157"/>
      <c r="P3" s="157"/>
      <c r="Q3" s="15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0"/>
      <c r="H4" s="140"/>
      <c r="I4" s="159"/>
      <c r="J4" s="160"/>
      <c r="K4" s="160"/>
      <c r="L4" s="160"/>
      <c r="M4" s="160"/>
      <c r="N4" s="160"/>
      <c r="O4" s="160"/>
      <c r="P4" s="160"/>
      <c r="Q4" s="16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0"/>
      <c r="H5" s="140"/>
      <c r="I5" s="162" t="s">
        <v>38</v>
      </c>
      <c r="J5" s="163"/>
      <c r="K5" s="163"/>
      <c r="L5" s="163"/>
      <c r="M5" s="163"/>
      <c r="N5" s="163"/>
      <c r="O5" s="163"/>
      <c r="P5" s="163"/>
      <c r="Q5" s="16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0"/>
      <c r="H6" s="140"/>
      <c r="I6" s="49" t="s">
        <v>49</v>
      </c>
      <c r="J6" s="49" t="s">
        <v>50</v>
      </c>
      <c r="K6" s="49" t="s">
        <v>46</v>
      </c>
      <c r="L6" s="132" t="s">
        <v>39</v>
      </c>
      <c r="M6" s="133"/>
      <c r="N6" s="133"/>
      <c r="O6" s="133"/>
      <c r="P6" s="133"/>
      <c r="Q6" s="134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0"/>
      <c r="H7" s="140"/>
      <c r="I7" s="50" t="s">
        <v>20</v>
      </c>
      <c r="J7" s="37">
        <f>SUM(J13,J19)</f>
        <v>150.03919999999999</v>
      </c>
      <c r="K7" s="38">
        <f>J7/J7</f>
        <v>1</v>
      </c>
      <c r="L7" s="115" t="s">
        <v>68</v>
      </c>
      <c r="M7" s="116"/>
      <c r="N7" s="116"/>
      <c r="O7" s="116"/>
      <c r="P7" s="116"/>
      <c r="Q7" s="11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8" t="s">
        <v>3</v>
      </c>
      <c r="C8" s="179"/>
      <c r="D8" s="179"/>
      <c r="E8" s="179"/>
      <c r="F8" s="180"/>
      <c r="G8" s="140"/>
      <c r="H8" s="140"/>
      <c r="I8" s="51" t="s">
        <v>6</v>
      </c>
      <c r="J8" s="37">
        <f>SUM(J14,J20)</f>
        <v>149.95926560000001</v>
      </c>
      <c r="K8" s="39">
        <f>J8/J7</f>
        <v>0.99946724322710345</v>
      </c>
      <c r="L8" s="115" t="s">
        <v>69</v>
      </c>
      <c r="M8" s="116"/>
      <c r="N8" s="116"/>
      <c r="O8" s="116"/>
      <c r="P8" s="116"/>
      <c r="Q8" s="11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1"/>
      <c r="C9" s="182"/>
      <c r="D9" s="182"/>
      <c r="E9" s="182"/>
      <c r="F9" s="183"/>
      <c r="G9" s="140"/>
      <c r="H9" s="140"/>
      <c r="I9" s="50" t="s">
        <v>8</v>
      </c>
      <c r="J9" s="40">
        <f t="shared" ref="J9:J10" si="0">SUM(J15,J21)</f>
        <v>7.3842399999999989E-2</v>
      </c>
      <c r="K9" s="39">
        <f>J9/J7</f>
        <v>4.9215405040815992E-4</v>
      </c>
      <c r="L9" s="115" t="s">
        <v>69</v>
      </c>
      <c r="M9" s="116"/>
      <c r="N9" s="116"/>
      <c r="O9" s="116"/>
      <c r="P9" s="116"/>
      <c r="Q9" s="11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4"/>
      <c r="C10" s="185"/>
      <c r="D10" s="185"/>
      <c r="E10" s="185"/>
      <c r="F10" s="186"/>
      <c r="G10" s="140"/>
      <c r="H10" s="140"/>
      <c r="I10" s="51" t="s">
        <v>9</v>
      </c>
      <c r="J10" s="40">
        <f t="shared" si="0"/>
        <v>6.0919999999999993E-3</v>
      </c>
      <c r="K10" s="39">
        <f>J10/J7</f>
        <v>4.0602722488522997E-5</v>
      </c>
      <c r="L10" s="115" t="s">
        <v>69</v>
      </c>
      <c r="M10" s="116"/>
      <c r="N10" s="116"/>
      <c r="O10" s="116"/>
      <c r="P10" s="116"/>
      <c r="Q10" s="11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3" t="s">
        <v>36</v>
      </c>
      <c r="C11" s="144"/>
      <c r="D11" s="144"/>
      <c r="E11" s="144"/>
      <c r="F11" s="145"/>
      <c r="G11" s="140"/>
      <c r="H11" s="140"/>
      <c r="I11" s="131"/>
      <c r="J11" s="131"/>
      <c r="K11" s="131"/>
      <c r="L11" s="131"/>
      <c r="M11" s="131"/>
      <c r="N11" s="131"/>
      <c r="O11" s="131"/>
      <c r="P11" s="131"/>
      <c r="Q11" s="13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6"/>
      <c r="C12" s="147"/>
      <c r="D12" s="147"/>
      <c r="E12" s="147"/>
      <c r="F12" s="148"/>
      <c r="G12" s="140"/>
      <c r="H12" s="140"/>
      <c r="I12" s="49" t="s">
        <v>51</v>
      </c>
      <c r="J12" s="49" t="s">
        <v>50</v>
      </c>
      <c r="K12" s="49" t="s">
        <v>46</v>
      </c>
      <c r="L12" s="132" t="s">
        <v>39</v>
      </c>
      <c r="M12" s="133"/>
      <c r="N12" s="133"/>
      <c r="O12" s="133"/>
      <c r="P12" s="133"/>
      <c r="Q12" s="13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5" t="s">
        <v>4</v>
      </c>
      <c r="C13" s="136"/>
      <c r="D13" s="168" t="s">
        <v>39</v>
      </c>
      <c r="E13" s="168"/>
      <c r="F13" s="168"/>
      <c r="G13" s="140"/>
      <c r="H13" s="140"/>
      <c r="I13" s="50" t="s">
        <v>5</v>
      </c>
      <c r="J13" s="41">
        <f>SUM(J14:J16)</f>
        <v>150</v>
      </c>
      <c r="K13" s="38">
        <f>J13/J13</f>
        <v>1</v>
      </c>
      <c r="L13" s="115" t="s">
        <v>71</v>
      </c>
      <c r="M13" s="116"/>
      <c r="N13" s="116"/>
      <c r="O13" s="116"/>
      <c r="P13" s="116"/>
      <c r="Q13" s="11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69" t="s">
        <v>17</v>
      </c>
      <c r="E14" s="169"/>
      <c r="F14" s="169"/>
      <c r="G14" s="140"/>
      <c r="H14" s="140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37" t="s">
        <v>70</v>
      </c>
      <c r="M14" s="138"/>
      <c r="N14" s="138"/>
      <c r="O14" s="138"/>
      <c r="P14" s="138"/>
      <c r="Q14" s="13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70" t="s">
        <v>60</v>
      </c>
      <c r="E15" s="170"/>
      <c r="F15" s="170"/>
      <c r="G15" s="140"/>
      <c r="H15" s="14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15" t="s">
        <v>69</v>
      </c>
      <c r="M15" s="116"/>
      <c r="N15" s="116"/>
      <c r="O15" s="116"/>
      <c r="P15" s="116"/>
      <c r="Q15" s="11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71" t="s">
        <v>40</v>
      </c>
      <c r="E16" s="172"/>
      <c r="F16" s="173"/>
      <c r="G16" s="140"/>
      <c r="H16" s="14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15" t="s">
        <v>69</v>
      </c>
      <c r="M16" s="116"/>
      <c r="N16" s="116"/>
      <c r="O16" s="116"/>
      <c r="P16" s="116"/>
      <c r="Q16" s="1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74" t="s">
        <v>61</v>
      </c>
      <c r="E17" s="175"/>
      <c r="F17" s="176"/>
      <c r="G17" s="140"/>
      <c r="H17" s="140"/>
      <c r="I17" s="137"/>
      <c r="J17" s="138"/>
      <c r="K17" s="138"/>
      <c r="L17" s="138"/>
      <c r="M17" s="138"/>
      <c r="N17" s="138"/>
      <c r="O17" s="138"/>
      <c r="P17" s="138"/>
      <c r="Q17" s="13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71" t="s">
        <v>41</v>
      </c>
      <c r="E18" s="172"/>
      <c r="F18" s="173"/>
      <c r="G18" s="140"/>
      <c r="H18" s="140"/>
      <c r="I18" s="49" t="s">
        <v>29</v>
      </c>
      <c r="J18" s="49" t="s">
        <v>50</v>
      </c>
      <c r="K18" s="49" t="s">
        <v>46</v>
      </c>
      <c r="L18" s="132" t="s">
        <v>39</v>
      </c>
      <c r="M18" s="133"/>
      <c r="N18" s="133"/>
      <c r="O18" s="133"/>
      <c r="P18" s="133"/>
      <c r="Q18" s="13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0"/>
      <c r="C19" s="170"/>
      <c r="D19" s="170"/>
      <c r="E19" s="170"/>
      <c r="F19" s="170"/>
      <c r="G19" s="140"/>
      <c r="H19" s="140"/>
      <c r="I19" s="50" t="s">
        <v>5</v>
      </c>
      <c r="J19" s="41">
        <f>SUM(J20:J22)</f>
        <v>3.9199999999999999E-2</v>
      </c>
      <c r="K19" s="38">
        <f>J19/J19</f>
        <v>1</v>
      </c>
      <c r="L19" s="115" t="s">
        <v>55</v>
      </c>
      <c r="M19" s="116"/>
      <c r="N19" s="116"/>
      <c r="O19" s="116"/>
      <c r="P19" s="116"/>
      <c r="Q19" s="11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5" t="s">
        <v>7</v>
      </c>
      <c r="C20" s="136"/>
      <c r="D20" s="168" t="s">
        <v>39</v>
      </c>
      <c r="E20" s="168"/>
      <c r="F20" s="168"/>
      <c r="G20" s="140"/>
      <c r="H20" s="14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3.6965599999999994E-2</v>
      </c>
      <c r="K20" s="39">
        <f>J20/J19</f>
        <v>0.94299999999999984</v>
      </c>
      <c r="L20" s="115" t="s">
        <v>69</v>
      </c>
      <c r="M20" s="116"/>
      <c r="N20" s="116"/>
      <c r="O20" s="116"/>
      <c r="P20" s="116"/>
      <c r="Q20" s="11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74" t="s">
        <v>61</v>
      </c>
      <c r="E21" s="175"/>
      <c r="F21" s="176"/>
      <c r="G21" s="140"/>
      <c r="H21" s="14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1.8423999999999999E-3</v>
      </c>
      <c r="K21" s="39">
        <f>J21/J19</f>
        <v>4.7E-2</v>
      </c>
      <c r="L21" s="115" t="s">
        <v>69</v>
      </c>
      <c r="M21" s="116"/>
      <c r="N21" s="116"/>
      <c r="O21" s="116"/>
      <c r="P21" s="116"/>
      <c r="Q21" s="11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77" t="s">
        <v>67</v>
      </c>
      <c r="E22" s="177"/>
      <c r="F22" s="177"/>
      <c r="G22" s="140"/>
      <c r="H22" s="14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3.9199999999999999E-4</v>
      </c>
      <c r="K22" s="39">
        <f>J22/J19</f>
        <v>0.01</v>
      </c>
      <c r="L22" s="115" t="s">
        <v>69</v>
      </c>
      <c r="M22" s="116"/>
      <c r="N22" s="116"/>
      <c r="O22" s="116"/>
      <c r="P22" s="116"/>
      <c r="Q22" s="11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5"/>
      <c r="C23" s="166"/>
      <c r="D23" s="166"/>
      <c r="E23" s="166"/>
      <c r="F23" s="167"/>
      <c r="G23" s="140"/>
      <c r="H23" s="140"/>
      <c r="I23" s="126"/>
      <c r="J23" s="127"/>
      <c r="K23" s="127"/>
      <c r="L23" s="127"/>
      <c r="M23" s="127"/>
      <c r="N23" s="127"/>
      <c r="O23" s="127"/>
      <c r="P23" s="127"/>
      <c r="Q23" s="12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3" t="s">
        <v>37</v>
      </c>
      <c r="C24" s="144"/>
      <c r="D24" s="144"/>
      <c r="E24" s="144"/>
      <c r="F24" s="145"/>
      <c r="G24" s="140"/>
      <c r="H24" s="140"/>
      <c r="I24" s="120" t="s">
        <v>42</v>
      </c>
      <c r="J24" s="121"/>
      <c r="K24" s="121"/>
      <c r="L24" s="121"/>
      <c r="M24" s="121"/>
      <c r="N24" s="121"/>
      <c r="O24" s="121"/>
      <c r="P24" s="121"/>
      <c r="Q24" s="12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6"/>
      <c r="C25" s="147"/>
      <c r="D25" s="147"/>
      <c r="E25" s="147"/>
      <c r="F25" s="148"/>
      <c r="G25" s="140"/>
      <c r="H25" s="140"/>
      <c r="I25" s="123"/>
      <c r="J25" s="124"/>
      <c r="K25" s="124"/>
      <c r="L25" s="124"/>
      <c r="M25" s="124"/>
      <c r="N25" s="124"/>
      <c r="O25" s="124"/>
      <c r="P25" s="124"/>
      <c r="Q25" s="125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1" t="s">
        <v>11</v>
      </c>
      <c r="C26" s="141" t="s">
        <v>12</v>
      </c>
      <c r="D26" s="149" t="s">
        <v>47</v>
      </c>
      <c r="E26" s="149" t="s">
        <v>48</v>
      </c>
      <c r="F26" s="151" t="s">
        <v>66</v>
      </c>
      <c r="G26" s="140"/>
      <c r="H26" s="140"/>
      <c r="I26" s="129" t="s">
        <v>53</v>
      </c>
      <c r="J26" s="129" t="s">
        <v>54</v>
      </c>
      <c r="K26" s="118" t="s">
        <v>73</v>
      </c>
      <c r="L26" s="118" t="s">
        <v>52</v>
      </c>
      <c r="M26" s="118" t="s">
        <v>59</v>
      </c>
      <c r="N26" s="118" t="s">
        <v>62</v>
      </c>
      <c r="O26" s="118" t="s">
        <v>72</v>
      </c>
      <c r="P26" s="118" t="s">
        <v>64</v>
      </c>
      <c r="Q26" s="118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2"/>
      <c r="C27" s="142"/>
      <c r="D27" s="150"/>
      <c r="E27" s="150"/>
      <c r="F27" s="152"/>
      <c r="G27" s="140"/>
      <c r="H27" s="140"/>
      <c r="I27" s="130"/>
      <c r="J27" s="130"/>
      <c r="K27" s="119"/>
      <c r="L27" s="119"/>
      <c r="M27" s="119"/>
      <c r="N27" s="119"/>
      <c r="O27" s="119"/>
      <c r="P27" s="119"/>
      <c r="Q27" s="119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40"/>
      <c r="H28" s="14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0.58104875936134615</v>
      </c>
      <c r="K28" s="95">
        <f t="shared" ref="K28:K47" si="3">IF(D28=0,"",1/(1+10^D28*$J$15/$J$14+10^E28*$J$16/$J$14+10^J28*$J$19/$J$14))</f>
        <v>0.97544083980400698</v>
      </c>
      <c r="L28" s="95">
        <f t="shared" ref="L28:L47" si="4">IF(D28=0,"",1/(1+10^I28/10^J28*$J$13/$J$19))</f>
        <v>9.7200729610893576E-4</v>
      </c>
      <c r="M28" s="95">
        <f t="shared" ref="M28:M47" si="5">IF(D28=0,"",1-L28)</f>
        <v>0.99902799270389109</v>
      </c>
      <c r="N28" s="95">
        <f t="shared" ref="N28:N47" si="6">IF(D28=0,"",1/(1/10^E28*$J$20/$J$22+10^D28/10^E28*$J$21/$J$22+10^I28/10^E28*$J$13/$J$22+1))</f>
        <v>2.0373505716458819E-4</v>
      </c>
      <c r="O28" s="40">
        <f t="shared" ref="O28:O47" si="7">IF(D28=0,"",F28*K28*$J$7/$J$14)</f>
        <v>9.7620142734950936E-7</v>
      </c>
      <c r="P28" s="40">
        <f t="shared" ref="P28:P47" si="8">IF(D28=0,"",O28*10^J28)</f>
        <v>3.7203876811823438E-6</v>
      </c>
      <c r="Q28" s="40">
        <f t="shared" ref="Q28:Q47" si="9">IF(D28=0,"",F28*N28*$J$7/$J$22)</f>
        <v>7.7980216808492541E-5</v>
      </c>
      <c r="R28" s="9">
        <f>F28*$C$14</f>
        <v>1.4999999999999999E-4</v>
      </c>
      <c r="S28" s="9">
        <f>$R28*L28</f>
        <v>1.4580109441634035E-7</v>
      </c>
      <c r="T28" s="9">
        <f t="shared" ref="T28:T49" si="10">R28*K28</f>
        <v>1.4631612597060104E-4</v>
      </c>
      <c r="U28" s="9">
        <f t="shared" ref="U28:U49" si="11">$R28*M28</f>
        <v>1.4985419890558365E-4</v>
      </c>
      <c r="V28" s="102">
        <f>K28/M28</f>
        <v>0.97638989790862118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40"/>
      <c r="H29" s="140"/>
      <c r="I29" s="94">
        <f t="shared" si="1"/>
        <v>1.7268855172909561</v>
      </c>
      <c r="J29" s="94">
        <f t="shared" si="2"/>
        <v>3.9742395242673396</v>
      </c>
      <c r="K29" s="95">
        <f t="shared" si="3"/>
        <v>1.7917559598612031E-2</v>
      </c>
      <c r="L29" s="95">
        <f t="shared" si="4"/>
        <v>4.4150762945169578E-2</v>
      </c>
      <c r="M29" s="95">
        <f t="shared" si="5"/>
        <v>0.95584923705483038</v>
      </c>
      <c r="N29" s="95">
        <f t="shared" si="6"/>
        <v>3.208342235645284E-2</v>
      </c>
      <c r="O29" s="40">
        <f t="shared" si="7"/>
        <v>1.7931530587031215E-8</v>
      </c>
      <c r="P29" s="40">
        <f t="shared" si="8"/>
        <v>1.689883967266043E-4</v>
      </c>
      <c r="Q29" s="40">
        <f t="shared" si="9"/>
        <v>1.2280028121490557E-2</v>
      </c>
      <c r="R29" s="9">
        <f>F29*$C$14</f>
        <v>1.4999999999999999E-4</v>
      </c>
      <c r="S29" s="9">
        <f t="shared" ref="S29:S49" si="12">$R29*L29</f>
        <v>6.6226144417754359E-6</v>
      </c>
      <c r="T29" s="9">
        <f t="shared" si="10"/>
        <v>2.6876339397918046E-6</v>
      </c>
      <c r="U29" s="9">
        <f t="shared" si="11"/>
        <v>1.4337738555822454E-4</v>
      </c>
      <c r="V29" s="102">
        <f t="shared" ref="V29:V49" si="13">K29/M29</f>
        <v>1.8745173301408648E-2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40"/>
      <c r="H30" s="140"/>
      <c r="I30" s="94">
        <f t="shared" si="1"/>
        <v>4.916346796550199</v>
      </c>
      <c r="J30" s="94">
        <f t="shared" si="2"/>
        <v>7.3139190043882349</v>
      </c>
      <c r="K30" s="95">
        <f t="shared" si="3"/>
        <v>1.1375361621764919E-5</v>
      </c>
      <c r="L30" s="95">
        <f t="shared" si="4"/>
        <v>6.1277924459377707E-2</v>
      </c>
      <c r="M30" s="95">
        <f t="shared" si="5"/>
        <v>0.93872207554062226</v>
      </c>
      <c r="N30" s="95">
        <f t="shared" si="6"/>
        <v>5.9334876468086703E-2</v>
      </c>
      <c r="O30" s="40">
        <f t="shared" si="7"/>
        <v>1.1384231414808276E-11</v>
      </c>
      <c r="P30" s="40">
        <f t="shared" si="8"/>
        <v>2.3454313172309896E-4</v>
      </c>
      <c r="Q30" s="40">
        <f t="shared" si="9"/>
        <v>2.2710605605537129E-2</v>
      </c>
      <c r="R30" s="9">
        <f t="shared" ref="R30:R49" si="14">F30*$C$14</f>
        <v>1.4999999999999999E-4</v>
      </c>
      <c r="S30" s="9">
        <f t="shared" si="12"/>
        <v>9.191688668906656E-6</v>
      </c>
      <c r="T30" s="9">
        <f t="shared" si="10"/>
        <v>1.7063042432647378E-9</v>
      </c>
      <c r="U30" s="9">
        <f t="shared" si="11"/>
        <v>1.4080831133109334E-4</v>
      </c>
      <c r="V30" s="102">
        <f t="shared" si="13"/>
        <v>1.2117922778383261E-5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40"/>
      <c r="H31" s="140"/>
      <c r="I31" s="94">
        <f t="shared" si="1"/>
        <v>0.45156382049297444</v>
      </c>
      <c r="J31" s="94">
        <f t="shared" si="2"/>
        <v>2.4832149549104936</v>
      </c>
      <c r="K31" s="95">
        <f t="shared" si="3"/>
        <v>0.34369402391573134</v>
      </c>
      <c r="L31" s="95">
        <f t="shared" si="4"/>
        <v>2.7340519757764664E-2</v>
      </c>
      <c r="M31" s="95">
        <f t="shared" si="5"/>
        <v>0.97265948024223536</v>
      </c>
      <c r="N31" s="95">
        <f t="shared" si="6"/>
        <v>1.7775049202865715E-2</v>
      </c>
      <c r="O31" s="40">
        <f t="shared" si="7"/>
        <v>3.4396201494438908E-7</v>
      </c>
      <c r="P31" s="40">
        <f t="shared" si="8"/>
        <v>1.0464667632753068E-4</v>
      </c>
      <c r="Q31" s="40">
        <f t="shared" si="9"/>
        <v>6.8034544958127802E-3</v>
      </c>
      <c r="R31" s="9">
        <f t="shared" si="14"/>
        <v>1.4999999999999999E-4</v>
      </c>
      <c r="S31" s="9">
        <f t="shared" si="12"/>
        <v>4.1010779636646992E-6</v>
      </c>
      <c r="T31" s="9">
        <f t="shared" si="10"/>
        <v>5.15541035873597E-5</v>
      </c>
      <c r="U31" s="9">
        <f t="shared" si="11"/>
        <v>1.4589892203633529E-4</v>
      </c>
      <c r="V31" s="102">
        <f t="shared" si="13"/>
        <v>0.35335493139915347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40"/>
      <c r="H32" s="140"/>
      <c r="I32" s="94">
        <f t="shared" si="1"/>
        <v>2.9114243406645759</v>
      </c>
      <c r="J32" s="94">
        <f t="shared" si="2"/>
        <v>5.1720950211816961</v>
      </c>
      <c r="K32" s="95">
        <f t="shared" si="3"/>
        <v>1.1698856025787038E-3</v>
      </c>
      <c r="L32" s="95">
        <f t="shared" si="4"/>
        <v>4.5463016520151021E-2</v>
      </c>
      <c r="M32" s="95">
        <f t="shared" si="5"/>
        <v>0.95453698347984894</v>
      </c>
      <c r="N32" s="95">
        <f t="shared" si="6"/>
        <v>3.3550826801868994E-2</v>
      </c>
      <c r="O32" s="40">
        <f t="shared" si="7"/>
        <v>1.1707978059463244E-9</v>
      </c>
      <c r="P32" s="40">
        <f t="shared" si="8"/>
        <v>1.7401108745587361E-4</v>
      </c>
      <c r="Q32" s="40">
        <f t="shared" si="9"/>
        <v>1.2841681665028014E-2</v>
      </c>
      <c r="R32" s="9">
        <f t="shared" si="14"/>
        <v>1.4999999999999999E-4</v>
      </c>
      <c r="S32" s="9">
        <f t="shared" si="12"/>
        <v>6.8194524780226525E-6</v>
      </c>
      <c r="T32" s="9">
        <f t="shared" si="10"/>
        <v>1.7548284038680555E-7</v>
      </c>
      <c r="U32" s="9">
        <f t="shared" si="11"/>
        <v>1.4318054752197732E-4</v>
      </c>
      <c r="V32" s="102">
        <f t="shared" si="13"/>
        <v>1.2256053173694563E-3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40"/>
      <c r="H33" s="140"/>
      <c r="I33" s="94">
        <f t="shared" si="1"/>
        <v>2.4659786116205753</v>
      </c>
      <c r="J33" s="94">
        <f t="shared" si="2"/>
        <v>4.6975737297600579</v>
      </c>
      <c r="K33" s="95">
        <f t="shared" si="3"/>
        <v>3.2724242055331156E-3</v>
      </c>
      <c r="L33" s="95">
        <f t="shared" si="4"/>
        <v>4.2644512785624325E-2</v>
      </c>
      <c r="M33" s="95">
        <f t="shared" si="5"/>
        <v>0.95735548721437569</v>
      </c>
      <c r="N33" s="95">
        <f t="shared" si="6"/>
        <v>2.9032165250276153E-2</v>
      </c>
      <c r="O33" s="40">
        <f t="shared" si="7"/>
        <v>3.2749758365421566E-9</v>
      </c>
      <c r="P33" s="40">
        <f t="shared" si="8"/>
        <v>1.6322317813124618E-4</v>
      </c>
      <c r="Q33" s="40">
        <f t="shared" si="9"/>
        <v>1.1112150123518452E-2</v>
      </c>
      <c r="R33" s="9">
        <f t="shared" si="14"/>
        <v>1.4999999999999999E-4</v>
      </c>
      <c r="S33" s="9">
        <f t="shared" si="12"/>
        <v>6.3966769178436483E-6</v>
      </c>
      <c r="T33" s="9">
        <f t="shared" si="10"/>
        <v>4.9086363082996727E-7</v>
      </c>
      <c r="U33" s="9">
        <f t="shared" si="11"/>
        <v>1.4360332308215634E-4</v>
      </c>
      <c r="V33" s="102">
        <f t="shared" si="13"/>
        <v>3.4181913084918043E-3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40"/>
      <c r="H34" s="140"/>
      <c r="I34" s="94">
        <f t="shared" si="1"/>
        <v>2.4593424067669152</v>
      </c>
      <c r="J34" s="94">
        <f t="shared" si="2"/>
        <v>4.7102525015633843</v>
      </c>
      <c r="K34" s="95">
        <f t="shared" si="3"/>
        <v>3.3163804652228527E-3</v>
      </c>
      <c r="L34" s="95">
        <f t="shared" si="4"/>
        <v>4.4497609523246072E-2</v>
      </c>
      <c r="M34" s="95">
        <f t="shared" si="5"/>
        <v>0.95550239047675389</v>
      </c>
      <c r="N34" s="95">
        <f t="shared" si="6"/>
        <v>3.206063937567824E-2</v>
      </c>
      <c r="O34" s="40">
        <f t="shared" si="7"/>
        <v>3.3189663705643828E-9</v>
      </c>
      <c r="P34" s="40">
        <f t="shared" si="8"/>
        <v>1.7031596262194443E-4</v>
      </c>
      <c r="Q34" s="40">
        <f t="shared" si="9"/>
        <v>1.2271307865855263E-2</v>
      </c>
      <c r="R34" s="9">
        <f t="shared" si="14"/>
        <v>1.4999999999999999E-4</v>
      </c>
      <c r="S34" s="9">
        <f t="shared" si="12"/>
        <v>6.6746414284869105E-6</v>
      </c>
      <c r="T34" s="9">
        <f t="shared" si="10"/>
        <v>4.9745706978342788E-7</v>
      </c>
      <c r="U34" s="9">
        <f t="shared" si="11"/>
        <v>1.4332535857151306E-4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40"/>
      <c r="H35" s="140"/>
      <c r="I35" s="94">
        <f t="shared" si="1"/>
        <v>0.12015758400049081</v>
      </c>
      <c r="J35" s="94">
        <f t="shared" si="2"/>
        <v>1.6372026725125763</v>
      </c>
      <c r="K35" s="95">
        <f t="shared" si="3"/>
        <v>0.75145094217670705</v>
      </c>
      <c r="L35" s="95">
        <f t="shared" si="4"/>
        <v>8.5216390837029397E-3</v>
      </c>
      <c r="M35" s="95">
        <f t="shared" si="5"/>
        <v>0.99147836091629704</v>
      </c>
      <c r="N35" s="95">
        <f t="shared" si="6"/>
        <v>3.4946079784404617E-3</v>
      </c>
      <c r="O35" s="40">
        <f t="shared" si="7"/>
        <v>7.520368764582678E-7</v>
      </c>
      <c r="P35" s="40">
        <f t="shared" si="8"/>
        <v>3.2616834459375561E-5</v>
      </c>
      <c r="Q35" s="40">
        <f t="shared" si="9"/>
        <v>1.3375719015276124E-3</v>
      </c>
      <c r="R35" s="9">
        <f t="shared" si="14"/>
        <v>1.4999999999999999E-4</v>
      </c>
      <c r="S35" s="9">
        <f t="shared" si="12"/>
        <v>1.2782458625554408E-6</v>
      </c>
      <c r="T35" s="9">
        <f t="shared" si="10"/>
        <v>1.1271764132650605E-4</v>
      </c>
      <c r="U35" s="9">
        <f t="shared" si="11"/>
        <v>1.4872175413744454E-4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40"/>
      <c r="H36" s="140"/>
      <c r="I36" s="94">
        <f t="shared" si="1"/>
        <v>5.3597305230687828</v>
      </c>
      <c r="J36" s="94">
        <f t="shared" si="2"/>
        <v>7.7589368452238956</v>
      </c>
      <c r="K36" s="95">
        <f t="shared" si="3"/>
        <v>4.0971434803511412E-6</v>
      </c>
      <c r="L36" s="95">
        <f t="shared" si="4"/>
        <v>6.149472292437172E-2</v>
      </c>
      <c r="M36" s="95">
        <f t="shared" si="5"/>
        <v>0.93850527707562825</v>
      </c>
      <c r="N36" s="95">
        <f t="shared" si="6"/>
        <v>5.9688684006026831E-2</v>
      </c>
      <c r="O36" s="40">
        <f t="shared" si="7"/>
        <v>4.1003381756890128E-12</v>
      </c>
      <c r="P36" s="40">
        <f t="shared" si="8"/>
        <v>2.3537293448455139E-4</v>
      </c>
      <c r="Q36" s="40">
        <f t="shared" si="9"/>
        <v>2.284602652376801E-2</v>
      </c>
      <c r="R36" s="9">
        <f t="shared" si="14"/>
        <v>1.4999999999999999E-4</v>
      </c>
      <c r="S36" s="9">
        <f t="shared" si="12"/>
        <v>9.2242084386557568E-6</v>
      </c>
      <c r="T36" s="9">
        <f t="shared" si="10"/>
        <v>6.1457152205267116E-10</v>
      </c>
      <c r="U36" s="9">
        <f t="shared" si="11"/>
        <v>1.4077579156134421E-4</v>
      </c>
      <c r="V36" s="102">
        <f t="shared" si="13"/>
        <v>4.3656051600666474E-6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40"/>
      <c r="H37" s="140"/>
      <c r="I37" s="94">
        <f t="shared" si="1"/>
        <v>1.080392983851221</v>
      </c>
      <c r="J37" s="94">
        <f t="shared" si="2"/>
        <v>3.2768864285866712</v>
      </c>
      <c r="K37" s="95">
        <f t="shared" si="3"/>
        <v>7.978028957898349E-2</v>
      </c>
      <c r="L37" s="95">
        <f t="shared" si="4"/>
        <v>3.9464069538896765E-2</v>
      </c>
      <c r="M37" s="95">
        <f t="shared" si="5"/>
        <v>0.96053593046110319</v>
      </c>
      <c r="N37" s="95">
        <f t="shared" si="6"/>
        <v>2.6925293071837584E-2</v>
      </c>
      <c r="O37" s="40">
        <f t="shared" si="7"/>
        <v>7.9842497241564583E-8</v>
      </c>
      <c r="P37" s="40">
        <f t="shared" si="8"/>
        <v>1.5104993424388879E-4</v>
      </c>
      <c r="Q37" s="40">
        <f t="shared" si="9"/>
        <v>1.0305738347612382E-2</v>
      </c>
      <c r="R37" s="9">
        <f t="shared" si="14"/>
        <v>1.4999999999999999E-4</v>
      </c>
      <c r="S37" s="9">
        <f t="shared" si="12"/>
        <v>5.9196104308345146E-6</v>
      </c>
      <c r="T37" s="9">
        <f t="shared" si="10"/>
        <v>1.1967043436847522E-5</v>
      </c>
      <c r="U37" s="9">
        <f t="shared" si="11"/>
        <v>1.4408038956916546E-4</v>
      </c>
      <c r="V37" s="102">
        <f t="shared" si="13"/>
        <v>8.3058100221909598E-2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40"/>
      <c r="H38" s="140"/>
      <c r="I38" s="94">
        <f t="shared" si="1"/>
        <v>0.16668848098518507</v>
      </c>
      <c r="J38" s="94">
        <f t="shared" si="2"/>
        <v>1.849020080439971</v>
      </c>
      <c r="K38" s="95">
        <f t="shared" si="3"/>
        <v>0.6724485583537213</v>
      </c>
      <c r="L38" s="95">
        <f t="shared" si="4"/>
        <v>1.241935319174672E-2</v>
      </c>
      <c r="M38" s="95">
        <f t="shared" si="5"/>
        <v>0.9875806468082533</v>
      </c>
      <c r="N38" s="95">
        <f t="shared" si="6"/>
        <v>6.6723358404826832E-3</v>
      </c>
      <c r="O38" s="40">
        <f t="shared" si="7"/>
        <v>6.7297289153478598E-7</v>
      </c>
      <c r="P38" s="40">
        <f t="shared" si="8"/>
        <v>4.7535454525691957E-5</v>
      </c>
      <c r="Q38" s="40">
        <f t="shared" si="9"/>
        <v>2.5538569684626258E-3</v>
      </c>
      <c r="R38" s="9">
        <f t="shared" si="14"/>
        <v>1.4999999999999999E-4</v>
      </c>
      <c r="S38" s="9">
        <f t="shared" si="12"/>
        <v>1.8629029787620078E-6</v>
      </c>
      <c r="T38" s="9">
        <f t="shared" si="10"/>
        <v>1.0086728375305818E-4</v>
      </c>
      <c r="U38" s="9">
        <f t="shared" si="11"/>
        <v>1.4813709702123798E-4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40"/>
      <c r="H39" s="140"/>
      <c r="I39" s="94">
        <f t="shared" si="1"/>
        <v>-1.6807124166640264E-5</v>
      </c>
      <c r="J39" s="94">
        <f t="shared" si="2"/>
        <v>-4.2614210599769727E-3</v>
      </c>
      <c r="K39" s="95">
        <f t="shared" si="3"/>
        <v>0.99926207989209426</v>
      </c>
      <c r="L39" s="95">
        <f t="shared" si="4"/>
        <v>2.5872465517770088E-4</v>
      </c>
      <c r="M39" s="95">
        <f t="shared" si="5"/>
        <v>0.99974127534482227</v>
      </c>
      <c r="N39" s="95">
        <f t="shared" si="6"/>
        <v>1.2655701935543787E-7</v>
      </c>
      <c r="O39" s="40">
        <f t="shared" si="7"/>
        <v>1.00004124174553E-6</v>
      </c>
      <c r="P39" s="40">
        <f t="shared" si="8"/>
        <v>9.902765378351552E-7</v>
      </c>
      <c r="Q39" s="40">
        <f t="shared" si="9"/>
        <v>4.8440086577740848E-8</v>
      </c>
      <c r="R39" s="9">
        <f t="shared" si="14"/>
        <v>1.4999999999999999E-4</v>
      </c>
      <c r="S39" s="9">
        <f t="shared" si="12"/>
        <v>3.8808698276655132E-8</v>
      </c>
      <c r="T39" s="9">
        <f t="shared" si="10"/>
        <v>1.4988931198381414E-4</v>
      </c>
      <c r="U39" s="9">
        <f t="shared" si="11"/>
        <v>1.4996119130172332E-4</v>
      </c>
      <c r="V39" s="102">
        <f t="shared" si="13"/>
        <v>0.9995206805355088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40"/>
      <c r="H40" s="140"/>
      <c r="I40" s="94">
        <f t="shared" si="1"/>
        <v>0.30972420580945559</v>
      </c>
      <c r="J40" s="94">
        <f t="shared" si="2"/>
        <v>2.1415977618226001</v>
      </c>
      <c r="K40" s="95">
        <f t="shared" si="3"/>
        <v>0.48129563960816168</v>
      </c>
      <c r="L40" s="95">
        <f t="shared" si="4"/>
        <v>1.7435303825231042E-2</v>
      </c>
      <c r="M40" s="95">
        <f t="shared" si="5"/>
        <v>0.98256469617476894</v>
      </c>
      <c r="N40" s="95">
        <f t="shared" si="6"/>
        <v>7.1501764266886699E-3</v>
      </c>
      <c r="O40" s="40">
        <f t="shared" si="7"/>
        <v>4.8167092374047669E-7</v>
      </c>
      <c r="P40" s="40">
        <f t="shared" si="8"/>
        <v>6.6734159124862363E-5</v>
      </c>
      <c r="Q40" s="40">
        <f t="shared" si="9"/>
        <v>2.7367519156102716E-3</v>
      </c>
      <c r="R40" s="9">
        <f t="shared" si="14"/>
        <v>1.4999999999999999E-4</v>
      </c>
      <c r="S40" s="9">
        <f t="shared" si="12"/>
        <v>2.6152955737846563E-6</v>
      </c>
      <c r="T40" s="9">
        <f t="shared" si="10"/>
        <v>7.2194345941224242E-5</v>
      </c>
      <c r="U40" s="9">
        <f t="shared" si="11"/>
        <v>1.4738470442621533E-4</v>
      </c>
      <c r="V40" s="102">
        <f t="shared" si="13"/>
        <v>0.48983608049617278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40"/>
      <c r="H41" s="140"/>
      <c r="I41" s="94">
        <f t="shared" si="1"/>
        <v>0.35763444792585858</v>
      </c>
      <c r="J41" s="94">
        <f t="shared" si="2"/>
        <v>2.2248030285357943</v>
      </c>
      <c r="K41" s="95">
        <f t="shared" si="3"/>
        <v>0.43038891869277668</v>
      </c>
      <c r="L41" s="95">
        <f t="shared" si="4"/>
        <v>1.8883562945855591E-2</v>
      </c>
      <c r="M41" s="95">
        <f t="shared" si="5"/>
        <v>0.98111643705414442</v>
      </c>
      <c r="N41" s="95">
        <f t="shared" si="6"/>
        <v>7.4610836949612199E-3</v>
      </c>
      <c r="O41" s="40">
        <f t="shared" si="7"/>
        <v>4.3072450895916923E-7</v>
      </c>
      <c r="P41" s="40">
        <f t="shared" si="8"/>
        <v>7.2277415243515733E-5</v>
      </c>
      <c r="Q41" s="40">
        <f t="shared" si="9"/>
        <v>2.8557526242985343E-3</v>
      </c>
      <c r="R41" s="9">
        <f t="shared" si="14"/>
        <v>1.4999999999999999E-4</v>
      </c>
      <c r="S41" s="9">
        <f t="shared" si="12"/>
        <v>2.8325344418783383E-6</v>
      </c>
      <c r="T41" s="9">
        <f t="shared" si="10"/>
        <v>6.45583378039165E-5</v>
      </c>
      <c r="U41" s="9">
        <f t="shared" si="11"/>
        <v>1.4716746555812164E-4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40"/>
      <c r="H42" s="140"/>
      <c r="I42" s="94">
        <f t="shared" si="1"/>
        <v>1.4796577057346771</v>
      </c>
      <c r="J42" s="94">
        <f t="shared" si="2"/>
        <v>3.7475217398878207</v>
      </c>
      <c r="K42" s="95">
        <f t="shared" si="3"/>
        <v>3.1592238647765794E-2</v>
      </c>
      <c r="L42" s="95">
        <f t="shared" si="4"/>
        <v>4.6187235862178357E-2</v>
      </c>
      <c r="M42" s="95">
        <f t="shared" si="5"/>
        <v>0.95381276413782168</v>
      </c>
      <c r="N42" s="95">
        <f t="shared" si="6"/>
        <v>3.5961535918775892E-2</v>
      </c>
      <c r="O42" s="40">
        <f t="shared" si="7"/>
        <v>3.1616872292646657E-8</v>
      </c>
      <c r="P42" s="40">
        <f t="shared" si="8"/>
        <v>1.7678305915746304E-4</v>
      </c>
      <c r="Q42" s="40">
        <f t="shared" si="9"/>
        <v>1.3764387959245918E-2</v>
      </c>
      <c r="R42" s="9">
        <f t="shared" si="14"/>
        <v>1.4999999999999999E-4</v>
      </c>
      <c r="S42" s="9">
        <f t="shared" si="12"/>
        <v>6.9280853793267525E-6</v>
      </c>
      <c r="T42" s="9">
        <f t="shared" si="10"/>
        <v>4.7388357971648686E-6</v>
      </c>
      <c r="U42" s="9">
        <f t="shared" si="11"/>
        <v>1.4307191462067324E-4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40"/>
      <c r="H43" s="140"/>
      <c r="I43" s="94">
        <f t="shared" si="1"/>
        <v>1.2498866711591912</v>
      </c>
      <c r="J43" s="94">
        <f t="shared" si="2"/>
        <v>3.4655852041320223</v>
      </c>
      <c r="K43" s="95">
        <f t="shared" si="3"/>
        <v>5.3904831512165935E-2</v>
      </c>
      <c r="L43" s="95">
        <f t="shared" si="4"/>
        <v>4.1174916568832876E-2</v>
      </c>
      <c r="M43" s="95">
        <f t="shared" si="5"/>
        <v>0.95882508343116712</v>
      </c>
      <c r="N43" s="95">
        <f t="shared" si="6"/>
        <v>2.8675336549135233E-2</v>
      </c>
      <c r="O43" s="40">
        <f t="shared" si="7"/>
        <v>5.3946863116562149E-8</v>
      </c>
      <c r="P43" s="40">
        <f t="shared" si="8"/>
        <v>1.5759825362383754E-4</v>
      </c>
      <c r="Q43" s="40">
        <f t="shared" si="9"/>
        <v>1.0975572845824007E-2</v>
      </c>
      <c r="R43" s="9">
        <f t="shared" si="14"/>
        <v>1.4999999999999999E-4</v>
      </c>
      <c r="S43" s="9">
        <f t="shared" si="12"/>
        <v>6.1762374853249309E-6</v>
      </c>
      <c r="T43" s="9">
        <f t="shared" si="10"/>
        <v>8.0857247268248894E-6</v>
      </c>
      <c r="U43" s="9">
        <f t="shared" si="11"/>
        <v>1.4382376251467505E-4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40"/>
      <c r="H44" s="140"/>
      <c r="I44" s="94">
        <f t="shared" si="1"/>
        <v>0.14841008082679891</v>
      </c>
      <c r="J44" s="94">
        <f t="shared" si="2"/>
        <v>1.7919988422958726</v>
      </c>
      <c r="K44" s="95">
        <f t="shared" si="3"/>
        <v>0.70209848267259034</v>
      </c>
      <c r="L44" s="95">
        <f t="shared" si="4"/>
        <v>1.1371472555722628E-2</v>
      </c>
      <c r="M44" s="95">
        <f t="shared" si="5"/>
        <v>0.98862852744427743</v>
      </c>
      <c r="N44" s="95">
        <f t="shared" si="6"/>
        <v>6.1574637713328615E-3</v>
      </c>
      <c r="O44" s="40">
        <f t="shared" si="7"/>
        <v>7.026459350037273E-7</v>
      </c>
      <c r="P44" s="40">
        <f t="shared" si="8"/>
        <v>4.3524659313331075E-5</v>
      </c>
      <c r="Q44" s="40">
        <f t="shared" si="9"/>
        <v>2.3567881078565443E-3</v>
      </c>
      <c r="R44" s="9">
        <f t="shared" si="14"/>
        <v>1.4999999999999999E-4</v>
      </c>
      <c r="S44" s="9">
        <f t="shared" si="12"/>
        <v>1.7057208833583941E-6</v>
      </c>
      <c r="T44" s="9">
        <f t="shared" si="10"/>
        <v>1.0531477240088854E-4</v>
      </c>
      <c r="U44" s="9">
        <f t="shared" si="11"/>
        <v>1.482942791166416E-4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40"/>
      <c r="H45" s="140"/>
      <c r="I45" s="94">
        <f t="shared" si="1"/>
        <v>1.3452769109111</v>
      </c>
      <c r="J45" s="94">
        <f t="shared" si="2"/>
        <v>3.5094172504294607</v>
      </c>
      <c r="K45" s="95">
        <f t="shared" si="3"/>
        <v>4.3475422815572422E-2</v>
      </c>
      <c r="L45" s="95">
        <f t="shared" si="4"/>
        <v>3.6735072017928409E-2</v>
      </c>
      <c r="M45" s="95">
        <f t="shared" si="5"/>
        <v>0.96326492798207164</v>
      </c>
      <c r="N45" s="95">
        <f t="shared" si="6"/>
        <v>2.1002724962040399E-2</v>
      </c>
      <c r="O45" s="40">
        <f t="shared" si="7"/>
        <v>4.3509322221645705E-8</v>
      </c>
      <c r="P45" s="40">
        <f t="shared" si="8"/>
        <v>1.4060461269164198E-4</v>
      </c>
      <c r="Q45" s="40">
        <f t="shared" si="9"/>
        <v>8.0388572732769687E-3</v>
      </c>
      <c r="R45" s="9">
        <f t="shared" si="14"/>
        <v>1.4999999999999999E-4</v>
      </c>
      <c r="S45" s="9">
        <f t="shared" si="12"/>
        <v>5.5102608026892607E-6</v>
      </c>
      <c r="T45" s="9">
        <f t="shared" si="10"/>
        <v>6.5213134223358625E-6</v>
      </c>
      <c r="U45" s="9">
        <f t="shared" si="11"/>
        <v>1.4448973919731073E-4</v>
      </c>
      <c r="V45" s="102">
        <f t="shared" si="13"/>
        <v>4.5133401572761911E-2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40"/>
      <c r="H46" s="140"/>
      <c r="I46" s="94">
        <f t="shared" si="1"/>
        <v>0.12747825886296762</v>
      </c>
      <c r="J46" s="94">
        <f t="shared" si="2"/>
        <v>1.7105800211348248</v>
      </c>
      <c r="K46" s="95">
        <f t="shared" si="3"/>
        <v>0.73785734903434452</v>
      </c>
      <c r="L46" s="95">
        <f t="shared" si="4"/>
        <v>9.9076865679847397E-3</v>
      </c>
      <c r="M46" s="95">
        <f t="shared" si="5"/>
        <v>0.99009231343201531</v>
      </c>
      <c r="N46" s="95">
        <f t="shared" si="6"/>
        <v>5.2098382263907174E-3</v>
      </c>
      <c r="O46" s="40">
        <f t="shared" si="7"/>
        <v>7.3843268388514453E-7</v>
      </c>
      <c r="P46" s="40">
        <f t="shared" si="8"/>
        <v>3.7921973635489172E-5</v>
      </c>
      <c r="Q46" s="40">
        <f t="shared" si="9"/>
        <v>1.9940815296354136E-3</v>
      </c>
      <c r="R46" s="9">
        <f t="shared" si="14"/>
        <v>1.4999999999999999E-4</v>
      </c>
      <c r="S46" s="9">
        <f t="shared" si="12"/>
        <v>1.4861529851977109E-6</v>
      </c>
      <c r="T46" s="9">
        <f t="shared" si="10"/>
        <v>1.1067860235515167E-4</v>
      </c>
      <c r="U46" s="9">
        <f t="shared" si="11"/>
        <v>1.4851384701480228E-4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40"/>
      <c r="H47" s="140"/>
      <c r="I47" s="94">
        <f t="shared" si="1"/>
        <v>0.71310437974280194</v>
      </c>
      <c r="J47" s="94">
        <f t="shared" si="2"/>
        <v>2.7189105100885862</v>
      </c>
      <c r="K47" s="95">
        <f t="shared" si="3"/>
        <v>0.18850286930042429</v>
      </c>
      <c r="L47" s="95">
        <f t="shared" si="4"/>
        <v>2.5801699095305358E-2</v>
      </c>
      <c r="M47" s="95">
        <f t="shared" si="5"/>
        <v>0.97419830090469461</v>
      </c>
      <c r="N47" s="95">
        <f t="shared" si="6"/>
        <v>8.9982446322313774E-3</v>
      </c>
      <c r="O47" s="40">
        <f t="shared" si="7"/>
        <v>1.8864985200694102E-7</v>
      </c>
      <c r="P47" s="40">
        <f t="shared" si="8"/>
        <v>9.8756793135212754E-5</v>
      </c>
      <c r="Q47" s="40">
        <f t="shared" si="9"/>
        <v>3.4441056786333928E-3</v>
      </c>
      <c r="R47" s="9">
        <f t="shared" si="14"/>
        <v>1.4999999999999999E-4</v>
      </c>
      <c r="S47" s="9">
        <f t="shared" si="12"/>
        <v>3.8702548642958032E-6</v>
      </c>
      <c r="T47" s="9">
        <f t="shared" si="10"/>
        <v>2.827543039506364E-5</v>
      </c>
      <c r="U47" s="9">
        <f t="shared" si="11"/>
        <v>1.4612974513570417E-4</v>
      </c>
      <c r="V47" s="102">
        <f t="shared" si="13"/>
        <v>0.1934953788416281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40"/>
      <c r="H48" s="14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0.90809484007231756</v>
      </c>
      <c r="K48" s="95">
        <f t="shared" ref="K48:K50" si="17">IF(D48=0,"",1/(1+10^D48*$J$15/$J$14+10^E48*$J$16/$J$14+10^J48*$J$19/$J$14))</f>
        <v>0.942714375234459</v>
      </c>
      <c r="L48" s="95">
        <f t="shared" ref="L48:L50" si="18">IF(D48=0,"",1/(1+10^I48/10^J48*$J$13/$J$19))</f>
        <v>1.9947790592979605E-3</v>
      </c>
      <c r="M48" s="95">
        <f t="shared" ref="M48:M92" si="19">IF(D48=0,"",1-L48)</f>
        <v>0.99800522094070199</v>
      </c>
      <c r="N48" s="95">
        <f t="shared" ref="N48:N50" si="20">IF(D48=0,"",1/(1/10^E48*$J$20/$J$22+10^D48/10^E48*$J$21/$J$22+10^I48/10^E48*$J$13/$J$22+1))</f>
        <v>5.5342906078155831E-4</v>
      </c>
      <c r="O48" s="40">
        <f t="shared" ref="O48:O92" si="21">IF(D48=0,"",F48*K48*$J$7/$J$14)</f>
        <v>9.4344944473689393E-7</v>
      </c>
      <c r="P48" s="40">
        <f t="shared" ref="P48:P50" si="22">IF(D48=0,"",O48*10^J48)</f>
        <v>7.6350779141280224E-6</v>
      </c>
      <c r="Q48" s="40">
        <f t="shared" ref="Q48:Q50" si="23">IF(D48=0,"",F48*N48*$J$7/$J$22)</f>
        <v>2.1182666718473563E-4</v>
      </c>
      <c r="R48" s="9">
        <f t="shared" si="14"/>
        <v>1.4999999999999999E-4</v>
      </c>
      <c r="S48" s="9">
        <f t="shared" si="12"/>
        <v>2.9921685889469405E-7</v>
      </c>
      <c r="T48" s="9">
        <f t="shared" si="10"/>
        <v>1.4140715628516883E-4</v>
      </c>
      <c r="U48" s="9">
        <f t="shared" si="11"/>
        <v>1.4970078314110528E-4</v>
      </c>
      <c r="V48" s="102">
        <f t="shared" si="13"/>
        <v>0.94459864082261336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40"/>
      <c r="H49" s="140"/>
      <c r="I49" s="94">
        <f t="shared" si="15"/>
        <v>6.9959414880738915E-3</v>
      </c>
      <c r="J49" s="94">
        <f t="shared" si="16"/>
        <v>0.48153000113979566</v>
      </c>
      <c r="K49" s="95">
        <f t="shared" si="17"/>
        <v>0.98274468334668696</v>
      </c>
      <c r="L49" s="95">
        <f t="shared" si="18"/>
        <v>7.7873650716162653E-4</v>
      </c>
      <c r="M49" s="95">
        <f t="shared" si="19"/>
        <v>0.99922126349283835</v>
      </c>
      <c r="N49" s="95">
        <f t="shared" si="20"/>
        <v>1.8284055620625272E-4</v>
      </c>
      <c r="O49" s="40">
        <f t="shared" si="21"/>
        <v>9.8351096597097446E-7</v>
      </c>
      <c r="P49" s="40">
        <f t="shared" si="22"/>
        <v>2.9806378200337944E-6</v>
      </c>
      <c r="Q49" s="40">
        <f t="shared" si="23"/>
        <v>6.9982782603931606E-5</v>
      </c>
      <c r="R49" s="9">
        <f t="shared" si="14"/>
        <v>1.4999999999999999E-4</v>
      </c>
      <c r="S49" s="9">
        <f t="shared" si="12"/>
        <v>1.1681047607424396E-7</v>
      </c>
      <c r="T49" s="9">
        <f t="shared" si="10"/>
        <v>1.4741170250200304E-4</v>
      </c>
      <c r="U49" s="9">
        <f t="shared" si="11"/>
        <v>1.4988318952392573E-4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40"/>
      <c r="H50" s="14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40"/>
      <c r="H51" s="14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40"/>
      <c r="H52" s="14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40"/>
      <c r="H53" s="14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40"/>
      <c r="H54" s="14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40"/>
      <c r="H55" s="14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40"/>
      <c r="H56" s="14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40"/>
      <c r="H57" s="140"/>
      <c r="I57" s="54">
        <f t="shared" si="24"/>
        <v>3.7232006014196545E-5</v>
      </c>
      <c r="J57" s="54">
        <f t="shared" si="25"/>
        <v>4.1938241790910741E-3</v>
      </c>
      <c r="K57" s="55">
        <f t="shared" si="26"/>
        <v>0.99913270051475245</v>
      </c>
      <c r="L57" s="55">
        <f t="shared" si="27"/>
        <v>2.6377694141563676E-4</v>
      </c>
      <c r="M57" s="55">
        <f t="shared" si="28"/>
        <v>0.99973622305858434</v>
      </c>
      <c r="N57" s="55">
        <f t="shared" si="29"/>
        <v>3.1568867620991146E-6</v>
      </c>
      <c r="O57" s="56">
        <f t="shared" si="30"/>
        <v>9.9991176148627012E-7</v>
      </c>
      <c r="P57" s="56">
        <f t="shared" si="31"/>
        <v>1.0096143180726789E-6</v>
      </c>
      <c r="Q57" s="56">
        <f t="shared" si="32"/>
        <v>1.2083080721325035E-6</v>
      </c>
      <c r="R57" s="9">
        <f t="shared" ref="R57:R58" si="33">F57*$C$14</f>
        <v>1.4999999999999999E-4</v>
      </c>
      <c r="S57" s="9">
        <f t="shared" ref="S57:S58" si="34">$R57*L57</f>
        <v>3.9566541212345511E-8</v>
      </c>
      <c r="T57" s="9">
        <f t="shared" ref="T57:T58" si="35">R57*K57</f>
        <v>1.4986990507721287E-4</v>
      </c>
      <c r="U57" s="9">
        <f t="shared" ref="U57:U58" si="36">$R57*M57</f>
        <v>1.4996043345878764E-4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40"/>
      <c r="H58" s="140"/>
      <c r="I58" s="54">
        <f t="shared" si="24"/>
        <v>3.6330362911661196E-2</v>
      </c>
      <c r="J58" s="54">
        <f t="shared" si="25"/>
        <v>1.0781066295666415</v>
      </c>
      <c r="K58" s="55">
        <f t="shared" si="26"/>
        <v>0.91663588109637839</v>
      </c>
      <c r="L58" s="55">
        <f t="shared" si="27"/>
        <v>2.868952208582843E-3</v>
      </c>
      <c r="M58" s="55">
        <f t="shared" si="28"/>
        <v>0.99713104779141715</v>
      </c>
      <c r="N58" s="55">
        <f t="shared" si="29"/>
        <v>9.2872189470152259E-4</v>
      </c>
      <c r="O58" s="56">
        <f t="shared" si="30"/>
        <v>9.1735061622584302E-7</v>
      </c>
      <c r="P58" s="56">
        <f t="shared" si="31"/>
        <v>1.0981002403418439E-5</v>
      </c>
      <c r="Q58" s="56">
        <f t="shared" si="32"/>
        <v>3.5547114822321603E-4</v>
      </c>
      <c r="R58" s="9">
        <f t="shared" si="33"/>
        <v>1.4999999999999999E-4</v>
      </c>
      <c r="S58" s="9">
        <f t="shared" si="34"/>
        <v>4.3034283128742642E-7</v>
      </c>
      <c r="T58" s="9">
        <f t="shared" si="35"/>
        <v>1.3749538216445675E-4</v>
      </c>
      <c r="U58" s="9">
        <f t="shared" si="36"/>
        <v>1.4956965716871255E-4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40"/>
      <c r="H59" s="14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40"/>
      <c r="H60" s="140"/>
      <c r="I60" s="54">
        <f t="shared" si="24"/>
        <v>5.084171441621077E-2</v>
      </c>
      <c r="J60" s="54">
        <f t="shared" si="25"/>
        <v>1.1895891343934544</v>
      </c>
      <c r="K60" s="55">
        <f t="shared" si="26"/>
        <v>0.88587797024287551</v>
      </c>
      <c r="L60" s="55">
        <f t="shared" si="27"/>
        <v>3.5841226841120464E-3</v>
      </c>
      <c r="M60" s="55">
        <f t="shared" si="28"/>
        <v>0.99641587731588799</v>
      </c>
      <c r="N60" s="55">
        <f t="shared" si="29"/>
        <v>8.5545414053719967E-4</v>
      </c>
      <c r="O60" s="56">
        <f t="shared" si="30"/>
        <v>8.8656872228390856E-7</v>
      </c>
      <c r="P60" s="56">
        <f t="shared" si="31"/>
        <v>1.3718339291480206E-5</v>
      </c>
      <c r="Q60" s="56">
        <f t="shared" si="32"/>
        <v>3.2742769102777806E-4</v>
      </c>
      <c r="R60" s="9">
        <f>F60*$C$14</f>
        <v>1.4999999999999999E-4</v>
      </c>
      <c r="S60" s="9">
        <f t="shared" ref="S60:S93" si="38">$R60*L60</f>
        <v>5.3761840261680695E-7</v>
      </c>
      <c r="T60" s="9">
        <f t="shared" ref="T60:T93" si="39">R60*K60</f>
        <v>1.3288169553643132E-4</v>
      </c>
      <c r="U60" s="9">
        <f t="shared" ref="U60:U93" si="40">$R60*M60</f>
        <v>1.494623815973832E-4</v>
      </c>
      <c r="V60" s="102">
        <f t="shared" ref="V60:V93" si="41">K60/M60</f>
        <v>0.88906448643635039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40"/>
      <c r="H61" s="140"/>
      <c r="I61" s="54">
        <f t="shared" si="24"/>
        <v>0.31132307136990117</v>
      </c>
      <c r="J61" s="54">
        <f t="shared" si="25"/>
        <v>2.1143052627716603</v>
      </c>
      <c r="K61" s="55">
        <f t="shared" si="26"/>
        <v>0.48006569749536715</v>
      </c>
      <c r="L61" s="55">
        <f t="shared" si="27"/>
        <v>1.6331488471545409E-2</v>
      </c>
      <c r="M61" s="55">
        <f t="shared" si="28"/>
        <v>0.98366851152845458</v>
      </c>
      <c r="N61" s="55">
        <f t="shared" si="29"/>
        <v>5.2976529706374401E-3</v>
      </c>
      <c r="O61" s="56">
        <f t="shared" si="30"/>
        <v>4.8044002259601728E-7</v>
      </c>
      <c r="P61" s="56">
        <f t="shared" si="31"/>
        <v>6.2509272068364685E-5</v>
      </c>
      <c r="Q61" s="56">
        <f t="shared" si="32"/>
        <v>2.0276928918164924E-3</v>
      </c>
      <c r="R61" s="9">
        <f>F61*$C$14</f>
        <v>1.4999999999999999E-4</v>
      </c>
      <c r="S61" s="9">
        <f t="shared" si="38"/>
        <v>2.449723270731811E-6</v>
      </c>
      <c r="T61" s="9">
        <f t="shared" si="39"/>
        <v>7.2009854624305062E-5</v>
      </c>
      <c r="U61" s="9">
        <f t="shared" si="40"/>
        <v>1.4755027672926817E-4</v>
      </c>
      <c r="V61" s="102">
        <f t="shared" si="41"/>
        <v>0.48803605266313366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40"/>
      <c r="H62" s="140"/>
      <c r="I62" s="54">
        <f t="shared" si="24"/>
        <v>0.17220522092565899</v>
      </c>
      <c r="J62" s="54">
        <f t="shared" si="25"/>
        <v>1.8115258470571185</v>
      </c>
      <c r="K62" s="55">
        <f t="shared" si="26"/>
        <v>0.66473905341777706</v>
      </c>
      <c r="L62" s="55">
        <f t="shared" si="27"/>
        <v>1.1261516362353922E-2</v>
      </c>
      <c r="M62" s="55">
        <f t="shared" si="28"/>
        <v>0.98873848363764605</v>
      </c>
      <c r="N62" s="55">
        <f t="shared" si="29"/>
        <v>4.4700669225295865E-3</v>
      </c>
      <c r="O62" s="56">
        <f t="shared" si="30"/>
        <v>6.6525737521076263E-7</v>
      </c>
      <c r="P62" s="56">
        <f t="shared" si="31"/>
        <v>4.3103798617206447E-5</v>
      </c>
      <c r="Q62" s="56">
        <f t="shared" si="32"/>
        <v>1.7109317984765333E-3</v>
      </c>
      <c r="R62" s="9">
        <f>F62*$C$14</f>
        <v>1.4999999999999999E-4</v>
      </c>
      <c r="S62" s="9">
        <f t="shared" si="38"/>
        <v>1.6892274543530881E-6</v>
      </c>
      <c r="T62" s="9">
        <f t="shared" si="39"/>
        <v>9.9710858012666551E-5</v>
      </c>
      <c r="U62" s="9">
        <f t="shared" si="40"/>
        <v>1.4831077254564689E-4</v>
      </c>
      <c r="V62" s="102">
        <f t="shared" si="41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40"/>
      <c r="H63" s="140"/>
      <c r="I63" s="54">
        <f t="shared" si="24"/>
        <v>0.15417954710270029</v>
      </c>
      <c r="J63" s="54">
        <f t="shared" si="25"/>
        <v>1.749094784631535</v>
      </c>
      <c r="K63" s="55">
        <f t="shared" si="26"/>
        <v>0.69366931652562813</v>
      </c>
      <c r="L63" s="55">
        <f t="shared" si="27"/>
        <v>1.0178109056628352E-2</v>
      </c>
      <c r="M63" s="55">
        <f t="shared" si="28"/>
        <v>0.9898218909433717</v>
      </c>
      <c r="N63" s="55">
        <f t="shared" si="29"/>
        <v>3.8681233547742003E-3</v>
      </c>
      <c r="O63" s="56">
        <f t="shared" si="30"/>
        <v>6.9421019632204149E-7</v>
      </c>
      <c r="P63" s="56">
        <f t="shared" si="31"/>
        <v>3.895702398901205E-5</v>
      </c>
      <c r="Q63" s="56">
        <f t="shared" si="32"/>
        <v>1.4805360552337683E-3</v>
      </c>
      <c r="R63" s="9">
        <f>F63*$C$14</f>
        <v>1.4999999999999999E-4</v>
      </c>
      <c r="S63" s="9">
        <f t="shared" si="38"/>
        <v>1.5267163584942528E-6</v>
      </c>
      <c r="T63" s="9">
        <f t="shared" si="39"/>
        <v>1.0405039747884421E-4</v>
      </c>
      <c r="U63" s="9">
        <f t="shared" si="40"/>
        <v>1.4847328364150575E-4</v>
      </c>
      <c r="V63" s="102">
        <f t="shared" si="41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40"/>
      <c r="H64" s="140"/>
      <c r="I64" s="54">
        <f t="shared" si="24"/>
        <v>2.9920298270100572E-2</v>
      </c>
      <c r="J64" s="54">
        <f t="shared" si="25"/>
        <v>1.0148712383242999</v>
      </c>
      <c r="K64" s="55">
        <f t="shared" si="26"/>
        <v>0.93059295125702213</v>
      </c>
      <c r="L64" s="55">
        <f t="shared" si="27"/>
        <v>2.5179716020383189E-3</v>
      </c>
      <c r="M64" s="55">
        <f t="shared" si="28"/>
        <v>0.99748202839796163</v>
      </c>
      <c r="N64" s="55">
        <f t="shared" si="29"/>
        <v>9.1875684866459938E-4</v>
      </c>
      <c r="O64" s="56">
        <f t="shared" si="30"/>
        <v>9.313185692338136E-7</v>
      </c>
      <c r="P64" s="56">
        <f t="shared" si="31"/>
        <v>9.6376133875649915E-6</v>
      </c>
      <c r="Q64" s="56">
        <f t="shared" si="32"/>
        <v>3.5165699634734073E-4</v>
      </c>
      <c r="R64" s="9">
        <f>F64*$C$14</f>
        <v>1.4999999999999999E-4</v>
      </c>
      <c r="S64" s="9">
        <f t="shared" si="38"/>
        <v>3.7769574030574777E-7</v>
      </c>
      <c r="T64" s="9">
        <f t="shared" si="39"/>
        <v>1.3958894268855331E-4</v>
      </c>
      <c r="U64" s="9">
        <f t="shared" si="40"/>
        <v>1.4962230425969423E-4</v>
      </c>
      <c r="V64" s="102">
        <f t="shared" si="41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40"/>
      <c r="H65" s="140"/>
      <c r="I65" s="54">
        <f t="shared" si="24"/>
        <v>0.45036614920415591</v>
      </c>
      <c r="J65" s="54">
        <f t="shared" si="25"/>
        <v>2.4171487022124163</v>
      </c>
      <c r="K65" s="55">
        <f t="shared" si="26"/>
        <v>0.34595549101103207</v>
      </c>
      <c r="L65" s="55">
        <f t="shared" si="27"/>
        <v>2.3636804389165017E-2</v>
      </c>
      <c r="M65" s="55">
        <f t="shared" si="28"/>
        <v>0.97636319561083496</v>
      </c>
      <c r="N65" s="55">
        <f t="shared" si="29"/>
        <v>1.181696798480838E-2</v>
      </c>
      <c r="O65" s="56">
        <f t="shared" si="30"/>
        <v>3.4622524538979483E-7</v>
      </c>
      <c r="P65" s="56">
        <f t="shared" si="31"/>
        <v>9.0470592375173687E-5</v>
      </c>
      <c r="Q65" s="56">
        <f t="shared" si="32"/>
        <v>4.5229806705771982E-3</v>
      </c>
      <c r="R65" s="9">
        <f>F65*$C$14</f>
        <v>1.4999999999999999E-4</v>
      </c>
      <c r="S65" s="9">
        <f t="shared" si="38"/>
        <v>3.5455206583747523E-6</v>
      </c>
      <c r="T65" s="9">
        <f t="shared" si="39"/>
        <v>5.1893323651654806E-5</v>
      </c>
      <c r="U65" s="9">
        <f t="shared" si="40"/>
        <v>1.4645447934162522E-4</v>
      </c>
      <c r="V65" s="102">
        <f t="shared" si="41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40"/>
      <c r="H66" s="14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40"/>
      <c r="H67" s="14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40"/>
      <c r="H68" s="140"/>
      <c r="I68" s="54">
        <f t="shared" si="24"/>
        <v>4.7752637245013392E-2</v>
      </c>
      <c r="J68" s="54">
        <f t="shared" si="25"/>
        <v>1.1540090280827044</v>
      </c>
      <c r="K68" s="55">
        <f t="shared" si="26"/>
        <v>0.89243212646729408</v>
      </c>
      <c r="L68" s="55">
        <f t="shared" si="27"/>
        <v>3.3266265922203427E-3</v>
      </c>
      <c r="M68" s="55">
        <f t="shared" si="28"/>
        <v>0.99667337340777962</v>
      </c>
      <c r="N68" s="55">
        <f t="shared" si="29"/>
        <v>6.9940225264392641E-4</v>
      </c>
      <c r="O68" s="56">
        <f t="shared" si="30"/>
        <v>8.9312798902799408E-7</v>
      </c>
      <c r="P68" s="56">
        <f t="shared" si="31"/>
        <v>1.2732765117231288E-5</v>
      </c>
      <c r="Q68" s="56">
        <f t="shared" si="32"/>
        <v>2.6769835322676682E-4</v>
      </c>
      <c r="R68" s="9">
        <f>F68*$C$14</f>
        <v>1.4999999999999999E-4</v>
      </c>
      <c r="S68" s="9">
        <f t="shared" si="38"/>
        <v>4.9899398883305141E-7</v>
      </c>
      <c r="T68" s="9">
        <f t="shared" si="39"/>
        <v>1.3386481897009411E-4</v>
      </c>
      <c r="U68" s="9">
        <f t="shared" si="40"/>
        <v>1.4950100601116692E-4</v>
      </c>
      <c r="V68" s="102">
        <f t="shared" si="41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40"/>
      <c r="H69" s="140"/>
      <c r="I69" s="54">
        <f t="shared" si="24"/>
        <v>1.1979474472139457</v>
      </c>
      <c r="J69" s="54">
        <f t="shared" si="25"/>
        <v>3.3408910784414916</v>
      </c>
      <c r="K69" s="55">
        <f t="shared" si="26"/>
        <v>6.1141193154677601E-2</v>
      </c>
      <c r="L69" s="55">
        <f t="shared" si="27"/>
        <v>3.504651341267969E-2</v>
      </c>
      <c r="M69" s="55">
        <f t="shared" si="28"/>
        <v>0.96495348658732027</v>
      </c>
      <c r="N69" s="55">
        <f t="shared" si="29"/>
        <v>1.8957747755317111E-2</v>
      </c>
      <c r="O69" s="56">
        <f t="shared" si="30"/>
        <v>6.1188867219708501E-8</v>
      </c>
      <c r="P69" s="56">
        <f t="shared" si="31"/>
        <v>1.3414160293948296E-4</v>
      </c>
      <c r="Q69" s="56">
        <f t="shared" si="32"/>
        <v>7.2561359872693239E-3</v>
      </c>
      <c r="R69" s="9">
        <f>F69*$C$14</f>
        <v>1.4999999999999999E-4</v>
      </c>
      <c r="S69" s="9">
        <f t="shared" si="38"/>
        <v>5.2569770119019533E-6</v>
      </c>
      <c r="T69" s="9">
        <f t="shared" si="39"/>
        <v>9.1711789732016398E-6</v>
      </c>
      <c r="U69" s="9">
        <f t="shared" si="40"/>
        <v>1.4474302298809802E-4</v>
      </c>
      <c r="V69" s="102">
        <f t="shared" si="41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40"/>
      <c r="H70" s="140"/>
      <c r="I70" s="54">
        <f t="shared" si="24"/>
        <v>6.6276677113325539E-3</v>
      </c>
      <c r="J70" s="54">
        <f t="shared" si="25"/>
        <v>0.43147013822686364</v>
      </c>
      <c r="K70" s="55">
        <f t="shared" si="26"/>
        <v>0.98366120448475536</v>
      </c>
      <c r="L70" s="55">
        <f t="shared" si="27"/>
        <v>6.9460117271658549E-4</v>
      </c>
      <c r="M70" s="55">
        <f t="shared" si="28"/>
        <v>0.99930539882728342</v>
      </c>
      <c r="N70" s="55">
        <f t="shared" si="29"/>
        <v>8.2410846286109772E-5</v>
      </c>
      <c r="O70" s="56">
        <f t="shared" si="30"/>
        <v>9.8442820175470294E-7</v>
      </c>
      <c r="P70" s="56">
        <f t="shared" si="31"/>
        <v>2.6586072518739368E-6</v>
      </c>
      <c r="Q70" s="56">
        <f t="shared" si="32"/>
        <v>3.1543003694109389E-5</v>
      </c>
      <c r="R70" s="9">
        <f t="shared" ref="R70:R86" si="42">F70*$C$14</f>
        <v>1.4999999999999999E-4</v>
      </c>
      <c r="S70" s="9">
        <f t="shared" si="38"/>
        <v>1.0419017590748781E-7</v>
      </c>
      <c r="T70" s="9">
        <f t="shared" si="39"/>
        <v>1.475491806727133E-4</v>
      </c>
      <c r="U70" s="9">
        <f t="shared" si="40"/>
        <v>1.4989580982409251E-4</v>
      </c>
      <c r="V70" s="102">
        <f t="shared" si="41"/>
        <v>0.98434493162862224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40"/>
      <c r="H71" s="140"/>
      <c r="I71" s="54">
        <f t="shared" ref="I71:I122" si="43">IF(D71=0,"",LOG($K$15*10^D71+$K$16*10^E71+$K$14))</f>
        <v>2.8589842167479149E-2</v>
      </c>
      <c r="J71" s="54">
        <f t="shared" ref="J71:J122" si="44">IF(D71=0,"",LOG($K$21*10^D71+$K$22*10^E71+$K$20))</f>
        <v>0.97961580067951626</v>
      </c>
      <c r="K71" s="55">
        <f t="shared" ref="K71:K122" si="45">IF(D71=0,"",1/(1+10^D71*$J$15/$J$14+10^E71*$J$16/$J$14+10^J71*$J$19/$J$14))</f>
        <v>0.93362483028564391</v>
      </c>
      <c r="L71" s="55">
        <f t="shared" ref="L71:L122" si="46">IF(D71=0,"",1/(1+10^I71/10^J71*$J$13/$J$19))</f>
        <v>2.3292066693216566E-3</v>
      </c>
      <c r="M71" s="55">
        <f t="shared" si="19"/>
        <v>0.99767079333067832</v>
      </c>
      <c r="N71" s="55">
        <f t="shared" ref="N71:N122" si="47">IF(D71=0,"",1/(1/10^E71*$J$20/$J$22+10^D71/10^E71*$J$21/$J$22+10^I71/10^E71*$J$13/$J$22+1))</f>
        <v>7.3280803788617038E-4</v>
      </c>
      <c r="O71" s="56">
        <f t="shared" si="21"/>
        <v>9.3435281233141279E-7</v>
      </c>
      <c r="P71" s="56">
        <f t="shared" ref="P71:P122" si="48">IF(D71=0,"",O71*10^J71)</f>
        <v>8.9151098290736194E-6</v>
      </c>
      <c r="Q71" s="56">
        <f t="shared" ref="Q71:Q122" si="49">IF(D71=0,"",F71*N71*$J$7/$J$22)</f>
        <v>2.8048451979084362E-4</v>
      </c>
      <c r="R71" s="9">
        <f t="shared" si="42"/>
        <v>1.4999999999999999E-4</v>
      </c>
      <c r="S71" s="9">
        <f t="shared" si="38"/>
        <v>3.4938100039824847E-7</v>
      </c>
      <c r="T71" s="9">
        <f t="shared" si="39"/>
        <v>1.4004372454284658E-4</v>
      </c>
      <c r="U71" s="9">
        <f t="shared" si="40"/>
        <v>1.4965061899960174E-4</v>
      </c>
      <c r="V71" s="102">
        <f t="shared" si="41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40"/>
      <c r="H72" s="140"/>
      <c r="I72" s="54">
        <f t="shared" si="43"/>
        <v>4.5043006346732313E-2</v>
      </c>
      <c r="J72" s="54">
        <f t="shared" si="44"/>
        <v>1.1375458252816428</v>
      </c>
      <c r="K72" s="55">
        <f t="shared" si="45"/>
        <v>0.89811068914829062</v>
      </c>
      <c r="L72" s="55">
        <f t="shared" si="46"/>
        <v>3.2232613557635964E-3</v>
      </c>
      <c r="M72" s="55">
        <f t="shared" si="19"/>
        <v>0.99677673864423644</v>
      </c>
      <c r="N72" s="55">
        <f t="shared" si="47"/>
        <v>7.5975697546426686E-4</v>
      </c>
      <c r="O72" s="56">
        <f t="shared" si="21"/>
        <v>8.9881097949576668E-7</v>
      </c>
      <c r="P72" s="56">
        <f t="shared" si="48"/>
        <v>1.2337131510451155E-5</v>
      </c>
      <c r="Q72" s="56">
        <f t="shared" si="49"/>
        <v>2.9079930814560772E-4</v>
      </c>
      <c r="R72" s="9">
        <f t="shared" si="42"/>
        <v>1.4999999999999999E-4</v>
      </c>
      <c r="S72" s="9">
        <f t="shared" si="38"/>
        <v>4.8348920336453939E-7</v>
      </c>
      <c r="T72" s="9">
        <f t="shared" si="39"/>
        <v>1.3471660337224358E-4</v>
      </c>
      <c r="U72" s="9">
        <f t="shared" si="40"/>
        <v>1.4951651079663544E-4</v>
      </c>
      <c r="V72" s="102">
        <f t="shared" si="41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40"/>
      <c r="H73" s="140"/>
      <c r="I73" s="54">
        <f t="shared" si="43"/>
        <v>2.829962486439805</v>
      </c>
      <c r="J73" s="54">
        <f t="shared" si="44"/>
        <v>5.1461538106089488</v>
      </c>
      <c r="K73" s="55">
        <f t="shared" si="45"/>
        <v>1.4025584922319201E-3</v>
      </c>
      <c r="L73" s="55">
        <f t="shared" si="46"/>
        <v>5.1344582108598942E-2</v>
      </c>
      <c r="M73" s="55">
        <f t="shared" si="19"/>
        <v>0.94865541789140106</v>
      </c>
      <c r="N73" s="55">
        <f t="shared" si="47"/>
        <v>4.3166696405320559E-2</v>
      </c>
      <c r="O73" s="56">
        <f t="shared" si="21"/>
        <v>1.4036521193156955E-9</v>
      </c>
      <c r="P73" s="56">
        <f t="shared" si="48"/>
        <v>1.9652295979358426E-4</v>
      </c>
      <c r="Q73" s="56">
        <f t="shared" si="49"/>
        <v>1.6522185192084624E-2</v>
      </c>
      <c r="R73" s="9">
        <f t="shared" si="42"/>
        <v>1.4999999999999999E-4</v>
      </c>
      <c r="S73" s="9">
        <f t="shared" si="38"/>
        <v>7.7016873162898399E-6</v>
      </c>
      <c r="T73" s="9">
        <f t="shared" si="39"/>
        <v>2.1038377383478798E-7</v>
      </c>
      <c r="U73" s="9">
        <f t="shared" si="40"/>
        <v>1.4229831268371015E-4</v>
      </c>
      <c r="V73" s="102">
        <f t="shared" si="41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40"/>
      <c r="H74" s="140"/>
      <c r="I74" s="54">
        <f t="shared" si="43"/>
        <v>3.957220636313619E-3</v>
      </c>
      <c r="J74" s="54">
        <f t="shared" si="44"/>
        <v>0.31070489262972556</v>
      </c>
      <c r="K74" s="55">
        <f t="shared" si="45"/>
        <v>0.98989200806355249</v>
      </c>
      <c r="L74" s="55">
        <f t="shared" si="46"/>
        <v>5.293129767682881E-4</v>
      </c>
      <c r="M74" s="55">
        <f t="shared" si="19"/>
        <v>0.99947068702323172</v>
      </c>
      <c r="N74" s="55">
        <f t="shared" si="47"/>
        <v>6.3913654221668819E-5</v>
      </c>
      <c r="O74" s="56">
        <f t="shared" si="21"/>
        <v>9.9066386372306839E-7</v>
      </c>
      <c r="P74" s="56">
        <f t="shared" si="48"/>
        <v>2.0259616220390957E-6</v>
      </c>
      <c r="Q74" s="56">
        <f t="shared" si="49"/>
        <v>2.4463146807387278E-5</v>
      </c>
      <c r="R74" s="9">
        <f t="shared" si="42"/>
        <v>1.4999999999999999E-4</v>
      </c>
      <c r="S74" s="9">
        <f t="shared" si="38"/>
        <v>7.9396946515243202E-8</v>
      </c>
      <c r="T74" s="9">
        <f t="shared" si="39"/>
        <v>1.4848380120953286E-4</v>
      </c>
      <c r="U74" s="9">
        <f t="shared" si="40"/>
        <v>1.4992060305348475E-4</v>
      </c>
      <c r="V74" s="102">
        <f t="shared" si="41"/>
        <v>0.99041624823614605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40"/>
      <c r="H75" s="140"/>
      <c r="I75" s="54">
        <f t="shared" si="43"/>
        <v>4.1980440605165602E-3</v>
      </c>
      <c r="J75" s="54">
        <f t="shared" si="44"/>
        <v>0.32070219402122674</v>
      </c>
      <c r="K75" s="55">
        <f t="shared" si="45"/>
        <v>0.9893313514909915</v>
      </c>
      <c r="L75" s="55">
        <f t="shared" si="46"/>
        <v>5.413321199392733E-4</v>
      </c>
      <c r="M75" s="55">
        <f t="shared" si="19"/>
        <v>0.99945866788006077</v>
      </c>
      <c r="N75" s="55">
        <f t="shared" si="47"/>
        <v>6.0917013374652859E-5</v>
      </c>
      <c r="O75" s="56">
        <f t="shared" si="21"/>
        <v>9.9010276998570033E-7</v>
      </c>
      <c r="P75" s="56">
        <f t="shared" si="48"/>
        <v>2.0719652604589953E-6</v>
      </c>
      <c r="Q75" s="56">
        <f t="shared" si="49"/>
        <v>2.3316173349801566E-5</v>
      </c>
      <c r="R75" s="9">
        <f t="shared" si="42"/>
        <v>1.4999999999999999E-4</v>
      </c>
      <c r="S75" s="9">
        <f t="shared" si="38"/>
        <v>8.1199817990890982E-8</v>
      </c>
      <c r="T75" s="9">
        <f t="shared" si="39"/>
        <v>1.4839970272364871E-4</v>
      </c>
      <c r="U75" s="9">
        <f t="shared" si="40"/>
        <v>1.4991880018200911E-4</v>
      </c>
      <c r="V75" s="102">
        <f t="shared" si="41"/>
        <v>0.98986719839995962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40"/>
      <c r="H76" s="140"/>
      <c r="I76" s="54">
        <f t="shared" si="43"/>
        <v>0.35626551305621779</v>
      </c>
      <c r="J76" s="54">
        <f t="shared" si="44"/>
        <v>2.235569933795444</v>
      </c>
      <c r="K76" s="55">
        <f t="shared" si="45"/>
        <v>0.43151676979178211</v>
      </c>
      <c r="L76" s="55">
        <f t="shared" si="46"/>
        <v>1.9408297591742844E-2</v>
      </c>
      <c r="M76" s="55">
        <f t="shared" si="19"/>
        <v>0.9805917024082571</v>
      </c>
      <c r="N76" s="55">
        <f t="shared" si="47"/>
        <v>8.3636626840396539E-3</v>
      </c>
      <c r="O76" s="56">
        <f t="shared" si="21"/>
        <v>4.3185323948567455E-7</v>
      </c>
      <c r="P76" s="56">
        <f t="shared" si="48"/>
        <v>7.4285853163954683E-5</v>
      </c>
      <c r="Q76" s="56">
        <f t="shared" si="49"/>
        <v>3.2012174953652099E-3</v>
      </c>
      <c r="R76" s="9">
        <f t="shared" si="42"/>
        <v>1.4999999999999999E-4</v>
      </c>
      <c r="S76" s="9">
        <f t="shared" si="38"/>
        <v>2.9112446387614264E-6</v>
      </c>
      <c r="T76" s="9">
        <f t="shared" si="39"/>
        <v>6.4727515468767312E-5</v>
      </c>
      <c r="U76" s="9">
        <f t="shared" si="40"/>
        <v>1.4708875536123856E-4</v>
      </c>
      <c r="V76" s="102">
        <f t="shared" si="41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40"/>
      <c r="H77" s="140"/>
      <c r="I77" s="54">
        <f t="shared" si="43"/>
        <v>2.1004549420906745E-4</v>
      </c>
      <c r="J77" s="54">
        <f t="shared" si="44"/>
        <v>2.1447334021721123E-2</v>
      </c>
      <c r="K77" s="55">
        <f t="shared" si="45"/>
        <v>0.99872463945851941</v>
      </c>
      <c r="L77" s="55">
        <f t="shared" si="46"/>
        <v>2.7435503148320683E-4</v>
      </c>
      <c r="M77" s="55">
        <f t="shared" si="19"/>
        <v>0.99972564496851679</v>
      </c>
      <c r="N77" s="55">
        <f t="shared" si="47"/>
        <v>3.9652045444754829E-6</v>
      </c>
      <c r="O77" s="56">
        <f t="shared" si="21"/>
        <v>9.9950338224963661E-7</v>
      </c>
      <c r="P77" s="56">
        <f t="shared" si="48"/>
        <v>1.0501022816253869E-6</v>
      </c>
      <c r="Q77" s="56">
        <f t="shared" si="49"/>
        <v>1.5176941777792496E-6</v>
      </c>
      <c r="R77" s="9">
        <f t="shared" si="42"/>
        <v>1.4999999999999999E-4</v>
      </c>
      <c r="S77" s="9">
        <f t="shared" si="38"/>
        <v>4.115325472248102E-8</v>
      </c>
      <c r="T77" s="9">
        <f t="shared" si="39"/>
        <v>1.498086959187779E-4</v>
      </c>
      <c r="U77" s="9">
        <f t="shared" si="40"/>
        <v>1.4995884674527749E-4</v>
      </c>
      <c r="V77" s="102">
        <f t="shared" si="41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3"/>
        <v>9.6186457475178466E-3</v>
      </c>
      <c r="J78" s="54">
        <f t="shared" si="44"/>
        <v>0.56646209105716006</v>
      </c>
      <c r="K78" s="55">
        <f t="shared" si="45"/>
        <v>0.97666906139020193</v>
      </c>
      <c r="L78" s="55">
        <f t="shared" si="46"/>
        <v>9.4108608587685093E-4</v>
      </c>
      <c r="M78" s="55">
        <f t="shared" si="19"/>
        <v>0.99905891391412316</v>
      </c>
      <c r="N78" s="55">
        <f t="shared" si="47"/>
        <v>2.0280107898271063E-4</v>
      </c>
      <c r="O78" s="56">
        <f t="shared" si="21"/>
        <v>9.774306066258104E-7</v>
      </c>
      <c r="P78" s="56">
        <f t="shared" si="48"/>
        <v>3.6020358024513767E-6</v>
      </c>
      <c r="Q78" s="56">
        <f t="shared" si="49"/>
        <v>7.7622733800262032E-5</v>
      </c>
      <c r="R78" s="9">
        <f t="shared" si="42"/>
        <v>1.4999999999999999E-4</v>
      </c>
      <c r="S78" s="9">
        <f t="shared" si="38"/>
        <v>1.4116291288152763E-7</v>
      </c>
      <c r="T78" s="9">
        <f t="shared" si="39"/>
        <v>1.4650035920853028E-4</v>
      </c>
      <c r="U78" s="9">
        <f t="shared" si="40"/>
        <v>1.4985883708711845E-4</v>
      </c>
      <c r="V78" s="102">
        <f t="shared" si="41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3"/>
        <v>8.6760595853303396E-2</v>
      </c>
      <c r="J79" s="54">
        <f t="shared" si="44"/>
        <v>1.4536912879965904</v>
      </c>
      <c r="K79" s="55">
        <f t="shared" si="45"/>
        <v>0.81354302164275571</v>
      </c>
      <c r="L79" s="55">
        <f t="shared" si="46"/>
        <v>6.0463271640271024E-3</v>
      </c>
      <c r="M79" s="55">
        <f t="shared" si="19"/>
        <v>0.99395367283597291</v>
      </c>
      <c r="N79" s="55">
        <f t="shared" si="47"/>
        <v>1.9576288422300582E-3</v>
      </c>
      <c r="O79" s="56">
        <f t="shared" si="21"/>
        <v>8.1417737143081276E-7</v>
      </c>
      <c r="P79" s="56">
        <f t="shared" si="48"/>
        <v>2.3142502311961621E-5</v>
      </c>
      <c r="Q79" s="56">
        <f t="shared" si="49"/>
        <v>7.4928843210490858E-4</v>
      </c>
      <c r="R79" s="9">
        <f t="shared" si="42"/>
        <v>1.4999999999999999E-4</v>
      </c>
      <c r="S79" s="9">
        <f t="shared" si="38"/>
        <v>9.0694907460406534E-7</v>
      </c>
      <c r="T79" s="9">
        <f t="shared" si="39"/>
        <v>1.2203145324641334E-4</v>
      </c>
      <c r="U79" s="9">
        <f t="shared" si="40"/>
        <v>1.4909305092539592E-4</v>
      </c>
      <c r="V79" s="102">
        <f t="shared" si="41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3"/>
        <v>1.9819141928346475</v>
      </c>
      <c r="J80" s="54">
        <f t="shared" si="44"/>
        <v>4.2069917533022263</v>
      </c>
      <c r="K80" s="55">
        <f t="shared" si="45"/>
        <v>9.9818253253581672E-3</v>
      </c>
      <c r="L80" s="55">
        <f t="shared" si="46"/>
        <v>4.2036016114823417E-2</v>
      </c>
      <c r="M80" s="55">
        <f t="shared" si="19"/>
        <v>0.95796398388517656</v>
      </c>
      <c r="N80" s="55">
        <f t="shared" si="47"/>
        <v>2.8309082661955892E-2</v>
      </c>
      <c r="O80" s="56">
        <f t="shared" si="21"/>
        <v>9.9896085262597946E-9</v>
      </c>
      <c r="P80" s="56">
        <f t="shared" si="48"/>
        <v>1.6089413849630654E-4</v>
      </c>
      <c r="Q80" s="56">
        <f t="shared" si="49"/>
        <v>1.0835388049320745E-2</v>
      </c>
      <c r="R80" s="9">
        <f t="shared" si="42"/>
        <v>1.4999999999999999E-4</v>
      </c>
      <c r="S80" s="9">
        <f t="shared" si="38"/>
        <v>6.3054024172235121E-6</v>
      </c>
      <c r="T80" s="9">
        <f t="shared" si="39"/>
        <v>1.4972737988037249E-6</v>
      </c>
      <c r="U80" s="9">
        <f t="shared" si="40"/>
        <v>1.4369459758277646E-4</v>
      </c>
      <c r="V80" s="102">
        <f t="shared" si="41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3"/>
        <v>0.12726341031571042</v>
      </c>
      <c r="J81" s="54">
        <f t="shared" si="44"/>
        <v>1.6793358904404492</v>
      </c>
      <c r="K81" s="55">
        <f t="shared" si="45"/>
        <v>0.73872714882134138</v>
      </c>
      <c r="L81" s="55">
        <f t="shared" si="46"/>
        <v>9.230809348557514E-3</v>
      </c>
      <c r="M81" s="55">
        <f t="shared" si="19"/>
        <v>0.99076919065144253</v>
      </c>
      <c r="N81" s="55">
        <f t="shared" si="47"/>
        <v>4.1393856596812217E-3</v>
      </c>
      <c r="O81" s="56">
        <f t="shared" si="21"/>
        <v>7.3930316188742423E-7</v>
      </c>
      <c r="P81" s="56">
        <f t="shared" si="48"/>
        <v>3.5331205357400258E-5</v>
      </c>
      <c r="Q81" s="56">
        <f t="shared" si="49"/>
        <v>1.5843625328317416E-3</v>
      </c>
      <c r="R81" s="9">
        <f t="shared" si="42"/>
        <v>1.4999999999999999E-4</v>
      </c>
      <c r="S81" s="9">
        <f t="shared" si="38"/>
        <v>1.384621402283627E-6</v>
      </c>
      <c r="T81" s="9">
        <f t="shared" si="39"/>
        <v>1.108090723232012E-4</v>
      </c>
      <c r="U81" s="9">
        <f t="shared" si="40"/>
        <v>1.4861537859771635E-4</v>
      </c>
      <c r="V81" s="102">
        <f t="shared" si="41"/>
        <v>0.74560973008821507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3"/>
        <v>0.47104615060046062</v>
      </c>
      <c r="J82" s="54">
        <f t="shared" si="44"/>
        <v>2.4736918816104327</v>
      </c>
      <c r="K82" s="55">
        <f t="shared" si="45"/>
        <v>0.32919819829505265</v>
      </c>
      <c r="L82" s="55">
        <f t="shared" si="46"/>
        <v>2.5619412246088581E-2</v>
      </c>
      <c r="M82" s="55">
        <f t="shared" si="19"/>
        <v>0.97438058775391145</v>
      </c>
      <c r="N82" s="55">
        <f t="shared" si="47"/>
        <v>1.4378887322004012E-2</v>
      </c>
      <c r="O82" s="56">
        <f t="shared" si="21"/>
        <v>3.2945488638868973E-7</v>
      </c>
      <c r="P82" s="56">
        <f t="shared" si="48"/>
        <v>9.8059084639625906E-5</v>
      </c>
      <c r="Q82" s="56">
        <f t="shared" si="49"/>
        <v>5.503563139499042E-3</v>
      </c>
      <c r="R82" s="9">
        <f t="shared" si="42"/>
        <v>1.4999999999999999E-4</v>
      </c>
      <c r="S82" s="9">
        <f t="shared" si="38"/>
        <v>3.8429118369132873E-6</v>
      </c>
      <c r="T82" s="9">
        <f t="shared" si="39"/>
        <v>4.937972974425789E-5</v>
      </c>
      <c r="U82" s="9">
        <f t="shared" si="40"/>
        <v>1.461570881630867E-4</v>
      </c>
      <c r="V82" s="102">
        <f t="shared" si="41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3"/>
        <v>0.17835694544431213</v>
      </c>
      <c r="J83" s="54">
        <f t="shared" si="44"/>
        <v>1.8576970931564492</v>
      </c>
      <c r="K83" s="55">
        <f t="shared" si="45"/>
        <v>0.65467782091814286</v>
      </c>
      <c r="L83" s="55">
        <f t="shared" si="46"/>
        <v>1.2335153326346888E-2</v>
      </c>
      <c r="M83" s="55">
        <f t="shared" si="19"/>
        <v>0.98766484667365306</v>
      </c>
      <c r="N83" s="55">
        <f t="shared" si="47"/>
        <v>5.8175946657886106E-3</v>
      </c>
      <c r="O83" s="56">
        <f t="shared" si="21"/>
        <v>6.5518829759349618E-7</v>
      </c>
      <c r="P83" s="56">
        <f t="shared" si="48"/>
        <v>4.7213176963327208E-5</v>
      </c>
      <c r="Q83" s="56">
        <f t="shared" si="49"/>
        <v>2.2267021672938529E-3</v>
      </c>
      <c r="R83" s="9">
        <f t="shared" si="42"/>
        <v>1.4999999999999999E-4</v>
      </c>
      <c r="S83" s="9">
        <f t="shared" si="38"/>
        <v>1.850272998952033E-6</v>
      </c>
      <c r="T83" s="9">
        <f t="shared" si="39"/>
        <v>9.8201673137721416E-5</v>
      </c>
      <c r="U83" s="9">
        <f t="shared" si="40"/>
        <v>1.4814972700104794E-4</v>
      </c>
      <c r="V83" s="102">
        <f t="shared" si="41"/>
        <v>0.66285422947169381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3"/>
        <v>5.9812805986470914E-3</v>
      </c>
      <c r="J84" s="54">
        <f t="shared" si="44"/>
        <v>0.41912406778565536</v>
      </c>
      <c r="K84" s="55">
        <f t="shared" si="45"/>
        <v>0.98514452598759294</v>
      </c>
      <c r="L84" s="55">
        <f t="shared" si="46"/>
        <v>6.7615123727931203E-4</v>
      </c>
      <c r="M84" s="55">
        <f t="shared" si="19"/>
        <v>0.99932384876272073</v>
      </c>
      <c r="N84" s="55">
        <f t="shared" si="47"/>
        <v>1.1214212446676003E-4</v>
      </c>
      <c r="O84" s="56">
        <f t="shared" si="21"/>
        <v>9.85912679858551E-7</v>
      </c>
      <c r="P84" s="56">
        <f t="shared" si="48"/>
        <v>2.5879895591938303E-6</v>
      </c>
      <c r="Q84" s="56">
        <f t="shared" si="49"/>
        <v>4.2922741431870157E-5</v>
      </c>
      <c r="R84" s="9">
        <f t="shared" si="42"/>
        <v>1.4999999999999999E-4</v>
      </c>
      <c r="S84" s="9">
        <f t="shared" si="38"/>
        <v>1.0142268559189679E-7</v>
      </c>
      <c r="T84" s="9">
        <f t="shared" si="39"/>
        <v>1.4777167889813892E-4</v>
      </c>
      <c r="U84" s="9">
        <f t="shared" si="40"/>
        <v>1.4989857731440809E-4</v>
      </c>
      <c r="V84" s="102">
        <f t="shared" si="41"/>
        <v>0.98581108337133805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3"/>
        <v>0.11910186422699467</v>
      </c>
      <c r="J85" s="54">
        <f t="shared" si="44"/>
        <v>1.6547513221475207</v>
      </c>
      <c r="K85" s="55">
        <f t="shared" si="45"/>
        <v>0.75299899883460208</v>
      </c>
      <c r="L85" s="55">
        <f t="shared" si="46"/>
        <v>8.8913058912839585E-3</v>
      </c>
      <c r="M85" s="55">
        <f t="shared" si="19"/>
        <v>0.99110869410871605</v>
      </c>
      <c r="N85" s="55">
        <f t="shared" si="47"/>
        <v>4.1608707897241278E-3</v>
      </c>
      <c r="O85" s="56">
        <f t="shared" si="21"/>
        <v>7.5358614019358439E-7</v>
      </c>
      <c r="P85" s="56">
        <f t="shared" si="48"/>
        <v>3.4031745481722753E-5</v>
      </c>
      <c r="Q85" s="56">
        <f t="shared" si="49"/>
        <v>1.5925860321264701E-3</v>
      </c>
      <c r="R85" s="9">
        <f t="shared" si="42"/>
        <v>1.4999999999999999E-4</v>
      </c>
      <c r="S85" s="9">
        <f t="shared" si="38"/>
        <v>1.3336958836925937E-6</v>
      </c>
      <c r="T85" s="9">
        <f t="shared" si="39"/>
        <v>1.129498498251903E-4</v>
      </c>
      <c r="U85" s="9">
        <f t="shared" si="40"/>
        <v>1.486663041163074E-4</v>
      </c>
      <c r="V85" s="102">
        <f t="shared" si="41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3"/>
        <v>3.4503381608646556E-2</v>
      </c>
      <c r="J86" s="54">
        <f t="shared" si="44"/>
        <v>1.0664462987751342</v>
      </c>
      <c r="K86" s="55">
        <f t="shared" si="45"/>
        <v>0.92055921560491516</v>
      </c>
      <c r="L86" s="55">
        <f t="shared" si="46"/>
        <v>2.8049030816879443E-3</v>
      </c>
      <c r="M86" s="55">
        <f t="shared" si="19"/>
        <v>0.9971950969183121</v>
      </c>
      <c r="N86" s="55">
        <f t="shared" si="47"/>
        <v>9.8245249707662528E-4</v>
      </c>
      <c r="O86" s="56">
        <f t="shared" si="21"/>
        <v>9.2127700990439032E-7</v>
      </c>
      <c r="P86" s="56">
        <f t="shared" si="48"/>
        <v>1.0735852409540659E-5</v>
      </c>
      <c r="Q86" s="56">
        <f t="shared" si="49"/>
        <v>3.7603670076372244E-4</v>
      </c>
      <c r="R86" s="9">
        <f t="shared" si="42"/>
        <v>1.4999999999999999E-4</v>
      </c>
      <c r="S86" s="9">
        <f t="shared" si="38"/>
        <v>4.2073546225319159E-7</v>
      </c>
      <c r="T86" s="9">
        <f t="shared" si="39"/>
        <v>1.3808388234073726E-4</v>
      </c>
      <c r="U86" s="9">
        <f t="shared" si="40"/>
        <v>1.495792645377468E-4</v>
      </c>
      <c r="V86" s="102">
        <f t="shared" si="41"/>
        <v>0.92314855783965533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3"/>
        <v/>
      </c>
      <c r="J87" s="54" t="str">
        <f t="shared" si="44"/>
        <v/>
      </c>
      <c r="K87" s="55" t="str">
        <f t="shared" si="45"/>
        <v/>
      </c>
      <c r="L87" s="55" t="str">
        <f t="shared" si="46"/>
        <v/>
      </c>
      <c r="M87" s="55" t="str">
        <f t="shared" si="19"/>
        <v/>
      </c>
      <c r="N87" s="55" t="str">
        <f t="shared" si="47"/>
        <v/>
      </c>
      <c r="O87" s="56" t="str">
        <f t="shared" si="21"/>
        <v/>
      </c>
      <c r="P87" s="56" t="str">
        <f t="shared" si="48"/>
        <v/>
      </c>
      <c r="Q87" s="56" t="str">
        <f t="shared" si="49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3"/>
        <v>1.1640116161103842</v>
      </c>
      <c r="J88" s="54">
        <f t="shared" si="44"/>
        <v>3.3868764044282145</v>
      </c>
      <c r="K88" s="55">
        <f t="shared" si="45"/>
        <v>6.5645556140088518E-2</v>
      </c>
      <c r="L88" s="55">
        <f t="shared" si="46"/>
        <v>4.1831319816127394E-2</v>
      </c>
      <c r="M88" s="55">
        <f t="shared" si="19"/>
        <v>0.95816868018387258</v>
      </c>
      <c r="N88" s="55">
        <f t="shared" si="47"/>
        <v>3.0221301442511561E-2</v>
      </c>
      <c r="O88" s="56">
        <f t="shared" si="21"/>
        <v>6.56967424246691E-8</v>
      </c>
      <c r="P88" s="56">
        <f t="shared" si="48"/>
        <v>1.6011065714683427E-4</v>
      </c>
      <c r="Q88" s="56">
        <f t="shared" si="49"/>
        <v>1.1567295641309388E-2</v>
      </c>
      <c r="R88" s="9">
        <f>F88*$C$14</f>
        <v>1.4999999999999999E-4</v>
      </c>
      <c r="S88" s="9">
        <f t="shared" si="38"/>
        <v>6.2746979724191086E-6</v>
      </c>
      <c r="T88" s="9">
        <f t="shared" si="39"/>
        <v>9.8468334210132767E-6</v>
      </c>
      <c r="U88" s="9">
        <f t="shared" si="40"/>
        <v>1.4372530202758088E-4</v>
      </c>
      <c r="V88" s="102">
        <f t="shared" si="41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3"/>
        <v>2.5219720041185627</v>
      </c>
      <c r="J89" s="54">
        <f t="shared" si="44"/>
        <v>4.8225181897123042</v>
      </c>
      <c r="K89" s="55">
        <f t="shared" si="45"/>
        <v>2.8556250188233488E-3</v>
      </c>
      <c r="L89" s="55">
        <f t="shared" si="46"/>
        <v>4.9617993601977099E-2</v>
      </c>
      <c r="M89" s="55">
        <f t="shared" si="19"/>
        <v>0.95038200639802295</v>
      </c>
      <c r="N89" s="55">
        <f t="shared" si="47"/>
        <v>4.0405269614710131E-2</v>
      </c>
      <c r="O89" s="56">
        <f t="shared" si="21"/>
        <v>2.8578516559860684E-9</v>
      </c>
      <c r="P89" s="56">
        <f t="shared" si="48"/>
        <v>1.8991438942973877E-4</v>
      </c>
      <c r="Q89" s="56">
        <f t="shared" si="49"/>
        <v>1.5465240634631162E-2</v>
      </c>
      <c r="R89" s="9">
        <f>F89*$C$14</f>
        <v>1.4999999999999999E-4</v>
      </c>
      <c r="S89" s="9">
        <f t="shared" si="38"/>
        <v>7.4426990402965638E-6</v>
      </c>
      <c r="T89" s="9">
        <f t="shared" si="39"/>
        <v>4.2834375282350231E-7</v>
      </c>
      <c r="U89" s="9">
        <f t="shared" si="40"/>
        <v>1.4255730095970342E-4</v>
      </c>
      <c r="V89" s="102">
        <f t="shared" si="41"/>
        <v>3.0047128413618176E-3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3"/>
        <v>2.8671793282646911</v>
      </c>
      <c r="J90" s="54">
        <f t="shared" si="44"/>
        <v>5.1896332804405967</v>
      </c>
      <c r="K90" s="55">
        <f t="shared" si="45"/>
        <v>1.2864128788978785E-3</v>
      </c>
      <c r="L90" s="55">
        <f t="shared" si="46"/>
        <v>5.2051528912464055E-2</v>
      </c>
      <c r="M90" s="55">
        <f t="shared" si="19"/>
        <v>0.94794847108753599</v>
      </c>
      <c r="N90" s="55">
        <f t="shared" si="47"/>
        <v>4.4316679238500814E-2</v>
      </c>
      <c r="O90" s="56">
        <f t="shared" si="21"/>
        <v>1.2874159429219973E-9</v>
      </c>
      <c r="P90" s="56">
        <f t="shared" si="48"/>
        <v>1.9922882032660674E-4</v>
      </c>
      <c r="Q90" s="56">
        <f t="shared" si="49"/>
        <v>1.6962344641839978E-2</v>
      </c>
      <c r="R90" s="9">
        <f>F90*$C$14</f>
        <v>1.4999999999999999E-4</v>
      </c>
      <c r="S90" s="9">
        <f t="shared" si="38"/>
        <v>7.8077293368696084E-6</v>
      </c>
      <c r="T90" s="9">
        <f t="shared" si="39"/>
        <v>1.9296193183468177E-7</v>
      </c>
      <c r="U90" s="9">
        <f t="shared" si="40"/>
        <v>1.4219227066313039E-4</v>
      </c>
      <c r="V90" s="102">
        <f t="shared" si="41"/>
        <v>1.3570493736036501E-3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3"/>
        <v>3.2678433041260839</v>
      </c>
      <c r="J91" s="54">
        <f t="shared" si="44"/>
        <v>5.609396901026626</v>
      </c>
      <c r="K91" s="55">
        <f t="shared" si="45"/>
        <v>5.1015393417763787E-4</v>
      </c>
      <c r="L91" s="55">
        <f t="shared" si="46"/>
        <v>5.426477067303271E-2</v>
      </c>
      <c r="M91" s="55">
        <f t="shared" si="19"/>
        <v>0.9457352293269673</v>
      </c>
      <c r="N91" s="55">
        <f t="shared" si="47"/>
        <v>4.7900282082573568E-2</v>
      </c>
      <c r="O91" s="56">
        <f t="shared" si="21"/>
        <v>5.1055172019683142E-10</v>
      </c>
      <c r="P91" s="56">
        <f t="shared" si="48"/>
        <v>2.0770007091748213E-4</v>
      </c>
      <c r="Q91" s="56">
        <f t="shared" si="49"/>
        <v>1.8333979600621612E-2</v>
      </c>
      <c r="R91" s="9">
        <f t="shared" ref="R91:R92" si="50">F91*$C$14</f>
        <v>1.4999999999999999E-4</v>
      </c>
      <c r="S91" s="9">
        <f t="shared" si="38"/>
        <v>8.139715600954906E-6</v>
      </c>
      <c r="T91" s="9">
        <f t="shared" si="39"/>
        <v>7.6523090126645678E-8</v>
      </c>
      <c r="U91" s="9">
        <f t="shared" si="40"/>
        <v>1.4186028439904509E-4</v>
      </c>
      <c r="V91" s="102">
        <f t="shared" si="41"/>
        <v>5.3942574872746258E-4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3"/>
        <v>4.4880081925943038</v>
      </c>
      <c r="J92" s="54">
        <f t="shared" si="44"/>
        <v>6.8585088282696232</v>
      </c>
      <c r="K92" s="55">
        <f t="shared" si="45"/>
        <v>3.0613645244567087E-5</v>
      </c>
      <c r="L92" s="55">
        <f t="shared" si="46"/>
        <v>5.7788803721559548E-2</v>
      </c>
      <c r="M92" s="55">
        <f t="shared" si="19"/>
        <v>0.94221119627844041</v>
      </c>
      <c r="N92" s="55">
        <f t="shared" si="47"/>
        <v>5.3636802013592562E-2</v>
      </c>
      <c r="O92" s="56">
        <f t="shared" si="21"/>
        <v>3.0637515843731382E-11</v>
      </c>
      <c r="P92" s="56">
        <f t="shared" si="48"/>
        <v>2.2118841528928141E-4</v>
      </c>
      <c r="Q92" s="56">
        <f t="shared" si="49"/>
        <v>2.0529650164994431E-2</v>
      </c>
      <c r="R92" s="9">
        <f t="shared" si="50"/>
        <v>1.4999999999999999E-4</v>
      </c>
      <c r="S92" s="9">
        <f t="shared" si="38"/>
        <v>8.6683205582339309E-6</v>
      </c>
      <c r="T92" s="9">
        <f t="shared" si="39"/>
        <v>4.5920467866850622E-9</v>
      </c>
      <c r="U92" s="9">
        <f t="shared" si="40"/>
        <v>1.4133167944176605E-4</v>
      </c>
      <c r="V92" s="102">
        <f t="shared" si="41"/>
        <v>3.2491277290574885E-5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225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3"/>
        <v>3.2311126461878961E-2</v>
      </c>
      <c r="J93" s="54">
        <f t="shared" si="44"/>
        <v>0.98556517620768624</v>
      </c>
      <c r="K93" s="55">
        <f t="shared" si="45"/>
        <v>0.92564808334538018</v>
      </c>
      <c r="L93" s="55">
        <f t="shared" si="46"/>
        <v>2.341159018191926E-3</v>
      </c>
      <c r="M93" s="55">
        <f t="shared" ref="M93:M127" si="51">IF(D93=0,"",1-L93)</f>
        <v>0.99765884098180813</v>
      </c>
      <c r="N93" s="55">
        <f t="shared" si="47"/>
        <v>4.3039353291777994E-4</v>
      </c>
      <c r="O93" s="56">
        <f t="shared" ref="O93:O127" si="52">IF(D93=0,"",F93*K93*$J$7/$J$14)</f>
        <v>9.263698456245279E-7</v>
      </c>
      <c r="P93" s="56">
        <f t="shared" si="48"/>
        <v>8.9608578102628065E-6</v>
      </c>
      <c r="Q93" s="56">
        <f t="shared" si="49"/>
        <v>1.647344422555035E-4</v>
      </c>
      <c r="R93" s="9">
        <f>F93*$C$14</f>
        <v>1.4999999999999999E-4</v>
      </c>
      <c r="S93" s="9">
        <f t="shared" si="38"/>
        <v>3.5117385272878888E-7</v>
      </c>
      <c r="T93" s="9">
        <f t="shared" si="39"/>
        <v>1.3884721250180702E-4</v>
      </c>
      <c r="U93" s="9">
        <f t="shared" si="40"/>
        <v>1.496488261472712E-4</v>
      </c>
      <c r="V93" s="102">
        <f t="shared" si="41"/>
        <v>0.92782025810991531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212</v>
      </c>
      <c r="C94" s="46" t="s">
        <v>226</v>
      </c>
      <c r="D94" s="47"/>
      <c r="E94" s="47"/>
      <c r="F94" s="57"/>
      <c r="G94" s="7"/>
      <c r="H94" s="7"/>
      <c r="I94" s="54" t="str">
        <f t="shared" si="43"/>
        <v/>
      </c>
      <c r="J94" s="54" t="str">
        <f t="shared" si="44"/>
        <v/>
      </c>
      <c r="K94" s="55" t="str">
        <f t="shared" si="45"/>
        <v/>
      </c>
      <c r="L94" s="55" t="str">
        <f t="shared" si="46"/>
        <v/>
      </c>
      <c r="M94" s="55" t="str">
        <f t="shared" si="51"/>
        <v/>
      </c>
      <c r="N94" s="55" t="str">
        <f t="shared" si="47"/>
        <v/>
      </c>
      <c r="O94" s="56" t="str">
        <f t="shared" si="52"/>
        <v/>
      </c>
      <c r="P94" s="56" t="str">
        <f t="shared" si="48"/>
        <v/>
      </c>
      <c r="Q94" s="56" t="str">
        <f t="shared" si="49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213</v>
      </c>
      <c r="C95" s="46" t="s">
        <v>227</v>
      </c>
      <c r="D95" s="47"/>
      <c r="E95" s="47"/>
      <c r="F95" s="57"/>
      <c r="G95" s="7"/>
      <c r="H95" s="7"/>
      <c r="I95" s="54" t="str">
        <f t="shared" si="43"/>
        <v/>
      </c>
      <c r="J95" s="54" t="str">
        <f t="shared" si="44"/>
        <v/>
      </c>
      <c r="K95" s="55" t="str">
        <f t="shared" si="45"/>
        <v/>
      </c>
      <c r="L95" s="55" t="str">
        <f t="shared" si="46"/>
        <v/>
      </c>
      <c r="M95" s="55" t="str">
        <f t="shared" si="51"/>
        <v/>
      </c>
      <c r="N95" s="55" t="str">
        <f t="shared" si="47"/>
        <v/>
      </c>
      <c r="O95" s="56" t="str">
        <f t="shared" si="52"/>
        <v/>
      </c>
      <c r="P95" s="56" t="str">
        <f t="shared" si="48"/>
        <v/>
      </c>
      <c r="Q95" s="56" t="str">
        <f t="shared" si="49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214</v>
      </c>
      <c r="C96" s="46" t="s">
        <v>228</v>
      </c>
      <c r="D96" s="47"/>
      <c r="E96" s="47"/>
      <c r="F96" s="57"/>
      <c r="G96" s="7"/>
      <c r="H96" s="7"/>
      <c r="I96" s="54" t="str">
        <f t="shared" si="43"/>
        <v/>
      </c>
      <c r="J96" s="54" t="str">
        <f t="shared" si="44"/>
        <v/>
      </c>
      <c r="K96" s="55" t="str">
        <f t="shared" si="45"/>
        <v/>
      </c>
      <c r="L96" s="55" t="str">
        <f t="shared" si="46"/>
        <v/>
      </c>
      <c r="M96" s="55" t="str">
        <f t="shared" si="51"/>
        <v/>
      </c>
      <c r="N96" s="55" t="str">
        <f t="shared" si="47"/>
        <v/>
      </c>
      <c r="O96" s="56" t="str">
        <f t="shared" si="52"/>
        <v/>
      </c>
      <c r="P96" s="56" t="str">
        <f t="shared" si="48"/>
        <v/>
      </c>
      <c r="Q96" s="56" t="str">
        <f t="shared" si="49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215</v>
      </c>
      <c r="C97" s="46" t="s">
        <v>229</v>
      </c>
      <c r="D97" s="47"/>
      <c r="E97" s="47"/>
      <c r="F97" s="57"/>
      <c r="G97" s="7"/>
      <c r="H97" s="7"/>
      <c r="I97" s="54" t="str">
        <f t="shared" si="43"/>
        <v/>
      </c>
      <c r="J97" s="54" t="str">
        <f t="shared" si="44"/>
        <v/>
      </c>
      <c r="K97" s="55" t="str">
        <f t="shared" si="45"/>
        <v/>
      </c>
      <c r="L97" s="55" t="str">
        <f t="shared" si="46"/>
        <v/>
      </c>
      <c r="M97" s="55" t="str">
        <f t="shared" si="51"/>
        <v/>
      </c>
      <c r="N97" s="55" t="str">
        <f t="shared" si="47"/>
        <v/>
      </c>
      <c r="O97" s="56" t="str">
        <f t="shared" si="52"/>
        <v/>
      </c>
      <c r="P97" s="56" t="str">
        <f t="shared" si="48"/>
        <v/>
      </c>
      <c r="Q97" s="56" t="str">
        <f t="shared" si="49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216</v>
      </c>
      <c r="C98" s="46" t="s">
        <v>230</v>
      </c>
      <c r="D98" s="47"/>
      <c r="E98" s="47"/>
      <c r="F98" s="57"/>
      <c r="G98" s="7"/>
      <c r="H98" s="7"/>
      <c r="I98" s="54" t="str">
        <f t="shared" si="43"/>
        <v/>
      </c>
      <c r="J98" s="54" t="str">
        <f t="shared" si="44"/>
        <v/>
      </c>
      <c r="K98" s="55" t="str">
        <f t="shared" si="45"/>
        <v/>
      </c>
      <c r="L98" s="55" t="str">
        <f t="shared" si="46"/>
        <v/>
      </c>
      <c r="M98" s="55" t="str">
        <f t="shared" si="51"/>
        <v/>
      </c>
      <c r="N98" s="55" t="str">
        <f t="shared" si="47"/>
        <v/>
      </c>
      <c r="O98" s="56" t="str">
        <f t="shared" si="52"/>
        <v/>
      </c>
      <c r="P98" s="56" t="str">
        <f t="shared" si="48"/>
        <v/>
      </c>
      <c r="Q98" s="56" t="str">
        <f t="shared" si="49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217</v>
      </c>
      <c r="C99" s="46" t="s">
        <v>231</v>
      </c>
      <c r="D99" s="47"/>
      <c r="E99" s="47"/>
      <c r="F99" s="57"/>
      <c r="G99" s="7"/>
      <c r="H99" s="7"/>
      <c r="I99" s="54" t="str">
        <f t="shared" si="43"/>
        <v/>
      </c>
      <c r="J99" s="54" t="str">
        <f t="shared" si="44"/>
        <v/>
      </c>
      <c r="K99" s="55" t="str">
        <f t="shared" si="45"/>
        <v/>
      </c>
      <c r="L99" s="55" t="str">
        <f t="shared" si="46"/>
        <v/>
      </c>
      <c r="M99" s="55" t="str">
        <f t="shared" si="51"/>
        <v/>
      </c>
      <c r="N99" s="55" t="str">
        <f t="shared" si="47"/>
        <v/>
      </c>
      <c r="O99" s="56" t="str">
        <f t="shared" si="52"/>
        <v/>
      </c>
      <c r="P99" s="56" t="str">
        <f t="shared" si="48"/>
        <v/>
      </c>
      <c r="Q99" s="56" t="str">
        <f t="shared" si="49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218</v>
      </c>
      <c r="C100" s="46" t="s">
        <v>232</v>
      </c>
      <c r="D100" s="47"/>
      <c r="E100" s="47"/>
      <c r="F100" s="57"/>
      <c r="G100" s="7"/>
      <c r="H100" s="7"/>
      <c r="I100" s="54" t="str">
        <f t="shared" si="43"/>
        <v/>
      </c>
      <c r="J100" s="54" t="str">
        <f t="shared" si="44"/>
        <v/>
      </c>
      <c r="K100" s="55" t="str">
        <f t="shared" si="45"/>
        <v/>
      </c>
      <c r="L100" s="55" t="str">
        <f t="shared" si="46"/>
        <v/>
      </c>
      <c r="M100" s="55" t="str">
        <f t="shared" si="51"/>
        <v/>
      </c>
      <c r="N100" s="55" t="str">
        <f t="shared" si="47"/>
        <v/>
      </c>
      <c r="O100" s="56" t="str">
        <f t="shared" si="52"/>
        <v/>
      </c>
      <c r="P100" s="56" t="str">
        <f t="shared" si="48"/>
        <v/>
      </c>
      <c r="Q100" s="56" t="str">
        <f t="shared" si="49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219</v>
      </c>
      <c r="C101" s="46" t="s">
        <v>233</v>
      </c>
      <c r="D101" s="47"/>
      <c r="E101" s="47"/>
      <c r="F101" s="57"/>
      <c r="G101" s="7"/>
      <c r="H101" s="7"/>
      <c r="I101" s="54" t="str">
        <f t="shared" si="43"/>
        <v/>
      </c>
      <c r="J101" s="54" t="str">
        <f t="shared" si="44"/>
        <v/>
      </c>
      <c r="K101" s="55" t="str">
        <f t="shared" si="45"/>
        <v/>
      </c>
      <c r="L101" s="55" t="str">
        <f t="shared" si="46"/>
        <v/>
      </c>
      <c r="M101" s="55" t="str">
        <f t="shared" si="51"/>
        <v/>
      </c>
      <c r="N101" s="55" t="str">
        <f t="shared" si="47"/>
        <v/>
      </c>
      <c r="O101" s="56" t="str">
        <f t="shared" si="52"/>
        <v/>
      </c>
      <c r="P101" s="56" t="str">
        <f t="shared" si="48"/>
        <v/>
      </c>
      <c r="Q101" s="56" t="str">
        <f t="shared" si="49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220</v>
      </c>
      <c r="C102" s="46" t="s">
        <v>234</v>
      </c>
      <c r="D102" s="47"/>
      <c r="E102" s="47"/>
      <c r="F102" s="57"/>
      <c r="G102" s="7"/>
      <c r="H102" s="7"/>
      <c r="I102" s="54" t="str">
        <f t="shared" si="43"/>
        <v/>
      </c>
      <c r="J102" s="54" t="str">
        <f t="shared" si="44"/>
        <v/>
      </c>
      <c r="K102" s="55" t="str">
        <f t="shared" si="45"/>
        <v/>
      </c>
      <c r="L102" s="55" t="str">
        <f t="shared" si="46"/>
        <v/>
      </c>
      <c r="M102" s="55" t="str">
        <f t="shared" si="51"/>
        <v/>
      </c>
      <c r="N102" s="55" t="str">
        <f t="shared" si="47"/>
        <v/>
      </c>
      <c r="O102" s="56" t="str">
        <f t="shared" si="52"/>
        <v/>
      </c>
      <c r="P102" s="56" t="str">
        <f t="shared" si="48"/>
        <v/>
      </c>
      <c r="Q102" s="56" t="str">
        <f t="shared" si="49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221</v>
      </c>
      <c r="C103" s="46" t="s">
        <v>235</v>
      </c>
      <c r="D103" s="47"/>
      <c r="E103" s="47"/>
      <c r="F103" s="57"/>
      <c r="G103" s="7"/>
      <c r="H103" s="7"/>
      <c r="I103" s="54" t="str">
        <f t="shared" si="43"/>
        <v/>
      </c>
      <c r="J103" s="54" t="str">
        <f t="shared" si="44"/>
        <v/>
      </c>
      <c r="K103" s="55" t="str">
        <f t="shared" si="45"/>
        <v/>
      </c>
      <c r="L103" s="55" t="str">
        <f t="shared" si="46"/>
        <v/>
      </c>
      <c r="M103" s="55" t="str">
        <f t="shared" si="51"/>
        <v/>
      </c>
      <c r="N103" s="55" t="str">
        <f t="shared" si="47"/>
        <v/>
      </c>
      <c r="O103" s="56" t="str">
        <f t="shared" si="52"/>
        <v/>
      </c>
      <c r="P103" s="56" t="str">
        <f t="shared" si="48"/>
        <v/>
      </c>
      <c r="Q103" s="56" t="str">
        <f t="shared" si="49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222</v>
      </c>
      <c r="C104" s="46" t="s">
        <v>236</v>
      </c>
      <c r="D104" s="47"/>
      <c r="E104" s="47"/>
      <c r="F104" s="57"/>
      <c r="G104" s="7"/>
      <c r="H104" s="7"/>
      <c r="I104" s="54" t="str">
        <f t="shared" si="43"/>
        <v/>
      </c>
      <c r="J104" s="54" t="str">
        <f t="shared" si="44"/>
        <v/>
      </c>
      <c r="K104" s="55" t="str">
        <f t="shared" si="45"/>
        <v/>
      </c>
      <c r="L104" s="55" t="str">
        <f t="shared" si="46"/>
        <v/>
      </c>
      <c r="M104" s="55" t="str">
        <f t="shared" si="51"/>
        <v/>
      </c>
      <c r="N104" s="55" t="str">
        <f t="shared" si="47"/>
        <v/>
      </c>
      <c r="O104" s="56" t="str">
        <f t="shared" si="52"/>
        <v/>
      </c>
      <c r="P104" s="56" t="str">
        <f t="shared" si="48"/>
        <v/>
      </c>
      <c r="Q104" s="56" t="str">
        <f t="shared" si="49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223</v>
      </c>
      <c r="C105" s="46" t="s">
        <v>237</v>
      </c>
      <c r="D105" s="47"/>
      <c r="E105" s="47"/>
      <c r="F105" s="57"/>
      <c r="G105" s="7"/>
      <c r="H105" s="7"/>
      <c r="I105" s="54" t="str">
        <f t="shared" si="43"/>
        <v/>
      </c>
      <c r="J105" s="54" t="str">
        <f t="shared" si="44"/>
        <v/>
      </c>
      <c r="K105" s="55" t="str">
        <f t="shared" si="45"/>
        <v/>
      </c>
      <c r="L105" s="55" t="str">
        <f t="shared" si="46"/>
        <v/>
      </c>
      <c r="M105" s="55" t="str">
        <f t="shared" si="51"/>
        <v/>
      </c>
      <c r="N105" s="55" t="str">
        <f t="shared" si="47"/>
        <v/>
      </c>
      <c r="O105" s="56" t="str">
        <f t="shared" si="52"/>
        <v/>
      </c>
      <c r="P105" s="56" t="str">
        <f t="shared" si="48"/>
        <v/>
      </c>
      <c r="Q105" s="56" t="str">
        <f t="shared" si="49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224</v>
      </c>
      <c r="C106" s="46" t="s">
        <v>238</v>
      </c>
      <c r="D106" s="47"/>
      <c r="E106" s="47"/>
      <c r="F106" s="57"/>
      <c r="G106" s="7"/>
      <c r="H106" s="7"/>
      <c r="I106" s="54" t="str">
        <f t="shared" si="43"/>
        <v/>
      </c>
      <c r="J106" s="54" t="str">
        <f t="shared" si="44"/>
        <v/>
      </c>
      <c r="K106" s="55" t="str">
        <f t="shared" si="45"/>
        <v/>
      </c>
      <c r="L106" s="55" t="str">
        <f t="shared" si="46"/>
        <v/>
      </c>
      <c r="M106" s="55" t="str">
        <f t="shared" si="51"/>
        <v/>
      </c>
      <c r="N106" s="55" t="str">
        <f t="shared" si="47"/>
        <v/>
      </c>
      <c r="O106" s="56" t="str">
        <f t="shared" si="52"/>
        <v/>
      </c>
      <c r="P106" s="56" t="str">
        <f t="shared" si="48"/>
        <v/>
      </c>
      <c r="Q106" s="56" t="str">
        <f t="shared" si="49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3"/>
        <v>1.9446765022663539E-3</v>
      </c>
      <c r="J107" s="54">
        <f t="shared" si="44"/>
        <v>0.1779757021952241</v>
      </c>
      <c r="K107" s="55">
        <f t="shared" si="45"/>
        <v>0.99462670190983316</v>
      </c>
      <c r="L107" s="55">
        <f t="shared" si="46"/>
        <v>3.9179207513810377E-4</v>
      </c>
      <c r="M107" s="55">
        <f t="shared" si="51"/>
        <v>0.99960820792486194</v>
      </c>
      <c r="N107" s="55">
        <f t="shared" si="47"/>
        <v>3.0387288211501586E-5</v>
      </c>
      <c r="O107" s="56">
        <f t="shared" si="52"/>
        <v>9.9540224938644781E-7</v>
      </c>
      <c r="P107" s="56">
        <f t="shared" si="48"/>
        <v>1.4995961612260457E-6</v>
      </c>
      <c r="Q107" s="56">
        <f t="shared" si="49"/>
        <v>1.1630827585263084E-5</v>
      </c>
      <c r="R107" s="9">
        <f>F107*$C$14</f>
        <v>1.4999999999999999E-4</v>
      </c>
      <c r="S107" s="9">
        <f t="shared" ref="S107:S108" si="53">$R107*L107</f>
        <v>5.8768811270715559E-8</v>
      </c>
      <c r="T107" s="9">
        <f t="shared" ref="T107:T108" si="54">R107*K107</f>
        <v>1.4919400528647496E-4</v>
      </c>
      <c r="U107" s="9">
        <f t="shared" ref="U107:U108" si="55">$R107*M107</f>
        <v>1.4994123118872927E-4</v>
      </c>
      <c r="V107" s="102">
        <f t="shared" ref="V107:V108" si="56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3"/>
        <v>1.5422749478710035E-2</v>
      </c>
      <c r="J108" s="54">
        <f t="shared" si="44"/>
        <v>0.72322796015768975</v>
      </c>
      <c r="K108" s="55">
        <f t="shared" si="45"/>
        <v>0.96332642255262546</v>
      </c>
      <c r="L108" s="55">
        <f t="shared" si="46"/>
        <v>1.3317455780630721E-3</v>
      </c>
      <c r="M108" s="55">
        <f t="shared" si="51"/>
        <v>0.99866825442193696</v>
      </c>
      <c r="N108" s="55">
        <f t="shared" si="47"/>
        <v>3.0237250877714902E-4</v>
      </c>
      <c r="O108" s="56">
        <f t="shared" si="52"/>
        <v>9.6407756403588957E-7</v>
      </c>
      <c r="P108" s="56">
        <f t="shared" si="48"/>
        <v>5.0972969677581851E-6</v>
      </c>
      <c r="Q108" s="56">
        <f t="shared" si="49"/>
        <v>1.1573400336458269E-4</v>
      </c>
      <c r="R108" s="9">
        <f>F108*$C$14</f>
        <v>1.4999999999999999E-4</v>
      </c>
      <c r="S108" s="9">
        <f t="shared" si="53"/>
        <v>1.9976183670946079E-7</v>
      </c>
      <c r="T108" s="9">
        <f t="shared" si="54"/>
        <v>1.4449896338289382E-4</v>
      </c>
      <c r="U108" s="9">
        <f t="shared" si="55"/>
        <v>1.4980023816329053E-4</v>
      </c>
      <c r="V108" s="102">
        <f t="shared" si="56"/>
        <v>0.96461103903841561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3"/>
        <v/>
      </c>
      <c r="J109" s="54" t="str">
        <f t="shared" si="44"/>
        <v/>
      </c>
      <c r="K109" s="55" t="str">
        <f t="shared" si="45"/>
        <v/>
      </c>
      <c r="L109" s="55" t="str">
        <f t="shared" si="46"/>
        <v/>
      </c>
      <c r="M109" s="55" t="str">
        <f t="shared" si="51"/>
        <v/>
      </c>
      <c r="N109" s="55" t="str">
        <f t="shared" si="47"/>
        <v/>
      </c>
      <c r="O109" s="56" t="str">
        <f t="shared" si="52"/>
        <v/>
      </c>
      <c r="P109" s="56" t="str">
        <f t="shared" si="48"/>
        <v/>
      </c>
      <c r="Q109" s="56" t="str">
        <f t="shared" si="49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3"/>
        <v/>
      </c>
      <c r="J110" s="54" t="str">
        <f t="shared" si="44"/>
        <v/>
      </c>
      <c r="K110" s="55" t="str">
        <f t="shared" si="45"/>
        <v/>
      </c>
      <c r="L110" s="55" t="str">
        <f t="shared" si="46"/>
        <v/>
      </c>
      <c r="M110" s="55" t="str">
        <f t="shared" si="51"/>
        <v/>
      </c>
      <c r="N110" s="55" t="str">
        <f t="shared" si="47"/>
        <v/>
      </c>
      <c r="O110" s="56" t="str">
        <f t="shared" si="52"/>
        <v/>
      </c>
      <c r="P110" s="56" t="str">
        <f t="shared" si="48"/>
        <v/>
      </c>
      <c r="Q110" s="56" t="str">
        <f t="shared" si="49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3"/>
        <v/>
      </c>
      <c r="J111" s="54" t="str">
        <f t="shared" si="44"/>
        <v/>
      </c>
      <c r="K111" s="55" t="str">
        <f t="shared" si="45"/>
        <v/>
      </c>
      <c r="L111" s="55" t="str">
        <f t="shared" si="46"/>
        <v/>
      </c>
      <c r="M111" s="55" t="str">
        <f t="shared" si="51"/>
        <v/>
      </c>
      <c r="N111" s="55" t="str">
        <f t="shared" si="47"/>
        <v/>
      </c>
      <c r="O111" s="56" t="str">
        <f t="shared" si="52"/>
        <v/>
      </c>
      <c r="P111" s="56" t="str">
        <f t="shared" si="48"/>
        <v/>
      </c>
      <c r="Q111" s="56" t="str">
        <f t="shared" si="49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3"/>
        <v/>
      </c>
      <c r="J112" s="54" t="str">
        <f t="shared" si="44"/>
        <v/>
      </c>
      <c r="K112" s="55" t="str">
        <f t="shared" si="45"/>
        <v/>
      </c>
      <c r="L112" s="55" t="str">
        <f t="shared" si="46"/>
        <v/>
      </c>
      <c r="M112" s="55" t="str">
        <f t="shared" si="51"/>
        <v/>
      </c>
      <c r="N112" s="55" t="str">
        <f t="shared" si="47"/>
        <v/>
      </c>
      <c r="O112" s="56" t="str">
        <f t="shared" si="52"/>
        <v/>
      </c>
      <c r="P112" s="56" t="str">
        <f t="shared" si="48"/>
        <v/>
      </c>
      <c r="Q112" s="56" t="str">
        <f t="shared" si="49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3"/>
        <v/>
      </c>
      <c r="J113" s="54" t="str">
        <f t="shared" si="44"/>
        <v/>
      </c>
      <c r="K113" s="55" t="str">
        <f t="shared" si="45"/>
        <v/>
      </c>
      <c r="L113" s="55" t="str">
        <f t="shared" si="46"/>
        <v/>
      </c>
      <c r="M113" s="55" t="str">
        <f t="shared" si="51"/>
        <v/>
      </c>
      <c r="N113" s="55" t="str">
        <f t="shared" si="47"/>
        <v/>
      </c>
      <c r="O113" s="56" t="str">
        <f t="shared" si="52"/>
        <v/>
      </c>
      <c r="P113" s="56" t="str">
        <f t="shared" si="48"/>
        <v/>
      </c>
      <c r="Q113" s="56" t="str">
        <f t="shared" si="49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3"/>
        <v>1.0353959656071578E-2</v>
      </c>
      <c r="J114" s="54">
        <f t="shared" si="44"/>
        <v>0.5957275880920595</v>
      </c>
      <c r="K114" s="55">
        <f t="shared" si="45"/>
        <v>0.97495454135587711</v>
      </c>
      <c r="L114" s="55">
        <f t="shared" si="46"/>
        <v>1.0049206844114341E-3</v>
      </c>
      <c r="M114" s="55">
        <f t="shared" si="51"/>
        <v>0.99899507931558862</v>
      </c>
      <c r="N114" s="55">
        <f t="shared" si="47"/>
        <v>2.378664534525768E-4</v>
      </c>
      <c r="O114" s="56">
        <f t="shared" si="52"/>
        <v>9.7571474971637098E-7</v>
      </c>
      <c r="P114" s="56">
        <f t="shared" si="48"/>
        <v>3.8463646824628575E-6</v>
      </c>
      <c r="Q114" s="56">
        <f t="shared" si="49"/>
        <v>9.1044113221586381E-5</v>
      </c>
      <c r="R114" s="9">
        <f>F114*$C$14</f>
        <v>1.4999999999999999E-4</v>
      </c>
      <c r="S114" s="9">
        <f t="shared" ref="S114:S116" si="57">$R114*L114</f>
        <v>1.5073810266171509E-7</v>
      </c>
      <c r="T114" s="9">
        <f t="shared" ref="T114:T116" si="58">R114*K114</f>
        <v>1.4624318120338157E-4</v>
      </c>
      <c r="U114" s="9">
        <f t="shared" ref="U114:U116" si="59">$R114*M114</f>
        <v>1.4984926189733828E-4</v>
      </c>
      <c r="V114" s="102">
        <f t="shared" ref="V114:V116" si="60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3"/>
        <v>2.0480395290290027E-2</v>
      </c>
      <c r="J115" s="54">
        <f t="shared" si="44"/>
        <v>0.78224006697670034</v>
      </c>
      <c r="K115" s="55">
        <f t="shared" si="45"/>
        <v>0.95200521125279269</v>
      </c>
      <c r="L115" s="55">
        <f t="shared" si="46"/>
        <v>1.5076454573281616E-3</v>
      </c>
      <c r="M115" s="55">
        <f t="shared" si="51"/>
        <v>0.99849235454267182</v>
      </c>
      <c r="N115" s="55">
        <f t="shared" si="47"/>
        <v>1.327563050897561E-4</v>
      </c>
      <c r="O115" s="56">
        <f t="shared" si="52"/>
        <v>9.5274752516603595E-7</v>
      </c>
      <c r="P115" s="56">
        <f t="shared" si="48"/>
        <v>5.7705591403354986E-6</v>
      </c>
      <c r="Q115" s="56">
        <f t="shared" si="49"/>
        <v>5.0812882169956463E-5</v>
      </c>
      <c r="R115" s="9">
        <f>F115*$C$14</f>
        <v>1.4999999999999999E-4</v>
      </c>
      <c r="S115" s="9">
        <f t="shared" si="57"/>
        <v>2.2614681859922422E-7</v>
      </c>
      <c r="T115" s="9">
        <f t="shared" si="58"/>
        <v>1.428007816879189E-4</v>
      </c>
      <c r="U115" s="9">
        <f t="shared" si="59"/>
        <v>1.4977385318140076E-4</v>
      </c>
      <c r="V115" s="102">
        <f t="shared" si="60"/>
        <v>0.95344266475513362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3"/>
        <v>5.8413729360461944E-4</v>
      </c>
      <c r="J116" s="54">
        <f t="shared" si="44"/>
        <v>5.4647098001601571E-2</v>
      </c>
      <c r="K116" s="55">
        <f t="shared" si="45"/>
        <v>0.99784323605761915</v>
      </c>
      <c r="L116" s="55">
        <f t="shared" si="46"/>
        <v>2.958892905700155E-4</v>
      </c>
      <c r="M116" s="55">
        <f t="shared" si="51"/>
        <v>0.99970411070942999</v>
      </c>
      <c r="N116" s="55">
        <f t="shared" si="47"/>
        <v>3.5646520854836648E-6</v>
      </c>
      <c r="O116" s="56">
        <f t="shared" si="52"/>
        <v>9.9862129158568358E-7</v>
      </c>
      <c r="P116" s="56">
        <f t="shared" si="48"/>
        <v>1.1325253174921598E-6</v>
      </c>
      <c r="Q116" s="56">
        <f t="shared" si="49"/>
        <v>1.3643814979191342E-6</v>
      </c>
      <c r="R116" s="9">
        <f>F116*$C$14</f>
        <v>1.4999999999999999E-4</v>
      </c>
      <c r="S116" s="9">
        <f t="shared" si="57"/>
        <v>4.4383393585502324E-8</v>
      </c>
      <c r="T116" s="9">
        <f t="shared" si="58"/>
        <v>1.4967648540864287E-4</v>
      </c>
      <c r="U116" s="9">
        <f t="shared" si="59"/>
        <v>1.4995561660641448E-4</v>
      </c>
      <c r="V116" s="102">
        <f t="shared" si="60"/>
        <v>0.9981385745723399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3"/>
        <v/>
      </c>
      <c r="J117" s="54" t="str">
        <f t="shared" si="44"/>
        <v/>
      </c>
      <c r="K117" s="55" t="str">
        <f t="shared" si="45"/>
        <v/>
      </c>
      <c r="L117" s="55" t="str">
        <f t="shared" si="46"/>
        <v/>
      </c>
      <c r="M117" s="55" t="str">
        <f t="shared" si="51"/>
        <v/>
      </c>
      <c r="N117" s="55" t="str">
        <f t="shared" si="47"/>
        <v/>
      </c>
      <c r="O117" s="56" t="str">
        <f t="shared" si="52"/>
        <v/>
      </c>
      <c r="P117" s="56" t="str">
        <f t="shared" si="48"/>
        <v/>
      </c>
      <c r="Q117" s="56" t="str">
        <f t="shared" si="49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3"/>
        <v/>
      </c>
      <c r="J118" s="54" t="str">
        <f t="shared" si="44"/>
        <v/>
      </c>
      <c r="K118" s="55" t="str">
        <f t="shared" si="45"/>
        <v/>
      </c>
      <c r="L118" s="55" t="str">
        <f t="shared" si="46"/>
        <v/>
      </c>
      <c r="M118" s="55" t="str">
        <f t="shared" si="51"/>
        <v/>
      </c>
      <c r="N118" s="55" t="str">
        <f t="shared" si="47"/>
        <v/>
      </c>
      <c r="O118" s="56" t="str">
        <f t="shared" si="52"/>
        <v/>
      </c>
      <c r="P118" s="56" t="str">
        <f t="shared" si="48"/>
        <v/>
      </c>
      <c r="Q118" s="56" t="str">
        <f t="shared" si="49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3"/>
        <v>0.56658503951123784</v>
      </c>
      <c r="J119" s="54">
        <f t="shared" si="44"/>
        <v>2.594576847430778</v>
      </c>
      <c r="K119" s="55">
        <f t="shared" si="45"/>
        <v>0.26378518512050009</v>
      </c>
      <c r="L119" s="55">
        <f t="shared" si="46"/>
        <v>2.7117339538337556E-2</v>
      </c>
      <c r="M119" s="55">
        <f t="shared" si="51"/>
        <v>0.9728826604616625</v>
      </c>
      <c r="N119" s="55">
        <f t="shared" si="47"/>
        <v>1.4185453731151718E-2</v>
      </c>
      <c r="O119" s="56">
        <f t="shared" si="52"/>
        <v>2.6399086825196609E-7</v>
      </c>
      <c r="P119" s="56">
        <f t="shared" si="48"/>
        <v>1.037924472056259E-4</v>
      </c>
      <c r="Q119" s="56">
        <f t="shared" si="49"/>
        <v>5.429525840456681E-3</v>
      </c>
      <c r="R119" s="9">
        <f>F119*$C$14</f>
        <v>1.4999999999999999E-4</v>
      </c>
      <c r="S119" s="9">
        <f t="shared" ref="S119:S121" si="61">$R119*L119</f>
        <v>4.0676009307506334E-6</v>
      </c>
      <c r="T119" s="9">
        <f t="shared" ref="T119:T121" si="62">R119*K119</f>
        <v>3.9567777768075011E-5</v>
      </c>
      <c r="U119" s="9">
        <f t="shared" ref="U119:U121" si="63">$R119*M119</f>
        <v>1.4593239906924936E-4</v>
      </c>
      <c r="V119" s="102">
        <f t="shared" ref="V119:V121" si="64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3"/>
        <v>2.3514137427377815E-2</v>
      </c>
      <c r="J120" s="54">
        <f t="shared" si="44"/>
        <v>0.87356769077484919</v>
      </c>
      <c r="K120" s="55">
        <f t="shared" si="45"/>
        <v>0.94505698355678713</v>
      </c>
      <c r="L120" s="55">
        <f t="shared" si="46"/>
        <v>1.8469090835602469E-3</v>
      </c>
      <c r="M120" s="55">
        <f t="shared" si="51"/>
        <v>0.99815309091643978</v>
      </c>
      <c r="N120" s="55">
        <f t="shared" si="47"/>
        <v>4.0645626917832522E-4</v>
      </c>
      <c r="O120" s="56">
        <f t="shared" si="52"/>
        <v>9.4579387967816321E-7</v>
      </c>
      <c r="P120" s="56">
        <f t="shared" si="48"/>
        <v>7.0691010553600143E-6</v>
      </c>
      <c r="Q120" s="56">
        <f t="shared" si="49"/>
        <v>1.5557238128188921E-4</v>
      </c>
      <c r="R120" s="9">
        <f>F120*$C$14</f>
        <v>1.4999999999999999E-4</v>
      </c>
      <c r="S120" s="9">
        <f t="shared" si="61"/>
        <v>2.77036362534037E-7</v>
      </c>
      <c r="T120" s="9">
        <f t="shared" si="62"/>
        <v>1.4175854753351806E-4</v>
      </c>
      <c r="U120" s="9">
        <f t="shared" si="63"/>
        <v>1.4972296363746597E-4</v>
      </c>
      <c r="V120" s="102">
        <f t="shared" si="64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3"/>
        <v>1.0322461970770105</v>
      </c>
      <c r="J121" s="54">
        <f t="shared" si="44"/>
        <v>3.1059362408784228</v>
      </c>
      <c r="K121" s="55">
        <f t="shared" si="45"/>
        <v>9.0008690799463359E-2</v>
      </c>
      <c r="L121" s="55">
        <f t="shared" si="46"/>
        <v>3.003589078425821E-2</v>
      </c>
      <c r="M121" s="55">
        <f t="shared" si="51"/>
        <v>0.96996410921574183</v>
      </c>
      <c r="N121" s="55">
        <f t="shared" si="47"/>
        <v>1.1938871438648578E-2</v>
      </c>
      <c r="O121" s="56">
        <f t="shared" si="52"/>
        <v>9.0078873927353308E-8</v>
      </c>
      <c r="P121" s="56">
        <f t="shared" si="48"/>
        <v>1.1496329144279275E-4</v>
      </c>
      <c r="Q121" s="56">
        <f t="shared" si="49"/>
        <v>4.5696395907083714E-3</v>
      </c>
      <c r="R121" s="9">
        <f>F121*$C$14</f>
        <v>1.4999999999999999E-4</v>
      </c>
      <c r="S121" s="9">
        <f t="shared" si="61"/>
        <v>4.5053836176387309E-6</v>
      </c>
      <c r="T121" s="9">
        <f t="shared" si="62"/>
        <v>1.3501303619919503E-5</v>
      </c>
      <c r="U121" s="9">
        <f t="shared" si="63"/>
        <v>1.4549461638236128E-4</v>
      </c>
      <c r="V121" s="102">
        <f t="shared" si="64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3"/>
        <v/>
      </c>
      <c r="J122" s="54" t="str">
        <f t="shared" si="44"/>
        <v/>
      </c>
      <c r="K122" s="55" t="str">
        <f t="shared" si="45"/>
        <v/>
      </c>
      <c r="L122" s="55" t="str">
        <f t="shared" si="46"/>
        <v/>
      </c>
      <c r="M122" s="55" t="str">
        <f t="shared" si="51"/>
        <v/>
      </c>
      <c r="N122" s="55" t="str">
        <f t="shared" si="47"/>
        <v/>
      </c>
      <c r="O122" s="56" t="str">
        <f t="shared" si="52"/>
        <v/>
      </c>
      <c r="P122" s="56" t="str">
        <f t="shared" si="48"/>
        <v/>
      </c>
      <c r="Q122" s="56" t="str">
        <f t="shared" si="49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5">IF(D123=0,"",LOG($K$15*10^D123+$K$16*10^E123+$K$14))</f>
        <v/>
      </c>
      <c r="J123" s="54" t="str">
        <f t="shared" ref="J123:J127" si="66">IF(D123=0,"",LOG($K$21*10^D123+$K$22*10^E123+$K$20))</f>
        <v/>
      </c>
      <c r="K123" s="55" t="str">
        <f t="shared" ref="K123:K127" si="67">IF(D123=0,"",1/(1+10^D123*$J$15/$J$14+10^E123*$J$16/$J$14+10^J123*$J$19/$J$14))</f>
        <v/>
      </c>
      <c r="L123" s="55" t="str">
        <f t="shared" ref="L123:L127" si="68">IF(D123=0,"",1/(1+10^I123/10^J123*$J$13/$J$19))</f>
        <v/>
      </c>
      <c r="M123" s="55" t="str">
        <f t="shared" si="51"/>
        <v/>
      </c>
      <c r="N123" s="55" t="str">
        <f t="shared" ref="N123:N127" si="69">IF(D123=0,"",1/(1/10^E123*$J$20/$J$22+10^D123/10^E123*$J$21/$J$22+10^I123/10^E123*$J$13/$J$22+1))</f>
        <v/>
      </c>
      <c r="O123" s="56" t="str">
        <f t="shared" si="52"/>
        <v/>
      </c>
      <c r="P123" s="56" t="str">
        <f t="shared" ref="P123:P127" si="70">IF(D123=0,"",O123*10^J123)</f>
        <v/>
      </c>
      <c r="Q123" s="56" t="str">
        <f t="shared" ref="Q123:Q127" si="71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5"/>
        <v>0.13981203375224763</v>
      </c>
      <c r="J124" s="54">
        <f t="shared" si="66"/>
        <v>1.7480313432951757</v>
      </c>
      <c r="K124" s="55">
        <f t="shared" si="67"/>
        <v>0.71677444634406418</v>
      </c>
      <c r="L124" s="55">
        <f t="shared" si="68"/>
        <v>1.0491405859828176E-2</v>
      </c>
      <c r="M124" s="55">
        <f t="shared" si="51"/>
        <v>0.98950859414017178</v>
      </c>
      <c r="N124" s="55">
        <f t="shared" si="69"/>
        <v>5.3123458934200606E-3</v>
      </c>
      <c r="O124" s="56">
        <f t="shared" si="52"/>
        <v>7.1733334207056793E-7</v>
      </c>
      <c r="P124" s="56">
        <f t="shared" si="70"/>
        <v>4.0156177093977849E-5</v>
      </c>
      <c r="Q124" s="56">
        <f t="shared" si="71"/>
        <v>2.0333166529898756E-3</v>
      </c>
      <c r="R124" s="9">
        <f>F124*$C$14</f>
        <v>1.4999999999999999E-4</v>
      </c>
      <c r="S124" s="9">
        <f t="shared" ref="S124:S127" si="72">$R124*L124</f>
        <v>1.5737108789742263E-6</v>
      </c>
      <c r="T124" s="9">
        <f t="shared" ref="T124:T127" si="73">R124*K124</f>
        <v>1.0751616695160962E-4</v>
      </c>
      <c r="U124" s="9">
        <f t="shared" ref="U124:U127" si="74">$R124*M124</f>
        <v>1.4842628912102576E-4</v>
      </c>
      <c r="V124" s="102">
        <f t="shared" ref="V124:V127" si="75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5"/>
        <v/>
      </c>
      <c r="J125" s="54" t="str">
        <f t="shared" si="66"/>
        <v/>
      </c>
      <c r="K125" s="55" t="str">
        <f t="shared" si="67"/>
        <v/>
      </c>
      <c r="L125" s="55" t="str">
        <f t="shared" si="68"/>
        <v/>
      </c>
      <c r="M125" s="55" t="str">
        <f t="shared" si="51"/>
        <v/>
      </c>
      <c r="N125" s="55" t="str">
        <f t="shared" si="69"/>
        <v/>
      </c>
      <c r="O125" s="56" t="str">
        <f t="shared" si="52"/>
        <v/>
      </c>
      <c r="P125" s="56" t="str">
        <f t="shared" si="70"/>
        <v/>
      </c>
      <c r="Q125" s="56" t="str">
        <f t="shared" si="71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5"/>
        <v>4.9312922410980113E-2</v>
      </c>
      <c r="J126" s="54">
        <f t="shared" si="66"/>
        <v>1.1902304989634933</v>
      </c>
      <c r="K126" s="55">
        <f t="shared" si="67"/>
        <v>0.88898594837186051</v>
      </c>
      <c r="L126" s="55">
        <f t="shared" si="68"/>
        <v>3.6020125875564483E-3</v>
      </c>
      <c r="M126" s="55">
        <f t="shared" si="51"/>
        <v>0.99639798741244356</v>
      </c>
      <c r="N126" s="55">
        <f t="shared" si="69"/>
        <v>1.0101101316383474E-3</v>
      </c>
      <c r="O126" s="56">
        <f t="shared" si="52"/>
        <v>8.8967912381917319E-7</v>
      </c>
      <c r="P126" s="56">
        <f t="shared" si="70"/>
        <v>1.378681344456376E-5</v>
      </c>
      <c r="Q126" s="56">
        <f t="shared" si="71"/>
        <v>3.8662274505844982E-4</v>
      </c>
      <c r="R126" s="9">
        <f>F126*$C$14</f>
        <v>1.4999999999999999E-4</v>
      </c>
      <c r="S126" s="9">
        <f t="shared" si="72"/>
        <v>5.403018881334672E-7</v>
      </c>
      <c r="T126" s="9">
        <f t="shared" si="73"/>
        <v>1.3334789225577908E-4</v>
      </c>
      <c r="U126" s="9">
        <f t="shared" si="74"/>
        <v>1.4945969811186653E-4</v>
      </c>
      <c r="V126" s="102">
        <f t="shared" si="75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5"/>
        <v>5.4598878066109929E-5</v>
      </c>
      <c r="J127" s="54">
        <f t="shared" si="66"/>
        <v>5.8210314832370788E-3</v>
      </c>
      <c r="K127" s="55">
        <f t="shared" si="67"/>
        <v>0.99909176860339488</v>
      </c>
      <c r="L127" s="55">
        <f t="shared" si="68"/>
        <v>2.6475626343418419E-4</v>
      </c>
      <c r="M127" s="55">
        <f t="shared" si="51"/>
        <v>0.99973524373656586</v>
      </c>
      <c r="N127" s="55">
        <f t="shared" si="69"/>
        <v>3.1044467271652113E-6</v>
      </c>
      <c r="O127" s="56">
        <f t="shared" si="52"/>
        <v>9.9987079765877712E-7</v>
      </c>
      <c r="P127" s="56">
        <f t="shared" si="70"/>
        <v>1.0133627030779144E-6</v>
      </c>
      <c r="Q127" s="56">
        <f t="shared" si="71"/>
        <v>1.1882364882308329E-6</v>
      </c>
      <c r="R127" s="9">
        <f>F127*$C$14</f>
        <v>1.4999999999999999E-4</v>
      </c>
      <c r="S127" s="9">
        <f t="shared" si="72"/>
        <v>3.9713439515127624E-8</v>
      </c>
      <c r="T127" s="9">
        <f t="shared" si="73"/>
        <v>1.4986376529050921E-4</v>
      </c>
      <c r="U127" s="9">
        <f t="shared" si="74"/>
        <v>1.4996028656048488E-4</v>
      </c>
      <c r="V127" s="102">
        <f t="shared" si="75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6">IF(D128=0,"",LOG($K$15*10^D128+$K$16*10^E128+$K$14))</f>
        <v/>
      </c>
      <c r="J128" s="54" t="str">
        <f t="shared" ref="J128:J134" si="77">IF(D128=0,"",LOG($K$21*10^D128+$K$22*10^E128+$K$20))</f>
        <v/>
      </c>
      <c r="K128" s="55" t="str">
        <f t="shared" ref="K128:K134" si="78">IF(D128=0,"",1/(1+10^D128*$J$15/$J$14+10^E128*$J$16/$J$14+10^J128*$J$19/$J$14))</f>
        <v/>
      </c>
      <c r="L128" s="55" t="str">
        <f t="shared" ref="L128:L134" si="79">IF(D128=0,"",1/(1+10^I128/10^J128*$J$13/$J$19))</f>
        <v/>
      </c>
      <c r="M128" s="55" t="str">
        <f t="shared" ref="M128:M134" si="80">IF(D128=0,"",1-L128)</f>
        <v/>
      </c>
      <c r="N128" s="55" t="str">
        <f t="shared" ref="N128:N134" si="81">IF(D128=0,"",1/(1/10^E128*$J$20/$J$22+10^D128/10^E128*$J$21/$J$22+10^I128/10^E128*$J$13/$J$22+1))</f>
        <v/>
      </c>
      <c r="O128" s="56" t="str">
        <f t="shared" ref="O128:O134" si="82">IF(D128=0,"",F128*K128*$J$7/$J$14)</f>
        <v/>
      </c>
      <c r="P128" s="56" t="str">
        <f t="shared" ref="P128:P134" si="83">IF(D128=0,"",O128*10^J128)</f>
        <v/>
      </c>
      <c r="Q128" s="56" t="str">
        <f t="shared" ref="Q128:Q134" si="84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6"/>
        <v/>
      </c>
      <c r="J129" s="54" t="str">
        <f t="shared" si="77"/>
        <v/>
      </c>
      <c r="K129" s="55" t="str">
        <f t="shared" si="78"/>
        <v/>
      </c>
      <c r="L129" s="55" t="str">
        <f t="shared" si="79"/>
        <v/>
      </c>
      <c r="M129" s="55" t="str">
        <f t="shared" si="80"/>
        <v/>
      </c>
      <c r="N129" s="55" t="str">
        <f t="shared" si="81"/>
        <v/>
      </c>
      <c r="O129" s="56" t="str">
        <f t="shared" si="82"/>
        <v/>
      </c>
      <c r="P129" s="56" t="str">
        <f t="shared" si="83"/>
        <v/>
      </c>
      <c r="Q129" s="56" t="str">
        <f t="shared" si="84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6"/>
        <v>2.1084810301724875E-3</v>
      </c>
      <c r="J130" s="54">
        <f t="shared" si="77"/>
        <v>0.17844969461457041</v>
      </c>
      <c r="K130" s="55">
        <f t="shared" si="78"/>
        <v>0.99425134713032448</v>
      </c>
      <c r="L130" s="55">
        <f t="shared" si="79"/>
        <v>3.9207189656805539E-4</v>
      </c>
      <c r="M130" s="55">
        <f t="shared" si="80"/>
        <v>0.99960792810343191</v>
      </c>
      <c r="N130" s="55">
        <f t="shared" si="81"/>
        <v>1.5695242092048456E-5</v>
      </c>
      <c r="O130" s="56">
        <f t="shared" si="82"/>
        <v>9.9502660192884028E-7</v>
      </c>
      <c r="P130" s="56">
        <f t="shared" si="83"/>
        <v>1.5006671863151478E-6</v>
      </c>
      <c r="Q130" s="56">
        <f t="shared" si="84"/>
        <v>6.0074019573910121E-6</v>
      </c>
      <c r="R130" s="9">
        <f>F130*$C$14</f>
        <v>1.4999999999999999E-4</v>
      </c>
      <c r="S130" s="9">
        <f t="shared" ref="S130:S131" si="85">$R130*L130</f>
        <v>5.8810784485208305E-8</v>
      </c>
      <c r="T130" s="9">
        <f t="shared" ref="T130:T131" si="86">R130*K130</f>
        <v>1.4913770206954866E-4</v>
      </c>
      <c r="U130" s="9">
        <f t="shared" ref="U130:U131" si="87">$R130*M130</f>
        <v>1.4994118921551476E-4</v>
      </c>
      <c r="V130" s="102">
        <f t="shared" ref="V130:V131" si="88">K130/M130</f>
        <v>0.9946413180382927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6"/>
        <v>-5.830329626681688E-5</v>
      </c>
      <c r="J131" s="54">
        <f t="shared" si="77"/>
        <v>-6.9344795452376167E-3</v>
      </c>
      <c r="K131" s="55">
        <f t="shared" si="78"/>
        <v>0.9993591243871679</v>
      </c>
      <c r="L131" s="55">
        <f t="shared" si="79"/>
        <v>2.5716208205994013E-4</v>
      </c>
      <c r="M131" s="55">
        <f t="shared" si="80"/>
        <v>0.99974283791794005</v>
      </c>
      <c r="N131" s="55">
        <f t="shared" si="81"/>
        <v>1.4910301069115853E-6</v>
      </c>
      <c r="O131" s="56">
        <f t="shared" si="82"/>
        <v>1.00013836190981E-6</v>
      </c>
      <c r="P131" s="56">
        <f t="shared" si="83"/>
        <v>9.8429574139305479E-7</v>
      </c>
      <c r="Q131" s="56">
        <f t="shared" si="84"/>
        <v>5.7069633779828752E-7</v>
      </c>
      <c r="R131" s="9">
        <f>F131*$C$14</f>
        <v>1.4999999999999999E-4</v>
      </c>
      <c r="S131" s="9">
        <f t="shared" si="85"/>
        <v>3.8574312308991014E-8</v>
      </c>
      <c r="T131" s="9">
        <f t="shared" si="86"/>
        <v>1.4990386865807516E-4</v>
      </c>
      <c r="U131" s="9">
        <f t="shared" si="87"/>
        <v>1.4996142568769099E-4</v>
      </c>
      <c r="V131" s="102">
        <f t="shared" si="88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6"/>
        <v/>
      </c>
      <c r="J132" s="54" t="str">
        <f t="shared" si="77"/>
        <v/>
      </c>
      <c r="K132" s="55" t="str">
        <f t="shared" si="78"/>
        <v/>
      </c>
      <c r="L132" s="55" t="str">
        <f t="shared" si="79"/>
        <v/>
      </c>
      <c r="M132" s="55" t="str">
        <f t="shared" si="80"/>
        <v/>
      </c>
      <c r="N132" s="55" t="str">
        <f t="shared" si="81"/>
        <v/>
      </c>
      <c r="O132" s="56" t="str">
        <f t="shared" si="82"/>
        <v/>
      </c>
      <c r="P132" s="56" t="str">
        <f t="shared" si="83"/>
        <v/>
      </c>
      <c r="Q132" s="56" t="str">
        <f t="shared" si="84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6"/>
        <v/>
      </c>
      <c r="J133" s="54" t="str">
        <f t="shared" si="77"/>
        <v/>
      </c>
      <c r="K133" s="55" t="str">
        <f t="shared" si="78"/>
        <v/>
      </c>
      <c r="L133" s="55" t="str">
        <f t="shared" si="79"/>
        <v/>
      </c>
      <c r="M133" s="55" t="str">
        <f t="shared" si="80"/>
        <v/>
      </c>
      <c r="N133" s="55" t="str">
        <f t="shared" si="81"/>
        <v/>
      </c>
      <c r="O133" s="56" t="str">
        <f t="shared" si="82"/>
        <v/>
      </c>
      <c r="P133" s="56" t="str">
        <f t="shared" si="83"/>
        <v/>
      </c>
      <c r="Q133" s="56" t="str">
        <f t="shared" si="84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6"/>
        <v/>
      </c>
      <c r="J134" s="54" t="str">
        <f t="shared" si="77"/>
        <v/>
      </c>
      <c r="K134" s="55" t="str">
        <f t="shared" si="78"/>
        <v/>
      </c>
      <c r="L134" s="55" t="str">
        <f t="shared" si="79"/>
        <v/>
      </c>
      <c r="M134" s="55" t="str">
        <f t="shared" si="80"/>
        <v/>
      </c>
      <c r="N134" s="55" t="str">
        <f t="shared" si="81"/>
        <v/>
      </c>
      <c r="O134" s="56" t="str">
        <f t="shared" si="82"/>
        <v/>
      </c>
      <c r="P134" s="56" t="str">
        <f t="shared" si="83"/>
        <v/>
      </c>
      <c r="Q134" s="56" t="str">
        <f t="shared" si="84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2024-10-28T20:57:52Z</dcterms:modified>
</cp:coreProperties>
</file>