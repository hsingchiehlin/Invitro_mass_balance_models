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86AF20FD-7E30-446A-A634-D2C5CA5C82D3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5" i="4" l="1"/>
  <c r="J135" i="4"/>
  <c r="K135" i="4"/>
  <c r="L135" i="4"/>
  <c r="M135" i="4"/>
  <c r="N135" i="4"/>
  <c r="Q135" i="4" s="1"/>
  <c r="O135" i="4"/>
  <c r="P135" i="4" s="1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V137" i="4" s="1"/>
  <c r="N137" i="4"/>
  <c r="Q137" i="4" s="1"/>
  <c r="I138" i="4"/>
  <c r="L138" i="4" s="1"/>
  <c r="M138" i="4" s="1"/>
  <c r="V138" i="4" s="1"/>
  <c r="J138" i="4"/>
  <c r="K138" i="4"/>
  <c r="O138" i="4" s="1"/>
  <c r="P138" i="4" s="1"/>
  <c r="I139" i="4"/>
  <c r="N139" i="4" s="1"/>
  <c r="Q139" i="4" s="1"/>
  <c r="J139" i="4"/>
  <c r="K139" i="4"/>
  <c r="T139" i="4" s="1"/>
  <c r="L139" i="4"/>
  <c r="S139" i="4" s="1"/>
  <c r="I140" i="4"/>
  <c r="J140" i="4"/>
  <c r="K140" i="4"/>
  <c r="O140" i="4" s="1"/>
  <c r="P140" i="4" s="1"/>
  <c r="I141" i="4"/>
  <c r="N141" i="4" s="1"/>
  <c r="Q141" i="4" s="1"/>
  <c r="J141" i="4"/>
  <c r="K141" i="4"/>
  <c r="O141" i="4" s="1"/>
  <c r="P141" i="4" s="1"/>
  <c r="L141" i="4"/>
  <c r="S141" i="4" s="1"/>
  <c r="I142" i="4"/>
  <c r="J142" i="4"/>
  <c r="K142" i="4"/>
  <c r="L142" i="4"/>
  <c r="M142" i="4"/>
  <c r="V142" i="4" s="1"/>
  <c r="N142" i="4"/>
  <c r="O142" i="4"/>
  <c r="P142" i="4"/>
  <c r="Q142" i="4"/>
  <c r="I143" i="4"/>
  <c r="L143" i="4" s="1"/>
  <c r="M143" i="4" s="1"/>
  <c r="V143" i="4" s="1"/>
  <c r="J143" i="4"/>
  <c r="K143" i="4"/>
  <c r="O143" i="4" s="1"/>
  <c r="P143" i="4" s="1"/>
  <c r="R143" i="4"/>
  <c r="T143" i="4" s="1"/>
  <c r="R142" i="4"/>
  <c r="R141" i="4"/>
  <c r="T141" i="4" s="1"/>
  <c r="R140" i="4"/>
  <c r="R139" i="4"/>
  <c r="R138" i="4"/>
  <c r="R137" i="4"/>
  <c r="T136" i="4"/>
  <c r="R136" i="4"/>
  <c r="R135" i="4"/>
  <c r="R134" i="4"/>
  <c r="R133" i="4"/>
  <c r="R132" i="4"/>
  <c r="R131" i="4"/>
  <c r="T131" i="4" s="1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I128" i="4"/>
  <c r="N128" i="4" s="1"/>
  <c r="Q128" i="4" s="1"/>
  <c r="J128" i="4"/>
  <c r="K128" i="4"/>
  <c r="I129" i="4"/>
  <c r="J129" i="4"/>
  <c r="K129" i="4" s="1"/>
  <c r="O129" i="4" s="1"/>
  <c r="P129" i="4" s="1"/>
  <c r="N129" i="4"/>
  <c r="Q129" i="4"/>
  <c r="I130" i="4"/>
  <c r="J130" i="4"/>
  <c r="K130" i="4"/>
  <c r="O130" i="4" s="1"/>
  <c r="P130" i="4" s="1"/>
  <c r="I131" i="4"/>
  <c r="N131" i="4" s="1"/>
  <c r="Q131" i="4" s="1"/>
  <c r="J131" i="4"/>
  <c r="K131" i="4" s="1"/>
  <c r="O131" i="4" s="1"/>
  <c r="P131" i="4" s="1"/>
  <c r="I132" i="4"/>
  <c r="N132" i="4" s="1"/>
  <c r="Q132" i="4" s="1"/>
  <c r="J132" i="4"/>
  <c r="K132" i="4" s="1"/>
  <c r="I133" i="4"/>
  <c r="J133" i="4"/>
  <c r="K133" i="4" s="1"/>
  <c r="O133" i="4" s="1"/>
  <c r="P133" i="4" s="1"/>
  <c r="N133" i="4"/>
  <c r="Q133" i="4" s="1"/>
  <c r="I134" i="4"/>
  <c r="J134" i="4"/>
  <c r="K134" i="4"/>
  <c r="O134" i="4" s="1"/>
  <c r="P134" i="4" s="1"/>
  <c r="O132" i="4" l="1"/>
  <c r="P132" i="4" s="1"/>
  <c r="V135" i="4"/>
  <c r="L128" i="4"/>
  <c r="M128" i="4" s="1"/>
  <c r="V128" i="4" s="1"/>
  <c r="S134" i="4"/>
  <c r="M141" i="4"/>
  <c r="U141" i="4" s="1"/>
  <c r="M139" i="4"/>
  <c r="U139" i="4" s="1"/>
  <c r="L134" i="4"/>
  <c r="M134" i="4" s="1"/>
  <c r="U134" i="4" s="1"/>
  <c r="L130" i="4"/>
  <c r="M130" i="4" s="1"/>
  <c r="U130" i="4" s="1"/>
  <c r="L129" i="4"/>
  <c r="T128" i="4"/>
  <c r="U138" i="4"/>
  <c r="N143" i="4"/>
  <c r="Q143" i="4" s="1"/>
  <c r="N138" i="4"/>
  <c r="Q138" i="4" s="1"/>
  <c r="T134" i="4"/>
  <c r="V139" i="4"/>
  <c r="T132" i="4"/>
  <c r="L140" i="4"/>
  <c r="M140" i="4" s="1"/>
  <c r="V140" i="4" s="1"/>
  <c r="L132" i="4"/>
  <c r="M132" i="4" s="1"/>
  <c r="U132" i="4" s="1"/>
  <c r="O128" i="4"/>
  <c r="P128" i="4" s="1"/>
  <c r="L133" i="4"/>
  <c r="M133" i="4" s="1"/>
  <c r="V133" i="4" s="1"/>
  <c r="T129" i="4"/>
  <c r="U133" i="4"/>
  <c r="O139" i="4"/>
  <c r="P139" i="4" s="1"/>
  <c r="U136" i="4"/>
  <c r="S140" i="4"/>
  <c r="V136" i="4"/>
  <c r="U137" i="4"/>
  <c r="V141" i="4"/>
  <c r="U143" i="4"/>
  <c r="N140" i="4"/>
  <c r="Q140" i="4" s="1"/>
  <c r="N136" i="4"/>
  <c r="Q136" i="4" s="1"/>
  <c r="S130" i="4"/>
  <c r="S137" i="4"/>
  <c r="T137" i="4"/>
  <c r="T130" i="4"/>
  <c r="U142" i="4"/>
  <c r="T142" i="4"/>
  <c r="S142" i="4"/>
  <c r="U135" i="4"/>
  <c r="S135" i="4"/>
  <c r="T135" i="4"/>
  <c r="S132" i="4"/>
  <c r="T140" i="4"/>
  <c r="U128" i="4"/>
  <c r="T133" i="4"/>
  <c r="S138" i="4"/>
  <c r="U140" i="4"/>
  <c r="S128" i="4"/>
  <c r="S131" i="4"/>
  <c r="T138" i="4"/>
  <c r="S143" i="4"/>
  <c r="S136" i="4"/>
  <c r="N134" i="4"/>
  <c r="Q134" i="4" s="1"/>
  <c r="N130" i="4"/>
  <c r="Q130" i="4" s="1"/>
  <c r="L131" i="4"/>
  <c r="M131" i="4" s="1"/>
  <c r="M129" i="4" l="1"/>
  <c r="S129" i="4"/>
  <c r="S133" i="4"/>
  <c r="V130" i="4"/>
  <c r="V134" i="4"/>
  <c r="V132" i="4"/>
  <c r="V131" i="4"/>
  <c r="U131" i="4"/>
  <c r="O15" i="1"/>
  <c r="L15" i="1"/>
  <c r="N15" i="1"/>
  <c r="J16" i="4"/>
  <c r="J15" i="4"/>
  <c r="J87" i="4"/>
  <c r="K87" i="4" s="1"/>
  <c r="J122" i="4"/>
  <c r="K122" i="4" s="1"/>
  <c r="J117" i="4"/>
  <c r="L117" i="4" s="1"/>
  <c r="K117" i="4"/>
  <c r="J120" i="4"/>
  <c r="L120" i="4" s="1"/>
  <c r="S120" i="4" s="1"/>
  <c r="J101" i="4"/>
  <c r="K101" i="4"/>
  <c r="J86" i="4"/>
  <c r="K86" i="4" s="1"/>
  <c r="J85" i="4"/>
  <c r="K85" i="4" s="1"/>
  <c r="J88" i="4"/>
  <c r="K88" i="4" s="1"/>
  <c r="J119" i="4"/>
  <c r="K119" i="4" s="1"/>
  <c r="J72" i="4"/>
  <c r="K72" i="4" s="1"/>
  <c r="J103" i="4"/>
  <c r="K103" i="4" s="1"/>
  <c r="J118" i="4"/>
  <c r="L118" i="4" s="1"/>
  <c r="K118" i="4"/>
  <c r="J104" i="4"/>
  <c r="K104" i="4"/>
  <c r="O104" i="4" s="1"/>
  <c r="P104" i="4" s="1"/>
  <c r="J90" i="4"/>
  <c r="K90" i="4" s="1"/>
  <c r="J71" i="4"/>
  <c r="K71" i="4" s="1"/>
  <c r="J110" i="4"/>
  <c r="K110" i="4"/>
  <c r="J82" i="4"/>
  <c r="K82" i="4" s="1"/>
  <c r="J113" i="4"/>
  <c r="K113" i="4" s="1"/>
  <c r="J97" i="4"/>
  <c r="K97" i="4" s="1"/>
  <c r="O97" i="4" s="1"/>
  <c r="P97" i="4" s="1"/>
  <c r="J81" i="4"/>
  <c r="K81" i="4" s="1"/>
  <c r="J116" i="4"/>
  <c r="K116" i="4" s="1"/>
  <c r="J100" i="4"/>
  <c r="K100" i="4"/>
  <c r="O100" i="4"/>
  <c r="P100" i="4" s="1"/>
  <c r="J84" i="4"/>
  <c r="K84" i="4" s="1"/>
  <c r="J114" i="4"/>
  <c r="K114" i="4" s="1"/>
  <c r="J78" i="4"/>
  <c r="K78" i="4" s="1"/>
  <c r="J115" i="4"/>
  <c r="L115" i="4" s="1"/>
  <c r="S115" i="4" s="1"/>
  <c r="J99" i="4"/>
  <c r="K99" i="4" s="1"/>
  <c r="J83" i="4"/>
  <c r="K83" i="4" s="1"/>
  <c r="J102" i="4"/>
  <c r="K102" i="4" s="1"/>
  <c r="J74" i="4"/>
  <c r="K74" i="4"/>
  <c r="J125" i="4"/>
  <c r="L125" i="4" s="1"/>
  <c r="K125" i="4"/>
  <c r="J109" i="4"/>
  <c r="K109" i="4"/>
  <c r="O109" i="4" s="1"/>
  <c r="P109" i="4" s="1"/>
  <c r="J93" i="4"/>
  <c r="K93" i="4" s="1"/>
  <c r="J77" i="4"/>
  <c r="K77" i="4" s="1"/>
  <c r="J112" i="4"/>
  <c r="K112" i="4"/>
  <c r="J96" i="4"/>
  <c r="K96" i="4" s="1"/>
  <c r="J80" i="4"/>
  <c r="K80" i="4" s="1"/>
  <c r="J106" i="4"/>
  <c r="K106" i="4"/>
  <c r="J127" i="4"/>
  <c r="K127" i="4"/>
  <c r="J111" i="4"/>
  <c r="K111" i="4"/>
  <c r="J95" i="4"/>
  <c r="K95" i="4" s="1"/>
  <c r="J79" i="4"/>
  <c r="K79" i="4" s="1"/>
  <c r="J126" i="4"/>
  <c r="K126" i="4" s="1"/>
  <c r="J94" i="4"/>
  <c r="K94" i="4" s="1"/>
  <c r="J121" i="4"/>
  <c r="K121" i="4" s="1"/>
  <c r="J105" i="4"/>
  <c r="K105" i="4"/>
  <c r="J89" i="4"/>
  <c r="K89" i="4" s="1"/>
  <c r="J73" i="4"/>
  <c r="K73" i="4" s="1"/>
  <c r="J124" i="4"/>
  <c r="L124" i="4" s="1"/>
  <c r="S124" i="4" s="1"/>
  <c r="K124" i="4"/>
  <c r="J108" i="4"/>
  <c r="K108" i="4" s="1"/>
  <c r="J92" i="4"/>
  <c r="K92" i="4" s="1"/>
  <c r="J76" i="4"/>
  <c r="K76" i="4" s="1"/>
  <c r="J98" i="4"/>
  <c r="K98" i="4" s="1"/>
  <c r="J123" i="4"/>
  <c r="K123" i="4"/>
  <c r="J107" i="4"/>
  <c r="K107" i="4" s="1"/>
  <c r="J91" i="4"/>
  <c r="K91" i="4"/>
  <c r="J75" i="4"/>
  <c r="K75" i="4" s="1"/>
  <c r="O112" i="4"/>
  <c r="P112" i="4"/>
  <c r="O123" i="4"/>
  <c r="P123" i="4"/>
  <c r="O125" i="4"/>
  <c r="P125" i="4"/>
  <c r="I76" i="4"/>
  <c r="I77" i="4"/>
  <c r="L77" i="4" s="1"/>
  <c r="S77" i="4" s="1"/>
  <c r="I81" i="4"/>
  <c r="I89" i="4"/>
  <c r="N89" i="4" s="1"/>
  <c r="Q89" i="4" s="1"/>
  <c r="I90" i="4"/>
  <c r="N90" i="4" s="1"/>
  <c r="Q90" i="4" s="1"/>
  <c r="I96" i="4"/>
  <c r="L96" i="4" s="1"/>
  <c r="I99" i="4"/>
  <c r="N99" i="4" s="1"/>
  <c r="Q99" i="4" s="1"/>
  <c r="I102" i="4"/>
  <c r="I104" i="4"/>
  <c r="L104" i="4" s="1"/>
  <c r="I108" i="4"/>
  <c r="N108" i="4" s="1"/>
  <c r="Q108" i="4" s="1"/>
  <c r="I111" i="4"/>
  <c r="N111" i="4" s="1"/>
  <c r="Q111" i="4" s="1"/>
  <c r="I113" i="4"/>
  <c r="N113" i="4" s="1"/>
  <c r="Q113" i="4" s="1"/>
  <c r="I115" i="4"/>
  <c r="N115" i="4" s="1"/>
  <c r="Q115" i="4" s="1"/>
  <c r="I119" i="4"/>
  <c r="L119" i="4" s="1"/>
  <c r="S119" i="4" s="1"/>
  <c r="I120" i="4"/>
  <c r="I123" i="4"/>
  <c r="I125" i="4"/>
  <c r="N125" i="4" s="1"/>
  <c r="Q125" i="4" s="1"/>
  <c r="I79" i="4"/>
  <c r="N79" i="4" s="1"/>
  <c r="Q79" i="4" s="1"/>
  <c r="I92" i="4"/>
  <c r="L92" i="4" s="1"/>
  <c r="S92" i="4" s="1"/>
  <c r="I100" i="4"/>
  <c r="L100" i="4" s="1"/>
  <c r="M100" i="4" s="1"/>
  <c r="I103" i="4"/>
  <c r="N103" i="4" s="1"/>
  <c r="Q103" i="4" s="1"/>
  <c r="I107" i="4"/>
  <c r="L107" i="4" s="1"/>
  <c r="I109" i="4"/>
  <c r="L109" i="4" s="1"/>
  <c r="I110" i="4"/>
  <c r="N110" i="4" s="1"/>
  <c r="Q110" i="4" s="1"/>
  <c r="I117" i="4"/>
  <c r="N117" i="4" s="1"/>
  <c r="Q117" i="4" s="1"/>
  <c r="I124" i="4"/>
  <c r="N124" i="4" s="1"/>
  <c r="Q124" i="4" s="1"/>
  <c r="I72" i="4"/>
  <c r="I106" i="4"/>
  <c r="N106" i="4" s="1"/>
  <c r="Q106" i="4" s="1"/>
  <c r="I71" i="4"/>
  <c r="I75" i="4"/>
  <c r="I80" i="4"/>
  <c r="L80" i="4" s="1"/>
  <c r="S80" i="4" s="1"/>
  <c r="I83" i="4"/>
  <c r="N83" i="4" s="1"/>
  <c r="Q83" i="4" s="1"/>
  <c r="I86" i="4"/>
  <c r="N86" i="4" s="1"/>
  <c r="Q86" i="4" s="1"/>
  <c r="I88" i="4"/>
  <c r="N88" i="4" s="1"/>
  <c r="Q88" i="4" s="1"/>
  <c r="I94" i="4"/>
  <c r="L94" i="4" s="1"/>
  <c r="I95" i="4"/>
  <c r="L95" i="4" s="1"/>
  <c r="I98" i="4"/>
  <c r="I101" i="4"/>
  <c r="N101" i="4" s="1"/>
  <c r="Q101" i="4" s="1"/>
  <c r="I118" i="4"/>
  <c r="I127" i="4"/>
  <c r="I73" i="4"/>
  <c r="I74" i="4"/>
  <c r="N74" i="4" s="1"/>
  <c r="Q74" i="4" s="1"/>
  <c r="I78" i="4"/>
  <c r="I82" i="4"/>
  <c r="I85" i="4"/>
  <c r="N85" i="4" s="1"/>
  <c r="Q85" i="4" s="1"/>
  <c r="I93" i="4"/>
  <c r="N93" i="4" s="1"/>
  <c r="Q93" i="4" s="1"/>
  <c r="I112" i="4"/>
  <c r="L112" i="4" s="1"/>
  <c r="I114" i="4"/>
  <c r="N114" i="4" s="1"/>
  <c r="Q114" i="4" s="1"/>
  <c r="I121" i="4"/>
  <c r="I122" i="4"/>
  <c r="I84" i="4"/>
  <c r="I87" i="4"/>
  <c r="I91" i="4"/>
  <c r="I97" i="4"/>
  <c r="N97" i="4" s="1"/>
  <c r="Q97" i="4" s="1"/>
  <c r="I105" i="4"/>
  <c r="N105" i="4" s="1"/>
  <c r="Q105" i="4" s="1"/>
  <c r="I116" i="4"/>
  <c r="N116" i="4" s="1"/>
  <c r="Q116" i="4" s="1"/>
  <c r="I126" i="4"/>
  <c r="N126" i="4" s="1"/>
  <c r="Q126" i="4" s="1"/>
  <c r="L105" i="4"/>
  <c r="N121" i="4"/>
  <c r="Q121" i="4"/>
  <c r="N75" i="4"/>
  <c r="Q75" i="4" s="1"/>
  <c r="N98" i="4"/>
  <c r="Q98" i="4"/>
  <c r="L98" i="4"/>
  <c r="N71" i="4"/>
  <c r="Q71" i="4"/>
  <c r="N76" i="4"/>
  <c r="Q76" i="4"/>
  <c r="L76" i="4"/>
  <c r="S76" i="4" s="1"/>
  <c r="L126" i="4"/>
  <c r="S126" i="4" s="1"/>
  <c r="N91" i="4"/>
  <c r="Q91" i="4" s="1"/>
  <c r="N112" i="4"/>
  <c r="Q112" i="4" s="1"/>
  <c r="N127" i="4"/>
  <c r="Q127" i="4" s="1"/>
  <c r="N123" i="4"/>
  <c r="Q123" i="4"/>
  <c r="L102" i="4"/>
  <c r="N102" i="4"/>
  <c r="Q102" i="4" s="1"/>
  <c r="N87" i="4"/>
  <c r="Q87" i="4" s="1"/>
  <c r="N122" i="4"/>
  <c r="Q122" i="4" s="1"/>
  <c r="N118" i="4"/>
  <c r="Q118" i="4"/>
  <c r="N120" i="4"/>
  <c r="Q120" i="4"/>
  <c r="N81" i="4"/>
  <c r="Q81" i="4" s="1"/>
  <c r="M109" i="4" l="1"/>
  <c r="U109" i="4" s="1"/>
  <c r="S109" i="4"/>
  <c r="M95" i="4"/>
  <c r="U95" i="4" s="1"/>
  <c r="S95" i="4"/>
  <c r="T79" i="4"/>
  <c r="M125" i="4"/>
  <c r="U125" i="4" s="1"/>
  <c r="S125" i="4"/>
  <c r="M117" i="4"/>
  <c r="U117" i="4" s="1"/>
  <c r="S117" i="4"/>
  <c r="S118" i="4"/>
  <c r="M118" i="4"/>
  <c r="U118" i="4" s="1"/>
  <c r="T124" i="4"/>
  <c r="T71" i="4"/>
  <c r="M102" i="4"/>
  <c r="U102" i="4" s="1"/>
  <c r="S102" i="4"/>
  <c r="M94" i="4"/>
  <c r="U94" i="4" s="1"/>
  <c r="S94" i="4"/>
  <c r="O105" i="4"/>
  <c r="P105" i="4" s="1"/>
  <c r="V105" i="4"/>
  <c r="T105" i="4"/>
  <c r="T106" i="4"/>
  <c r="T74" i="4"/>
  <c r="O118" i="4"/>
  <c r="P118" i="4" s="1"/>
  <c r="T118" i="4"/>
  <c r="N95" i="4"/>
  <c r="Q95" i="4" s="1"/>
  <c r="T92" i="4"/>
  <c r="V77" i="4"/>
  <c r="T77" i="4"/>
  <c r="O110" i="4"/>
  <c r="P110" i="4" s="1"/>
  <c r="T110" i="4"/>
  <c r="T85" i="4"/>
  <c r="L101" i="4"/>
  <c r="T108" i="4"/>
  <c r="O95" i="4"/>
  <c r="P95" i="4" s="1"/>
  <c r="V95" i="4"/>
  <c r="T95" i="4"/>
  <c r="T93" i="4"/>
  <c r="T78" i="4"/>
  <c r="L110" i="4"/>
  <c r="T86" i="4"/>
  <c r="O111" i="4"/>
  <c r="P111" i="4" s="1"/>
  <c r="T111" i="4"/>
  <c r="O101" i="4"/>
  <c r="P101" i="4" s="1"/>
  <c r="T101" i="4"/>
  <c r="M112" i="4"/>
  <c r="U112" i="4" s="1"/>
  <c r="S112" i="4"/>
  <c r="L111" i="4"/>
  <c r="T84" i="4"/>
  <c r="M105" i="4"/>
  <c r="U105" i="4" s="1"/>
  <c r="S105" i="4"/>
  <c r="T75" i="4"/>
  <c r="T127" i="4"/>
  <c r="V104" i="4"/>
  <c r="T104" i="4"/>
  <c r="M104" i="4"/>
  <c r="U104" i="4" s="1"/>
  <c r="S104" i="4"/>
  <c r="N109" i="4"/>
  <c r="Q109" i="4" s="1"/>
  <c r="N94" i="4"/>
  <c r="Q94" i="4" s="1"/>
  <c r="T72" i="4"/>
  <c r="T114" i="4"/>
  <c r="T90" i="4"/>
  <c r="M98" i="4"/>
  <c r="U98" i="4" s="1"/>
  <c r="S98" i="4"/>
  <c r="T116" i="4"/>
  <c r="O122" i="4"/>
  <c r="P122" i="4" s="1"/>
  <c r="T122" i="4"/>
  <c r="N119" i="4"/>
  <c r="Q119" i="4" s="1"/>
  <c r="M96" i="4"/>
  <c r="U96" i="4" s="1"/>
  <c r="S96" i="4"/>
  <c r="T121" i="4"/>
  <c r="O102" i="4"/>
  <c r="P102" i="4" s="1"/>
  <c r="T102" i="4"/>
  <c r="O87" i="4"/>
  <c r="P87" i="4" s="1"/>
  <c r="T87" i="4"/>
  <c r="L79" i="4"/>
  <c r="S79" i="4" s="1"/>
  <c r="O94" i="4"/>
  <c r="P94" i="4" s="1"/>
  <c r="V94" i="4"/>
  <c r="T94" i="4"/>
  <c r="T83" i="4"/>
  <c r="L123" i="4"/>
  <c r="V126" i="4"/>
  <c r="T126" i="4"/>
  <c r="O99" i="4"/>
  <c r="P99" i="4" s="1"/>
  <c r="T99" i="4"/>
  <c r="O113" i="4"/>
  <c r="P113" i="4" s="1"/>
  <c r="T113" i="4"/>
  <c r="T119" i="4"/>
  <c r="V109" i="4"/>
  <c r="T109" i="4"/>
  <c r="T73" i="4"/>
  <c r="T125" i="4"/>
  <c r="T91" i="4"/>
  <c r="T89" i="4"/>
  <c r="T117" i="4"/>
  <c r="T123" i="4"/>
  <c r="V80" i="4"/>
  <c r="T80" i="4"/>
  <c r="T81" i="4"/>
  <c r="O103" i="4"/>
  <c r="P103" i="4" s="1"/>
  <c r="T103" i="4"/>
  <c r="L91" i="4"/>
  <c r="S91" i="4" s="1"/>
  <c r="O106" i="4"/>
  <c r="P106" i="4" s="1"/>
  <c r="O96" i="4"/>
  <c r="P96" i="4" s="1"/>
  <c r="V96" i="4"/>
  <c r="T96" i="4"/>
  <c r="L83" i="4"/>
  <c r="S83" i="4" s="1"/>
  <c r="O98" i="4"/>
  <c r="P98" i="4" s="1"/>
  <c r="T98" i="4"/>
  <c r="T112" i="4"/>
  <c r="L106" i="4"/>
  <c r="O117" i="4"/>
  <c r="P117" i="4" s="1"/>
  <c r="T76" i="4"/>
  <c r="K115" i="4"/>
  <c r="T82" i="4"/>
  <c r="T88" i="4"/>
  <c r="V129" i="4"/>
  <c r="U129" i="4"/>
  <c r="M124" i="4"/>
  <c r="U124" i="4" s="1"/>
  <c r="M107" i="4"/>
  <c r="M120" i="4"/>
  <c r="U120" i="4" s="1"/>
  <c r="O107" i="4"/>
  <c r="P107" i="4" s="1"/>
  <c r="M119" i="4"/>
  <c r="U119" i="4" s="1"/>
  <c r="M115" i="4"/>
  <c r="U115" i="4" s="1"/>
  <c r="L88" i="4"/>
  <c r="S88" i="4" s="1"/>
  <c r="O91" i="4"/>
  <c r="P91" i="4" s="1"/>
  <c r="O119" i="4"/>
  <c r="P119" i="4" s="1"/>
  <c r="L122" i="4"/>
  <c r="O127" i="4"/>
  <c r="P127" i="4" s="1"/>
  <c r="O89" i="4"/>
  <c r="P89" i="4" s="1"/>
  <c r="O85" i="4"/>
  <c r="P85" i="4" s="1"/>
  <c r="N107" i="4"/>
  <c r="Q107" i="4" s="1"/>
  <c r="L73" i="4"/>
  <c r="S73" i="4" s="1"/>
  <c r="O74" i="4"/>
  <c r="P74" i="4" s="1"/>
  <c r="N77" i="4"/>
  <c r="Q77" i="4" s="1"/>
  <c r="N73" i="4"/>
  <c r="Q73" i="4" s="1"/>
  <c r="L127" i="4"/>
  <c r="S127" i="4" s="1"/>
  <c r="O121" i="4"/>
  <c r="P121" i="4" s="1"/>
  <c r="O80" i="4"/>
  <c r="P80" i="4" s="1"/>
  <c r="M126" i="4"/>
  <c r="U126" i="4" s="1"/>
  <c r="O75" i="4"/>
  <c r="P75" i="4" s="1"/>
  <c r="O93" i="4"/>
  <c r="P93" i="4" s="1"/>
  <c r="O72" i="4"/>
  <c r="P72" i="4" s="1"/>
  <c r="M79" i="4"/>
  <c r="U79" i="4" s="1"/>
  <c r="O78" i="4"/>
  <c r="P78" i="4" s="1"/>
  <c r="M76" i="4"/>
  <c r="U76" i="4" s="1"/>
  <c r="L78" i="4"/>
  <c r="S78" i="4" s="1"/>
  <c r="M92" i="4"/>
  <c r="U92" i="4" s="1"/>
  <c r="O114" i="4"/>
  <c r="P114" i="4" s="1"/>
  <c r="O71" i="4"/>
  <c r="P71" i="4" s="1"/>
  <c r="O86" i="4"/>
  <c r="P86" i="4" s="1"/>
  <c r="L99" i="4"/>
  <c r="L87" i="4"/>
  <c r="L103" i="4"/>
  <c r="L114" i="4"/>
  <c r="S114" i="4" s="1"/>
  <c r="O90" i="4"/>
  <c r="P90" i="4" s="1"/>
  <c r="L90" i="4"/>
  <c r="S90" i="4" s="1"/>
  <c r="L116" i="4"/>
  <c r="S116" i="4" s="1"/>
  <c r="N96" i="4"/>
  <c r="Q96" i="4" s="1"/>
  <c r="L121" i="4"/>
  <c r="S121" i="4" s="1"/>
  <c r="L84" i="4"/>
  <c r="S84" i="4" s="1"/>
  <c r="L72" i="4"/>
  <c r="S72" i="4" s="1"/>
  <c r="K120" i="4"/>
  <c r="M77" i="4"/>
  <c r="U77" i="4" s="1"/>
  <c r="O116" i="4"/>
  <c r="P116" i="4" s="1"/>
  <c r="N100" i="4"/>
  <c r="Q100" i="4" s="1"/>
  <c r="N104" i="4"/>
  <c r="Q104" i="4" s="1"/>
  <c r="L108" i="4"/>
  <c r="S108" i="4" s="1"/>
  <c r="O76" i="4"/>
  <c r="P76" i="4" s="1"/>
  <c r="O79" i="4"/>
  <c r="P79" i="4" s="1"/>
  <c r="O83" i="4"/>
  <c r="P83" i="4" s="1"/>
  <c r="O81" i="4"/>
  <c r="P81" i="4" s="1"/>
  <c r="L74" i="4"/>
  <c r="S74" i="4" s="1"/>
  <c r="L89" i="4"/>
  <c r="S89" i="4" s="1"/>
  <c r="O92" i="4"/>
  <c r="P92" i="4" s="1"/>
  <c r="O124" i="4"/>
  <c r="P124" i="4" s="1"/>
  <c r="O82" i="4"/>
  <c r="P82" i="4" s="1"/>
  <c r="L113" i="4"/>
  <c r="L82" i="4"/>
  <c r="S82" i="4" s="1"/>
  <c r="O88" i="4"/>
  <c r="P88" i="4" s="1"/>
  <c r="M80" i="4"/>
  <c r="U80" i="4" s="1"/>
  <c r="O126" i="4"/>
  <c r="P126" i="4" s="1"/>
  <c r="L71" i="4"/>
  <c r="S71" i="4" s="1"/>
  <c r="O108" i="4"/>
  <c r="P108" i="4" s="1"/>
  <c r="O77" i="4"/>
  <c r="P77" i="4" s="1"/>
  <c r="O73" i="4"/>
  <c r="P73" i="4" s="1"/>
  <c r="O84" i="4"/>
  <c r="P84" i="4" s="1"/>
  <c r="L81" i="4"/>
  <c r="S81" i="4" s="1"/>
  <c r="N82" i="4"/>
  <c r="Q82" i="4" s="1"/>
  <c r="N84" i="4"/>
  <c r="Q84" i="4" s="1"/>
  <c r="L85" i="4"/>
  <c r="S85" i="4" s="1"/>
  <c r="L97" i="4"/>
  <c r="M97" i="4" s="1"/>
  <c r="L93" i="4"/>
  <c r="S93" i="4" s="1"/>
  <c r="N72" i="4"/>
  <c r="Q72" i="4" s="1"/>
  <c r="N80" i="4"/>
  <c r="Q80" i="4" s="1"/>
  <c r="N78" i="4"/>
  <c r="Q78" i="4" s="1"/>
  <c r="L86" i="4"/>
  <c r="S86" i="4" s="1"/>
  <c r="N92" i="4"/>
  <c r="Q92" i="4" s="1"/>
  <c r="L75" i="4"/>
  <c r="S75" i="4" s="1"/>
  <c r="J14" i="4"/>
  <c r="J13" i="4" s="1"/>
  <c r="K16" i="4" s="1"/>
  <c r="V76" i="4" l="1"/>
  <c r="V117" i="4"/>
  <c r="M113" i="4"/>
  <c r="S113" i="4"/>
  <c r="M103" i="4"/>
  <c r="S103" i="4"/>
  <c r="S106" i="4"/>
  <c r="M106" i="4"/>
  <c r="V118" i="4"/>
  <c r="V115" i="4"/>
  <c r="T115" i="4"/>
  <c r="V119" i="4"/>
  <c r="V92" i="4"/>
  <c r="M83" i="4"/>
  <c r="M91" i="4"/>
  <c r="M87" i="4"/>
  <c r="S87" i="4"/>
  <c r="M122" i="4"/>
  <c r="S122" i="4"/>
  <c r="M110" i="4"/>
  <c r="S110" i="4"/>
  <c r="M123" i="4"/>
  <c r="S123" i="4"/>
  <c r="V79" i="4"/>
  <c r="O115" i="4"/>
  <c r="P115" i="4" s="1"/>
  <c r="M101" i="4"/>
  <c r="S101" i="4"/>
  <c r="M99" i="4"/>
  <c r="S99" i="4"/>
  <c r="V98" i="4"/>
  <c r="V125" i="4"/>
  <c r="M111" i="4"/>
  <c r="S111" i="4"/>
  <c r="V112" i="4"/>
  <c r="V120" i="4"/>
  <c r="T120" i="4"/>
  <c r="V102" i="4"/>
  <c r="V124" i="4"/>
  <c r="M90" i="4"/>
  <c r="M81" i="4"/>
  <c r="M82" i="4"/>
  <c r="M73" i="4"/>
  <c r="M86" i="4"/>
  <c r="M71" i="4"/>
  <c r="M72" i="4"/>
  <c r="M114" i="4"/>
  <c r="M75" i="4"/>
  <c r="O120" i="4"/>
  <c r="P120" i="4" s="1"/>
  <c r="M84" i="4"/>
  <c r="M74" i="4"/>
  <c r="M121" i="4"/>
  <c r="M108" i="4"/>
  <c r="M89" i="4"/>
  <c r="M78" i="4"/>
  <c r="M93" i="4"/>
  <c r="M116" i="4"/>
  <c r="M127" i="4"/>
  <c r="M88" i="4"/>
  <c r="M85" i="4"/>
  <c r="K14" i="4"/>
  <c r="K13" i="4"/>
  <c r="K15" i="4"/>
  <c r="U85" i="4" l="1"/>
  <c r="V85" i="4"/>
  <c r="U88" i="4"/>
  <c r="V88" i="4"/>
  <c r="U106" i="4"/>
  <c r="V106" i="4"/>
  <c r="U75" i="4"/>
  <c r="V75" i="4"/>
  <c r="U72" i="4"/>
  <c r="V72" i="4"/>
  <c r="U116" i="4"/>
  <c r="V116" i="4"/>
  <c r="U110" i="4"/>
  <c r="V110" i="4"/>
  <c r="U78" i="4"/>
  <c r="V78" i="4"/>
  <c r="U122" i="4"/>
  <c r="V122" i="4"/>
  <c r="U121" i="4"/>
  <c r="V121" i="4"/>
  <c r="U113" i="4"/>
  <c r="V113" i="4"/>
  <c r="U123" i="4"/>
  <c r="V123" i="4"/>
  <c r="U127" i="4"/>
  <c r="V127" i="4"/>
  <c r="U111" i="4"/>
  <c r="V111" i="4"/>
  <c r="U86" i="4"/>
  <c r="V86" i="4"/>
  <c r="U82" i="4"/>
  <c r="V82" i="4"/>
  <c r="U103" i="4"/>
  <c r="V103" i="4"/>
  <c r="U81" i="4"/>
  <c r="V81" i="4"/>
  <c r="U87" i="4"/>
  <c r="V87" i="4"/>
  <c r="U90" i="4"/>
  <c r="V90" i="4"/>
  <c r="U101" i="4"/>
  <c r="V101" i="4"/>
  <c r="U114" i="4"/>
  <c r="V114" i="4"/>
  <c r="U71" i="4"/>
  <c r="V71" i="4"/>
  <c r="U93" i="4"/>
  <c r="V93" i="4"/>
  <c r="U73" i="4"/>
  <c r="V73" i="4"/>
  <c r="U89" i="4"/>
  <c r="V89" i="4"/>
  <c r="U108" i="4"/>
  <c r="V108" i="4"/>
  <c r="U99" i="4"/>
  <c r="V99" i="4"/>
  <c r="U91" i="4"/>
  <c r="V91" i="4"/>
  <c r="U74" i="4"/>
  <c r="V74" i="4"/>
  <c r="U83" i="4"/>
  <c r="V83" i="4"/>
  <c r="U84" i="4"/>
  <c r="V84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T60" i="4" l="1"/>
  <c r="T58" i="4"/>
  <c r="O59" i="4"/>
  <c r="P59" i="4" s="1"/>
  <c r="T59" i="4"/>
  <c r="T61" i="4"/>
  <c r="O56" i="4"/>
  <c r="P56" i="4" s="1"/>
  <c r="T56" i="4"/>
  <c r="T62" i="4"/>
  <c r="T57" i="4"/>
  <c r="O55" i="4"/>
  <c r="P55" i="4" s="1"/>
  <c r="T55" i="4"/>
  <c r="T63" i="4"/>
  <c r="O62" i="4"/>
  <c r="P62" i="4" s="1"/>
  <c r="O60" i="4"/>
  <c r="P60" i="4" s="1"/>
  <c r="O61" i="4"/>
  <c r="P61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T65" i="4" l="1"/>
  <c r="T68" i="4"/>
  <c r="T70" i="4"/>
  <c r="V66" i="4"/>
  <c r="T66" i="4"/>
  <c r="T67" i="4"/>
  <c r="M56" i="4"/>
  <c r="S56" i="4"/>
  <c r="M55" i="4"/>
  <c r="S55" i="4"/>
  <c r="T64" i="4"/>
  <c r="T69" i="4"/>
  <c r="M59" i="4"/>
  <c r="S59" i="4"/>
  <c r="M60" i="4"/>
  <c r="M61" i="4"/>
  <c r="M62" i="4"/>
  <c r="M70" i="4"/>
  <c r="U70" i="4" s="1"/>
  <c r="M63" i="4"/>
  <c r="O64" i="4"/>
  <c r="P64" i="4" s="1"/>
  <c r="M66" i="4"/>
  <c r="U66" i="4" s="1"/>
  <c r="M57" i="4"/>
  <c r="M68" i="4"/>
  <c r="U68" i="4" s="1"/>
  <c r="M64" i="4"/>
  <c r="U64" i="4" s="1"/>
  <c r="O69" i="4"/>
  <c r="P69" i="4" s="1"/>
  <c r="O66" i="4"/>
  <c r="P66" i="4" s="1"/>
  <c r="O67" i="4"/>
  <c r="P67" i="4" s="1"/>
  <c r="M67" i="4"/>
  <c r="U67" i="4" s="1"/>
  <c r="O68" i="4"/>
  <c r="P68" i="4" s="1"/>
  <c r="M69" i="4"/>
  <c r="U69" i="4" s="1"/>
  <c r="O65" i="4"/>
  <c r="P65" i="4" s="1"/>
  <c r="M58" i="4"/>
  <c r="M65" i="4"/>
  <c r="U65" i="4" s="1"/>
  <c r="O70" i="4"/>
  <c r="P70" i="4" s="1"/>
  <c r="U61" i="4" l="1"/>
  <c r="V61" i="4"/>
  <c r="V67" i="4"/>
  <c r="U60" i="4"/>
  <c r="V60" i="4"/>
  <c r="U59" i="4"/>
  <c r="V59" i="4"/>
  <c r="V70" i="4"/>
  <c r="U57" i="4"/>
  <c r="V57" i="4"/>
  <c r="U62" i="4"/>
  <c r="V62" i="4"/>
  <c r="U56" i="4"/>
  <c r="V56" i="4"/>
  <c r="V69" i="4"/>
  <c r="V64" i="4"/>
  <c r="V68" i="4"/>
  <c r="U58" i="4"/>
  <c r="V58" i="4"/>
  <c r="U63" i="4"/>
  <c r="V63" i="4"/>
  <c r="U55" i="4"/>
  <c r="V55" i="4"/>
  <c r="V65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K45" i="4" s="1"/>
  <c r="J30" i="4"/>
  <c r="K30" i="4" s="1"/>
  <c r="J43" i="4"/>
  <c r="J31" i="4"/>
  <c r="L31" i="4" s="1"/>
  <c r="S31" i="4" s="1"/>
  <c r="J44" i="4"/>
  <c r="L44" i="4" s="1"/>
  <c r="S44" i="4" s="1"/>
  <c r="J36" i="4"/>
  <c r="L36" i="4" s="1"/>
  <c r="S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K52" i="4"/>
  <c r="L52" i="4"/>
  <c r="L43" i="4"/>
  <c r="S43" i="4" s="1"/>
  <c r="K43" i="4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M50" i="4" l="1"/>
  <c r="U50" i="4" s="1"/>
  <c r="S50" i="4"/>
  <c r="M52" i="4"/>
  <c r="U52" i="4" s="1"/>
  <c r="S52" i="4"/>
  <c r="O52" i="4"/>
  <c r="P52" i="4" s="1"/>
  <c r="V52" i="4"/>
  <c r="T52" i="4"/>
  <c r="L47" i="4"/>
  <c r="S47" i="4" s="1"/>
  <c r="T31" i="4"/>
  <c r="V31" i="4"/>
  <c r="T35" i="4"/>
  <c r="O53" i="4"/>
  <c r="P53" i="4" s="1"/>
  <c r="T53" i="4"/>
  <c r="M53" i="4"/>
  <c r="U53" i="4" s="1"/>
  <c r="S53" i="4"/>
  <c r="T49" i="4"/>
  <c r="O54" i="4"/>
  <c r="P54" i="4" s="1"/>
  <c r="T54" i="4"/>
  <c r="V39" i="4"/>
  <c r="T39" i="4"/>
  <c r="T47" i="4"/>
  <c r="T33" i="4"/>
  <c r="T46" i="4"/>
  <c r="O51" i="4"/>
  <c r="P51" i="4" s="1"/>
  <c r="T51" i="4"/>
  <c r="M54" i="4"/>
  <c r="U54" i="4" s="1"/>
  <c r="S54" i="4"/>
  <c r="T41" i="4"/>
  <c r="T30" i="4"/>
  <c r="T48" i="4"/>
  <c r="T28" i="4"/>
  <c r="M51" i="4"/>
  <c r="U51" i="4" s="1"/>
  <c r="S51" i="4"/>
  <c r="O50" i="4"/>
  <c r="P50" i="4" s="1"/>
  <c r="V50" i="4"/>
  <c r="T50" i="4"/>
  <c r="T43" i="4"/>
  <c r="T45" i="4"/>
  <c r="L30" i="4"/>
  <c r="S30" i="4" s="1"/>
  <c r="O48" i="4"/>
  <c r="P48" i="4" s="1"/>
  <c r="M48" i="4"/>
  <c r="U48" i="4" s="1"/>
  <c r="O49" i="4"/>
  <c r="P49" i="4" s="1"/>
  <c r="M49" i="4"/>
  <c r="U49" i="4" s="1"/>
  <c r="L45" i="4"/>
  <c r="S45" i="4" s="1"/>
  <c r="O35" i="4"/>
  <c r="P35" i="4" s="1"/>
  <c r="L35" i="4"/>
  <c r="S35" i="4" s="1"/>
  <c r="M44" i="4"/>
  <c r="U44" i="4" s="1"/>
  <c r="O45" i="4"/>
  <c r="P45" i="4" s="1"/>
  <c r="O30" i="4"/>
  <c r="P30" i="4" s="1"/>
  <c r="M31" i="4"/>
  <c r="U31" i="4" s="1"/>
  <c r="O47" i="4"/>
  <c r="P47" i="4" s="1"/>
  <c r="O31" i="4"/>
  <c r="P31" i="4" s="1"/>
  <c r="O33" i="4"/>
  <c r="P33" i="4" s="1"/>
  <c r="O28" i="4"/>
  <c r="P28" i="4" s="1"/>
  <c r="O46" i="4"/>
  <c r="P46" i="4" s="1"/>
  <c r="O43" i="4"/>
  <c r="P43" i="4" s="1"/>
  <c r="M43" i="4"/>
  <c r="U43" i="4" s="1"/>
  <c r="O39" i="4"/>
  <c r="P39" i="4" s="1"/>
  <c r="O41" i="4"/>
  <c r="P41" i="4" s="1"/>
  <c r="M39" i="4"/>
  <c r="U39" i="4" s="1"/>
  <c r="K36" i="4"/>
  <c r="K44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6" i="4"/>
  <c r="U36" i="4" s="1"/>
  <c r="K40" i="4"/>
  <c r="K32" i="4"/>
  <c r="L28" i="4"/>
  <c r="S28" i="4" s="1"/>
  <c r="T38" i="4" l="1"/>
  <c r="V38" i="4"/>
  <c r="V34" i="4"/>
  <c r="T34" i="4"/>
  <c r="V42" i="4"/>
  <c r="T42" i="4"/>
  <c r="V44" i="4"/>
  <c r="T44" i="4"/>
  <c r="T40" i="4"/>
  <c r="V40" i="4"/>
  <c r="V54" i="4"/>
  <c r="V37" i="4"/>
  <c r="T37" i="4"/>
  <c r="V49" i="4"/>
  <c r="V32" i="4"/>
  <c r="T32" i="4"/>
  <c r="V51" i="4"/>
  <c r="V36" i="4"/>
  <c r="T36" i="4"/>
  <c r="M47" i="4"/>
  <c r="V43" i="4"/>
  <c r="V53" i="4"/>
  <c r="V48" i="4"/>
  <c r="V29" i="4"/>
  <c r="T29" i="4"/>
  <c r="M30" i="4"/>
  <c r="M45" i="4"/>
  <c r="O37" i="4"/>
  <c r="P37" i="4" s="1"/>
  <c r="O44" i="4"/>
  <c r="P44" i="4" s="1"/>
  <c r="O29" i="4"/>
  <c r="P29" i="4" s="1"/>
  <c r="O38" i="4"/>
  <c r="P38" i="4" s="1"/>
  <c r="O40" i="4"/>
  <c r="P40" i="4" s="1"/>
  <c r="O34" i="4"/>
  <c r="P34" i="4" s="1"/>
  <c r="O42" i="4"/>
  <c r="P42" i="4" s="1"/>
  <c r="M35" i="4"/>
  <c r="O36" i="4"/>
  <c r="P36" i="4" s="1"/>
  <c r="O32" i="4"/>
  <c r="P32" i="4" s="1"/>
  <c r="M33" i="4"/>
  <c r="M41" i="4"/>
  <c r="M46" i="4"/>
  <c r="M28" i="4"/>
  <c r="U35" i="4" l="1"/>
  <c r="V35" i="4"/>
  <c r="U47" i="4"/>
  <c r="V47" i="4"/>
  <c r="U28" i="4"/>
  <c r="V28" i="4"/>
  <c r="U41" i="4"/>
  <c r="V41" i="4"/>
  <c r="U46" i="4"/>
  <c r="V46" i="4"/>
  <c r="U30" i="4"/>
  <c r="V30" i="4"/>
  <c r="U45" i="4"/>
  <c r="V45" i="4"/>
  <c r="U33" i="4"/>
  <c r="V3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<sst xmlns="http://schemas.openxmlformats.org/spreadsheetml/2006/main" count="340" uniqueCount="314">
  <si>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</si>
  <si>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</si>
  <si>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</si>
  <si>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</si>
  <si>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</si>
  <si>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</si>
  <si>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</si>
  <si>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</si>
  <si>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</si>
  <si>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</si>
  <si>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</si>
  <si>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</si>
  <si>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</si>
  <si>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</si>
  <si>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</si>
  <si>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</si>
  <si>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</si>
  <si>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</si>
  <si>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</si>
  <si>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</si>
  <si>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</si>
  <si>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</si>
  <si>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</si>
  <si>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</si>
  <si>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</si>
  <si>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</si>
  <si>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</si>
  <si>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</si>
  <si>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</si>
  <si>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</si>
  <si>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</si>
  <si>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</si>
  <si>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</si>
  <si>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</si>
  <si>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</si>
  <si>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</si>
  <si>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</si>
  <si>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</si>
  <si>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</si>
  <si>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</si>
  <si>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</si>
  <si>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</si>
  <si>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</si>
  <si>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</si>
  <si>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</si>
  <si>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</si>
  <si>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</si>
  <si>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</si>
  <si>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</si>
  <si>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</si>
  <si>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</si>
  <si>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</si>
  <si>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</si>
  <si>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</si>
  <si>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</si>
  <si>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</si>
  <si>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</si>
  <si>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</si>
  <si>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</si>
  <si>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</si>
  <si>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</si>
  <si>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</si>
  <si>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</si>
  <si>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</si>
  <si>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</si>
  <si>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</si>
  <si>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</si>
  <si>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</si>
  <si>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</si>
  <si>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</si>
  <si>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</si>
  <si>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</si>
  <si>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</si>
  <si>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</si>
  <si>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</si>
  <si>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</si>
  <si>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</si>
  <si>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</si>
  <si>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</si>
  <si>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</si>
  <si>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</si>
  <si>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</si>
  <si>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</si>
  <si>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</si>
  <si>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</si>
  <si>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</si>
  <si>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</si>
  <si>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</si>
  <si>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</si>
  <si>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</si>
  <si>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</si>
  <si>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</si>
  <si>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</si>
  <si>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</si>
  <si>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</si>
  <si>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</si>
  <si>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</si>
  <si>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</si>
  <si>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</si>
  <si>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</si>
  <si>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</si>
  <si>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</si>
  <si>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</si>
  <si>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</si>
  <si>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</si>
  <si>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</si>
  <si>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</si>
  <si>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</si>
  <si>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</si>
  <si>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</si>
  <si>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</si>
  <si>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SH-SY5Y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</si>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</sst>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X9" sqref="X9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1.8482799999999999E-3</v>
      </c>
      <c r="M17" s="80">
        <v>9.2119999999999992E-5</v>
      </c>
      <c r="N17" s="80">
        <v>1.9599999999999999E-5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3" zoomScale="51" zoomScaleNormal="70" workbookViewId="0">
      <selection activeCell="V143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150.03919999999999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149.95926560000001</v>
      </c>
      <c r="K8" s="39">
        <f>J8/J7</f>
        <v>0.99946724322710345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7.3842399999999989E-2</v>
      </c>
      <c r="K9" s="39">
        <f>J9/J7</f>
        <v>4.9215405040815992E-4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6.0919999999999993E-3</v>
      </c>
      <c r="K10" s="39">
        <f>J10/J7</f>
        <v>4.0602722488522997E-5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150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3.9199999999999999E-2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3.6965599999999994E-2</v>
      </c>
      <c r="K20" s="39">
        <f>J20/J19</f>
        <v>0.94299999999999984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1.8423999999999999E-3</v>
      </c>
      <c r="K21" s="39">
        <f>J21/J19</f>
        <v>4.7E-2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3.9199999999999999E-4</v>
      </c>
      <c r="K22" s="39">
        <f>J22/J19</f>
        <v>0.01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4.1938241790910741E-3</v>
      </c>
      <c r="K28" s="93">
        <f t="shared" ref="K28:K47" si="3">IF(D28=0,"",1/(1+10^D28*$J$15/$J$14+10^E28*$J$16/$J$14+10^J28*$J$19/$J$14))</f>
        <v>0.99913270051475245</v>
      </c>
      <c r="L28" s="93">
        <f t="shared" ref="L28:L47" si="4">IF(D28=0,"",1/(1+10^I28/10^J28*$J$13/$J$19))</f>
        <v>2.6377694141563676E-4</v>
      </c>
      <c r="M28" s="93">
        <f t="shared" ref="M28:M47" si="5">IF(D28=0,"",1-L28)</f>
        <v>0.99973622305858434</v>
      </c>
      <c r="N28" s="93">
        <f t="shared" ref="N28:N47" si="6">IF(D28=0,"",1/(1/10^E28*$J$20/$J$22+10^D28/10^E28*$J$21/$J$22+10^I28/10^E28*$J$13/$J$22+1))</f>
        <v>3.1568867620991146E-6</v>
      </c>
      <c r="O28" s="40">
        <f t="shared" ref="O28:O47" si="7">IF(D28=0,"",F28*K28*$J$7/$J$14)</f>
        <v>9.9991176148627012E-7</v>
      </c>
      <c r="P28" s="40">
        <f t="shared" ref="P28:P47" si="8">IF(D28=0,"",O28*10^J28)</f>
        <v>1.0096143180726789E-6</v>
      </c>
      <c r="Q28" s="40">
        <f t="shared" ref="Q28:Q47" si="9">IF(D28=0,"",F28*N28*$J$7/$J$22)</f>
        <v>1.2083080721325035E-6</v>
      </c>
      <c r="R28" s="9">
        <f>F28*$C$14</f>
        <v>1.4999999999999999E-4</v>
      </c>
      <c r="S28" s="9">
        <f>$R28*L28</f>
        <v>3.9566541212345511E-8</v>
      </c>
      <c r="T28" s="9">
        <f t="shared" ref="T28:T91" si="10">R28*K28</f>
        <v>1.4986990507721287E-4</v>
      </c>
      <c r="U28" s="9">
        <f t="shared" ref="U28:U91" si="11">$R28*M28</f>
        <v>1.4996043345878764E-4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1.1565813225528148</v>
      </c>
      <c r="K29" s="93">
        <f t="shared" si="3"/>
        <v>0.89584973048634453</v>
      </c>
      <c r="L29" s="93">
        <f t="shared" si="4"/>
        <v>3.3592035509550284E-3</v>
      </c>
      <c r="M29" s="93">
        <f t="shared" si="5"/>
        <v>0.99664079644904502</v>
      </c>
      <c r="N29" s="93">
        <f t="shared" si="6"/>
        <v>8.9054321301898455E-4</v>
      </c>
      <c r="O29" s="40">
        <f t="shared" si="7"/>
        <v>8.9654825788016014E-7</v>
      </c>
      <c r="P29" s="40">
        <f t="shared" si="8"/>
        <v>1.2857454424042138E-5</v>
      </c>
      <c r="Q29" s="40">
        <f t="shared" si="9"/>
        <v>3.4085814093570926E-4</v>
      </c>
      <c r="R29" s="9">
        <f t="shared" ref="R29:R92" si="12">F29*$C$14</f>
        <v>1.4999999999999999E-4</v>
      </c>
      <c r="S29" s="9">
        <f t="shared" ref="S29:S92" si="13">$R29*L29</f>
        <v>5.0388053264325424E-7</v>
      </c>
      <c r="T29" s="9">
        <f t="shared" si="10"/>
        <v>1.3437745957295167E-4</v>
      </c>
      <c r="U29" s="9">
        <f t="shared" si="11"/>
        <v>1.4949611946735674E-4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3.0740461578301499</v>
      </c>
      <c r="K30" s="93">
        <f t="shared" si="3"/>
        <v>7.4682742208646069E-2</v>
      </c>
      <c r="L30" s="93">
        <f t="shared" si="4"/>
        <v>2.315721056609615E-2</v>
      </c>
      <c r="M30" s="93">
        <f t="shared" si="5"/>
        <v>0.9768427894339039</v>
      </c>
      <c r="N30" s="93">
        <f t="shared" si="6"/>
        <v>8.5239341663785075E-5</v>
      </c>
      <c r="O30" s="40">
        <f t="shared" si="7"/>
        <v>7.4740975123724008E-8</v>
      </c>
      <c r="P30" s="40">
        <f t="shared" si="8"/>
        <v>8.8634932335934061E-5</v>
      </c>
      <c r="Q30" s="40">
        <f t="shared" si="9"/>
        <v>3.2625618958573936E-5</v>
      </c>
      <c r="R30" s="9">
        <f t="shared" si="12"/>
        <v>1.4999999999999999E-4</v>
      </c>
      <c r="S30" s="9">
        <f t="shared" si="13"/>
        <v>3.4735815849144222E-6</v>
      </c>
      <c r="T30" s="9">
        <f t="shared" si="10"/>
        <v>1.120241133129691E-5</v>
      </c>
      <c r="U30" s="9">
        <f t="shared" si="11"/>
        <v>1.4652641841508558E-4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-2.2830594724809087E-2</v>
      </c>
      <c r="K31" s="93">
        <f t="shared" si="3"/>
        <v>0.99969391126077023</v>
      </c>
      <c r="L31" s="93">
        <f t="shared" si="4"/>
        <v>2.4800262808336184E-4</v>
      </c>
      <c r="M31" s="93">
        <f t="shared" si="5"/>
        <v>0.99975199737191667</v>
      </c>
      <c r="N31" s="93">
        <f t="shared" si="6"/>
        <v>4.2498942721737958E-8</v>
      </c>
      <c r="O31" s="40">
        <f t="shared" si="7"/>
        <v>1.0004734098292046E-6</v>
      </c>
      <c r="P31" s="40">
        <f t="shared" si="8"/>
        <v>9.4923765090625404E-7</v>
      </c>
      <c r="Q31" s="40">
        <f t="shared" si="9"/>
        <v>1.6266600425549453E-8</v>
      </c>
      <c r="R31" s="9">
        <f t="shared" si="12"/>
        <v>1.4999999999999999E-4</v>
      </c>
      <c r="S31" s="9">
        <f t="shared" si="13"/>
        <v>3.720039421250427E-8</v>
      </c>
      <c r="T31" s="9">
        <f t="shared" si="10"/>
        <v>1.4995408668911552E-4</v>
      </c>
      <c r="U31" s="9">
        <f t="shared" si="11"/>
        <v>1.4996279960578749E-4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5.2623632451242651E-2</v>
      </c>
      <c r="K32" s="93">
        <f t="shared" si="3"/>
        <v>0.99793883504378411</v>
      </c>
      <c r="L32" s="93">
        <f t="shared" si="4"/>
        <v>2.9454210541889861E-4</v>
      </c>
      <c r="M32" s="93">
        <f t="shared" si="5"/>
        <v>0.9997054578945811</v>
      </c>
      <c r="N32" s="93">
        <f t="shared" si="6"/>
        <v>5.2225828248224446E-6</v>
      </c>
      <c r="O32" s="40">
        <f t="shared" si="7"/>
        <v>9.9871696511393788E-7</v>
      </c>
      <c r="P32" s="40">
        <f t="shared" si="8"/>
        <v>1.1273689250858987E-6</v>
      </c>
      <c r="Q32" s="40">
        <f t="shared" si="9"/>
        <v>1.998959563699234E-6</v>
      </c>
      <c r="R32" s="9">
        <f t="shared" si="12"/>
        <v>1.4999999999999999E-4</v>
      </c>
      <c r="S32" s="9">
        <f t="shared" si="13"/>
        <v>4.4181315812834788E-8</v>
      </c>
      <c r="T32" s="9">
        <f t="shared" si="10"/>
        <v>1.496908252565676E-4</v>
      </c>
      <c r="U32" s="9">
        <f t="shared" si="11"/>
        <v>1.4995581868418716E-4</v>
      </c>
      <c r="V32" s="100">
        <f t="shared" si="14"/>
        <v>0.99823285665108041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0.57389670394462478</v>
      </c>
      <c r="K33" s="93">
        <f t="shared" si="3"/>
        <v>0.97563749643607733</v>
      </c>
      <c r="L33" s="93">
        <f t="shared" si="4"/>
        <v>9.5632391813559232E-4</v>
      </c>
      <c r="M33" s="93">
        <f t="shared" si="5"/>
        <v>0.9990436760818644</v>
      </c>
      <c r="N33" s="93">
        <f t="shared" si="6"/>
        <v>1.8605601992158544E-4</v>
      </c>
      <c r="O33" s="40">
        <f t="shared" si="7"/>
        <v>9.763982373220785E-7</v>
      </c>
      <c r="P33" s="40">
        <f t="shared" si="8"/>
        <v>3.6603590718859622E-6</v>
      </c>
      <c r="Q33" s="40">
        <f t="shared" si="9"/>
        <v>7.1213511184231484E-5</v>
      </c>
      <c r="R33" s="9">
        <f t="shared" si="12"/>
        <v>1.4999999999999999E-4</v>
      </c>
      <c r="S33" s="9">
        <f t="shared" si="13"/>
        <v>1.4344858772033883E-7</v>
      </c>
      <c r="T33" s="9">
        <f t="shared" si="10"/>
        <v>1.463456244654116E-4</v>
      </c>
      <c r="U33" s="9">
        <f t="shared" si="11"/>
        <v>1.4985655141227966E-4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3.0584256456650125E-2</v>
      </c>
      <c r="K34" s="93">
        <f t="shared" si="3"/>
        <v>0.99847268196678707</v>
      </c>
      <c r="L34" s="93">
        <f t="shared" si="4"/>
        <v>2.8011752109697419E-4</v>
      </c>
      <c r="M34" s="93">
        <f t="shared" si="5"/>
        <v>0.99971988247890298</v>
      </c>
      <c r="N34" s="93">
        <f t="shared" si="6"/>
        <v>3.2083476984843367E-6</v>
      </c>
      <c r="O34" s="40">
        <f t="shared" si="7"/>
        <v>9.9925122829726559E-7</v>
      </c>
      <c r="P34" s="40">
        <f t="shared" si="8"/>
        <v>1.0721583870248246E-6</v>
      </c>
      <c r="Q34" s="40">
        <f t="shared" si="9"/>
        <v>1.2280049030674262E-6</v>
      </c>
      <c r="R34" s="9">
        <f t="shared" si="12"/>
        <v>1.4999999999999999E-4</v>
      </c>
      <c r="S34" s="9">
        <f t="shared" si="13"/>
        <v>4.2017628164546122E-8</v>
      </c>
      <c r="T34" s="9">
        <f t="shared" si="10"/>
        <v>1.4977090229501805E-4</v>
      </c>
      <c r="U34" s="9">
        <f t="shared" si="11"/>
        <v>1.4995798237183542E-4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1.7172996903480509E-2</v>
      </c>
      <c r="K35" s="93">
        <f t="shared" si="3"/>
        <v>0.99878794038273877</v>
      </c>
      <c r="L35" s="93">
        <f t="shared" si="4"/>
        <v>2.7168528549997671E-4</v>
      </c>
      <c r="M35" s="93">
        <f t="shared" si="5"/>
        <v>0.99972831471450008</v>
      </c>
      <c r="N35" s="93">
        <f t="shared" si="6"/>
        <v>2.1594405695138599E-6</v>
      </c>
      <c r="O35" s="40">
        <f t="shared" si="7"/>
        <v>9.9956673253194363E-7</v>
      </c>
      <c r="P35" s="40">
        <f t="shared" si="8"/>
        <v>1.0398837471476558E-6</v>
      </c>
      <c r="Q35" s="40">
        <f t="shared" si="9"/>
        <v>8.2653248851378547E-7</v>
      </c>
      <c r="R35" s="9">
        <f t="shared" si="12"/>
        <v>1.4999999999999999E-4</v>
      </c>
      <c r="S35" s="9">
        <f t="shared" si="13"/>
        <v>4.0752792824996506E-8</v>
      </c>
      <c r="T35" s="9">
        <f t="shared" si="10"/>
        <v>1.498181910574108E-4</v>
      </c>
      <c r="U35" s="9">
        <f t="shared" si="11"/>
        <v>1.49959247207175E-4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2.4171487022124163</v>
      </c>
      <c r="K36" s="93">
        <f t="shared" si="3"/>
        <v>0.34595549101103207</v>
      </c>
      <c r="L36" s="93">
        <f t="shared" si="4"/>
        <v>2.3636804389165017E-2</v>
      </c>
      <c r="M36" s="93">
        <f t="shared" si="5"/>
        <v>0.97636319561083496</v>
      </c>
      <c r="N36" s="93">
        <f t="shared" si="6"/>
        <v>1.181696798480838E-2</v>
      </c>
      <c r="O36" s="40">
        <f t="shared" si="7"/>
        <v>3.4622524538979483E-7</v>
      </c>
      <c r="P36" s="40">
        <f t="shared" si="8"/>
        <v>9.0470592375173687E-5</v>
      </c>
      <c r="Q36" s="40">
        <f t="shared" si="9"/>
        <v>4.5229806705771982E-3</v>
      </c>
      <c r="R36" s="9">
        <f t="shared" si="12"/>
        <v>1.4999999999999999E-4</v>
      </c>
      <c r="S36" s="9">
        <f t="shared" si="13"/>
        <v>3.5455206583747523E-6</v>
      </c>
      <c r="T36" s="9">
        <f t="shared" si="10"/>
        <v>5.1893323651654806E-5</v>
      </c>
      <c r="U36" s="9">
        <f t="shared" si="11"/>
        <v>1.4645447934162522E-4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4.5456726093926623</v>
      </c>
      <c r="K37" s="93">
        <f t="shared" si="3"/>
        <v>5.9581693180213958E-3</v>
      </c>
      <c r="L37" s="93">
        <f t="shared" si="4"/>
        <v>5.4727458577167251E-2</v>
      </c>
      <c r="M37" s="93">
        <f t="shared" si="5"/>
        <v>0.94527254142283279</v>
      </c>
      <c r="N37" s="93">
        <f t="shared" si="6"/>
        <v>4.8875878011361798E-2</v>
      </c>
      <c r="O37" s="40">
        <f t="shared" si="7"/>
        <v>5.9628151245043314E-9</v>
      </c>
      <c r="P37" s="40">
        <f t="shared" si="8"/>
        <v>2.0947102303447223E-4</v>
      </c>
      <c r="Q37" s="40">
        <f t="shared" si="9"/>
        <v>1.8707391928883457E-2</v>
      </c>
      <c r="R37" s="9">
        <f t="shared" si="12"/>
        <v>1.4999999999999999E-4</v>
      </c>
      <c r="S37" s="9">
        <f t="shared" si="13"/>
        <v>8.2091187865750863E-6</v>
      </c>
      <c r="T37" s="9">
        <f t="shared" si="10"/>
        <v>8.9372539770320932E-7</v>
      </c>
      <c r="U37" s="9">
        <f t="shared" si="11"/>
        <v>1.4179088121342491E-4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-1.858350994860922E-2</v>
      </c>
      <c r="K38" s="93">
        <f t="shared" si="3"/>
        <v>0.99959923062566614</v>
      </c>
      <c r="L38" s="93">
        <f t="shared" si="4"/>
        <v>2.5041609221708217E-4</v>
      </c>
      <c r="M38" s="93">
        <f t="shared" si="5"/>
        <v>0.9997495839077829</v>
      </c>
      <c r="N38" s="93">
        <f t="shared" si="6"/>
        <v>1.632071315754599E-7</v>
      </c>
      <c r="O38" s="40">
        <f t="shared" si="7"/>
        <v>1.0003786553680834E-6</v>
      </c>
      <c r="P38" s="40">
        <f t="shared" si="8"/>
        <v>9.5847525875962279E-7</v>
      </c>
      <c r="Q38" s="40">
        <f t="shared" si="9"/>
        <v>6.2468029224175356E-8</v>
      </c>
      <c r="R38" s="9">
        <f t="shared" si="12"/>
        <v>1.4999999999999999E-4</v>
      </c>
      <c r="S38" s="9">
        <f t="shared" si="13"/>
        <v>3.7562413832562321E-8</v>
      </c>
      <c r="T38" s="9">
        <f t="shared" si="10"/>
        <v>1.4993988459384991E-4</v>
      </c>
      <c r="U38" s="9">
        <f t="shared" si="11"/>
        <v>1.4996243758616743E-4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1.1540090280827044</v>
      </c>
      <c r="K39" s="93">
        <f t="shared" si="3"/>
        <v>0.89243212646729408</v>
      </c>
      <c r="L39" s="93">
        <f t="shared" si="4"/>
        <v>3.3266265922203427E-3</v>
      </c>
      <c r="M39" s="93">
        <f t="shared" si="5"/>
        <v>0.99667337340777962</v>
      </c>
      <c r="N39" s="93">
        <f t="shared" si="6"/>
        <v>6.9940225264392641E-4</v>
      </c>
      <c r="O39" s="40">
        <f t="shared" si="7"/>
        <v>8.9312798902799408E-7</v>
      </c>
      <c r="P39" s="40">
        <f t="shared" si="8"/>
        <v>1.2732765117231288E-5</v>
      </c>
      <c r="Q39" s="40">
        <f t="shared" si="9"/>
        <v>2.6769835322676682E-4</v>
      </c>
      <c r="R39" s="9">
        <f t="shared" si="12"/>
        <v>1.4999999999999999E-4</v>
      </c>
      <c r="S39" s="9">
        <f t="shared" si="13"/>
        <v>4.9899398883305141E-7</v>
      </c>
      <c r="T39" s="9">
        <f t="shared" si="10"/>
        <v>1.3386481897009411E-4</v>
      </c>
      <c r="U39" s="9">
        <f t="shared" si="11"/>
        <v>1.4950100601116692E-4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1.2741658230618662</v>
      </c>
      <c r="K40" s="93">
        <f t="shared" si="3"/>
        <v>0.87695074123975691</v>
      </c>
      <c r="L40" s="93">
        <f t="shared" si="4"/>
        <v>4.3108295714213343E-3</v>
      </c>
      <c r="M40" s="93">
        <f t="shared" si="5"/>
        <v>0.99568917042857863</v>
      </c>
      <c r="N40" s="93">
        <f t="shared" si="6"/>
        <v>1.6821017011346294E-3</v>
      </c>
      <c r="O40" s="40">
        <f t="shared" si="7"/>
        <v>8.7763453238791111E-7</v>
      </c>
      <c r="P40" s="40">
        <f t="shared" si="8"/>
        <v>1.6499832148785713E-5</v>
      </c>
      <c r="Q40" s="40">
        <f t="shared" si="9"/>
        <v>6.4382957540020118E-4</v>
      </c>
      <c r="R40" s="9">
        <f t="shared" si="12"/>
        <v>1.4999999999999999E-4</v>
      </c>
      <c r="S40" s="9">
        <f t="shared" si="13"/>
        <v>6.4662443571320004E-7</v>
      </c>
      <c r="T40" s="9">
        <f t="shared" si="10"/>
        <v>1.3154261118596353E-4</v>
      </c>
      <c r="U40" s="9">
        <f t="shared" si="11"/>
        <v>1.4935337556428677E-4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0.43147013822686364</v>
      </c>
      <c r="K41" s="93">
        <f t="shared" si="3"/>
        <v>0.98366120448475536</v>
      </c>
      <c r="L41" s="93">
        <f t="shared" si="4"/>
        <v>6.9460117271658549E-4</v>
      </c>
      <c r="M41" s="93">
        <f t="shared" si="5"/>
        <v>0.99930539882728342</v>
      </c>
      <c r="N41" s="93">
        <f t="shared" si="6"/>
        <v>8.2410846286109772E-5</v>
      </c>
      <c r="O41" s="40">
        <f t="shared" si="7"/>
        <v>9.8442820175470294E-7</v>
      </c>
      <c r="P41" s="40">
        <f t="shared" si="8"/>
        <v>2.6586072518739368E-6</v>
      </c>
      <c r="Q41" s="40">
        <f t="shared" si="9"/>
        <v>3.1543003694109389E-5</v>
      </c>
      <c r="R41" s="9">
        <f t="shared" si="12"/>
        <v>1.4999999999999999E-4</v>
      </c>
      <c r="S41" s="9">
        <f t="shared" si="13"/>
        <v>1.0419017590748781E-7</v>
      </c>
      <c r="T41" s="9">
        <f t="shared" si="10"/>
        <v>1.475491806727133E-4</v>
      </c>
      <c r="U41" s="9">
        <f t="shared" si="11"/>
        <v>1.4989580982409251E-4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0.97961580067951626</v>
      </c>
      <c r="K42" s="93">
        <f t="shared" si="3"/>
        <v>0.93362483028564391</v>
      </c>
      <c r="L42" s="93">
        <f t="shared" si="4"/>
        <v>2.3292066693216566E-3</v>
      </c>
      <c r="M42" s="93">
        <f t="shared" si="5"/>
        <v>0.99767079333067832</v>
      </c>
      <c r="N42" s="93">
        <f t="shared" si="6"/>
        <v>7.3280803788617038E-4</v>
      </c>
      <c r="O42" s="40">
        <f t="shared" si="7"/>
        <v>9.3435281233141279E-7</v>
      </c>
      <c r="P42" s="40">
        <f t="shared" si="8"/>
        <v>8.9151098290736194E-6</v>
      </c>
      <c r="Q42" s="40">
        <f t="shared" si="9"/>
        <v>2.8048451979084362E-4</v>
      </c>
      <c r="R42" s="9">
        <f t="shared" si="12"/>
        <v>1.4999999999999999E-4</v>
      </c>
      <c r="S42" s="9">
        <f t="shared" si="13"/>
        <v>3.4938100039824847E-7</v>
      </c>
      <c r="T42" s="9">
        <f t="shared" si="10"/>
        <v>1.4004372454284658E-4</v>
      </c>
      <c r="U42" s="9">
        <f t="shared" si="11"/>
        <v>1.4965061899960174E-4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1.1375458252816428</v>
      </c>
      <c r="K43" s="93">
        <f t="shared" si="3"/>
        <v>0.89811068914829062</v>
      </c>
      <c r="L43" s="93">
        <f t="shared" si="4"/>
        <v>3.2232613557635964E-3</v>
      </c>
      <c r="M43" s="93">
        <f t="shared" si="5"/>
        <v>0.99677673864423644</v>
      </c>
      <c r="N43" s="93">
        <f t="shared" si="6"/>
        <v>7.5975697546426686E-4</v>
      </c>
      <c r="O43" s="40">
        <f t="shared" si="7"/>
        <v>8.9881097949576668E-7</v>
      </c>
      <c r="P43" s="40">
        <f t="shared" si="8"/>
        <v>1.2337131510451155E-5</v>
      </c>
      <c r="Q43" s="40">
        <f t="shared" si="9"/>
        <v>2.9079930814560772E-4</v>
      </c>
      <c r="R43" s="9">
        <f t="shared" si="12"/>
        <v>1.4999999999999999E-4</v>
      </c>
      <c r="S43" s="9">
        <f t="shared" si="13"/>
        <v>4.8348920336453939E-7</v>
      </c>
      <c r="T43" s="9">
        <f t="shared" si="10"/>
        <v>1.3471660337224358E-4</v>
      </c>
      <c r="U43" s="9">
        <f t="shared" si="11"/>
        <v>1.4951651079663544E-4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5.1461538106089488</v>
      </c>
      <c r="K44" s="93">
        <f t="shared" si="3"/>
        <v>1.4025584922319201E-3</v>
      </c>
      <c r="L44" s="93">
        <f t="shared" si="4"/>
        <v>5.1344582108598942E-2</v>
      </c>
      <c r="M44" s="93">
        <f t="shared" si="5"/>
        <v>0.94865541789140106</v>
      </c>
      <c r="N44" s="93">
        <f t="shared" si="6"/>
        <v>4.3166696405320559E-2</v>
      </c>
      <c r="O44" s="40">
        <f t="shared" si="7"/>
        <v>1.4036521193156955E-9</v>
      </c>
      <c r="P44" s="40">
        <f t="shared" si="8"/>
        <v>1.9652295979358426E-4</v>
      </c>
      <c r="Q44" s="40">
        <f t="shared" si="9"/>
        <v>1.6522185192084624E-2</v>
      </c>
      <c r="R44" s="9">
        <f t="shared" si="12"/>
        <v>1.4999999999999999E-4</v>
      </c>
      <c r="S44" s="9">
        <f t="shared" si="13"/>
        <v>7.7016873162898399E-6</v>
      </c>
      <c r="T44" s="9">
        <f t="shared" si="10"/>
        <v>2.1038377383478798E-7</v>
      </c>
      <c r="U44" s="9">
        <f t="shared" si="11"/>
        <v>1.4229831268371015E-4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0.31070489262972556</v>
      </c>
      <c r="K45" s="93">
        <f t="shared" si="3"/>
        <v>0.98989200806355249</v>
      </c>
      <c r="L45" s="93">
        <f t="shared" si="4"/>
        <v>5.293129767682881E-4</v>
      </c>
      <c r="M45" s="93">
        <f t="shared" si="5"/>
        <v>0.99947068702323172</v>
      </c>
      <c r="N45" s="93">
        <f t="shared" si="6"/>
        <v>6.3913654221668819E-5</v>
      </c>
      <c r="O45" s="40">
        <f t="shared" si="7"/>
        <v>9.9066386372306839E-7</v>
      </c>
      <c r="P45" s="40">
        <f t="shared" si="8"/>
        <v>2.0259616220390957E-6</v>
      </c>
      <c r="Q45" s="40">
        <f t="shared" si="9"/>
        <v>2.4463146807387278E-5</v>
      </c>
      <c r="R45" s="9">
        <f t="shared" si="12"/>
        <v>1.4999999999999999E-4</v>
      </c>
      <c r="S45" s="9">
        <f t="shared" si="13"/>
        <v>7.9396946515243202E-8</v>
      </c>
      <c r="T45" s="9">
        <f t="shared" si="10"/>
        <v>1.4848380120953286E-4</v>
      </c>
      <c r="U45" s="9">
        <f t="shared" si="11"/>
        <v>1.4992060305348475E-4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0.32070219402122674</v>
      </c>
      <c r="K46" s="93">
        <f t="shared" si="3"/>
        <v>0.9893313514909915</v>
      </c>
      <c r="L46" s="93">
        <f t="shared" si="4"/>
        <v>5.413321199392733E-4</v>
      </c>
      <c r="M46" s="93">
        <f t="shared" si="5"/>
        <v>0.99945866788006077</v>
      </c>
      <c r="N46" s="93">
        <f t="shared" si="6"/>
        <v>6.0917013374652859E-5</v>
      </c>
      <c r="O46" s="40">
        <f t="shared" si="7"/>
        <v>9.9010276998570033E-7</v>
      </c>
      <c r="P46" s="40">
        <f t="shared" si="8"/>
        <v>2.0719652604589953E-6</v>
      </c>
      <c r="Q46" s="40">
        <f t="shared" si="9"/>
        <v>2.3316173349801566E-5</v>
      </c>
      <c r="R46" s="9">
        <f t="shared" si="12"/>
        <v>1.4999999999999999E-4</v>
      </c>
      <c r="S46" s="9">
        <f t="shared" si="13"/>
        <v>8.1199817990890982E-8</v>
      </c>
      <c r="T46" s="9">
        <f t="shared" si="10"/>
        <v>1.4839970272364871E-4</v>
      </c>
      <c r="U46" s="9">
        <f t="shared" si="11"/>
        <v>1.4991880018200911E-4</v>
      </c>
      <c r="V46" s="100">
        <f t="shared" si="14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1.4956502827878047</v>
      </c>
      <c r="K47" s="93">
        <f t="shared" si="3"/>
        <v>0.813435154698258</v>
      </c>
      <c r="L47" s="93">
        <f t="shared" si="4"/>
        <v>6.6587552347324485E-3</v>
      </c>
      <c r="M47" s="93">
        <f t="shared" si="5"/>
        <v>0.99334124476526753</v>
      </c>
      <c r="N47" s="93">
        <f t="shared" si="6"/>
        <v>2.9535664542070027E-3</v>
      </c>
      <c r="O47" s="40">
        <f t="shared" si="7"/>
        <v>8.1406942037844172E-7</v>
      </c>
      <c r="P47" s="40">
        <f t="shared" si="8"/>
        <v>2.5486589500384409E-5</v>
      </c>
      <c r="Q47" s="40">
        <f t="shared" si="9"/>
        <v>1.130486601877692E-3</v>
      </c>
      <c r="R47" s="9">
        <f t="shared" si="12"/>
        <v>1.4999999999999999E-4</v>
      </c>
      <c r="S47" s="9">
        <f t="shared" si="13"/>
        <v>9.9881328520986712E-7</v>
      </c>
      <c r="T47" s="9">
        <f t="shared" si="10"/>
        <v>1.2201527320473869E-4</v>
      </c>
      <c r="U47" s="9">
        <f t="shared" si="11"/>
        <v>1.4900118671479012E-4</v>
      </c>
      <c r="V47" s="100">
        <f t="shared" si="14"/>
        <v>0.81888792898202634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2.1447334021721123E-2</v>
      </c>
      <c r="K48" s="93">
        <f t="shared" ref="K48:K50" si="17">IF(D48=0,"",1/(1+10^D48*$J$15/$J$14+10^E48*$J$16/$J$14+10^J48*$J$19/$J$14))</f>
        <v>0.99872463945851941</v>
      </c>
      <c r="L48" s="93">
        <f t="shared" ref="L48:L50" si="18">IF(D48=0,"",1/(1+10^I48/10^J48*$J$13/$J$19))</f>
        <v>2.7435503148320683E-4</v>
      </c>
      <c r="M48" s="93">
        <f t="shared" ref="M48:M92" si="19">IF(D48=0,"",1-L48)</f>
        <v>0.99972564496851679</v>
      </c>
      <c r="N48" s="93">
        <f t="shared" ref="N48:N50" si="20">IF(D48=0,"",1/(1/10^E48*$J$20/$J$22+10^D48/10^E48*$J$21/$J$22+10^I48/10^E48*$J$13/$J$22+1))</f>
        <v>3.9652045444754829E-6</v>
      </c>
      <c r="O48" s="40">
        <f t="shared" ref="O48:O92" si="21">IF(D48=0,"",F48*K48*$J$7/$J$14)</f>
        <v>9.9950338224963661E-7</v>
      </c>
      <c r="P48" s="40">
        <f t="shared" ref="P48:P50" si="22">IF(D48=0,"",O48*10^J48)</f>
        <v>1.0501022816253869E-6</v>
      </c>
      <c r="Q48" s="40">
        <f t="shared" ref="Q48:Q50" si="23">IF(D48=0,"",F48*N48*$J$7/$J$22)</f>
        <v>1.5176941777792496E-6</v>
      </c>
      <c r="R48" s="9">
        <f t="shared" si="12"/>
        <v>1.4999999999999999E-4</v>
      </c>
      <c r="S48" s="9">
        <f t="shared" si="13"/>
        <v>4.115325472248102E-8</v>
      </c>
      <c r="T48" s="9">
        <f t="shared" si="10"/>
        <v>1.498086959187779E-4</v>
      </c>
      <c r="U48" s="9">
        <f t="shared" si="11"/>
        <v>1.4995884674527749E-4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0.56646209105716006</v>
      </c>
      <c r="K49" s="93">
        <f t="shared" si="17"/>
        <v>0.97666906139020193</v>
      </c>
      <c r="L49" s="93">
        <f t="shared" si="18"/>
        <v>9.4108608587685093E-4</v>
      </c>
      <c r="M49" s="93">
        <f t="shared" si="19"/>
        <v>0.99905891391412316</v>
      </c>
      <c r="N49" s="93">
        <f t="shared" si="20"/>
        <v>2.0280107898271063E-4</v>
      </c>
      <c r="O49" s="40">
        <f t="shared" si="21"/>
        <v>9.774306066258104E-7</v>
      </c>
      <c r="P49" s="40">
        <f t="shared" si="22"/>
        <v>3.6020358024513767E-6</v>
      </c>
      <c r="Q49" s="40">
        <f t="shared" si="23"/>
        <v>7.7622733800262032E-5</v>
      </c>
      <c r="R49" s="9">
        <f t="shared" si="12"/>
        <v>1.4999999999999999E-4</v>
      </c>
      <c r="S49" s="9">
        <f t="shared" si="13"/>
        <v>1.4116291288152763E-7</v>
      </c>
      <c r="T49" s="9">
        <f t="shared" si="10"/>
        <v>1.4650035920853028E-4</v>
      </c>
      <c r="U49" s="9">
        <f t="shared" si="11"/>
        <v>1.4985883708711845E-4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1.4536912879965904</v>
      </c>
      <c r="K50" s="93">
        <f t="shared" si="17"/>
        <v>0.81354302164275571</v>
      </c>
      <c r="L50" s="93">
        <f t="shared" si="18"/>
        <v>6.0463271640271024E-3</v>
      </c>
      <c r="M50" s="93">
        <f t="shared" si="19"/>
        <v>0.99395367283597291</v>
      </c>
      <c r="N50" s="93">
        <f t="shared" si="20"/>
        <v>1.9576288422300582E-3</v>
      </c>
      <c r="O50" s="40">
        <f t="shared" si="21"/>
        <v>8.1417737143081276E-7</v>
      </c>
      <c r="P50" s="40">
        <f t="shared" si="22"/>
        <v>2.3142502311961621E-5</v>
      </c>
      <c r="Q50" s="40">
        <f t="shared" si="23"/>
        <v>7.4928843210490858E-4</v>
      </c>
      <c r="R50" s="9">
        <f t="shared" si="12"/>
        <v>1.4999999999999999E-4</v>
      </c>
      <c r="S50" s="9">
        <f t="shared" si="13"/>
        <v>9.0694907460406534E-7</v>
      </c>
      <c r="T50" s="9">
        <f t="shared" si="10"/>
        <v>1.2203145324641334E-4</v>
      </c>
      <c r="U50" s="9">
        <f t="shared" si="11"/>
        <v>1.4909305092539592E-4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4.2069917533022263</v>
      </c>
      <c r="K51" s="93">
        <f t="shared" ref="K51:K70" si="26">IF(D51=0,"",1/(1+10^D51*$J$15/$J$14+10^E51*$J$16/$J$14+10^J51*$J$19/$J$14))</f>
        <v>9.9818253253581672E-3</v>
      </c>
      <c r="L51" s="93">
        <f t="shared" ref="L51:L70" si="27">IF(D51=0,"",1/(1+10^I51/10^J51*$J$13/$J$19))</f>
        <v>4.2036016114823417E-2</v>
      </c>
      <c r="M51" s="93">
        <f t="shared" ref="M51:M70" si="28">IF(D51=0,"",1-L51)</f>
        <v>0.95796398388517656</v>
      </c>
      <c r="N51" s="93">
        <f t="shared" ref="N51:N70" si="29">IF(D51=0,"",1/(1/10^E51*$J$20/$J$22+10^D51/10^E51*$J$21/$J$22+10^I51/10^E51*$J$13/$J$22+1))</f>
        <v>2.8309082661955892E-2</v>
      </c>
      <c r="O51" s="40">
        <f t="shared" ref="O51:O70" si="30">IF(D51=0,"",F51*K51*$J$7/$J$14)</f>
        <v>9.9896085262597946E-9</v>
      </c>
      <c r="P51" s="40">
        <f t="shared" ref="P51:P70" si="31">IF(D51=0,"",O51*10^J51)</f>
        <v>1.6089413849630654E-4</v>
      </c>
      <c r="Q51" s="40">
        <f t="shared" ref="Q51:Q70" si="32">IF(D51=0,"",F51*N51*$J$7/$J$22)</f>
        <v>1.0835388049320745E-2</v>
      </c>
      <c r="R51" s="9">
        <f t="shared" si="12"/>
        <v>1.4999999999999999E-4</v>
      </c>
      <c r="S51" s="9">
        <f t="shared" si="13"/>
        <v>6.3054024172235121E-6</v>
      </c>
      <c r="T51" s="9">
        <f t="shared" si="10"/>
        <v>1.4972737988037249E-6</v>
      </c>
      <c r="U51" s="9">
        <f t="shared" si="11"/>
        <v>1.4369459758277646E-4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1.6793358904404492</v>
      </c>
      <c r="K52" s="93">
        <f t="shared" si="26"/>
        <v>0.73872714882134138</v>
      </c>
      <c r="L52" s="93">
        <f t="shared" si="27"/>
        <v>9.230809348557514E-3</v>
      </c>
      <c r="M52" s="93">
        <f t="shared" si="28"/>
        <v>0.99076919065144253</v>
      </c>
      <c r="N52" s="93">
        <f t="shared" si="29"/>
        <v>4.1393856596812217E-3</v>
      </c>
      <c r="O52" s="40">
        <f t="shared" si="30"/>
        <v>7.3930316188742423E-7</v>
      </c>
      <c r="P52" s="40">
        <f t="shared" si="31"/>
        <v>3.5331205357400258E-5</v>
      </c>
      <c r="Q52" s="40">
        <f t="shared" si="32"/>
        <v>1.5843625328317416E-3</v>
      </c>
      <c r="R52" s="9">
        <f t="shared" si="12"/>
        <v>1.4999999999999999E-4</v>
      </c>
      <c r="S52" s="9">
        <f t="shared" si="13"/>
        <v>1.384621402283627E-6</v>
      </c>
      <c r="T52" s="9">
        <f t="shared" si="10"/>
        <v>1.108090723232012E-4</v>
      </c>
      <c r="U52" s="9">
        <f t="shared" si="11"/>
        <v>1.4861537859771635E-4</v>
      </c>
      <c r="V52" s="100">
        <f t="shared" si="14"/>
        <v>0.74560973008821507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2.4736918816104327</v>
      </c>
      <c r="K53" s="93">
        <f t="shared" si="26"/>
        <v>0.32919819829505265</v>
      </c>
      <c r="L53" s="93">
        <f t="shared" si="27"/>
        <v>2.5619412246088581E-2</v>
      </c>
      <c r="M53" s="93">
        <f t="shared" si="28"/>
        <v>0.97438058775391145</v>
      </c>
      <c r="N53" s="93">
        <f t="shared" si="29"/>
        <v>1.4378887322004012E-2</v>
      </c>
      <c r="O53" s="40">
        <f t="shared" si="30"/>
        <v>3.2945488638868973E-7</v>
      </c>
      <c r="P53" s="40">
        <f t="shared" si="31"/>
        <v>9.8059084639625906E-5</v>
      </c>
      <c r="Q53" s="40">
        <f t="shared" si="32"/>
        <v>5.503563139499042E-3</v>
      </c>
      <c r="R53" s="9">
        <f t="shared" si="12"/>
        <v>1.4999999999999999E-4</v>
      </c>
      <c r="S53" s="9">
        <f t="shared" si="13"/>
        <v>3.8429118369132873E-6</v>
      </c>
      <c r="T53" s="9">
        <f t="shared" si="10"/>
        <v>4.937972974425789E-5</v>
      </c>
      <c r="U53" s="9">
        <f t="shared" si="11"/>
        <v>1.461570881630867E-4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0.17835694544431213</v>
      </c>
      <c r="J54" s="92">
        <f t="shared" si="25"/>
        <v>1.8576970931564492</v>
      </c>
      <c r="K54" s="93">
        <f t="shared" si="26"/>
        <v>0.65467782091814286</v>
      </c>
      <c r="L54" s="93">
        <f t="shared" si="27"/>
        <v>1.2335153326346888E-2</v>
      </c>
      <c r="M54" s="93">
        <f t="shared" si="28"/>
        <v>0.98766484667365306</v>
      </c>
      <c r="N54" s="93">
        <f t="shared" si="29"/>
        <v>5.8175946657886106E-3</v>
      </c>
      <c r="O54" s="40">
        <f t="shared" si="30"/>
        <v>6.5518829759349618E-7</v>
      </c>
      <c r="P54" s="40">
        <f t="shared" si="31"/>
        <v>4.7213176963327208E-5</v>
      </c>
      <c r="Q54" s="40">
        <f t="shared" si="32"/>
        <v>2.2267021672938529E-3</v>
      </c>
      <c r="R54" s="9">
        <f t="shared" si="12"/>
        <v>1.4999999999999999E-4</v>
      </c>
      <c r="S54" s="9">
        <f t="shared" si="13"/>
        <v>1.850272998952033E-6</v>
      </c>
      <c r="T54" s="9">
        <f t="shared" si="10"/>
        <v>9.8201673137721416E-5</v>
      </c>
      <c r="U54" s="9">
        <f t="shared" si="11"/>
        <v>1.4814972700104794E-4</v>
      </c>
      <c r="V54" s="100">
        <f t="shared" si="14"/>
        <v>0.66285422947169381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0.41912406778565536</v>
      </c>
      <c r="K55" s="55">
        <f t="shared" si="26"/>
        <v>0.98514452598759294</v>
      </c>
      <c r="L55" s="55">
        <f t="shared" si="27"/>
        <v>6.7615123727931203E-4</v>
      </c>
      <c r="M55" s="55">
        <f t="shared" si="28"/>
        <v>0.99932384876272073</v>
      </c>
      <c r="N55" s="55">
        <f t="shared" si="29"/>
        <v>1.1214212446676003E-4</v>
      </c>
      <c r="O55" s="56">
        <f t="shared" si="30"/>
        <v>9.85912679858551E-7</v>
      </c>
      <c r="P55" s="56">
        <f t="shared" si="31"/>
        <v>2.5879895591938303E-6</v>
      </c>
      <c r="Q55" s="56">
        <f t="shared" si="32"/>
        <v>4.2922741431870157E-5</v>
      </c>
      <c r="R55" s="9">
        <f t="shared" si="12"/>
        <v>1.4999999999999999E-4</v>
      </c>
      <c r="S55" s="9">
        <f t="shared" si="13"/>
        <v>1.0142268559189679E-7</v>
      </c>
      <c r="T55" s="9">
        <f t="shared" si="10"/>
        <v>1.4777167889813892E-4</v>
      </c>
      <c r="U55" s="9">
        <f t="shared" si="11"/>
        <v>1.4989857731440809E-4</v>
      </c>
      <c r="V55" s="100">
        <f t="shared" si="14"/>
        <v>0.98581108337133805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1.6547513221475207</v>
      </c>
      <c r="K56" s="55">
        <f t="shared" si="26"/>
        <v>0.75299899883460208</v>
      </c>
      <c r="L56" s="55">
        <f t="shared" si="27"/>
        <v>8.8913058912839585E-3</v>
      </c>
      <c r="M56" s="55">
        <f t="shared" si="28"/>
        <v>0.99110869410871605</v>
      </c>
      <c r="N56" s="55">
        <f t="shared" si="29"/>
        <v>4.1608707897241278E-3</v>
      </c>
      <c r="O56" s="56">
        <f t="shared" si="30"/>
        <v>7.5358614019358439E-7</v>
      </c>
      <c r="P56" s="56">
        <f t="shared" si="31"/>
        <v>3.4031745481722753E-5</v>
      </c>
      <c r="Q56" s="56">
        <f t="shared" si="32"/>
        <v>1.5925860321264701E-3</v>
      </c>
      <c r="R56" s="9">
        <f t="shared" si="12"/>
        <v>1.4999999999999999E-4</v>
      </c>
      <c r="S56" s="9">
        <f t="shared" si="13"/>
        <v>1.3336958836925937E-6</v>
      </c>
      <c r="T56" s="9">
        <f t="shared" si="10"/>
        <v>1.129498498251903E-4</v>
      </c>
      <c r="U56" s="9">
        <f t="shared" si="11"/>
        <v>1.486663041163074E-4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1.0664462987751342</v>
      </c>
      <c r="K57" s="55">
        <f t="shared" si="26"/>
        <v>0.92055921560491516</v>
      </c>
      <c r="L57" s="55">
        <f t="shared" si="27"/>
        <v>2.8049030816879443E-3</v>
      </c>
      <c r="M57" s="55">
        <f t="shared" si="28"/>
        <v>0.9971950969183121</v>
      </c>
      <c r="N57" s="55">
        <f t="shared" si="29"/>
        <v>9.8245249707662528E-4</v>
      </c>
      <c r="O57" s="56">
        <f t="shared" si="30"/>
        <v>9.2127700990439032E-7</v>
      </c>
      <c r="P57" s="56">
        <f t="shared" si="31"/>
        <v>1.0735852409540659E-5</v>
      </c>
      <c r="Q57" s="56">
        <f t="shared" si="32"/>
        <v>3.7603670076372244E-4</v>
      </c>
      <c r="R57" s="9">
        <f t="shared" si="12"/>
        <v>1.4999999999999999E-4</v>
      </c>
      <c r="S57" s="9">
        <f t="shared" si="13"/>
        <v>4.2073546225319159E-7</v>
      </c>
      <c r="T57" s="9">
        <f t="shared" si="10"/>
        <v>1.3808388234073726E-4</v>
      </c>
      <c r="U57" s="9">
        <f t="shared" si="11"/>
        <v>1.495792645377468E-4</v>
      </c>
      <c r="V57" s="100">
        <f t="shared" si="14"/>
        <v>0.92314855783965533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0.90809484007231756</v>
      </c>
      <c r="K58" s="55">
        <f t="shared" si="26"/>
        <v>0.942714375234459</v>
      </c>
      <c r="L58" s="55">
        <f t="shared" si="27"/>
        <v>1.9947790592979605E-3</v>
      </c>
      <c r="M58" s="55">
        <f t="shared" si="28"/>
        <v>0.99800522094070199</v>
      </c>
      <c r="N58" s="55">
        <f t="shared" si="29"/>
        <v>5.5342906078155831E-4</v>
      </c>
      <c r="O58" s="56">
        <f t="shared" si="30"/>
        <v>9.4344944473689393E-7</v>
      </c>
      <c r="P58" s="56">
        <f t="shared" si="31"/>
        <v>7.6350779141280224E-6</v>
      </c>
      <c r="Q58" s="56">
        <f t="shared" si="32"/>
        <v>2.1182666718473563E-4</v>
      </c>
      <c r="R58" s="9">
        <f t="shared" si="12"/>
        <v>1.4999999999999999E-4</v>
      </c>
      <c r="S58" s="9">
        <f t="shared" si="13"/>
        <v>2.9921685889469405E-7</v>
      </c>
      <c r="T58" s="9">
        <f t="shared" si="10"/>
        <v>1.4140715628516883E-4</v>
      </c>
      <c r="U58" s="9">
        <f t="shared" si="11"/>
        <v>1.4970078314110528E-4</v>
      </c>
      <c r="V58" s="100">
        <f t="shared" si="14"/>
        <v>0.94459864082261336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0.48153000113979566</v>
      </c>
      <c r="K59" s="55">
        <f t="shared" si="26"/>
        <v>0.98274468334668696</v>
      </c>
      <c r="L59" s="55">
        <f t="shared" si="27"/>
        <v>7.7873650716162653E-4</v>
      </c>
      <c r="M59" s="55">
        <f t="shared" si="28"/>
        <v>0.99922126349283835</v>
      </c>
      <c r="N59" s="55">
        <f t="shared" si="29"/>
        <v>1.8284055620625272E-4</v>
      </c>
      <c r="O59" s="56">
        <f t="shared" si="30"/>
        <v>9.8351096597097446E-7</v>
      </c>
      <c r="P59" s="56">
        <f t="shared" si="31"/>
        <v>2.9806378200337944E-6</v>
      </c>
      <c r="Q59" s="56">
        <f t="shared" si="32"/>
        <v>6.9982782603931606E-5</v>
      </c>
      <c r="R59" s="9">
        <f t="shared" si="12"/>
        <v>1.4999999999999999E-4</v>
      </c>
      <c r="S59" s="9">
        <f t="shared" si="13"/>
        <v>1.1681047607424396E-7</v>
      </c>
      <c r="T59" s="9">
        <f t="shared" si="10"/>
        <v>1.4741170250200304E-4</v>
      </c>
      <c r="U59" s="9">
        <f t="shared" si="11"/>
        <v>1.4988318952392573E-4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1.701695703106914</v>
      </c>
      <c r="K60" s="55">
        <f t="shared" si="26"/>
        <v>0.73568870012646925</v>
      </c>
      <c r="L60" s="55">
        <f t="shared" si="27"/>
        <v>9.678534877307356E-3</v>
      </c>
      <c r="M60" s="55">
        <f t="shared" si="28"/>
        <v>0.99032146512269259</v>
      </c>
      <c r="N60" s="55">
        <f t="shared" si="29"/>
        <v>4.7480348595910094E-3</v>
      </c>
      <c r="O60" s="56">
        <f t="shared" si="30"/>
        <v>7.3626234400096131E-7</v>
      </c>
      <c r="P60" s="56">
        <f t="shared" si="31"/>
        <v>3.7044888524573802E-5</v>
      </c>
      <c r="Q60" s="56">
        <f t="shared" si="32"/>
        <v>1.8173248773090496E-3</v>
      </c>
      <c r="R60" s="9">
        <f t="shared" si="12"/>
        <v>1.4999999999999999E-4</v>
      </c>
      <c r="S60" s="9">
        <f t="shared" si="13"/>
        <v>1.4517802315961032E-6</v>
      </c>
      <c r="T60" s="9">
        <f t="shared" si="10"/>
        <v>1.1035330501897037E-4</v>
      </c>
      <c r="U60" s="9">
        <f t="shared" si="11"/>
        <v>1.4854821976840389E-4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2.6253876426038136</v>
      </c>
      <c r="K61" s="55">
        <f t="shared" si="26"/>
        <v>0.27831307988413101</v>
      </c>
      <c r="L61" s="55">
        <f t="shared" si="27"/>
        <v>3.0714333158559409E-2</v>
      </c>
      <c r="M61" s="55">
        <f t="shared" si="28"/>
        <v>0.96928566684144057</v>
      </c>
      <c r="N61" s="55">
        <f t="shared" si="29"/>
        <v>2.064683231754973E-2</v>
      </c>
      <c r="O61" s="56">
        <f t="shared" si="30"/>
        <v>2.7853009095612264E-7</v>
      </c>
      <c r="P61" s="56">
        <f t="shared" si="31"/>
        <v>1.1756005039907472E-4</v>
      </c>
      <c r="Q61" s="56">
        <f t="shared" si="32"/>
        <v>7.9026382741308864E-3</v>
      </c>
      <c r="R61" s="9">
        <f t="shared" si="12"/>
        <v>1.4999999999999999E-4</v>
      </c>
      <c r="S61" s="9">
        <f t="shared" si="13"/>
        <v>4.6071499737839106E-6</v>
      </c>
      <c r="T61" s="9">
        <f t="shared" si="10"/>
        <v>4.1746961982619651E-5</v>
      </c>
      <c r="U61" s="9">
        <f t="shared" si="11"/>
        <v>1.4539285002621607E-4</v>
      </c>
      <c r="V61" s="100">
        <f t="shared" si="14"/>
        <v>0.28713215247580726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3.547875334829623</v>
      </c>
      <c r="K62" s="55">
        <f t="shared" si="26"/>
        <v>5.0526202104881839E-2</v>
      </c>
      <c r="L62" s="55">
        <f t="shared" si="27"/>
        <v>4.6645722097185517E-2</v>
      </c>
      <c r="M62" s="55">
        <f t="shared" si="28"/>
        <v>0.95335427790281446</v>
      </c>
      <c r="N62" s="55">
        <f t="shared" si="29"/>
        <v>3.7474553604359633E-2</v>
      </c>
      <c r="O62" s="56">
        <f t="shared" si="30"/>
        <v>5.0565599266118415E-8</v>
      </c>
      <c r="P62" s="56">
        <f t="shared" si="31"/>
        <v>1.7853792925724585E-4</v>
      </c>
      <c r="Q62" s="56">
        <f t="shared" si="32"/>
        <v>1.4343500110089885E-2</v>
      </c>
      <c r="R62" s="9">
        <f t="shared" si="12"/>
        <v>1.4999999999999999E-4</v>
      </c>
      <c r="S62" s="9">
        <f t="shared" si="13"/>
        <v>6.9968583145778273E-6</v>
      </c>
      <c r="T62" s="9">
        <f t="shared" si="10"/>
        <v>7.5789303157322747E-6</v>
      </c>
      <c r="U62" s="9">
        <f t="shared" si="11"/>
        <v>1.4300314168542216E-4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4.6794078075147496</v>
      </c>
      <c r="K63" s="55">
        <f t="shared" si="26"/>
        <v>4.4377247852097901E-3</v>
      </c>
      <c r="L63" s="55">
        <f t="shared" si="27"/>
        <v>5.5461039258186136E-2</v>
      </c>
      <c r="M63" s="55">
        <f t="shared" si="28"/>
        <v>0.94453896074181387</v>
      </c>
      <c r="N63" s="55">
        <f t="shared" si="29"/>
        <v>5.0012685864579749E-2</v>
      </c>
      <c r="O63" s="56">
        <f t="shared" si="30"/>
        <v>4.4411850444733608E-9</v>
      </c>
      <c r="P63" s="56">
        <f t="shared" si="31"/>
        <v>2.1227882554762355E-4</v>
      </c>
      <c r="Q63" s="56">
        <f t="shared" si="32"/>
        <v>1.9142508614726668E-2</v>
      </c>
      <c r="R63" s="9">
        <f t="shared" si="12"/>
        <v>1.4999999999999999E-4</v>
      </c>
      <c r="S63" s="9">
        <f t="shared" si="13"/>
        <v>8.3191558887279189E-6</v>
      </c>
      <c r="T63" s="9">
        <f t="shared" si="10"/>
        <v>6.6565871778146847E-7</v>
      </c>
      <c r="U63" s="9">
        <f t="shared" si="11"/>
        <v>1.4168084411127208E-4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1.6404345211947191</v>
      </c>
      <c r="J64" s="54">
        <f t="shared" si="25"/>
        <v>3.9499760608789174</v>
      </c>
      <c r="K64" s="55">
        <f t="shared" si="26"/>
        <v>2.1716403845679386E-2</v>
      </c>
      <c r="L64" s="55">
        <f t="shared" si="27"/>
        <v>5.0603878115124824E-2</v>
      </c>
      <c r="M64" s="55">
        <f t="shared" si="28"/>
        <v>0.94939612188487521</v>
      </c>
      <c r="N64" s="55">
        <f t="shared" si="29"/>
        <v>4.2776743802717607E-2</v>
      </c>
      <c r="O64" s="56">
        <f t="shared" si="30"/>
        <v>2.1733336934416418E-8</v>
      </c>
      <c r="P64" s="56">
        <f t="shared" si="31"/>
        <v>1.9368789258395001E-4</v>
      </c>
      <c r="Q64" s="56">
        <f t="shared" si="32"/>
        <v>1.6372929639705887E-2</v>
      </c>
      <c r="R64" s="9">
        <f t="shared" si="12"/>
        <v>1.4999999999999999E-4</v>
      </c>
      <c r="S64" s="9">
        <f t="shared" si="13"/>
        <v>7.5905817172687232E-6</v>
      </c>
      <c r="T64" s="9">
        <f t="shared" si="10"/>
        <v>3.2574605768519075E-6</v>
      </c>
      <c r="U64" s="9">
        <f t="shared" si="11"/>
        <v>1.4240941828273126E-4</v>
      </c>
      <c r="V64" s="100">
        <f t="shared" si="14"/>
        <v>2.2873912527223005E-2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3.6622096755613032</v>
      </c>
      <c r="K65" s="55">
        <f t="shared" si="26"/>
        <v>3.9877522668395428E-2</v>
      </c>
      <c r="L65" s="55">
        <f t="shared" si="27"/>
        <v>4.790244456178594E-2</v>
      </c>
      <c r="M65" s="55">
        <f t="shared" si="28"/>
        <v>0.95209755543821406</v>
      </c>
      <c r="N65" s="55">
        <f t="shared" si="29"/>
        <v>3.9097409577952075E-2</v>
      </c>
      <c r="O65" s="56">
        <f t="shared" si="30"/>
        <v>3.9908616657748143E-8</v>
      </c>
      <c r="P65" s="56">
        <f t="shared" si="31"/>
        <v>1.8334807296159988E-4</v>
      </c>
      <c r="Q65" s="56">
        <f t="shared" si="32"/>
        <v>1.4964653201908843E-2</v>
      </c>
      <c r="R65" s="9">
        <f t="shared" si="12"/>
        <v>1.4999999999999999E-4</v>
      </c>
      <c r="S65" s="9">
        <f t="shared" si="13"/>
        <v>7.18536668426789E-6</v>
      </c>
      <c r="T65" s="9">
        <f t="shared" si="10"/>
        <v>5.9816284002593134E-6</v>
      </c>
      <c r="U65" s="9">
        <f t="shared" si="11"/>
        <v>1.4281463331573208E-4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1.6404345211947191</v>
      </c>
      <c r="J66" s="54">
        <f t="shared" si="25"/>
        <v>3.9499760608789174</v>
      </c>
      <c r="K66" s="55">
        <f t="shared" si="26"/>
        <v>2.1716403845679386E-2</v>
      </c>
      <c r="L66" s="55">
        <f t="shared" si="27"/>
        <v>5.0603878115124824E-2</v>
      </c>
      <c r="M66" s="55">
        <f t="shared" si="28"/>
        <v>0.94939612188487521</v>
      </c>
      <c r="N66" s="55">
        <f t="shared" si="29"/>
        <v>4.2776743802717607E-2</v>
      </c>
      <c r="O66" s="56">
        <f t="shared" si="30"/>
        <v>2.1733336934416418E-8</v>
      </c>
      <c r="P66" s="56">
        <f t="shared" si="31"/>
        <v>1.9368789258395001E-4</v>
      </c>
      <c r="Q66" s="56">
        <f t="shared" si="32"/>
        <v>1.6372929639705887E-2</v>
      </c>
      <c r="R66" s="9">
        <f t="shared" si="12"/>
        <v>1.4999999999999999E-4</v>
      </c>
      <c r="S66" s="9">
        <f t="shared" si="13"/>
        <v>7.5905817172687232E-6</v>
      </c>
      <c r="T66" s="9">
        <f t="shared" si="10"/>
        <v>3.2574605768519075E-6</v>
      </c>
      <c r="U66" s="9">
        <f t="shared" si="11"/>
        <v>1.4240941828273126E-4</v>
      </c>
      <c r="V66" s="100">
        <f t="shared" si="14"/>
        <v>2.2873912527223005E-2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-2.1408506520216686E-2</v>
      </c>
      <c r="K67" s="55">
        <f t="shared" si="26"/>
        <v>0.9996621862351367</v>
      </c>
      <c r="L67" s="55">
        <f t="shared" si="27"/>
        <v>2.4880814241480965E-4</v>
      </c>
      <c r="M67" s="55">
        <f t="shared" si="28"/>
        <v>0.99975119185758521</v>
      </c>
      <c r="N67" s="55">
        <f t="shared" si="29"/>
        <v>7.7759473423569887E-8</v>
      </c>
      <c r="O67" s="56">
        <f t="shared" si="30"/>
        <v>1.0004416600663872E-6</v>
      </c>
      <c r="P67" s="56">
        <f t="shared" si="31"/>
        <v>9.5232078166847233E-7</v>
      </c>
      <c r="Q67" s="56">
        <f t="shared" si="32"/>
        <v>2.976267649207573E-8</v>
      </c>
      <c r="R67" s="9">
        <f t="shared" si="12"/>
        <v>1.4999999999999999E-4</v>
      </c>
      <c r="S67" s="9">
        <f t="shared" si="13"/>
        <v>3.7321221362221445E-8</v>
      </c>
      <c r="T67" s="9">
        <f t="shared" si="10"/>
        <v>1.4994932793527049E-4</v>
      </c>
      <c r="U67" s="9">
        <f t="shared" si="11"/>
        <v>1.4996267877863777E-4</v>
      </c>
      <c r="V67" s="100">
        <f t="shared" si="14"/>
        <v>0.99991097222671654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3.9742395242673396</v>
      </c>
      <c r="K68" s="55">
        <f t="shared" si="26"/>
        <v>1.7917559598612031E-2</v>
      </c>
      <c r="L68" s="55">
        <f t="shared" si="27"/>
        <v>4.4150762945169578E-2</v>
      </c>
      <c r="M68" s="55">
        <f t="shared" si="28"/>
        <v>0.95584923705483038</v>
      </c>
      <c r="N68" s="55">
        <f t="shared" si="29"/>
        <v>3.208342235645284E-2</v>
      </c>
      <c r="O68" s="56">
        <f t="shared" si="30"/>
        <v>1.7931530587031215E-8</v>
      </c>
      <c r="P68" s="56">
        <f t="shared" si="31"/>
        <v>1.689883967266043E-4</v>
      </c>
      <c r="Q68" s="56">
        <f t="shared" si="32"/>
        <v>1.2280028121490557E-2</v>
      </c>
      <c r="R68" s="9">
        <f t="shared" si="12"/>
        <v>1.4999999999999999E-4</v>
      </c>
      <c r="S68" s="9">
        <f t="shared" si="13"/>
        <v>6.6226144417754359E-6</v>
      </c>
      <c r="T68" s="9">
        <f t="shared" si="10"/>
        <v>2.6876339397918046E-6</v>
      </c>
      <c r="U68" s="9">
        <f t="shared" si="11"/>
        <v>1.4337738555822454E-4</v>
      </c>
      <c r="V68" s="100">
        <f t="shared" si="14"/>
        <v>1.8745173301408648E-2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1.2993366457192814</v>
      </c>
      <c r="K69" s="55">
        <f t="shared" si="26"/>
        <v>0.87072590991414678</v>
      </c>
      <c r="L69" s="55">
        <f t="shared" si="27"/>
        <v>4.5356333956749614E-3</v>
      </c>
      <c r="M69" s="55">
        <f t="shared" si="28"/>
        <v>0.99546436660432502</v>
      </c>
      <c r="N69" s="55">
        <f t="shared" si="29"/>
        <v>1.7980479993110405E-3</v>
      </c>
      <c r="O69" s="56">
        <f t="shared" si="30"/>
        <v>8.7140484732952095E-7</v>
      </c>
      <c r="P69" s="56">
        <f t="shared" si="31"/>
        <v>1.7360275667866189E-5</v>
      </c>
      <c r="Q69" s="56">
        <f t="shared" si="32"/>
        <v>6.8820837596487007E-4</v>
      </c>
      <c r="R69" s="9">
        <f t="shared" si="12"/>
        <v>1.4999999999999999E-4</v>
      </c>
      <c r="S69" s="9">
        <f t="shared" si="13"/>
        <v>6.803450093512441E-7</v>
      </c>
      <c r="T69" s="9">
        <f t="shared" si="10"/>
        <v>1.3060888648712201E-4</v>
      </c>
      <c r="U69" s="9">
        <f t="shared" si="11"/>
        <v>1.4931965499064874E-4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2.4832149549104936</v>
      </c>
      <c r="K70" s="55">
        <f t="shared" si="26"/>
        <v>0.34369402391573134</v>
      </c>
      <c r="L70" s="55">
        <f t="shared" si="27"/>
        <v>2.7340519757764664E-2</v>
      </c>
      <c r="M70" s="55">
        <f t="shared" si="28"/>
        <v>0.97265948024223536</v>
      </c>
      <c r="N70" s="55">
        <f t="shared" si="29"/>
        <v>1.7775049202865715E-2</v>
      </c>
      <c r="O70" s="56">
        <f t="shared" si="30"/>
        <v>3.4396201494438908E-7</v>
      </c>
      <c r="P70" s="56">
        <f t="shared" si="31"/>
        <v>1.0464667632753068E-4</v>
      </c>
      <c r="Q70" s="56">
        <f t="shared" si="32"/>
        <v>6.8034544958127802E-3</v>
      </c>
      <c r="R70" s="9">
        <f t="shared" si="12"/>
        <v>1.4999999999999999E-4</v>
      </c>
      <c r="S70" s="9">
        <f t="shared" si="13"/>
        <v>4.1010779636646992E-6</v>
      </c>
      <c r="T70" s="9">
        <f t="shared" si="10"/>
        <v>5.15541035873597E-5</v>
      </c>
      <c r="U70" s="9">
        <f t="shared" si="11"/>
        <v>1.4589892203633529E-4</v>
      </c>
      <c r="V70" s="100">
        <f t="shared" si="14"/>
        <v>0.35335493139915347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2.9114243406645759</v>
      </c>
      <c r="J71" s="54">
        <f t="shared" ref="J71:J122" si="34">IF(D71=0,"",LOG($K$21*10^D71+$K$22*10^E71+$K$20))</f>
        <v>5.1720950211816961</v>
      </c>
      <c r="K71" s="55">
        <f t="shared" ref="K71:K122" si="35">IF(D71=0,"",1/(1+10^D71*$J$15/$J$14+10^E71*$J$16/$J$14+10^J71*$J$19/$J$14))</f>
        <v>1.1698856025787038E-3</v>
      </c>
      <c r="L71" s="55">
        <f t="shared" ref="L71:L122" si="36">IF(D71=0,"",1/(1+10^I71/10^J71*$J$13/$J$19))</f>
        <v>4.5463016520151021E-2</v>
      </c>
      <c r="M71" s="55">
        <f t="shared" si="19"/>
        <v>0.95453698347984894</v>
      </c>
      <c r="N71" s="55">
        <f t="shared" ref="N71:N122" si="37">IF(D71=0,"",1/(1/10^E71*$J$20/$J$22+10^D71/10^E71*$J$21/$J$22+10^I71/10^E71*$J$13/$J$22+1))</f>
        <v>3.3550826801868994E-2</v>
      </c>
      <c r="O71" s="56">
        <f t="shared" si="21"/>
        <v>1.1707978059463244E-9</v>
      </c>
      <c r="P71" s="56">
        <f t="shared" ref="P71:P122" si="38">IF(D71=0,"",O71*10^J71)</f>
        <v>1.7401108745587361E-4</v>
      </c>
      <c r="Q71" s="56">
        <f t="shared" ref="Q71:Q122" si="39">IF(D71=0,"",F71*N71*$J$7/$J$22)</f>
        <v>1.2841681665028014E-2</v>
      </c>
      <c r="R71" s="9">
        <f t="shared" si="12"/>
        <v>1.4999999999999999E-4</v>
      </c>
      <c r="S71" s="9">
        <f t="shared" si="13"/>
        <v>6.8194524780226525E-6</v>
      </c>
      <c r="T71" s="9">
        <f t="shared" si="10"/>
        <v>1.7548284038680555E-7</v>
      </c>
      <c r="U71" s="9">
        <f t="shared" si="11"/>
        <v>1.4318054752197732E-4</v>
      </c>
      <c r="V71" s="100">
        <f t="shared" si="14"/>
        <v>1.2256053173694563E-3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4.6975737297600579</v>
      </c>
      <c r="K72" s="55">
        <f t="shared" si="35"/>
        <v>3.2724242055331156E-3</v>
      </c>
      <c r="L72" s="55">
        <f t="shared" si="36"/>
        <v>4.2644512785624325E-2</v>
      </c>
      <c r="M72" s="55">
        <f t="shared" si="19"/>
        <v>0.95735548721437569</v>
      </c>
      <c r="N72" s="55">
        <f t="shared" si="37"/>
        <v>2.9032165250276153E-2</v>
      </c>
      <c r="O72" s="56">
        <f t="shared" si="21"/>
        <v>3.2749758365421566E-9</v>
      </c>
      <c r="P72" s="56">
        <f t="shared" si="38"/>
        <v>1.6322317813124618E-4</v>
      </c>
      <c r="Q72" s="56">
        <f t="shared" si="39"/>
        <v>1.1112150123518452E-2</v>
      </c>
      <c r="R72" s="9">
        <f t="shared" si="12"/>
        <v>1.4999999999999999E-4</v>
      </c>
      <c r="S72" s="9">
        <f t="shared" si="13"/>
        <v>6.3966769178436483E-6</v>
      </c>
      <c r="T72" s="9">
        <f t="shared" si="10"/>
        <v>4.9086363082996727E-7</v>
      </c>
      <c r="U72" s="9">
        <f t="shared" si="11"/>
        <v>1.4360332308215634E-4</v>
      </c>
      <c r="V72" s="100">
        <f t="shared" si="14"/>
        <v>3.4181913084918043E-3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4.7102525015633843</v>
      </c>
      <c r="K73" s="55">
        <f t="shared" si="35"/>
        <v>3.3163804652228527E-3</v>
      </c>
      <c r="L73" s="55">
        <f t="shared" si="36"/>
        <v>4.4497609523246072E-2</v>
      </c>
      <c r="M73" s="55">
        <f t="shared" si="19"/>
        <v>0.95550239047675389</v>
      </c>
      <c r="N73" s="55">
        <f t="shared" si="37"/>
        <v>3.206063937567824E-2</v>
      </c>
      <c r="O73" s="56">
        <f t="shared" si="21"/>
        <v>3.3189663705643828E-9</v>
      </c>
      <c r="P73" s="56">
        <f t="shared" si="38"/>
        <v>1.7031596262194443E-4</v>
      </c>
      <c r="Q73" s="56">
        <f t="shared" si="39"/>
        <v>1.2271307865855263E-2</v>
      </c>
      <c r="R73" s="9">
        <f t="shared" si="12"/>
        <v>1.4999999999999999E-4</v>
      </c>
      <c r="S73" s="9">
        <f t="shared" si="13"/>
        <v>6.6746414284869105E-6</v>
      </c>
      <c r="T73" s="9">
        <f t="shared" si="10"/>
        <v>4.9745706978342788E-7</v>
      </c>
      <c r="U73" s="9">
        <f t="shared" si="11"/>
        <v>1.4332535857151306E-4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1.6372026725125763</v>
      </c>
      <c r="K74" s="55">
        <f t="shared" si="35"/>
        <v>0.75145094217670705</v>
      </c>
      <c r="L74" s="55">
        <f t="shared" si="36"/>
        <v>8.5216390837029397E-3</v>
      </c>
      <c r="M74" s="55">
        <f t="shared" si="19"/>
        <v>0.99147836091629704</v>
      </c>
      <c r="N74" s="55">
        <f t="shared" si="37"/>
        <v>3.4946079784404617E-3</v>
      </c>
      <c r="O74" s="56">
        <f t="shared" si="21"/>
        <v>7.520368764582678E-7</v>
      </c>
      <c r="P74" s="56">
        <f t="shared" si="38"/>
        <v>3.2616834459375561E-5</v>
      </c>
      <c r="Q74" s="56">
        <f t="shared" si="39"/>
        <v>1.3375719015276124E-3</v>
      </c>
      <c r="R74" s="9">
        <f t="shared" si="12"/>
        <v>1.4999999999999999E-4</v>
      </c>
      <c r="S74" s="9">
        <f t="shared" si="13"/>
        <v>1.2782458625554408E-6</v>
      </c>
      <c r="T74" s="9">
        <f t="shared" si="10"/>
        <v>1.1271764132650605E-4</v>
      </c>
      <c r="U74" s="9">
        <f t="shared" si="11"/>
        <v>1.4872175413744454E-4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1.0613094291357714</v>
      </c>
      <c r="J75" s="54">
        <f t="shared" si="34"/>
        <v>3.3018286380002788</v>
      </c>
      <c r="K75" s="55">
        <f t="shared" si="35"/>
        <v>8.301459406357975E-2</v>
      </c>
      <c r="L75" s="55">
        <f t="shared" si="36"/>
        <v>4.3491352874403831E-2</v>
      </c>
      <c r="M75" s="55">
        <f t="shared" si="19"/>
        <v>0.95650864712559613</v>
      </c>
      <c r="N75" s="55">
        <f t="shared" si="37"/>
        <v>3.3633670244391213E-2</v>
      </c>
      <c r="O75" s="56">
        <f t="shared" si="21"/>
        <v>8.3079323633804003E-8</v>
      </c>
      <c r="P75" s="56">
        <f t="shared" si="38"/>
        <v>1.6646448449472582E-4</v>
      </c>
      <c r="Q75" s="56">
        <f t="shared" si="39"/>
        <v>1.2873390246255769E-2</v>
      </c>
      <c r="R75" s="9">
        <f t="shared" si="12"/>
        <v>1.4999999999999999E-4</v>
      </c>
      <c r="S75" s="9">
        <f t="shared" si="13"/>
        <v>6.5237029311605742E-6</v>
      </c>
      <c r="T75" s="9">
        <f t="shared" si="10"/>
        <v>1.2452189109536961E-5</v>
      </c>
      <c r="U75" s="9">
        <f t="shared" si="11"/>
        <v>1.4347629706883941E-4</v>
      </c>
      <c r="V75" s="100">
        <f t="shared" si="14"/>
        <v>8.6789172594567629E-2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3.2768864285866712</v>
      </c>
      <c r="K76" s="55">
        <f t="shared" si="35"/>
        <v>7.978028957898349E-2</v>
      </c>
      <c r="L76" s="55">
        <f t="shared" si="36"/>
        <v>3.9464069538896765E-2</v>
      </c>
      <c r="M76" s="55">
        <f t="shared" si="19"/>
        <v>0.96053593046110319</v>
      </c>
      <c r="N76" s="55">
        <f t="shared" si="37"/>
        <v>2.6925293071837584E-2</v>
      </c>
      <c r="O76" s="56">
        <f t="shared" si="21"/>
        <v>7.9842497241564583E-8</v>
      </c>
      <c r="P76" s="56">
        <f t="shared" si="38"/>
        <v>1.5104993424388879E-4</v>
      </c>
      <c r="Q76" s="56">
        <f t="shared" si="39"/>
        <v>1.0305738347612382E-2</v>
      </c>
      <c r="R76" s="9">
        <f t="shared" si="12"/>
        <v>1.4999999999999999E-4</v>
      </c>
      <c r="S76" s="9">
        <f t="shared" si="13"/>
        <v>5.9196104308345146E-6</v>
      </c>
      <c r="T76" s="9">
        <f t="shared" si="10"/>
        <v>1.1967043436847522E-5</v>
      </c>
      <c r="U76" s="9">
        <f t="shared" si="11"/>
        <v>1.4408038956916546E-4</v>
      </c>
      <c r="V76" s="100">
        <f t="shared" si="14"/>
        <v>8.3058100221909598E-2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1.849020080439971</v>
      </c>
      <c r="K77" s="55">
        <f t="shared" si="35"/>
        <v>0.6724485583537213</v>
      </c>
      <c r="L77" s="55">
        <f t="shared" si="36"/>
        <v>1.241935319174672E-2</v>
      </c>
      <c r="M77" s="55">
        <f t="shared" si="19"/>
        <v>0.9875806468082533</v>
      </c>
      <c r="N77" s="55">
        <f t="shared" si="37"/>
        <v>6.6723358404826832E-3</v>
      </c>
      <c r="O77" s="56">
        <f t="shared" si="21"/>
        <v>6.7297289153478598E-7</v>
      </c>
      <c r="P77" s="56">
        <f t="shared" si="38"/>
        <v>4.7535454525691957E-5</v>
      </c>
      <c r="Q77" s="56">
        <f t="shared" si="39"/>
        <v>2.5538569684626258E-3</v>
      </c>
      <c r="R77" s="9">
        <f t="shared" si="12"/>
        <v>1.4999999999999999E-4</v>
      </c>
      <c r="S77" s="9">
        <f t="shared" si="13"/>
        <v>1.8629029787620078E-6</v>
      </c>
      <c r="T77" s="9">
        <f t="shared" si="10"/>
        <v>1.0086728375305818E-4</v>
      </c>
      <c r="U77" s="9">
        <f t="shared" si="11"/>
        <v>1.4813709702123798E-4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0.26960058474961779</v>
      </c>
      <c r="J78" s="54">
        <f t="shared" si="34"/>
        <v>2.1538315996948265</v>
      </c>
      <c r="K78" s="55">
        <f t="shared" si="35"/>
        <v>0.52670380510427206</v>
      </c>
      <c r="L78" s="55">
        <f t="shared" si="36"/>
        <v>1.962537149342795E-2</v>
      </c>
      <c r="M78" s="55">
        <f t="shared" si="19"/>
        <v>0.98037462850657209</v>
      </c>
      <c r="N78" s="55">
        <f t="shared" si="37"/>
        <v>1.2559903037704118E-2</v>
      </c>
      <c r="O78" s="56">
        <f t="shared" si="21"/>
        <v>5.2711449567409843E-7</v>
      </c>
      <c r="P78" s="56">
        <f t="shared" si="38"/>
        <v>7.5116710167773875E-5</v>
      </c>
      <c r="Q78" s="56">
        <f t="shared" si="39"/>
        <v>4.8073413363640197E-3</v>
      </c>
      <c r="R78" s="9">
        <f t="shared" si="12"/>
        <v>1.4999999999999999E-4</v>
      </c>
      <c r="S78" s="9">
        <f t="shared" si="13"/>
        <v>2.9438057240141921E-6</v>
      </c>
      <c r="T78" s="9">
        <f t="shared" si="10"/>
        <v>7.9005570765640798E-5</v>
      </c>
      <c r="U78" s="9">
        <f t="shared" si="11"/>
        <v>1.470561942759858E-4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2.1415977618226001</v>
      </c>
      <c r="K79" s="55">
        <f t="shared" si="35"/>
        <v>0.48129563960816168</v>
      </c>
      <c r="L79" s="55">
        <f t="shared" si="36"/>
        <v>1.7435303825231042E-2</v>
      </c>
      <c r="M79" s="55">
        <f t="shared" si="19"/>
        <v>0.98256469617476894</v>
      </c>
      <c r="N79" s="55">
        <f t="shared" si="37"/>
        <v>7.1501764266886699E-3</v>
      </c>
      <c r="O79" s="56">
        <f t="shared" si="21"/>
        <v>4.8167092374047669E-7</v>
      </c>
      <c r="P79" s="56">
        <f t="shared" si="38"/>
        <v>6.6734159124862363E-5</v>
      </c>
      <c r="Q79" s="56">
        <f t="shared" si="39"/>
        <v>2.7367519156102716E-3</v>
      </c>
      <c r="R79" s="9">
        <f t="shared" si="12"/>
        <v>1.4999999999999999E-4</v>
      </c>
      <c r="S79" s="9">
        <f t="shared" si="13"/>
        <v>2.6152955737846563E-6</v>
      </c>
      <c r="T79" s="9">
        <f t="shared" si="10"/>
        <v>7.2194345941224242E-5</v>
      </c>
      <c r="U79" s="9">
        <f t="shared" si="11"/>
        <v>1.4738470442621533E-4</v>
      </c>
      <c r="V79" s="100">
        <f t="shared" si="14"/>
        <v>0.48983608049617278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2.2248030285357943</v>
      </c>
      <c r="K80" s="55">
        <f t="shared" si="35"/>
        <v>0.43038891869277668</v>
      </c>
      <c r="L80" s="55">
        <f t="shared" si="36"/>
        <v>1.8883562945855591E-2</v>
      </c>
      <c r="M80" s="55">
        <f t="shared" si="19"/>
        <v>0.98111643705414442</v>
      </c>
      <c r="N80" s="55">
        <f t="shared" si="37"/>
        <v>7.4610836949612199E-3</v>
      </c>
      <c r="O80" s="56">
        <f t="shared" si="21"/>
        <v>4.3072450895916923E-7</v>
      </c>
      <c r="P80" s="56">
        <f t="shared" si="38"/>
        <v>7.2277415243515733E-5</v>
      </c>
      <c r="Q80" s="56">
        <f t="shared" si="39"/>
        <v>2.8557526242985343E-3</v>
      </c>
      <c r="R80" s="9">
        <f t="shared" si="12"/>
        <v>1.4999999999999999E-4</v>
      </c>
      <c r="S80" s="9">
        <f t="shared" si="13"/>
        <v>2.8325344418783383E-6</v>
      </c>
      <c r="T80" s="9">
        <f t="shared" si="10"/>
        <v>6.45583378039165E-5</v>
      </c>
      <c r="U80" s="9">
        <f t="shared" si="11"/>
        <v>1.4716746555812164E-4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1.4796577057346771</v>
      </c>
      <c r="J81" s="54">
        <f t="shared" si="34"/>
        <v>3.7475217398878207</v>
      </c>
      <c r="K81" s="55">
        <f t="shared" si="35"/>
        <v>3.1592238647765794E-2</v>
      </c>
      <c r="L81" s="55">
        <f t="shared" si="36"/>
        <v>4.6187235862178357E-2</v>
      </c>
      <c r="M81" s="55">
        <f t="shared" si="19"/>
        <v>0.95381276413782168</v>
      </c>
      <c r="N81" s="55">
        <f t="shared" si="37"/>
        <v>3.5961535918775892E-2</v>
      </c>
      <c r="O81" s="56">
        <f t="shared" si="21"/>
        <v>3.1616872292646657E-8</v>
      </c>
      <c r="P81" s="56">
        <f t="shared" si="38"/>
        <v>1.7678305915746304E-4</v>
      </c>
      <c r="Q81" s="56">
        <f t="shared" si="39"/>
        <v>1.3764387959245918E-2</v>
      </c>
      <c r="R81" s="9">
        <f t="shared" si="12"/>
        <v>1.4999999999999999E-4</v>
      </c>
      <c r="S81" s="9">
        <f t="shared" si="13"/>
        <v>6.9280853793267525E-6</v>
      </c>
      <c r="T81" s="9">
        <f t="shared" si="10"/>
        <v>4.7388357971648686E-6</v>
      </c>
      <c r="U81" s="9">
        <f t="shared" si="11"/>
        <v>1.4307191462067324E-4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3.4655852041320223</v>
      </c>
      <c r="K82" s="55">
        <f t="shared" si="35"/>
        <v>5.3904831512165935E-2</v>
      </c>
      <c r="L82" s="55">
        <f t="shared" si="36"/>
        <v>4.1174916568832876E-2</v>
      </c>
      <c r="M82" s="55">
        <f t="shared" si="19"/>
        <v>0.95882508343116712</v>
      </c>
      <c r="N82" s="55">
        <f t="shared" si="37"/>
        <v>2.8675336549135233E-2</v>
      </c>
      <c r="O82" s="56">
        <f t="shared" si="21"/>
        <v>5.3946863116562149E-8</v>
      </c>
      <c r="P82" s="56">
        <f t="shared" si="38"/>
        <v>1.5759825362383754E-4</v>
      </c>
      <c r="Q82" s="56">
        <f t="shared" si="39"/>
        <v>1.0975572845824007E-2</v>
      </c>
      <c r="R82" s="9">
        <f t="shared" si="12"/>
        <v>1.4999999999999999E-4</v>
      </c>
      <c r="S82" s="9">
        <f t="shared" si="13"/>
        <v>6.1762374853249309E-6</v>
      </c>
      <c r="T82" s="9">
        <f t="shared" si="10"/>
        <v>8.0857247268248894E-6</v>
      </c>
      <c r="U82" s="9">
        <f t="shared" si="11"/>
        <v>1.4382376251467505E-4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0.14841008082679891</v>
      </c>
      <c r="J83" s="54">
        <f t="shared" si="34"/>
        <v>1.7919988422958726</v>
      </c>
      <c r="K83" s="55">
        <f t="shared" si="35"/>
        <v>0.70209848267259034</v>
      </c>
      <c r="L83" s="55">
        <f t="shared" si="36"/>
        <v>1.1371472555722628E-2</v>
      </c>
      <c r="M83" s="55">
        <f t="shared" si="19"/>
        <v>0.98862852744427743</v>
      </c>
      <c r="N83" s="55">
        <f t="shared" si="37"/>
        <v>6.1574637713328615E-3</v>
      </c>
      <c r="O83" s="56">
        <f t="shared" si="21"/>
        <v>7.026459350037273E-7</v>
      </c>
      <c r="P83" s="56">
        <f t="shared" si="38"/>
        <v>4.3524659313331075E-5</v>
      </c>
      <c r="Q83" s="56">
        <f t="shared" si="39"/>
        <v>2.3567881078565443E-3</v>
      </c>
      <c r="R83" s="9">
        <f t="shared" si="12"/>
        <v>1.4999999999999999E-4</v>
      </c>
      <c r="S83" s="9">
        <f t="shared" si="13"/>
        <v>1.7057208833583941E-6</v>
      </c>
      <c r="T83" s="9">
        <f t="shared" si="10"/>
        <v>1.0531477240088854E-4</v>
      </c>
      <c r="U83" s="9">
        <f t="shared" si="11"/>
        <v>1.482942791166416E-4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3.5094172504294607</v>
      </c>
      <c r="K84" s="55">
        <f t="shared" si="35"/>
        <v>4.3475422815572422E-2</v>
      </c>
      <c r="L84" s="55">
        <f t="shared" si="36"/>
        <v>3.6735072017928409E-2</v>
      </c>
      <c r="M84" s="55">
        <f t="shared" si="19"/>
        <v>0.96326492798207164</v>
      </c>
      <c r="N84" s="55">
        <f t="shared" si="37"/>
        <v>2.1002724962040399E-2</v>
      </c>
      <c r="O84" s="56">
        <f t="shared" si="21"/>
        <v>4.3509322221645705E-8</v>
      </c>
      <c r="P84" s="56">
        <f t="shared" si="38"/>
        <v>1.4060461269164198E-4</v>
      </c>
      <c r="Q84" s="56">
        <f t="shared" si="39"/>
        <v>8.0388572732769687E-3</v>
      </c>
      <c r="R84" s="9">
        <f t="shared" si="12"/>
        <v>1.4999999999999999E-4</v>
      </c>
      <c r="S84" s="9">
        <f t="shared" si="13"/>
        <v>5.5102608026892607E-6</v>
      </c>
      <c r="T84" s="9">
        <f t="shared" si="10"/>
        <v>6.5213134223358625E-6</v>
      </c>
      <c r="U84" s="9">
        <f t="shared" si="11"/>
        <v>1.4448973919731073E-4</v>
      </c>
      <c r="V84" s="100">
        <f t="shared" si="14"/>
        <v>4.5133401572761911E-2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0.12747825886296762</v>
      </c>
      <c r="J85" s="54">
        <f t="shared" si="34"/>
        <v>1.7105800211348248</v>
      </c>
      <c r="K85" s="55">
        <f t="shared" si="35"/>
        <v>0.73785734903434452</v>
      </c>
      <c r="L85" s="55">
        <f t="shared" si="36"/>
        <v>9.9076865679847397E-3</v>
      </c>
      <c r="M85" s="55">
        <f t="shared" si="19"/>
        <v>0.99009231343201531</v>
      </c>
      <c r="N85" s="55">
        <f t="shared" si="37"/>
        <v>5.2098382263907174E-3</v>
      </c>
      <c r="O85" s="56">
        <f t="shared" si="21"/>
        <v>7.3843268388514453E-7</v>
      </c>
      <c r="P85" s="56">
        <f t="shared" si="38"/>
        <v>3.7921973635489172E-5</v>
      </c>
      <c r="Q85" s="56">
        <f t="shared" si="39"/>
        <v>1.9940815296354136E-3</v>
      </c>
      <c r="R85" s="9">
        <f t="shared" si="12"/>
        <v>1.4999999999999999E-4</v>
      </c>
      <c r="S85" s="9">
        <f t="shared" si="13"/>
        <v>1.4861529851977109E-6</v>
      </c>
      <c r="T85" s="9">
        <f t="shared" si="10"/>
        <v>1.1067860235515167E-4</v>
      </c>
      <c r="U85" s="9">
        <f t="shared" si="11"/>
        <v>1.4851384701480228E-4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2.7189105100885862</v>
      </c>
      <c r="K86" s="55">
        <f t="shared" si="35"/>
        <v>0.18850286930042429</v>
      </c>
      <c r="L86" s="55">
        <f t="shared" si="36"/>
        <v>2.5801699095305358E-2</v>
      </c>
      <c r="M86" s="55">
        <f t="shared" si="19"/>
        <v>0.97419830090469461</v>
      </c>
      <c r="N86" s="55">
        <f t="shared" si="37"/>
        <v>8.9982446322313774E-3</v>
      </c>
      <c r="O86" s="56">
        <f t="shared" si="21"/>
        <v>1.8864985200694102E-7</v>
      </c>
      <c r="P86" s="56">
        <f t="shared" si="38"/>
        <v>9.8756793135212754E-5</v>
      </c>
      <c r="Q86" s="56">
        <f t="shared" si="39"/>
        <v>3.4441056786333928E-3</v>
      </c>
      <c r="R86" s="9">
        <f t="shared" si="12"/>
        <v>1.4999999999999999E-4</v>
      </c>
      <c r="S86" s="9">
        <f t="shared" si="13"/>
        <v>3.8702548642958032E-6</v>
      </c>
      <c r="T86" s="9">
        <f t="shared" si="10"/>
        <v>2.827543039506364E-5</v>
      </c>
      <c r="U86" s="9">
        <f t="shared" si="11"/>
        <v>1.4612974513570417E-4</v>
      </c>
      <c r="V86" s="100">
        <f t="shared" si="14"/>
        <v>0.1934953788416281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1.4561462187091176</v>
      </c>
      <c r="K87" s="55">
        <f t="shared" si="35"/>
        <v>0.82625558446535619</v>
      </c>
      <c r="L87" s="55">
        <f t="shared" si="36"/>
        <v>6.1756184682295288E-3</v>
      </c>
      <c r="M87" s="55">
        <f t="shared" si="19"/>
        <v>0.99382438153177044</v>
      </c>
      <c r="N87" s="55">
        <f t="shared" si="37"/>
        <v>2.6818740056136336E-3</v>
      </c>
      <c r="O87" s="56">
        <f t="shared" si="21"/>
        <v>8.2689984671202664E-7</v>
      </c>
      <c r="P87" s="56">
        <f t="shared" si="38"/>
        <v>2.3637368736693473E-5</v>
      </c>
      <c r="Q87" s="56">
        <f t="shared" si="39"/>
        <v>1.0264954854670029E-3</v>
      </c>
      <c r="R87" s="9">
        <f t="shared" si="12"/>
        <v>1.4999999999999999E-4</v>
      </c>
      <c r="S87" s="9">
        <f t="shared" si="13"/>
        <v>9.2634277023442924E-7</v>
      </c>
      <c r="T87" s="9">
        <f t="shared" si="10"/>
        <v>1.2393833766980342E-4</v>
      </c>
      <c r="U87" s="9">
        <f t="shared" si="11"/>
        <v>1.4907365722976557E-4</v>
      </c>
      <c r="V87" s="100">
        <f t="shared" si="14"/>
        <v>0.83138993148050733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0.70936976264120555</v>
      </c>
      <c r="K88" s="55">
        <f t="shared" si="35"/>
        <v>0.95887304921671579</v>
      </c>
      <c r="L88" s="55">
        <f t="shared" si="36"/>
        <v>1.283957668969584E-3</v>
      </c>
      <c r="M88" s="55">
        <f t="shared" si="19"/>
        <v>0.9987160423310304</v>
      </c>
      <c r="N88" s="55">
        <f t="shared" si="37"/>
        <v>4.4584196380606701E-5</v>
      </c>
      <c r="O88" s="56">
        <f t="shared" si="21"/>
        <v>9.5962071823895866E-7</v>
      </c>
      <c r="P88" s="56">
        <f t="shared" si="38"/>
        <v>4.9143872828076842E-6</v>
      </c>
      <c r="Q88" s="56">
        <f t="shared" si="39"/>
        <v>1.7064737646911033E-5</v>
      </c>
      <c r="R88" s="9">
        <f t="shared" si="12"/>
        <v>1.4999999999999999E-4</v>
      </c>
      <c r="S88" s="9">
        <f t="shared" si="13"/>
        <v>1.925936503454376E-7</v>
      </c>
      <c r="T88" s="9">
        <f t="shared" si="10"/>
        <v>1.4383095738250735E-4</v>
      </c>
      <c r="U88" s="9">
        <f t="shared" si="11"/>
        <v>1.4980740634965454E-4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0.30145678662482972</v>
      </c>
      <c r="K89" s="55">
        <f t="shared" si="35"/>
        <v>0.99007580831362807</v>
      </c>
      <c r="L89" s="55">
        <f t="shared" si="36"/>
        <v>5.1825686836508528E-4</v>
      </c>
      <c r="M89" s="55">
        <f t="shared" si="19"/>
        <v>0.99948174313163496</v>
      </c>
      <c r="N89" s="55">
        <f t="shared" si="37"/>
        <v>5.3273553665334191E-5</v>
      </c>
      <c r="O89" s="56">
        <f t="shared" si="21"/>
        <v>9.90847807289043E-7</v>
      </c>
      <c r="P89" s="56">
        <f t="shared" si="38"/>
        <v>1.9836440286735381E-6</v>
      </c>
      <c r="Q89" s="56">
        <f t="shared" si="39"/>
        <v>2.0390615747713799E-5</v>
      </c>
      <c r="R89" s="9">
        <f t="shared" si="12"/>
        <v>1.4999999999999999E-4</v>
      </c>
      <c r="S89" s="9">
        <f t="shared" si="13"/>
        <v>7.7738530254762782E-8</v>
      </c>
      <c r="T89" s="9">
        <f t="shared" si="10"/>
        <v>1.4851137124704419E-4</v>
      </c>
      <c r="U89" s="9">
        <f t="shared" si="11"/>
        <v>1.4992226146974522E-4</v>
      </c>
      <c r="V89" s="100">
        <f t="shared" si="14"/>
        <v>0.99058918796401862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1.1610937813436995E-2</v>
      </c>
      <c r="K90" s="55">
        <f t="shared" si="35"/>
        <v>0.99891672151867428</v>
      </c>
      <c r="L90" s="55">
        <f t="shared" si="36"/>
        <v>2.6826255199367794E-4</v>
      </c>
      <c r="M90" s="55">
        <f t="shared" si="19"/>
        <v>0.99973173744800636</v>
      </c>
      <c r="N90" s="55">
        <f t="shared" si="37"/>
        <v>1.7665473464360642E-6</v>
      </c>
      <c r="O90" s="56">
        <f t="shared" si="21"/>
        <v>9.9969561408332613E-7</v>
      </c>
      <c r="P90" s="56">
        <f t="shared" si="38"/>
        <v>1.0267831298747408E-6</v>
      </c>
      <c r="Q90" s="56">
        <f t="shared" si="39"/>
        <v>6.761514046464028E-7</v>
      </c>
      <c r="R90" s="9">
        <f t="shared" si="12"/>
        <v>1.4999999999999999E-4</v>
      </c>
      <c r="S90" s="9">
        <f t="shared" si="13"/>
        <v>4.023938279905169E-8</v>
      </c>
      <c r="T90" s="9">
        <f t="shared" si="10"/>
        <v>1.4983750822780112E-4</v>
      </c>
      <c r="U90" s="9">
        <f t="shared" si="11"/>
        <v>1.4995976061720094E-4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-4.1568887929674669E-3</v>
      </c>
      <c r="K91" s="55">
        <f t="shared" si="35"/>
        <v>0.99927616302500322</v>
      </c>
      <c r="L91" s="55">
        <f t="shared" si="36"/>
        <v>2.5879058348086042E-4</v>
      </c>
      <c r="M91" s="55">
        <f t="shared" si="19"/>
        <v>0.99974120941651912</v>
      </c>
      <c r="N91" s="55">
        <f t="shared" si="37"/>
        <v>8.0262547319291919E-7</v>
      </c>
      <c r="O91" s="56">
        <f t="shared" si="21"/>
        <v>1.0000553358595822E-6</v>
      </c>
      <c r="P91" s="56">
        <f t="shared" si="38"/>
        <v>9.9052888043371182E-7</v>
      </c>
      <c r="Q91" s="56">
        <f t="shared" si="39"/>
        <v>3.0720735688134445E-7</v>
      </c>
      <c r="R91" s="9">
        <f t="shared" si="12"/>
        <v>1.4999999999999999E-4</v>
      </c>
      <c r="S91" s="9">
        <f t="shared" si="13"/>
        <v>3.8818587522129058E-8</v>
      </c>
      <c r="T91" s="9">
        <f t="shared" si="10"/>
        <v>1.4989142445375047E-4</v>
      </c>
      <c r="U91" s="9">
        <f t="shared" si="11"/>
        <v>1.4996118141247786E-4</v>
      </c>
      <c r="V91" s="100">
        <f t="shared" si="14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0.36182051032433649</v>
      </c>
      <c r="K92" s="55">
        <f t="shared" si="35"/>
        <v>0.98751377152551245</v>
      </c>
      <c r="L92" s="55">
        <f t="shared" si="36"/>
        <v>5.9399597476363032E-4</v>
      </c>
      <c r="M92" s="55">
        <f t="shared" si="19"/>
        <v>0.99940600402523638</v>
      </c>
      <c r="N92" s="55">
        <f t="shared" si="37"/>
        <v>7.3577553689980696E-5</v>
      </c>
      <c r="O92" s="56">
        <f t="shared" si="21"/>
        <v>9.8828377278544045E-7</v>
      </c>
      <c r="P92" s="56">
        <f t="shared" si="38"/>
        <v>2.2735377769580431E-6</v>
      </c>
      <c r="Q92" s="56">
        <f t="shared" si="39"/>
        <v>2.8162033912249367E-5</v>
      </c>
      <c r="R92" s="9">
        <f t="shared" si="12"/>
        <v>1.4999999999999999E-4</v>
      </c>
      <c r="S92" s="9">
        <f t="shared" si="13"/>
        <v>8.9099396214544542E-8</v>
      </c>
      <c r="T92" s="9">
        <f t="shared" ref="T92:T143" si="40">R92*K92</f>
        <v>1.4812706572882685E-4</v>
      </c>
      <c r="U92" s="9">
        <f t="shared" ref="U92:U143" si="41">$R92*M92</f>
        <v>1.4991090060378546E-4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-3.5273748198146339E-3</v>
      </c>
      <c r="K93" s="55">
        <f t="shared" si="35"/>
        <v>0.99926195801905815</v>
      </c>
      <c r="L93" s="55">
        <f t="shared" si="36"/>
        <v>2.5916229076770533E-4</v>
      </c>
      <c r="M93" s="55">
        <f t="shared" ref="M93:M127" si="42">IF(D93=0,"",1-L93)</f>
        <v>0.99974083770923228</v>
      </c>
      <c r="N93" s="55">
        <f t="shared" si="37"/>
        <v>8.3643728884703337E-7</v>
      </c>
      <c r="O93" s="56">
        <f t="shared" ref="O93:O127" si="43">IF(D93=0,"",F93*K93*$J$7/$J$14)</f>
        <v>1.000041119777465E-6</v>
      </c>
      <c r="P93" s="56">
        <f t="shared" si="38"/>
        <v>9.9195160145290542E-7</v>
      </c>
      <c r="Q93" s="56">
        <f t="shared" si="39"/>
        <v>3.201489328285148E-7</v>
      </c>
      <c r="R93" s="9">
        <f t="shared" ref="R93:R143" si="44">F93*$C$14</f>
        <v>1.4999999999999999E-4</v>
      </c>
      <c r="S93" s="9">
        <f t="shared" ref="S93:S143" si="45">$R93*L93</f>
        <v>3.8874343615155793E-8</v>
      </c>
      <c r="T93" s="9">
        <f t="shared" si="40"/>
        <v>1.4988929370285872E-4</v>
      </c>
      <c r="U93" s="9">
        <f t="shared" si="41"/>
        <v>1.4996112565638482E-4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-1.9299967589831716E-2</v>
      </c>
      <c r="K94" s="55">
        <f t="shared" si="35"/>
        <v>0.99961519525579701</v>
      </c>
      <c r="L94" s="55">
        <f t="shared" si="36"/>
        <v>2.5000731299701731E-4</v>
      </c>
      <c r="M94" s="55">
        <f t="shared" si="42"/>
        <v>0.99974999268700293</v>
      </c>
      <c r="N94" s="55">
        <f t="shared" si="37"/>
        <v>1.3986231496239715E-7</v>
      </c>
      <c r="O94" s="56">
        <f t="shared" si="43"/>
        <v>1.000394632446431E-6</v>
      </c>
      <c r="P94" s="56">
        <f t="shared" si="38"/>
        <v>9.5691064378117557E-7</v>
      </c>
      <c r="Q94" s="56">
        <f t="shared" si="39"/>
        <v>5.3532729201801275E-8</v>
      </c>
      <c r="R94" s="9">
        <f t="shared" si="44"/>
        <v>1.4999999999999999E-4</v>
      </c>
      <c r="S94" s="9">
        <f t="shared" si="45"/>
        <v>3.7501096949552591E-8</v>
      </c>
      <c r="T94" s="9">
        <f t="shared" si="40"/>
        <v>1.4994227928836953E-4</v>
      </c>
      <c r="U94" s="9">
        <f t="shared" si="41"/>
        <v>1.4996249890305042E-4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0.94867954725222914</v>
      </c>
      <c r="J95" s="54">
        <f t="shared" si="34"/>
        <v>3.167558402824401</v>
      </c>
      <c r="K95" s="55">
        <f t="shared" si="35"/>
        <v>0.10782101269197998</v>
      </c>
      <c r="L95" s="55">
        <f t="shared" si="36"/>
        <v>4.1464997178960301E-2</v>
      </c>
      <c r="M95" s="55">
        <f t="shared" si="42"/>
        <v>0.95853500282103965</v>
      </c>
      <c r="N95" s="55">
        <f t="shared" si="37"/>
        <v>3.1325154371075248E-2</v>
      </c>
      <c r="O95" s="56">
        <f t="shared" si="43"/>
        <v>1.0790508475053091E-7</v>
      </c>
      <c r="P95" s="56">
        <f t="shared" si="38"/>
        <v>1.5870854603911892E-4</v>
      </c>
      <c r="Q95" s="56">
        <f t="shared" si="39"/>
        <v>1.1989798728858757E-2</v>
      </c>
      <c r="R95" s="9">
        <f t="shared" si="44"/>
        <v>1.4999999999999999E-4</v>
      </c>
      <c r="S95" s="9">
        <f t="shared" si="45"/>
        <v>6.2197495768440448E-6</v>
      </c>
      <c r="T95" s="9">
        <f t="shared" si="40"/>
        <v>1.6173151903796995E-5</v>
      </c>
      <c r="U95" s="9">
        <f t="shared" si="41"/>
        <v>1.4378025042315594E-4</v>
      </c>
      <c r="V95" s="100">
        <f t="shared" si="46"/>
        <v>0.11248521167683469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-2.5488275090784298E-2</v>
      </c>
      <c r="K96" s="55">
        <f t="shared" si="35"/>
        <v>0.99975349499372057</v>
      </c>
      <c r="L96" s="55">
        <f t="shared" si="36"/>
        <v>2.4650429277179881E-4</v>
      </c>
      <c r="M96" s="55">
        <f t="shared" si="42"/>
        <v>0.99975349570722816</v>
      </c>
      <c r="N96" s="55">
        <f t="shared" si="37"/>
        <v>4.4597730809770568E-15</v>
      </c>
      <c r="O96" s="56">
        <f t="shared" si="43"/>
        <v>1.00053304002181E-6</v>
      </c>
      <c r="P96" s="56">
        <f t="shared" si="38"/>
        <v>9.4350272663383855E-7</v>
      </c>
      <c r="Q96" s="56">
        <f t="shared" si="39"/>
        <v>1.7069917991105426E-15</v>
      </c>
      <c r="R96" s="9">
        <f t="shared" si="44"/>
        <v>1.4999999999999999E-4</v>
      </c>
      <c r="S96" s="9">
        <f t="shared" si="45"/>
        <v>3.6975643915769818E-8</v>
      </c>
      <c r="T96" s="9">
        <f t="shared" si="40"/>
        <v>1.4996302424905808E-4</v>
      </c>
      <c r="U96" s="9">
        <f t="shared" si="41"/>
        <v>1.4996302435608421E-4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3.2573026966933165</v>
      </c>
      <c r="K98" s="55">
        <f t="shared" si="35"/>
        <v>5.3188829903540485E-2</v>
      </c>
      <c r="L98" s="55">
        <f t="shared" si="36"/>
        <v>2.5150288075756248E-2</v>
      </c>
      <c r="M98" s="55">
        <f t="shared" si="42"/>
        <v>0.97484971192424374</v>
      </c>
      <c r="N98" s="55">
        <f t="shared" si="37"/>
        <v>2.4730919693814199E-3</v>
      </c>
      <c r="O98" s="56">
        <f t="shared" si="43"/>
        <v>5.3230303214820547E-8</v>
      </c>
      <c r="P98" s="56">
        <f t="shared" si="38"/>
        <v>9.6263497516734905E-5</v>
      </c>
      <c r="Q98" s="56">
        <f t="shared" si="39"/>
        <v>9.4658352197044069E-4</v>
      </c>
      <c r="R98" s="9">
        <f t="shared" si="44"/>
        <v>1.4999999999999999E-4</v>
      </c>
      <c r="S98" s="9">
        <f t="shared" si="45"/>
        <v>3.7725432113634369E-6</v>
      </c>
      <c r="T98" s="9">
        <f t="shared" si="40"/>
        <v>7.9783244855310728E-6</v>
      </c>
      <c r="U98" s="9">
        <f t="shared" si="41"/>
        <v>1.4622745678863656E-4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1.5416815154210541</v>
      </c>
      <c r="K99" s="55">
        <f t="shared" si="35"/>
        <v>0.74530492576997665</v>
      </c>
      <c r="L99" s="55">
        <f t="shared" si="36"/>
        <v>6.7832111749778559E-3</v>
      </c>
      <c r="M99" s="55">
        <f t="shared" si="42"/>
        <v>0.99321678882502218</v>
      </c>
      <c r="N99" s="55">
        <f t="shared" si="37"/>
        <v>4.071494217373442E-4</v>
      </c>
      <c r="O99" s="56">
        <f t="shared" si="43"/>
        <v>7.4588606777368454E-7</v>
      </c>
      <c r="P99" s="56">
        <f t="shared" si="38"/>
        <v>2.5962948421549426E-5</v>
      </c>
      <c r="Q99" s="56">
        <f t="shared" si="39"/>
        <v>1.5583768754574932E-4</v>
      </c>
      <c r="R99" s="9">
        <f t="shared" si="44"/>
        <v>1.4999999999999999E-4</v>
      </c>
      <c r="S99" s="9">
        <f t="shared" si="45"/>
        <v>1.0174816762466782E-6</v>
      </c>
      <c r="T99" s="9">
        <f t="shared" si="40"/>
        <v>1.1179573886549649E-4</v>
      </c>
      <c r="U99" s="9">
        <f t="shared" si="41"/>
        <v>1.4898251832375331E-4</v>
      </c>
      <c r="V99" s="100">
        <f t="shared" si="46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2.8915128781421329</v>
      </c>
      <c r="K101" s="55">
        <f t="shared" si="35"/>
        <v>0.11184434108792549</v>
      </c>
      <c r="L101" s="55">
        <f t="shared" si="36"/>
        <v>2.2779633067585309E-2</v>
      </c>
      <c r="M101" s="55">
        <f t="shared" si="42"/>
        <v>0.97722036693241465</v>
      </c>
      <c r="N101" s="55">
        <f t="shared" si="37"/>
        <v>9.6835332046020354E-4</v>
      </c>
      <c r="O101" s="56">
        <f t="shared" si="43"/>
        <v>1.1193155028544431E-7</v>
      </c>
      <c r="P101" s="56">
        <f t="shared" si="38"/>
        <v>8.7189742901888899E-5</v>
      </c>
      <c r="Q101" s="56">
        <f t="shared" si="39"/>
        <v>3.7064019775304228E-4</v>
      </c>
      <c r="R101" s="9">
        <f t="shared" si="44"/>
        <v>1.4999999999999999E-4</v>
      </c>
      <c r="S101" s="9">
        <f t="shared" si="45"/>
        <v>3.4169449601377961E-6</v>
      </c>
      <c r="T101" s="9">
        <f t="shared" si="40"/>
        <v>1.6776651163188823E-5</v>
      </c>
      <c r="U101" s="9">
        <f t="shared" si="41"/>
        <v>1.465830550398622E-4</v>
      </c>
      <c r="V101" s="100">
        <f t="shared" si="46"/>
        <v>0.11445150436130926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2.1152501491474514</v>
      </c>
      <c r="K102" s="55">
        <f t="shared" si="35"/>
        <v>0.424302635886113</v>
      </c>
      <c r="L102" s="55">
        <f t="shared" si="36"/>
        <v>1.4465908363758958E-2</v>
      </c>
      <c r="M102" s="55">
        <f t="shared" si="42"/>
        <v>0.98553409163624106</v>
      </c>
      <c r="N102" s="55">
        <f t="shared" si="37"/>
        <v>1.2729024485329654E-9</v>
      </c>
      <c r="O102" s="56">
        <f t="shared" si="43"/>
        <v>4.2463348045116483E-7</v>
      </c>
      <c r="P102" s="56">
        <f t="shared" si="38"/>
        <v>5.5368707096216922E-5</v>
      </c>
      <c r="Q102" s="56">
        <f t="shared" si="39"/>
        <v>4.87207308816141E-10</v>
      </c>
      <c r="R102" s="9">
        <f t="shared" si="44"/>
        <v>1.4999999999999999E-4</v>
      </c>
      <c r="S102" s="9">
        <f t="shared" si="45"/>
        <v>2.1698862545638437E-6</v>
      </c>
      <c r="T102" s="9">
        <f t="shared" si="40"/>
        <v>6.364539538291695E-5</v>
      </c>
      <c r="U102" s="9">
        <f t="shared" si="41"/>
        <v>1.4783011374543614E-4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3.1623797905268387</v>
      </c>
      <c r="K103" s="55">
        <f t="shared" si="35"/>
        <v>6.1648022335840998E-2</v>
      </c>
      <c r="L103" s="55">
        <f t="shared" si="36"/>
        <v>2.3427112890924931E-2</v>
      </c>
      <c r="M103" s="55">
        <f t="shared" si="42"/>
        <v>0.97657288710907508</v>
      </c>
      <c r="N103" s="55">
        <f t="shared" si="37"/>
        <v>3.084171652864111E-9</v>
      </c>
      <c r="O103" s="56">
        <f t="shared" si="43"/>
        <v>6.1696091594457355E-8</v>
      </c>
      <c r="P103" s="56">
        <f t="shared" si="38"/>
        <v>8.9667991746532276E-5</v>
      </c>
      <c r="Q103" s="56">
        <f t="shared" si="39"/>
        <v>1.1804761414755331E-9</v>
      </c>
      <c r="R103" s="9">
        <f t="shared" si="44"/>
        <v>1.4999999999999999E-4</v>
      </c>
      <c r="S103" s="9">
        <f t="shared" si="45"/>
        <v>3.5140669336387392E-6</v>
      </c>
      <c r="T103" s="9">
        <f t="shared" si="40"/>
        <v>9.2472033503761494E-6</v>
      </c>
      <c r="U103" s="9">
        <f t="shared" si="41"/>
        <v>1.4648593306636125E-4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3.8632924747948705</v>
      </c>
      <c r="K104" s="55">
        <f t="shared" si="35"/>
        <v>1.3287117256853885E-2</v>
      </c>
      <c r="L104" s="55">
        <f t="shared" si="36"/>
        <v>2.5359639363000154E-2</v>
      </c>
      <c r="M104" s="55">
        <f t="shared" si="42"/>
        <v>0.97464036063699988</v>
      </c>
      <c r="N104" s="55">
        <f t="shared" si="37"/>
        <v>1.2046214673735131E-3</v>
      </c>
      <c r="O104" s="56">
        <f t="shared" si="43"/>
        <v>1.329747771695439E-8</v>
      </c>
      <c r="P104" s="56">
        <f t="shared" si="38"/>
        <v>9.7064795977373821E-5</v>
      </c>
      <c r="Q104" s="56">
        <f t="shared" si="39"/>
        <v>4.6107255425394898E-4</v>
      </c>
      <c r="R104" s="9">
        <f t="shared" si="44"/>
        <v>1.4999999999999999E-4</v>
      </c>
      <c r="S104" s="9">
        <f t="shared" si="45"/>
        <v>3.8039459044500229E-6</v>
      </c>
      <c r="T104" s="9">
        <f t="shared" si="40"/>
        <v>1.9930675885280825E-6</v>
      </c>
      <c r="U104" s="9">
        <f t="shared" si="41"/>
        <v>1.4619605409554997E-4</v>
      </c>
      <c r="V104" s="100">
        <f t="shared" si="46"/>
        <v>1.3632841193001453E-2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3.5417985599526003</v>
      </c>
      <c r="K105" s="55">
        <f t="shared" si="35"/>
        <v>3.0772004135767399E-2</v>
      </c>
      <c r="L105" s="55">
        <f t="shared" si="36"/>
        <v>2.8013938628149552E-2</v>
      </c>
      <c r="M105" s="55">
        <f t="shared" si="42"/>
        <v>0.9719860613718504</v>
      </c>
      <c r="N105" s="55">
        <f t="shared" si="37"/>
        <v>6.2456208032054174E-3</v>
      </c>
      <c r="O105" s="56">
        <f t="shared" si="43"/>
        <v>3.0795998213256009E-8</v>
      </c>
      <c r="P105" s="56">
        <f t="shared" si="38"/>
        <v>1.0722420766879224E-4</v>
      </c>
      <c r="Q105" s="56">
        <f t="shared" si="39"/>
        <v>2.3905304816742301E-3</v>
      </c>
      <c r="R105" s="9">
        <f t="shared" si="44"/>
        <v>1.4999999999999999E-4</v>
      </c>
      <c r="S105" s="9">
        <f t="shared" si="45"/>
        <v>4.2020907942224328E-6</v>
      </c>
      <c r="T105" s="9">
        <f t="shared" si="40"/>
        <v>4.6158006203651094E-6</v>
      </c>
      <c r="U105" s="9">
        <f t="shared" si="41"/>
        <v>1.4579790920577753E-4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2.6118360433536578</v>
      </c>
      <c r="K106" s="55">
        <f t="shared" si="35"/>
        <v>0.19137100448988642</v>
      </c>
      <c r="L106" s="55">
        <f t="shared" si="36"/>
        <v>2.0470667801109232E-2</v>
      </c>
      <c r="M106" s="55">
        <f t="shared" si="42"/>
        <v>0.97952933219889071</v>
      </c>
      <c r="N106" s="55">
        <f t="shared" si="37"/>
        <v>4.0672041053582941E-4</v>
      </c>
      <c r="O106" s="56">
        <f t="shared" si="43"/>
        <v>1.9152022358821179E-7</v>
      </c>
      <c r="P106" s="56">
        <f t="shared" si="38"/>
        <v>7.8352107661841544E-5</v>
      </c>
      <c r="Q106" s="56">
        <f t="shared" si="39"/>
        <v>1.5567348219506992E-4</v>
      </c>
      <c r="R106" s="9">
        <f t="shared" si="44"/>
        <v>1.4999999999999999E-4</v>
      </c>
      <c r="S106" s="9">
        <f t="shared" si="45"/>
        <v>3.0706001701663847E-6</v>
      </c>
      <c r="T106" s="9">
        <f t="shared" si="40"/>
        <v>2.8705650673482959E-5</v>
      </c>
      <c r="U106" s="9">
        <f t="shared" si="41"/>
        <v>1.4692939982983359E-4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3.3118654061647601</v>
      </c>
      <c r="K108" s="55">
        <f t="shared" si="35"/>
        <v>4.6267576287006555E-2</v>
      </c>
      <c r="L108" s="55">
        <f t="shared" si="36"/>
        <v>2.4806299716936989E-2</v>
      </c>
      <c r="M108" s="55">
        <f t="shared" si="42"/>
        <v>0.97519370028306296</v>
      </c>
      <c r="N108" s="55">
        <f t="shared" si="37"/>
        <v>1.6319114159021484E-3</v>
      </c>
      <c r="O108" s="56">
        <f t="shared" si="43"/>
        <v>4.6303652839113544E-8</v>
      </c>
      <c r="P108" s="56">
        <f t="shared" si="38"/>
        <v>9.4946871543098306E-5</v>
      </c>
      <c r="Q108" s="56">
        <f t="shared" si="39"/>
        <v>6.2461909008373895E-4</v>
      </c>
      <c r="R108" s="9">
        <f t="shared" si="44"/>
        <v>1.4999999999999999E-4</v>
      </c>
      <c r="S108" s="9">
        <f t="shared" si="45"/>
        <v>3.7209449575405482E-6</v>
      </c>
      <c r="T108" s="9">
        <f t="shared" si="40"/>
        <v>6.9401364430509829E-6</v>
      </c>
      <c r="U108" s="9">
        <f t="shared" si="41"/>
        <v>1.4627905504245944E-4</v>
      </c>
      <c r="V108" s="100">
        <f t="shared" si="46"/>
        <v>4.7444498742738775E-2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3.5677567932915144</v>
      </c>
      <c r="K109" s="55">
        <f t="shared" si="35"/>
        <v>2.8180250471248603E-2</v>
      </c>
      <c r="L109" s="55">
        <f t="shared" si="36"/>
        <v>2.7234629591429367E-2</v>
      </c>
      <c r="M109" s="55">
        <f t="shared" si="42"/>
        <v>0.97276537040857058</v>
      </c>
      <c r="N109" s="55">
        <f t="shared" si="37"/>
        <v>4.8681581626150629E-3</v>
      </c>
      <c r="O109" s="56">
        <f t="shared" si="43"/>
        <v>2.820222366189528E-8</v>
      </c>
      <c r="P109" s="56">
        <f t="shared" si="38"/>
        <v>1.042413784743467E-4</v>
      </c>
      <c r="Q109" s="56">
        <f t="shared" si="39"/>
        <v>1.863302439265903E-3</v>
      </c>
      <c r="R109" s="9">
        <f t="shared" si="44"/>
        <v>1.4999999999999999E-4</v>
      </c>
      <c r="S109" s="9">
        <f t="shared" si="45"/>
        <v>4.0851944387144043E-6</v>
      </c>
      <c r="T109" s="9">
        <f t="shared" si="40"/>
        <v>4.2270375706872902E-6</v>
      </c>
      <c r="U109" s="9">
        <f t="shared" si="41"/>
        <v>1.4591480556128556E-4</v>
      </c>
      <c r="V109" s="100">
        <f t="shared" si="46"/>
        <v>2.8969216348041494E-2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1.86916463208601</v>
      </c>
      <c r="K110" s="55">
        <f t="shared" si="35"/>
        <v>0.56685550943776075</v>
      </c>
      <c r="L110" s="55">
        <f t="shared" si="36"/>
        <v>1.0966216985802635E-2</v>
      </c>
      <c r="M110" s="55">
        <f t="shared" si="42"/>
        <v>0.98903378301419731</v>
      </c>
      <c r="N110" s="55">
        <f t="shared" si="37"/>
        <v>3.7229928557059177E-5</v>
      </c>
      <c r="O110" s="56">
        <f t="shared" si="43"/>
        <v>5.6729750778659388E-7</v>
      </c>
      <c r="P110" s="56">
        <f t="shared" si="38"/>
        <v>4.1973531213679557E-5</v>
      </c>
      <c r="Q110" s="56">
        <f t="shared" si="39"/>
        <v>1.4249869124383452E-5</v>
      </c>
      <c r="R110" s="9">
        <f t="shared" si="44"/>
        <v>1.4999999999999999E-4</v>
      </c>
      <c r="S110" s="9">
        <f t="shared" si="45"/>
        <v>1.6449325478703951E-6</v>
      </c>
      <c r="T110" s="9">
        <f t="shared" si="40"/>
        <v>8.502832641566411E-5</v>
      </c>
      <c r="U110" s="9">
        <f t="shared" si="41"/>
        <v>1.4835506745212957E-4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1.84259502512759</v>
      </c>
      <c r="K111" s="55">
        <f t="shared" si="35"/>
        <v>0.67253865693590043</v>
      </c>
      <c r="L111" s="55">
        <f t="shared" si="36"/>
        <v>1.2238610353972975E-2</v>
      </c>
      <c r="M111" s="55">
        <f t="shared" si="42"/>
        <v>0.987761389646027</v>
      </c>
      <c r="N111" s="55">
        <f t="shared" si="37"/>
        <v>6.3807612599061404E-3</v>
      </c>
      <c r="O111" s="56">
        <f t="shared" si="43"/>
        <v>6.7306306037018463E-7</v>
      </c>
      <c r="P111" s="56">
        <f t="shared" si="38"/>
        <v>4.6843655781168929E-5</v>
      </c>
      <c r="Q111" s="56">
        <f t="shared" si="39"/>
        <v>2.4422559051717075E-3</v>
      </c>
      <c r="R111" s="9">
        <f t="shared" si="44"/>
        <v>1.4999999999999999E-4</v>
      </c>
      <c r="S111" s="9">
        <f t="shared" si="45"/>
        <v>1.835791553095946E-6</v>
      </c>
      <c r="T111" s="9">
        <f t="shared" si="40"/>
        <v>1.0088079854038506E-4</v>
      </c>
      <c r="U111" s="9">
        <f t="shared" si="41"/>
        <v>1.4816420844690402E-4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2.5219720041185627</v>
      </c>
      <c r="J112" s="54">
        <f t="shared" si="34"/>
        <v>4.8225181897123042</v>
      </c>
      <c r="K112" s="55">
        <f t="shared" si="35"/>
        <v>2.8556250188233488E-3</v>
      </c>
      <c r="L112" s="55">
        <f t="shared" si="36"/>
        <v>4.9617993601977099E-2</v>
      </c>
      <c r="M112" s="55">
        <f t="shared" si="42"/>
        <v>0.95038200639802295</v>
      </c>
      <c r="N112" s="55">
        <f t="shared" si="37"/>
        <v>4.0405269614710131E-2</v>
      </c>
      <c r="O112" s="56">
        <f t="shared" si="43"/>
        <v>2.8578516559860684E-9</v>
      </c>
      <c r="P112" s="56">
        <f t="shared" si="38"/>
        <v>1.8991438942973877E-4</v>
      </c>
      <c r="Q112" s="56">
        <f t="shared" si="39"/>
        <v>1.5465240634631162E-2</v>
      </c>
      <c r="R112" s="9">
        <f t="shared" si="44"/>
        <v>1.4999999999999999E-4</v>
      </c>
      <c r="S112" s="9">
        <f t="shared" si="45"/>
        <v>7.4426990402965638E-6</v>
      </c>
      <c r="T112" s="9">
        <f t="shared" si="40"/>
        <v>4.2834375282350231E-7</v>
      </c>
      <c r="U112" s="9">
        <f t="shared" si="41"/>
        <v>1.4255730095970342E-4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5.1896332804405967</v>
      </c>
      <c r="K113" s="55">
        <f t="shared" si="35"/>
        <v>1.2864128788978785E-3</v>
      </c>
      <c r="L113" s="55">
        <f t="shared" si="36"/>
        <v>5.2051528912464055E-2</v>
      </c>
      <c r="M113" s="55">
        <f t="shared" si="42"/>
        <v>0.94794847108753599</v>
      </c>
      <c r="N113" s="55">
        <f t="shared" si="37"/>
        <v>4.4316679238500814E-2</v>
      </c>
      <c r="O113" s="56">
        <f t="shared" si="43"/>
        <v>1.2874159429219973E-9</v>
      </c>
      <c r="P113" s="56">
        <f t="shared" si="38"/>
        <v>1.9922882032660674E-4</v>
      </c>
      <c r="Q113" s="56">
        <f t="shared" si="39"/>
        <v>1.6962344641839978E-2</v>
      </c>
      <c r="R113" s="9">
        <f t="shared" si="44"/>
        <v>1.4999999999999999E-4</v>
      </c>
      <c r="S113" s="9">
        <f t="shared" si="45"/>
        <v>7.8077293368696084E-6</v>
      </c>
      <c r="T113" s="9">
        <f t="shared" si="40"/>
        <v>1.9296193183468177E-7</v>
      </c>
      <c r="U113" s="9">
        <f t="shared" si="41"/>
        <v>1.4219227066313039E-4</v>
      </c>
      <c r="V113" s="100">
        <f t="shared" si="46"/>
        <v>1.3570493736036501E-3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5.609396901026626</v>
      </c>
      <c r="K114" s="55">
        <f t="shared" si="35"/>
        <v>5.1015393417763787E-4</v>
      </c>
      <c r="L114" s="55">
        <f t="shared" si="36"/>
        <v>5.426477067303271E-2</v>
      </c>
      <c r="M114" s="55">
        <f t="shared" si="42"/>
        <v>0.9457352293269673</v>
      </c>
      <c r="N114" s="55">
        <f t="shared" si="37"/>
        <v>4.7900282082573568E-2</v>
      </c>
      <c r="O114" s="56">
        <f t="shared" si="43"/>
        <v>5.1055172019683142E-10</v>
      </c>
      <c r="P114" s="56">
        <f t="shared" si="38"/>
        <v>2.0770007091748213E-4</v>
      </c>
      <c r="Q114" s="56">
        <f t="shared" si="39"/>
        <v>1.8333979600621612E-2</v>
      </c>
      <c r="R114" s="9">
        <f t="shared" si="44"/>
        <v>1.4999999999999999E-4</v>
      </c>
      <c r="S114" s="9">
        <f t="shared" si="45"/>
        <v>8.139715600954906E-6</v>
      </c>
      <c r="T114" s="9">
        <f t="shared" si="40"/>
        <v>7.6523090126645678E-8</v>
      </c>
      <c r="U114" s="9">
        <f t="shared" si="41"/>
        <v>1.4186028439904509E-4</v>
      </c>
      <c r="V114" s="100">
        <f t="shared" si="46"/>
        <v>5.3942574872746258E-4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</v>
      </c>
      <c r="J115" s="54">
        <f t="shared" si="34"/>
        <v>4.2006252163899038</v>
      </c>
      <c r="K115" s="55">
        <f t="shared" si="35"/>
        <v>1.2659351813007133E-2</v>
      </c>
      <c r="L115" s="55">
        <f t="shared" si="36"/>
        <v>5.2535941125710431E-2</v>
      </c>
      <c r="M115" s="55">
        <f t="shared" si="42"/>
        <v>0.94746405887428953</v>
      </c>
      <c r="N115" s="55">
        <f t="shared" si="37"/>
        <v>4.556688412498229E-2</v>
      </c>
      <c r="O115" s="56">
        <f t="shared" si="43"/>
        <v>1.2669222781014829E-8</v>
      </c>
      <c r="P115" s="56">
        <f t="shared" si="38"/>
        <v>2.0108292290175228E-4</v>
      </c>
      <c r="Q115" s="56">
        <f t="shared" si="39"/>
        <v>1.744086438929858E-2</v>
      </c>
      <c r="R115" s="9">
        <f t="shared" si="44"/>
        <v>1.4999999999999999E-4</v>
      </c>
      <c r="S115" s="9">
        <f t="shared" si="45"/>
        <v>7.8803911688565639E-6</v>
      </c>
      <c r="T115" s="9">
        <f t="shared" si="40"/>
        <v>1.8989027719510697E-6</v>
      </c>
      <c r="U115" s="9">
        <f t="shared" si="41"/>
        <v>1.4211960883114342E-4</v>
      </c>
      <c r="V115" s="100">
        <f t="shared" si="46"/>
        <v>1.3361300298871589E-2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-8.4680322282971732E-3</v>
      </c>
      <c r="K116" s="55">
        <f t="shared" si="35"/>
        <v>0.99937316278086419</v>
      </c>
      <c r="L116" s="55">
        <f t="shared" si="36"/>
        <v>2.5625920899569429E-4</v>
      </c>
      <c r="M116" s="55">
        <f t="shared" si="42"/>
        <v>0.99974374079100425</v>
      </c>
      <c r="N116" s="55">
        <f t="shared" si="37"/>
        <v>5.8293020470698795E-7</v>
      </c>
      <c r="O116" s="56">
        <f t="shared" si="43"/>
        <v>1.0001524112497648E-6</v>
      </c>
      <c r="P116" s="56">
        <f t="shared" si="38"/>
        <v>9.8083996710068281E-7</v>
      </c>
      <c r="Q116" s="56">
        <f t="shared" si="39"/>
        <v>2.2311832033181811E-7</v>
      </c>
      <c r="R116" s="9">
        <f t="shared" si="44"/>
        <v>1.4999999999999999E-4</v>
      </c>
      <c r="S116" s="9">
        <f t="shared" si="45"/>
        <v>3.8438881349354143E-8</v>
      </c>
      <c r="T116" s="9">
        <f t="shared" si="40"/>
        <v>1.4990597441712962E-4</v>
      </c>
      <c r="U116" s="9">
        <f t="shared" si="41"/>
        <v>1.4996156111865062E-4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0.72322796015768975</v>
      </c>
      <c r="K117" s="55">
        <f t="shared" si="35"/>
        <v>0.96332642255262546</v>
      </c>
      <c r="L117" s="55">
        <f t="shared" si="36"/>
        <v>1.3317455780630721E-3</v>
      </c>
      <c r="M117" s="55">
        <f t="shared" si="42"/>
        <v>0.99866825442193696</v>
      </c>
      <c r="N117" s="55">
        <f t="shared" si="37"/>
        <v>3.0237250877714902E-4</v>
      </c>
      <c r="O117" s="56">
        <f t="shared" si="43"/>
        <v>9.6407756403588957E-7</v>
      </c>
      <c r="P117" s="56">
        <f t="shared" si="38"/>
        <v>5.0972969677581851E-6</v>
      </c>
      <c r="Q117" s="56">
        <f t="shared" si="39"/>
        <v>1.1573400336458269E-4</v>
      </c>
      <c r="R117" s="9">
        <f t="shared" si="44"/>
        <v>1.4999999999999999E-4</v>
      </c>
      <c r="S117" s="9">
        <f t="shared" si="45"/>
        <v>1.9976183670946079E-7</v>
      </c>
      <c r="T117" s="9">
        <f t="shared" si="40"/>
        <v>1.4449896338289382E-4</v>
      </c>
      <c r="U117" s="9">
        <f t="shared" si="41"/>
        <v>1.4980023816329053E-4</v>
      </c>
      <c r="V117" s="100">
        <f t="shared" si="46"/>
        <v>0.96461103903841561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1.8548729892070779</v>
      </c>
      <c r="K118" s="55">
        <f t="shared" si="35"/>
        <v>0.66669664726036504</v>
      </c>
      <c r="L118" s="55">
        <f t="shared" si="36"/>
        <v>1.2480186952848277E-2</v>
      </c>
      <c r="M118" s="55">
        <f t="shared" si="42"/>
        <v>0.98751981304715175</v>
      </c>
      <c r="N118" s="55">
        <f t="shared" si="37"/>
        <v>6.5395533096658702E-3</v>
      </c>
      <c r="O118" s="56">
        <f t="shared" si="43"/>
        <v>6.6721649546216506E-7</v>
      </c>
      <c r="P118" s="56">
        <f t="shared" si="38"/>
        <v>4.7768297608566155E-5</v>
      </c>
      <c r="Q118" s="56">
        <f t="shared" si="39"/>
        <v>2.503034048315356E-3</v>
      </c>
      <c r="R118" s="9">
        <f t="shared" si="44"/>
        <v>1.4999999999999999E-4</v>
      </c>
      <c r="S118" s="9">
        <f t="shared" si="45"/>
        <v>1.8720280429272414E-6</v>
      </c>
      <c r="T118" s="9">
        <f t="shared" si="40"/>
        <v>1.0000449708905475E-4</v>
      </c>
      <c r="U118" s="9">
        <f t="shared" si="41"/>
        <v>1.4812797195707276E-4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-2.3219165023637418E-2</v>
      </c>
      <c r="K119" s="55">
        <f t="shared" si="35"/>
        <v>0.99970258962022851</v>
      </c>
      <c r="L119" s="55">
        <f t="shared" si="36"/>
        <v>2.4778298634502935E-4</v>
      </c>
      <c r="M119" s="55">
        <f t="shared" si="42"/>
        <v>0.99975221701365502</v>
      </c>
      <c r="N119" s="55">
        <f t="shared" si="37"/>
        <v>3.4006843527163344E-8</v>
      </c>
      <c r="O119" s="56">
        <f t="shared" si="43"/>
        <v>1.000482094955503E-6</v>
      </c>
      <c r="P119" s="56">
        <f t="shared" si="38"/>
        <v>9.4839696542905945E-7</v>
      </c>
      <c r="Q119" s="56">
        <f t="shared" si="39"/>
        <v>1.3016223462603996E-8</v>
      </c>
      <c r="R119" s="9">
        <f t="shared" si="44"/>
        <v>1.4999999999999999E-4</v>
      </c>
      <c r="S119" s="9">
        <f t="shared" si="45"/>
        <v>3.7167447951754401E-8</v>
      </c>
      <c r="T119" s="9">
        <f t="shared" si="40"/>
        <v>1.4995538844303426E-4</v>
      </c>
      <c r="U119" s="9">
        <f t="shared" si="41"/>
        <v>1.4996283255204823E-4</v>
      </c>
      <c r="V119" s="100">
        <f t="shared" si="46"/>
        <v>0.99995036030670204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-2.5488306009393738E-2</v>
      </c>
      <c r="K120" s="55">
        <f t="shared" si="35"/>
        <v>0.99975349569680561</v>
      </c>
      <c r="L120" s="55">
        <f t="shared" si="36"/>
        <v>2.465042753958424E-4</v>
      </c>
      <c r="M120" s="55">
        <f t="shared" si="42"/>
        <v>0.99975349572460415</v>
      </c>
      <c r="N120" s="55">
        <f t="shared" si="37"/>
        <v>4.4102454655052709E-17</v>
      </c>
      <c r="O120" s="56">
        <f t="shared" si="43"/>
        <v>1.0005330407254435E-6</v>
      </c>
      <c r="P120" s="56">
        <f t="shared" si="38"/>
        <v>9.435026601268333E-7</v>
      </c>
      <c r="Q120" s="56">
        <f t="shared" si="39"/>
        <v>1.6880349526735674E-17</v>
      </c>
      <c r="R120" s="9">
        <f t="shared" si="44"/>
        <v>1.4999999999999999E-4</v>
      </c>
      <c r="S120" s="9">
        <f t="shared" si="45"/>
        <v>3.6975641309376356E-8</v>
      </c>
      <c r="T120" s="9">
        <f t="shared" si="40"/>
        <v>1.4996302435452081E-4</v>
      </c>
      <c r="U120" s="9">
        <f t="shared" si="41"/>
        <v>1.499630243586906E-4</v>
      </c>
      <c r="V120" s="100">
        <f t="shared" si="46"/>
        <v>0.99999999997219458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0.13928219055833857</v>
      </c>
      <c r="K121" s="55">
        <f t="shared" si="35"/>
        <v>0.99561832106518178</v>
      </c>
      <c r="L121" s="55">
        <f t="shared" si="36"/>
        <v>3.5875247103980769E-4</v>
      </c>
      <c r="M121" s="55">
        <f t="shared" si="42"/>
        <v>0.99964124752896022</v>
      </c>
      <c r="N121" s="55">
        <f t="shared" si="37"/>
        <v>1.6444168741074499E-5</v>
      </c>
      <c r="O121" s="56">
        <f t="shared" si="43"/>
        <v>9.9639464174417672E-7</v>
      </c>
      <c r="P121" s="56">
        <f t="shared" si="38"/>
        <v>1.3731360651233649E-6</v>
      </c>
      <c r="Q121" s="56">
        <f t="shared" si="39"/>
        <v>6.2940559249383298E-6</v>
      </c>
      <c r="R121" s="9">
        <f t="shared" si="44"/>
        <v>1.4999999999999999E-4</v>
      </c>
      <c r="S121" s="9">
        <f t="shared" si="45"/>
        <v>5.3812870655971152E-8</v>
      </c>
      <c r="T121" s="9">
        <f t="shared" si="40"/>
        <v>1.4934274815977725E-4</v>
      </c>
      <c r="U121" s="9">
        <f t="shared" si="41"/>
        <v>1.4994618712934401E-4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4.8463529002714498</v>
      </c>
      <c r="K122" s="55">
        <f t="shared" si="35"/>
        <v>3.0671901166023684E-3</v>
      </c>
      <c r="L122" s="55">
        <f t="shared" si="36"/>
        <v>5.6300652371675988E-2</v>
      </c>
      <c r="M122" s="55">
        <f t="shared" si="42"/>
        <v>0.94369934762832397</v>
      </c>
      <c r="N122" s="55">
        <f t="shared" si="37"/>
        <v>5.1328728885302016E-2</v>
      </c>
      <c r="O122" s="56">
        <f t="shared" si="43"/>
        <v>3.0695817189499226E-9</v>
      </c>
      <c r="P122" s="56">
        <f t="shared" si="38"/>
        <v>2.1549247044194819E-4</v>
      </c>
      <c r="Q122" s="56">
        <f t="shared" si="39"/>
        <v>1.9646228109611242E-2</v>
      </c>
      <c r="R122" s="9">
        <f t="shared" si="44"/>
        <v>1.4999999999999999E-4</v>
      </c>
      <c r="S122" s="9">
        <f t="shared" si="45"/>
        <v>8.445097855751398E-6</v>
      </c>
      <c r="T122" s="9">
        <f t="shared" si="40"/>
        <v>4.600785174903552E-7</v>
      </c>
      <c r="U122" s="9">
        <f t="shared" si="41"/>
        <v>1.4155490214424858E-4</v>
      </c>
      <c r="V122" s="100">
        <f t="shared" si="46"/>
        <v>3.2501772140785474E-3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0.5957275880920595</v>
      </c>
      <c r="K123" s="55">
        <f t="shared" ref="K123:K127" si="49">IF(D123=0,"",1/(1+10^D123*$J$15/$J$14+10^E123*$J$16/$J$14+10^J123*$J$19/$J$14))</f>
        <v>0.97495454135587711</v>
      </c>
      <c r="L123" s="55">
        <f t="shared" ref="L123:L127" si="50">IF(D123=0,"",1/(1+10^I123/10^J123*$J$13/$J$19))</f>
        <v>1.0049206844114341E-3</v>
      </c>
      <c r="M123" s="55">
        <f t="shared" si="42"/>
        <v>0.99899507931558862</v>
      </c>
      <c r="N123" s="55">
        <f t="shared" ref="N123:N127" si="51">IF(D123=0,"",1/(1/10^E123*$J$20/$J$22+10^D123/10^E123*$J$21/$J$22+10^I123/10^E123*$J$13/$J$22+1))</f>
        <v>2.378664534525768E-4</v>
      </c>
      <c r="O123" s="56">
        <f t="shared" si="43"/>
        <v>9.7571474971637098E-7</v>
      </c>
      <c r="P123" s="56">
        <f t="shared" ref="P123:P127" si="52">IF(D123=0,"",O123*10^J123)</f>
        <v>3.8463646824628575E-6</v>
      </c>
      <c r="Q123" s="56">
        <f t="shared" ref="Q123:Q127" si="53">IF(D123=0,"",F123*N123*$J$7/$J$22)</f>
        <v>9.1044113221586381E-5</v>
      </c>
      <c r="R123" s="9">
        <f t="shared" si="44"/>
        <v>1.4999999999999999E-4</v>
      </c>
      <c r="S123" s="9">
        <f t="shared" si="45"/>
        <v>1.5073810266171509E-7</v>
      </c>
      <c r="T123" s="9">
        <f t="shared" si="40"/>
        <v>1.4624318120338157E-4</v>
      </c>
      <c r="U123" s="9">
        <f t="shared" si="41"/>
        <v>1.4984926189733828E-4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0.78224006697670034</v>
      </c>
      <c r="K124" s="55">
        <f t="shared" si="49"/>
        <v>0.95200521125279269</v>
      </c>
      <c r="L124" s="55">
        <f t="shared" si="50"/>
        <v>1.5076454573281616E-3</v>
      </c>
      <c r="M124" s="55">
        <f t="shared" si="42"/>
        <v>0.99849235454267182</v>
      </c>
      <c r="N124" s="55">
        <f t="shared" si="51"/>
        <v>1.327563050897561E-4</v>
      </c>
      <c r="O124" s="56">
        <f t="shared" si="43"/>
        <v>9.5274752516603595E-7</v>
      </c>
      <c r="P124" s="56">
        <f t="shared" si="52"/>
        <v>5.7705591403354986E-6</v>
      </c>
      <c r="Q124" s="56">
        <f t="shared" si="53"/>
        <v>5.0812882169956463E-5</v>
      </c>
      <c r="R124" s="9">
        <f t="shared" si="44"/>
        <v>1.4999999999999999E-4</v>
      </c>
      <c r="S124" s="9">
        <f t="shared" si="45"/>
        <v>2.2614681859922422E-7</v>
      </c>
      <c r="T124" s="9">
        <f t="shared" si="40"/>
        <v>1.428007816879189E-4</v>
      </c>
      <c r="U124" s="9">
        <f t="shared" si="41"/>
        <v>1.4977385318140076E-4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5.4647098001601571E-2</v>
      </c>
      <c r="K125" s="55">
        <f t="shared" si="49"/>
        <v>0.99784323605761915</v>
      </c>
      <c r="L125" s="55">
        <f t="shared" si="50"/>
        <v>2.958892905700155E-4</v>
      </c>
      <c r="M125" s="55">
        <f t="shared" si="42"/>
        <v>0.99970411070942999</v>
      </c>
      <c r="N125" s="55">
        <f t="shared" si="51"/>
        <v>3.5646520854836648E-6</v>
      </c>
      <c r="O125" s="56">
        <f t="shared" si="43"/>
        <v>9.9862129158568358E-7</v>
      </c>
      <c r="P125" s="56">
        <f t="shared" si="52"/>
        <v>1.1325253174921598E-6</v>
      </c>
      <c r="Q125" s="56">
        <f t="shared" si="53"/>
        <v>1.3643814979191342E-6</v>
      </c>
      <c r="R125" s="9">
        <f t="shared" si="44"/>
        <v>1.4999999999999999E-4</v>
      </c>
      <c r="S125" s="9">
        <f t="shared" si="45"/>
        <v>4.4383393585502324E-8</v>
      </c>
      <c r="T125" s="9">
        <f t="shared" si="40"/>
        <v>1.4967648540864287E-4</v>
      </c>
      <c r="U125" s="9">
        <f t="shared" si="41"/>
        <v>1.4995561660641448E-4</v>
      </c>
      <c r="V125" s="100">
        <f t="shared" si="46"/>
        <v>0.9981385745723399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3.7674151938527967</v>
      </c>
      <c r="K126" s="55">
        <f t="shared" si="49"/>
        <v>3.1989625972079702E-2</v>
      </c>
      <c r="L126" s="55">
        <f t="shared" si="50"/>
        <v>4.8960313152776297E-2</v>
      </c>
      <c r="M126" s="55">
        <f t="shared" si="42"/>
        <v>0.95103968684722373</v>
      </c>
      <c r="N126" s="55">
        <f t="shared" si="51"/>
        <v>4.0506896994600167E-2</v>
      </c>
      <c r="O126" s="56">
        <f t="shared" si="43"/>
        <v>3.201456947465494E-8</v>
      </c>
      <c r="P126" s="56">
        <f t="shared" si="52"/>
        <v>1.8739709737734784E-4</v>
      </c>
      <c r="Q126" s="56">
        <f t="shared" si="53"/>
        <v>1.5504138825388297E-2</v>
      </c>
      <c r="R126" s="9">
        <f t="shared" si="44"/>
        <v>1.4999999999999999E-4</v>
      </c>
      <c r="S126" s="9">
        <f t="shared" si="45"/>
        <v>7.344046972916444E-6</v>
      </c>
      <c r="T126" s="9">
        <f t="shared" si="40"/>
        <v>4.798443895811955E-6</v>
      </c>
      <c r="U126" s="9">
        <f t="shared" si="41"/>
        <v>1.4265595302708354E-4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0.12683662687631939</v>
      </c>
      <c r="J127" s="54">
        <f t="shared" si="48"/>
        <v>1.6932611669613753</v>
      </c>
      <c r="K127" s="55">
        <f t="shared" si="49"/>
        <v>0.73922418957069347</v>
      </c>
      <c r="L127" s="55">
        <f t="shared" si="50"/>
        <v>9.537996694317567E-3</v>
      </c>
      <c r="M127" s="55">
        <f t="shared" si="42"/>
        <v>0.99046200330568246</v>
      </c>
      <c r="N127" s="55">
        <f t="shared" si="51"/>
        <v>4.6611811679726231E-3</v>
      </c>
      <c r="O127" s="56">
        <f t="shared" si="43"/>
        <v>7.3980059019795702E-7</v>
      </c>
      <c r="P127" s="56">
        <f t="shared" si="52"/>
        <v>3.650697432699113E-5</v>
      </c>
      <c r="Q127" s="56">
        <f t="shared" si="53"/>
        <v>1.7840813609634643E-3</v>
      </c>
      <c r="R127" s="9">
        <f t="shared" si="44"/>
        <v>1.4999999999999999E-4</v>
      </c>
      <c r="S127" s="9">
        <f t="shared" si="45"/>
        <v>1.4306995041476349E-6</v>
      </c>
      <c r="T127" s="9">
        <f t="shared" si="40"/>
        <v>1.1088362843560401E-4</v>
      </c>
      <c r="U127" s="9">
        <f t="shared" si="41"/>
        <v>1.4856930049585236E-4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2.594576847430778</v>
      </c>
      <c r="K128" s="55">
        <f t="shared" ref="K128:K134" si="56">IF(D128=0,"",1/(1+10^D128*$J$15/$J$14+10^E128*$J$16/$J$14+10^J128*$J$19/$J$14))</f>
        <v>0.26378518512050009</v>
      </c>
      <c r="L128" s="55">
        <f t="shared" ref="L128:L134" si="57">IF(D128=0,"",1/(1+10^I128/10^J128*$J$13/$J$19))</f>
        <v>2.7117339538337556E-2</v>
      </c>
      <c r="M128" s="55">
        <f t="shared" ref="M128:M134" si="58">IF(D128=0,"",1-L128)</f>
        <v>0.9728826604616625</v>
      </c>
      <c r="N128" s="55">
        <f t="shared" ref="N128:N134" si="59">IF(D128=0,"",1/(1/10^E128*$J$20/$J$22+10^D128/10^E128*$J$21/$J$22+10^I128/10^E128*$J$13/$J$22+1))</f>
        <v>1.4185453731151718E-2</v>
      </c>
      <c r="O128" s="56">
        <f t="shared" ref="O128:O134" si="60">IF(D128=0,"",F128*K128*$J$7/$J$14)</f>
        <v>2.6399086825196609E-7</v>
      </c>
      <c r="P128" s="56">
        <f t="shared" ref="P128:P134" si="61">IF(D128=0,"",O128*10^J128)</f>
        <v>1.037924472056259E-4</v>
      </c>
      <c r="Q128" s="56">
        <f t="shared" ref="Q128:Q134" si="62">IF(D128=0,"",F128*N128*$J$7/$J$22)</f>
        <v>5.429525840456681E-3</v>
      </c>
      <c r="R128" s="9">
        <f t="shared" si="44"/>
        <v>1.4999999999999999E-4</v>
      </c>
      <c r="S128" s="9">
        <f t="shared" si="45"/>
        <v>4.0676009307506334E-6</v>
      </c>
      <c r="T128" s="9">
        <f t="shared" si="40"/>
        <v>3.9567777768075011E-5</v>
      </c>
      <c r="U128" s="9">
        <f t="shared" si="41"/>
        <v>1.4593239906924936E-4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-2.4283347601120955E-2</v>
      </c>
      <c r="K129" s="55">
        <f t="shared" si="56"/>
        <v>0.99972639501423477</v>
      </c>
      <c r="L129" s="55">
        <f t="shared" si="57"/>
        <v>2.47182455278889E-4</v>
      </c>
      <c r="M129" s="55">
        <f t="shared" si="58"/>
        <v>0.99975281754472112</v>
      </c>
      <c r="N129" s="55">
        <f t="shared" si="59"/>
        <v>1.3918214562587868E-8</v>
      </c>
      <c r="O129" s="56">
        <f t="shared" si="60"/>
        <v>1.0005059189114611E-6</v>
      </c>
      <c r="P129" s="56">
        <f t="shared" si="61"/>
        <v>9.4609841438980297E-7</v>
      </c>
      <c r="Q129" s="56">
        <f t="shared" si="62"/>
        <v>5.3272392306097793E-9</v>
      </c>
      <c r="R129" s="9">
        <f t="shared" si="44"/>
        <v>1.4999999999999999E-4</v>
      </c>
      <c r="S129" s="9">
        <f t="shared" si="45"/>
        <v>3.707736829183335E-8</v>
      </c>
      <c r="T129" s="9">
        <f t="shared" si="40"/>
        <v>1.4995895925213519E-4</v>
      </c>
      <c r="U129" s="9">
        <f t="shared" si="41"/>
        <v>1.4996292263170816E-4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1.0653878888077168</v>
      </c>
      <c r="K130" s="55">
        <f t="shared" si="56"/>
        <v>0.91990650556744968</v>
      </c>
      <c r="L130" s="55">
        <f t="shared" si="57"/>
        <v>2.7960916965350433E-3</v>
      </c>
      <c r="M130" s="55">
        <f t="shared" si="58"/>
        <v>0.99720390830346495</v>
      </c>
      <c r="N130" s="55">
        <f t="shared" si="59"/>
        <v>9.4171771616368663E-4</v>
      </c>
      <c r="O130" s="56">
        <f t="shared" si="60"/>
        <v>9.2062379092460351E-7</v>
      </c>
      <c r="P130" s="56">
        <f t="shared" si="61"/>
        <v>1.070212656313165E-5</v>
      </c>
      <c r="Q130" s="56">
        <f t="shared" si="62"/>
        <v>3.6044533867098626E-4</v>
      </c>
      <c r="R130" s="9">
        <f t="shared" si="44"/>
        <v>1.4999999999999999E-4</v>
      </c>
      <c r="S130" s="9">
        <f t="shared" si="45"/>
        <v>4.1941375448025644E-7</v>
      </c>
      <c r="T130" s="9">
        <f t="shared" si="40"/>
        <v>1.3798597583511744E-4</v>
      </c>
      <c r="U130" s="9">
        <f t="shared" si="41"/>
        <v>1.4958058624551973E-4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4.6780974817077756E-2</v>
      </c>
      <c r="K131" s="55">
        <f t="shared" si="56"/>
        <v>0.99808235923551059</v>
      </c>
      <c r="L131" s="55">
        <f t="shared" si="57"/>
        <v>2.9064789721335997E-4</v>
      </c>
      <c r="M131" s="55">
        <f t="shared" si="58"/>
        <v>0.99970935210278666</v>
      </c>
      <c r="N131" s="55">
        <f t="shared" si="59"/>
        <v>4.6546410250952255E-6</v>
      </c>
      <c r="O131" s="56">
        <f t="shared" si="60"/>
        <v>9.9886060121682095E-7</v>
      </c>
      <c r="P131" s="56">
        <f t="shared" si="61"/>
        <v>1.1124637239687437E-6</v>
      </c>
      <c r="Q131" s="56">
        <f t="shared" si="62"/>
        <v>1.7815781012562947E-6</v>
      </c>
      <c r="R131" s="9">
        <f t="shared" si="44"/>
        <v>1.4999999999999999E-4</v>
      </c>
      <c r="S131" s="9">
        <f t="shared" si="45"/>
        <v>4.359718458200399E-8</v>
      </c>
      <c r="T131" s="9">
        <f t="shared" si="40"/>
        <v>1.4971235388532657E-4</v>
      </c>
      <c r="U131" s="9">
        <f t="shared" si="41"/>
        <v>1.4995640281541798E-4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0.14761117753551767</v>
      </c>
      <c r="K132" s="55">
        <f t="shared" si="56"/>
        <v>0.99537452738415677</v>
      </c>
      <c r="L132" s="55">
        <f t="shared" si="57"/>
        <v>3.6560954961380697E-4</v>
      </c>
      <c r="M132" s="55">
        <f t="shared" si="58"/>
        <v>0.99963439045038616</v>
      </c>
      <c r="N132" s="55">
        <f t="shared" si="59"/>
        <v>1.7804612296172089E-5</v>
      </c>
      <c r="O132" s="56">
        <f t="shared" si="60"/>
        <v>9.9615065796814059E-7</v>
      </c>
      <c r="P132" s="56">
        <f t="shared" si="61"/>
        <v>1.3993817432759162E-6</v>
      </c>
      <c r="Q132" s="56">
        <f t="shared" si="62"/>
        <v>6.8147698602750594E-6</v>
      </c>
      <c r="R132" s="9">
        <f t="shared" si="44"/>
        <v>1.4999999999999999E-4</v>
      </c>
      <c r="S132" s="9">
        <f t="shared" si="45"/>
        <v>5.4841432442071041E-8</v>
      </c>
      <c r="T132" s="9">
        <f t="shared" si="40"/>
        <v>1.4930617910762349E-4</v>
      </c>
      <c r="U132" s="9">
        <f t="shared" si="41"/>
        <v>1.4994515856755792E-4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1.9117422164117917</v>
      </c>
      <c r="K133" s="55">
        <f t="shared" si="56"/>
        <v>0.63901918339327923</v>
      </c>
      <c r="L133" s="55">
        <f t="shared" si="57"/>
        <v>1.3635653073136458E-2</v>
      </c>
      <c r="M133" s="55">
        <f t="shared" si="58"/>
        <v>0.98636434692686359</v>
      </c>
      <c r="N133" s="55">
        <f t="shared" si="59"/>
        <v>7.3097541784773084E-3</v>
      </c>
      <c r="O133" s="56">
        <f t="shared" si="60"/>
        <v>6.3951745044587016E-7</v>
      </c>
      <c r="P133" s="56">
        <f t="shared" si="61"/>
        <v>5.2190879555381009E-5</v>
      </c>
      <c r="Q133" s="56">
        <f t="shared" si="62"/>
        <v>2.7978307886106948E-3</v>
      </c>
      <c r="R133" s="9">
        <f t="shared" si="44"/>
        <v>1.4999999999999999E-4</v>
      </c>
      <c r="S133" s="9">
        <f t="shared" si="45"/>
        <v>2.0453479609704686E-6</v>
      </c>
      <c r="T133" s="9">
        <f t="shared" si="40"/>
        <v>9.5852877508991878E-5</v>
      </c>
      <c r="U133" s="9">
        <f t="shared" si="41"/>
        <v>1.4795465203902951E-4</v>
      </c>
      <c r="V133" s="100">
        <f t="shared" si="46"/>
        <v>0.64785308327923663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-2.5108947899438419E-2</v>
      </c>
      <c r="K134" s="55">
        <f t="shared" si="56"/>
        <v>0.99974493073512227</v>
      </c>
      <c r="L134" s="55">
        <f t="shared" si="57"/>
        <v>2.4671757835173264E-4</v>
      </c>
      <c r="M134" s="55">
        <f t="shared" si="58"/>
        <v>0.99975328242164829</v>
      </c>
      <c r="N134" s="55">
        <f t="shared" si="59"/>
        <v>2.7155019632208544E-9</v>
      </c>
      <c r="O134" s="56">
        <f t="shared" si="60"/>
        <v>1.0005244690853404E-6</v>
      </c>
      <c r="P134" s="56">
        <f t="shared" si="61"/>
        <v>9.4431908372018583E-7</v>
      </c>
      <c r="Q134" s="56">
        <f t="shared" si="62"/>
        <v>1.0393666891838939E-9</v>
      </c>
      <c r="R134" s="9">
        <f t="shared" si="44"/>
        <v>1.4999999999999999E-4</v>
      </c>
      <c r="S134" s="9">
        <f t="shared" si="45"/>
        <v>3.7007636752759894E-8</v>
      </c>
      <c r="T134" s="9">
        <f t="shared" si="40"/>
        <v>1.4996173961026832E-4</v>
      </c>
      <c r="U134" s="9">
        <f t="shared" si="41"/>
        <v>1.4996299236324723E-4</v>
      </c>
      <c r="V134" s="100">
        <f t="shared" si="46"/>
        <v>0.99999164625245762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0.23665550289826484</v>
      </c>
      <c r="K135" s="55">
        <f t="shared" ref="K135:K143" si="65">IF(D135=0,"",1/(1+10^D135*$J$15/$J$14+10^E135*$J$16/$J$14+10^J135*$J$19/$J$14))</f>
        <v>0.99250488254865477</v>
      </c>
      <c r="L135" s="55">
        <f t="shared" ref="L135:L143" si="66">IF(D135=0,"",1/(1+10^I135/10^J135*$J$13/$J$19))</f>
        <v>4.4751540068031E-4</v>
      </c>
      <c r="M135" s="55">
        <f t="shared" ref="M135:M143" si="67">IF(D135=0,"",1-L135)</f>
        <v>0.99955248459931967</v>
      </c>
      <c r="N135" s="55">
        <f t="shared" ref="N135:N143" si="68">IF(D135=0,"",1/(1/10^E135*$J$20/$J$22+10^D135/10^E135*$J$21/$J$22+10^I135/10^E135*$J$13/$J$22+1))</f>
        <v>3.576601175439582E-5</v>
      </c>
      <c r="O135" s="56">
        <f t="shared" ref="O135:O143" si="69">IF(D135=0,"",F135*K135*$J$7/$J$14)</f>
        <v>9.9327877556370261E-7</v>
      </c>
      <c r="P135" s="56">
        <f t="shared" ref="P135:P143" si="70">IF(D135=0,"",O135*10^J135)</f>
        <v>1.7128788955549274E-6</v>
      </c>
      <c r="Q135" s="56">
        <f t="shared" ref="Q135:Q143" si="71">IF(D135=0,"",F135*N135*$J$7/$J$22)</f>
        <v>1.3689550486786084E-5</v>
      </c>
      <c r="R135" s="9">
        <f t="shared" si="44"/>
        <v>1.4999999999999999E-4</v>
      </c>
      <c r="S135" s="9">
        <f t="shared" si="45"/>
        <v>6.7127310102046495E-8</v>
      </c>
      <c r="T135" s="9">
        <f t="shared" si="40"/>
        <v>1.488757323822982E-4</v>
      </c>
      <c r="U135" s="9">
        <f t="shared" si="41"/>
        <v>1.4993287268989794E-4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-1.0067076570108876E-2</v>
      </c>
      <c r="K136" s="55">
        <f t="shared" si="65"/>
        <v>0.99940902494970818</v>
      </c>
      <c r="L136" s="55">
        <f t="shared" si="66"/>
        <v>2.5532657593235931E-4</v>
      </c>
      <c r="M136" s="55">
        <f t="shared" si="67"/>
        <v>0.99974467342406759</v>
      </c>
      <c r="N136" s="55">
        <f t="shared" si="68"/>
        <v>5.0701661069565205E-7</v>
      </c>
      <c r="O136" s="56">
        <f t="shared" si="69"/>
        <v>1.0001883013816773E-6</v>
      </c>
      <c r="P136" s="56">
        <f t="shared" si="70"/>
        <v>9.7727028550077672E-7</v>
      </c>
      <c r="Q136" s="56">
        <f t="shared" si="71"/>
        <v>1.9406215983542622E-7</v>
      </c>
      <c r="R136" s="9">
        <f t="shared" si="44"/>
        <v>1.4999999999999999E-4</v>
      </c>
      <c r="S136" s="9">
        <f t="shared" si="45"/>
        <v>3.8298986389853895E-8</v>
      </c>
      <c r="T136" s="9">
        <f t="shared" si="40"/>
        <v>1.4991135374245622E-4</v>
      </c>
      <c r="U136" s="9">
        <f t="shared" si="41"/>
        <v>1.4996170101361011E-4</v>
      </c>
      <c r="V136" s="100">
        <f t="shared" si="46"/>
        <v>0.99966426580377787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-2.5447397497553387E-2</v>
      </c>
      <c r="K137" s="55">
        <f t="shared" si="65"/>
        <v>0.99975256808885271</v>
      </c>
      <c r="L137" s="55">
        <f t="shared" si="66"/>
        <v>2.4652726730366663E-4</v>
      </c>
      <c r="M137" s="55">
        <f t="shared" si="67"/>
        <v>0.99975347273269632</v>
      </c>
      <c r="N137" s="55">
        <f t="shared" si="68"/>
        <v>1.1546769454733978E-10</v>
      </c>
      <c r="O137" s="56">
        <f t="shared" si="69"/>
        <v>1.0005321123942E-6</v>
      </c>
      <c r="P137" s="56">
        <f t="shared" si="70"/>
        <v>9.4359066235786471E-7</v>
      </c>
      <c r="Q137" s="56">
        <f t="shared" si="71"/>
        <v>4.4195613560528629E-11</v>
      </c>
      <c r="R137" s="9">
        <f t="shared" si="44"/>
        <v>1.4999999999999999E-4</v>
      </c>
      <c r="S137" s="9">
        <f t="shared" si="45"/>
        <v>3.6979090095549994E-8</v>
      </c>
      <c r="T137" s="9">
        <f t="shared" si="40"/>
        <v>1.4996288521332789E-4</v>
      </c>
      <c r="U137" s="9">
        <f t="shared" si="41"/>
        <v>1.4996302090990442E-4</v>
      </c>
      <c r="V137" s="100">
        <f t="shared" si="46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-1.176973065570699E-2</v>
      </c>
      <c r="K138" s="55">
        <f t="shared" si="65"/>
        <v>0.99944714914831856</v>
      </c>
      <c r="L138" s="55">
        <f t="shared" si="66"/>
        <v>2.5433722801726337E-4</v>
      </c>
      <c r="M138" s="55">
        <f t="shared" si="67"/>
        <v>0.99974566277198273</v>
      </c>
      <c r="N138" s="55">
        <f t="shared" si="68"/>
        <v>4.2976361771696521E-7</v>
      </c>
      <c r="O138" s="56">
        <f t="shared" si="69"/>
        <v>1.0002264553071451E-6</v>
      </c>
      <c r="P138" s="56">
        <f t="shared" si="70"/>
        <v>9.7348352606958655E-7</v>
      </c>
      <c r="Q138" s="56">
        <f t="shared" si="71"/>
        <v>1.6449334028407982E-7</v>
      </c>
      <c r="R138" s="9">
        <f t="shared" si="44"/>
        <v>1.4999999999999999E-4</v>
      </c>
      <c r="S138" s="9">
        <f t="shared" si="45"/>
        <v>3.8150584202589504E-8</v>
      </c>
      <c r="T138" s="9">
        <f t="shared" si="40"/>
        <v>1.4991707237224777E-4</v>
      </c>
      <c r="U138" s="9">
        <f t="shared" si="41"/>
        <v>1.4996184941579741E-4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0.17844969461457041</v>
      </c>
      <c r="K139" s="55">
        <f t="shared" si="65"/>
        <v>0.99425134713032448</v>
      </c>
      <c r="L139" s="55">
        <f t="shared" si="66"/>
        <v>3.9207189656805539E-4</v>
      </c>
      <c r="M139" s="55">
        <f t="shared" si="67"/>
        <v>0.99960792810343191</v>
      </c>
      <c r="N139" s="55">
        <f t="shared" si="68"/>
        <v>1.5695242092048456E-5</v>
      </c>
      <c r="O139" s="56">
        <f t="shared" si="69"/>
        <v>9.9502660192884028E-7</v>
      </c>
      <c r="P139" s="56">
        <f t="shared" si="70"/>
        <v>1.5006671863151478E-6</v>
      </c>
      <c r="Q139" s="56">
        <f t="shared" si="71"/>
        <v>6.0074019573910121E-6</v>
      </c>
      <c r="R139" s="9">
        <f t="shared" si="44"/>
        <v>1.4999999999999999E-4</v>
      </c>
      <c r="S139" s="9">
        <f t="shared" si="45"/>
        <v>5.8810784485208305E-8</v>
      </c>
      <c r="T139" s="9">
        <f t="shared" si="40"/>
        <v>1.4913770206954866E-4</v>
      </c>
      <c r="U139" s="9">
        <f t="shared" si="41"/>
        <v>1.4994118921551476E-4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-2.5178902809730494E-2</v>
      </c>
      <c r="K140" s="55">
        <f t="shared" si="65"/>
        <v>0.99974650628295125</v>
      </c>
      <c r="L140" s="55">
        <f t="shared" si="66"/>
        <v>2.4667822974376943E-4</v>
      </c>
      <c r="M140" s="55">
        <f t="shared" si="67"/>
        <v>0.99975332177025622</v>
      </c>
      <c r="N140" s="55">
        <f t="shared" si="68"/>
        <v>2.0347558525772103E-9</v>
      </c>
      <c r="O140" s="56">
        <f t="shared" si="69"/>
        <v>1.0005260458616829E-6</v>
      </c>
      <c r="P140" s="56">
        <f t="shared" si="70"/>
        <v>9.4416847571865768E-7</v>
      </c>
      <c r="Q140" s="56">
        <f t="shared" si="71"/>
        <v>7.7880903141837378E-10</v>
      </c>
      <c r="R140" s="9">
        <f t="shared" si="44"/>
        <v>1.4999999999999999E-4</v>
      </c>
      <c r="S140" s="9">
        <f t="shared" si="45"/>
        <v>3.7001734461565409E-8</v>
      </c>
      <c r="T140" s="9">
        <f t="shared" si="40"/>
        <v>1.4996197594244269E-4</v>
      </c>
      <c r="U140" s="9">
        <f t="shared" si="41"/>
        <v>1.4996299826553841E-4</v>
      </c>
      <c r="V140" s="100">
        <f t="shared" si="46"/>
        <v>0.99999318283104788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-2.4715676297558508E-2</v>
      </c>
      <c r="K141" s="55">
        <f t="shared" si="65"/>
        <v>0.99973609038133582</v>
      </c>
      <c r="L141" s="55">
        <f t="shared" si="66"/>
        <v>2.4693890889705466E-4</v>
      </c>
      <c r="M141" s="55">
        <f t="shared" si="67"/>
        <v>0.99975306109110296</v>
      </c>
      <c r="N141" s="55">
        <f t="shared" si="68"/>
        <v>7.4279737508293101E-9</v>
      </c>
      <c r="O141" s="56">
        <f t="shared" si="69"/>
        <v>1.0005156218384008E-6</v>
      </c>
      <c r="P141" s="56">
        <f t="shared" si="70"/>
        <v>9.451662331578308E-7</v>
      </c>
      <c r="Q141" s="56">
        <f t="shared" si="71"/>
        <v>2.8430796918250745E-9</v>
      </c>
      <c r="R141" s="9">
        <f t="shared" si="44"/>
        <v>1.4999999999999999E-4</v>
      </c>
      <c r="S141" s="9">
        <f t="shared" si="45"/>
        <v>3.7040836334558196E-8</v>
      </c>
      <c r="T141" s="9">
        <f t="shared" si="40"/>
        <v>1.4996041355720035E-4</v>
      </c>
      <c r="U141" s="9">
        <f t="shared" si="41"/>
        <v>1.4996295916366544E-4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1.2385963152013792</v>
      </c>
      <c r="K142" s="55">
        <f t="shared" si="65"/>
        <v>0.88534055766464526</v>
      </c>
      <c r="L142" s="55">
        <f t="shared" si="66"/>
        <v>4.0098350325373259E-3</v>
      </c>
      <c r="M142" s="55">
        <f t="shared" si="67"/>
        <v>0.99599016496746262</v>
      </c>
      <c r="N142" s="55">
        <f t="shared" si="68"/>
        <v>1.5290890243869421E-3</v>
      </c>
      <c r="O142" s="56">
        <f t="shared" si="69"/>
        <v>8.8603089066507936E-7</v>
      </c>
      <c r="P142" s="56">
        <f t="shared" si="70"/>
        <v>1.5347766337088633E-5</v>
      </c>
      <c r="Q142" s="56">
        <f t="shared" si="71"/>
        <v>5.8526350496887058E-4</v>
      </c>
      <c r="R142" s="9">
        <f t="shared" si="44"/>
        <v>1.4999999999999999E-4</v>
      </c>
      <c r="S142" s="9">
        <f t="shared" si="45"/>
        <v>6.0147525488059885E-7</v>
      </c>
      <c r="T142" s="9">
        <f t="shared" si="40"/>
        <v>1.3280108364969678E-4</v>
      </c>
      <c r="U142" s="9">
        <f t="shared" si="41"/>
        <v>1.4939852474511937E-4</v>
      </c>
      <c r="V142" s="100">
        <f t="shared" si="46"/>
        <v>0.88890491975246355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2.1483172591113218</v>
      </c>
      <c r="K143" s="55">
        <f t="shared" si="65"/>
        <v>0.41019438262020425</v>
      </c>
      <c r="L143" s="55">
        <f t="shared" si="66"/>
        <v>1.5091305074285889E-2</v>
      </c>
      <c r="M143" s="55">
        <f t="shared" si="67"/>
        <v>0.98490869492571409</v>
      </c>
      <c r="N143" s="55">
        <f t="shared" si="68"/>
        <v>4.5207399134477878E-4</v>
      </c>
      <c r="O143" s="56">
        <f t="shared" si="69"/>
        <v>4.1051422645483257E-7</v>
      </c>
      <c r="P143" s="56">
        <f t="shared" si="70"/>
        <v>5.7762432150556009E-5</v>
      </c>
      <c r="Q143" s="56">
        <f t="shared" si="71"/>
        <v>1.7303270408718755E-4</v>
      </c>
      <c r="R143" s="9">
        <f t="shared" si="44"/>
        <v>1.4999999999999999E-4</v>
      </c>
      <c r="S143" s="9">
        <f t="shared" si="45"/>
        <v>2.2636957611428832E-6</v>
      </c>
      <c r="T143" s="9">
        <f t="shared" si="40"/>
        <v>6.1529157393030629E-5</v>
      </c>
      <c r="U143" s="9">
        <f t="shared" si="41"/>
        <v>1.477363042388571E-4</v>
      </c>
      <c r="V143" s="100">
        <f t="shared" si="46"/>
        <v>0.41647960337190731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2025-02-02T14:48:53Z</dcterms:modified>
</cp:coreProperties>
</file>